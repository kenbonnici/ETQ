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ennethbonnici/Projects/ETQ/specs/excel_prototype/"/>
    </mc:Choice>
  </mc:AlternateContent>
  <xr:revisionPtr revIDLastSave="0" documentId="13_ncr:1_{8EA2B653-7F2B-8D48-996E-E252C9CB87E1}" xr6:coauthVersionLast="47" xr6:coauthVersionMax="47" xr10:uidLastSave="{00000000-0000-0000-0000-000000000000}"/>
  <bookViews>
    <workbookView xWindow="0" yWindow="600" windowWidth="38400" windowHeight="19740" activeTab="3" xr2:uid="{66CD462A-5593-B541-B64D-6AAD48C341ED}"/>
  </bookViews>
  <sheets>
    <sheet name="Inputs" sheetId="3" r:id="rId1"/>
    <sheet name="Output" sheetId="6" r:id="rId2"/>
    <sheet name="RetNorm_Engine" sheetId="4" r:id="rId3"/>
    <sheet name="RetEarly_Engine" sheetId="8" r:id="rId4"/>
  </sheets>
  <definedNames>
    <definedName name="AgeRange">RetNorm_Engine!$C$3:INDEX(RetNorm_Engine!$C$3:$XFD$3, COUNTA(RetNorm_Engine!$C$3:$XFD$3))</definedName>
    <definedName name="buffer">Inputs!$B$159</definedName>
    <definedName name="ChartCash_Early" localSheetId="3">RetEarly_Engine!$C$201:INDEX(RetEarly_Engine!$C$201:$XFD$201, COUNTA(RetEarly_Engine!$C$201:$XFD$201))</definedName>
    <definedName name="ChartCash_Norm">RetNorm_Engine!$C$201:INDEX(RetNorm_Engine!$C$201:$XFD$201, COUNTA(RetNorm_Engine!$C$201:$XFD$201))</definedName>
    <definedName name="ChartNW_Early" localSheetId="3">RetEarly_Engine!$C$202:INDEX(RetEarly_Engine!$C$202:$XFD$202, COUNTA(RetEarly_Engine!$C$202:$XFD$202))</definedName>
    <definedName name="ChartNW_Norm">RetNorm_Engine!$C$202:INDEX(RetNorm_Engine!$C$202:$XFD$202, COUNTA(RetNorm_Engine!$C$202:$XFD$202))</definedName>
    <definedName name="EndAge">Inputs!$B$134</definedName>
    <definedName name="inf">Inputs!$B$145</definedName>
    <definedName name="princ">Inputs!$B$147</definedName>
    <definedName name="RetAge">Inputs!$B$19</definedName>
    <definedName name="rinc">Inputs!$B$155</definedName>
    <definedName name="sincr">Inputs!$B$153</definedName>
    <definedName name="stinc">Inputs!$B$151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" i="8" l="1"/>
  <c r="AW29" i="8"/>
  <c r="AW30" i="8"/>
  <c r="AW31" i="8"/>
  <c r="AW32" i="8"/>
  <c r="AW34" i="8"/>
  <c r="AW35" i="8"/>
  <c r="AW36" i="8"/>
  <c r="AW38" i="8"/>
  <c r="AW60" i="8"/>
  <c r="AW166" i="8" s="1"/>
  <c r="AW62" i="8"/>
  <c r="AW63" i="8"/>
  <c r="AW64" i="8"/>
  <c r="AW65" i="8"/>
  <c r="AW171" i="8" s="1"/>
  <c r="AW86" i="8"/>
  <c r="AW89" i="8"/>
  <c r="AW103" i="8"/>
  <c r="AW106" i="8"/>
  <c r="AW120" i="8"/>
  <c r="AW123" i="8"/>
  <c r="AW1" i="4"/>
  <c r="AW32" i="4"/>
  <c r="AW34" i="4"/>
  <c r="AW35" i="4"/>
  <c r="AW36" i="4"/>
  <c r="AW38" i="4"/>
  <c r="AW64" i="4"/>
  <c r="AW65" i="4"/>
  <c r="AW171" i="4" s="1"/>
  <c r="AW86" i="4"/>
  <c r="AW89" i="4"/>
  <c r="AW103" i="4"/>
  <c r="AW106" i="4"/>
  <c r="AW120" i="4"/>
  <c r="AW123" i="4" s="1"/>
  <c r="AN1" i="8"/>
  <c r="AO1" i="8" s="1"/>
  <c r="AN29" i="8"/>
  <c r="AO29" i="8"/>
  <c r="AN30" i="8"/>
  <c r="AO30" i="8"/>
  <c r="AN31" i="8"/>
  <c r="AO31" i="8"/>
  <c r="AN32" i="8"/>
  <c r="AO32" i="8"/>
  <c r="AN34" i="8"/>
  <c r="AO34" i="8"/>
  <c r="AP34" i="8"/>
  <c r="AN35" i="8"/>
  <c r="AO35" i="8"/>
  <c r="AP35" i="8"/>
  <c r="AN36" i="8"/>
  <c r="AO36" i="8"/>
  <c r="AP36" i="8"/>
  <c r="AN38" i="8"/>
  <c r="AO38" i="8"/>
  <c r="AN60" i="8"/>
  <c r="AN166" i="8" s="1"/>
  <c r="AO60" i="8"/>
  <c r="AO166" i="8" s="1"/>
  <c r="AN62" i="8"/>
  <c r="AO62" i="8"/>
  <c r="AN63" i="8"/>
  <c r="AO63" i="8"/>
  <c r="AN64" i="8"/>
  <c r="AN65" i="8"/>
  <c r="AN171" i="8" s="1"/>
  <c r="AO65" i="8"/>
  <c r="AO171" i="8" s="1"/>
  <c r="AN1" i="4"/>
  <c r="AO1" i="4"/>
  <c r="AN29" i="4"/>
  <c r="AN30" i="4"/>
  <c r="AN31" i="4"/>
  <c r="AN32" i="4"/>
  <c r="AO32" i="4"/>
  <c r="AN34" i="4"/>
  <c r="AO34" i="4"/>
  <c r="AN35" i="4"/>
  <c r="AO35" i="4"/>
  <c r="AN36" i="4"/>
  <c r="AO36" i="4"/>
  <c r="AN38" i="4"/>
  <c r="AO38" i="4"/>
  <c r="AN60" i="4"/>
  <c r="AN166" i="4" s="1"/>
  <c r="AN62" i="4"/>
  <c r="AN63" i="4"/>
  <c r="AN64" i="4"/>
  <c r="AN65" i="4"/>
  <c r="AN171" i="4" s="1"/>
  <c r="AO65" i="4"/>
  <c r="AO171" i="4" s="1"/>
  <c r="AM63" i="8"/>
  <c r="AM38" i="8"/>
  <c r="AM36" i="8"/>
  <c r="AM35" i="8"/>
  <c r="AM34" i="8"/>
  <c r="AM32" i="8"/>
  <c r="AM31" i="8"/>
  <c r="AM29" i="8"/>
  <c r="AM1" i="8"/>
  <c r="AM65" i="8" s="1"/>
  <c r="AM171" i="8" s="1"/>
  <c r="AL63" i="8"/>
  <c r="AL38" i="8"/>
  <c r="AL36" i="8"/>
  <c r="AL35" i="8"/>
  <c r="AL34" i="8"/>
  <c r="AL32" i="8"/>
  <c r="AL31" i="8"/>
  <c r="AL1" i="8"/>
  <c r="AL65" i="8" s="1"/>
  <c r="AL171" i="8" s="1"/>
  <c r="AK63" i="8"/>
  <c r="AK62" i="8"/>
  <c r="AK38" i="8"/>
  <c r="AK36" i="8"/>
  <c r="AK35" i="8"/>
  <c r="AK34" i="8"/>
  <c r="AK32" i="8"/>
  <c r="AK31" i="8"/>
  <c r="AK30" i="8"/>
  <c r="AK1" i="8"/>
  <c r="AK65" i="8" s="1"/>
  <c r="AK171" i="8" s="1"/>
  <c r="AJ63" i="8"/>
  <c r="AJ62" i="8"/>
  <c r="AJ38" i="8"/>
  <c r="AJ36" i="8"/>
  <c r="AJ35" i="8"/>
  <c r="AJ34" i="8"/>
  <c r="AJ32" i="8"/>
  <c r="AJ31" i="8"/>
  <c r="AJ30" i="8"/>
  <c r="AJ1" i="8"/>
  <c r="AJ65" i="8" s="1"/>
  <c r="AJ171" i="8" s="1"/>
  <c r="AI38" i="8"/>
  <c r="AI36" i="8"/>
  <c r="AI35" i="8"/>
  <c r="AI34" i="8"/>
  <c r="AI32" i="8"/>
  <c r="AI1" i="8"/>
  <c r="AI64" i="8" s="1"/>
  <c r="AH63" i="8"/>
  <c r="AH62" i="8"/>
  <c r="AH38" i="8"/>
  <c r="AH36" i="8"/>
  <c r="AH35" i="8"/>
  <c r="AH34" i="8"/>
  <c r="AH32" i="8"/>
  <c r="AH31" i="8"/>
  <c r="AH30" i="8"/>
  <c r="AH1" i="8"/>
  <c r="AH65" i="8" s="1"/>
  <c r="AH171" i="8" s="1"/>
  <c r="AG38" i="8"/>
  <c r="AG36" i="8"/>
  <c r="AG35" i="8"/>
  <c r="AG34" i="8"/>
  <c r="AG32" i="8"/>
  <c r="AG1" i="8"/>
  <c r="AF38" i="8"/>
  <c r="AF36" i="8"/>
  <c r="AF35" i="8"/>
  <c r="AF34" i="8"/>
  <c r="AF32" i="8"/>
  <c r="AF1" i="8"/>
  <c r="AF64" i="8" s="1"/>
  <c r="AE38" i="8"/>
  <c r="AE36" i="8"/>
  <c r="AE35" i="8"/>
  <c r="AE34" i="8"/>
  <c r="AE32" i="8"/>
  <c r="AE1" i="8"/>
  <c r="AE65" i="8" s="1"/>
  <c r="AE171" i="8" s="1"/>
  <c r="AD63" i="8"/>
  <c r="AD62" i="8"/>
  <c r="AD60" i="8"/>
  <c r="AD166" i="8" s="1"/>
  <c r="AD38" i="8"/>
  <c r="AD36" i="8"/>
  <c r="AD35" i="8"/>
  <c r="AD34" i="8"/>
  <c r="AD32" i="8"/>
  <c r="AD31" i="8"/>
  <c r="AD30" i="8"/>
  <c r="AD29" i="8"/>
  <c r="AD1" i="8"/>
  <c r="AD65" i="8" s="1"/>
  <c r="AD171" i="8" s="1"/>
  <c r="AC63" i="8"/>
  <c r="AC38" i="8"/>
  <c r="AC36" i="8"/>
  <c r="AC35" i="8"/>
  <c r="AC34" i="8"/>
  <c r="AC32" i="8"/>
  <c r="AC31" i="8"/>
  <c r="AC1" i="8"/>
  <c r="AC65" i="8" s="1"/>
  <c r="AC171" i="8" s="1"/>
  <c r="AB63" i="8"/>
  <c r="AB38" i="8"/>
  <c r="AB36" i="8"/>
  <c r="AB35" i="8"/>
  <c r="AB34" i="8"/>
  <c r="AB32" i="8"/>
  <c r="AB31" i="8"/>
  <c r="AB1" i="8"/>
  <c r="AB65" i="8" s="1"/>
  <c r="AB171" i="8" s="1"/>
  <c r="AA38" i="8"/>
  <c r="AA36" i="8"/>
  <c r="AA35" i="8"/>
  <c r="AA34" i="8"/>
  <c r="AA32" i="8"/>
  <c r="AA29" i="8"/>
  <c r="AA1" i="8"/>
  <c r="AA65" i="8" s="1"/>
  <c r="AA171" i="8" s="1"/>
  <c r="Z63" i="8"/>
  <c r="Z38" i="8"/>
  <c r="Z36" i="8"/>
  <c r="Z35" i="8"/>
  <c r="Z34" i="8"/>
  <c r="Z32" i="8"/>
  <c r="Z31" i="8"/>
  <c r="Z1" i="8"/>
  <c r="Z65" i="8" s="1"/>
  <c r="Z171" i="8" s="1"/>
  <c r="Y63" i="8"/>
  <c r="Y62" i="8"/>
  <c r="Y60" i="8"/>
  <c r="Y166" i="8" s="1"/>
  <c r="Y38" i="8"/>
  <c r="Y36" i="8"/>
  <c r="Y35" i="8"/>
  <c r="Y34" i="8"/>
  <c r="Y32" i="8"/>
  <c r="Y31" i="8"/>
  <c r="Y30" i="8"/>
  <c r="Y29" i="8"/>
  <c r="Y1" i="8"/>
  <c r="Y65" i="8" s="1"/>
  <c r="Y171" i="8" s="1"/>
  <c r="X63" i="8"/>
  <c r="X38" i="8"/>
  <c r="X36" i="8"/>
  <c r="X35" i="8"/>
  <c r="X34" i="8"/>
  <c r="X32" i="8"/>
  <c r="X31" i="8"/>
  <c r="X1" i="8"/>
  <c r="X65" i="8" s="1"/>
  <c r="X171" i="8" s="1"/>
  <c r="W63" i="8"/>
  <c r="W38" i="8"/>
  <c r="W36" i="8"/>
  <c r="W35" i="8"/>
  <c r="W34" i="8"/>
  <c r="W32" i="8"/>
  <c r="W31" i="8"/>
  <c r="W1" i="8"/>
  <c r="W65" i="8" s="1"/>
  <c r="W171" i="8" s="1"/>
  <c r="V62" i="8"/>
  <c r="V38" i="8"/>
  <c r="V36" i="8"/>
  <c r="V35" i="8"/>
  <c r="V34" i="8"/>
  <c r="V32" i="8"/>
  <c r="V30" i="8"/>
  <c r="V1" i="8"/>
  <c r="U63" i="8"/>
  <c r="U38" i="8"/>
  <c r="U36" i="8"/>
  <c r="U35" i="8"/>
  <c r="U34" i="8"/>
  <c r="U32" i="8"/>
  <c r="U31" i="8"/>
  <c r="U1" i="8"/>
  <c r="U65" i="8" s="1"/>
  <c r="U171" i="8" s="1"/>
  <c r="T63" i="8"/>
  <c r="T62" i="8"/>
  <c r="T38" i="8"/>
  <c r="T36" i="8"/>
  <c r="T35" i="8"/>
  <c r="T34" i="8"/>
  <c r="T32" i="8"/>
  <c r="T31" i="8"/>
  <c r="T30" i="8"/>
  <c r="T29" i="8"/>
  <c r="T1" i="8"/>
  <c r="T65" i="8" s="1"/>
  <c r="T171" i="8" s="1"/>
  <c r="S63" i="8"/>
  <c r="S38" i="8"/>
  <c r="S36" i="8"/>
  <c r="S35" i="8"/>
  <c r="S34" i="8"/>
  <c r="S32" i="8"/>
  <c r="S31" i="8"/>
  <c r="S1" i="8"/>
  <c r="S65" i="8" s="1"/>
  <c r="S171" i="8" s="1"/>
  <c r="R63" i="8"/>
  <c r="R38" i="8"/>
  <c r="R36" i="8"/>
  <c r="R35" i="8"/>
  <c r="R34" i="8"/>
  <c r="R32" i="8"/>
  <c r="R31" i="8"/>
  <c r="R1" i="8"/>
  <c r="R65" i="8" s="1"/>
  <c r="R171" i="8" s="1"/>
  <c r="Q65" i="8"/>
  <c r="Q171" i="8" s="1"/>
  <c r="Q60" i="8"/>
  <c r="Q166" i="8" s="1"/>
  <c r="Q38" i="8"/>
  <c r="Q36" i="8"/>
  <c r="Q35" i="8"/>
  <c r="Q34" i="8"/>
  <c r="Q32" i="8"/>
  <c r="Q29" i="8"/>
  <c r="Q1" i="8"/>
  <c r="P63" i="8"/>
  <c r="P38" i="8"/>
  <c r="P36" i="8"/>
  <c r="P35" i="8"/>
  <c r="P34" i="8"/>
  <c r="P32" i="8"/>
  <c r="P31" i="8"/>
  <c r="P1" i="8"/>
  <c r="P65" i="8" s="1"/>
  <c r="P171" i="8" s="1"/>
  <c r="O63" i="8"/>
  <c r="O62" i="8"/>
  <c r="O60" i="8"/>
  <c r="O166" i="8" s="1"/>
  <c r="O38" i="8"/>
  <c r="O36" i="8"/>
  <c r="O35" i="8"/>
  <c r="O34" i="8"/>
  <c r="O32" i="8"/>
  <c r="O31" i="8"/>
  <c r="O30" i="8"/>
  <c r="O29" i="8"/>
  <c r="O1" i="8"/>
  <c r="O65" i="8" s="1"/>
  <c r="O171" i="8" s="1"/>
  <c r="N62" i="8"/>
  <c r="N38" i="8"/>
  <c r="N36" i="8"/>
  <c r="N35" i="8"/>
  <c r="N34" i="8"/>
  <c r="N32" i="8"/>
  <c r="N30" i="8"/>
  <c r="N1" i="8"/>
  <c r="N64" i="8" s="1"/>
  <c r="M63" i="8"/>
  <c r="M38" i="8"/>
  <c r="M36" i="8"/>
  <c r="M35" i="8"/>
  <c r="M34" i="8"/>
  <c r="M32" i="8"/>
  <c r="M31" i="8"/>
  <c r="M1" i="8"/>
  <c r="M65" i="8" s="1"/>
  <c r="M171" i="8" s="1"/>
  <c r="L38" i="8"/>
  <c r="L36" i="8"/>
  <c r="L35" i="8"/>
  <c r="L34" i="8"/>
  <c r="L32" i="8"/>
  <c r="L1" i="8"/>
  <c r="L65" i="8" s="1"/>
  <c r="L171" i="8" s="1"/>
  <c r="K38" i="8"/>
  <c r="K36" i="8"/>
  <c r="K35" i="8"/>
  <c r="K34" i="8"/>
  <c r="K32" i="8"/>
  <c r="K1" i="8"/>
  <c r="K65" i="8" s="1"/>
  <c r="K171" i="8" s="1"/>
  <c r="J63" i="8"/>
  <c r="J62" i="8"/>
  <c r="J60" i="8"/>
  <c r="J166" i="8" s="1"/>
  <c r="J38" i="8"/>
  <c r="J36" i="8"/>
  <c r="J35" i="8"/>
  <c r="J34" i="8"/>
  <c r="J32" i="8"/>
  <c r="J31" i="8"/>
  <c r="J30" i="8"/>
  <c r="J29" i="8"/>
  <c r="J1" i="8"/>
  <c r="J65" i="8" s="1"/>
  <c r="J171" i="8" s="1"/>
  <c r="I63" i="8"/>
  <c r="I62" i="8"/>
  <c r="I38" i="8"/>
  <c r="I36" i="8"/>
  <c r="I35" i="8"/>
  <c r="I34" i="8"/>
  <c r="I32" i="8"/>
  <c r="I31" i="8"/>
  <c r="I30" i="8"/>
  <c r="I1" i="8"/>
  <c r="I64" i="8" s="1"/>
  <c r="H64" i="8"/>
  <c r="H62" i="8"/>
  <c r="H58" i="8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AH58" i="8" s="1"/>
  <c r="AI58" i="8" s="1"/>
  <c r="AJ58" i="8" s="1"/>
  <c r="AK58" i="8" s="1"/>
  <c r="AL58" i="8" s="1"/>
  <c r="AM58" i="8" s="1"/>
  <c r="AN58" i="8" s="1"/>
  <c r="AO58" i="8" s="1"/>
  <c r="AP58" i="8" s="1"/>
  <c r="AQ58" i="8" s="1"/>
  <c r="AR58" i="8" s="1"/>
  <c r="AS58" i="8" s="1"/>
  <c r="AT58" i="8" s="1"/>
  <c r="AU58" i="8" s="1"/>
  <c r="AV58" i="8" s="1"/>
  <c r="AW58" i="8" s="1"/>
  <c r="H57" i="8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AH57" i="8" s="1"/>
  <c r="AI57" i="8" s="1"/>
  <c r="AJ57" i="8" s="1"/>
  <c r="AK57" i="8" s="1"/>
  <c r="AL57" i="8" s="1"/>
  <c r="AM57" i="8" s="1"/>
  <c r="AN57" i="8" s="1"/>
  <c r="AO57" i="8" s="1"/>
  <c r="AP57" i="8" s="1"/>
  <c r="AQ57" i="8" s="1"/>
  <c r="AR57" i="8" s="1"/>
  <c r="AS57" i="8" s="1"/>
  <c r="AT57" i="8" s="1"/>
  <c r="AU57" i="8" s="1"/>
  <c r="AV57" i="8" s="1"/>
  <c r="AW57" i="8" s="1"/>
  <c r="H38" i="8"/>
  <c r="H36" i="8"/>
  <c r="H35" i="8"/>
  <c r="H34" i="8"/>
  <c r="H32" i="8"/>
  <c r="H30" i="8"/>
  <c r="H1" i="8"/>
  <c r="H65" i="8" s="1"/>
  <c r="H171" i="8" s="1"/>
  <c r="AM63" i="4"/>
  <c r="AM62" i="4"/>
  <c r="AM38" i="4"/>
  <c r="AM36" i="4"/>
  <c r="AM35" i="4"/>
  <c r="AM34" i="4"/>
  <c r="AM32" i="4"/>
  <c r="AM31" i="4"/>
  <c r="AM30" i="4"/>
  <c r="AM1" i="4"/>
  <c r="AM65" i="4" s="1"/>
  <c r="AM171" i="4" s="1"/>
  <c r="AL38" i="4"/>
  <c r="AL36" i="4"/>
  <c r="AL35" i="4"/>
  <c r="AL34" i="4"/>
  <c r="AL32" i="4"/>
  <c r="AL1" i="4"/>
  <c r="AL65" i="4" s="1"/>
  <c r="AL171" i="4" s="1"/>
  <c r="AK63" i="4"/>
  <c r="AK62" i="4"/>
  <c r="AK60" i="4"/>
  <c r="AK166" i="4" s="1"/>
  <c r="AK38" i="4"/>
  <c r="AK36" i="4"/>
  <c r="AK35" i="4"/>
  <c r="AK34" i="4"/>
  <c r="AK32" i="4"/>
  <c r="AK31" i="4"/>
  <c r="AK30" i="4"/>
  <c r="AK29" i="4"/>
  <c r="AK1" i="4"/>
  <c r="AK65" i="4" s="1"/>
  <c r="AK171" i="4" s="1"/>
  <c r="AJ38" i="4"/>
  <c r="AJ36" i="4"/>
  <c r="AJ35" i="4"/>
  <c r="AJ34" i="4"/>
  <c r="AJ32" i="4"/>
  <c r="AJ1" i="4"/>
  <c r="AJ65" i="4" s="1"/>
  <c r="AJ171" i="4" s="1"/>
  <c r="AI63" i="4"/>
  <c r="AI62" i="4"/>
  <c r="AI60" i="4"/>
  <c r="AI166" i="4" s="1"/>
  <c r="AI38" i="4"/>
  <c r="AI36" i="4"/>
  <c r="AI35" i="4"/>
  <c r="AI34" i="4"/>
  <c r="AI32" i="4"/>
  <c r="AI31" i="4"/>
  <c r="AI30" i="4"/>
  <c r="AI29" i="4"/>
  <c r="AI1" i="4"/>
  <c r="AI65" i="4" s="1"/>
  <c r="AI171" i="4" s="1"/>
  <c r="AH38" i="4"/>
  <c r="AH36" i="4"/>
  <c r="AH35" i="4"/>
  <c r="AH34" i="4"/>
  <c r="AH32" i="4"/>
  <c r="AH1" i="4"/>
  <c r="AH65" i="4" s="1"/>
  <c r="AH171" i="4" s="1"/>
  <c r="AG63" i="4"/>
  <c r="AG62" i="4"/>
  <c r="AG38" i="4"/>
  <c r="AG36" i="4"/>
  <c r="AG35" i="4"/>
  <c r="AG34" i="4"/>
  <c r="AG32" i="4"/>
  <c r="AG31" i="4"/>
  <c r="AG30" i="4"/>
  <c r="AG1" i="4"/>
  <c r="AG65" i="4" s="1"/>
  <c r="AG171" i="4" s="1"/>
  <c r="AF38" i="4"/>
  <c r="AF36" i="4"/>
  <c r="AF35" i="4"/>
  <c r="AF34" i="4"/>
  <c r="AF32" i="4"/>
  <c r="AF1" i="4"/>
  <c r="AF65" i="4" s="1"/>
  <c r="AF171" i="4" s="1"/>
  <c r="AE65" i="4"/>
  <c r="AE171" i="4" s="1"/>
  <c r="AE62" i="4"/>
  <c r="AE38" i="4"/>
  <c r="AE36" i="4"/>
  <c r="AE35" i="4"/>
  <c r="AE34" i="4"/>
  <c r="AE32" i="4"/>
  <c r="AE30" i="4"/>
  <c r="AE1" i="4"/>
  <c r="AD38" i="4"/>
  <c r="AD36" i="4"/>
  <c r="AD35" i="4"/>
  <c r="AD34" i="4"/>
  <c r="AD32" i="4"/>
  <c r="AD1" i="4"/>
  <c r="AD65" i="4" s="1"/>
  <c r="AD171" i="4" s="1"/>
  <c r="AC63" i="4"/>
  <c r="AC62" i="4"/>
  <c r="AC38" i="4"/>
  <c r="AC36" i="4"/>
  <c r="AC35" i="4"/>
  <c r="AC34" i="4"/>
  <c r="AC32" i="4"/>
  <c r="AC31" i="4"/>
  <c r="AC30" i="4"/>
  <c r="AC1" i="4"/>
  <c r="AC65" i="4" s="1"/>
  <c r="AC171" i="4" s="1"/>
  <c r="AB38" i="4"/>
  <c r="AB36" i="4"/>
  <c r="AB35" i="4"/>
  <c r="AB34" i="4"/>
  <c r="AB32" i="4"/>
  <c r="AB1" i="4"/>
  <c r="AB65" i="4" s="1"/>
  <c r="AB171" i="4" s="1"/>
  <c r="AA63" i="4"/>
  <c r="AA62" i="4"/>
  <c r="AA60" i="4"/>
  <c r="AA166" i="4" s="1"/>
  <c r="AA38" i="4"/>
  <c r="AA36" i="4"/>
  <c r="AA35" i="4"/>
  <c r="AA34" i="4"/>
  <c r="AA32" i="4"/>
  <c r="AA31" i="4"/>
  <c r="AA30" i="4"/>
  <c r="AA29" i="4"/>
  <c r="AA1" i="4"/>
  <c r="AA65" i="4" s="1"/>
  <c r="AA171" i="4" s="1"/>
  <c r="Z63" i="4"/>
  <c r="Z38" i="4"/>
  <c r="Z36" i="4"/>
  <c r="Z35" i="4"/>
  <c r="Z34" i="4"/>
  <c r="Z32" i="4"/>
  <c r="Z31" i="4"/>
  <c r="Z1" i="4"/>
  <c r="Z65" i="4" s="1"/>
  <c r="Z171" i="4" s="1"/>
  <c r="Y63" i="4"/>
  <c r="Y62" i="4"/>
  <c r="Y60" i="4"/>
  <c r="Y166" i="4" s="1"/>
  <c r="Y38" i="4"/>
  <c r="Y36" i="4"/>
  <c r="Y35" i="4"/>
  <c r="Y34" i="4"/>
  <c r="Y32" i="4"/>
  <c r="Y31" i="4"/>
  <c r="Y30" i="4"/>
  <c r="Y29" i="4"/>
  <c r="Y1" i="4"/>
  <c r="Y65" i="4" s="1"/>
  <c r="Y171" i="4" s="1"/>
  <c r="X63" i="4"/>
  <c r="X38" i="4"/>
  <c r="X36" i="4"/>
  <c r="X35" i="4"/>
  <c r="X34" i="4"/>
  <c r="X32" i="4"/>
  <c r="X31" i="4"/>
  <c r="X1" i="4"/>
  <c r="X65" i="4" s="1"/>
  <c r="X171" i="4" s="1"/>
  <c r="W63" i="4"/>
  <c r="W38" i="4"/>
  <c r="W36" i="4"/>
  <c r="W35" i="4"/>
  <c r="W34" i="4"/>
  <c r="W32" i="4"/>
  <c r="W31" i="4"/>
  <c r="W1" i="4"/>
  <c r="W65" i="4" s="1"/>
  <c r="W171" i="4" s="1"/>
  <c r="V63" i="4"/>
  <c r="V60" i="4"/>
  <c r="V166" i="4" s="1"/>
  <c r="V38" i="4"/>
  <c r="V36" i="4"/>
  <c r="V35" i="4"/>
  <c r="V34" i="4"/>
  <c r="V32" i="4"/>
  <c r="V31" i="4"/>
  <c r="V29" i="4"/>
  <c r="V1" i="4"/>
  <c r="V65" i="4" s="1"/>
  <c r="V171" i="4" s="1"/>
  <c r="U63" i="4"/>
  <c r="U38" i="4"/>
  <c r="U36" i="4"/>
  <c r="U35" i="4"/>
  <c r="U34" i="4"/>
  <c r="U32" i="4"/>
  <c r="U31" i="4"/>
  <c r="U1" i="4"/>
  <c r="U65" i="4" s="1"/>
  <c r="U171" i="4" s="1"/>
  <c r="T63" i="4"/>
  <c r="T38" i="4"/>
  <c r="T36" i="4"/>
  <c r="T35" i="4"/>
  <c r="T34" i="4"/>
  <c r="T32" i="4"/>
  <c r="T31" i="4"/>
  <c r="T1" i="4"/>
  <c r="T65" i="4" s="1"/>
  <c r="T171" i="4" s="1"/>
  <c r="S62" i="4"/>
  <c r="S38" i="4"/>
  <c r="S36" i="4"/>
  <c r="S35" i="4"/>
  <c r="S34" i="4"/>
  <c r="S32" i="4"/>
  <c r="S30" i="4"/>
  <c r="S1" i="4"/>
  <c r="S64" i="4" s="1"/>
  <c r="R63" i="4"/>
  <c r="R38" i="4"/>
  <c r="R36" i="4"/>
  <c r="R35" i="4"/>
  <c r="R34" i="4"/>
  <c r="R32" i="4"/>
  <c r="R31" i="4"/>
  <c r="R1" i="4"/>
  <c r="R65" i="4" s="1"/>
  <c r="R171" i="4" s="1"/>
  <c r="Q38" i="4"/>
  <c r="Q36" i="4"/>
  <c r="Q35" i="4"/>
  <c r="Q34" i="4"/>
  <c r="Q32" i="4"/>
  <c r="Q1" i="4"/>
  <c r="Q65" i="4" s="1"/>
  <c r="Q171" i="4" s="1"/>
  <c r="P63" i="4"/>
  <c r="P62" i="4"/>
  <c r="P38" i="4"/>
  <c r="P36" i="4"/>
  <c r="P35" i="4"/>
  <c r="P34" i="4"/>
  <c r="P32" i="4"/>
  <c r="P31" i="4"/>
  <c r="P30" i="4"/>
  <c r="P1" i="4"/>
  <c r="P65" i="4" s="1"/>
  <c r="P171" i="4" s="1"/>
  <c r="O60" i="4"/>
  <c r="O166" i="4" s="1"/>
  <c r="O38" i="4"/>
  <c r="O36" i="4"/>
  <c r="O35" i="4"/>
  <c r="O34" i="4"/>
  <c r="O32" i="4"/>
  <c r="O29" i="4"/>
  <c r="O1" i="4"/>
  <c r="O65" i="4" s="1"/>
  <c r="O171" i="4" s="1"/>
  <c r="N38" i="4"/>
  <c r="N36" i="4"/>
  <c r="N35" i="4"/>
  <c r="N34" i="4"/>
  <c r="N32" i="4"/>
  <c r="N1" i="4"/>
  <c r="N65" i="4" s="1"/>
  <c r="N171" i="4" s="1"/>
  <c r="M63" i="4"/>
  <c r="M38" i="4"/>
  <c r="M36" i="4"/>
  <c r="M35" i="4"/>
  <c r="M34" i="4"/>
  <c r="M32" i="4"/>
  <c r="M31" i="4"/>
  <c r="M1" i="4"/>
  <c r="M65" i="4" s="1"/>
  <c r="M171" i="4" s="1"/>
  <c r="L63" i="4"/>
  <c r="L62" i="4"/>
  <c r="L38" i="4"/>
  <c r="L36" i="4"/>
  <c r="L35" i="4"/>
  <c r="L34" i="4"/>
  <c r="L32" i="4"/>
  <c r="L31" i="4"/>
  <c r="L30" i="4"/>
  <c r="L1" i="4"/>
  <c r="L64" i="4" s="1"/>
  <c r="K63" i="4"/>
  <c r="K62" i="4"/>
  <c r="K60" i="4"/>
  <c r="K166" i="4" s="1"/>
  <c r="K38" i="4"/>
  <c r="K36" i="4"/>
  <c r="K35" i="4"/>
  <c r="K34" i="4"/>
  <c r="K32" i="4"/>
  <c r="K31" i="4"/>
  <c r="K30" i="4"/>
  <c r="K29" i="4"/>
  <c r="K1" i="4"/>
  <c r="K64" i="4" s="1"/>
  <c r="J63" i="4"/>
  <c r="J62" i="4"/>
  <c r="J60" i="4"/>
  <c r="J166" i="4" s="1"/>
  <c r="J38" i="4"/>
  <c r="J36" i="4"/>
  <c r="J35" i="4"/>
  <c r="J34" i="4"/>
  <c r="J32" i="4"/>
  <c r="J31" i="4"/>
  <c r="J30" i="4"/>
  <c r="J29" i="4"/>
  <c r="J1" i="4"/>
  <c r="I63" i="4"/>
  <c r="I62" i="4"/>
  <c r="I60" i="4"/>
  <c r="I166" i="4" s="1"/>
  <c r="I38" i="4"/>
  <c r="I36" i="4"/>
  <c r="I35" i="4"/>
  <c r="I34" i="4"/>
  <c r="I32" i="4"/>
  <c r="I31" i="4"/>
  <c r="I30" i="4"/>
  <c r="I29" i="4"/>
  <c r="I1" i="4"/>
  <c r="H63" i="4"/>
  <c r="H62" i="4"/>
  <c r="H60" i="4"/>
  <c r="H166" i="4" s="1"/>
  <c r="H38" i="4"/>
  <c r="H36" i="4"/>
  <c r="H35" i="4"/>
  <c r="H34" i="4"/>
  <c r="H32" i="4"/>
  <c r="H31" i="4"/>
  <c r="H30" i="4"/>
  <c r="H29" i="4"/>
  <c r="H1" i="4"/>
  <c r="H64" i="4" s="1"/>
  <c r="A171" i="8"/>
  <c r="A167" i="8"/>
  <c r="A166" i="8"/>
  <c r="A165" i="8"/>
  <c r="A161" i="8"/>
  <c r="A160" i="8"/>
  <c r="A159" i="8"/>
  <c r="G65" i="8"/>
  <c r="G171" i="8" s="1"/>
  <c r="F65" i="8"/>
  <c r="F171" i="8" s="1"/>
  <c r="E65" i="8"/>
  <c r="E171" i="8" s="1"/>
  <c r="D65" i="8"/>
  <c r="D171" i="8" s="1"/>
  <c r="C65" i="8"/>
  <c r="C171" i="8" s="1"/>
  <c r="G64" i="8"/>
  <c r="F64" i="8"/>
  <c r="E64" i="8"/>
  <c r="D64" i="8"/>
  <c r="C64" i="8"/>
  <c r="A64" i="8"/>
  <c r="A170" i="8" s="1"/>
  <c r="G63" i="8"/>
  <c r="F63" i="8"/>
  <c r="E63" i="8"/>
  <c r="D63" i="8"/>
  <c r="C63" i="8"/>
  <c r="A63" i="8"/>
  <c r="A169" i="8" s="1"/>
  <c r="G62" i="8"/>
  <c r="F62" i="8"/>
  <c r="E62" i="8"/>
  <c r="D62" i="8"/>
  <c r="C62" i="8"/>
  <c r="A62" i="8"/>
  <c r="A168" i="8" s="1"/>
  <c r="G60" i="8"/>
  <c r="G166" i="8" s="1"/>
  <c r="F60" i="8"/>
  <c r="F166" i="8" s="1"/>
  <c r="E60" i="8"/>
  <c r="E166" i="8" s="1"/>
  <c r="D60" i="8"/>
  <c r="D166" i="8" s="1"/>
  <c r="C60" i="8"/>
  <c r="C166" i="8" s="1"/>
  <c r="C59" i="8"/>
  <c r="C58" i="8"/>
  <c r="D58" i="8" s="1"/>
  <c r="E58" i="8" s="1"/>
  <c r="F58" i="8" s="1"/>
  <c r="G58" i="8" s="1"/>
  <c r="A58" i="8"/>
  <c r="C57" i="8"/>
  <c r="D57" i="8" s="1"/>
  <c r="E57" i="8" s="1"/>
  <c r="F57" i="8" s="1"/>
  <c r="G57" i="8" s="1"/>
  <c r="A57" i="8"/>
  <c r="C56" i="8"/>
  <c r="D56" i="8" s="1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AH56" i="8" s="1"/>
  <c r="AI56" i="8" s="1"/>
  <c r="AJ56" i="8" s="1"/>
  <c r="AK56" i="8" s="1"/>
  <c r="AL56" i="8" s="1"/>
  <c r="AM56" i="8" s="1"/>
  <c r="AN56" i="8" s="1"/>
  <c r="AO56" i="8" s="1"/>
  <c r="AP56" i="8" s="1"/>
  <c r="AQ56" i="8" s="1"/>
  <c r="AR56" i="8" s="1"/>
  <c r="AS56" i="8" s="1"/>
  <c r="AT56" i="8" s="1"/>
  <c r="AU56" i="8" s="1"/>
  <c r="AV56" i="8" s="1"/>
  <c r="AW56" i="8" s="1"/>
  <c r="A56" i="8"/>
  <c r="C54" i="8"/>
  <c r="C160" i="8" s="1"/>
  <c r="C49" i="8"/>
  <c r="A45" i="8"/>
  <c r="A44" i="8"/>
  <c r="A43" i="8"/>
  <c r="A41" i="8"/>
  <c r="A40" i="8"/>
  <c r="A39" i="8"/>
  <c r="G38" i="8"/>
  <c r="F38" i="8"/>
  <c r="E38" i="8"/>
  <c r="D38" i="8"/>
  <c r="C38" i="8"/>
  <c r="G36" i="8"/>
  <c r="F36" i="8"/>
  <c r="E36" i="8"/>
  <c r="D36" i="8"/>
  <c r="C36" i="8"/>
  <c r="A36" i="8"/>
  <c r="G35" i="8"/>
  <c r="F35" i="8"/>
  <c r="E35" i="8"/>
  <c r="D35" i="8"/>
  <c r="C35" i="8"/>
  <c r="A35" i="8"/>
  <c r="G34" i="8"/>
  <c r="F34" i="8"/>
  <c r="E34" i="8"/>
  <c r="D34" i="8"/>
  <c r="C34" i="8"/>
  <c r="A34" i="8"/>
  <c r="G32" i="8"/>
  <c r="F32" i="8"/>
  <c r="E32" i="8"/>
  <c r="D32" i="8"/>
  <c r="C32" i="8"/>
  <c r="G31" i="8"/>
  <c r="F31" i="8"/>
  <c r="E31" i="8"/>
  <c r="D31" i="8"/>
  <c r="C31" i="8"/>
  <c r="A31" i="8"/>
  <c r="G30" i="8"/>
  <c r="F30" i="8"/>
  <c r="E30" i="8"/>
  <c r="D30" i="8"/>
  <c r="C30" i="8"/>
  <c r="A30" i="8"/>
  <c r="G29" i="8"/>
  <c r="F29" i="8"/>
  <c r="E29" i="8"/>
  <c r="D29" i="8"/>
  <c r="C29" i="8"/>
  <c r="A29" i="8"/>
  <c r="A26" i="8"/>
  <c r="A25" i="8"/>
  <c r="A24" i="8"/>
  <c r="C21" i="8"/>
  <c r="A17" i="8"/>
  <c r="A16" i="8"/>
  <c r="A15" i="8"/>
  <c r="C10" i="8"/>
  <c r="D10" i="8" s="1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AH10" i="8" s="1"/>
  <c r="AI10" i="8" s="1"/>
  <c r="AJ10" i="8" s="1"/>
  <c r="AK10" i="8" s="1"/>
  <c r="AL10" i="8" s="1"/>
  <c r="AM10" i="8" s="1"/>
  <c r="AN10" i="8" s="1"/>
  <c r="AO10" i="8" s="1"/>
  <c r="AP10" i="8" s="1"/>
  <c r="AQ10" i="8" s="1"/>
  <c r="AR10" i="8" s="1"/>
  <c r="AS10" i="8" s="1"/>
  <c r="AT10" i="8" s="1"/>
  <c r="AU10" i="8" s="1"/>
  <c r="AV10" i="8" s="1"/>
  <c r="AW10" i="8" s="1"/>
  <c r="A10" i="8"/>
  <c r="C9" i="8"/>
  <c r="D9" i="8" s="1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AH9" i="8" s="1"/>
  <c r="AI9" i="8" s="1"/>
  <c r="AJ9" i="8" s="1"/>
  <c r="AK9" i="8" s="1"/>
  <c r="AL9" i="8" s="1"/>
  <c r="AM9" i="8" s="1"/>
  <c r="AN9" i="8" s="1"/>
  <c r="AO9" i="8" s="1"/>
  <c r="AP9" i="8" s="1"/>
  <c r="AQ9" i="8" s="1"/>
  <c r="AR9" i="8" s="1"/>
  <c r="AS9" i="8" s="1"/>
  <c r="AT9" i="8" s="1"/>
  <c r="AU9" i="8" s="1"/>
  <c r="AV9" i="8" s="1"/>
  <c r="AW9" i="8" s="1"/>
  <c r="A9" i="8"/>
  <c r="C8" i="8"/>
  <c r="D8" i="8" s="1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J8" i="8" s="1"/>
  <c r="AK8" i="8" s="1"/>
  <c r="AL8" i="8" s="1"/>
  <c r="AM8" i="8" s="1"/>
  <c r="AN8" i="8" s="1"/>
  <c r="AO8" i="8" s="1"/>
  <c r="AP8" i="8" s="1"/>
  <c r="AQ8" i="8" s="1"/>
  <c r="AR8" i="8" s="1"/>
  <c r="AS8" i="8" s="1"/>
  <c r="AT8" i="8" s="1"/>
  <c r="AU8" i="8" s="1"/>
  <c r="AV8" i="8" s="1"/>
  <c r="AW8" i="8" s="1"/>
  <c r="A8" i="8"/>
  <c r="AW63" i="4" l="1"/>
  <c r="AW31" i="4"/>
  <c r="AW62" i="4"/>
  <c r="AW30" i="4"/>
  <c r="AW60" i="4"/>
  <c r="AW166" i="4" s="1"/>
  <c r="AW29" i="4"/>
  <c r="AP32" i="4"/>
  <c r="AP38" i="4"/>
  <c r="AO31" i="4"/>
  <c r="AO63" i="4"/>
  <c r="AP36" i="4"/>
  <c r="AP1" i="4"/>
  <c r="AO62" i="4"/>
  <c r="AO29" i="4"/>
  <c r="AO30" i="4"/>
  <c r="AP34" i="4"/>
  <c r="AO60" i="4"/>
  <c r="AO166" i="4" s="1"/>
  <c r="AO64" i="4"/>
  <c r="AP35" i="4"/>
  <c r="AO64" i="8"/>
  <c r="AP1" i="8"/>
  <c r="AP32" i="8"/>
  <c r="AP38" i="8"/>
  <c r="AM60" i="8"/>
  <c r="AM166" i="8" s="1"/>
  <c r="AM30" i="8"/>
  <c r="AM62" i="8"/>
  <c r="AM64" i="8"/>
  <c r="AL29" i="8"/>
  <c r="AL60" i="8"/>
  <c r="AL166" i="8" s="1"/>
  <c r="AL30" i="8"/>
  <c r="AL62" i="8"/>
  <c r="AL64" i="8"/>
  <c r="AK29" i="8"/>
  <c r="AK60" i="8"/>
  <c r="AK166" i="8" s="1"/>
  <c r="AK64" i="8"/>
  <c r="AJ29" i="8"/>
  <c r="AJ60" i="8"/>
  <c r="AJ166" i="8" s="1"/>
  <c r="AJ64" i="8"/>
  <c r="AI29" i="8"/>
  <c r="AI60" i="8"/>
  <c r="AI166" i="8" s="1"/>
  <c r="AI30" i="8"/>
  <c r="AI62" i="8"/>
  <c r="AI31" i="8"/>
  <c r="AI63" i="8"/>
  <c r="AI65" i="8"/>
  <c r="AI171" i="8" s="1"/>
  <c r="AH29" i="8"/>
  <c r="AH60" i="8"/>
  <c r="AH166" i="8" s="1"/>
  <c r="AH64" i="8"/>
  <c r="AG29" i="8"/>
  <c r="AG60" i="8"/>
  <c r="AG166" i="8" s="1"/>
  <c r="AG30" i="8"/>
  <c r="AG62" i="8"/>
  <c r="AG31" i="8"/>
  <c r="AG63" i="8"/>
  <c r="AG64" i="8"/>
  <c r="AG65" i="8"/>
  <c r="AG171" i="8" s="1"/>
  <c r="AF29" i="8"/>
  <c r="AF60" i="8"/>
  <c r="AF166" i="8" s="1"/>
  <c r="AF30" i="8"/>
  <c r="AF62" i="8"/>
  <c r="AF31" i="8"/>
  <c r="AF63" i="8"/>
  <c r="AF65" i="8"/>
  <c r="AF171" i="8" s="1"/>
  <c r="AE29" i="8"/>
  <c r="AE60" i="8"/>
  <c r="AE166" i="8" s="1"/>
  <c r="AE30" i="8"/>
  <c r="AE62" i="8"/>
  <c r="AE31" i="8"/>
  <c r="AE63" i="8"/>
  <c r="AE64" i="8"/>
  <c r="AD64" i="8"/>
  <c r="AC29" i="8"/>
  <c r="AC60" i="8"/>
  <c r="AC166" i="8" s="1"/>
  <c r="AC30" i="8"/>
  <c r="AC62" i="8"/>
  <c r="AC64" i="8"/>
  <c r="AB29" i="8"/>
  <c r="AB60" i="8"/>
  <c r="AB166" i="8" s="1"/>
  <c r="AB30" i="8"/>
  <c r="AB62" i="8"/>
  <c r="AB64" i="8"/>
  <c r="AA60" i="8"/>
  <c r="AA166" i="8" s="1"/>
  <c r="AA30" i="8"/>
  <c r="AA62" i="8"/>
  <c r="AA31" i="8"/>
  <c r="AA63" i="8"/>
  <c r="AA64" i="8"/>
  <c r="Z29" i="8"/>
  <c r="Z60" i="8"/>
  <c r="Z166" i="8" s="1"/>
  <c r="Z30" i="8"/>
  <c r="Z62" i="8"/>
  <c r="Z64" i="8"/>
  <c r="Y64" i="8"/>
  <c r="X29" i="8"/>
  <c r="X60" i="8"/>
  <c r="X166" i="8" s="1"/>
  <c r="X30" i="8"/>
  <c r="X62" i="8"/>
  <c r="X64" i="8"/>
  <c r="W29" i="8"/>
  <c r="W60" i="8"/>
  <c r="W166" i="8" s="1"/>
  <c r="W30" i="8"/>
  <c r="W62" i="8"/>
  <c r="W64" i="8"/>
  <c r="V29" i="8"/>
  <c r="V60" i="8"/>
  <c r="V166" i="8" s="1"/>
  <c r="V31" i="8"/>
  <c r="V63" i="8"/>
  <c r="V65" i="8"/>
  <c r="V171" i="8" s="1"/>
  <c r="V64" i="8"/>
  <c r="U29" i="8"/>
  <c r="U60" i="8"/>
  <c r="U166" i="8" s="1"/>
  <c r="U30" i="8"/>
  <c r="U62" i="8"/>
  <c r="U64" i="8"/>
  <c r="T60" i="8"/>
  <c r="T166" i="8" s="1"/>
  <c r="T64" i="8"/>
  <c r="S29" i="8"/>
  <c r="S60" i="8"/>
  <c r="S166" i="8" s="1"/>
  <c r="S30" i="8"/>
  <c r="S62" i="8"/>
  <c r="S64" i="8"/>
  <c r="R29" i="8"/>
  <c r="R60" i="8"/>
  <c r="R166" i="8" s="1"/>
  <c r="R30" i="8"/>
  <c r="R62" i="8"/>
  <c r="R64" i="8"/>
  <c r="Q30" i="8"/>
  <c r="Q62" i="8"/>
  <c r="Q31" i="8"/>
  <c r="Q63" i="8"/>
  <c r="Q64" i="8"/>
  <c r="P29" i="8"/>
  <c r="P60" i="8"/>
  <c r="P166" i="8" s="1"/>
  <c r="P30" i="8"/>
  <c r="P62" i="8"/>
  <c r="P64" i="8"/>
  <c r="O64" i="8"/>
  <c r="N29" i="8"/>
  <c r="N60" i="8"/>
  <c r="N166" i="8" s="1"/>
  <c r="N31" i="8"/>
  <c r="N63" i="8"/>
  <c r="N65" i="8"/>
  <c r="N171" i="8" s="1"/>
  <c r="M29" i="8"/>
  <c r="M60" i="8"/>
  <c r="M166" i="8" s="1"/>
  <c r="M30" i="8"/>
  <c r="M62" i="8"/>
  <c r="M64" i="8"/>
  <c r="L29" i="8"/>
  <c r="L60" i="8"/>
  <c r="L166" i="8" s="1"/>
  <c r="L30" i="8"/>
  <c r="L62" i="8"/>
  <c r="L31" i="8"/>
  <c r="L63" i="8"/>
  <c r="L64" i="8"/>
  <c r="K29" i="8"/>
  <c r="K60" i="8"/>
  <c r="K166" i="8" s="1"/>
  <c r="K30" i="8"/>
  <c r="K62" i="8"/>
  <c r="K31" i="8"/>
  <c r="K63" i="8"/>
  <c r="K64" i="8"/>
  <c r="J64" i="8"/>
  <c r="I29" i="8"/>
  <c r="I60" i="8"/>
  <c r="I166" i="8" s="1"/>
  <c r="I65" i="8"/>
  <c r="I171" i="8" s="1"/>
  <c r="H29" i="8"/>
  <c r="H60" i="8"/>
  <c r="H166" i="8" s="1"/>
  <c r="H31" i="8"/>
  <c r="H63" i="8"/>
  <c r="AM29" i="4"/>
  <c r="AM60" i="4"/>
  <c r="AM166" i="4" s="1"/>
  <c r="AM64" i="4"/>
  <c r="AL29" i="4"/>
  <c r="AL60" i="4"/>
  <c r="AL166" i="4" s="1"/>
  <c r="AL30" i="4"/>
  <c r="AL62" i="4"/>
  <c r="AL31" i="4"/>
  <c r="AL63" i="4"/>
  <c r="AL64" i="4"/>
  <c r="AK64" i="4"/>
  <c r="AJ29" i="4"/>
  <c r="AJ60" i="4"/>
  <c r="AJ166" i="4" s="1"/>
  <c r="AJ30" i="4"/>
  <c r="AJ62" i="4"/>
  <c r="AJ31" i="4"/>
  <c r="AJ63" i="4"/>
  <c r="AJ64" i="4"/>
  <c r="AI64" i="4"/>
  <c r="AH29" i="4"/>
  <c r="AH60" i="4"/>
  <c r="AH166" i="4" s="1"/>
  <c r="AH30" i="4"/>
  <c r="AH62" i="4"/>
  <c r="AH31" i="4"/>
  <c r="AH63" i="4"/>
  <c r="AH64" i="4"/>
  <c r="AG29" i="4"/>
  <c r="AG60" i="4"/>
  <c r="AG166" i="4" s="1"/>
  <c r="AG64" i="4"/>
  <c r="AF29" i="4"/>
  <c r="AF60" i="4"/>
  <c r="AF166" i="4" s="1"/>
  <c r="AF30" i="4"/>
  <c r="AF62" i="4"/>
  <c r="AF31" i="4"/>
  <c r="AF63" i="4"/>
  <c r="AF64" i="4"/>
  <c r="AE29" i="4"/>
  <c r="AE60" i="4"/>
  <c r="AE166" i="4" s="1"/>
  <c r="AE31" i="4"/>
  <c r="AE63" i="4"/>
  <c r="AE64" i="4"/>
  <c r="AD29" i="4"/>
  <c r="AD60" i="4"/>
  <c r="AD166" i="4" s="1"/>
  <c r="AD30" i="4"/>
  <c r="AD62" i="4"/>
  <c r="AD31" i="4"/>
  <c r="AD63" i="4"/>
  <c r="AD64" i="4"/>
  <c r="AC29" i="4"/>
  <c r="AC60" i="4"/>
  <c r="AC166" i="4" s="1"/>
  <c r="AC64" i="4"/>
  <c r="AB29" i="4"/>
  <c r="AB60" i="4"/>
  <c r="AB166" i="4" s="1"/>
  <c r="AB30" i="4"/>
  <c r="AB62" i="4"/>
  <c r="AB31" i="4"/>
  <c r="AB63" i="4"/>
  <c r="AB64" i="4"/>
  <c r="AA64" i="4"/>
  <c r="Z29" i="4"/>
  <c r="Z60" i="4"/>
  <c r="Z166" i="4" s="1"/>
  <c r="Z30" i="4"/>
  <c r="Z62" i="4"/>
  <c r="Z64" i="4"/>
  <c r="Y64" i="4"/>
  <c r="X29" i="4"/>
  <c r="X60" i="4"/>
  <c r="X166" i="4" s="1"/>
  <c r="X30" i="4"/>
  <c r="X62" i="4"/>
  <c r="X64" i="4"/>
  <c r="W29" i="4"/>
  <c r="W60" i="4"/>
  <c r="W166" i="4" s="1"/>
  <c r="W30" i="4"/>
  <c r="W62" i="4"/>
  <c r="W64" i="4"/>
  <c r="V30" i="4"/>
  <c r="V62" i="4"/>
  <c r="V64" i="4"/>
  <c r="U29" i="4"/>
  <c r="U60" i="4"/>
  <c r="U166" i="4" s="1"/>
  <c r="U30" i="4"/>
  <c r="U62" i="4"/>
  <c r="U64" i="4"/>
  <c r="T29" i="4"/>
  <c r="T60" i="4"/>
  <c r="T166" i="4" s="1"/>
  <c r="T30" i="4"/>
  <c r="T62" i="4"/>
  <c r="T64" i="4"/>
  <c r="S29" i="4"/>
  <c r="S60" i="4"/>
  <c r="S166" i="4" s="1"/>
  <c r="S31" i="4"/>
  <c r="S63" i="4"/>
  <c r="S65" i="4"/>
  <c r="S171" i="4" s="1"/>
  <c r="R29" i="4"/>
  <c r="R60" i="4"/>
  <c r="R166" i="4" s="1"/>
  <c r="R30" i="4"/>
  <c r="R62" i="4"/>
  <c r="R64" i="4"/>
  <c r="Q29" i="4"/>
  <c r="Q60" i="4"/>
  <c r="Q166" i="4" s="1"/>
  <c r="Q30" i="4"/>
  <c r="Q62" i="4"/>
  <c r="Q31" i="4"/>
  <c r="Q63" i="4"/>
  <c r="Q64" i="4"/>
  <c r="P29" i="4"/>
  <c r="P60" i="4"/>
  <c r="P166" i="4" s="1"/>
  <c r="P64" i="4"/>
  <c r="O30" i="4"/>
  <c r="O62" i="4"/>
  <c r="O31" i="4"/>
  <c r="O63" i="4"/>
  <c r="O64" i="4"/>
  <c r="N29" i="4"/>
  <c r="N60" i="4"/>
  <c r="N166" i="4" s="1"/>
  <c r="N30" i="4"/>
  <c r="N62" i="4"/>
  <c r="N31" i="4"/>
  <c r="N63" i="4"/>
  <c r="N64" i="4"/>
  <c r="M29" i="4"/>
  <c r="M60" i="4"/>
  <c r="M166" i="4" s="1"/>
  <c r="M30" i="4"/>
  <c r="M62" i="4"/>
  <c r="M64" i="4"/>
  <c r="L29" i="4"/>
  <c r="L60" i="4"/>
  <c r="L166" i="4" s="1"/>
  <c r="L65" i="4"/>
  <c r="L171" i="4" s="1"/>
  <c r="K65" i="4"/>
  <c r="K171" i="4" s="1"/>
  <c r="J64" i="4"/>
  <c r="J65" i="4"/>
  <c r="J171" i="4" s="1"/>
  <c r="I64" i="4"/>
  <c r="I65" i="4"/>
  <c r="I171" i="4" s="1"/>
  <c r="H65" i="4"/>
  <c r="H171" i="4" s="1"/>
  <c r="D54" i="8"/>
  <c r="A162" i="8"/>
  <c r="A144" i="8"/>
  <c r="A154" i="8"/>
  <c r="A191" i="8"/>
  <c r="A192" i="8"/>
  <c r="A145" i="8"/>
  <c r="A163" i="8"/>
  <c r="A155" i="8"/>
  <c r="A193" i="8"/>
  <c r="A156" i="8"/>
  <c r="A146" i="8"/>
  <c r="A164" i="8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AH59" i="8" s="1"/>
  <c r="AI59" i="8" s="1"/>
  <c r="AJ59" i="8" s="1"/>
  <c r="AK59" i="8" s="1"/>
  <c r="AL59" i="8" s="1"/>
  <c r="AM59" i="8" s="1"/>
  <c r="AN59" i="8" s="1"/>
  <c r="AO59" i="8" s="1"/>
  <c r="AP59" i="8" s="1"/>
  <c r="AQ59" i="8" s="1"/>
  <c r="AR59" i="8" s="1"/>
  <c r="AS59" i="8" s="1"/>
  <c r="AT59" i="8" s="1"/>
  <c r="AU59" i="8" s="1"/>
  <c r="AV59" i="8" s="1"/>
  <c r="AW59" i="8" s="1"/>
  <c r="C74" i="8"/>
  <c r="AQ34" i="8" l="1"/>
  <c r="AP64" i="8"/>
  <c r="AQ1" i="8"/>
  <c r="AQ32" i="8"/>
  <c r="AQ38" i="8"/>
  <c r="AP29" i="8"/>
  <c r="AP62" i="8"/>
  <c r="AP60" i="8"/>
  <c r="AP166" i="8" s="1"/>
  <c r="AP30" i="8"/>
  <c r="AQ35" i="8"/>
  <c r="AQ36" i="8"/>
  <c r="AP63" i="8"/>
  <c r="AP31" i="8"/>
  <c r="AP65" i="8"/>
  <c r="AP171" i="8" s="1"/>
  <c r="AQ32" i="4"/>
  <c r="AQ38" i="4"/>
  <c r="AP31" i="4"/>
  <c r="AP63" i="4"/>
  <c r="AP29" i="4"/>
  <c r="AQ1" i="4"/>
  <c r="AP30" i="4"/>
  <c r="AP64" i="4"/>
  <c r="AP62" i="4"/>
  <c r="AQ35" i="4"/>
  <c r="AQ34" i="4"/>
  <c r="AP60" i="4"/>
  <c r="AP166" i="4" s="1"/>
  <c r="AP65" i="4"/>
  <c r="AP171" i="4" s="1"/>
  <c r="AQ36" i="4"/>
  <c r="D160" i="8"/>
  <c r="E54" i="8"/>
  <c r="V3" i="6"/>
  <c r="B3" i="4"/>
  <c r="AA3" i="6"/>
  <c r="AA2" i="6"/>
  <c r="A87" i="3"/>
  <c r="A82" i="3"/>
  <c r="A77" i="3"/>
  <c r="AQ29" i="8" l="1"/>
  <c r="AQ60" i="8"/>
  <c r="AQ166" i="8" s="1"/>
  <c r="AQ65" i="8"/>
  <c r="AQ171" i="8" s="1"/>
  <c r="AR34" i="8"/>
  <c r="AQ64" i="8"/>
  <c r="AQ31" i="8"/>
  <c r="AR1" i="8"/>
  <c r="AQ63" i="8"/>
  <c r="AQ26" i="8"/>
  <c r="AR32" i="8"/>
  <c r="AQ30" i="8"/>
  <c r="AR36" i="8"/>
  <c r="AR35" i="8"/>
  <c r="AR38" i="8"/>
  <c r="AQ62" i="8"/>
  <c r="AR1" i="4"/>
  <c r="AQ22" i="4"/>
  <c r="AR32" i="4"/>
  <c r="AR38" i="4"/>
  <c r="AR35" i="4"/>
  <c r="AQ60" i="4"/>
  <c r="AQ166" i="4" s="1"/>
  <c r="AQ63" i="4"/>
  <c r="AQ31" i="4"/>
  <c r="AQ26" i="4"/>
  <c r="AR36" i="4"/>
  <c r="AQ62" i="4"/>
  <c r="AR34" i="4"/>
  <c r="AQ30" i="4"/>
  <c r="AQ64" i="4"/>
  <c r="AQ65" i="4"/>
  <c r="AQ171" i="4" s="1"/>
  <c r="AQ29" i="4"/>
  <c r="E160" i="8"/>
  <c r="F54" i="8"/>
  <c r="C2" i="8"/>
  <c r="C2" i="4"/>
  <c r="C65" i="4"/>
  <c r="C64" i="4"/>
  <c r="C63" i="4"/>
  <c r="C62" i="4"/>
  <c r="C60" i="4"/>
  <c r="C59" i="4"/>
  <c r="C58" i="4"/>
  <c r="C57" i="4"/>
  <c r="C56" i="4"/>
  <c r="C54" i="4"/>
  <c r="C3" i="8"/>
  <c r="C3" i="4"/>
  <c r="F168" i="3"/>
  <c r="F167" i="3"/>
  <c r="A64" i="4"/>
  <c r="A63" i="4"/>
  <c r="A62" i="4"/>
  <c r="A58" i="4"/>
  <c r="A57" i="4"/>
  <c r="A56" i="4"/>
  <c r="A45" i="4"/>
  <c r="A44" i="4"/>
  <c r="A43" i="4"/>
  <c r="A36" i="4"/>
  <c r="A35" i="4"/>
  <c r="A34" i="4"/>
  <c r="A26" i="4"/>
  <c r="A25" i="4"/>
  <c r="A24" i="4"/>
  <c r="A10" i="4"/>
  <c r="A9" i="4"/>
  <c r="A8" i="4"/>
  <c r="A17" i="4"/>
  <c r="A16" i="4"/>
  <c r="A15" i="4"/>
  <c r="F166" i="3"/>
  <c r="A168" i="3"/>
  <c r="A167" i="3"/>
  <c r="A166" i="3"/>
  <c r="A68" i="3"/>
  <c r="A67" i="3"/>
  <c r="A66" i="3"/>
  <c r="G83" i="3"/>
  <c r="G88" i="3"/>
  <c r="G78" i="3"/>
  <c r="AQ24" i="4" s="1"/>
  <c r="C31" i="4"/>
  <c r="C30" i="4"/>
  <c r="C29" i="4"/>
  <c r="D1" i="8"/>
  <c r="G15" i="3"/>
  <c r="AW25" i="4" l="1"/>
  <c r="AO25" i="8"/>
  <c r="AN25" i="8"/>
  <c r="AW25" i="8"/>
  <c r="AN25" i="4"/>
  <c r="AO25" i="4"/>
  <c r="AP25" i="8"/>
  <c r="AP25" i="4"/>
  <c r="AQ25" i="4"/>
  <c r="AQ25" i="8"/>
  <c r="AN24" i="8"/>
  <c r="AO24" i="8"/>
  <c r="AW24" i="8"/>
  <c r="AN24" i="4"/>
  <c r="AW24" i="4"/>
  <c r="AO24" i="4"/>
  <c r="AP24" i="4"/>
  <c r="AP24" i="8"/>
  <c r="AW26" i="4"/>
  <c r="AN26" i="8"/>
  <c r="AO26" i="8"/>
  <c r="AW26" i="8"/>
  <c r="AN26" i="4"/>
  <c r="AO26" i="4"/>
  <c r="AP26" i="8"/>
  <c r="AP26" i="4"/>
  <c r="AQ24" i="8"/>
  <c r="AW22" i="4"/>
  <c r="AM22" i="8"/>
  <c r="X22" i="8"/>
  <c r="Q22" i="8"/>
  <c r="AJ22" i="4"/>
  <c r="AC22" i="4"/>
  <c r="W22" i="4"/>
  <c r="AI22" i="8"/>
  <c r="T22" i="8"/>
  <c r="AN22" i="4"/>
  <c r="AJ22" i="8"/>
  <c r="N22" i="8"/>
  <c r="J22" i="8"/>
  <c r="AG22" i="4"/>
  <c r="AB22" i="4"/>
  <c r="J22" i="4"/>
  <c r="Z22" i="8"/>
  <c r="AN22" i="8"/>
  <c r="AL22" i="8"/>
  <c r="AD22" i="8"/>
  <c r="W22" i="8"/>
  <c r="P22" i="8"/>
  <c r="AM22" i="4"/>
  <c r="N22" i="4"/>
  <c r="H22" i="4"/>
  <c r="AW22" i="8"/>
  <c r="M22" i="8"/>
  <c r="AL22" i="4"/>
  <c r="R22" i="4"/>
  <c r="T22" i="4"/>
  <c r="S22" i="8"/>
  <c r="L22" i="8"/>
  <c r="V22" i="4"/>
  <c r="AC22" i="8"/>
  <c r="K22" i="8"/>
  <c r="I22" i="8"/>
  <c r="AE22" i="4"/>
  <c r="Y22" i="4"/>
  <c r="Q22" i="4"/>
  <c r="M22" i="4"/>
  <c r="K22" i="4"/>
  <c r="AI22" i="4"/>
  <c r="AH22" i="8"/>
  <c r="AD22" i="4"/>
  <c r="AA22" i="4"/>
  <c r="U22" i="4"/>
  <c r="I22" i="4"/>
  <c r="Y22" i="8"/>
  <c r="X22" i="4"/>
  <c r="P22" i="4"/>
  <c r="S22" i="4"/>
  <c r="AK22" i="8"/>
  <c r="AE22" i="8"/>
  <c r="U22" i="8"/>
  <c r="R22" i="8"/>
  <c r="AH22" i="4"/>
  <c r="L22" i="4"/>
  <c r="AB22" i="8"/>
  <c r="AA22" i="8"/>
  <c r="AF22" i="4"/>
  <c r="O22" i="8"/>
  <c r="H22" i="8"/>
  <c r="AK22" i="4"/>
  <c r="O22" i="4"/>
  <c r="Z22" i="4"/>
  <c r="AO22" i="8"/>
  <c r="AF22" i="8"/>
  <c r="V22" i="8"/>
  <c r="AG22" i="8"/>
  <c r="AO22" i="4"/>
  <c r="AP22" i="4"/>
  <c r="AP22" i="8"/>
  <c r="AQ22" i="8"/>
  <c r="AR24" i="8"/>
  <c r="AR29" i="8"/>
  <c r="AR60" i="8"/>
  <c r="AR166" i="8" s="1"/>
  <c r="AR65" i="8"/>
  <c r="AR171" i="8" s="1"/>
  <c r="AS34" i="8"/>
  <c r="AS38" i="8"/>
  <c r="AR31" i="8"/>
  <c r="AS1" i="8"/>
  <c r="AR63" i="8"/>
  <c r="AR26" i="8"/>
  <c r="AR22" i="8"/>
  <c r="AS32" i="8"/>
  <c r="AS35" i="8"/>
  <c r="AR64" i="8"/>
  <c r="AR30" i="8"/>
  <c r="AR62" i="8"/>
  <c r="AS36" i="8"/>
  <c r="AR25" i="8"/>
  <c r="AS1" i="4"/>
  <c r="AS34" i="4"/>
  <c r="AR22" i="4"/>
  <c r="AS32" i="4"/>
  <c r="AS38" i="4"/>
  <c r="AS35" i="4"/>
  <c r="AR60" i="4"/>
  <c r="AR166" i="4" s="1"/>
  <c r="AR26" i="4"/>
  <c r="AR63" i="4"/>
  <c r="AR31" i="4"/>
  <c r="AR62" i="4"/>
  <c r="AS36" i="4"/>
  <c r="AR24" i="4"/>
  <c r="AR30" i="4"/>
  <c r="AR64" i="4"/>
  <c r="AR65" i="4"/>
  <c r="AR171" i="4" s="1"/>
  <c r="AR25" i="4"/>
  <c r="AR29" i="4"/>
  <c r="AH26" i="8"/>
  <c r="L26" i="8"/>
  <c r="AI26" i="4"/>
  <c r="J26" i="4"/>
  <c r="H26" i="4"/>
  <c r="W26" i="8"/>
  <c r="S26" i="8"/>
  <c r="H26" i="8"/>
  <c r="AH26" i="4"/>
  <c r="AD26" i="8"/>
  <c r="K26" i="8"/>
  <c r="V26" i="4"/>
  <c r="R26" i="8"/>
  <c r="P26" i="4"/>
  <c r="AK26" i="4"/>
  <c r="AG26" i="4"/>
  <c r="AF26" i="4"/>
  <c r="O26" i="4"/>
  <c r="Y26" i="4"/>
  <c r="U26" i="4"/>
  <c r="I26" i="8"/>
  <c r="AC26" i="8"/>
  <c r="O26" i="8"/>
  <c r="AK26" i="8"/>
  <c r="U26" i="8"/>
  <c r="Y26" i="8"/>
  <c r="Q26" i="8"/>
  <c r="AJ26" i="4"/>
  <c r="K26" i="4"/>
  <c r="I26" i="4"/>
  <c r="W26" i="4"/>
  <c r="M26" i="4"/>
  <c r="X26" i="8"/>
  <c r="T26" i="8"/>
  <c r="M26" i="8"/>
  <c r="AM26" i="4"/>
  <c r="Z26" i="4"/>
  <c r="R26" i="4"/>
  <c r="Q26" i="4"/>
  <c r="AC26" i="4"/>
  <c r="AB26" i="4"/>
  <c r="L26" i="4"/>
  <c r="AE26" i="8"/>
  <c r="AB26" i="8"/>
  <c r="AE26" i="4"/>
  <c r="AA26" i="4"/>
  <c r="X26" i="4"/>
  <c r="T26" i="4"/>
  <c r="N26" i="4"/>
  <c r="AD26" i="4"/>
  <c r="Z26" i="8"/>
  <c r="AI26" i="8"/>
  <c r="AA26" i="8"/>
  <c r="AM26" i="8"/>
  <c r="AJ26" i="8"/>
  <c r="P26" i="8"/>
  <c r="AL26" i="4"/>
  <c r="AL26" i="8"/>
  <c r="S26" i="4"/>
  <c r="AG26" i="8"/>
  <c r="AF26" i="8"/>
  <c r="N26" i="8"/>
  <c r="V26" i="8"/>
  <c r="J26" i="8"/>
  <c r="R25" i="8"/>
  <c r="M25" i="8"/>
  <c r="AI25" i="4"/>
  <c r="J25" i="4"/>
  <c r="I25" i="8"/>
  <c r="K25" i="4"/>
  <c r="AG25" i="4"/>
  <c r="Z25" i="4"/>
  <c r="U25" i="4"/>
  <c r="M25" i="4"/>
  <c r="AB25" i="8"/>
  <c r="N25" i="8"/>
  <c r="AL25" i="4"/>
  <c r="AL25" i="8"/>
  <c r="AJ25" i="8"/>
  <c r="AI25" i="8"/>
  <c r="Z25" i="8"/>
  <c r="AD25" i="4"/>
  <c r="Q25" i="8"/>
  <c r="Q25" i="4"/>
  <c r="AC25" i="4"/>
  <c r="AM25" i="8"/>
  <c r="X25" i="8"/>
  <c r="AK25" i="4"/>
  <c r="AH25" i="4"/>
  <c r="AA25" i="4"/>
  <c r="Y25" i="4"/>
  <c r="V25" i="4"/>
  <c r="R25" i="4"/>
  <c r="H25" i="4"/>
  <c r="O25" i="8"/>
  <c r="AF25" i="8"/>
  <c r="AC25" i="8"/>
  <c r="L25" i="8"/>
  <c r="N25" i="4"/>
  <c r="AE25" i="8"/>
  <c r="AG25" i="8"/>
  <c r="T25" i="8"/>
  <c r="AJ25" i="4"/>
  <c r="X25" i="4"/>
  <c r="AH25" i="8"/>
  <c r="W25" i="8"/>
  <c r="K25" i="8"/>
  <c r="AM25" i="4"/>
  <c r="AF25" i="4"/>
  <c r="AB25" i="4"/>
  <c r="I25" i="4"/>
  <c r="AK25" i="8"/>
  <c r="P25" i="8"/>
  <c r="H25" i="8"/>
  <c r="W25" i="4"/>
  <c r="AA25" i="8"/>
  <c r="Y25" i="8"/>
  <c r="S25" i="8"/>
  <c r="T25" i="4"/>
  <c r="P25" i="4"/>
  <c r="AD25" i="8"/>
  <c r="U25" i="8"/>
  <c r="J25" i="8"/>
  <c r="S25" i="4"/>
  <c r="O25" i="4"/>
  <c r="L25" i="4"/>
  <c r="AE25" i="4"/>
  <c r="V25" i="8"/>
  <c r="AE24" i="8"/>
  <c r="T24" i="8"/>
  <c r="AK24" i="4"/>
  <c r="AI24" i="4"/>
  <c r="AC24" i="4"/>
  <c r="Y24" i="4"/>
  <c r="T24" i="4"/>
  <c r="N24" i="4"/>
  <c r="AL24" i="4"/>
  <c r="AJ24" i="4"/>
  <c r="X24" i="4"/>
  <c r="P24" i="4"/>
  <c r="M24" i="4"/>
  <c r="K24" i="4"/>
  <c r="AD24" i="4"/>
  <c r="R24" i="4"/>
  <c r="W24" i="8"/>
  <c r="Q24" i="4"/>
  <c r="AC24" i="8"/>
  <c r="V24" i="8"/>
  <c r="J24" i="4"/>
  <c r="H24" i="4"/>
  <c r="O24" i="4"/>
  <c r="AK24" i="8"/>
  <c r="AH24" i="8"/>
  <c r="Y24" i="8"/>
  <c r="Z24" i="8"/>
  <c r="Q24" i="8"/>
  <c r="M24" i="8"/>
  <c r="AM24" i="4"/>
  <c r="AE24" i="4"/>
  <c r="AB24" i="4"/>
  <c r="J24" i="8"/>
  <c r="AL24" i="8"/>
  <c r="H24" i="8"/>
  <c r="AH24" i="4"/>
  <c r="Z24" i="4"/>
  <c r="V24" i="4"/>
  <c r="S24" i="4"/>
  <c r="O24" i="8"/>
  <c r="AJ24" i="8"/>
  <c r="X24" i="8"/>
  <c r="U24" i="8"/>
  <c r="S24" i="8"/>
  <c r="AB24" i="8"/>
  <c r="L24" i="8"/>
  <c r="P24" i="8"/>
  <c r="AD24" i="8"/>
  <c r="N24" i="8"/>
  <c r="AG24" i="4"/>
  <c r="W24" i="4"/>
  <c r="U24" i="4"/>
  <c r="AF24" i="4"/>
  <c r="L24" i="4"/>
  <c r="AM24" i="8"/>
  <c r="I24" i="8"/>
  <c r="AA24" i="8"/>
  <c r="R24" i="8"/>
  <c r="I24" i="4"/>
  <c r="AF24" i="8"/>
  <c r="K24" i="8"/>
  <c r="AA24" i="4"/>
  <c r="AG24" i="8"/>
  <c r="AI24" i="8"/>
  <c r="G89" i="3"/>
  <c r="G26" i="8"/>
  <c r="D26" i="8"/>
  <c r="F26" i="8"/>
  <c r="E26" i="8"/>
  <c r="C26" i="8"/>
  <c r="G84" i="3"/>
  <c r="F25" i="8"/>
  <c r="E25" i="8"/>
  <c r="D25" i="8"/>
  <c r="C25" i="8"/>
  <c r="G25" i="8"/>
  <c r="G79" i="3"/>
  <c r="D24" i="8"/>
  <c r="C24" i="8"/>
  <c r="G24" i="8"/>
  <c r="F24" i="8"/>
  <c r="E24" i="8"/>
  <c r="G22" i="8"/>
  <c r="F22" i="8"/>
  <c r="E22" i="8"/>
  <c r="D22" i="8"/>
  <c r="C22" i="8"/>
  <c r="C5" i="8"/>
  <c r="C41" i="8"/>
  <c r="C13" i="8"/>
  <c r="C196" i="8"/>
  <c r="C40" i="8"/>
  <c r="C11" i="8"/>
  <c r="C12" i="8" s="1"/>
  <c r="C6" i="8"/>
  <c r="C39" i="8"/>
  <c r="C17" i="8"/>
  <c r="C43" i="8"/>
  <c r="C16" i="8"/>
  <c r="C45" i="8"/>
  <c r="C44" i="8"/>
  <c r="C15" i="8"/>
  <c r="F160" i="8"/>
  <c r="G54" i="8"/>
  <c r="H54" i="8" s="1"/>
  <c r="C166" i="3"/>
  <c r="C168" i="3"/>
  <c r="C167" i="3"/>
  <c r="E1" i="8"/>
  <c r="C24" i="4"/>
  <c r="C26" i="4"/>
  <c r="C25" i="4"/>
  <c r="D3" i="8"/>
  <c r="D2" i="8"/>
  <c r="H160" i="8" l="1"/>
  <c r="I54" i="8"/>
  <c r="AT35" i="8"/>
  <c r="AS24" i="8"/>
  <c r="AS29" i="8"/>
  <c r="AS60" i="8"/>
  <c r="AS166" i="8" s="1"/>
  <c r="AS65" i="8"/>
  <c r="AS171" i="8" s="1"/>
  <c r="AT34" i="8"/>
  <c r="AS26" i="8"/>
  <c r="AT38" i="8"/>
  <c r="AS31" i="8"/>
  <c r="AT1" i="8"/>
  <c r="AT36" i="8"/>
  <c r="AS63" i="8"/>
  <c r="AS25" i="8"/>
  <c r="AS30" i="8"/>
  <c r="AS22" i="8"/>
  <c r="AT32" i="8"/>
  <c r="AS64" i="8"/>
  <c r="AS62" i="8"/>
  <c r="AS27" i="8"/>
  <c r="AT1" i="4"/>
  <c r="AS24" i="4"/>
  <c r="AS29" i="4"/>
  <c r="AS60" i="4"/>
  <c r="AS166" i="4" s="1"/>
  <c r="AT34" i="4"/>
  <c r="AS22" i="4"/>
  <c r="AS30" i="4"/>
  <c r="AT32" i="4"/>
  <c r="AS64" i="4"/>
  <c r="AT35" i="4"/>
  <c r="AT38" i="4"/>
  <c r="AS63" i="4"/>
  <c r="AS65" i="4"/>
  <c r="AS171" i="4" s="1"/>
  <c r="AS26" i="4"/>
  <c r="AT36" i="4"/>
  <c r="AS31" i="4"/>
  <c r="AS25" i="4"/>
  <c r="AS62" i="4"/>
  <c r="A118" i="8"/>
  <c r="A101" i="8"/>
  <c r="A84" i="8"/>
  <c r="D5" i="8"/>
  <c r="D41" i="8"/>
  <c r="D6" i="8"/>
  <c r="D13" i="8"/>
  <c r="D196" i="8"/>
  <c r="D40" i="8"/>
  <c r="D11" i="8"/>
  <c r="D12" i="8" s="1"/>
  <c r="D39" i="8"/>
  <c r="G160" i="8"/>
  <c r="D15" i="8"/>
  <c r="D45" i="8"/>
  <c r="D16" i="8"/>
  <c r="D44" i="8"/>
  <c r="D43" i="8"/>
  <c r="D17" i="8"/>
  <c r="F1" i="8"/>
  <c r="E3" i="8"/>
  <c r="E2" i="8"/>
  <c r="A170" i="4"/>
  <c r="A169" i="4"/>
  <c r="A168" i="4"/>
  <c r="A146" i="4"/>
  <c r="A145" i="4"/>
  <c r="A144" i="4"/>
  <c r="A31" i="4"/>
  <c r="A30" i="4"/>
  <c r="A29" i="4"/>
  <c r="G93" i="3"/>
  <c r="A171" i="4"/>
  <c r="A167" i="4"/>
  <c r="A166" i="4"/>
  <c r="A165" i="4"/>
  <c r="A161" i="4"/>
  <c r="A160" i="4"/>
  <c r="A159" i="4"/>
  <c r="A41" i="4"/>
  <c r="A40" i="4"/>
  <c r="A39" i="4"/>
  <c r="D36" i="4"/>
  <c r="D35" i="4"/>
  <c r="D34" i="4"/>
  <c r="C35" i="4"/>
  <c r="C36" i="4"/>
  <c r="C34" i="4"/>
  <c r="D32" i="4"/>
  <c r="C32" i="4"/>
  <c r="C171" i="4"/>
  <c r="C10" i="4"/>
  <c r="D10" i="4" s="1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AN10" i="4" s="1"/>
  <c r="AO10" i="4" s="1"/>
  <c r="AP10" i="4" s="1"/>
  <c r="AQ10" i="4" s="1"/>
  <c r="AR10" i="4" s="1"/>
  <c r="AS10" i="4" s="1"/>
  <c r="AT10" i="4" s="1"/>
  <c r="AU10" i="4" s="1"/>
  <c r="AV10" i="4" s="1"/>
  <c r="AW10" i="4" s="1"/>
  <c r="C9" i="4"/>
  <c r="D9" i="4" s="1"/>
  <c r="E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W9" i="4" s="1"/>
  <c r="D57" i="4"/>
  <c r="E57" i="4" s="1"/>
  <c r="F57" i="4" s="1"/>
  <c r="G57" i="4" s="1"/>
  <c r="H57" i="4" s="1"/>
  <c r="I57" i="4" s="1"/>
  <c r="J57" i="4" s="1"/>
  <c r="K57" i="4" s="1"/>
  <c r="L57" i="4" s="1"/>
  <c r="M57" i="4" s="1"/>
  <c r="N57" i="4" s="1"/>
  <c r="O57" i="4" s="1"/>
  <c r="P57" i="4" s="1"/>
  <c r="Q57" i="4" s="1"/>
  <c r="R57" i="4" s="1"/>
  <c r="S57" i="4" s="1"/>
  <c r="T57" i="4" s="1"/>
  <c r="U57" i="4" s="1"/>
  <c r="V57" i="4" s="1"/>
  <c r="W57" i="4" s="1"/>
  <c r="X57" i="4" s="1"/>
  <c r="Y57" i="4" s="1"/>
  <c r="Z57" i="4" s="1"/>
  <c r="AA57" i="4" s="1"/>
  <c r="AB57" i="4" s="1"/>
  <c r="AC57" i="4" s="1"/>
  <c r="AD57" i="4" s="1"/>
  <c r="AE57" i="4" s="1"/>
  <c r="AF57" i="4" s="1"/>
  <c r="AG57" i="4" s="1"/>
  <c r="AH57" i="4" s="1"/>
  <c r="AI57" i="4" s="1"/>
  <c r="AJ57" i="4" s="1"/>
  <c r="AK57" i="4" s="1"/>
  <c r="AL57" i="4" s="1"/>
  <c r="AM57" i="4" s="1"/>
  <c r="AN57" i="4" s="1"/>
  <c r="AO57" i="4" s="1"/>
  <c r="AP57" i="4" s="1"/>
  <c r="AQ57" i="4" s="1"/>
  <c r="AR57" i="4" s="1"/>
  <c r="AS57" i="4" s="1"/>
  <c r="AT57" i="4" s="1"/>
  <c r="AU57" i="4" s="1"/>
  <c r="AV57" i="4" s="1"/>
  <c r="AW57" i="4" s="1"/>
  <c r="D1" i="4"/>
  <c r="C8" i="4"/>
  <c r="D8" i="4" s="1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AL8" i="4" s="1"/>
  <c r="AM8" i="4" s="1"/>
  <c r="AN8" i="4" s="1"/>
  <c r="AO8" i="4" s="1"/>
  <c r="AP8" i="4" s="1"/>
  <c r="AQ8" i="4" s="1"/>
  <c r="AR8" i="4" s="1"/>
  <c r="AS8" i="4" s="1"/>
  <c r="AT8" i="4" s="1"/>
  <c r="AU8" i="4" s="1"/>
  <c r="AV8" i="4" s="1"/>
  <c r="AW8" i="4" s="1"/>
  <c r="C21" i="4"/>
  <c r="C74" i="4"/>
  <c r="C49" i="4"/>
  <c r="D56" i="4"/>
  <c r="E56" i="4" s="1"/>
  <c r="F56" i="4" s="1"/>
  <c r="G56" i="4" s="1"/>
  <c r="H56" i="4" s="1"/>
  <c r="I56" i="4" s="1"/>
  <c r="J56" i="4" s="1"/>
  <c r="K56" i="4" s="1"/>
  <c r="L56" i="4" s="1"/>
  <c r="M56" i="4" s="1"/>
  <c r="N56" i="4" s="1"/>
  <c r="O56" i="4" s="1"/>
  <c r="P56" i="4" s="1"/>
  <c r="Q56" i="4" s="1"/>
  <c r="R56" i="4" s="1"/>
  <c r="S56" i="4" s="1"/>
  <c r="T56" i="4" s="1"/>
  <c r="U56" i="4" s="1"/>
  <c r="V56" i="4" s="1"/>
  <c r="W56" i="4" s="1"/>
  <c r="X56" i="4" s="1"/>
  <c r="Y56" i="4" s="1"/>
  <c r="Z56" i="4" s="1"/>
  <c r="AA56" i="4" s="1"/>
  <c r="AB56" i="4" s="1"/>
  <c r="AC56" i="4" s="1"/>
  <c r="AD56" i="4" s="1"/>
  <c r="AE56" i="4" s="1"/>
  <c r="AF56" i="4" s="1"/>
  <c r="AG56" i="4" s="1"/>
  <c r="AH56" i="4" s="1"/>
  <c r="AI56" i="4" s="1"/>
  <c r="AJ56" i="4" s="1"/>
  <c r="AK56" i="4" s="1"/>
  <c r="AL56" i="4" s="1"/>
  <c r="AM56" i="4" s="1"/>
  <c r="AN56" i="4" s="1"/>
  <c r="AO56" i="4" s="1"/>
  <c r="AP56" i="4" s="1"/>
  <c r="AQ56" i="4" s="1"/>
  <c r="AR56" i="4" s="1"/>
  <c r="AS56" i="4" s="1"/>
  <c r="AT56" i="4" s="1"/>
  <c r="AU56" i="4" s="1"/>
  <c r="AV56" i="4" s="1"/>
  <c r="AW56" i="4" s="1"/>
  <c r="AN27" i="4" l="1"/>
  <c r="AN27" i="8"/>
  <c r="AW27" i="8"/>
  <c r="AW27" i="4"/>
  <c r="AO27" i="8"/>
  <c r="AO27" i="4"/>
  <c r="AP27" i="8"/>
  <c r="AP27" i="4"/>
  <c r="AQ27" i="8"/>
  <c r="AQ27" i="4"/>
  <c r="AR27" i="4"/>
  <c r="AR27" i="8"/>
  <c r="AS27" i="4"/>
  <c r="I160" i="8"/>
  <c r="J54" i="8"/>
  <c r="AT24" i="4"/>
  <c r="AT29" i="4"/>
  <c r="AU34" i="4"/>
  <c r="AT25" i="4"/>
  <c r="AT63" i="4"/>
  <c r="AT30" i="4"/>
  <c r="AU32" i="4"/>
  <c r="AT64" i="4"/>
  <c r="AU1" i="4"/>
  <c r="AT60" i="4"/>
  <c r="AT166" i="4" s="1"/>
  <c r="AU35" i="4"/>
  <c r="AU38" i="4"/>
  <c r="AT65" i="4"/>
  <c r="AT171" i="4" s="1"/>
  <c r="AT22" i="4"/>
  <c r="AT26" i="4"/>
  <c r="AU36" i="4"/>
  <c r="AT27" i="4"/>
  <c r="AT31" i="4"/>
  <c r="AT62" i="4"/>
  <c r="AT25" i="8"/>
  <c r="AT30" i="8"/>
  <c r="AT62" i="8"/>
  <c r="AU35" i="8"/>
  <c r="AT24" i="8"/>
  <c r="AT29" i="8"/>
  <c r="AT60" i="8"/>
  <c r="AT166" i="8" s="1"/>
  <c r="AT65" i="8"/>
  <c r="AT171" i="8" s="1"/>
  <c r="AT63" i="8"/>
  <c r="AT26" i="8"/>
  <c r="AU38" i="8"/>
  <c r="AU1" i="8"/>
  <c r="AU36" i="8"/>
  <c r="AT22" i="8"/>
  <c r="AU32" i="8"/>
  <c r="AT27" i="8"/>
  <c r="AT64" i="8"/>
  <c r="AT31" i="8"/>
  <c r="AU34" i="8"/>
  <c r="AE27" i="8"/>
  <c r="V27" i="8"/>
  <c r="P27" i="8"/>
  <c r="L27" i="8"/>
  <c r="X27" i="4"/>
  <c r="AH27" i="4"/>
  <c r="AH27" i="8"/>
  <c r="AC27" i="8"/>
  <c r="N27" i="8"/>
  <c r="W27" i="8"/>
  <c r="Q27" i="8"/>
  <c r="AB27" i="4"/>
  <c r="AC27" i="4"/>
  <c r="U27" i="8"/>
  <c r="K27" i="8"/>
  <c r="W27" i="4"/>
  <c r="P27" i="4"/>
  <c r="AI27" i="4"/>
  <c r="M27" i="4"/>
  <c r="AJ27" i="8"/>
  <c r="AD27" i="8"/>
  <c r="Y27" i="8"/>
  <c r="U27" i="4"/>
  <c r="L27" i="4"/>
  <c r="R27" i="8"/>
  <c r="I27" i="8"/>
  <c r="Q27" i="4"/>
  <c r="Z27" i="8"/>
  <c r="AK27" i="8"/>
  <c r="AL27" i="4"/>
  <c r="V27" i="4"/>
  <c r="X27" i="8"/>
  <c r="AB27" i="8"/>
  <c r="AK27" i="4"/>
  <c r="R27" i="4"/>
  <c r="AJ27" i="4"/>
  <c r="AA27" i="4"/>
  <c r="N27" i="4"/>
  <c r="T27" i="8"/>
  <c r="AF27" i="4"/>
  <c r="Z27" i="4"/>
  <c r="O27" i="8"/>
  <c r="S27" i="8"/>
  <c r="AM27" i="8"/>
  <c r="AD27" i="4"/>
  <c r="T27" i="4"/>
  <c r="AL27" i="8"/>
  <c r="AA27" i="8"/>
  <c r="S27" i="4"/>
  <c r="H27" i="8"/>
  <c r="M27" i="8"/>
  <c r="Y27" i="4"/>
  <c r="AM27" i="4"/>
  <c r="AE27" i="4"/>
  <c r="J27" i="4"/>
  <c r="O27" i="4"/>
  <c r="I27" i="4"/>
  <c r="H27" i="4"/>
  <c r="K27" i="4"/>
  <c r="AG27" i="4"/>
  <c r="AI27" i="8"/>
  <c r="J27" i="8"/>
  <c r="AG27" i="8"/>
  <c r="AF27" i="8"/>
  <c r="G27" i="8"/>
  <c r="F27" i="8"/>
  <c r="E27" i="8"/>
  <c r="D27" i="8"/>
  <c r="D46" i="8" s="1"/>
  <c r="C27" i="8"/>
  <c r="C46" i="8" s="1"/>
  <c r="C18" i="8" s="1"/>
  <c r="C19" i="8" s="1"/>
  <c r="C48" i="8" s="1"/>
  <c r="C50" i="8" s="1"/>
  <c r="D49" i="8" s="1"/>
  <c r="C85" i="8"/>
  <c r="B92" i="8"/>
  <c r="B109" i="8"/>
  <c r="C102" i="8"/>
  <c r="B126" i="8"/>
  <c r="C119" i="8"/>
  <c r="E41" i="8"/>
  <c r="E6" i="8"/>
  <c r="E196" i="8"/>
  <c r="E40" i="8"/>
  <c r="E11" i="8"/>
  <c r="E12" i="8" s="1"/>
  <c r="E13" i="8"/>
  <c r="E39" i="8"/>
  <c r="E5" i="8"/>
  <c r="E44" i="8"/>
  <c r="E45" i="8"/>
  <c r="E16" i="8"/>
  <c r="E15" i="8"/>
  <c r="E43" i="8"/>
  <c r="E17" i="8"/>
  <c r="D60" i="4"/>
  <c r="D166" i="4" s="1"/>
  <c r="D65" i="4"/>
  <c r="D171" i="4" s="1"/>
  <c r="D62" i="4"/>
  <c r="D63" i="4"/>
  <c r="D64" i="4"/>
  <c r="A84" i="4"/>
  <c r="B92" i="4" s="1"/>
  <c r="A139" i="4" s="1"/>
  <c r="A118" i="4"/>
  <c r="A101" i="4"/>
  <c r="B109" i="4" s="1"/>
  <c r="A140" i="4" s="1"/>
  <c r="G1" i="8"/>
  <c r="D31" i="4"/>
  <c r="D30" i="4"/>
  <c r="D29" i="4"/>
  <c r="D24" i="4"/>
  <c r="D26" i="4"/>
  <c r="D25" i="4"/>
  <c r="C40" i="4"/>
  <c r="C41" i="4"/>
  <c r="C5" i="4"/>
  <c r="C196" i="4"/>
  <c r="F3" i="8"/>
  <c r="F2" i="8"/>
  <c r="G94" i="3"/>
  <c r="G16" i="3"/>
  <c r="E36" i="4"/>
  <c r="D54" i="4"/>
  <c r="D160" i="4" s="1"/>
  <c r="D58" i="4"/>
  <c r="C166" i="4"/>
  <c r="C45" i="4"/>
  <c r="C44" i="4"/>
  <c r="C15" i="4"/>
  <c r="C43" i="4"/>
  <c r="C17" i="4"/>
  <c r="C16" i="4"/>
  <c r="D2" i="4"/>
  <c r="A191" i="4"/>
  <c r="A192" i="4"/>
  <c r="A193" i="4"/>
  <c r="A154" i="4"/>
  <c r="A156" i="4"/>
  <c r="A155" i="4"/>
  <c r="A162" i="4"/>
  <c r="A163" i="4"/>
  <c r="A164" i="4"/>
  <c r="C160" i="4"/>
  <c r="E34" i="4"/>
  <c r="E35" i="4"/>
  <c r="E32" i="4"/>
  <c r="E1" i="4"/>
  <c r="D3" i="4"/>
  <c r="C13" i="4"/>
  <c r="C27" i="4"/>
  <c r="D27" i="4"/>
  <c r="D59" i="4"/>
  <c r="E59" i="4" s="1"/>
  <c r="F59" i="4" s="1"/>
  <c r="G59" i="4" s="1"/>
  <c r="H59" i="4" s="1"/>
  <c r="I59" i="4" s="1"/>
  <c r="J59" i="4" s="1"/>
  <c r="K59" i="4" s="1"/>
  <c r="L59" i="4" s="1"/>
  <c r="M59" i="4" s="1"/>
  <c r="N59" i="4" s="1"/>
  <c r="O59" i="4" s="1"/>
  <c r="P59" i="4" s="1"/>
  <c r="Q59" i="4" s="1"/>
  <c r="R59" i="4" s="1"/>
  <c r="S59" i="4" s="1"/>
  <c r="T59" i="4" s="1"/>
  <c r="U59" i="4" s="1"/>
  <c r="V59" i="4" s="1"/>
  <c r="W59" i="4" s="1"/>
  <c r="X59" i="4" s="1"/>
  <c r="Y59" i="4" s="1"/>
  <c r="Z59" i="4" s="1"/>
  <c r="AA59" i="4" s="1"/>
  <c r="AB59" i="4" s="1"/>
  <c r="AC59" i="4" s="1"/>
  <c r="AD59" i="4" s="1"/>
  <c r="AE59" i="4" s="1"/>
  <c r="AF59" i="4" s="1"/>
  <c r="AG59" i="4" s="1"/>
  <c r="AH59" i="4" s="1"/>
  <c r="AI59" i="4" s="1"/>
  <c r="AJ59" i="4" s="1"/>
  <c r="AK59" i="4" s="1"/>
  <c r="AL59" i="4" s="1"/>
  <c r="AM59" i="4" s="1"/>
  <c r="AN59" i="4" s="1"/>
  <c r="AO59" i="4" s="1"/>
  <c r="AP59" i="4" s="1"/>
  <c r="AQ59" i="4" s="1"/>
  <c r="AR59" i="4" s="1"/>
  <c r="AS59" i="4" s="1"/>
  <c r="AT59" i="4" s="1"/>
  <c r="AU59" i="4" s="1"/>
  <c r="AV59" i="4" s="1"/>
  <c r="AW59" i="4" s="1"/>
  <c r="C22" i="4"/>
  <c r="D22" i="4"/>
  <c r="C6" i="4"/>
  <c r="C11" i="4"/>
  <c r="J160" i="8" l="1"/>
  <c r="K54" i="8"/>
  <c r="AV35" i="4"/>
  <c r="AU24" i="4"/>
  <c r="AU29" i="4"/>
  <c r="AU60" i="4"/>
  <c r="AU166" i="4" s="1"/>
  <c r="AV34" i="4"/>
  <c r="AU27" i="4"/>
  <c r="AU25" i="4"/>
  <c r="AU30" i="4"/>
  <c r="AV32" i="4"/>
  <c r="AU64" i="4"/>
  <c r="AV38" i="4"/>
  <c r="AV1" i="4"/>
  <c r="AU63" i="4"/>
  <c r="AU65" i="4"/>
  <c r="AU171" i="4" s="1"/>
  <c r="AV36" i="4"/>
  <c r="AU31" i="4"/>
  <c r="AU22" i="4"/>
  <c r="AU26" i="4"/>
  <c r="AU62" i="4"/>
  <c r="AU25" i="8"/>
  <c r="AU30" i="8"/>
  <c r="AU62" i="8"/>
  <c r="AV35" i="8"/>
  <c r="AV32" i="8"/>
  <c r="AU65" i="8"/>
  <c r="AU171" i="8" s="1"/>
  <c r="AU29" i="8"/>
  <c r="AU63" i="8"/>
  <c r="AU26" i="8"/>
  <c r="AV1" i="8"/>
  <c r="AV36" i="8"/>
  <c r="AU60" i="8"/>
  <c r="AU166" i="8" s="1"/>
  <c r="AU22" i="8"/>
  <c r="AU24" i="8"/>
  <c r="AU64" i="8"/>
  <c r="AU31" i="8"/>
  <c r="AU27" i="8"/>
  <c r="AV38" i="8"/>
  <c r="AV34" i="8"/>
  <c r="D18" i="8"/>
  <c r="D19" i="8" s="1"/>
  <c r="D48" i="8" s="1"/>
  <c r="D50" i="8" s="1"/>
  <c r="D53" i="8" s="1"/>
  <c r="C53" i="8"/>
  <c r="C68" i="8" s="1"/>
  <c r="A151" i="8"/>
  <c r="A141" i="8"/>
  <c r="A149" i="8"/>
  <c r="A139" i="8"/>
  <c r="C125" i="8"/>
  <c r="C124" i="8"/>
  <c r="C107" i="8"/>
  <c r="C108" i="8"/>
  <c r="A140" i="8"/>
  <c r="A150" i="8"/>
  <c r="C91" i="8"/>
  <c r="C90" i="8"/>
  <c r="F41" i="8"/>
  <c r="F6" i="8"/>
  <c r="F13" i="8"/>
  <c r="F196" i="8"/>
  <c r="F40" i="8"/>
  <c r="F11" i="8"/>
  <c r="F12" i="8" s="1"/>
  <c r="F39" i="8"/>
  <c r="F5" i="8"/>
  <c r="E46" i="8"/>
  <c r="F16" i="8"/>
  <c r="F44" i="8"/>
  <c r="F15" i="8"/>
  <c r="F43" i="8"/>
  <c r="F45" i="8"/>
  <c r="F17" i="8"/>
  <c r="E60" i="4"/>
  <c r="E166" i="4" s="1"/>
  <c r="E65" i="4"/>
  <c r="E171" i="4" s="1"/>
  <c r="E64" i="4"/>
  <c r="E63" i="4"/>
  <c r="E62" i="4"/>
  <c r="C12" i="4"/>
  <c r="E31" i="4"/>
  <c r="E30" i="4"/>
  <c r="E29" i="4"/>
  <c r="E24" i="4"/>
  <c r="E26" i="4"/>
  <c r="E25" i="4"/>
  <c r="D40" i="4"/>
  <c r="D41" i="4"/>
  <c r="D5" i="4"/>
  <c r="C102" i="4"/>
  <c r="C107" i="4" s="1"/>
  <c r="A149" i="4"/>
  <c r="C85" i="4"/>
  <c r="C91" i="4" s="1"/>
  <c r="G2" i="8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G2" i="8" s="1"/>
  <c r="AH2" i="8" s="1"/>
  <c r="AI2" i="8" s="1"/>
  <c r="AJ2" i="8" s="1"/>
  <c r="AK2" i="8" s="1"/>
  <c r="AL2" i="8" s="1"/>
  <c r="AM2" i="8" s="1"/>
  <c r="AN2" i="8" s="1"/>
  <c r="G3" i="8"/>
  <c r="H3" i="8" s="1"/>
  <c r="D6" i="4"/>
  <c r="B126" i="4"/>
  <c r="A151" i="4" s="1"/>
  <c r="C119" i="4"/>
  <c r="E54" i="4"/>
  <c r="E58" i="4"/>
  <c r="D44" i="4"/>
  <c r="D43" i="4"/>
  <c r="D45" i="4"/>
  <c r="A150" i="4"/>
  <c r="D13" i="4"/>
  <c r="D196" i="4"/>
  <c r="E2" i="4"/>
  <c r="D17" i="4"/>
  <c r="D15" i="4"/>
  <c r="D16" i="4"/>
  <c r="E22" i="4"/>
  <c r="E27" i="4"/>
  <c r="F35" i="4"/>
  <c r="F34" i="4"/>
  <c r="F32" i="4"/>
  <c r="F36" i="4"/>
  <c r="D11" i="4"/>
  <c r="D12" i="4" s="1"/>
  <c r="E3" i="4"/>
  <c r="F1" i="4"/>
  <c r="F38" i="4"/>
  <c r="C38" i="4"/>
  <c r="C39" i="4" s="1"/>
  <c r="E38" i="4"/>
  <c r="D38" i="4"/>
  <c r="D39" i="4" s="1"/>
  <c r="K160" i="8" l="1"/>
  <c r="L54" i="8"/>
  <c r="H5" i="8"/>
  <c r="H41" i="8"/>
  <c r="H13" i="8"/>
  <c r="H11" i="8"/>
  <c r="H12" i="8" s="1"/>
  <c r="H40" i="8"/>
  <c r="H6" i="8"/>
  <c r="I3" i="8"/>
  <c r="H196" i="8"/>
  <c r="H39" i="8"/>
  <c r="AV25" i="8"/>
  <c r="AV30" i="8"/>
  <c r="AV62" i="8"/>
  <c r="AV24" i="8"/>
  <c r="AV65" i="8"/>
  <c r="AV171" i="8" s="1"/>
  <c r="AV29" i="8"/>
  <c r="AV63" i="8"/>
  <c r="AV22" i="8"/>
  <c r="AV31" i="8"/>
  <c r="AV60" i="8"/>
  <c r="AV166" i="8" s="1"/>
  <c r="AV26" i="8"/>
  <c r="AV27" i="8"/>
  <c r="AV64" i="8"/>
  <c r="AN16" i="8"/>
  <c r="AN43" i="8"/>
  <c r="AN15" i="8"/>
  <c r="AN44" i="8"/>
  <c r="AO2" i="8"/>
  <c r="AN17" i="8"/>
  <c r="AN45" i="8"/>
  <c r="AV25" i="4"/>
  <c r="AV30" i="4"/>
  <c r="AV62" i="4"/>
  <c r="AV24" i="4"/>
  <c r="AV29" i="4"/>
  <c r="AV60" i="4"/>
  <c r="AV166" i="4" s="1"/>
  <c r="AV22" i="4"/>
  <c r="AV65" i="4"/>
  <c r="AV171" i="4" s="1"/>
  <c r="AV27" i="4"/>
  <c r="AV64" i="4"/>
  <c r="AV63" i="4"/>
  <c r="AV26" i="4"/>
  <c r="AV31" i="4"/>
  <c r="AM17" i="8"/>
  <c r="AM16" i="8"/>
  <c r="AM15" i="8"/>
  <c r="AM45" i="8"/>
  <c r="AM44" i="8"/>
  <c r="AM43" i="8"/>
  <c r="AL17" i="8"/>
  <c r="AL16" i="8"/>
  <c r="AL15" i="8"/>
  <c r="AL45" i="8"/>
  <c r="AL44" i="8"/>
  <c r="AL43" i="8"/>
  <c r="AK45" i="8"/>
  <c r="AK17" i="8"/>
  <c r="AK16" i="8"/>
  <c r="AK15" i="8"/>
  <c r="AK44" i="8"/>
  <c r="AK43" i="8"/>
  <c r="AJ15" i="8"/>
  <c r="AJ17" i="8"/>
  <c r="AJ45" i="8"/>
  <c r="AJ16" i="8"/>
  <c r="AJ44" i="8"/>
  <c r="AJ43" i="8"/>
  <c r="AI16" i="8"/>
  <c r="AI17" i="8"/>
  <c r="AI15" i="8"/>
  <c r="AI45" i="8"/>
  <c r="AI44" i="8"/>
  <c r="AI43" i="8"/>
  <c r="AH17" i="8"/>
  <c r="AH45" i="8"/>
  <c r="AH16" i="8"/>
  <c r="AH15" i="8"/>
  <c r="AH44" i="8"/>
  <c r="AH43" i="8"/>
  <c r="AG17" i="8"/>
  <c r="AG16" i="8"/>
  <c r="AG15" i="8"/>
  <c r="AG45" i="8"/>
  <c r="AG44" i="8"/>
  <c r="AG43" i="8"/>
  <c r="AF16" i="8"/>
  <c r="AF17" i="8"/>
  <c r="AF15" i="8"/>
  <c r="AF45" i="8"/>
  <c r="AF44" i="8"/>
  <c r="AF43" i="8"/>
  <c r="AE17" i="8"/>
  <c r="AE16" i="8"/>
  <c r="AE15" i="8"/>
  <c r="AE45" i="8"/>
  <c r="AE44" i="8"/>
  <c r="AE43" i="8"/>
  <c r="AD17" i="8"/>
  <c r="AD16" i="8"/>
  <c r="AD15" i="8"/>
  <c r="AD45" i="8"/>
  <c r="AD44" i="8"/>
  <c r="AD43" i="8"/>
  <c r="AC17" i="8"/>
  <c r="AC16" i="8"/>
  <c r="AC15" i="8"/>
  <c r="AC45" i="8"/>
  <c r="AC44" i="8"/>
  <c r="AC43" i="8"/>
  <c r="AB15" i="8"/>
  <c r="AB17" i="8"/>
  <c r="AB16" i="8"/>
  <c r="AB45" i="8"/>
  <c r="AB44" i="8"/>
  <c r="AB43" i="8"/>
  <c r="AA17" i="8"/>
  <c r="AA16" i="8"/>
  <c r="AA15" i="8"/>
  <c r="AA45" i="8"/>
  <c r="AA44" i="8"/>
  <c r="AA43" i="8"/>
  <c r="Z15" i="8"/>
  <c r="Z17" i="8"/>
  <c r="Z16" i="8"/>
  <c r="Z45" i="8"/>
  <c r="Z44" i="8"/>
  <c r="Z43" i="8"/>
  <c r="Y44" i="8"/>
  <c r="Y17" i="8"/>
  <c r="Y45" i="8"/>
  <c r="Y16" i="8"/>
  <c r="Y15" i="8"/>
  <c r="Y43" i="8"/>
  <c r="X17" i="8"/>
  <c r="X15" i="8"/>
  <c r="X16" i="8"/>
  <c r="X45" i="8"/>
  <c r="X44" i="8"/>
  <c r="X43" i="8"/>
  <c r="W17" i="8"/>
  <c r="W16" i="8"/>
  <c r="W15" i="8"/>
  <c r="W45" i="8"/>
  <c r="W44" i="8"/>
  <c r="W43" i="8"/>
  <c r="V16" i="8"/>
  <c r="V17" i="8"/>
  <c r="V15" i="8"/>
  <c r="V45" i="8"/>
  <c r="V44" i="8"/>
  <c r="V43" i="8"/>
  <c r="U17" i="8"/>
  <c r="U15" i="8"/>
  <c r="U16" i="8"/>
  <c r="U45" i="8"/>
  <c r="U44" i="8"/>
  <c r="U43" i="8"/>
  <c r="T17" i="8"/>
  <c r="T16" i="8"/>
  <c r="T15" i="8"/>
  <c r="T45" i="8"/>
  <c r="T44" i="8"/>
  <c r="T43" i="8"/>
  <c r="S17" i="8"/>
  <c r="S16" i="8"/>
  <c r="S15" i="8"/>
  <c r="S45" i="8"/>
  <c r="S44" i="8"/>
  <c r="S43" i="8"/>
  <c r="R15" i="8"/>
  <c r="R17" i="8"/>
  <c r="R16" i="8"/>
  <c r="R45" i="8"/>
  <c r="R44" i="8"/>
  <c r="R43" i="8"/>
  <c r="Q17" i="8"/>
  <c r="Q16" i="8"/>
  <c r="Q15" i="8"/>
  <c r="Q45" i="8"/>
  <c r="Q44" i="8"/>
  <c r="Q43" i="8"/>
  <c r="P15" i="8"/>
  <c r="P17" i="8"/>
  <c r="P16" i="8"/>
  <c r="P45" i="8"/>
  <c r="P44" i="8"/>
  <c r="P43" i="8"/>
  <c r="O15" i="8"/>
  <c r="O45" i="8"/>
  <c r="O17" i="8"/>
  <c r="O44" i="8"/>
  <c r="O16" i="8"/>
  <c r="O43" i="8"/>
  <c r="N45" i="8"/>
  <c r="N17" i="8"/>
  <c r="N16" i="8"/>
  <c r="N15" i="8"/>
  <c r="N44" i="8"/>
  <c r="N43" i="8"/>
  <c r="M17" i="8"/>
  <c r="M16" i="8"/>
  <c r="M15" i="8"/>
  <c r="M45" i="8"/>
  <c r="M44" i="8"/>
  <c r="M43" i="8"/>
  <c r="L17" i="8"/>
  <c r="L16" i="8"/>
  <c r="L15" i="8"/>
  <c r="L45" i="8"/>
  <c r="L44" i="8"/>
  <c r="L43" i="8"/>
  <c r="K16" i="8"/>
  <c r="K43" i="8"/>
  <c r="K17" i="8"/>
  <c r="K15" i="8"/>
  <c r="K45" i="8"/>
  <c r="K44" i="8"/>
  <c r="J17" i="8"/>
  <c r="J44" i="8"/>
  <c r="J15" i="8"/>
  <c r="J45" i="8"/>
  <c r="J16" i="8"/>
  <c r="J43" i="8"/>
  <c r="I16" i="8"/>
  <c r="I17" i="8"/>
  <c r="I15" i="8"/>
  <c r="I45" i="8"/>
  <c r="I44" i="8"/>
  <c r="I43" i="8"/>
  <c r="H17" i="8"/>
  <c r="H16" i="8"/>
  <c r="H15" i="8"/>
  <c r="H45" i="8"/>
  <c r="H44" i="8"/>
  <c r="H43" i="8"/>
  <c r="E49" i="8"/>
  <c r="E18" i="8" s="1"/>
  <c r="E19" i="8" s="1"/>
  <c r="E48" i="8" s="1"/>
  <c r="E50" i="8" s="1"/>
  <c r="E53" i="8" s="1"/>
  <c r="C66" i="8"/>
  <c r="C178" i="8" s="1"/>
  <c r="C199" i="8" s="1"/>
  <c r="C177" i="8"/>
  <c r="C198" i="8" s="1"/>
  <c r="G6" i="8"/>
  <c r="G13" i="8"/>
  <c r="G11" i="8"/>
  <c r="G12" i="8" s="1"/>
  <c r="G39" i="8"/>
  <c r="G40" i="8"/>
  <c r="G5" i="8"/>
  <c r="G41" i="8"/>
  <c r="G196" i="8"/>
  <c r="F46" i="8"/>
  <c r="G43" i="8"/>
  <c r="G45" i="8"/>
  <c r="G16" i="8"/>
  <c r="G44" i="8"/>
  <c r="G15" i="8"/>
  <c r="G17" i="8"/>
  <c r="C69" i="8"/>
  <c r="C75" i="8" s="1"/>
  <c r="D177" i="8"/>
  <c r="D198" i="8" s="1"/>
  <c r="D68" i="8"/>
  <c r="D66" i="8"/>
  <c r="D178" i="8" s="1"/>
  <c r="D199" i="8" s="1"/>
  <c r="F60" i="4"/>
  <c r="F166" i="4" s="1"/>
  <c r="F65" i="4"/>
  <c r="F171" i="4" s="1"/>
  <c r="F64" i="4"/>
  <c r="F63" i="4"/>
  <c r="F62" i="4"/>
  <c r="F29" i="4"/>
  <c r="F31" i="4"/>
  <c r="F30" i="4"/>
  <c r="F25" i="4"/>
  <c r="F24" i="4"/>
  <c r="F26" i="4"/>
  <c r="E39" i="4"/>
  <c r="E40" i="4"/>
  <c r="E41" i="4"/>
  <c r="E5" i="4"/>
  <c r="C108" i="4"/>
  <c r="C90" i="4"/>
  <c r="E196" i="4"/>
  <c r="E6" i="4"/>
  <c r="A141" i="4"/>
  <c r="C125" i="4"/>
  <c r="C124" i="4"/>
  <c r="F54" i="4"/>
  <c r="E160" i="4"/>
  <c r="F58" i="4"/>
  <c r="E43" i="4"/>
  <c r="E44" i="4"/>
  <c r="E45" i="4"/>
  <c r="F2" i="4"/>
  <c r="E17" i="4"/>
  <c r="E15" i="4"/>
  <c r="E16" i="4"/>
  <c r="G38" i="4"/>
  <c r="G35" i="4"/>
  <c r="G32" i="4"/>
  <c r="G36" i="4"/>
  <c r="G34" i="4"/>
  <c r="G1" i="4"/>
  <c r="F22" i="4"/>
  <c r="F27" i="4"/>
  <c r="F3" i="4"/>
  <c r="E11" i="4"/>
  <c r="E12" i="4" s="1"/>
  <c r="E13" i="4"/>
  <c r="M54" i="8" l="1"/>
  <c r="L160" i="8"/>
  <c r="I5" i="8"/>
  <c r="I40" i="8"/>
  <c r="I13" i="8"/>
  <c r="I41" i="8"/>
  <c r="I11" i="8"/>
  <c r="I12" i="8" s="1"/>
  <c r="J3" i="8"/>
  <c r="I6" i="8"/>
  <c r="I196" i="8"/>
  <c r="I39" i="8"/>
  <c r="I46" i="8" s="1"/>
  <c r="AO16" i="8"/>
  <c r="AO43" i="8"/>
  <c r="AO44" i="8"/>
  <c r="AP2" i="8"/>
  <c r="AO17" i="8"/>
  <c r="AO45" i="8"/>
  <c r="AO15" i="8"/>
  <c r="H46" i="8"/>
  <c r="F49" i="8"/>
  <c r="F18" i="8" s="1"/>
  <c r="F19" i="8" s="1"/>
  <c r="F48" i="8" s="1"/>
  <c r="F50" i="8" s="1"/>
  <c r="G49" i="8" s="1"/>
  <c r="D69" i="8"/>
  <c r="G46" i="8"/>
  <c r="C78" i="8"/>
  <c r="C79" i="8" s="1"/>
  <c r="C81" i="8" s="1"/>
  <c r="C77" i="8"/>
  <c r="E177" i="8"/>
  <c r="E198" i="8" s="1"/>
  <c r="E68" i="8"/>
  <c r="E66" i="8"/>
  <c r="E178" i="8" s="1"/>
  <c r="E199" i="8" s="1"/>
  <c r="G60" i="4"/>
  <c r="G166" i="4" s="1"/>
  <c r="G65" i="4"/>
  <c r="G171" i="4" s="1"/>
  <c r="G64" i="4"/>
  <c r="G63" i="4"/>
  <c r="G62" i="4"/>
  <c r="G30" i="4"/>
  <c r="G29" i="4"/>
  <c r="G31" i="4"/>
  <c r="G24" i="4"/>
  <c r="G26" i="4"/>
  <c r="G25" i="4"/>
  <c r="F39" i="4"/>
  <c r="F41" i="4"/>
  <c r="F40" i="4"/>
  <c r="F5" i="4"/>
  <c r="F196" i="4"/>
  <c r="G54" i="4"/>
  <c r="H54" i="4" s="1"/>
  <c r="F160" i="4"/>
  <c r="G58" i="4"/>
  <c r="H58" i="4" s="1"/>
  <c r="I58" i="4" s="1"/>
  <c r="J58" i="4" s="1"/>
  <c r="K58" i="4" s="1"/>
  <c r="L58" i="4" s="1"/>
  <c r="M58" i="4" s="1"/>
  <c r="N58" i="4" s="1"/>
  <c r="O58" i="4" s="1"/>
  <c r="P58" i="4" s="1"/>
  <c r="Q58" i="4" s="1"/>
  <c r="R58" i="4" s="1"/>
  <c r="S58" i="4" s="1"/>
  <c r="T58" i="4" s="1"/>
  <c r="U58" i="4" s="1"/>
  <c r="V58" i="4" s="1"/>
  <c r="W58" i="4" s="1"/>
  <c r="X58" i="4" s="1"/>
  <c r="Y58" i="4" s="1"/>
  <c r="Z58" i="4" s="1"/>
  <c r="AA58" i="4" s="1"/>
  <c r="AB58" i="4" s="1"/>
  <c r="AC58" i="4" s="1"/>
  <c r="AD58" i="4" s="1"/>
  <c r="AE58" i="4" s="1"/>
  <c r="AF58" i="4" s="1"/>
  <c r="AG58" i="4" s="1"/>
  <c r="AH58" i="4" s="1"/>
  <c r="AI58" i="4" s="1"/>
  <c r="AJ58" i="4" s="1"/>
  <c r="AK58" i="4" s="1"/>
  <c r="AL58" i="4" s="1"/>
  <c r="AM58" i="4" s="1"/>
  <c r="AN58" i="4" s="1"/>
  <c r="AO58" i="4" s="1"/>
  <c r="AP58" i="4" s="1"/>
  <c r="AQ58" i="4" s="1"/>
  <c r="AR58" i="4" s="1"/>
  <c r="AS58" i="4" s="1"/>
  <c r="AT58" i="4" s="1"/>
  <c r="AU58" i="4" s="1"/>
  <c r="AV58" i="4" s="1"/>
  <c r="AW58" i="4" s="1"/>
  <c r="F43" i="4"/>
  <c r="F44" i="4"/>
  <c r="F45" i="4"/>
  <c r="G2" i="4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AM2" i="4" s="1"/>
  <c r="AN2" i="4" s="1"/>
  <c r="F16" i="4"/>
  <c r="F15" i="4"/>
  <c r="F17" i="4"/>
  <c r="G3" i="4"/>
  <c r="H3" i="4" s="1"/>
  <c r="F13" i="4"/>
  <c r="F6" i="4"/>
  <c r="F11" i="4"/>
  <c r="F12" i="4" s="1"/>
  <c r="G27" i="4"/>
  <c r="G22" i="4"/>
  <c r="D46" i="4"/>
  <c r="C46" i="4"/>
  <c r="C18" i="4" s="1"/>
  <c r="E46" i="4"/>
  <c r="H160" i="4" l="1"/>
  <c r="I54" i="4"/>
  <c r="N54" i="8"/>
  <c r="M160" i="8"/>
  <c r="H5" i="4"/>
  <c r="H13" i="4"/>
  <c r="H196" i="4"/>
  <c r="H41" i="4"/>
  <c r="I3" i="4"/>
  <c r="H40" i="4"/>
  <c r="H11" i="4"/>
  <c r="H12" i="4" s="1"/>
  <c r="H6" i="4"/>
  <c r="H39" i="4"/>
  <c r="J5" i="8"/>
  <c r="J41" i="8"/>
  <c r="J6" i="8"/>
  <c r="K3" i="8"/>
  <c r="J40" i="8"/>
  <c r="J11" i="8"/>
  <c r="J12" i="8" s="1"/>
  <c r="J196" i="8"/>
  <c r="J13" i="8"/>
  <c r="J39" i="8"/>
  <c r="AN43" i="4"/>
  <c r="AN16" i="4"/>
  <c r="AN17" i="4"/>
  <c r="AN45" i="4"/>
  <c r="AN44" i="4"/>
  <c r="AO2" i="4"/>
  <c r="AN15" i="4"/>
  <c r="AQ2" i="8"/>
  <c r="AP16" i="8"/>
  <c r="AP43" i="8"/>
  <c r="AP44" i="8"/>
  <c r="AP45" i="8"/>
  <c r="AP17" i="8"/>
  <c r="AP15" i="8"/>
  <c r="AM17" i="4"/>
  <c r="AM45" i="4"/>
  <c r="AM16" i="4"/>
  <c r="AM15" i="4"/>
  <c r="AM44" i="4"/>
  <c r="AM43" i="4"/>
  <c r="AL17" i="4"/>
  <c r="AL16" i="4"/>
  <c r="AL15" i="4"/>
  <c r="AL45" i="4"/>
  <c r="AL44" i="4"/>
  <c r="AL43" i="4"/>
  <c r="AK17" i="4"/>
  <c r="AK44" i="4"/>
  <c r="AK16" i="4"/>
  <c r="AK15" i="4"/>
  <c r="AK45" i="4"/>
  <c r="AK43" i="4"/>
  <c r="AJ17" i="4"/>
  <c r="AJ16" i="4"/>
  <c r="AJ15" i="4"/>
  <c r="AJ45" i="4"/>
  <c r="AJ44" i="4"/>
  <c r="AJ43" i="4"/>
  <c r="AI17" i="4"/>
  <c r="AI16" i="4"/>
  <c r="AI15" i="4"/>
  <c r="AI45" i="4"/>
  <c r="AI44" i="4"/>
  <c r="AI43" i="4"/>
  <c r="AH17" i="4"/>
  <c r="AH16" i="4"/>
  <c r="AH15" i="4"/>
  <c r="AH45" i="4"/>
  <c r="AH44" i="4"/>
  <c r="AH43" i="4"/>
  <c r="AG45" i="4"/>
  <c r="AG17" i="4"/>
  <c r="AG16" i="4"/>
  <c r="AG15" i="4"/>
  <c r="AG44" i="4"/>
  <c r="AG43" i="4"/>
  <c r="AF17" i="4"/>
  <c r="AF16" i="4"/>
  <c r="AF15" i="4"/>
  <c r="AF45" i="4"/>
  <c r="AF44" i="4"/>
  <c r="AF43" i="4"/>
  <c r="AE17" i="4"/>
  <c r="AE16" i="4"/>
  <c r="AE15" i="4"/>
  <c r="AE45" i="4"/>
  <c r="AE44" i="4"/>
  <c r="AE43" i="4"/>
  <c r="AD17" i="4"/>
  <c r="AD16" i="4"/>
  <c r="AD15" i="4"/>
  <c r="AD45" i="4"/>
  <c r="AD44" i="4"/>
  <c r="AD43" i="4"/>
  <c r="AC15" i="4"/>
  <c r="AC45" i="4"/>
  <c r="AC17" i="4"/>
  <c r="AC16" i="4"/>
  <c r="AC44" i="4"/>
  <c r="AC43" i="4"/>
  <c r="AB43" i="4"/>
  <c r="AB17" i="4"/>
  <c r="AB16" i="4"/>
  <c r="AB15" i="4"/>
  <c r="AB45" i="4"/>
  <c r="AB44" i="4"/>
  <c r="AA17" i="4"/>
  <c r="AA15" i="4"/>
  <c r="AA45" i="4"/>
  <c r="AA16" i="4"/>
  <c r="AA44" i="4"/>
  <c r="AA43" i="4"/>
  <c r="Z15" i="4"/>
  <c r="Z17" i="4"/>
  <c r="Z16" i="4"/>
  <c r="Z45" i="4"/>
  <c r="Z43" i="4"/>
  <c r="Z44" i="4"/>
  <c r="Y45" i="4"/>
  <c r="Y17" i="4"/>
  <c r="Y16" i="4"/>
  <c r="Y15" i="4"/>
  <c r="Y44" i="4"/>
  <c r="Y43" i="4"/>
  <c r="X15" i="4"/>
  <c r="X17" i="4"/>
  <c r="X16" i="4"/>
  <c r="X45" i="4"/>
  <c r="X44" i="4"/>
  <c r="X43" i="4"/>
  <c r="W17" i="4"/>
  <c r="W16" i="4"/>
  <c r="W15" i="4"/>
  <c r="W45" i="4"/>
  <c r="W44" i="4"/>
  <c r="W43" i="4"/>
  <c r="V15" i="4"/>
  <c r="V17" i="4"/>
  <c r="V16" i="4"/>
  <c r="V45" i="4"/>
  <c r="V44" i="4"/>
  <c r="V43" i="4"/>
  <c r="U17" i="4"/>
  <c r="U15" i="4"/>
  <c r="U16" i="4"/>
  <c r="U45" i="4"/>
  <c r="U44" i="4"/>
  <c r="U43" i="4"/>
  <c r="T17" i="4"/>
  <c r="T15" i="4"/>
  <c r="T16" i="4"/>
  <c r="T45" i="4"/>
  <c r="T44" i="4"/>
  <c r="T43" i="4"/>
  <c r="S16" i="4"/>
  <c r="S17" i="4"/>
  <c r="S15" i="4"/>
  <c r="S45" i="4"/>
  <c r="S44" i="4"/>
  <c r="S43" i="4"/>
  <c r="R17" i="4"/>
  <c r="R16" i="4"/>
  <c r="R15" i="4"/>
  <c r="R45" i="4"/>
  <c r="R44" i="4"/>
  <c r="R43" i="4"/>
  <c r="Q43" i="4"/>
  <c r="Q17" i="4"/>
  <c r="Q16" i="4"/>
  <c r="Q15" i="4"/>
  <c r="Q45" i="4"/>
  <c r="Q44" i="4"/>
  <c r="P45" i="4"/>
  <c r="P17" i="4"/>
  <c r="P16" i="4"/>
  <c r="P15" i="4"/>
  <c r="P44" i="4"/>
  <c r="P43" i="4"/>
  <c r="O17" i="4"/>
  <c r="O16" i="4"/>
  <c r="O15" i="4"/>
  <c r="O45" i="4"/>
  <c r="O44" i="4"/>
  <c r="O43" i="4"/>
  <c r="N43" i="4"/>
  <c r="N17" i="4"/>
  <c r="N16" i="4"/>
  <c r="N15" i="4"/>
  <c r="N45" i="4"/>
  <c r="N44" i="4"/>
  <c r="M17" i="4"/>
  <c r="M16" i="4"/>
  <c r="M15" i="4"/>
  <c r="M45" i="4"/>
  <c r="M44" i="4"/>
  <c r="M43" i="4"/>
  <c r="L45" i="4"/>
  <c r="L15" i="4"/>
  <c r="L17" i="4"/>
  <c r="L16" i="4"/>
  <c r="L44" i="4"/>
  <c r="L43" i="4"/>
  <c r="K16" i="4"/>
  <c r="K45" i="4"/>
  <c r="K44" i="4"/>
  <c r="K17" i="4"/>
  <c r="K15" i="4"/>
  <c r="K43" i="4"/>
  <c r="J15" i="4"/>
  <c r="J45" i="4"/>
  <c r="J44" i="4"/>
  <c r="J17" i="4"/>
  <c r="J16" i="4"/>
  <c r="J43" i="4"/>
  <c r="I45" i="4"/>
  <c r="I16" i="4"/>
  <c r="I17" i="4"/>
  <c r="I15" i="4"/>
  <c r="I44" i="4"/>
  <c r="I43" i="4"/>
  <c r="H16" i="4"/>
  <c r="H15" i="4"/>
  <c r="H45" i="4"/>
  <c r="H17" i="4"/>
  <c r="H44" i="4"/>
  <c r="H43" i="4"/>
  <c r="F53" i="8"/>
  <c r="F66" i="8" s="1"/>
  <c r="F178" i="8" s="1"/>
  <c r="F199" i="8" s="1"/>
  <c r="C82" i="8"/>
  <c r="G18" i="8"/>
  <c r="G19" i="8" s="1"/>
  <c r="G48" i="8" s="1"/>
  <c r="G50" i="8" s="1"/>
  <c r="H49" i="8" s="1"/>
  <c r="H18" i="8" s="1"/>
  <c r="H19" i="8" s="1"/>
  <c r="H48" i="8" s="1"/>
  <c r="H50" i="8" s="1"/>
  <c r="E69" i="8"/>
  <c r="C165" i="8"/>
  <c r="D74" i="8"/>
  <c r="G40" i="4"/>
  <c r="G41" i="4"/>
  <c r="G39" i="4"/>
  <c r="G5" i="4"/>
  <c r="G160" i="4"/>
  <c r="G45" i="4"/>
  <c r="G44" i="4"/>
  <c r="G43" i="4"/>
  <c r="G196" i="4"/>
  <c r="G16" i="4"/>
  <c r="G17" i="4"/>
  <c r="G15" i="4"/>
  <c r="G13" i="4"/>
  <c r="G6" i="4"/>
  <c r="G11" i="4"/>
  <c r="G12" i="4" s="1"/>
  <c r="F46" i="4"/>
  <c r="N160" i="8" l="1"/>
  <c r="O54" i="8"/>
  <c r="I160" i="4"/>
  <c r="J54" i="4"/>
  <c r="J46" i="8"/>
  <c r="I5" i="4"/>
  <c r="I6" i="4"/>
  <c r="J3" i="4"/>
  <c r="I196" i="4"/>
  <c r="I13" i="4"/>
  <c r="I40" i="4"/>
  <c r="I41" i="4"/>
  <c r="I11" i="4"/>
  <c r="I12" i="4" s="1"/>
  <c r="I39" i="4"/>
  <c r="K5" i="8"/>
  <c r="K39" i="8"/>
  <c r="K6" i="8"/>
  <c r="L3" i="8"/>
  <c r="K196" i="8"/>
  <c r="K13" i="8"/>
  <c r="K11" i="8"/>
  <c r="K12" i="8" s="1"/>
  <c r="K41" i="8"/>
  <c r="K40" i="8"/>
  <c r="AQ17" i="8"/>
  <c r="AQ44" i="8"/>
  <c r="AR2" i="8"/>
  <c r="AQ16" i="8"/>
  <c r="AQ43" i="8"/>
  <c r="AQ45" i="8"/>
  <c r="AQ15" i="8"/>
  <c r="AO15" i="4"/>
  <c r="AO17" i="4"/>
  <c r="AO43" i="4"/>
  <c r="AO16" i="4"/>
  <c r="AO45" i="4"/>
  <c r="AO44" i="4"/>
  <c r="AP2" i="4"/>
  <c r="H53" i="8"/>
  <c r="H66" i="8" s="1"/>
  <c r="H178" i="8" s="1"/>
  <c r="H199" i="8" s="1"/>
  <c r="I49" i="8"/>
  <c r="I18" i="8" s="1"/>
  <c r="I19" i="8" s="1"/>
  <c r="I48" i="8" s="1"/>
  <c r="I50" i="8" s="1"/>
  <c r="H46" i="4"/>
  <c r="F177" i="8"/>
  <c r="F198" i="8" s="1"/>
  <c r="F68" i="8"/>
  <c r="F69" i="8" s="1"/>
  <c r="D75" i="8"/>
  <c r="D76" i="8" s="1"/>
  <c r="G53" i="8"/>
  <c r="G46" i="4"/>
  <c r="I46" i="4" l="1"/>
  <c r="J160" i="4"/>
  <c r="K54" i="4"/>
  <c r="O160" i="8"/>
  <c r="P54" i="8"/>
  <c r="L5" i="8"/>
  <c r="L39" i="8"/>
  <c r="L6" i="8"/>
  <c r="M3" i="8"/>
  <c r="L196" i="8"/>
  <c r="L13" i="8"/>
  <c r="L11" i="8"/>
  <c r="L12" i="8" s="1"/>
  <c r="L41" i="8"/>
  <c r="L40" i="8"/>
  <c r="J5" i="4"/>
  <c r="K3" i="4"/>
  <c r="J40" i="4"/>
  <c r="J11" i="4"/>
  <c r="J12" i="4" s="1"/>
  <c r="J13" i="4"/>
  <c r="J41" i="4"/>
  <c r="J6" i="4"/>
  <c r="J196" i="4"/>
  <c r="J39" i="4"/>
  <c r="K46" i="8"/>
  <c r="AP15" i="4"/>
  <c r="AQ2" i="4"/>
  <c r="AP43" i="4"/>
  <c r="AP17" i="4"/>
  <c r="AP16" i="4"/>
  <c r="AP45" i="4"/>
  <c r="AP44" i="4"/>
  <c r="AR17" i="8"/>
  <c r="AR44" i="8"/>
  <c r="AS2" i="8"/>
  <c r="AR45" i="8"/>
  <c r="AR16" i="8"/>
  <c r="AR43" i="8"/>
  <c r="AR15" i="8"/>
  <c r="H177" i="8"/>
  <c r="H198" i="8" s="1"/>
  <c r="H68" i="8"/>
  <c r="I53" i="8"/>
  <c r="I68" i="8" s="1"/>
  <c r="J49" i="8"/>
  <c r="J18" i="8" s="1"/>
  <c r="J19" i="8" s="1"/>
  <c r="J48" i="8" s="1"/>
  <c r="J50" i="8" s="1"/>
  <c r="D77" i="8"/>
  <c r="G177" i="8"/>
  <c r="G66" i="8"/>
  <c r="G178" i="8" s="1"/>
  <c r="G199" i="8" s="1"/>
  <c r="G68" i="8"/>
  <c r="D78" i="8"/>
  <c r="D79" i="8" s="1"/>
  <c r="C19" i="4"/>
  <c r="C48" i="4" s="1"/>
  <c r="C50" i="4" s="1"/>
  <c r="K160" i="4" l="1"/>
  <c r="L54" i="4"/>
  <c r="P160" i="8"/>
  <c r="Q54" i="8"/>
  <c r="K5" i="4"/>
  <c r="K196" i="4"/>
  <c r="K6" i="4"/>
  <c r="K40" i="4"/>
  <c r="K11" i="4"/>
  <c r="K12" i="4" s="1"/>
  <c r="L3" i="4"/>
  <c r="K41" i="4"/>
  <c r="K13" i="4"/>
  <c r="K39" i="4"/>
  <c r="M5" i="8"/>
  <c r="M6" i="8"/>
  <c r="M196" i="8"/>
  <c r="M13" i="8"/>
  <c r="M11" i="8"/>
  <c r="M12" i="8" s="1"/>
  <c r="M41" i="8"/>
  <c r="M40" i="8"/>
  <c r="M39" i="8"/>
  <c r="N3" i="8"/>
  <c r="L46" i="8"/>
  <c r="J46" i="4"/>
  <c r="AR2" i="4"/>
  <c r="AQ43" i="4"/>
  <c r="AQ17" i="4"/>
  <c r="AQ16" i="4"/>
  <c r="AQ45" i="4"/>
  <c r="AQ44" i="4"/>
  <c r="AQ15" i="4"/>
  <c r="AS17" i="8"/>
  <c r="AS44" i="8"/>
  <c r="AT2" i="8"/>
  <c r="AS43" i="8"/>
  <c r="AS45" i="8"/>
  <c r="AS16" i="8"/>
  <c r="AS15" i="8"/>
  <c r="I177" i="8"/>
  <c r="I198" i="8" s="1"/>
  <c r="I66" i="8"/>
  <c r="I178" i="8" s="1"/>
  <c r="I199" i="8" s="1"/>
  <c r="J53" i="8"/>
  <c r="J68" i="8" s="1"/>
  <c r="K49" i="8"/>
  <c r="K18" i="8" s="1"/>
  <c r="K19" i="8" s="1"/>
  <c r="K48" i="8" s="1"/>
  <c r="K50" i="8" s="1"/>
  <c r="D165" i="8"/>
  <c r="E74" i="8"/>
  <c r="D81" i="8"/>
  <c r="G69" i="8"/>
  <c r="H69" i="8" s="1"/>
  <c r="G198" i="8"/>
  <c r="D49" i="4"/>
  <c r="D18" i="4" s="1"/>
  <c r="D19" i="4" s="1"/>
  <c r="D48" i="4" s="1"/>
  <c r="D50" i="4" s="1"/>
  <c r="C53" i="4"/>
  <c r="C68" i="4" s="1"/>
  <c r="M46" i="8" l="1"/>
  <c r="L160" i="4"/>
  <c r="M54" i="4"/>
  <c r="Q160" i="8"/>
  <c r="R54" i="8"/>
  <c r="K46" i="4"/>
  <c r="N5" i="8"/>
  <c r="N13" i="8"/>
  <c r="N196" i="8"/>
  <c r="N11" i="8"/>
  <c r="N12" i="8" s="1"/>
  <c r="N41" i="8"/>
  <c r="N40" i="8"/>
  <c r="O3" i="8"/>
  <c r="N6" i="8"/>
  <c r="N39" i="8"/>
  <c r="L5" i="4"/>
  <c r="L6" i="4"/>
  <c r="L196" i="4"/>
  <c r="L40" i="4"/>
  <c r="L41" i="4"/>
  <c r="M3" i="4"/>
  <c r="L13" i="4"/>
  <c r="L11" i="4"/>
  <c r="L12" i="4" s="1"/>
  <c r="L39" i="4"/>
  <c r="L46" i="4" s="1"/>
  <c r="AR16" i="4"/>
  <c r="AS2" i="4"/>
  <c r="AR43" i="4"/>
  <c r="AR17" i="4"/>
  <c r="AR45" i="4"/>
  <c r="AR44" i="4"/>
  <c r="AR15" i="4"/>
  <c r="AT45" i="8"/>
  <c r="AT17" i="8"/>
  <c r="AT44" i="8"/>
  <c r="AT43" i="8"/>
  <c r="AT15" i="8"/>
  <c r="AT16" i="8"/>
  <c r="AU2" i="8"/>
  <c r="J66" i="8"/>
  <c r="J178" i="8" s="1"/>
  <c r="J199" i="8" s="1"/>
  <c r="J177" i="8"/>
  <c r="J198" i="8" s="1"/>
  <c r="K53" i="8"/>
  <c r="K68" i="8" s="1"/>
  <c r="L49" i="8"/>
  <c r="L18" i="8" s="1"/>
  <c r="L19" i="8" s="1"/>
  <c r="L48" i="8" s="1"/>
  <c r="L50" i="8" s="1"/>
  <c r="I69" i="8"/>
  <c r="J69" i="8" s="1"/>
  <c r="D82" i="8"/>
  <c r="C86" i="8" s="1"/>
  <c r="E75" i="8"/>
  <c r="E76" i="8" s="1"/>
  <c r="C177" i="4"/>
  <c r="E49" i="4"/>
  <c r="E18" i="4" s="1"/>
  <c r="E19" i="4" s="1"/>
  <c r="E48" i="4" s="1"/>
  <c r="E50" i="4" s="1"/>
  <c r="D53" i="4"/>
  <c r="D68" i="4" s="1"/>
  <c r="C66" i="4"/>
  <c r="C69" i="4"/>
  <c r="N46" i="8" l="1"/>
  <c r="M160" i="4"/>
  <c r="N54" i="4"/>
  <c r="R160" i="8"/>
  <c r="S54" i="8"/>
  <c r="O5" i="8"/>
  <c r="P3" i="8"/>
  <c r="O40" i="8"/>
  <c r="O13" i="8"/>
  <c r="O41" i="8"/>
  <c r="O39" i="8"/>
  <c r="O11" i="8"/>
  <c r="O12" i="8" s="1"/>
  <c r="O196" i="8"/>
  <c r="O6" i="8"/>
  <c r="M5" i="4"/>
  <c r="M11" i="4"/>
  <c r="M12" i="4" s="1"/>
  <c r="M13" i="4"/>
  <c r="N3" i="4"/>
  <c r="M196" i="4"/>
  <c r="M6" i="4"/>
  <c r="M41" i="4"/>
  <c r="M40" i="4"/>
  <c r="M39" i="4"/>
  <c r="AS16" i="4"/>
  <c r="AS15" i="4"/>
  <c r="AS44" i="4"/>
  <c r="AT2" i="4"/>
  <c r="AS43" i="4"/>
  <c r="AS45" i="4"/>
  <c r="AS17" i="4"/>
  <c r="AU45" i="8"/>
  <c r="AU15" i="8"/>
  <c r="AU43" i="8"/>
  <c r="AU16" i="8"/>
  <c r="AU44" i="8"/>
  <c r="AU17" i="8"/>
  <c r="AV2" i="8"/>
  <c r="AW2" i="8" s="1"/>
  <c r="K177" i="8"/>
  <c r="K198" i="8" s="1"/>
  <c r="K66" i="8"/>
  <c r="K178" i="8" s="1"/>
  <c r="K199" i="8" s="1"/>
  <c r="L53" i="8"/>
  <c r="L68" i="8" s="1"/>
  <c r="M49" i="8"/>
  <c r="M18" i="8" s="1"/>
  <c r="M19" i="8" s="1"/>
  <c r="M48" i="8" s="1"/>
  <c r="M50" i="8" s="1"/>
  <c r="K69" i="8"/>
  <c r="E78" i="8"/>
  <c r="E79" i="8" s="1"/>
  <c r="E77" i="8"/>
  <c r="C89" i="8"/>
  <c r="C139" i="8"/>
  <c r="C88" i="8"/>
  <c r="C75" i="4"/>
  <c r="C178" i="4"/>
  <c r="C199" i="4" s="1"/>
  <c r="F49" i="4"/>
  <c r="F18" i="4" s="1"/>
  <c r="F19" i="4" s="1"/>
  <c r="F48" i="4" s="1"/>
  <c r="F50" i="4" s="1"/>
  <c r="E53" i="4"/>
  <c r="E68" i="4" s="1"/>
  <c r="C198" i="4"/>
  <c r="D177" i="4"/>
  <c r="D69" i="4"/>
  <c r="D66" i="4"/>
  <c r="D178" i="4" s="1"/>
  <c r="D199" i="4" s="1"/>
  <c r="O54" i="4" l="1"/>
  <c r="N160" i="4"/>
  <c r="S160" i="8"/>
  <c r="T54" i="8"/>
  <c r="M46" i="4"/>
  <c r="P5" i="8"/>
  <c r="P11" i="8"/>
  <c r="P12" i="8" s="1"/>
  <c r="Q3" i="8"/>
  <c r="P41" i="8"/>
  <c r="P6" i="8"/>
  <c r="P40" i="8"/>
  <c r="P196" i="8"/>
  <c r="P13" i="8"/>
  <c r="P39" i="8"/>
  <c r="O46" i="8"/>
  <c r="N5" i="4"/>
  <c r="N11" i="4"/>
  <c r="N12" i="4" s="1"/>
  <c r="N13" i="4"/>
  <c r="N41" i="4"/>
  <c r="N6" i="4"/>
  <c r="N40" i="4"/>
  <c r="N39" i="4"/>
  <c r="O3" i="4"/>
  <c r="N196" i="4"/>
  <c r="AW16" i="8"/>
  <c r="AW17" i="8"/>
  <c r="AW45" i="8"/>
  <c r="AW44" i="8"/>
  <c r="AW43" i="8"/>
  <c r="AW15" i="8"/>
  <c r="AV45" i="8"/>
  <c r="AV15" i="8"/>
  <c r="AV43" i="8"/>
  <c r="AV16" i="8"/>
  <c r="AV44" i="8"/>
  <c r="AV17" i="8"/>
  <c r="AU2" i="4"/>
  <c r="AT15" i="4"/>
  <c r="AT44" i="4"/>
  <c r="AT16" i="4"/>
  <c r="AT43" i="4"/>
  <c r="AT45" i="4"/>
  <c r="AT17" i="4"/>
  <c r="L177" i="8"/>
  <c r="L198" i="8" s="1"/>
  <c r="L66" i="8"/>
  <c r="L178" i="8" s="1"/>
  <c r="L199" i="8" s="1"/>
  <c r="M53" i="8"/>
  <c r="M68" i="8" s="1"/>
  <c r="N49" i="8"/>
  <c r="N18" i="8" s="1"/>
  <c r="N19" i="8" s="1"/>
  <c r="N48" i="8" s="1"/>
  <c r="N50" i="8" s="1"/>
  <c r="L69" i="8"/>
  <c r="D85" i="8"/>
  <c r="C92" i="8"/>
  <c r="E81" i="8"/>
  <c r="E165" i="8"/>
  <c r="F74" i="8"/>
  <c r="D198" i="4"/>
  <c r="E177" i="4"/>
  <c r="E198" i="4" s="1"/>
  <c r="E66" i="4"/>
  <c r="E178" i="4" s="1"/>
  <c r="E199" i="4" s="1"/>
  <c r="E69" i="4"/>
  <c r="G49" i="4"/>
  <c r="G18" i="4" s="1"/>
  <c r="G19" i="4" s="1"/>
  <c r="G48" i="4" s="1"/>
  <c r="G50" i="4" s="1"/>
  <c r="H49" i="4" s="1"/>
  <c r="H18" i="4" s="1"/>
  <c r="H19" i="4" s="1"/>
  <c r="H48" i="4" s="1"/>
  <c r="H50" i="4" s="1"/>
  <c r="F53" i="4"/>
  <c r="F68" i="4" s="1"/>
  <c r="T160" i="8" l="1"/>
  <c r="U54" i="8"/>
  <c r="O160" i="4"/>
  <c r="P54" i="4"/>
  <c r="P46" i="8"/>
  <c r="N46" i="4"/>
  <c r="O5" i="4"/>
  <c r="O11" i="4"/>
  <c r="O12" i="4" s="1"/>
  <c r="O13" i="4"/>
  <c r="O6" i="4"/>
  <c r="O41" i="4"/>
  <c r="O40" i="4"/>
  <c r="P3" i="4"/>
  <c r="O196" i="4"/>
  <c r="O39" i="4"/>
  <c r="Q5" i="8"/>
  <c r="Q11" i="8"/>
  <c r="Q12" i="8" s="1"/>
  <c r="Q6" i="8"/>
  <c r="Q196" i="8"/>
  <c r="Q41" i="8"/>
  <c r="Q40" i="8"/>
  <c r="R3" i="8"/>
  <c r="Q13" i="8"/>
  <c r="Q39" i="8"/>
  <c r="AU17" i="4"/>
  <c r="AV2" i="4"/>
  <c r="AW2" i="4" s="1"/>
  <c r="AU15" i="4"/>
  <c r="AU44" i="4"/>
  <c r="AU16" i="4"/>
  <c r="AU43" i="4"/>
  <c r="AU45" i="4"/>
  <c r="M66" i="8"/>
  <c r="M178" i="8" s="1"/>
  <c r="M199" i="8" s="1"/>
  <c r="M177" i="8"/>
  <c r="M198" i="8" s="1"/>
  <c r="N53" i="8"/>
  <c r="N68" i="8" s="1"/>
  <c r="O49" i="8"/>
  <c r="O18" i="8" s="1"/>
  <c r="O19" i="8" s="1"/>
  <c r="O48" i="8" s="1"/>
  <c r="O50" i="8" s="1"/>
  <c r="M69" i="8"/>
  <c r="H53" i="4"/>
  <c r="H177" i="4" s="1"/>
  <c r="H198" i="4" s="1"/>
  <c r="I49" i="4"/>
  <c r="I18" i="4" s="1"/>
  <c r="I19" i="4" s="1"/>
  <c r="I48" i="4" s="1"/>
  <c r="I50" i="4" s="1"/>
  <c r="C149" i="8"/>
  <c r="F75" i="8"/>
  <c r="D90" i="8"/>
  <c r="D91" i="8"/>
  <c r="E82" i="8"/>
  <c r="D86" i="8" s="1"/>
  <c r="C93" i="8"/>
  <c r="F69" i="4"/>
  <c r="F177" i="4"/>
  <c r="F198" i="4" s="1"/>
  <c r="F66" i="4"/>
  <c r="F178" i="4" s="1"/>
  <c r="F199" i="4" s="1"/>
  <c r="G53" i="4"/>
  <c r="G68" i="4" s="1"/>
  <c r="U160" i="8" l="1"/>
  <c r="V54" i="8"/>
  <c r="P160" i="4"/>
  <c r="Q54" i="4"/>
  <c r="O46" i="4"/>
  <c r="P5" i="4"/>
  <c r="P41" i="4"/>
  <c r="P13" i="4"/>
  <c r="P11" i="4"/>
  <c r="P12" i="4" s="1"/>
  <c r="P40" i="4"/>
  <c r="P6" i="4"/>
  <c r="P196" i="4"/>
  <c r="Q3" i="4"/>
  <c r="P39" i="4"/>
  <c r="Q46" i="8"/>
  <c r="R5" i="8"/>
  <c r="R41" i="8"/>
  <c r="R196" i="8"/>
  <c r="R40" i="8"/>
  <c r="R6" i="8"/>
  <c r="S3" i="8"/>
  <c r="R13" i="8"/>
  <c r="R11" i="8"/>
  <c r="R12" i="8" s="1"/>
  <c r="R39" i="8"/>
  <c r="R46" i="8" s="1"/>
  <c r="AW43" i="4"/>
  <c r="AW44" i="4"/>
  <c r="AW45" i="4"/>
  <c r="AW17" i="4"/>
  <c r="AW15" i="4"/>
  <c r="AW16" i="4"/>
  <c r="AV17" i="4"/>
  <c r="AV45" i="4"/>
  <c r="AV15" i="4"/>
  <c r="AV44" i="4"/>
  <c r="AV16" i="4"/>
  <c r="AV43" i="4"/>
  <c r="N177" i="8"/>
  <c r="N198" i="8" s="1"/>
  <c r="N66" i="8"/>
  <c r="N178" i="8" s="1"/>
  <c r="N199" i="8" s="1"/>
  <c r="H66" i="4"/>
  <c r="H178" i="4" s="1"/>
  <c r="H199" i="4" s="1"/>
  <c r="H68" i="4"/>
  <c r="O53" i="8"/>
  <c r="O68" i="8" s="1"/>
  <c r="P49" i="8"/>
  <c r="P18" i="8" s="1"/>
  <c r="P19" i="8" s="1"/>
  <c r="P48" i="8" s="1"/>
  <c r="P50" i="8" s="1"/>
  <c r="N69" i="8"/>
  <c r="I53" i="4"/>
  <c r="I68" i="4" s="1"/>
  <c r="J49" i="4"/>
  <c r="J18" i="4" s="1"/>
  <c r="J19" i="4" s="1"/>
  <c r="J48" i="4" s="1"/>
  <c r="J50" i="4" s="1"/>
  <c r="D87" i="8"/>
  <c r="D88" i="8" s="1"/>
  <c r="F78" i="8"/>
  <c r="F79" i="8" s="1"/>
  <c r="C95" i="8"/>
  <c r="D89" i="8"/>
  <c r="D139" i="8"/>
  <c r="F76" i="8"/>
  <c r="F77" i="8" s="1"/>
  <c r="G66" i="4"/>
  <c r="G178" i="4" s="1"/>
  <c r="G199" i="4" s="1"/>
  <c r="G69" i="4"/>
  <c r="G177" i="4"/>
  <c r="P46" i="4" l="1"/>
  <c r="Q160" i="4"/>
  <c r="R54" i="4"/>
  <c r="W54" i="8"/>
  <c r="V160" i="8"/>
  <c r="Q5" i="4"/>
  <c r="Q13" i="4"/>
  <c r="Q11" i="4"/>
  <c r="Q12" i="4" s="1"/>
  <c r="Q41" i="4"/>
  <c r="Q40" i="4"/>
  <c r="Q196" i="4"/>
  <c r="Q6" i="4"/>
  <c r="R3" i="4"/>
  <c r="Q39" i="4"/>
  <c r="S5" i="8"/>
  <c r="S40" i="8"/>
  <c r="S39" i="8"/>
  <c r="S196" i="8"/>
  <c r="T3" i="8"/>
  <c r="S6" i="8"/>
  <c r="S13" i="8"/>
  <c r="S11" i="8"/>
  <c r="S12" i="8" s="1"/>
  <c r="S41" i="8"/>
  <c r="I177" i="4"/>
  <c r="I198" i="4" s="1"/>
  <c r="I66" i="4"/>
  <c r="I178" i="4" s="1"/>
  <c r="I199" i="4" s="1"/>
  <c r="H69" i="4"/>
  <c r="I69" i="4" s="1"/>
  <c r="O177" i="8"/>
  <c r="O198" i="8" s="1"/>
  <c r="O66" i="8"/>
  <c r="O178" i="8" s="1"/>
  <c r="O199" i="8" s="1"/>
  <c r="P53" i="8"/>
  <c r="P68" i="8" s="1"/>
  <c r="Q49" i="8"/>
  <c r="Q18" i="8" s="1"/>
  <c r="Q19" i="8" s="1"/>
  <c r="Q48" i="8" s="1"/>
  <c r="Q50" i="8" s="1"/>
  <c r="O69" i="8"/>
  <c r="J53" i="4"/>
  <c r="J68" i="4" s="1"/>
  <c r="K49" i="4"/>
  <c r="K18" i="4" s="1"/>
  <c r="K19" i="4" s="1"/>
  <c r="K48" i="4" s="1"/>
  <c r="K50" i="4" s="1"/>
  <c r="E85" i="8"/>
  <c r="D92" i="8"/>
  <c r="F165" i="8"/>
  <c r="G74" i="8"/>
  <c r="F81" i="8"/>
  <c r="C96" i="8"/>
  <c r="C97" i="8" s="1"/>
  <c r="C98" i="8" s="1"/>
  <c r="G198" i="4"/>
  <c r="Q46" i="4" l="1"/>
  <c r="S46" i="8"/>
  <c r="W160" i="8"/>
  <c r="X54" i="8"/>
  <c r="R160" i="4"/>
  <c r="S54" i="4"/>
  <c r="R5" i="4"/>
  <c r="R13" i="4"/>
  <c r="R41" i="4"/>
  <c r="R11" i="4"/>
  <c r="R12" i="4" s="1"/>
  <c r="S3" i="4"/>
  <c r="R196" i="4"/>
  <c r="R40" i="4"/>
  <c r="R6" i="4"/>
  <c r="R39" i="4"/>
  <c r="T5" i="8"/>
  <c r="T196" i="8"/>
  <c r="T6" i="8"/>
  <c r="T13" i="8"/>
  <c r="T41" i="8"/>
  <c r="T11" i="8"/>
  <c r="T12" i="8" s="1"/>
  <c r="T39" i="8"/>
  <c r="U3" i="8"/>
  <c r="T40" i="8"/>
  <c r="P177" i="8"/>
  <c r="P198" i="8" s="1"/>
  <c r="P66" i="8"/>
  <c r="P178" i="8" s="1"/>
  <c r="P199" i="8" s="1"/>
  <c r="Q53" i="8"/>
  <c r="Q68" i="8" s="1"/>
  <c r="R49" i="8"/>
  <c r="R18" i="8" s="1"/>
  <c r="R19" i="8" s="1"/>
  <c r="R48" i="8" s="1"/>
  <c r="R50" i="8" s="1"/>
  <c r="P69" i="8"/>
  <c r="J177" i="4"/>
  <c r="J198" i="4" s="1"/>
  <c r="J66" i="4"/>
  <c r="J178" i="4" s="1"/>
  <c r="J199" i="4" s="1"/>
  <c r="K53" i="4"/>
  <c r="K68" i="4" s="1"/>
  <c r="L49" i="4"/>
  <c r="L18" i="4" s="1"/>
  <c r="L19" i="4" s="1"/>
  <c r="L48" i="4" s="1"/>
  <c r="L50" i="4" s="1"/>
  <c r="J69" i="4"/>
  <c r="D149" i="8"/>
  <c r="D93" i="8"/>
  <c r="D95" i="8" s="1"/>
  <c r="D96" i="8" s="1"/>
  <c r="D97" i="8" s="1"/>
  <c r="D98" i="8" s="1"/>
  <c r="E90" i="8"/>
  <c r="E91" i="8"/>
  <c r="C99" i="8"/>
  <c r="F82" i="8"/>
  <c r="E86" i="8" s="1"/>
  <c r="G75" i="8"/>
  <c r="R46" i="4" l="1"/>
  <c r="Y54" i="8"/>
  <c r="X160" i="8"/>
  <c r="S160" i="4"/>
  <c r="T54" i="4"/>
  <c r="S5" i="4"/>
  <c r="S13" i="4"/>
  <c r="S11" i="4"/>
  <c r="S12" i="4" s="1"/>
  <c r="S41" i="4"/>
  <c r="S6" i="4"/>
  <c r="S40" i="4"/>
  <c r="T3" i="4"/>
  <c r="S196" i="4"/>
  <c r="S39" i="4"/>
  <c r="T46" i="8"/>
  <c r="U5" i="8"/>
  <c r="U196" i="8"/>
  <c r="U13" i="8"/>
  <c r="U11" i="8"/>
  <c r="U12" i="8" s="1"/>
  <c r="U41" i="8"/>
  <c r="U40" i="8"/>
  <c r="U39" i="8"/>
  <c r="U46" i="8" s="1"/>
  <c r="U6" i="8"/>
  <c r="V3" i="8"/>
  <c r="Q177" i="8"/>
  <c r="Q198" i="8" s="1"/>
  <c r="Q66" i="8"/>
  <c r="Q178" i="8" s="1"/>
  <c r="Q199" i="8" s="1"/>
  <c r="R53" i="8"/>
  <c r="R66" i="8" s="1"/>
  <c r="R178" i="8" s="1"/>
  <c r="R199" i="8" s="1"/>
  <c r="S49" i="8"/>
  <c r="S18" i="8" s="1"/>
  <c r="S19" i="8" s="1"/>
  <c r="S48" i="8" s="1"/>
  <c r="S50" i="8" s="1"/>
  <c r="Q69" i="8"/>
  <c r="K177" i="4"/>
  <c r="K198" i="4" s="1"/>
  <c r="K66" i="4"/>
  <c r="K178" i="4" s="1"/>
  <c r="K199" i="4" s="1"/>
  <c r="L53" i="4"/>
  <c r="L68" i="4" s="1"/>
  <c r="M49" i="4"/>
  <c r="M18" i="4" s="1"/>
  <c r="M19" i="4" s="1"/>
  <c r="M48" i="4" s="1"/>
  <c r="M50" i="4" s="1"/>
  <c r="K69" i="4"/>
  <c r="D99" i="8"/>
  <c r="C103" i="8" s="1"/>
  <c r="G76" i="8"/>
  <c r="G77" i="8" s="1"/>
  <c r="H74" i="8" s="1"/>
  <c r="E89" i="8"/>
  <c r="E87" i="8"/>
  <c r="E88" i="8" s="1"/>
  <c r="E139" i="8"/>
  <c r="G78" i="8"/>
  <c r="G79" i="8" s="1"/>
  <c r="C77" i="4"/>
  <c r="D74" i="4" s="1"/>
  <c r="C78" i="4"/>
  <c r="C79" i="4" s="1"/>
  <c r="S46" i="4" l="1"/>
  <c r="T160" i="4"/>
  <c r="U54" i="4"/>
  <c r="Y160" i="8"/>
  <c r="Z54" i="8"/>
  <c r="V5" i="8"/>
  <c r="V196" i="8"/>
  <c r="V11" i="8"/>
  <c r="V12" i="8" s="1"/>
  <c r="V13" i="8"/>
  <c r="V41" i="8"/>
  <c r="V39" i="8"/>
  <c r="V6" i="8"/>
  <c r="W3" i="8"/>
  <c r="V40" i="8"/>
  <c r="T5" i="4"/>
  <c r="T13" i="4"/>
  <c r="T41" i="4"/>
  <c r="T11" i="4"/>
  <c r="T6" i="4"/>
  <c r="T39" i="4"/>
  <c r="T196" i="4"/>
  <c r="U3" i="4"/>
  <c r="T40" i="4"/>
  <c r="L177" i="4"/>
  <c r="L198" i="4" s="1"/>
  <c r="L66" i="4"/>
  <c r="L178" i="4" s="1"/>
  <c r="L199" i="4" s="1"/>
  <c r="R68" i="8"/>
  <c r="R69" i="8" s="1"/>
  <c r="R177" i="8"/>
  <c r="R198" i="8" s="1"/>
  <c r="S53" i="8"/>
  <c r="S68" i="8" s="1"/>
  <c r="T49" i="8"/>
  <c r="T18" i="8" s="1"/>
  <c r="T19" i="8" s="1"/>
  <c r="T48" i="8" s="1"/>
  <c r="T50" i="8" s="1"/>
  <c r="H75" i="8"/>
  <c r="M53" i="4"/>
  <c r="M177" i="4" s="1"/>
  <c r="M198" i="4" s="1"/>
  <c r="N49" i="4"/>
  <c r="N18" i="4" s="1"/>
  <c r="N19" i="4" s="1"/>
  <c r="N48" i="4" s="1"/>
  <c r="N50" i="4" s="1"/>
  <c r="L69" i="4"/>
  <c r="G81" i="8"/>
  <c r="G165" i="8"/>
  <c r="F85" i="8"/>
  <c r="E92" i="8"/>
  <c r="C140" i="8"/>
  <c r="C106" i="8"/>
  <c r="C105" i="8"/>
  <c r="C81" i="4"/>
  <c r="D75" i="4"/>
  <c r="D76" i="4" s="1"/>
  <c r="D77" i="4" s="1"/>
  <c r="C165" i="4"/>
  <c r="U160" i="4" l="1"/>
  <c r="V54" i="4"/>
  <c r="Z160" i="8"/>
  <c r="AA54" i="8"/>
  <c r="V46" i="8"/>
  <c r="W5" i="8"/>
  <c r="W11" i="8"/>
  <c r="W12" i="8" s="1"/>
  <c r="W13" i="8"/>
  <c r="W41" i="8"/>
  <c r="W40" i="8"/>
  <c r="W39" i="8"/>
  <c r="X3" i="8"/>
  <c r="W6" i="8"/>
  <c r="W196" i="8"/>
  <c r="U5" i="4"/>
  <c r="U13" i="4"/>
  <c r="U40" i="4"/>
  <c r="U11" i="4"/>
  <c r="U12" i="4" s="1"/>
  <c r="U41" i="4"/>
  <c r="U196" i="4"/>
  <c r="U6" i="4"/>
  <c r="U39" i="4"/>
  <c r="U46" i="4" s="1"/>
  <c r="V3" i="4"/>
  <c r="T46" i="4"/>
  <c r="T12" i="4"/>
  <c r="M66" i="4"/>
  <c r="M178" i="4" s="1"/>
  <c r="M199" i="4" s="1"/>
  <c r="M68" i="4"/>
  <c r="M69" i="4" s="1"/>
  <c r="S177" i="8"/>
  <c r="S198" i="8" s="1"/>
  <c r="S66" i="8"/>
  <c r="S178" i="8" s="1"/>
  <c r="S199" i="8" s="1"/>
  <c r="T53" i="8"/>
  <c r="T66" i="8" s="1"/>
  <c r="T178" i="8" s="1"/>
  <c r="T199" i="8" s="1"/>
  <c r="U49" i="8"/>
  <c r="U18" i="8" s="1"/>
  <c r="U19" i="8" s="1"/>
  <c r="U48" i="8" s="1"/>
  <c r="U50" i="8" s="1"/>
  <c r="S69" i="8"/>
  <c r="H78" i="8"/>
  <c r="H79" i="8" s="1"/>
  <c r="H76" i="8"/>
  <c r="H77" i="8" s="1"/>
  <c r="N53" i="4"/>
  <c r="N66" i="4" s="1"/>
  <c r="N178" i="4" s="1"/>
  <c r="N199" i="4" s="1"/>
  <c r="O49" i="4"/>
  <c r="O18" i="4" s="1"/>
  <c r="O19" i="4" s="1"/>
  <c r="O48" i="4" s="1"/>
  <c r="O50" i="4" s="1"/>
  <c r="D102" i="8"/>
  <c r="C109" i="8"/>
  <c r="E149" i="8"/>
  <c r="E93" i="8"/>
  <c r="F91" i="8"/>
  <c r="F90" i="8"/>
  <c r="G82" i="8"/>
  <c r="F86" i="8" s="1"/>
  <c r="D78" i="4"/>
  <c r="D79" i="4" s="1"/>
  <c r="D165" i="4"/>
  <c r="E74" i="4"/>
  <c r="E75" i="4" s="1"/>
  <c r="C82" i="4"/>
  <c r="W46" i="8" l="1"/>
  <c r="AA160" i="8"/>
  <c r="AB54" i="8"/>
  <c r="V160" i="4"/>
  <c r="W54" i="4"/>
  <c r="X5" i="8"/>
  <c r="X41" i="8"/>
  <c r="X11" i="8"/>
  <c r="X12" i="8" s="1"/>
  <c r="X13" i="8"/>
  <c r="X40" i="8"/>
  <c r="Y3" i="8"/>
  <c r="X39" i="8"/>
  <c r="X6" i="8"/>
  <c r="X196" i="8"/>
  <c r="V5" i="4"/>
  <c r="V13" i="4"/>
  <c r="V41" i="4"/>
  <c r="V11" i="4"/>
  <c r="V12" i="4" s="1"/>
  <c r="V40" i="4"/>
  <c r="W3" i="4"/>
  <c r="V39" i="4"/>
  <c r="V6" i="4"/>
  <c r="V196" i="4"/>
  <c r="N68" i="4"/>
  <c r="N69" i="4" s="1"/>
  <c r="N177" i="4"/>
  <c r="N198" i="4" s="1"/>
  <c r="T68" i="8"/>
  <c r="T69" i="8" s="1"/>
  <c r="T177" i="8"/>
  <c r="T198" i="8" s="1"/>
  <c r="U53" i="8"/>
  <c r="U68" i="8" s="1"/>
  <c r="V49" i="8"/>
  <c r="V18" i="8" s="1"/>
  <c r="V19" i="8" s="1"/>
  <c r="V48" i="8" s="1"/>
  <c r="V50" i="8" s="1"/>
  <c r="H81" i="8"/>
  <c r="H82" i="8" s="1"/>
  <c r="H165" i="8"/>
  <c r="I74" i="8"/>
  <c r="O53" i="4"/>
  <c r="O177" i="4" s="1"/>
  <c r="O198" i="4" s="1"/>
  <c r="P49" i="4"/>
  <c r="P18" i="4" s="1"/>
  <c r="P19" i="4" s="1"/>
  <c r="P48" i="4" s="1"/>
  <c r="P50" i="4" s="1"/>
  <c r="F89" i="8"/>
  <c r="F139" i="8"/>
  <c r="D108" i="8"/>
  <c r="D107" i="8"/>
  <c r="F87" i="8"/>
  <c r="F88" i="8" s="1"/>
  <c r="E95" i="8"/>
  <c r="C150" i="8"/>
  <c r="C110" i="8"/>
  <c r="D81" i="4"/>
  <c r="D82" i="4" s="1"/>
  <c r="C86" i="4" s="1"/>
  <c r="W160" i="4" l="1"/>
  <c r="X54" i="4"/>
  <c r="AB160" i="8"/>
  <c r="AC54" i="8"/>
  <c r="X46" i="8"/>
  <c r="Y5" i="8"/>
  <c r="Y41" i="8"/>
  <c r="Y13" i="8"/>
  <c r="Z3" i="8"/>
  <c r="Y40" i="8"/>
  <c r="Y11" i="8"/>
  <c r="Y12" i="8" s="1"/>
  <c r="Y196" i="8"/>
  <c r="Y39" i="8"/>
  <c r="Y6" i="8"/>
  <c r="V46" i="4"/>
  <c r="W5" i="4"/>
  <c r="W41" i="4"/>
  <c r="W39" i="4"/>
  <c r="W6" i="4"/>
  <c r="X3" i="4"/>
  <c r="W13" i="4"/>
  <c r="W11" i="4"/>
  <c r="W12" i="4" s="1"/>
  <c r="W196" i="4"/>
  <c r="W40" i="4"/>
  <c r="O68" i="4"/>
  <c r="O69" i="4" s="1"/>
  <c r="O66" i="4"/>
  <c r="O178" i="4" s="1"/>
  <c r="O199" i="4" s="1"/>
  <c r="U177" i="8"/>
  <c r="U198" i="8" s="1"/>
  <c r="U66" i="8"/>
  <c r="U178" i="8" s="1"/>
  <c r="U199" i="8" s="1"/>
  <c r="V53" i="8"/>
  <c r="V68" i="8" s="1"/>
  <c r="W49" i="8"/>
  <c r="W18" i="8" s="1"/>
  <c r="W19" i="8" s="1"/>
  <c r="W48" i="8" s="1"/>
  <c r="W50" i="8" s="1"/>
  <c r="U69" i="8"/>
  <c r="I75" i="8"/>
  <c r="I76" i="8" s="1"/>
  <c r="I77" i="8" s="1"/>
  <c r="P53" i="4"/>
  <c r="P68" i="4" s="1"/>
  <c r="Q49" i="4"/>
  <c r="Q18" i="4" s="1"/>
  <c r="Q19" i="4" s="1"/>
  <c r="Q48" i="4" s="1"/>
  <c r="Q50" i="4" s="1"/>
  <c r="C112" i="8"/>
  <c r="C113" i="8" s="1"/>
  <c r="G85" i="8"/>
  <c r="F92" i="8"/>
  <c r="E96" i="8"/>
  <c r="E97" i="8" s="1"/>
  <c r="E98" i="8" s="1"/>
  <c r="C139" i="4"/>
  <c r="C89" i="4"/>
  <c r="C88" i="4"/>
  <c r="E78" i="4"/>
  <c r="E79" i="4" s="1"/>
  <c r="E76" i="4"/>
  <c r="E77" i="4" s="1"/>
  <c r="AC160" i="8" l="1"/>
  <c r="AD54" i="8"/>
  <c r="X160" i="4"/>
  <c r="Y54" i="4"/>
  <c r="Y46" i="8"/>
  <c r="Z5" i="8"/>
  <c r="Z39" i="8"/>
  <c r="AA3" i="8"/>
  <c r="Z6" i="8"/>
  <c r="Z196" i="8"/>
  <c r="Z13" i="8"/>
  <c r="Z11" i="8"/>
  <c r="Z12" i="8" s="1"/>
  <c r="Z41" i="8"/>
  <c r="Z40" i="8"/>
  <c r="X5" i="4"/>
  <c r="X41" i="4"/>
  <c r="X39" i="4"/>
  <c r="X6" i="4"/>
  <c r="Y3" i="4"/>
  <c r="X13" i="4"/>
  <c r="X11" i="4"/>
  <c r="X12" i="4" s="1"/>
  <c r="X196" i="4"/>
  <c r="X40" i="4"/>
  <c r="W46" i="4"/>
  <c r="V177" i="8"/>
  <c r="V198" i="8" s="1"/>
  <c r="V66" i="8"/>
  <c r="V178" i="8" s="1"/>
  <c r="V199" i="8" s="1"/>
  <c r="W53" i="8"/>
  <c r="W68" i="8" s="1"/>
  <c r="X49" i="8"/>
  <c r="X18" i="8" s="1"/>
  <c r="X19" i="8" s="1"/>
  <c r="X48" i="8" s="1"/>
  <c r="X50" i="8" s="1"/>
  <c r="V69" i="8"/>
  <c r="I165" i="8"/>
  <c r="J74" i="8"/>
  <c r="I78" i="8"/>
  <c r="I79" i="8" s="1"/>
  <c r="P177" i="4"/>
  <c r="P198" i="4" s="1"/>
  <c r="P66" i="4"/>
  <c r="P178" i="4" s="1"/>
  <c r="P199" i="4" s="1"/>
  <c r="Q53" i="4"/>
  <c r="Q68" i="4" s="1"/>
  <c r="R49" i="4"/>
  <c r="R18" i="4" s="1"/>
  <c r="R19" i="4" s="1"/>
  <c r="R48" i="4" s="1"/>
  <c r="R50" i="4" s="1"/>
  <c r="P69" i="4"/>
  <c r="E99" i="8"/>
  <c r="D103" i="8" s="1"/>
  <c r="G86" i="8"/>
  <c r="C114" i="8"/>
  <c r="C115" i="8" s="1"/>
  <c r="F149" i="8"/>
  <c r="F93" i="8"/>
  <c r="G91" i="8"/>
  <c r="G90" i="8"/>
  <c r="E81" i="4"/>
  <c r="E165" i="4"/>
  <c r="F74" i="4"/>
  <c r="F75" i="4" s="1"/>
  <c r="D85" i="4"/>
  <c r="C92" i="4"/>
  <c r="Y160" i="4" l="1"/>
  <c r="Z54" i="4"/>
  <c r="AD160" i="8"/>
  <c r="AE54" i="8"/>
  <c r="Z46" i="8"/>
  <c r="Y5" i="4"/>
  <c r="Y196" i="4"/>
  <c r="Y6" i="4"/>
  <c r="Y13" i="4"/>
  <c r="Y41" i="4"/>
  <c r="Y40" i="4"/>
  <c r="Y11" i="4"/>
  <c r="Y12" i="4" s="1"/>
  <c r="Z3" i="4"/>
  <c r="Y39" i="4"/>
  <c r="AA5" i="8"/>
  <c r="AA6" i="8"/>
  <c r="AB3" i="8"/>
  <c r="AA196" i="8"/>
  <c r="AA13" i="8"/>
  <c r="AA11" i="8"/>
  <c r="AA12" i="8" s="1"/>
  <c r="AA41" i="8"/>
  <c r="AA39" i="8"/>
  <c r="AA40" i="8"/>
  <c r="X46" i="4"/>
  <c r="W66" i="8"/>
  <c r="W178" i="8" s="1"/>
  <c r="W199" i="8" s="1"/>
  <c r="W177" i="8"/>
  <c r="W198" i="8" s="1"/>
  <c r="X53" i="8"/>
  <c r="X68" i="8" s="1"/>
  <c r="Y49" i="8"/>
  <c r="Y18" i="8" s="1"/>
  <c r="Y19" i="8" s="1"/>
  <c r="Y48" i="8" s="1"/>
  <c r="Y50" i="8" s="1"/>
  <c r="W69" i="8"/>
  <c r="I81" i="8"/>
  <c r="I82" i="8" s="1"/>
  <c r="H86" i="8" s="1"/>
  <c r="H139" i="8" s="1"/>
  <c r="J75" i="8"/>
  <c r="J76" i="8" s="1"/>
  <c r="Q177" i="4"/>
  <c r="Q198" i="4" s="1"/>
  <c r="Q66" i="4"/>
  <c r="Q178" i="4" s="1"/>
  <c r="Q199" i="4" s="1"/>
  <c r="R53" i="4"/>
  <c r="R68" i="4" s="1"/>
  <c r="S49" i="4"/>
  <c r="S18" i="4" s="1"/>
  <c r="S19" i="4" s="1"/>
  <c r="S48" i="4" s="1"/>
  <c r="S50" i="4" s="1"/>
  <c r="Q69" i="4"/>
  <c r="C116" i="8"/>
  <c r="G89" i="8"/>
  <c r="G139" i="8"/>
  <c r="G87" i="8"/>
  <c r="G88" i="8" s="1"/>
  <c r="H85" i="8" s="1"/>
  <c r="D106" i="8"/>
  <c r="D140" i="8"/>
  <c r="D104" i="8"/>
  <c r="D105" i="8" s="1"/>
  <c r="F95" i="8"/>
  <c r="E82" i="4"/>
  <c r="D86" i="4" s="1"/>
  <c r="F76" i="4"/>
  <c r="F77" i="4" s="1"/>
  <c r="C149" i="4"/>
  <c r="C93" i="4"/>
  <c r="D90" i="4"/>
  <c r="D91" i="4"/>
  <c r="AE160" i="8" l="1"/>
  <c r="AF54" i="8"/>
  <c r="Z160" i="4"/>
  <c r="AA54" i="4"/>
  <c r="Y46" i="4"/>
  <c r="Z5" i="4"/>
  <c r="Z11" i="4"/>
  <c r="Z12" i="4" s="1"/>
  <c r="Z13" i="4"/>
  <c r="Z41" i="4"/>
  <c r="Z196" i="4"/>
  <c r="Z40" i="4"/>
  <c r="Z6" i="4"/>
  <c r="Z39" i="4"/>
  <c r="AA3" i="4"/>
  <c r="AA46" i="8"/>
  <c r="AB5" i="8"/>
  <c r="AB39" i="8"/>
  <c r="AC3" i="8"/>
  <c r="AB6" i="8"/>
  <c r="AB196" i="8"/>
  <c r="AB13" i="8"/>
  <c r="AB11" i="8"/>
  <c r="AB12" i="8" s="1"/>
  <c r="AB41" i="8"/>
  <c r="AB40" i="8"/>
  <c r="R66" i="4"/>
  <c r="R178" i="4" s="1"/>
  <c r="R199" i="4" s="1"/>
  <c r="R177" i="4"/>
  <c r="R198" i="4" s="1"/>
  <c r="Y53" i="8"/>
  <c r="Y68" i="8" s="1"/>
  <c r="Z49" i="8"/>
  <c r="Z18" i="8" s="1"/>
  <c r="Z19" i="8" s="1"/>
  <c r="Z48" i="8" s="1"/>
  <c r="Z50" i="8" s="1"/>
  <c r="X177" i="8"/>
  <c r="X198" i="8" s="1"/>
  <c r="X66" i="8"/>
  <c r="X178" i="8" s="1"/>
  <c r="X199" i="8" s="1"/>
  <c r="X69" i="8"/>
  <c r="J78" i="8"/>
  <c r="J79" i="8" s="1"/>
  <c r="J77" i="8"/>
  <c r="H89" i="8"/>
  <c r="H87" i="8"/>
  <c r="H88" i="8" s="1"/>
  <c r="H91" i="8"/>
  <c r="H90" i="8"/>
  <c r="S53" i="4"/>
  <c r="S68" i="4" s="1"/>
  <c r="T49" i="4"/>
  <c r="T18" i="4" s="1"/>
  <c r="T19" i="4" s="1"/>
  <c r="T48" i="4" s="1"/>
  <c r="T50" i="4" s="1"/>
  <c r="R69" i="4"/>
  <c r="F96" i="8"/>
  <c r="F97" i="8" s="1"/>
  <c r="F98" i="8" s="1"/>
  <c r="E102" i="8"/>
  <c r="D109" i="8"/>
  <c r="G92" i="8"/>
  <c r="D87" i="4"/>
  <c r="D88" i="4" s="1"/>
  <c r="E85" i="4" s="1"/>
  <c r="F165" i="4"/>
  <c r="G74" i="4"/>
  <c r="G75" i="4" s="1"/>
  <c r="D89" i="4"/>
  <c r="D139" i="4"/>
  <c r="F78" i="4"/>
  <c r="F79" i="4" s="1"/>
  <c r="C95" i="4"/>
  <c r="C96" i="4" s="1"/>
  <c r="Z46" i="4" l="1"/>
  <c r="AA160" i="4"/>
  <c r="AB54" i="4"/>
  <c r="AF160" i="8"/>
  <c r="AG54" i="8"/>
  <c r="AA5" i="4"/>
  <c r="AA41" i="4"/>
  <c r="AB3" i="4"/>
  <c r="AA39" i="4"/>
  <c r="AA11" i="4"/>
  <c r="AA12" i="4" s="1"/>
  <c r="AA13" i="4"/>
  <c r="AA6" i="4"/>
  <c r="AA196" i="4"/>
  <c r="AA40" i="4"/>
  <c r="AC5" i="8"/>
  <c r="AD3" i="8"/>
  <c r="AC6" i="8"/>
  <c r="AC196" i="8"/>
  <c r="AC13" i="8"/>
  <c r="AC11" i="8"/>
  <c r="AC12" i="8" s="1"/>
  <c r="AC41" i="8"/>
  <c r="AC40" i="8"/>
  <c r="AC39" i="8"/>
  <c r="AC46" i="8" s="1"/>
  <c r="AB46" i="8"/>
  <c r="Y177" i="8"/>
  <c r="Y198" i="8" s="1"/>
  <c r="Y66" i="8"/>
  <c r="Y178" i="8" s="1"/>
  <c r="Y199" i="8" s="1"/>
  <c r="Z53" i="8"/>
  <c r="Z68" i="8" s="1"/>
  <c r="AA49" i="8"/>
  <c r="AA18" i="8" s="1"/>
  <c r="AA19" i="8" s="1"/>
  <c r="AA48" i="8" s="1"/>
  <c r="AA50" i="8" s="1"/>
  <c r="Y69" i="8"/>
  <c r="J81" i="8"/>
  <c r="J82" i="8" s="1"/>
  <c r="J165" i="8"/>
  <c r="K74" i="8"/>
  <c r="H92" i="8"/>
  <c r="H149" i="8" s="1"/>
  <c r="I85" i="8"/>
  <c r="S66" i="4"/>
  <c r="S178" i="4" s="1"/>
  <c r="S199" i="4" s="1"/>
  <c r="S177" i="4"/>
  <c r="S198" i="4" s="1"/>
  <c r="T53" i="4"/>
  <c r="T68" i="4" s="1"/>
  <c r="U49" i="4"/>
  <c r="U18" i="4" s="1"/>
  <c r="U19" i="4" s="1"/>
  <c r="U48" i="4" s="1"/>
  <c r="U50" i="4" s="1"/>
  <c r="S69" i="4"/>
  <c r="E108" i="8"/>
  <c r="E107" i="8"/>
  <c r="G149" i="8"/>
  <c r="F99" i="8"/>
  <c r="E103" i="8" s="1"/>
  <c r="G93" i="8"/>
  <c r="D150" i="8"/>
  <c r="D110" i="8"/>
  <c r="C97" i="4"/>
  <c r="C98" i="4" s="1"/>
  <c r="F81" i="4"/>
  <c r="D92" i="4"/>
  <c r="G76" i="4"/>
  <c r="E90" i="4"/>
  <c r="E91" i="4"/>
  <c r="AG160" i="8" l="1"/>
  <c r="AH54" i="8"/>
  <c r="AB160" i="4"/>
  <c r="AC54" i="4"/>
  <c r="AA46" i="4"/>
  <c r="AD5" i="8"/>
  <c r="AD13" i="8"/>
  <c r="AD40" i="8"/>
  <c r="AD11" i="8"/>
  <c r="AD12" i="8" s="1"/>
  <c r="AE3" i="8"/>
  <c r="AD39" i="8"/>
  <c r="AD196" i="8"/>
  <c r="AD6" i="8"/>
  <c r="AD41" i="8"/>
  <c r="AB5" i="4"/>
  <c r="AB11" i="4"/>
  <c r="AB12" i="4" s="1"/>
  <c r="AB39" i="4"/>
  <c r="AB6" i="4"/>
  <c r="AB41" i="4"/>
  <c r="AC3" i="4"/>
  <c r="AB196" i="4"/>
  <c r="AB13" i="4"/>
  <c r="AB40" i="4"/>
  <c r="T177" i="4"/>
  <c r="T198" i="4" s="1"/>
  <c r="T66" i="4"/>
  <c r="T178" i="4" s="1"/>
  <c r="T199" i="4" s="1"/>
  <c r="Z177" i="8"/>
  <c r="Z198" i="8" s="1"/>
  <c r="Z66" i="8"/>
  <c r="Z178" i="8" s="1"/>
  <c r="Z199" i="8" s="1"/>
  <c r="I86" i="8"/>
  <c r="I87" i="8" s="1"/>
  <c r="I88" i="8" s="1"/>
  <c r="AA53" i="8"/>
  <c r="AA68" i="8" s="1"/>
  <c r="AB49" i="8"/>
  <c r="AB18" i="8" s="1"/>
  <c r="AB19" i="8" s="1"/>
  <c r="AB48" i="8" s="1"/>
  <c r="AB50" i="8" s="1"/>
  <c r="Z69" i="8"/>
  <c r="K75" i="8"/>
  <c r="H93" i="8"/>
  <c r="H95" i="8" s="1"/>
  <c r="H96" i="8" s="1"/>
  <c r="H97" i="8" s="1"/>
  <c r="I91" i="8"/>
  <c r="I90" i="8"/>
  <c r="U53" i="4"/>
  <c r="U68" i="4" s="1"/>
  <c r="V49" i="4"/>
  <c r="V18" i="4" s="1"/>
  <c r="V19" i="4" s="1"/>
  <c r="V48" i="4" s="1"/>
  <c r="V50" i="4" s="1"/>
  <c r="T69" i="4"/>
  <c r="E106" i="8"/>
  <c r="E140" i="8"/>
  <c r="D112" i="8"/>
  <c r="D113" i="8" s="1"/>
  <c r="G95" i="8"/>
  <c r="E104" i="8"/>
  <c r="E105" i="8" s="1"/>
  <c r="C99" i="4"/>
  <c r="D149" i="4"/>
  <c r="D93" i="4"/>
  <c r="D95" i="4" s="1"/>
  <c r="D96" i="4" s="1"/>
  <c r="G77" i="4"/>
  <c r="H74" i="4" s="1"/>
  <c r="F82" i="4"/>
  <c r="E86" i="4" s="1"/>
  <c r="G78" i="4"/>
  <c r="G79" i="4" s="1"/>
  <c r="AC160" i="4" l="1"/>
  <c r="AD54" i="4"/>
  <c r="AH160" i="8"/>
  <c r="AI54" i="8"/>
  <c r="AD46" i="8"/>
  <c r="AE5" i="8"/>
  <c r="AE41" i="8"/>
  <c r="AE13" i="8"/>
  <c r="AE11" i="8"/>
  <c r="AE12" i="8" s="1"/>
  <c r="AE40" i="8"/>
  <c r="AE39" i="8"/>
  <c r="AE46" i="8" s="1"/>
  <c r="AE6" i="8"/>
  <c r="AF3" i="8"/>
  <c r="AE196" i="8"/>
  <c r="AC5" i="4"/>
  <c r="AD3" i="4"/>
  <c r="AC13" i="4"/>
  <c r="AC39" i="4"/>
  <c r="AC11" i="4"/>
  <c r="AC12" i="4" s="1"/>
  <c r="AC41" i="4"/>
  <c r="AC6" i="4"/>
  <c r="AC196" i="4"/>
  <c r="AC40" i="4"/>
  <c r="AB46" i="4"/>
  <c r="AA177" i="8"/>
  <c r="AA198" i="8" s="1"/>
  <c r="AA66" i="8"/>
  <c r="AA178" i="8" s="1"/>
  <c r="AA199" i="8" s="1"/>
  <c r="I139" i="8"/>
  <c r="I89" i="8"/>
  <c r="U177" i="4"/>
  <c r="U198" i="4" s="1"/>
  <c r="U66" i="4"/>
  <c r="U178" i="4" s="1"/>
  <c r="U199" i="4" s="1"/>
  <c r="AB53" i="8"/>
  <c r="AB68" i="8" s="1"/>
  <c r="AC49" i="8"/>
  <c r="AC18" i="8" s="1"/>
  <c r="AC19" i="8" s="1"/>
  <c r="AC48" i="8" s="1"/>
  <c r="AC50" i="8" s="1"/>
  <c r="AA69" i="8"/>
  <c r="K78" i="8"/>
  <c r="K79" i="8" s="1"/>
  <c r="K76" i="8"/>
  <c r="K77" i="8" s="1"/>
  <c r="J85" i="8"/>
  <c r="I92" i="8"/>
  <c r="I149" i="8" s="1"/>
  <c r="V53" i="4"/>
  <c r="V68" i="4" s="1"/>
  <c r="W49" i="4"/>
  <c r="W18" i="4" s="1"/>
  <c r="W19" i="4" s="1"/>
  <c r="W48" i="4" s="1"/>
  <c r="W50" i="4" s="1"/>
  <c r="U69" i="4"/>
  <c r="H75" i="4"/>
  <c r="F102" i="8"/>
  <c r="E109" i="8"/>
  <c r="D114" i="8"/>
  <c r="D115" i="8" s="1"/>
  <c r="G96" i="8"/>
  <c r="G97" i="8" s="1"/>
  <c r="H98" i="8" s="1"/>
  <c r="D97" i="4"/>
  <c r="D98" i="4" s="1"/>
  <c r="G81" i="4"/>
  <c r="G165" i="4"/>
  <c r="E89" i="4"/>
  <c r="E139" i="4"/>
  <c r="E87" i="4"/>
  <c r="E88" i="4" s="1"/>
  <c r="AD160" i="4" l="1"/>
  <c r="AE54" i="4"/>
  <c r="AI160" i="8"/>
  <c r="AJ54" i="8"/>
  <c r="AD5" i="4"/>
  <c r="AD11" i="4"/>
  <c r="AD12" i="4" s="1"/>
  <c r="AD6" i="4"/>
  <c r="AD39" i="4"/>
  <c r="AD41" i="4"/>
  <c r="AD40" i="4"/>
  <c r="AE3" i="4"/>
  <c r="AD196" i="4"/>
  <c r="AD13" i="4"/>
  <c r="AF5" i="8"/>
  <c r="AG3" i="8"/>
  <c r="AF196" i="8"/>
  <c r="AF11" i="8"/>
  <c r="AF12" i="8" s="1"/>
  <c r="AF13" i="8"/>
  <c r="AF40" i="8"/>
  <c r="AF6" i="8"/>
  <c r="AF39" i="8"/>
  <c r="AF41" i="8"/>
  <c r="AC46" i="4"/>
  <c r="AB177" i="8"/>
  <c r="AB198" i="8" s="1"/>
  <c r="AB66" i="8"/>
  <c r="AB178" i="8" s="1"/>
  <c r="AB199" i="8" s="1"/>
  <c r="V177" i="4"/>
  <c r="V198" i="4" s="1"/>
  <c r="V66" i="4"/>
  <c r="V178" i="4" s="1"/>
  <c r="V199" i="4" s="1"/>
  <c r="AC53" i="8"/>
  <c r="AC68" i="8" s="1"/>
  <c r="AD49" i="8"/>
  <c r="AD18" i="8" s="1"/>
  <c r="AD19" i="8" s="1"/>
  <c r="AD48" i="8" s="1"/>
  <c r="AD50" i="8" s="1"/>
  <c r="AB69" i="8"/>
  <c r="K81" i="8"/>
  <c r="K82" i="8" s="1"/>
  <c r="J86" i="8" s="1"/>
  <c r="J87" i="8" s="1"/>
  <c r="I93" i="8"/>
  <c r="I95" i="8" s="1"/>
  <c r="I96" i="8" s="1"/>
  <c r="I97" i="8" s="1"/>
  <c r="I98" i="8" s="1"/>
  <c r="K165" i="8"/>
  <c r="L74" i="8"/>
  <c r="J90" i="8"/>
  <c r="J91" i="8"/>
  <c r="W53" i="4"/>
  <c r="W68" i="4" s="1"/>
  <c r="X49" i="4"/>
  <c r="X18" i="4" s="1"/>
  <c r="X19" i="4" s="1"/>
  <c r="X48" i="4" s="1"/>
  <c r="X50" i="4" s="1"/>
  <c r="V69" i="4"/>
  <c r="H78" i="4"/>
  <c r="H79" i="4" s="1"/>
  <c r="H76" i="4"/>
  <c r="H77" i="4" s="1"/>
  <c r="G98" i="8"/>
  <c r="G99" i="8" s="1"/>
  <c r="H99" i="8" s="1"/>
  <c r="D116" i="8"/>
  <c r="C120" i="8" s="1"/>
  <c r="E150" i="8"/>
  <c r="E110" i="8"/>
  <c r="F107" i="8"/>
  <c r="F108" i="8"/>
  <c r="D99" i="4"/>
  <c r="C103" i="4" s="1"/>
  <c r="F85" i="4"/>
  <c r="E92" i="4"/>
  <c r="G82" i="4"/>
  <c r="AJ160" i="8" l="1"/>
  <c r="AK54" i="8"/>
  <c r="AE160" i="4"/>
  <c r="AF54" i="4"/>
  <c r="AG5" i="8"/>
  <c r="AG39" i="8"/>
  <c r="AG196" i="8"/>
  <c r="AH3" i="8"/>
  <c r="AG13" i="8"/>
  <c r="AG11" i="8"/>
  <c r="AG12" i="8" s="1"/>
  <c r="AG6" i="8"/>
  <c r="AG40" i="8"/>
  <c r="AG41" i="8"/>
  <c r="AE11" i="4"/>
  <c r="AE12" i="4" s="1"/>
  <c r="AF3" i="4"/>
  <c r="AE6" i="4"/>
  <c r="AE5" i="4"/>
  <c r="AE40" i="4"/>
  <c r="AE39" i="4"/>
  <c r="AE196" i="4"/>
  <c r="AE13" i="4"/>
  <c r="AE41" i="4"/>
  <c r="AF46" i="8"/>
  <c r="AD46" i="4"/>
  <c r="W177" i="4"/>
  <c r="W198" i="4" s="1"/>
  <c r="W66" i="4"/>
  <c r="W178" i="4" s="1"/>
  <c r="W199" i="4" s="1"/>
  <c r="AC66" i="8"/>
  <c r="AC178" i="8" s="1"/>
  <c r="AC199" i="8" s="1"/>
  <c r="AC177" i="8"/>
  <c r="AC198" i="8" s="1"/>
  <c r="AD53" i="8"/>
  <c r="AD66" i="8" s="1"/>
  <c r="AD178" i="8" s="1"/>
  <c r="AD199" i="8" s="1"/>
  <c r="AE49" i="8"/>
  <c r="AE18" i="8" s="1"/>
  <c r="AE19" i="8" s="1"/>
  <c r="AE48" i="8" s="1"/>
  <c r="AE50" i="8" s="1"/>
  <c r="AC69" i="8"/>
  <c r="J88" i="8"/>
  <c r="J92" i="8" s="1"/>
  <c r="L75" i="8"/>
  <c r="J89" i="8"/>
  <c r="J139" i="8"/>
  <c r="I99" i="8"/>
  <c r="X53" i="4"/>
  <c r="X68" i="4" s="1"/>
  <c r="Y49" i="4"/>
  <c r="Y18" i="4" s="1"/>
  <c r="Y19" i="4" s="1"/>
  <c r="Y48" i="4" s="1"/>
  <c r="Y50" i="4" s="1"/>
  <c r="W69" i="4"/>
  <c r="H81" i="4"/>
  <c r="H82" i="4" s="1"/>
  <c r="H165" i="4"/>
  <c r="I74" i="4"/>
  <c r="F103" i="8"/>
  <c r="C123" i="8"/>
  <c r="C141" i="8"/>
  <c r="C122" i="8"/>
  <c r="E112" i="8"/>
  <c r="E113" i="8" s="1"/>
  <c r="C140" i="4"/>
  <c r="C105" i="4"/>
  <c r="D102" i="4" s="1"/>
  <c r="D107" i="4" s="1"/>
  <c r="C106" i="4"/>
  <c r="F86" i="4"/>
  <c r="E93" i="4"/>
  <c r="E95" i="4" s="1"/>
  <c r="E96" i="4" s="1"/>
  <c r="E149" i="4"/>
  <c r="F91" i="4"/>
  <c r="F90" i="4"/>
  <c r="AF160" i="4" l="1"/>
  <c r="AG54" i="4"/>
  <c r="AL54" i="8"/>
  <c r="AK160" i="8"/>
  <c r="AH5" i="8"/>
  <c r="AH39" i="8"/>
  <c r="AI3" i="8"/>
  <c r="AH6" i="8"/>
  <c r="AH196" i="8"/>
  <c r="AH13" i="8"/>
  <c r="AH40" i="8"/>
  <c r="AH11" i="8"/>
  <c r="AH12" i="8" s="1"/>
  <c r="AH41" i="8"/>
  <c r="AE46" i="4"/>
  <c r="AG46" i="8"/>
  <c r="AF5" i="4"/>
  <c r="AF40" i="4"/>
  <c r="AF39" i="4"/>
  <c r="AF6" i="4"/>
  <c r="AG3" i="4"/>
  <c r="AF11" i="4"/>
  <c r="AF12" i="4" s="1"/>
  <c r="AF196" i="4"/>
  <c r="AF13" i="4"/>
  <c r="AF41" i="4"/>
  <c r="F104" i="8"/>
  <c r="F105" i="8" s="1"/>
  <c r="G102" i="8" s="1"/>
  <c r="G108" i="8" s="1"/>
  <c r="F87" i="4"/>
  <c r="F88" i="4" s="1"/>
  <c r="G85" i="4" s="1"/>
  <c r="G86" i="4" s="1"/>
  <c r="AD68" i="8"/>
  <c r="AD69" i="8" s="1"/>
  <c r="AD177" i="8"/>
  <c r="AD198" i="8" s="1"/>
  <c r="X66" i="4"/>
  <c r="X178" i="4" s="1"/>
  <c r="X199" i="4" s="1"/>
  <c r="X177" i="4"/>
  <c r="X198" i="4" s="1"/>
  <c r="AE53" i="8"/>
  <c r="AE68" i="8" s="1"/>
  <c r="AF49" i="8"/>
  <c r="AF18" i="8" s="1"/>
  <c r="AF19" i="8" s="1"/>
  <c r="AF48" i="8" s="1"/>
  <c r="AF50" i="8" s="1"/>
  <c r="J149" i="8"/>
  <c r="J93" i="8"/>
  <c r="J95" i="8" s="1"/>
  <c r="J96" i="8" s="1"/>
  <c r="J97" i="8" s="1"/>
  <c r="J98" i="8" s="1"/>
  <c r="K85" i="8"/>
  <c r="K90" i="8" s="1"/>
  <c r="L78" i="8"/>
  <c r="L79" i="8" s="1"/>
  <c r="L76" i="8"/>
  <c r="L77" i="8" s="1"/>
  <c r="Y53" i="4"/>
  <c r="Y68" i="4" s="1"/>
  <c r="Z49" i="4"/>
  <c r="Z18" i="4" s="1"/>
  <c r="Z19" i="4" s="1"/>
  <c r="Z48" i="4" s="1"/>
  <c r="Z50" i="4" s="1"/>
  <c r="X69" i="4"/>
  <c r="I75" i="4"/>
  <c r="F106" i="8"/>
  <c r="F140" i="8"/>
  <c r="C144" i="8"/>
  <c r="C162" i="8" s="1"/>
  <c r="C145" i="8"/>
  <c r="C163" i="8" s="1"/>
  <c r="G103" i="8"/>
  <c r="E114" i="8"/>
  <c r="E115" i="8" s="1"/>
  <c r="C146" i="8"/>
  <c r="D119" i="8"/>
  <c r="C126" i="8"/>
  <c r="D108" i="4"/>
  <c r="C109" i="4"/>
  <c r="E97" i="4"/>
  <c r="E98" i="4" s="1"/>
  <c r="F139" i="4"/>
  <c r="F89" i="4"/>
  <c r="AL160" i="8" l="1"/>
  <c r="AM54" i="8"/>
  <c r="AG160" i="4"/>
  <c r="AH54" i="4"/>
  <c r="F92" i="4"/>
  <c r="F149" i="4" s="1"/>
  <c r="F109" i="8"/>
  <c r="F150" i="8" s="1"/>
  <c r="AG5" i="4"/>
  <c r="AG13" i="4"/>
  <c r="AG6" i="4"/>
  <c r="AG11" i="4"/>
  <c r="AG12" i="4" s="1"/>
  <c r="AH3" i="4"/>
  <c r="AG40" i="4"/>
  <c r="AG39" i="4"/>
  <c r="AG196" i="4"/>
  <c r="AG41" i="4"/>
  <c r="AI5" i="8"/>
  <c r="AI39" i="8"/>
  <c r="AI6" i="8"/>
  <c r="AI196" i="8"/>
  <c r="AJ3" i="8"/>
  <c r="AI13" i="8"/>
  <c r="AI11" i="8"/>
  <c r="AI12" i="8" s="1"/>
  <c r="AI40" i="8"/>
  <c r="AI41" i="8"/>
  <c r="G107" i="8"/>
  <c r="AF46" i="4"/>
  <c r="AH46" i="8"/>
  <c r="AE177" i="8"/>
  <c r="AE198" i="8" s="1"/>
  <c r="AE66" i="8"/>
  <c r="AE178" i="8" s="1"/>
  <c r="AE199" i="8" s="1"/>
  <c r="Y177" i="4"/>
  <c r="Y198" i="4" s="1"/>
  <c r="AF53" i="8"/>
  <c r="AF68" i="8" s="1"/>
  <c r="AG49" i="8"/>
  <c r="AG18" i="8" s="1"/>
  <c r="AG19" i="8" s="1"/>
  <c r="AG48" i="8" s="1"/>
  <c r="AG50" i="8" s="1"/>
  <c r="K91" i="8"/>
  <c r="AE69" i="8"/>
  <c r="L81" i="8"/>
  <c r="L82" i="8" s="1"/>
  <c r="K86" i="8" s="1"/>
  <c r="L165" i="8"/>
  <c r="M74" i="8"/>
  <c r="J99" i="8"/>
  <c r="Y66" i="4"/>
  <c r="Y178" i="4" s="1"/>
  <c r="Y199" i="4" s="1"/>
  <c r="Z53" i="4"/>
  <c r="Z68" i="4" s="1"/>
  <c r="AA49" i="4"/>
  <c r="AA18" i="4" s="1"/>
  <c r="AA19" i="4" s="1"/>
  <c r="AA48" i="4" s="1"/>
  <c r="AA50" i="4" s="1"/>
  <c r="Y69" i="4"/>
  <c r="I78" i="4"/>
  <c r="I79" i="4" s="1"/>
  <c r="I76" i="4"/>
  <c r="I77" i="4" s="1"/>
  <c r="G104" i="8"/>
  <c r="G105" i="8" s="1"/>
  <c r="H102" i="8" s="1"/>
  <c r="H103" i="8" s="1"/>
  <c r="G106" i="8"/>
  <c r="G140" i="8"/>
  <c r="C151" i="8"/>
  <c r="C155" i="8" s="1"/>
  <c r="C169" i="8" s="1"/>
  <c r="C127" i="8"/>
  <c r="C164" i="8"/>
  <c r="D125" i="8"/>
  <c r="D124" i="8"/>
  <c r="E116" i="8"/>
  <c r="D120" i="8" s="1"/>
  <c r="C150" i="4"/>
  <c r="C110" i="4"/>
  <c r="C112" i="4" s="1"/>
  <c r="E99" i="4"/>
  <c r="D103" i="4" s="1"/>
  <c r="G89" i="4"/>
  <c r="G139" i="4"/>
  <c r="G87" i="4"/>
  <c r="G88" i="4" s="1"/>
  <c r="H85" i="4" s="1"/>
  <c r="G90" i="4"/>
  <c r="G91" i="4"/>
  <c r="F110" i="8" l="1"/>
  <c r="F93" i="4"/>
  <c r="AM160" i="8"/>
  <c r="AN54" i="8"/>
  <c r="AH160" i="4"/>
  <c r="AI54" i="4"/>
  <c r="AG46" i="4"/>
  <c r="AH5" i="4"/>
  <c r="AI3" i="4"/>
  <c r="AH41" i="4"/>
  <c r="AH40" i="4"/>
  <c r="AH39" i="4"/>
  <c r="AH46" i="4" s="1"/>
  <c r="AH6" i="4"/>
  <c r="AH196" i="4"/>
  <c r="AH13" i="4"/>
  <c r="AH11" i="4"/>
  <c r="AH12" i="4" s="1"/>
  <c r="AJ5" i="8"/>
  <c r="AJ39" i="8"/>
  <c r="AJ46" i="8" s="1"/>
  <c r="AK3" i="8"/>
  <c r="AJ6" i="8"/>
  <c r="AJ196" i="8"/>
  <c r="AJ13" i="8"/>
  <c r="AJ40" i="8"/>
  <c r="AJ11" i="8"/>
  <c r="AJ12" i="8" s="1"/>
  <c r="AJ41" i="8"/>
  <c r="AI46" i="8"/>
  <c r="H106" i="8"/>
  <c r="AF177" i="8"/>
  <c r="AF198" i="8" s="1"/>
  <c r="AF66" i="8"/>
  <c r="AF178" i="8" s="1"/>
  <c r="AF199" i="8" s="1"/>
  <c r="Z177" i="4"/>
  <c r="Z198" i="4" s="1"/>
  <c r="H140" i="8"/>
  <c r="AG53" i="8"/>
  <c r="AG177" i="8" s="1"/>
  <c r="AG198" i="8" s="1"/>
  <c r="AH49" i="8"/>
  <c r="AH18" i="8" s="1"/>
  <c r="AH19" i="8" s="1"/>
  <c r="AH48" i="8" s="1"/>
  <c r="AH50" i="8" s="1"/>
  <c r="AF69" i="8"/>
  <c r="M75" i="8"/>
  <c r="K89" i="8"/>
  <c r="K139" i="8"/>
  <c r="K87" i="8"/>
  <c r="K88" i="8" s="1"/>
  <c r="H104" i="8"/>
  <c r="H105" i="8" s="1"/>
  <c r="H108" i="8"/>
  <c r="H107" i="8"/>
  <c r="Z66" i="4"/>
  <c r="Z178" i="4" s="1"/>
  <c r="Z199" i="4" s="1"/>
  <c r="AA53" i="4"/>
  <c r="AA68" i="4" s="1"/>
  <c r="AB49" i="4"/>
  <c r="AB18" i="4" s="1"/>
  <c r="AB19" i="4" s="1"/>
  <c r="AB48" i="4" s="1"/>
  <c r="AB50" i="4" s="1"/>
  <c r="Z69" i="4"/>
  <c r="I81" i="4"/>
  <c r="I82" i="4" s="1"/>
  <c r="H86" i="4" s="1"/>
  <c r="H87" i="4" s="1"/>
  <c r="I165" i="4"/>
  <c r="J74" i="4"/>
  <c r="H91" i="4"/>
  <c r="H90" i="4"/>
  <c r="F112" i="8"/>
  <c r="F113" i="8" s="1"/>
  <c r="G109" i="8"/>
  <c r="C156" i="8"/>
  <c r="C170" i="8" s="1"/>
  <c r="C154" i="8"/>
  <c r="C168" i="8" s="1"/>
  <c r="D123" i="8"/>
  <c r="D141" i="8"/>
  <c r="C129" i="8"/>
  <c r="D121" i="8"/>
  <c r="D122" i="8" s="1"/>
  <c r="C113" i="4"/>
  <c r="C114" i="4" s="1"/>
  <c r="C115" i="4" s="1"/>
  <c r="C116" i="4" s="1"/>
  <c r="D106" i="4"/>
  <c r="D104" i="4"/>
  <c r="D105" i="4" s="1"/>
  <c r="E102" i="4" s="1"/>
  <c r="D140" i="4"/>
  <c r="G92" i="4"/>
  <c r="F95" i="4"/>
  <c r="F96" i="4" s="1"/>
  <c r="H146" i="8" l="1"/>
  <c r="H164" i="8" s="1"/>
  <c r="H145" i="8"/>
  <c r="H163" i="8" s="1"/>
  <c r="AI160" i="4"/>
  <c r="AJ54" i="4"/>
  <c r="AO54" i="8"/>
  <c r="AN160" i="8"/>
  <c r="AI5" i="4"/>
  <c r="AI40" i="4"/>
  <c r="AI11" i="4"/>
  <c r="AI12" i="4" s="1"/>
  <c r="AJ3" i="4"/>
  <c r="AI39" i="4"/>
  <c r="AI6" i="4"/>
  <c r="AI196" i="4"/>
  <c r="AI13" i="4"/>
  <c r="AI41" i="4"/>
  <c r="AK5" i="8"/>
  <c r="AK6" i="8"/>
  <c r="AK13" i="8"/>
  <c r="AK41" i="8"/>
  <c r="AK11" i="8"/>
  <c r="AK12" i="8" s="1"/>
  <c r="AL3" i="8"/>
  <c r="AK40" i="8"/>
  <c r="AK39" i="8"/>
  <c r="AK46" i="8" s="1"/>
  <c r="AK196" i="8"/>
  <c r="G150" i="8"/>
  <c r="AA66" i="4"/>
  <c r="AA178" i="4" s="1"/>
  <c r="AA199" i="4" s="1"/>
  <c r="AA177" i="4"/>
  <c r="AA198" i="4" s="1"/>
  <c r="AG68" i="8"/>
  <c r="AG69" i="8" s="1"/>
  <c r="AG66" i="8"/>
  <c r="AG178" i="8" s="1"/>
  <c r="AG199" i="8" s="1"/>
  <c r="AH53" i="8"/>
  <c r="AH68" i="8" s="1"/>
  <c r="AI49" i="8"/>
  <c r="AI18" i="8" s="1"/>
  <c r="AI19" i="8" s="1"/>
  <c r="AI48" i="8" s="1"/>
  <c r="AI50" i="8" s="1"/>
  <c r="M78" i="8"/>
  <c r="M79" i="8" s="1"/>
  <c r="M76" i="8"/>
  <c r="M77" i="8" s="1"/>
  <c r="K92" i="8"/>
  <c r="K149" i="8" s="1"/>
  <c r="L85" i="8"/>
  <c r="I102" i="8"/>
  <c r="H109" i="8"/>
  <c r="H110" i="8" s="1"/>
  <c r="AB53" i="4"/>
  <c r="AB68" i="4" s="1"/>
  <c r="AC49" i="4"/>
  <c r="AC18" i="4" s="1"/>
  <c r="AC19" i="4" s="1"/>
  <c r="AC48" i="4" s="1"/>
  <c r="AC50" i="4" s="1"/>
  <c r="AA69" i="4"/>
  <c r="H88" i="4"/>
  <c r="H92" i="4" s="1"/>
  <c r="H149" i="4" s="1"/>
  <c r="J75" i="4"/>
  <c r="H89" i="4"/>
  <c r="H139" i="4"/>
  <c r="F114" i="8"/>
  <c r="F115" i="8" s="1"/>
  <c r="F116" i="8" s="1"/>
  <c r="E120" i="8" s="1"/>
  <c r="G110" i="8"/>
  <c r="D144" i="8"/>
  <c r="D162" i="8" s="1"/>
  <c r="D145" i="8"/>
  <c r="D163" i="8" s="1"/>
  <c r="D146" i="8"/>
  <c r="E119" i="8"/>
  <c r="D126" i="8"/>
  <c r="C130" i="8"/>
  <c r="C131" i="8" s="1"/>
  <c r="C132" i="8" s="1"/>
  <c r="C134" i="8" s="1"/>
  <c r="C159" i="8" s="1"/>
  <c r="D109" i="4"/>
  <c r="F97" i="4"/>
  <c r="F98" i="4" s="1"/>
  <c r="G93" i="4"/>
  <c r="E108" i="4"/>
  <c r="E107" i="4"/>
  <c r="G149" i="4"/>
  <c r="AO160" i="8" l="1"/>
  <c r="AP54" i="8"/>
  <c r="AK54" i="4"/>
  <c r="AJ160" i="4"/>
  <c r="AJ5" i="4"/>
  <c r="AJ39" i="4"/>
  <c r="AJ6" i="4"/>
  <c r="AK3" i="4"/>
  <c r="AJ196" i="4"/>
  <c r="AJ41" i="4"/>
  <c r="AJ40" i="4"/>
  <c r="AJ13" i="4"/>
  <c r="AJ11" i="4"/>
  <c r="AJ12" i="4" s="1"/>
  <c r="AI46" i="4"/>
  <c r="AL5" i="8"/>
  <c r="AL13" i="8"/>
  <c r="AL11" i="8"/>
  <c r="AL12" i="8" s="1"/>
  <c r="AL40" i="8"/>
  <c r="AL39" i="8"/>
  <c r="AL6" i="8"/>
  <c r="AM3" i="8"/>
  <c r="AL196" i="8"/>
  <c r="AL41" i="8"/>
  <c r="AH66" i="8"/>
  <c r="AH178" i="8" s="1"/>
  <c r="AH199" i="8" s="1"/>
  <c r="AB66" i="4"/>
  <c r="AB178" i="4" s="1"/>
  <c r="AB199" i="4" s="1"/>
  <c r="AB177" i="4"/>
  <c r="AB198" i="4" s="1"/>
  <c r="AH177" i="8"/>
  <c r="AH198" i="8" s="1"/>
  <c r="I103" i="8"/>
  <c r="I85" i="4"/>
  <c r="I91" i="4" s="1"/>
  <c r="AI53" i="8"/>
  <c r="AI68" i="8" s="1"/>
  <c r="AJ49" i="8"/>
  <c r="AJ18" i="8" s="1"/>
  <c r="AJ19" i="8" s="1"/>
  <c r="AJ48" i="8" s="1"/>
  <c r="AJ50" i="8" s="1"/>
  <c r="AH69" i="8"/>
  <c r="M81" i="8"/>
  <c r="M82" i="8" s="1"/>
  <c r="L86" i="8" s="1"/>
  <c r="L87" i="8" s="1"/>
  <c r="K93" i="8"/>
  <c r="K95" i="8" s="1"/>
  <c r="K96" i="8" s="1"/>
  <c r="K97" i="8" s="1"/>
  <c r="K98" i="8" s="1"/>
  <c r="K99" i="8" s="1"/>
  <c r="I107" i="8"/>
  <c r="I108" i="8"/>
  <c r="M165" i="8"/>
  <c r="N74" i="8"/>
  <c r="H150" i="8"/>
  <c r="L90" i="8"/>
  <c r="L91" i="8"/>
  <c r="H112" i="8"/>
  <c r="H113" i="8" s="1"/>
  <c r="H114" i="8" s="1"/>
  <c r="AC53" i="4"/>
  <c r="AC177" i="4" s="1"/>
  <c r="AC198" i="4" s="1"/>
  <c r="AD49" i="4"/>
  <c r="AD18" i="4" s="1"/>
  <c r="AD19" i="4" s="1"/>
  <c r="AD48" i="4" s="1"/>
  <c r="AD50" i="4" s="1"/>
  <c r="AB69" i="4"/>
  <c r="H93" i="4"/>
  <c r="H95" i="4" s="1"/>
  <c r="H96" i="4" s="1"/>
  <c r="H97" i="4" s="1"/>
  <c r="J78" i="4"/>
  <c r="J79" i="4" s="1"/>
  <c r="J76" i="4"/>
  <c r="J77" i="4" s="1"/>
  <c r="E141" i="8"/>
  <c r="E145" i="8" s="1"/>
  <c r="E163" i="8" s="1"/>
  <c r="E123" i="8"/>
  <c r="G112" i="8"/>
  <c r="G113" i="8" s="1"/>
  <c r="E146" i="8"/>
  <c r="E164" i="8" s="1"/>
  <c r="C172" i="8"/>
  <c r="C184" i="8" s="1"/>
  <c r="C202" i="8" s="1"/>
  <c r="C183" i="8"/>
  <c r="D151" i="8"/>
  <c r="D155" i="8" s="1"/>
  <c r="D169" i="8" s="1"/>
  <c r="D164" i="8"/>
  <c r="E121" i="8"/>
  <c r="E122" i="8" s="1"/>
  <c r="E124" i="8"/>
  <c r="E125" i="8"/>
  <c r="D127" i="8"/>
  <c r="D150" i="4"/>
  <c r="D110" i="4"/>
  <c r="D112" i="4" s="1"/>
  <c r="D113" i="4" s="1"/>
  <c r="F99" i="4"/>
  <c r="E103" i="4" s="1"/>
  <c r="G95" i="4"/>
  <c r="G96" i="4" s="1"/>
  <c r="H156" i="8" l="1"/>
  <c r="H170" i="8" s="1"/>
  <c r="H155" i="8"/>
  <c r="H169" i="8" s="1"/>
  <c r="AK160" i="4"/>
  <c r="AL54" i="4"/>
  <c r="AQ54" i="8"/>
  <c r="AP160" i="8"/>
  <c r="AM5" i="8"/>
  <c r="AM13" i="8"/>
  <c r="AM40" i="8"/>
  <c r="AM11" i="8"/>
  <c r="AM12" i="8" s="1"/>
  <c r="AN3" i="8"/>
  <c r="AM39" i="8"/>
  <c r="AM6" i="8"/>
  <c r="AM196" i="8"/>
  <c r="AM41" i="8"/>
  <c r="AL46" i="8"/>
  <c r="AK5" i="4"/>
  <c r="AK6" i="4"/>
  <c r="AL3" i="4"/>
  <c r="AK39" i="4"/>
  <c r="AK13" i="4"/>
  <c r="AK11" i="4"/>
  <c r="AK12" i="4" s="1"/>
  <c r="AK40" i="4"/>
  <c r="AK196" i="4"/>
  <c r="AK41" i="4"/>
  <c r="AJ46" i="4"/>
  <c r="AC66" i="4"/>
  <c r="AC178" i="4" s="1"/>
  <c r="AC199" i="4" s="1"/>
  <c r="AC68" i="4"/>
  <c r="AC69" i="4" s="1"/>
  <c r="AI66" i="8"/>
  <c r="AI178" i="8" s="1"/>
  <c r="AI199" i="8" s="1"/>
  <c r="I90" i="4"/>
  <c r="I140" i="8"/>
  <c r="I106" i="8"/>
  <c r="I104" i="8"/>
  <c r="I105" i="8" s="1"/>
  <c r="AI177" i="8"/>
  <c r="AI198" i="8" s="1"/>
  <c r="AJ53" i="8"/>
  <c r="AJ177" i="8" s="1"/>
  <c r="AJ198" i="8" s="1"/>
  <c r="AK49" i="8"/>
  <c r="AK18" i="8" s="1"/>
  <c r="AK19" i="8" s="1"/>
  <c r="AK48" i="8" s="1"/>
  <c r="AK50" i="8" s="1"/>
  <c r="AI69" i="8"/>
  <c r="L88" i="8"/>
  <c r="M85" i="8" s="1"/>
  <c r="N75" i="8"/>
  <c r="L89" i="8"/>
  <c r="L139" i="8"/>
  <c r="E144" i="8"/>
  <c r="E162" i="8" s="1"/>
  <c r="AD53" i="4"/>
  <c r="AD68" i="4" s="1"/>
  <c r="AE49" i="4"/>
  <c r="AE18" i="4" s="1"/>
  <c r="AE19" i="4" s="1"/>
  <c r="AE48" i="4" s="1"/>
  <c r="AE50" i="4" s="1"/>
  <c r="J81" i="4"/>
  <c r="J82" i="4" s="1"/>
  <c r="I86" i="4" s="1"/>
  <c r="J165" i="4"/>
  <c r="K74" i="4"/>
  <c r="G114" i="8"/>
  <c r="D156" i="8"/>
  <c r="D170" i="8" s="1"/>
  <c r="D154" i="8"/>
  <c r="D168" i="8" s="1"/>
  <c r="F119" i="8"/>
  <c r="E126" i="8"/>
  <c r="D129" i="8"/>
  <c r="C201" i="8"/>
  <c r="E104" i="4"/>
  <c r="E105" i="4" s="1"/>
  <c r="F102" i="4" s="1"/>
  <c r="E140" i="4"/>
  <c r="E106" i="4"/>
  <c r="D114" i="4"/>
  <c r="D115" i="4" s="1"/>
  <c r="G97" i="4"/>
  <c r="H98" i="4" s="1"/>
  <c r="I146" i="8" l="1"/>
  <c r="I164" i="8" s="1"/>
  <c r="I145" i="8"/>
  <c r="I163" i="8" s="1"/>
  <c r="AR54" i="8"/>
  <c r="AQ160" i="8"/>
  <c r="AL160" i="4"/>
  <c r="AM54" i="4"/>
  <c r="AM46" i="8"/>
  <c r="AN39" i="8"/>
  <c r="AN13" i="8"/>
  <c r="AN196" i="8"/>
  <c r="AN5" i="8"/>
  <c r="AN40" i="8"/>
  <c r="AN6" i="8"/>
  <c r="AN11" i="8"/>
  <c r="AN12" i="8" s="1"/>
  <c r="AN41" i="8"/>
  <c r="AO3" i="8"/>
  <c r="AK46" i="4"/>
  <c r="AL5" i="4"/>
  <c r="AL196" i="4"/>
  <c r="AL13" i="4"/>
  <c r="AL11" i="4"/>
  <c r="AL12" i="4" s="1"/>
  <c r="AL6" i="4"/>
  <c r="AL40" i="4"/>
  <c r="AM3" i="4"/>
  <c r="AL39" i="4"/>
  <c r="AL41" i="4"/>
  <c r="AJ66" i="8"/>
  <c r="AJ178" i="8" s="1"/>
  <c r="AJ199" i="8" s="1"/>
  <c r="AJ68" i="8"/>
  <c r="AJ69" i="8" s="1"/>
  <c r="AD66" i="4"/>
  <c r="AD178" i="4" s="1"/>
  <c r="AD199" i="4" s="1"/>
  <c r="AD177" i="4"/>
  <c r="AD198" i="4" s="1"/>
  <c r="L92" i="8"/>
  <c r="L149" i="8" s="1"/>
  <c r="J102" i="8"/>
  <c r="I109" i="8"/>
  <c r="AK53" i="8"/>
  <c r="AK177" i="8" s="1"/>
  <c r="AK198" i="8" s="1"/>
  <c r="AL49" i="8"/>
  <c r="AL18" i="8" s="1"/>
  <c r="AL19" i="8" s="1"/>
  <c r="AL48" i="8" s="1"/>
  <c r="AL50" i="8" s="1"/>
  <c r="N76" i="8"/>
  <c r="N77" i="8" s="1"/>
  <c r="N78" i="8"/>
  <c r="N79" i="8" s="1"/>
  <c r="M90" i="8"/>
  <c r="M91" i="8"/>
  <c r="G115" i="8"/>
  <c r="G116" i="8" s="1"/>
  <c r="F120" i="8" s="1"/>
  <c r="H115" i="8"/>
  <c r="AE53" i="4"/>
  <c r="AE68" i="4" s="1"/>
  <c r="AF49" i="4"/>
  <c r="AF18" i="4" s="1"/>
  <c r="AF19" i="4" s="1"/>
  <c r="AF48" i="4" s="1"/>
  <c r="AF50" i="4" s="1"/>
  <c r="AD69" i="4"/>
  <c r="K75" i="4"/>
  <c r="I89" i="4"/>
  <c r="I139" i="4"/>
  <c r="I87" i="4"/>
  <c r="I88" i="4" s="1"/>
  <c r="F146" i="8"/>
  <c r="F164" i="8" s="1"/>
  <c r="D130" i="8"/>
  <c r="D131" i="8" s="1"/>
  <c r="D132" i="8" s="1"/>
  <c r="D134" i="8" s="1"/>
  <c r="D159" i="8" s="1"/>
  <c r="E151" i="8"/>
  <c r="E155" i="8" s="1"/>
  <c r="E169" i="8" s="1"/>
  <c r="E127" i="8"/>
  <c r="F125" i="8"/>
  <c r="F124" i="8"/>
  <c r="E109" i="4"/>
  <c r="D116" i="4"/>
  <c r="C120" i="4" s="1"/>
  <c r="G98" i="4"/>
  <c r="F108" i="4"/>
  <c r="F107" i="4"/>
  <c r="AM160" i="4" l="1"/>
  <c r="AN54" i="4"/>
  <c r="AS54" i="8"/>
  <c r="AR160" i="8"/>
  <c r="AO13" i="8"/>
  <c r="AO41" i="8"/>
  <c r="AO39" i="8"/>
  <c r="AO5" i="8"/>
  <c r="AO11" i="8"/>
  <c r="AO12" i="8" s="1"/>
  <c r="AO196" i="8"/>
  <c r="AO40" i="8"/>
  <c r="AO6" i="8"/>
  <c r="AP3" i="8"/>
  <c r="AL46" i="4"/>
  <c r="AN46" i="8"/>
  <c r="AM5" i="4"/>
  <c r="AM13" i="4"/>
  <c r="AN3" i="4"/>
  <c r="AM41" i="4"/>
  <c r="AM11" i="4"/>
  <c r="AM12" i="4" s="1"/>
  <c r="AM40" i="4"/>
  <c r="AM39" i="4"/>
  <c r="AM196" i="4"/>
  <c r="AM6" i="4"/>
  <c r="F141" i="8"/>
  <c r="F144" i="8" s="1"/>
  <c r="F162" i="8" s="1"/>
  <c r="AE66" i="4"/>
  <c r="AE178" i="4" s="1"/>
  <c r="AE199" i="4" s="1"/>
  <c r="AE177" i="4"/>
  <c r="AE198" i="4" s="1"/>
  <c r="L93" i="8"/>
  <c r="L95" i="8" s="1"/>
  <c r="L96" i="8" s="1"/>
  <c r="L97" i="8" s="1"/>
  <c r="L98" i="8" s="1"/>
  <c r="L99" i="8" s="1"/>
  <c r="I150" i="8"/>
  <c r="I110" i="8"/>
  <c r="I112" i="8" s="1"/>
  <c r="I113" i="8" s="1"/>
  <c r="I114" i="8" s="1"/>
  <c r="I115" i="8" s="1"/>
  <c r="J108" i="8"/>
  <c r="J103" i="8"/>
  <c r="J107" i="8"/>
  <c r="AK66" i="8"/>
  <c r="AK178" i="8" s="1"/>
  <c r="AK199" i="8" s="1"/>
  <c r="AK68" i="8"/>
  <c r="AK69" i="8" s="1"/>
  <c r="AL53" i="8"/>
  <c r="AL177" i="8" s="1"/>
  <c r="AL198" i="8" s="1"/>
  <c r="AM49" i="8"/>
  <c r="AM18" i="8" s="1"/>
  <c r="AM19" i="8" s="1"/>
  <c r="AM48" i="8" s="1"/>
  <c r="AM50" i="8" s="1"/>
  <c r="N81" i="8"/>
  <c r="N82" i="8" s="1"/>
  <c r="M86" i="8" s="1"/>
  <c r="N165" i="8"/>
  <c r="O74" i="8"/>
  <c r="F121" i="8"/>
  <c r="F122" i="8" s="1"/>
  <c r="G119" i="8" s="1"/>
  <c r="G125" i="8" s="1"/>
  <c r="F123" i="8"/>
  <c r="F145" i="8"/>
  <c r="F163" i="8" s="1"/>
  <c r="H116" i="8"/>
  <c r="AF53" i="4"/>
  <c r="AF66" i="4" s="1"/>
  <c r="AF178" i="4" s="1"/>
  <c r="AF199" i="4" s="1"/>
  <c r="AG49" i="4"/>
  <c r="AG18" i="4" s="1"/>
  <c r="AG19" i="4" s="1"/>
  <c r="AG48" i="4" s="1"/>
  <c r="AG50" i="4" s="1"/>
  <c r="AE69" i="4"/>
  <c r="K78" i="4"/>
  <c r="K79" i="4" s="1"/>
  <c r="K76" i="4"/>
  <c r="K77" i="4" s="1"/>
  <c r="J85" i="4"/>
  <c r="I92" i="4"/>
  <c r="I149" i="4" s="1"/>
  <c r="E156" i="8"/>
  <c r="E170" i="8" s="1"/>
  <c r="E154" i="8"/>
  <c r="E168" i="8" s="1"/>
  <c r="E129" i="8"/>
  <c r="D183" i="8"/>
  <c r="D172" i="8"/>
  <c r="D184" i="8" s="1"/>
  <c r="D202" i="8" s="1"/>
  <c r="E150" i="4"/>
  <c r="E110" i="4"/>
  <c r="C141" i="4"/>
  <c r="C146" i="4" s="1"/>
  <c r="C164" i="4" s="1"/>
  <c r="C122" i="4"/>
  <c r="C126" i="4" s="1"/>
  <c r="C123" i="4"/>
  <c r="G99" i="4"/>
  <c r="H99" i="4" s="1"/>
  <c r="I156" i="8" l="1"/>
  <c r="I170" i="8" s="1"/>
  <c r="I155" i="8"/>
  <c r="I169" i="8" s="1"/>
  <c r="AM46" i="4"/>
  <c r="AS160" i="8"/>
  <c r="AT54" i="8"/>
  <c r="AO54" i="4"/>
  <c r="AN160" i="4"/>
  <c r="AP196" i="8"/>
  <c r="AP13" i="8"/>
  <c r="AP40" i="8"/>
  <c r="AQ3" i="8"/>
  <c r="AP41" i="8"/>
  <c r="AP39" i="8"/>
  <c r="AP5" i="8"/>
  <c r="AP6" i="8"/>
  <c r="AP11" i="8"/>
  <c r="AP12" i="8" s="1"/>
  <c r="AO46" i="8"/>
  <c r="AN13" i="4"/>
  <c r="AN40" i="4"/>
  <c r="AO3" i="4"/>
  <c r="AN39" i="4"/>
  <c r="AN196" i="4"/>
  <c r="AN11" i="4"/>
  <c r="AN12" i="4" s="1"/>
  <c r="AN5" i="4"/>
  <c r="AN6" i="4"/>
  <c r="AN41" i="4"/>
  <c r="AM53" i="8"/>
  <c r="AM66" i="8" s="1"/>
  <c r="AM178" i="8" s="1"/>
  <c r="AM199" i="8" s="1"/>
  <c r="AN49" i="8"/>
  <c r="AN18" i="8" s="1"/>
  <c r="AN19" i="8" s="1"/>
  <c r="AN48" i="8" s="1"/>
  <c r="AN50" i="8" s="1"/>
  <c r="I116" i="8"/>
  <c r="AF68" i="4"/>
  <c r="AF69" i="4" s="1"/>
  <c r="AL68" i="8"/>
  <c r="AL69" i="8" s="1"/>
  <c r="J106" i="8"/>
  <c r="J140" i="8"/>
  <c r="J104" i="8"/>
  <c r="J105" i="8" s="1"/>
  <c r="AL66" i="8"/>
  <c r="AL178" i="8" s="1"/>
  <c r="AL199" i="8" s="1"/>
  <c r="AF177" i="4"/>
  <c r="AF198" i="4" s="1"/>
  <c r="O75" i="8"/>
  <c r="O76" i="8" s="1"/>
  <c r="M89" i="8"/>
  <c r="M139" i="8"/>
  <c r="M87" i="8"/>
  <c r="M88" i="8" s="1"/>
  <c r="G124" i="8"/>
  <c r="F126" i="8"/>
  <c r="G120" i="8"/>
  <c r="AG53" i="4"/>
  <c r="AG68" i="4" s="1"/>
  <c r="AH49" i="4"/>
  <c r="AH18" i="4" s="1"/>
  <c r="AH19" i="4" s="1"/>
  <c r="AH48" i="4" s="1"/>
  <c r="AH50" i="4" s="1"/>
  <c r="K81" i="4"/>
  <c r="K82" i="4" s="1"/>
  <c r="J86" i="4" s="1"/>
  <c r="J87" i="4" s="1"/>
  <c r="J88" i="4" s="1"/>
  <c r="I93" i="4"/>
  <c r="I95" i="4" s="1"/>
  <c r="K165" i="4"/>
  <c r="L74" i="4"/>
  <c r="J91" i="4"/>
  <c r="J90" i="4"/>
  <c r="C145" i="4"/>
  <c r="C163" i="4" s="1"/>
  <c r="C144" i="4"/>
  <c r="C162" i="4" s="1"/>
  <c r="D201" i="8"/>
  <c r="E130" i="8"/>
  <c r="E131" i="8" s="1"/>
  <c r="E132" i="8" s="1"/>
  <c r="E134" i="8" s="1"/>
  <c r="E159" i="8" s="1"/>
  <c r="E112" i="4"/>
  <c r="F103" i="4"/>
  <c r="D119" i="4"/>
  <c r="D125" i="4" s="1"/>
  <c r="C151" i="4"/>
  <c r="C155" i="4" s="1"/>
  <c r="C169" i="4" s="1"/>
  <c r="C127" i="4"/>
  <c r="J146" i="8" l="1"/>
  <c r="J164" i="8" s="1"/>
  <c r="J145" i="8"/>
  <c r="J163" i="8" s="1"/>
  <c r="AP54" i="4"/>
  <c r="AO160" i="4"/>
  <c r="AT160" i="8"/>
  <c r="AU54" i="8"/>
  <c r="AM68" i="8"/>
  <c r="AM69" i="8" s="1"/>
  <c r="AP46" i="8"/>
  <c r="AQ196" i="8"/>
  <c r="AQ39" i="8"/>
  <c r="AQ40" i="8"/>
  <c r="AR3" i="8"/>
  <c r="AQ13" i="8"/>
  <c r="AQ5" i="8"/>
  <c r="AQ11" i="8"/>
  <c r="AQ12" i="8" s="1"/>
  <c r="AQ41" i="8"/>
  <c r="AQ6" i="8"/>
  <c r="AM177" i="8"/>
  <c r="AM198" i="8" s="1"/>
  <c r="AN46" i="4"/>
  <c r="AO6" i="4"/>
  <c r="AO40" i="4"/>
  <c r="AP3" i="4"/>
  <c r="AO39" i="4"/>
  <c r="AO196" i="4"/>
  <c r="AO11" i="4"/>
  <c r="AO12" i="4" s="1"/>
  <c r="AO41" i="4"/>
  <c r="AO5" i="4"/>
  <c r="AO13" i="4"/>
  <c r="AN53" i="8"/>
  <c r="AO49" i="8"/>
  <c r="AO18" i="8" s="1"/>
  <c r="AO19" i="8" s="1"/>
  <c r="AO48" i="8" s="1"/>
  <c r="AO50" i="8" s="1"/>
  <c r="F104" i="4"/>
  <c r="F105" i="4" s="1"/>
  <c r="G102" i="4" s="1"/>
  <c r="G121" i="8"/>
  <c r="G122" i="8" s="1"/>
  <c r="H119" i="8" s="1"/>
  <c r="H125" i="8" s="1"/>
  <c r="F151" i="8"/>
  <c r="F155" i="8" s="1"/>
  <c r="F169" i="8" s="1"/>
  <c r="AG177" i="4"/>
  <c r="AG198" i="4" s="1"/>
  <c r="AG66" i="4"/>
  <c r="AG178" i="4" s="1"/>
  <c r="AG199" i="4" s="1"/>
  <c r="K102" i="8"/>
  <c r="J109" i="8"/>
  <c r="O78" i="8"/>
  <c r="O79" i="8" s="1"/>
  <c r="O77" i="8"/>
  <c r="M92" i="8"/>
  <c r="M149" i="8" s="1"/>
  <c r="N85" i="8"/>
  <c r="F127" i="8"/>
  <c r="F129" i="8" s="1"/>
  <c r="G141" i="8"/>
  <c r="G145" i="8" s="1"/>
  <c r="G163" i="8" s="1"/>
  <c r="G123" i="8"/>
  <c r="AH53" i="4"/>
  <c r="AH177" i="4" s="1"/>
  <c r="AH198" i="4" s="1"/>
  <c r="AI49" i="4"/>
  <c r="AI18" i="4" s="1"/>
  <c r="AI19" i="4" s="1"/>
  <c r="AI48" i="4" s="1"/>
  <c r="AI50" i="4" s="1"/>
  <c r="AG69" i="4"/>
  <c r="L75" i="4"/>
  <c r="J92" i="4"/>
  <c r="J149" i="4" s="1"/>
  <c r="K85" i="4"/>
  <c r="J89" i="4"/>
  <c r="J139" i="4"/>
  <c r="I96" i="4"/>
  <c r="I97" i="4" s="1"/>
  <c r="I98" i="4" s="1"/>
  <c r="I99" i="4" s="1"/>
  <c r="H103" i="4" s="1"/>
  <c r="H106" i="4" s="1"/>
  <c r="G146" i="8"/>
  <c r="G164" i="8" s="1"/>
  <c r="F156" i="8"/>
  <c r="F170" i="8" s="1"/>
  <c r="E183" i="8"/>
  <c r="E172" i="8"/>
  <c r="E184" i="8" s="1"/>
  <c r="E202" i="8" s="1"/>
  <c r="E113" i="4"/>
  <c r="E114" i="4" s="1"/>
  <c r="E115" i="4" s="1"/>
  <c r="E116" i="4" s="1"/>
  <c r="D120" i="4" s="1"/>
  <c r="F106" i="4"/>
  <c r="F140" i="4"/>
  <c r="D124" i="4"/>
  <c r="C129" i="4"/>
  <c r="C130" i="4" s="1"/>
  <c r="C154" i="4"/>
  <c r="C168" i="4" s="1"/>
  <c r="C156" i="4"/>
  <c r="C170" i="4" s="1"/>
  <c r="AU160" i="8" l="1"/>
  <c r="AV54" i="8"/>
  <c r="AQ54" i="4"/>
  <c r="AP160" i="4"/>
  <c r="AR6" i="8"/>
  <c r="AR5" i="8"/>
  <c r="AR41" i="8"/>
  <c r="AS3" i="8"/>
  <c r="AR39" i="8"/>
  <c r="AR40" i="8"/>
  <c r="AR11" i="8"/>
  <c r="AR12" i="8" s="1"/>
  <c r="AR196" i="8"/>
  <c r="AR13" i="8"/>
  <c r="AO46" i="4"/>
  <c r="AQ3" i="4"/>
  <c r="AP39" i="4"/>
  <c r="AP5" i="4"/>
  <c r="AP11" i="4"/>
  <c r="AP12" i="4" s="1"/>
  <c r="AP41" i="4"/>
  <c r="AP6" i="4"/>
  <c r="AP13" i="4"/>
  <c r="AP40" i="4"/>
  <c r="AP196" i="4"/>
  <c r="F109" i="4"/>
  <c r="F110" i="4" s="1"/>
  <c r="AQ46" i="8"/>
  <c r="H120" i="8"/>
  <c r="H121" i="8" s="1"/>
  <c r="H122" i="8" s="1"/>
  <c r="H126" i="8" s="1"/>
  <c r="H124" i="8"/>
  <c r="G126" i="8"/>
  <c r="G127" i="8" s="1"/>
  <c r="G129" i="8" s="1"/>
  <c r="G130" i="8" s="1"/>
  <c r="G131" i="8" s="1"/>
  <c r="F154" i="8"/>
  <c r="F168" i="8" s="1"/>
  <c r="AO53" i="8"/>
  <c r="AP49" i="8"/>
  <c r="AP18" i="8" s="1"/>
  <c r="AP19" i="8" s="1"/>
  <c r="AP48" i="8" s="1"/>
  <c r="AP50" i="8" s="1"/>
  <c r="AN68" i="8"/>
  <c r="AN66" i="8"/>
  <c r="AN178" i="8" s="1"/>
  <c r="AN199" i="8" s="1"/>
  <c r="AN177" i="8"/>
  <c r="AN198" i="8" s="1"/>
  <c r="AH66" i="4"/>
  <c r="AH178" i="4" s="1"/>
  <c r="AH199" i="4" s="1"/>
  <c r="AH68" i="4"/>
  <c r="AH69" i="4" s="1"/>
  <c r="J150" i="8"/>
  <c r="J110" i="8"/>
  <c r="K107" i="8"/>
  <c r="K108" i="8"/>
  <c r="K103" i="8"/>
  <c r="O81" i="8"/>
  <c r="O82" i="8" s="1"/>
  <c r="N86" i="8" s="1"/>
  <c r="N87" i="8" s="1"/>
  <c r="N88" i="8" s="1"/>
  <c r="O85" i="8" s="1"/>
  <c r="M93" i="8"/>
  <c r="M95" i="8" s="1"/>
  <c r="M96" i="8" s="1"/>
  <c r="M97" i="8" s="1"/>
  <c r="M98" i="8" s="1"/>
  <c r="M99" i="8" s="1"/>
  <c r="G144" i="8"/>
  <c r="G162" i="8" s="1"/>
  <c r="O165" i="8"/>
  <c r="P74" i="8"/>
  <c r="N91" i="8"/>
  <c r="N90" i="8"/>
  <c r="AI53" i="4"/>
  <c r="AI66" i="4" s="1"/>
  <c r="AI178" i="4" s="1"/>
  <c r="AI199" i="4" s="1"/>
  <c r="AJ49" i="4"/>
  <c r="AJ18" i="4" s="1"/>
  <c r="AJ19" i="4" s="1"/>
  <c r="AJ48" i="4" s="1"/>
  <c r="AJ50" i="4" s="1"/>
  <c r="J93" i="4"/>
  <c r="J95" i="4" s="1"/>
  <c r="J96" i="4" s="1"/>
  <c r="J97" i="4" s="1"/>
  <c r="L78" i="4"/>
  <c r="L79" i="4" s="1"/>
  <c r="L76" i="4"/>
  <c r="L77" i="4" s="1"/>
  <c r="K91" i="4"/>
  <c r="K90" i="4"/>
  <c r="G103" i="4"/>
  <c r="F130" i="8"/>
  <c r="F131" i="8" s="1"/>
  <c r="E201" i="8"/>
  <c r="G108" i="4"/>
  <c r="G107" i="4"/>
  <c r="C131" i="4"/>
  <c r="D141" i="4"/>
  <c r="D146" i="4" s="1"/>
  <c r="D164" i="4" s="1"/>
  <c r="D121" i="4"/>
  <c r="D122" i="4" s="1"/>
  <c r="E119" i="4" s="1"/>
  <c r="D123" i="4"/>
  <c r="D145" i="4"/>
  <c r="D163" i="4" s="1"/>
  <c r="J156" i="8" l="1"/>
  <c r="J170" i="8" s="1"/>
  <c r="J155" i="8"/>
  <c r="J169" i="8" s="1"/>
  <c r="AR54" i="4"/>
  <c r="AQ160" i="4"/>
  <c r="AV160" i="8"/>
  <c r="AW54" i="8"/>
  <c r="AW160" i="8" s="1"/>
  <c r="F150" i="4"/>
  <c r="G151" i="8"/>
  <c r="G155" i="8" s="1"/>
  <c r="G169" i="8" s="1"/>
  <c r="AP46" i="4"/>
  <c r="AR3" i="4"/>
  <c r="AQ39" i="4"/>
  <c r="AQ196" i="4"/>
  <c r="AQ5" i="4"/>
  <c r="AQ13" i="4"/>
  <c r="AQ40" i="4"/>
  <c r="AQ6" i="4"/>
  <c r="AQ11" i="4"/>
  <c r="AQ12" i="4" s="1"/>
  <c r="AQ41" i="4"/>
  <c r="AS41" i="8"/>
  <c r="AS40" i="8"/>
  <c r="AS5" i="8"/>
  <c r="AS196" i="8"/>
  <c r="AS13" i="8"/>
  <c r="AS6" i="8"/>
  <c r="AT3" i="8"/>
  <c r="AS39" i="8"/>
  <c r="AS11" i="8"/>
  <c r="AS12" i="8" s="1"/>
  <c r="AR46" i="8"/>
  <c r="H123" i="8"/>
  <c r="H127" i="8" s="1"/>
  <c r="H129" i="8" s="1"/>
  <c r="H130" i="8" s="1"/>
  <c r="H131" i="8" s="1"/>
  <c r="H132" i="8" s="1"/>
  <c r="H134" i="8" s="1"/>
  <c r="H159" i="8" s="1"/>
  <c r="H141" i="8"/>
  <c r="H144" i="8" s="1"/>
  <c r="H162" i="8" s="1"/>
  <c r="I119" i="8"/>
  <c r="I125" i="8" s="1"/>
  <c r="AO177" i="8"/>
  <c r="AO198" i="8" s="1"/>
  <c r="AO66" i="8"/>
  <c r="AO178" i="8" s="1"/>
  <c r="AO199" i="8" s="1"/>
  <c r="AO68" i="8"/>
  <c r="AQ49" i="8"/>
  <c r="AQ18" i="8" s="1"/>
  <c r="AQ19" i="8" s="1"/>
  <c r="AQ48" i="8" s="1"/>
  <c r="AQ50" i="8" s="1"/>
  <c r="AP53" i="8"/>
  <c r="AN69" i="8"/>
  <c r="H151" i="8"/>
  <c r="H154" i="8" s="1"/>
  <c r="H168" i="8" s="1"/>
  <c r="AI68" i="4"/>
  <c r="AI69" i="4" s="1"/>
  <c r="K104" i="8"/>
  <c r="K105" i="8" s="1"/>
  <c r="K106" i="8"/>
  <c r="K140" i="8"/>
  <c r="J112" i="8"/>
  <c r="J113" i="8" s="1"/>
  <c r="J114" i="8" s="1"/>
  <c r="J115" i="8" s="1"/>
  <c r="J116" i="8" s="1"/>
  <c r="N92" i="8"/>
  <c r="N149" i="8" s="1"/>
  <c r="P75" i="8"/>
  <c r="O91" i="8"/>
  <c r="O90" i="8"/>
  <c r="N89" i="8"/>
  <c r="N139" i="8"/>
  <c r="AI177" i="4"/>
  <c r="AI198" i="4" s="1"/>
  <c r="AJ53" i="4"/>
  <c r="AJ68" i="4" s="1"/>
  <c r="AK49" i="4"/>
  <c r="AK18" i="4" s="1"/>
  <c r="AK19" i="4" s="1"/>
  <c r="AK48" i="4" s="1"/>
  <c r="AK50" i="4" s="1"/>
  <c r="L81" i="4"/>
  <c r="L82" i="4" s="1"/>
  <c r="K86" i="4" s="1"/>
  <c r="J98" i="4"/>
  <c r="J99" i="4" s="1"/>
  <c r="I103" i="4" s="1"/>
  <c r="I140" i="4" s="1"/>
  <c r="L165" i="4"/>
  <c r="M74" i="4"/>
  <c r="H140" i="4"/>
  <c r="D144" i="4"/>
  <c r="D162" i="4" s="1"/>
  <c r="G156" i="8"/>
  <c r="G170" i="8" s="1"/>
  <c r="G106" i="4"/>
  <c r="G140" i="4"/>
  <c r="G104" i="4"/>
  <c r="G105" i="4" s="1"/>
  <c r="H102" i="4" s="1"/>
  <c r="G132" i="8"/>
  <c r="G134" i="8" s="1"/>
  <c r="G159" i="8" s="1"/>
  <c r="G183" i="8" s="1"/>
  <c r="G201" i="8" s="1"/>
  <c r="F132" i="8"/>
  <c r="F134" i="8" s="1"/>
  <c r="F159" i="8" s="1"/>
  <c r="F183" i="8" s="1"/>
  <c r="F112" i="4"/>
  <c r="C132" i="4"/>
  <c r="D126" i="4"/>
  <c r="E124" i="4"/>
  <c r="E125" i="4"/>
  <c r="I146" i="4" l="1"/>
  <c r="I164" i="4" s="1"/>
  <c r="I145" i="4"/>
  <c r="I163" i="4" s="1"/>
  <c r="H146" i="4"/>
  <c r="H164" i="4" s="1"/>
  <c r="H145" i="4"/>
  <c r="H163" i="4" s="1"/>
  <c r="K146" i="8"/>
  <c r="K164" i="8" s="1"/>
  <c r="K145" i="8"/>
  <c r="K163" i="8" s="1"/>
  <c r="AS54" i="4"/>
  <c r="AR160" i="4"/>
  <c r="G154" i="8"/>
  <c r="G168" i="8" s="1"/>
  <c r="G172" i="8" s="1"/>
  <c r="G184" i="8" s="1"/>
  <c r="G202" i="8" s="1"/>
  <c r="AS46" i="8"/>
  <c r="AU3" i="8"/>
  <c r="AT5" i="8"/>
  <c r="AT41" i="8"/>
  <c r="AT39" i="8"/>
  <c r="AT13" i="8"/>
  <c r="AT40" i="8"/>
  <c r="AT6" i="8"/>
  <c r="AT11" i="8"/>
  <c r="AT12" i="8" s="1"/>
  <c r="AT196" i="8"/>
  <c r="AQ46" i="4"/>
  <c r="AR39" i="4"/>
  <c r="AR13" i="4"/>
  <c r="AR196" i="4"/>
  <c r="AR5" i="4"/>
  <c r="AR40" i="4"/>
  <c r="AS3" i="4"/>
  <c r="AR11" i="4"/>
  <c r="AR12" i="4" s="1"/>
  <c r="AR6" i="4"/>
  <c r="AR41" i="4"/>
  <c r="I124" i="8"/>
  <c r="I120" i="8"/>
  <c r="I121" i="8" s="1"/>
  <c r="I122" i="8" s="1"/>
  <c r="J119" i="8" s="1"/>
  <c r="AP177" i="8"/>
  <c r="AP198" i="8" s="1"/>
  <c r="AP66" i="8"/>
  <c r="AP178" i="8" s="1"/>
  <c r="AP199" i="8" s="1"/>
  <c r="AP68" i="8"/>
  <c r="AR49" i="8"/>
  <c r="AR18" i="8" s="1"/>
  <c r="AR19" i="8" s="1"/>
  <c r="AR48" i="8" s="1"/>
  <c r="AR50" i="8" s="1"/>
  <c r="AQ53" i="8"/>
  <c r="AO69" i="8"/>
  <c r="L102" i="8"/>
  <c r="K109" i="8"/>
  <c r="N93" i="8"/>
  <c r="N95" i="8" s="1"/>
  <c r="N96" i="8" s="1"/>
  <c r="N97" i="8" s="1"/>
  <c r="N98" i="8" s="1"/>
  <c r="N99" i="8" s="1"/>
  <c r="P78" i="8"/>
  <c r="P79" i="8" s="1"/>
  <c r="P76" i="8"/>
  <c r="P77" i="8" s="1"/>
  <c r="H183" i="8"/>
  <c r="H201" i="8" s="1"/>
  <c r="H172" i="8"/>
  <c r="H184" i="8" s="1"/>
  <c r="H202" i="8" s="1"/>
  <c r="AJ177" i="4"/>
  <c r="AJ198" i="4" s="1"/>
  <c r="AJ66" i="4"/>
  <c r="AJ178" i="4" s="1"/>
  <c r="AJ199" i="4" s="1"/>
  <c r="AK53" i="4"/>
  <c r="AK68" i="4" s="1"/>
  <c r="AL49" i="4"/>
  <c r="AL18" i="4" s="1"/>
  <c r="AL19" i="4" s="1"/>
  <c r="AL48" i="4" s="1"/>
  <c r="AL50" i="4" s="1"/>
  <c r="AJ69" i="4"/>
  <c r="M75" i="4"/>
  <c r="M76" i="4" s="1"/>
  <c r="M77" i="4" s="1"/>
  <c r="K89" i="4"/>
  <c r="K139" i="4"/>
  <c r="K87" i="4"/>
  <c r="K88" i="4" s="1"/>
  <c r="I106" i="4"/>
  <c r="H108" i="4"/>
  <c r="H107" i="4"/>
  <c r="H104" i="4"/>
  <c r="H105" i="4" s="1"/>
  <c r="F172" i="8"/>
  <c r="F184" i="8" s="1"/>
  <c r="F202" i="8" s="1"/>
  <c r="G109" i="4"/>
  <c r="F201" i="8"/>
  <c r="F113" i="4"/>
  <c r="F114" i="4" s="1"/>
  <c r="F115" i="4" s="1"/>
  <c r="F116" i="4" s="1"/>
  <c r="E120" i="4" s="1"/>
  <c r="C134" i="4"/>
  <c r="C159" i="4" s="1"/>
  <c r="D151" i="4"/>
  <c r="D155" i="4" s="1"/>
  <c r="D169" i="4" s="1"/>
  <c r="D127" i="4"/>
  <c r="AR46" i="4" l="1"/>
  <c r="AS160" i="4"/>
  <c r="AT54" i="4"/>
  <c r="I126" i="8"/>
  <c r="I151" i="8" s="1"/>
  <c r="I154" i="8" s="1"/>
  <c r="I168" i="8" s="1"/>
  <c r="I141" i="8"/>
  <c r="I144" i="8" s="1"/>
  <c r="I162" i="8" s="1"/>
  <c r="AT46" i="8"/>
  <c r="AU5" i="8"/>
  <c r="AU6" i="8"/>
  <c r="AU13" i="8"/>
  <c r="AU41" i="8"/>
  <c r="AU196" i="8"/>
  <c r="AV3" i="8"/>
  <c r="AU40" i="8"/>
  <c r="AU11" i="8"/>
  <c r="AU12" i="8" s="1"/>
  <c r="AU39" i="8"/>
  <c r="I123" i="8"/>
  <c r="I127" i="8" s="1"/>
  <c r="I129" i="8" s="1"/>
  <c r="I130" i="8" s="1"/>
  <c r="I131" i="8" s="1"/>
  <c r="I132" i="8" s="1"/>
  <c r="I134" i="8" s="1"/>
  <c r="I159" i="8" s="1"/>
  <c r="AS5" i="4"/>
  <c r="AS13" i="4"/>
  <c r="AS196" i="4"/>
  <c r="AS39" i="4"/>
  <c r="AT3" i="4"/>
  <c r="AS40" i="4"/>
  <c r="AS6" i="4"/>
  <c r="AS11" i="4"/>
  <c r="AS12" i="4" s="1"/>
  <c r="AS41" i="4"/>
  <c r="AP69" i="8"/>
  <c r="AQ177" i="8"/>
  <c r="AQ198" i="8" s="1"/>
  <c r="AQ66" i="8"/>
  <c r="AQ178" i="8" s="1"/>
  <c r="AQ199" i="8" s="1"/>
  <c r="AQ68" i="8"/>
  <c r="AS49" i="8"/>
  <c r="AS18" i="8" s="1"/>
  <c r="AS19" i="8" s="1"/>
  <c r="AS48" i="8" s="1"/>
  <c r="AS50" i="8" s="1"/>
  <c r="AR53" i="8"/>
  <c r="K150" i="8"/>
  <c r="K110" i="8"/>
  <c r="K112" i="8" s="1"/>
  <c r="K113" i="8" s="1"/>
  <c r="K114" i="8" s="1"/>
  <c r="K115" i="8" s="1"/>
  <c r="K116" i="8" s="1"/>
  <c r="J120" i="8" s="1"/>
  <c r="J121" i="8" s="1"/>
  <c r="J122" i="8" s="1"/>
  <c r="L108" i="8"/>
  <c r="L107" i="8"/>
  <c r="L103" i="8"/>
  <c r="L104" i="8" s="1"/>
  <c r="L105" i="8" s="1"/>
  <c r="AK177" i="4"/>
  <c r="AK198" i="4" s="1"/>
  <c r="AK66" i="4"/>
  <c r="AK178" i="4" s="1"/>
  <c r="AK199" i="4" s="1"/>
  <c r="P81" i="8"/>
  <c r="P82" i="8" s="1"/>
  <c r="O86" i="8" s="1"/>
  <c r="P165" i="8"/>
  <c r="Q74" i="8"/>
  <c r="J124" i="8"/>
  <c r="J125" i="8"/>
  <c r="AL53" i="4"/>
  <c r="AL68" i="4" s="1"/>
  <c r="AM49" i="4"/>
  <c r="AM18" i="4" s="1"/>
  <c r="AM19" i="4" s="1"/>
  <c r="AM48" i="4" s="1"/>
  <c r="AM50" i="4" s="1"/>
  <c r="AK69" i="4"/>
  <c r="M165" i="4"/>
  <c r="N74" i="4"/>
  <c r="M78" i="4"/>
  <c r="M79" i="4" s="1"/>
  <c r="L85" i="4"/>
  <c r="K92" i="4"/>
  <c r="K149" i="4" s="1"/>
  <c r="H109" i="4"/>
  <c r="H150" i="4" s="1"/>
  <c r="I102" i="4"/>
  <c r="D154" i="4"/>
  <c r="D168" i="4" s="1"/>
  <c r="G150" i="4"/>
  <c r="G110" i="4"/>
  <c r="E141" i="4"/>
  <c r="E145" i="4" s="1"/>
  <c r="E163" i="4" s="1"/>
  <c r="E123" i="4"/>
  <c r="E121" i="4"/>
  <c r="E122" i="4" s="1"/>
  <c r="F119" i="4" s="1"/>
  <c r="F125" i="4" s="1"/>
  <c r="C172" i="4"/>
  <c r="C184" i="4" s="1"/>
  <c r="C202" i="4" s="1"/>
  <c r="C183" i="4"/>
  <c r="C201" i="4" s="1"/>
  <c r="D156" i="4"/>
  <c r="D170" i="4" s="1"/>
  <c r="D129" i="4"/>
  <c r="D130" i="4" s="1"/>
  <c r="K156" i="8" l="1"/>
  <c r="K170" i="8" s="1"/>
  <c r="K155" i="8"/>
  <c r="K169" i="8" s="1"/>
  <c r="H156" i="4"/>
  <c r="H170" i="4" s="1"/>
  <c r="H155" i="4"/>
  <c r="H169" i="4" s="1"/>
  <c r="AU46" i="8"/>
  <c r="AT160" i="4"/>
  <c r="AU54" i="4"/>
  <c r="AW3" i="8"/>
  <c r="AV13" i="8"/>
  <c r="AV6" i="8"/>
  <c r="AV196" i="8"/>
  <c r="AV41" i="8"/>
  <c r="AV40" i="8"/>
  <c r="AV39" i="8"/>
  <c r="AV46" i="8" s="1"/>
  <c r="AV5" i="8"/>
  <c r="AV11" i="8"/>
  <c r="AV12" i="8" s="1"/>
  <c r="AT39" i="4"/>
  <c r="AT40" i="4"/>
  <c r="AT196" i="4"/>
  <c r="AU3" i="4"/>
  <c r="AT5" i="4"/>
  <c r="AT13" i="4"/>
  <c r="AT11" i="4"/>
  <c r="AT12" i="4" s="1"/>
  <c r="AT6" i="4"/>
  <c r="AT41" i="4"/>
  <c r="AS46" i="4"/>
  <c r="AQ69" i="8"/>
  <c r="AM53" i="4"/>
  <c r="AM68" i="4" s="1"/>
  <c r="AN49" i="4"/>
  <c r="AN18" i="4" s="1"/>
  <c r="AN19" i="4" s="1"/>
  <c r="AN48" i="4" s="1"/>
  <c r="AN50" i="4" s="1"/>
  <c r="AR66" i="8"/>
  <c r="AR178" i="8" s="1"/>
  <c r="AR199" i="8" s="1"/>
  <c r="AR68" i="8"/>
  <c r="AR177" i="8"/>
  <c r="AR198" i="8" s="1"/>
  <c r="AT49" i="8"/>
  <c r="AT18" i="8" s="1"/>
  <c r="AT19" i="8" s="1"/>
  <c r="AT48" i="8" s="1"/>
  <c r="AT50" i="8" s="1"/>
  <c r="AS53" i="8"/>
  <c r="AL177" i="4"/>
  <c r="AL198" i="4" s="1"/>
  <c r="AL66" i="4"/>
  <c r="AL178" i="4" s="1"/>
  <c r="AL199" i="4" s="1"/>
  <c r="L140" i="8"/>
  <c r="L106" i="8"/>
  <c r="L109" i="8"/>
  <c r="L150" i="8" s="1"/>
  <c r="M102" i="8"/>
  <c r="J123" i="8"/>
  <c r="J141" i="8"/>
  <c r="J144" i="8" s="1"/>
  <c r="J162" i="8" s="1"/>
  <c r="Q75" i="8"/>
  <c r="Q76" i="8" s="1"/>
  <c r="O89" i="8"/>
  <c r="O87" i="8"/>
  <c r="O88" i="8" s="1"/>
  <c r="O139" i="8"/>
  <c r="K119" i="8"/>
  <c r="J126" i="8"/>
  <c r="J151" i="8" s="1"/>
  <c r="J154" i="8" s="1"/>
  <c r="J168" i="8" s="1"/>
  <c r="I183" i="8"/>
  <c r="I201" i="8" s="1"/>
  <c r="I172" i="8"/>
  <c r="I184" i="8" s="1"/>
  <c r="I202" i="8" s="1"/>
  <c r="AL69" i="4"/>
  <c r="M81" i="4"/>
  <c r="M82" i="4" s="1"/>
  <c r="L86" i="4" s="1"/>
  <c r="L87" i="4" s="1"/>
  <c r="L88" i="4" s="1"/>
  <c r="H110" i="4"/>
  <c r="H112" i="4" s="1"/>
  <c r="N75" i="4"/>
  <c r="K93" i="4"/>
  <c r="L90" i="4"/>
  <c r="L91" i="4"/>
  <c r="I108" i="4"/>
  <c r="I107" i="4"/>
  <c r="I104" i="4"/>
  <c r="I105" i="4" s="1"/>
  <c r="G112" i="4"/>
  <c r="G113" i="4" s="1"/>
  <c r="G114" i="4" s="1"/>
  <c r="E144" i="4"/>
  <c r="E162" i="4" s="1"/>
  <c r="F124" i="4"/>
  <c r="E126" i="4"/>
  <c r="E146" i="4"/>
  <c r="E164" i="4" s="1"/>
  <c r="D131" i="4"/>
  <c r="F146" i="4"/>
  <c r="F164" i="4" s="1"/>
  <c r="F145" i="4"/>
  <c r="F163" i="4" s="1"/>
  <c r="L156" i="8" l="1"/>
  <c r="L170" i="8" s="1"/>
  <c r="L155" i="8"/>
  <c r="L169" i="8" s="1"/>
  <c r="L146" i="8"/>
  <c r="L164" i="8" s="1"/>
  <c r="L145" i="8"/>
  <c r="L163" i="8" s="1"/>
  <c r="AT46" i="4"/>
  <c r="AU160" i="4"/>
  <c r="AV54" i="4"/>
  <c r="AU5" i="4"/>
  <c r="AU13" i="4"/>
  <c r="AV3" i="4"/>
  <c r="AU39" i="4"/>
  <c r="AU196" i="4"/>
  <c r="AU40" i="4"/>
  <c r="AU11" i="4"/>
  <c r="AU12" i="4" s="1"/>
  <c r="AU6" i="4"/>
  <c r="AU41" i="4"/>
  <c r="AW41" i="8"/>
  <c r="AW5" i="8"/>
  <c r="AW6" i="8"/>
  <c r="AW11" i="8"/>
  <c r="AW12" i="8" s="1"/>
  <c r="AW196" i="8"/>
  <c r="AW13" i="8"/>
  <c r="AW39" i="8"/>
  <c r="AW40" i="8"/>
  <c r="AM177" i="4"/>
  <c r="AM198" i="4" s="1"/>
  <c r="AM66" i="4"/>
  <c r="AM178" i="4" s="1"/>
  <c r="AM199" i="4" s="1"/>
  <c r="AS68" i="8"/>
  <c r="AS66" i="8"/>
  <c r="AS178" i="8" s="1"/>
  <c r="AS199" i="8" s="1"/>
  <c r="AS177" i="8"/>
  <c r="AS198" i="8" s="1"/>
  <c r="AR69" i="8"/>
  <c r="AU49" i="8"/>
  <c r="AU18" i="8" s="1"/>
  <c r="AU19" i="8" s="1"/>
  <c r="AU48" i="8" s="1"/>
  <c r="AU50" i="8" s="1"/>
  <c r="AT53" i="8"/>
  <c r="AN53" i="4"/>
  <c r="AO49" i="4"/>
  <c r="AO18" i="4" s="1"/>
  <c r="AO19" i="4" s="1"/>
  <c r="AO48" i="4" s="1"/>
  <c r="AO50" i="4" s="1"/>
  <c r="L110" i="8"/>
  <c r="L112" i="8" s="1"/>
  <c r="L113" i="8" s="1"/>
  <c r="L114" i="8" s="1"/>
  <c r="L115" i="8" s="1"/>
  <c r="L116" i="8" s="1"/>
  <c r="K120" i="8" s="1"/>
  <c r="K121" i="8" s="1"/>
  <c r="K122" i="8" s="1"/>
  <c r="M103" i="8"/>
  <c r="M104" i="8" s="1"/>
  <c r="M105" i="8" s="1"/>
  <c r="N102" i="8" s="1"/>
  <c r="M108" i="8"/>
  <c r="M107" i="8"/>
  <c r="Q77" i="8"/>
  <c r="Q165" i="8" s="1"/>
  <c r="Q78" i="8"/>
  <c r="Q79" i="8" s="1"/>
  <c r="O92" i="8"/>
  <c r="P85" i="8"/>
  <c r="J127" i="8"/>
  <c r="J129" i="8" s="1"/>
  <c r="J130" i="8" s="1"/>
  <c r="J131" i="8" s="1"/>
  <c r="J132" i="8" s="1"/>
  <c r="J134" i="8" s="1"/>
  <c r="J159" i="8" s="1"/>
  <c r="K125" i="8"/>
  <c r="K124" i="8"/>
  <c r="AM69" i="4"/>
  <c r="M85" i="4"/>
  <c r="M90" i="4" s="1"/>
  <c r="L92" i="4"/>
  <c r="L149" i="4" s="1"/>
  <c r="N78" i="4"/>
  <c r="N79" i="4" s="1"/>
  <c r="N76" i="4"/>
  <c r="N77" i="4" s="1"/>
  <c r="L89" i="4"/>
  <c r="L139" i="4"/>
  <c r="K95" i="4"/>
  <c r="K96" i="4" s="1"/>
  <c r="K97" i="4" s="1"/>
  <c r="K98" i="4" s="1"/>
  <c r="K99" i="4" s="1"/>
  <c r="J103" i="4" s="1"/>
  <c r="I109" i="4"/>
  <c r="I150" i="4" s="1"/>
  <c r="J102" i="4"/>
  <c r="H113" i="4"/>
  <c r="H114" i="4" s="1"/>
  <c r="H115" i="4" s="1"/>
  <c r="G115" i="4"/>
  <c r="G116" i="4" s="1"/>
  <c r="F120" i="4" s="1"/>
  <c r="E127" i="4"/>
  <c r="E129" i="4" s="1"/>
  <c r="E130" i="4" s="1"/>
  <c r="E151" i="4"/>
  <c r="E155" i="4" s="1"/>
  <c r="E169" i="4" s="1"/>
  <c r="D132" i="4"/>
  <c r="I156" i="4" l="1"/>
  <c r="I170" i="4" s="1"/>
  <c r="I155" i="4"/>
  <c r="I169" i="4" s="1"/>
  <c r="AV160" i="4"/>
  <c r="AW54" i="4"/>
  <c r="AW160" i="4" s="1"/>
  <c r="AU46" i="4"/>
  <c r="AW3" i="4"/>
  <c r="AV39" i="4"/>
  <c r="AV196" i="4"/>
  <c r="AV40" i="4"/>
  <c r="AV5" i="4"/>
  <c r="AV13" i="4"/>
  <c r="AV6" i="4"/>
  <c r="AV11" i="4"/>
  <c r="AV12" i="4" s="1"/>
  <c r="AV41" i="4"/>
  <c r="AW46" i="8"/>
  <c r="AO53" i="4"/>
  <c r="AP49" i="4"/>
  <c r="AP18" i="4" s="1"/>
  <c r="AP19" i="4" s="1"/>
  <c r="AP48" i="4" s="1"/>
  <c r="AP50" i="4" s="1"/>
  <c r="AN66" i="4"/>
  <c r="AN178" i="4" s="1"/>
  <c r="AN199" i="4" s="1"/>
  <c r="AN177" i="4"/>
  <c r="AN198" i="4" s="1"/>
  <c r="AN68" i="4"/>
  <c r="AV49" i="8"/>
  <c r="AV18" i="8" s="1"/>
  <c r="AV19" i="8" s="1"/>
  <c r="AV48" i="8" s="1"/>
  <c r="AV50" i="8" s="1"/>
  <c r="AU53" i="8"/>
  <c r="AT66" i="8"/>
  <c r="AT178" i="8" s="1"/>
  <c r="AT199" i="8" s="1"/>
  <c r="AT68" i="8"/>
  <c r="AT177" i="8"/>
  <c r="AT198" i="8" s="1"/>
  <c r="F141" i="4"/>
  <c r="F144" i="4" s="1"/>
  <c r="F162" i="4" s="1"/>
  <c r="AS69" i="8"/>
  <c r="K123" i="8"/>
  <c r="K141" i="8"/>
  <c r="K144" i="8" s="1"/>
  <c r="K162" i="8" s="1"/>
  <c r="N107" i="8"/>
  <c r="N108" i="8"/>
  <c r="M109" i="8"/>
  <c r="M150" i="8" s="1"/>
  <c r="M91" i="4"/>
  <c r="M106" i="8"/>
  <c r="M140" i="8"/>
  <c r="Q81" i="8"/>
  <c r="Q82" i="8" s="1"/>
  <c r="P86" i="8" s="1"/>
  <c r="P87" i="8" s="1"/>
  <c r="P88" i="8" s="1"/>
  <c r="R74" i="8"/>
  <c r="R75" i="8" s="1"/>
  <c r="P91" i="8"/>
  <c r="P90" i="8"/>
  <c r="O149" i="8"/>
  <c r="O93" i="8"/>
  <c r="K126" i="8"/>
  <c r="K151" i="8" s="1"/>
  <c r="K154" i="8" s="1"/>
  <c r="K168" i="8" s="1"/>
  <c r="L119" i="8"/>
  <c r="J183" i="8"/>
  <c r="J201" i="8" s="1"/>
  <c r="J172" i="8"/>
  <c r="J184" i="8" s="1"/>
  <c r="J202" i="8" s="1"/>
  <c r="N81" i="4"/>
  <c r="N82" i="4" s="1"/>
  <c r="M86" i="4" s="1"/>
  <c r="L93" i="4"/>
  <c r="L95" i="4" s="1"/>
  <c r="L96" i="4" s="1"/>
  <c r="L97" i="4" s="1"/>
  <c r="L98" i="4" s="1"/>
  <c r="N165" i="4"/>
  <c r="O74" i="4"/>
  <c r="I110" i="4"/>
  <c r="I112" i="4" s="1"/>
  <c r="I113" i="4" s="1"/>
  <c r="I114" i="4" s="1"/>
  <c r="I115" i="4" s="1"/>
  <c r="J140" i="4"/>
  <c r="J106" i="4"/>
  <c r="J108" i="4"/>
  <c r="J107" i="4"/>
  <c r="J104" i="4"/>
  <c r="J105" i="4" s="1"/>
  <c r="H116" i="4"/>
  <c r="G120" i="4" s="1"/>
  <c r="F121" i="4"/>
  <c r="F122" i="4" s="1"/>
  <c r="G119" i="4" s="1"/>
  <c r="G124" i="4" s="1"/>
  <c r="F123" i="4"/>
  <c r="E154" i="4"/>
  <c r="E168" i="4" s="1"/>
  <c r="E156" i="4"/>
  <c r="E170" i="4" s="1"/>
  <c r="D134" i="4"/>
  <c r="D159" i="4" s="1"/>
  <c r="E131" i="4"/>
  <c r="F156" i="4"/>
  <c r="F170" i="4" s="1"/>
  <c r="M156" i="8" l="1"/>
  <c r="M170" i="8" s="1"/>
  <c r="M155" i="8"/>
  <c r="M169" i="8" s="1"/>
  <c r="J146" i="4"/>
  <c r="J164" i="4" s="1"/>
  <c r="J145" i="4"/>
  <c r="J163" i="4" s="1"/>
  <c r="M146" i="8"/>
  <c r="M164" i="8" s="1"/>
  <c r="M145" i="8"/>
  <c r="M163" i="8" s="1"/>
  <c r="AV46" i="4"/>
  <c r="AW11" i="4"/>
  <c r="AW12" i="4" s="1"/>
  <c r="AW39" i="4"/>
  <c r="AW40" i="4"/>
  <c r="AW41" i="4"/>
  <c r="AW5" i="4"/>
  <c r="AW6" i="4"/>
  <c r="AW196" i="4"/>
  <c r="AW13" i="4"/>
  <c r="AV53" i="8"/>
  <c r="AV66" i="8" s="1"/>
  <c r="AV178" i="8" s="1"/>
  <c r="AV199" i="8" s="1"/>
  <c r="AW49" i="8"/>
  <c r="AW18" i="8" s="1"/>
  <c r="AW19" i="8" s="1"/>
  <c r="AW48" i="8" s="1"/>
  <c r="AW50" i="8" s="1"/>
  <c r="AW53" i="8" s="1"/>
  <c r="AP53" i="4"/>
  <c r="AQ49" i="4"/>
  <c r="AQ18" i="4" s="1"/>
  <c r="AQ19" i="4" s="1"/>
  <c r="AQ48" i="4" s="1"/>
  <c r="AQ50" i="4" s="1"/>
  <c r="AT69" i="8"/>
  <c r="AU66" i="8"/>
  <c r="AU178" i="8" s="1"/>
  <c r="AU199" i="8" s="1"/>
  <c r="AU68" i="8"/>
  <c r="AU177" i="8"/>
  <c r="AU198" i="8" s="1"/>
  <c r="AN69" i="4"/>
  <c r="AO66" i="4"/>
  <c r="AO178" i="4" s="1"/>
  <c r="AO199" i="4" s="1"/>
  <c r="AO177" i="4"/>
  <c r="AO198" i="4" s="1"/>
  <c r="AO68" i="4"/>
  <c r="M110" i="8"/>
  <c r="M112" i="8" s="1"/>
  <c r="M113" i="8" s="1"/>
  <c r="M114" i="8" s="1"/>
  <c r="M115" i="8" s="1"/>
  <c r="M116" i="8" s="1"/>
  <c r="L120" i="8" s="1"/>
  <c r="L121" i="8" s="1"/>
  <c r="L122" i="8" s="1"/>
  <c r="R78" i="8"/>
  <c r="R79" i="8" s="1"/>
  <c r="R76" i="8"/>
  <c r="R77" i="8" s="1"/>
  <c r="P92" i="8"/>
  <c r="P149" i="8" s="1"/>
  <c r="Q85" i="8"/>
  <c r="P89" i="8"/>
  <c r="P139" i="8"/>
  <c r="O95" i="8"/>
  <c r="O96" i="8" s="1"/>
  <c r="O97" i="8" s="1"/>
  <c r="O98" i="8" s="1"/>
  <c r="O99" i="8" s="1"/>
  <c r="N103" i="8" s="1"/>
  <c r="K127" i="8"/>
  <c r="K129" i="8" s="1"/>
  <c r="K130" i="8" s="1"/>
  <c r="K131" i="8" s="1"/>
  <c r="K132" i="8" s="1"/>
  <c r="K134" i="8" s="1"/>
  <c r="K159" i="8" s="1"/>
  <c r="L125" i="8"/>
  <c r="L124" i="8"/>
  <c r="O75" i="4"/>
  <c r="M89" i="4"/>
  <c r="M139" i="4"/>
  <c r="M87" i="4"/>
  <c r="M88" i="4" s="1"/>
  <c r="L99" i="4"/>
  <c r="K103" i="4" s="1"/>
  <c r="J109" i="4"/>
  <c r="J150" i="4" s="1"/>
  <c r="K102" i="4"/>
  <c r="I116" i="4"/>
  <c r="H120" i="4" s="1"/>
  <c r="F126" i="4"/>
  <c r="G125" i="4"/>
  <c r="G123" i="4"/>
  <c r="G141" i="4"/>
  <c r="G144" i="4" s="1"/>
  <c r="G162" i="4" s="1"/>
  <c r="G121" i="4"/>
  <c r="G122" i="4" s="1"/>
  <c r="H119" i="4" s="1"/>
  <c r="D183" i="4"/>
  <c r="D201" i="4" s="1"/>
  <c r="D172" i="4"/>
  <c r="D184" i="4" s="1"/>
  <c r="D202" i="4" s="1"/>
  <c r="E132" i="4"/>
  <c r="G145" i="4"/>
  <c r="G163" i="4" s="1"/>
  <c r="J156" i="4" l="1"/>
  <c r="J170" i="4" s="1"/>
  <c r="J155" i="4"/>
  <c r="J169" i="4" s="1"/>
  <c r="AV68" i="8"/>
  <c r="AW46" i="4"/>
  <c r="AV177" i="8"/>
  <c r="AV198" i="8" s="1"/>
  <c r="AW177" i="8"/>
  <c r="AW198" i="8" s="1"/>
  <c r="AW66" i="8"/>
  <c r="AW178" i="8" s="1"/>
  <c r="AW199" i="8" s="1"/>
  <c r="AW68" i="8"/>
  <c r="R81" i="8"/>
  <c r="R82" i="8" s="1"/>
  <c r="Q86" i="8" s="1"/>
  <c r="Q87" i="8" s="1"/>
  <c r="Q88" i="8" s="1"/>
  <c r="AO69" i="4"/>
  <c r="AQ53" i="4"/>
  <c r="AR49" i="4"/>
  <c r="AR18" i="4" s="1"/>
  <c r="AR19" i="4" s="1"/>
  <c r="AR48" i="4" s="1"/>
  <c r="AR50" i="4" s="1"/>
  <c r="AP68" i="4"/>
  <c r="AP177" i="4"/>
  <c r="AP198" i="4" s="1"/>
  <c r="AP66" i="4"/>
  <c r="AP178" i="4" s="1"/>
  <c r="AP199" i="4" s="1"/>
  <c r="F151" i="4"/>
  <c r="F155" i="4" s="1"/>
  <c r="F169" i="4" s="1"/>
  <c r="H141" i="4"/>
  <c r="H144" i="4" s="1"/>
  <c r="H162" i="4" s="1"/>
  <c r="AU69" i="8"/>
  <c r="L141" i="8"/>
  <c r="L144" i="8" s="1"/>
  <c r="L162" i="8" s="1"/>
  <c r="L123" i="8"/>
  <c r="P93" i="8"/>
  <c r="P95" i="8" s="1"/>
  <c r="P96" i="8" s="1"/>
  <c r="P97" i="8" s="1"/>
  <c r="P98" i="8" s="1"/>
  <c r="R165" i="8"/>
  <c r="S74" i="8"/>
  <c r="Q91" i="8"/>
  <c r="Q90" i="8"/>
  <c r="N106" i="8"/>
  <c r="N104" i="8"/>
  <c r="N105" i="8" s="1"/>
  <c r="N140" i="8"/>
  <c r="L126" i="8"/>
  <c r="L151" i="8" s="1"/>
  <c r="L154" i="8" s="1"/>
  <c r="L168" i="8" s="1"/>
  <c r="M119" i="8"/>
  <c r="K172" i="8"/>
  <c r="K184" i="8" s="1"/>
  <c r="K202" i="8" s="1"/>
  <c r="K183" i="8"/>
  <c r="K201" i="8" s="1"/>
  <c r="J110" i="4"/>
  <c r="J112" i="4" s="1"/>
  <c r="J113" i="4" s="1"/>
  <c r="J114" i="4" s="1"/>
  <c r="J115" i="4" s="1"/>
  <c r="O76" i="4"/>
  <c r="O77" i="4" s="1"/>
  <c r="O78" i="4"/>
  <c r="O79" i="4" s="1"/>
  <c r="M92" i="4"/>
  <c r="M149" i="4" s="1"/>
  <c r="N85" i="4"/>
  <c r="K106" i="4"/>
  <c r="K140" i="4"/>
  <c r="K104" i="4"/>
  <c r="K105" i="4" s="1"/>
  <c r="K108" i="4"/>
  <c r="K107" i="4"/>
  <c r="H123" i="4"/>
  <c r="H125" i="4"/>
  <c r="H124" i="4"/>
  <c r="H121" i="4"/>
  <c r="H122" i="4" s="1"/>
  <c r="F127" i="4"/>
  <c r="G126" i="4"/>
  <c r="G127" i="4" s="1"/>
  <c r="G146" i="4"/>
  <c r="G164" i="4" s="1"/>
  <c r="C180" i="8" a="1"/>
  <c r="C180" i="8" s="1"/>
  <c r="E134" i="4"/>
  <c r="E159" i="4" s="1"/>
  <c r="AV69" i="8" l="1"/>
  <c r="N146" i="8"/>
  <c r="N164" i="8" s="1"/>
  <c r="N145" i="8"/>
  <c r="N163" i="8" s="1"/>
  <c r="K146" i="4"/>
  <c r="K164" i="4" s="1"/>
  <c r="K145" i="4"/>
  <c r="K163" i="4" s="1"/>
  <c r="C179" i="8"/>
  <c r="F154" i="4"/>
  <c r="F168" i="4" s="1"/>
  <c r="AW69" i="8"/>
  <c r="AS49" i="4"/>
  <c r="AS18" i="4" s="1"/>
  <c r="AS19" i="4" s="1"/>
  <c r="AS48" i="4" s="1"/>
  <c r="AS50" i="4" s="1"/>
  <c r="AR53" i="4"/>
  <c r="AQ68" i="4"/>
  <c r="AQ177" i="4"/>
  <c r="AQ198" i="4" s="1"/>
  <c r="AQ66" i="4"/>
  <c r="AQ178" i="4" s="1"/>
  <c r="AQ199" i="4" s="1"/>
  <c r="AP69" i="4"/>
  <c r="M93" i="4"/>
  <c r="M95" i="4" s="1"/>
  <c r="M96" i="4" s="1"/>
  <c r="M97" i="4" s="1"/>
  <c r="M98" i="4" s="1"/>
  <c r="M99" i="4" s="1"/>
  <c r="L103" i="4" s="1"/>
  <c r="L140" i="4" s="1"/>
  <c r="S75" i="8"/>
  <c r="S76" i="8" s="1"/>
  <c r="S77" i="8" s="1"/>
  <c r="Q92" i="8"/>
  <c r="Q149" i="8" s="1"/>
  <c r="R85" i="8"/>
  <c r="Q89" i="8"/>
  <c r="Q139" i="8"/>
  <c r="L127" i="8"/>
  <c r="L129" i="8" s="1"/>
  <c r="P99" i="8"/>
  <c r="N109" i="8"/>
  <c r="O102" i="8"/>
  <c r="M125" i="8"/>
  <c r="M124" i="8"/>
  <c r="O81" i="4"/>
  <c r="O82" i="4" s="1"/>
  <c r="N86" i="4" s="1"/>
  <c r="O165" i="4"/>
  <c r="P74" i="4"/>
  <c r="N91" i="4"/>
  <c r="N90" i="4"/>
  <c r="K109" i="4"/>
  <c r="K150" i="4" s="1"/>
  <c r="L102" i="4"/>
  <c r="J116" i="4"/>
  <c r="I120" i="4" s="1"/>
  <c r="H126" i="4"/>
  <c r="I119" i="4"/>
  <c r="F129" i="4"/>
  <c r="F130" i="4" s="1"/>
  <c r="F131" i="4" s="1"/>
  <c r="G129" i="4"/>
  <c r="G130" i="4" s="1"/>
  <c r="G131" i="4" s="1"/>
  <c r="G151" i="4"/>
  <c r="G155" i="4" s="1"/>
  <c r="G169" i="4" s="1"/>
  <c r="E183" i="4"/>
  <c r="E201" i="4" s="1"/>
  <c r="E172" i="4"/>
  <c r="E184" i="4" s="1"/>
  <c r="E202" i="4" s="1"/>
  <c r="G156" i="4"/>
  <c r="G170" i="4" s="1"/>
  <c r="K156" i="4" l="1"/>
  <c r="K170" i="4" s="1"/>
  <c r="K155" i="4"/>
  <c r="K169" i="4" s="1"/>
  <c r="L146" i="4"/>
  <c r="L164" i="4" s="1"/>
  <c r="L145" i="4"/>
  <c r="L163" i="4" s="1"/>
  <c r="H151" i="4"/>
  <c r="H154" i="4" s="1"/>
  <c r="H168" i="4" s="1"/>
  <c r="AQ69" i="4"/>
  <c r="AR68" i="4"/>
  <c r="AR177" i="4"/>
  <c r="AR198" i="4" s="1"/>
  <c r="AR66" i="4"/>
  <c r="AR178" i="4" s="1"/>
  <c r="AR199" i="4" s="1"/>
  <c r="AT49" i="4"/>
  <c r="AT18" i="4" s="1"/>
  <c r="AT19" i="4" s="1"/>
  <c r="AT48" i="4" s="1"/>
  <c r="AT50" i="4" s="1"/>
  <c r="AS53" i="4"/>
  <c r="Q93" i="8"/>
  <c r="Q95" i="8" s="1"/>
  <c r="Q96" i="8" s="1"/>
  <c r="Q97" i="8" s="1"/>
  <c r="Q98" i="8" s="1"/>
  <c r="L106" i="4"/>
  <c r="O103" i="8"/>
  <c r="O104" i="8" s="1"/>
  <c r="O105" i="8" s="1"/>
  <c r="N87" i="4"/>
  <c r="N88" i="4" s="1"/>
  <c r="S165" i="8"/>
  <c r="T74" i="8"/>
  <c r="S78" i="8"/>
  <c r="S79" i="8" s="1"/>
  <c r="R90" i="8"/>
  <c r="R91" i="8"/>
  <c r="N150" i="8"/>
  <c r="N110" i="8"/>
  <c r="O108" i="8"/>
  <c r="O107" i="8"/>
  <c r="L130" i="8"/>
  <c r="L131" i="8" s="1"/>
  <c r="L132" i="8" s="1"/>
  <c r="L134" i="8" s="1"/>
  <c r="L159" i="8" s="1"/>
  <c r="P75" i="4"/>
  <c r="N89" i="4"/>
  <c r="N139" i="4"/>
  <c r="H127" i="4"/>
  <c r="H129" i="4" s="1"/>
  <c r="H130" i="4" s="1"/>
  <c r="H131" i="4" s="1"/>
  <c r="H132" i="4" s="1"/>
  <c r="H134" i="4" s="1"/>
  <c r="H159" i="4" s="1"/>
  <c r="K110" i="4"/>
  <c r="K112" i="4" s="1"/>
  <c r="K113" i="4" s="1"/>
  <c r="K114" i="4" s="1"/>
  <c r="K115" i="4" s="1"/>
  <c r="L104" i="4"/>
  <c r="L105" i="4" s="1"/>
  <c r="L108" i="4"/>
  <c r="L107" i="4"/>
  <c r="I123" i="4"/>
  <c r="I141" i="4"/>
  <c r="I144" i="4" s="1"/>
  <c r="I162" i="4" s="1"/>
  <c r="I124" i="4"/>
  <c r="I125" i="4"/>
  <c r="I121" i="4"/>
  <c r="I122" i="4" s="1"/>
  <c r="F132" i="4"/>
  <c r="F134" i="4" s="1"/>
  <c r="F159" i="4" s="1"/>
  <c r="G154" i="4"/>
  <c r="G168" i="4" s="1"/>
  <c r="G132" i="4"/>
  <c r="N156" i="8" l="1"/>
  <c r="N170" i="8" s="1"/>
  <c r="N155" i="8"/>
  <c r="N169" i="8" s="1"/>
  <c r="AR69" i="4"/>
  <c r="S81" i="8"/>
  <c r="S82" i="8" s="1"/>
  <c r="R86" i="8" s="1"/>
  <c r="AS68" i="4"/>
  <c r="AS177" i="4"/>
  <c r="AS198" i="4" s="1"/>
  <c r="AS66" i="4"/>
  <c r="AS178" i="4" s="1"/>
  <c r="AS199" i="4" s="1"/>
  <c r="AU49" i="4"/>
  <c r="AU18" i="4" s="1"/>
  <c r="AU19" i="4" s="1"/>
  <c r="AU48" i="4" s="1"/>
  <c r="AU50" i="4" s="1"/>
  <c r="AT53" i="4"/>
  <c r="O140" i="8"/>
  <c r="O106" i="8"/>
  <c r="N92" i="4"/>
  <c r="N149" i="4" s="1"/>
  <c r="O85" i="4"/>
  <c r="O90" i="4" s="1"/>
  <c r="T75" i="8"/>
  <c r="T76" i="8" s="1"/>
  <c r="Q99" i="8"/>
  <c r="O109" i="8"/>
  <c r="P102" i="8"/>
  <c r="N112" i="8"/>
  <c r="N113" i="8" s="1"/>
  <c r="N114" i="8" s="1"/>
  <c r="N115" i="8" s="1"/>
  <c r="N116" i="8" s="1"/>
  <c r="M120" i="8" s="1"/>
  <c r="L183" i="8"/>
  <c r="L201" i="8" s="1"/>
  <c r="L172" i="8"/>
  <c r="L184" i="8" s="1"/>
  <c r="L202" i="8" s="1"/>
  <c r="P78" i="4"/>
  <c r="P79" i="4" s="1"/>
  <c r="P76" i="4"/>
  <c r="P77" i="4" s="1"/>
  <c r="L109" i="4"/>
  <c r="L150" i="4" s="1"/>
  <c r="M102" i="4"/>
  <c r="K116" i="4"/>
  <c r="J120" i="4" s="1"/>
  <c r="I126" i="4"/>
  <c r="I151" i="4" s="1"/>
  <c r="I154" i="4" s="1"/>
  <c r="I168" i="4" s="1"/>
  <c r="J119" i="4"/>
  <c r="H183" i="4"/>
  <c r="H201" i="4" s="1"/>
  <c r="H172" i="4"/>
  <c r="H184" i="4" s="1"/>
  <c r="H202" i="4" s="1"/>
  <c r="F172" i="4"/>
  <c r="F184" i="4" s="1"/>
  <c r="F202" i="4" s="1"/>
  <c r="F183" i="4"/>
  <c r="F201" i="4" s="1"/>
  <c r="G134" i="4"/>
  <c r="G159" i="4" s="1"/>
  <c r="L156" i="4" l="1"/>
  <c r="L170" i="4" s="1"/>
  <c r="L155" i="4"/>
  <c r="L169" i="4" s="1"/>
  <c r="O146" i="8"/>
  <c r="O164" i="8" s="1"/>
  <c r="O145" i="8"/>
  <c r="O163" i="8" s="1"/>
  <c r="AS69" i="4"/>
  <c r="AT68" i="4"/>
  <c r="AT177" i="4"/>
  <c r="AT198" i="4" s="1"/>
  <c r="AT66" i="4"/>
  <c r="AT178" i="4" s="1"/>
  <c r="AT199" i="4" s="1"/>
  <c r="P81" i="4"/>
  <c r="P82" i="4" s="1"/>
  <c r="O86" i="4" s="1"/>
  <c r="AV49" i="4"/>
  <c r="AV18" i="4" s="1"/>
  <c r="AV19" i="4" s="1"/>
  <c r="AV48" i="4" s="1"/>
  <c r="AV50" i="4" s="1"/>
  <c r="AU53" i="4"/>
  <c r="O91" i="4"/>
  <c r="N93" i="4"/>
  <c r="N95" i="4" s="1"/>
  <c r="N96" i="4" s="1"/>
  <c r="N97" i="4" s="1"/>
  <c r="N98" i="4" s="1"/>
  <c r="N99" i="4" s="1"/>
  <c r="M103" i="4" s="1"/>
  <c r="M104" i="4" s="1"/>
  <c r="M105" i="4" s="1"/>
  <c r="P103" i="8"/>
  <c r="P106" i="8" s="1"/>
  <c r="T77" i="8"/>
  <c r="T78" i="8"/>
  <c r="T79" i="8" s="1"/>
  <c r="R89" i="8"/>
  <c r="R139" i="8"/>
  <c r="R87" i="8"/>
  <c r="R88" i="8" s="1"/>
  <c r="M141" i="8"/>
  <c r="M144" i="8" s="1"/>
  <c r="M162" i="8" s="1"/>
  <c r="M123" i="8"/>
  <c r="M121" i="8"/>
  <c r="M122" i="8" s="1"/>
  <c r="P107" i="8"/>
  <c r="P108" i="8"/>
  <c r="O150" i="8"/>
  <c r="O110" i="8"/>
  <c r="P165" i="4"/>
  <c r="Q74" i="4"/>
  <c r="L110" i="4"/>
  <c r="L112" i="4" s="1"/>
  <c r="L113" i="4" s="1"/>
  <c r="L114" i="4" s="1"/>
  <c r="L115" i="4" s="1"/>
  <c r="M108" i="4"/>
  <c r="M107" i="4"/>
  <c r="J123" i="4"/>
  <c r="J141" i="4"/>
  <c r="J144" i="4" s="1"/>
  <c r="J162" i="4" s="1"/>
  <c r="I127" i="4"/>
  <c r="I129" i="4" s="1"/>
  <c r="I130" i="4" s="1"/>
  <c r="I131" i="4" s="1"/>
  <c r="I132" i="4" s="1"/>
  <c r="I134" i="4" s="1"/>
  <c r="I159" i="4" s="1"/>
  <c r="J125" i="4"/>
  <c r="J124" i="4"/>
  <c r="J121" i="4"/>
  <c r="J122" i="4" s="1"/>
  <c r="G183" i="4"/>
  <c r="G201" i="4" s="1"/>
  <c r="G172" i="4"/>
  <c r="G184" i="4" s="1"/>
  <c r="G202" i="4" s="1"/>
  <c r="O156" i="8" l="1"/>
  <c r="O170" i="8" s="1"/>
  <c r="O155" i="8"/>
  <c r="O169" i="8" s="1"/>
  <c r="AV53" i="4"/>
  <c r="AV68" i="4" s="1"/>
  <c r="AW49" i="4"/>
  <c r="AW18" i="4" s="1"/>
  <c r="AW19" i="4" s="1"/>
  <c r="AW48" i="4" s="1"/>
  <c r="AW50" i="4" s="1"/>
  <c r="AW53" i="4" s="1"/>
  <c r="T81" i="8"/>
  <c r="T82" i="8" s="1"/>
  <c r="AU66" i="4"/>
  <c r="AU178" i="4" s="1"/>
  <c r="AU199" i="4" s="1"/>
  <c r="AU177" i="4"/>
  <c r="AU198" i="4" s="1"/>
  <c r="AU68" i="4"/>
  <c r="AT69" i="4"/>
  <c r="AV177" i="4"/>
  <c r="AV198" i="4" s="1"/>
  <c r="AV66" i="4"/>
  <c r="AV178" i="4" s="1"/>
  <c r="AV199" i="4" s="1"/>
  <c r="P104" i="8"/>
  <c r="P105" i="8" s="1"/>
  <c r="Q102" i="8" s="1"/>
  <c r="P140" i="8"/>
  <c r="T165" i="8"/>
  <c r="U74" i="8"/>
  <c r="R92" i="8"/>
  <c r="R149" i="8" s="1"/>
  <c r="S85" i="8"/>
  <c r="O112" i="8"/>
  <c r="O113" i="8" s="1"/>
  <c r="O114" i="8" s="1"/>
  <c r="O115" i="8" s="1"/>
  <c r="O116" i="8" s="1"/>
  <c r="N119" i="8"/>
  <c r="M126" i="8"/>
  <c r="Q75" i="4"/>
  <c r="Q76" i="4" s="1"/>
  <c r="Q77" i="4" s="1"/>
  <c r="O89" i="4"/>
  <c r="O139" i="4"/>
  <c r="O87" i="4"/>
  <c r="O88" i="4" s="1"/>
  <c r="M109" i="4"/>
  <c r="M150" i="4" s="1"/>
  <c r="N102" i="4"/>
  <c r="M106" i="4"/>
  <c r="M140" i="4"/>
  <c r="L116" i="4"/>
  <c r="K120" i="4" s="1"/>
  <c r="J126" i="4"/>
  <c r="J151" i="4" s="1"/>
  <c r="J154" i="4" s="1"/>
  <c r="J168" i="4" s="1"/>
  <c r="K119" i="4"/>
  <c r="I183" i="4"/>
  <c r="I201" i="4" s="1"/>
  <c r="I172" i="4"/>
  <c r="I184" i="4" s="1"/>
  <c r="I202" i="4" s="1"/>
  <c r="M146" i="4" l="1"/>
  <c r="M164" i="4" s="1"/>
  <c r="M145" i="4"/>
  <c r="M163" i="4" s="1"/>
  <c r="M156" i="4"/>
  <c r="M170" i="4" s="1"/>
  <c r="M155" i="4"/>
  <c r="M169" i="4" s="1"/>
  <c r="P146" i="8"/>
  <c r="P164" i="8" s="1"/>
  <c r="P145" i="8"/>
  <c r="P163" i="8" s="1"/>
  <c r="AW66" i="4"/>
  <c r="AW178" i="4" s="1"/>
  <c r="AW199" i="4" s="1"/>
  <c r="AW68" i="4"/>
  <c r="AW177" i="4"/>
  <c r="AW198" i="4" s="1"/>
  <c r="AU69" i="4"/>
  <c r="AV69" i="4" s="1"/>
  <c r="P109" i="8"/>
  <c r="P150" i="8" s="1"/>
  <c r="N120" i="8"/>
  <c r="N141" i="8" s="1"/>
  <c r="N144" i="8" s="1"/>
  <c r="N162" i="8" s="1"/>
  <c r="U75" i="8"/>
  <c r="S86" i="8"/>
  <c r="S89" i="8" s="1"/>
  <c r="S91" i="8"/>
  <c r="S90" i="8"/>
  <c r="R93" i="8"/>
  <c r="Q108" i="8"/>
  <c r="Q107" i="8"/>
  <c r="M151" i="8"/>
  <c r="M154" i="8" s="1"/>
  <c r="M168" i="8" s="1"/>
  <c r="M127" i="8"/>
  <c r="N125" i="8"/>
  <c r="N124" i="8"/>
  <c r="J127" i="4"/>
  <c r="J129" i="4" s="1"/>
  <c r="J130" i="4" s="1"/>
  <c r="J131" i="4" s="1"/>
  <c r="J132" i="4" s="1"/>
  <c r="J134" i="4" s="1"/>
  <c r="J159" i="4" s="1"/>
  <c r="M110" i="4"/>
  <c r="M112" i="4" s="1"/>
  <c r="M113" i="4" s="1"/>
  <c r="M114" i="4" s="1"/>
  <c r="M115" i="4" s="1"/>
  <c r="Q165" i="4"/>
  <c r="R74" i="4"/>
  <c r="Q78" i="4"/>
  <c r="Q79" i="4" s="1"/>
  <c r="P85" i="4"/>
  <c r="O92" i="4"/>
  <c r="O149" i="4" s="1"/>
  <c r="N108" i="4"/>
  <c r="N107" i="4"/>
  <c r="K123" i="4"/>
  <c r="K141" i="4"/>
  <c r="K144" i="4" s="1"/>
  <c r="K162" i="4" s="1"/>
  <c r="K125" i="4"/>
  <c r="K124" i="4"/>
  <c r="K121" i="4"/>
  <c r="K122" i="4" s="1"/>
  <c r="P156" i="8" l="1"/>
  <c r="P170" i="8" s="1"/>
  <c r="P155" i="8"/>
  <c r="P169" i="8" s="1"/>
  <c r="C179" i="4"/>
  <c r="AW69" i="4"/>
  <c r="C180" i="4" a="1"/>
  <c r="C180" i="4" s="1"/>
  <c r="Q81" i="4"/>
  <c r="Q82" i="4" s="1"/>
  <c r="P86" i="4" s="1"/>
  <c r="P87" i="4" s="1"/>
  <c r="P88" i="4" s="1"/>
  <c r="Q85" i="4" s="1"/>
  <c r="N121" i="8"/>
  <c r="N122" i="8" s="1"/>
  <c r="O119" i="8" s="1"/>
  <c r="O124" i="8" s="1"/>
  <c r="P110" i="8"/>
  <c r="P112" i="8" s="1"/>
  <c r="P113" i="8" s="1"/>
  <c r="P114" i="8" s="1"/>
  <c r="P115" i="8" s="1"/>
  <c r="P116" i="8" s="1"/>
  <c r="O120" i="8" s="1"/>
  <c r="N123" i="8"/>
  <c r="S87" i="8"/>
  <c r="S88" i="8" s="1"/>
  <c r="T85" i="8" s="1"/>
  <c r="S139" i="8"/>
  <c r="U78" i="8"/>
  <c r="U79" i="8" s="1"/>
  <c r="U76" i="8"/>
  <c r="U77" i="8" s="1"/>
  <c r="R95" i="8"/>
  <c r="M129" i="8"/>
  <c r="M130" i="8" s="1"/>
  <c r="M131" i="8" s="1"/>
  <c r="M132" i="8" s="1"/>
  <c r="M134" i="8" s="1"/>
  <c r="M159" i="8" s="1"/>
  <c r="O93" i="4"/>
  <c r="O95" i="4" s="1"/>
  <c r="O96" i="4" s="1"/>
  <c r="O97" i="4" s="1"/>
  <c r="O98" i="4" s="1"/>
  <c r="O99" i="4" s="1"/>
  <c r="N103" i="4" s="1"/>
  <c r="N140" i="4" s="1"/>
  <c r="R75" i="4"/>
  <c r="R76" i="4" s="1"/>
  <c r="P91" i="4"/>
  <c r="P90" i="4"/>
  <c r="M116" i="4"/>
  <c r="L120" i="4" s="1"/>
  <c r="K126" i="4"/>
  <c r="K151" i="4" s="1"/>
  <c r="K154" i="4" s="1"/>
  <c r="K168" i="4" s="1"/>
  <c r="L119" i="4"/>
  <c r="J183" i="4"/>
  <c r="J201" i="4" s="1"/>
  <c r="J172" i="4"/>
  <c r="J184" i="4" s="1"/>
  <c r="J202" i="4" s="1"/>
  <c r="N146" i="4" l="1"/>
  <c r="N164" i="4" s="1"/>
  <c r="N145" i="4"/>
  <c r="N163" i="4" s="1"/>
  <c r="O121" i="8"/>
  <c r="O122" i="8" s="1"/>
  <c r="O126" i="8" s="1"/>
  <c r="N126" i="8"/>
  <c r="N151" i="8" s="1"/>
  <c r="N154" i="8" s="1"/>
  <c r="N168" i="8" s="1"/>
  <c r="O125" i="8"/>
  <c r="U81" i="8"/>
  <c r="U82" i="8" s="1"/>
  <c r="T86" i="8" s="1"/>
  <c r="T87" i="8" s="1"/>
  <c r="T88" i="8" s="1"/>
  <c r="S92" i="8"/>
  <c r="S149" i="8" s="1"/>
  <c r="U165" i="8"/>
  <c r="V74" i="8"/>
  <c r="T90" i="8"/>
  <c r="T91" i="8"/>
  <c r="R96" i="8"/>
  <c r="R97" i="8" s="1"/>
  <c r="M183" i="8"/>
  <c r="M201" i="8" s="1"/>
  <c r="M172" i="8"/>
  <c r="M184" i="8" s="1"/>
  <c r="M202" i="8" s="1"/>
  <c r="O123" i="8"/>
  <c r="O141" i="8"/>
  <c r="O144" i="8" s="1"/>
  <c r="O162" i="8" s="1"/>
  <c r="N106" i="4"/>
  <c r="P92" i="4"/>
  <c r="P149" i="4" s="1"/>
  <c r="R77" i="4"/>
  <c r="R78" i="4"/>
  <c r="R79" i="4" s="1"/>
  <c r="Q91" i="4"/>
  <c r="Q90" i="4"/>
  <c r="P89" i="4"/>
  <c r="P139" i="4"/>
  <c r="N104" i="4"/>
  <c r="N105" i="4" s="1"/>
  <c r="K127" i="4"/>
  <c r="K129" i="4" s="1"/>
  <c r="K130" i="4" s="1"/>
  <c r="K131" i="4" s="1"/>
  <c r="K132" i="4" s="1"/>
  <c r="K134" i="4" s="1"/>
  <c r="K159" i="4" s="1"/>
  <c r="L123" i="4"/>
  <c r="L141" i="4"/>
  <c r="L144" i="4" s="1"/>
  <c r="L162" i="4" s="1"/>
  <c r="L124" i="4"/>
  <c r="L125" i="4"/>
  <c r="L121" i="4"/>
  <c r="L122" i="4" s="1"/>
  <c r="P119" i="8" l="1"/>
  <c r="O151" i="8"/>
  <c r="O154" i="8" s="1"/>
  <c r="O168" i="8" s="1"/>
  <c r="N127" i="8"/>
  <c r="N129" i="8" s="1"/>
  <c r="N130" i="8" s="1"/>
  <c r="N131" i="8" s="1"/>
  <c r="N132" i="8" s="1"/>
  <c r="N134" i="8" s="1"/>
  <c r="N159" i="8" s="1"/>
  <c r="N183" i="8" s="1"/>
  <c r="N201" i="8" s="1"/>
  <c r="R81" i="4"/>
  <c r="R82" i="4" s="1"/>
  <c r="Q86" i="4" s="1"/>
  <c r="S93" i="8"/>
  <c r="S95" i="8" s="1"/>
  <c r="S96" i="8" s="1"/>
  <c r="S97" i="8" s="1"/>
  <c r="S98" i="8" s="1"/>
  <c r="P93" i="4"/>
  <c r="P95" i="4" s="1"/>
  <c r="P96" i="4" s="1"/>
  <c r="P97" i="4" s="1"/>
  <c r="P98" i="4" s="1"/>
  <c r="P99" i="4" s="1"/>
  <c r="O103" i="4" s="1"/>
  <c r="U85" i="8"/>
  <c r="U91" i="8" s="1"/>
  <c r="T92" i="8"/>
  <c r="T149" i="8" s="1"/>
  <c r="V75" i="8"/>
  <c r="T89" i="8"/>
  <c r="T139" i="8"/>
  <c r="R98" i="8"/>
  <c r="R99" i="8" s="1"/>
  <c r="Q103" i="8" s="1"/>
  <c r="O127" i="8"/>
  <c r="P125" i="8"/>
  <c r="P124" i="8"/>
  <c r="R165" i="4"/>
  <c r="S74" i="4"/>
  <c r="N109" i="4"/>
  <c r="O102" i="4"/>
  <c r="L126" i="4"/>
  <c r="L151" i="4" s="1"/>
  <c r="L154" i="4" s="1"/>
  <c r="L168" i="4" s="1"/>
  <c r="M119" i="4"/>
  <c r="K183" i="4"/>
  <c r="K201" i="4" s="1"/>
  <c r="K172" i="4"/>
  <c r="K184" i="4" s="1"/>
  <c r="K202" i="4" s="1"/>
  <c r="O129" i="8" l="1"/>
  <c r="N172" i="8"/>
  <c r="N184" i="8" s="1"/>
  <c r="N202" i="8" s="1"/>
  <c r="U90" i="8"/>
  <c r="T93" i="8"/>
  <c r="T95" i="8" s="1"/>
  <c r="T96" i="8" s="1"/>
  <c r="T97" i="8" s="1"/>
  <c r="T98" i="8" s="1"/>
  <c r="V78" i="8"/>
  <c r="V79" i="8" s="1"/>
  <c r="V76" i="8"/>
  <c r="V77" i="8" s="1"/>
  <c r="S99" i="8"/>
  <c r="Q106" i="8"/>
  <c r="Q140" i="8"/>
  <c r="Q104" i="8"/>
  <c r="Q105" i="8" s="1"/>
  <c r="O130" i="8"/>
  <c r="O131" i="8" s="1"/>
  <c r="O132" i="8" s="1"/>
  <c r="O134" i="8" s="1"/>
  <c r="O159" i="8" s="1"/>
  <c r="L127" i="4"/>
  <c r="L129" i="4" s="1"/>
  <c r="L130" i="4" s="1"/>
  <c r="L131" i="4" s="1"/>
  <c r="L132" i="4" s="1"/>
  <c r="L134" i="4" s="1"/>
  <c r="L159" i="4" s="1"/>
  <c r="S75" i="4"/>
  <c r="S76" i="4" s="1"/>
  <c r="Q89" i="4"/>
  <c r="Q87" i="4"/>
  <c r="Q88" i="4" s="1"/>
  <c r="Q139" i="4"/>
  <c r="O108" i="4"/>
  <c r="O104" i="4"/>
  <c r="O105" i="4" s="1"/>
  <c r="O107" i="4"/>
  <c r="N150" i="4"/>
  <c r="N110" i="4"/>
  <c r="O106" i="4"/>
  <c r="O140" i="4"/>
  <c r="M125" i="4"/>
  <c r="M124" i="4"/>
  <c r="O146" i="4" l="1"/>
  <c r="O164" i="4" s="1"/>
  <c r="O145" i="4"/>
  <c r="O163" i="4" s="1"/>
  <c r="Q146" i="8"/>
  <c r="Q164" i="8" s="1"/>
  <c r="Q145" i="8"/>
  <c r="Q163" i="8" s="1"/>
  <c r="N156" i="4"/>
  <c r="N170" i="4" s="1"/>
  <c r="N155" i="4"/>
  <c r="N169" i="4" s="1"/>
  <c r="V81" i="8"/>
  <c r="V165" i="8"/>
  <c r="W74" i="8"/>
  <c r="V82" i="8"/>
  <c r="U86" i="8" s="1"/>
  <c r="T99" i="8"/>
  <c r="Q109" i="8"/>
  <c r="R102" i="8"/>
  <c r="R103" i="8" s="1"/>
  <c r="O183" i="8"/>
  <c r="O201" i="8" s="1"/>
  <c r="O172" i="8"/>
  <c r="O184" i="8" s="1"/>
  <c r="O202" i="8" s="1"/>
  <c r="S78" i="4"/>
  <c r="S79" i="4" s="1"/>
  <c r="S77" i="4"/>
  <c r="Q92" i="4"/>
  <c r="Q149" i="4" s="1"/>
  <c r="R85" i="4"/>
  <c r="N112" i="4"/>
  <c r="N113" i="4" s="1"/>
  <c r="N114" i="4" s="1"/>
  <c r="N115" i="4" s="1"/>
  <c r="N116" i="4" s="1"/>
  <c r="M120" i="4" s="1"/>
  <c r="O109" i="4"/>
  <c r="O150" i="4" s="1"/>
  <c r="P102" i="4"/>
  <c r="L183" i="4"/>
  <c r="L201" i="4" s="1"/>
  <c r="L172" i="4"/>
  <c r="L184" i="4" s="1"/>
  <c r="L202" i="4" s="1"/>
  <c r="O156" i="4" l="1"/>
  <c r="O170" i="4" s="1"/>
  <c r="O155" i="4"/>
  <c r="O169" i="4" s="1"/>
  <c r="S81" i="4"/>
  <c r="R106" i="8"/>
  <c r="R140" i="8"/>
  <c r="W75" i="8"/>
  <c r="U89" i="8"/>
  <c r="U87" i="8"/>
  <c r="U88" i="8" s="1"/>
  <c r="U139" i="8"/>
  <c r="R108" i="8"/>
  <c r="R107" i="8"/>
  <c r="R104" i="8"/>
  <c r="R105" i="8" s="1"/>
  <c r="Q150" i="8"/>
  <c r="Q110" i="8"/>
  <c r="Q93" i="4"/>
  <c r="Q95" i="4" s="1"/>
  <c r="Q96" i="4" s="1"/>
  <c r="Q97" i="4" s="1"/>
  <c r="Q98" i="4" s="1"/>
  <c r="Q99" i="4" s="1"/>
  <c r="P103" i="4" s="1"/>
  <c r="P140" i="4" s="1"/>
  <c r="S165" i="4"/>
  <c r="T74" i="4"/>
  <c r="S82" i="4"/>
  <c r="R86" i="4" s="1"/>
  <c r="R87" i="4" s="1"/>
  <c r="R90" i="4"/>
  <c r="R91" i="4"/>
  <c r="P108" i="4"/>
  <c r="P107" i="4"/>
  <c r="M123" i="4"/>
  <c r="M141" i="4"/>
  <c r="M144" i="4" s="1"/>
  <c r="M162" i="4" s="1"/>
  <c r="M121" i="4"/>
  <c r="M122" i="4" s="1"/>
  <c r="O110" i="4"/>
  <c r="P146" i="4" l="1"/>
  <c r="P164" i="4" s="1"/>
  <c r="P145" i="4"/>
  <c r="P163" i="4" s="1"/>
  <c r="Q156" i="8"/>
  <c r="Q170" i="8" s="1"/>
  <c r="Q155" i="8"/>
  <c r="Q169" i="8" s="1"/>
  <c r="R146" i="8"/>
  <c r="R164" i="8" s="1"/>
  <c r="R145" i="8"/>
  <c r="R163" i="8" s="1"/>
  <c r="W78" i="8"/>
  <c r="W79" i="8" s="1"/>
  <c r="W81" i="8" s="1"/>
  <c r="W76" i="8"/>
  <c r="W77" i="8" s="1"/>
  <c r="U92" i="8"/>
  <c r="V85" i="8"/>
  <c r="R109" i="8"/>
  <c r="R150" i="8" s="1"/>
  <c r="S102" i="8"/>
  <c r="S103" i="8" s="1"/>
  <c r="Q112" i="8"/>
  <c r="Q113" i="8" s="1"/>
  <c r="Q114" i="8" s="1"/>
  <c r="Q115" i="8" s="1"/>
  <c r="Q116" i="8" s="1"/>
  <c r="P120" i="8" s="1"/>
  <c r="P106" i="4"/>
  <c r="P104" i="4"/>
  <c r="P105" i="4" s="1"/>
  <c r="Q102" i="4" s="1"/>
  <c r="R88" i="4"/>
  <c r="S85" i="4" s="1"/>
  <c r="S91" i="4" s="1"/>
  <c r="T75" i="4"/>
  <c r="R89" i="4"/>
  <c r="R139" i="4"/>
  <c r="M126" i="4"/>
  <c r="M151" i="4" s="1"/>
  <c r="M154" i="4" s="1"/>
  <c r="M168" i="4" s="1"/>
  <c r="N119" i="4"/>
  <c r="O112" i="4"/>
  <c r="O113" i="4" s="1"/>
  <c r="O114" i="4" s="1"/>
  <c r="O115" i="4" s="1"/>
  <c r="O116" i="4" s="1"/>
  <c r="N120" i="4" s="1"/>
  <c r="R156" i="8" l="1"/>
  <c r="R170" i="8" s="1"/>
  <c r="R155" i="8"/>
  <c r="R169" i="8" s="1"/>
  <c r="R92" i="4"/>
  <c r="R149" i="4" s="1"/>
  <c r="S106" i="8"/>
  <c r="S140" i="8"/>
  <c r="S90" i="4"/>
  <c r="R110" i="8"/>
  <c r="R112" i="8" s="1"/>
  <c r="R113" i="8" s="1"/>
  <c r="R114" i="8" s="1"/>
  <c r="W165" i="8"/>
  <c r="X74" i="8"/>
  <c r="W82" i="8"/>
  <c r="V86" i="8" s="1"/>
  <c r="V87" i="8" s="1"/>
  <c r="V88" i="8" s="1"/>
  <c r="V91" i="8"/>
  <c r="V90" i="8"/>
  <c r="U149" i="8"/>
  <c r="U93" i="8"/>
  <c r="P121" i="8"/>
  <c r="P122" i="8" s="1"/>
  <c r="P141" i="8"/>
  <c r="P144" i="8" s="1"/>
  <c r="P162" i="8" s="1"/>
  <c r="P123" i="8"/>
  <c r="S104" i="8"/>
  <c r="S105" i="8" s="1"/>
  <c r="S108" i="8"/>
  <c r="S107" i="8"/>
  <c r="R93" i="4"/>
  <c r="R95" i="4" s="1"/>
  <c r="R96" i="4" s="1"/>
  <c r="R97" i="4" s="1"/>
  <c r="R98" i="4" s="1"/>
  <c r="P109" i="4"/>
  <c r="P150" i="4" s="1"/>
  <c r="T78" i="4"/>
  <c r="T79" i="4" s="1"/>
  <c r="T76" i="4"/>
  <c r="T77" i="4" s="1"/>
  <c r="M127" i="4"/>
  <c r="M129" i="4" s="1"/>
  <c r="M130" i="4" s="1"/>
  <c r="M131" i="4" s="1"/>
  <c r="M132" i="4" s="1"/>
  <c r="M134" i="4" s="1"/>
  <c r="M159" i="4" s="1"/>
  <c r="Q108" i="4"/>
  <c r="Q107" i="4"/>
  <c r="N141" i="4"/>
  <c r="N144" i="4" s="1"/>
  <c r="N162" i="4" s="1"/>
  <c r="N123" i="4"/>
  <c r="N121" i="4"/>
  <c r="N122" i="4" s="1"/>
  <c r="N125" i="4"/>
  <c r="N124" i="4"/>
  <c r="P156" i="4" l="1"/>
  <c r="P170" i="4" s="1"/>
  <c r="P155" i="4"/>
  <c r="P169" i="4" s="1"/>
  <c r="S146" i="8"/>
  <c r="S164" i="8" s="1"/>
  <c r="S145" i="8"/>
  <c r="S163" i="8" s="1"/>
  <c r="T81" i="4"/>
  <c r="T82" i="4" s="1"/>
  <c r="S86" i="4" s="1"/>
  <c r="P110" i="4"/>
  <c r="P112" i="4" s="1"/>
  <c r="P113" i="4" s="1"/>
  <c r="P114" i="4" s="1"/>
  <c r="P115" i="4" s="1"/>
  <c r="P116" i="4" s="1"/>
  <c r="O120" i="4" s="1"/>
  <c r="R115" i="8"/>
  <c r="R116" i="8" s="1"/>
  <c r="X75" i="8"/>
  <c r="V92" i="8"/>
  <c r="V149" i="8" s="1"/>
  <c r="W85" i="8"/>
  <c r="V89" i="8"/>
  <c r="V139" i="8"/>
  <c r="U95" i="8"/>
  <c r="U96" i="8" s="1"/>
  <c r="U97" i="8" s="1"/>
  <c r="U98" i="8" s="1"/>
  <c r="U99" i="8" s="1"/>
  <c r="S109" i="8"/>
  <c r="S150" i="8" s="1"/>
  <c r="T102" i="8"/>
  <c r="Q119" i="8"/>
  <c r="P126" i="8"/>
  <c r="T165" i="4"/>
  <c r="U74" i="4"/>
  <c r="R99" i="4"/>
  <c r="Q103" i="4" s="1"/>
  <c r="M183" i="4"/>
  <c r="M201" i="4" s="1"/>
  <c r="M172" i="4"/>
  <c r="M184" i="4" s="1"/>
  <c r="M202" i="4" s="1"/>
  <c r="O119" i="4"/>
  <c r="N126" i="4"/>
  <c r="N151" i="4" s="1"/>
  <c r="N154" i="4" s="1"/>
  <c r="N168" i="4" s="1"/>
  <c r="S156" i="8" l="1"/>
  <c r="S170" i="8" s="1"/>
  <c r="S155" i="8"/>
  <c r="S169" i="8" s="1"/>
  <c r="Q120" i="8"/>
  <c r="Q141" i="8" s="1"/>
  <c r="Q144" i="8" s="1"/>
  <c r="Q162" i="8" s="1"/>
  <c r="V93" i="8"/>
  <c r="V95" i="8" s="1"/>
  <c r="V96" i="8" s="1"/>
  <c r="V97" i="8" s="1"/>
  <c r="V98" i="8" s="1"/>
  <c r="T103" i="8"/>
  <c r="T104" i="8" s="1"/>
  <c r="T105" i="8" s="1"/>
  <c r="X78" i="8"/>
  <c r="X79" i="8" s="1"/>
  <c r="X81" i="8" s="1"/>
  <c r="X76" i="8"/>
  <c r="X77" i="8" s="1"/>
  <c r="W91" i="8"/>
  <c r="W90" i="8"/>
  <c r="S110" i="8"/>
  <c r="S112" i="8" s="1"/>
  <c r="S113" i="8" s="1"/>
  <c r="S114" i="8" s="1"/>
  <c r="S115" i="8" s="1"/>
  <c r="T108" i="8"/>
  <c r="T107" i="8"/>
  <c r="P151" i="8"/>
  <c r="P154" i="8" s="1"/>
  <c r="P168" i="8" s="1"/>
  <c r="P127" i="8"/>
  <c r="Q124" i="8"/>
  <c r="Q125" i="8"/>
  <c r="U75" i="4"/>
  <c r="S89" i="4"/>
  <c r="S87" i="4"/>
  <c r="S88" i="4" s="1"/>
  <c r="S139" i="4"/>
  <c r="Q106" i="4"/>
  <c r="Q140" i="4"/>
  <c r="Q104" i="4"/>
  <c r="Q105" i="4" s="1"/>
  <c r="O124" i="4"/>
  <c r="O121" i="4"/>
  <c r="O122" i="4" s="1"/>
  <c r="O125" i="4"/>
  <c r="O123" i="4"/>
  <c r="O141" i="4"/>
  <c r="O144" i="4" s="1"/>
  <c r="O162" i="4" s="1"/>
  <c r="N127" i="4"/>
  <c r="Q121" i="8" l="1"/>
  <c r="Q122" i="8" s="1"/>
  <c r="R119" i="8" s="1"/>
  <c r="Q146" i="4"/>
  <c r="Q164" i="4" s="1"/>
  <c r="Q145" i="4"/>
  <c r="Q163" i="4" s="1"/>
  <c r="T140" i="8"/>
  <c r="Q123" i="8"/>
  <c r="T106" i="8"/>
  <c r="X165" i="8"/>
  <c r="Y74" i="8"/>
  <c r="X82" i="8"/>
  <c r="W86" i="8" s="1"/>
  <c r="V99" i="8"/>
  <c r="T109" i="8"/>
  <c r="T150" i="8" s="1"/>
  <c r="U102" i="8"/>
  <c r="Q126" i="8"/>
  <c r="Q151" i="8" s="1"/>
  <c r="Q154" i="8" s="1"/>
  <c r="Q168" i="8" s="1"/>
  <c r="S116" i="8"/>
  <c r="R120" i="8" s="1"/>
  <c r="R121" i="8" s="1"/>
  <c r="R122" i="8" s="1"/>
  <c r="R125" i="8"/>
  <c r="R124" i="8"/>
  <c r="P129" i="8"/>
  <c r="P130" i="8" s="1"/>
  <c r="P131" i="8" s="1"/>
  <c r="P132" i="8" s="1"/>
  <c r="P134" i="8" s="1"/>
  <c r="P159" i="8" s="1"/>
  <c r="U78" i="4"/>
  <c r="U79" i="4" s="1"/>
  <c r="U81" i="4" s="1"/>
  <c r="U76" i="4"/>
  <c r="U77" i="4" s="1"/>
  <c r="T85" i="4"/>
  <c r="S92" i="4"/>
  <c r="Q109" i="4"/>
  <c r="Q150" i="4" s="1"/>
  <c r="R102" i="4"/>
  <c r="N129" i="4"/>
  <c r="O126" i="4"/>
  <c r="O151" i="4" s="1"/>
  <c r="O154" i="4" s="1"/>
  <c r="O168" i="4" s="1"/>
  <c r="P119" i="4"/>
  <c r="T156" i="8" l="1"/>
  <c r="T170" i="8" s="1"/>
  <c r="T155" i="8"/>
  <c r="T169" i="8" s="1"/>
  <c r="Q156" i="4"/>
  <c r="Q170" i="4" s="1"/>
  <c r="Q155" i="4"/>
  <c r="Q169" i="4" s="1"/>
  <c r="T146" i="8"/>
  <c r="T164" i="8" s="1"/>
  <c r="T145" i="8"/>
  <c r="T163" i="8" s="1"/>
  <c r="Y75" i="8"/>
  <c r="Y76" i="8" s="1"/>
  <c r="W89" i="8"/>
  <c r="W139" i="8"/>
  <c r="W87" i="8"/>
  <c r="W88" i="8" s="1"/>
  <c r="T110" i="8"/>
  <c r="T112" i="8" s="1"/>
  <c r="T113" i="8" s="1"/>
  <c r="T114" i="8" s="1"/>
  <c r="T115" i="8" s="1"/>
  <c r="U103" i="8"/>
  <c r="U104" i="8" s="1"/>
  <c r="U105" i="8" s="1"/>
  <c r="U108" i="8"/>
  <c r="U107" i="8"/>
  <c r="Q127" i="8"/>
  <c r="Q129" i="8" s="1"/>
  <c r="Q130" i="8" s="1"/>
  <c r="Q131" i="8" s="1"/>
  <c r="Q132" i="8" s="1"/>
  <c r="Q134" i="8" s="1"/>
  <c r="Q159" i="8" s="1"/>
  <c r="Q172" i="8" s="1"/>
  <c r="Q184" i="8" s="1"/>
  <c r="Q202" i="8" s="1"/>
  <c r="P183" i="8"/>
  <c r="P201" i="8" s="1"/>
  <c r="P172" i="8"/>
  <c r="P184" i="8" s="1"/>
  <c r="P202" i="8" s="1"/>
  <c r="R126" i="8"/>
  <c r="R151" i="8" s="1"/>
  <c r="R154" i="8" s="1"/>
  <c r="R168" i="8" s="1"/>
  <c r="S119" i="8"/>
  <c r="R123" i="8"/>
  <c r="R141" i="8"/>
  <c r="R144" i="8" s="1"/>
  <c r="R162" i="8" s="1"/>
  <c r="Q110" i="4"/>
  <c r="Q112" i="4" s="1"/>
  <c r="Q113" i="4" s="1"/>
  <c r="Q114" i="4" s="1"/>
  <c r="Q115" i="4" s="1"/>
  <c r="Q116" i="4" s="1"/>
  <c r="P120" i="4" s="1"/>
  <c r="P121" i="4" s="1"/>
  <c r="P122" i="4" s="1"/>
  <c r="U165" i="4"/>
  <c r="V74" i="4"/>
  <c r="U82" i="4"/>
  <c r="T86" i="4" s="1"/>
  <c r="T87" i="4" s="1"/>
  <c r="T88" i="4" s="1"/>
  <c r="S149" i="4"/>
  <c r="S93" i="4"/>
  <c r="T90" i="4"/>
  <c r="T91" i="4"/>
  <c r="R108" i="4"/>
  <c r="R107" i="4"/>
  <c r="O127" i="4"/>
  <c r="P124" i="4"/>
  <c r="P125" i="4"/>
  <c r="N130" i="4"/>
  <c r="N131" i="4" s="1"/>
  <c r="N132" i="4" s="1"/>
  <c r="N134" i="4" s="1"/>
  <c r="N159" i="4" s="1"/>
  <c r="Y78" i="8" l="1"/>
  <c r="Y79" i="8" s="1"/>
  <c r="Y81" i="8" s="1"/>
  <c r="Y77" i="8"/>
  <c r="W92" i="8"/>
  <c r="W149" i="8" s="1"/>
  <c r="X85" i="8"/>
  <c r="U109" i="8"/>
  <c r="U150" i="8" s="1"/>
  <c r="V102" i="8"/>
  <c r="U106" i="8"/>
  <c r="U140" i="8"/>
  <c r="Q183" i="8"/>
  <c r="Q201" i="8" s="1"/>
  <c r="R127" i="8"/>
  <c r="R129" i="8" s="1"/>
  <c r="T116" i="8"/>
  <c r="S120" i="8" s="1"/>
  <c r="S125" i="8"/>
  <c r="S124" i="8"/>
  <c r="V75" i="4"/>
  <c r="T92" i="4"/>
  <c r="T149" i="4" s="1"/>
  <c r="U85" i="4"/>
  <c r="T89" i="4"/>
  <c r="T139" i="4"/>
  <c r="S95" i="4"/>
  <c r="S96" i="4" s="1"/>
  <c r="S97" i="4" s="1"/>
  <c r="S98" i="4" s="1"/>
  <c r="S99" i="4" s="1"/>
  <c r="R103" i="4" s="1"/>
  <c r="P141" i="4"/>
  <c r="P144" i="4" s="1"/>
  <c r="P162" i="4" s="1"/>
  <c r="P123" i="4"/>
  <c r="P126" i="4"/>
  <c r="P151" i="4" s="1"/>
  <c r="P154" i="4" s="1"/>
  <c r="P168" i="4" s="1"/>
  <c r="Q119" i="4"/>
  <c r="N172" i="4"/>
  <c r="N184" i="4" s="1"/>
  <c r="N202" i="4" s="1"/>
  <c r="N183" i="4"/>
  <c r="N201" i="4" s="1"/>
  <c r="O129" i="4"/>
  <c r="U156" i="8" l="1"/>
  <c r="U170" i="8" s="1"/>
  <c r="U155" i="8"/>
  <c r="U169" i="8" s="1"/>
  <c r="U146" i="8"/>
  <c r="U164" i="8" s="1"/>
  <c r="U145" i="8"/>
  <c r="U163" i="8" s="1"/>
  <c r="T93" i="4"/>
  <c r="T95" i="4" s="1"/>
  <c r="T96" i="4" s="1"/>
  <c r="T97" i="4" s="1"/>
  <c r="T98" i="4" s="1"/>
  <c r="W93" i="8"/>
  <c r="W95" i="8" s="1"/>
  <c r="W96" i="8" s="1"/>
  <c r="W97" i="8" s="1"/>
  <c r="W98" i="8" s="1"/>
  <c r="W99" i="8" s="1"/>
  <c r="V103" i="8" s="1"/>
  <c r="V104" i="8" s="1"/>
  <c r="V105" i="8" s="1"/>
  <c r="U110" i="8"/>
  <c r="U112" i="8" s="1"/>
  <c r="U113" i="8" s="1"/>
  <c r="U114" i="8" s="1"/>
  <c r="U115" i="8" s="1"/>
  <c r="Y165" i="8"/>
  <c r="Z74" i="8"/>
  <c r="Y82" i="8"/>
  <c r="X86" i="8" s="1"/>
  <c r="X87" i="8" s="1"/>
  <c r="X88" i="8" s="1"/>
  <c r="Y85" i="8" s="1"/>
  <c r="X91" i="8"/>
  <c r="X90" i="8"/>
  <c r="S121" i="8"/>
  <c r="S122" i="8" s="1"/>
  <c r="T119" i="8" s="1"/>
  <c r="V108" i="8"/>
  <c r="V107" i="8"/>
  <c r="S123" i="8"/>
  <c r="S141" i="8"/>
  <c r="S144" i="8" s="1"/>
  <c r="S162" i="8" s="1"/>
  <c r="R130" i="8"/>
  <c r="R131" i="8" s="1"/>
  <c r="R132" i="8" s="1"/>
  <c r="R134" i="8" s="1"/>
  <c r="R159" i="8" s="1"/>
  <c r="V78" i="4"/>
  <c r="V79" i="4" s="1"/>
  <c r="V81" i="4" s="1"/>
  <c r="V76" i="4"/>
  <c r="V77" i="4" s="1"/>
  <c r="U90" i="4"/>
  <c r="U91" i="4"/>
  <c r="R140" i="4"/>
  <c r="R106" i="4"/>
  <c r="R104" i="4"/>
  <c r="R105" i="4" s="1"/>
  <c r="P127" i="4"/>
  <c r="P129" i="4" s="1"/>
  <c r="P130" i="4" s="1"/>
  <c r="P131" i="4" s="1"/>
  <c r="Q125" i="4"/>
  <c r="Q124" i="4"/>
  <c r="O130" i="4"/>
  <c r="O131" i="4" s="1"/>
  <c r="O132" i="4" s="1"/>
  <c r="O134" i="4" s="1"/>
  <c r="O159" i="4" s="1"/>
  <c r="R146" i="4" l="1"/>
  <c r="R164" i="4" s="1"/>
  <c r="R145" i="4"/>
  <c r="R163" i="4" s="1"/>
  <c r="Z75" i="8"/>
  <c r="Y91" i="8"/>
  <c r="Y90" i="8"/>
  <c r="X92" i="8"/>
  <c r="X149" i="8" s="1"/>
  <c r="X89" i="8"/>
  <c r="X139" i="8"/>
  <c r="S126" i="8"/>
  <c r="S151" i="8" s="1"/>
  <c r="S154" i="8" s="1"/>
  <c r="S168" i="8" s="1"/>
  <c r="V109" i="8"/>
  <c r="V150" i="8" s="1"/>
  <c r="W102" i="8"/>
  <c r="V106" i="8"/>
  <c r="V140" i="8"/>
  <c r="U116" i="8"/>
  <c r="T120" i="8" s="1"/>
  <c r="T121" i="8" s="1"/>
  <c r="T122" i="8" s="1"/>
  <c r="T124" i="8"/>
  <c r="T125" i="8"/>
  <c r="R172" i="8"/>
  <c r="R184" i="8" s="1"/>
  <c r="R202" i="8" s="1"/>
  <c r="R183" i="8"/>
  <c r="R201" i="8" s="1"/>
  <c r="V165" i="4"/>
  <c r="W74" i="4"/>
  <c r="V82" i="4"/>
  <c r="U86" i="4" s="1"/>
  <c r="T99" i="4"/>
  <c r="S103" i="4" s="1"/>
  <c r="S102" i="4"/>
  <c r="R109" i="4"/>
  <c r="R150" i="4" s="1"/>
  <c r="O183" i="4"/>
  <c r="O201" i="4" s="1"/>
  <c r="O172" i="4"/>
  <c r="O184" i="4" s="1"/>
  <c r="O202" i="4" s="1"/>
  <c r="P132" i="4"/>
  <c r="P134" i="4" s="1"/>
  <c r="P159" i="4" s="1"/>
  <c r="R156" i="4" l="1"/>
  <c r="R170" i="4" s="1"/>
  <c r="R155" i="4"/>
  <c r="R169" i="4" s="1"/>
  <c r="V156" i="8"/>
  <c r="V170" i="8" s="1"/>
  <c r="V155" i="8"/>
  <c r="V169" i="8" s="1"/>
  <c r="V146" i="8"/>
  <c r="V164" i="8" s="1"/>
  <c r="V145" i="8"/>
  <c r="V163" i="8" s="1"/>
  <c r="X93" i="8"/>
  <c r="X95" i="8" s="1"/>
  <c r="X96" i="8" s="1"/>
  <c r="X97" i="8" s="1"/>
  <c r="X98" i="8" s="1"/>
  <c r="Z78" i="8"/>
  <c r="Z79" i="8" s="1"/>
  <c r="Z81" i="8" s="1"/>
  <c r="Z76" i="8"/>
  <c r="Z77" i="8" s="1"/>
  <c r="V110" i="8"/>
  <c r="V112" i="8" s="1"/>
  <c r="V113" i="8" s="1"/>
  <c r="V114" i="8" s="1"/>
  <c r="V115" i="8" s="1"/>
  <c r="S127" i="8"/>
  <c r="S129" i="8" s="1"/>
  <c r="S130" i="8" s="1"/>
  <c r="S131" i="8" s="1"/>
  <c r="S132" i="8" s="1"/>
  <c r="S134" i="8" s="1"/>
  <c r="S159" i="8" s="1"/>
  <c r="S183" i="8" s="1"/>
  <c r="S201" i="8" s="1"/>
  <c r="W108" i="8"/>
  <c r="W107" i="8"/>
  <c r="T126" i="8"/>
  <c r="T151" i="8" s="1"/>
  <c r="T154" i="8" s="1"/>
  <c r="T168" i="8" s="1"/>
  <c r="U119" i="8"/>
  <c r="T123" i="8"/>
  <c r="T141" i="8"/>
  <c r="T144" i="8" s="1"/>
  <c r="T162" i="8" s="1"/>
  <c r="W75" i="4"/>
  <c r="W76" i="4" s="1"/>
  <c r="R110" i="4"/>
  <c r="R112" i="4" s="1"/>
  <c r="R113" i="4" s="1"/>
  <c r="R114" i="4" s="1"/>
  <c r="R115" i="4" s="1"/>
  <c r="R116" i="4" s="1"/>
  <c r="Q120" i="4" s="1"/>
  <c r="Q123" i="4" s="1"/>
  <c r="U89" i="4"/>
  <c r="U139" i="4"/>
  <c r="U87" i="4"/>
  <c r="U88" i="4" s="1"/>
  <c r="S108" i="4"/>
  <c r="S107" i="4"/>
  <c r="S104" i="4"/>
  <c r="S105" i="4" s="1"/>
  <c r="S106" i="4"/>
  <c r="S140" i="4"/>
  <c r="P183" i="4"/>
  <c r="P201" i="4" s="1"/>
  <c r="P172" i="4"/>
  <c r="P184" i="4" s="1"/>
  <c r="P202" i="4" s="1"/>
  <c r="S146" i="4" l="1"/>
  <c r="S164" i="4" s="1"/>
  <c r="S145" i="4"/>
  <c r="S163" i="4" s="1"/>
  <c r="Z165" i="8"/>
  <c r="AA74" i="8"/>
  <c r="Z82" i="8"/>
  <c r="Y86" i="8" s="1"/>
  <c r="S172" i="8"/>
  <c r="S184" i="8" s="1"/>
  <c r="S202" i="8" s="1"/>
  <c r="T127" i="8"/>
  <c r="T129" i="8" s="1"/>
  <c r="T130" i="8" s="1"/>
  <c r="T131" i="8" s="1"/>
  <c r="T132" i="8" s="1"/>
  <c r="T134" i="8" s="1"/>
  <c r="T159" i="8" s="1"/>
  <c r="X99" i="8"/>
  <c r="W103" i="8" s="1"/>
  <c r="V116" i="8"/>
  <c r="U120" i="8" s="1"/>
  <c r="U121" i="8" s="1"/>
  <c r="U125" i="8"/>
  <c r="U124" i="8"/>
  <c r="Q121" i="4"/>
  <c r="Q122" i="4" s="1"/>
  <c r="R119" i="4" s="1"/>
  <c r="Q141" i="4"/>
  <c r="Q144" i="4" s="1"/>
  <c r="Q162" i="4" s="1"/>
  <c r="W77" i="4"/>
  <c r="W78" i="4"/>
  <c r="W79" i="4" s="1"/>
  <c r="W81" i="4" s="1"/>
  <c r="U92" i="4"/>
  <c r="U149" i="4" s="1"/>
  <c r="V85" i="4"/>
  <c r="S109" i="4"/>
  <c r="S150" i="4" s="1"/>
  <c r="T102" i="4"/>
  <c r="S156" i="4" l="1"/>
  <c r="S170" i="4" s="1"/>
  <c r="S155" i="4"/>
  <c r="S169" i="4" s="1"/>
  <c r="Q126" i="4"/>
  <c r="Q151" i="4" s="1"/>
  <c r="Q154" i="4" s="1"/>
  <c r="Q168" i="4" s="1"/>
  <c r="U122" i="8"/>
  <c r="V119" i="8" s="1"/>
  <c r="AA75" i="8"/>
  <c r="Y89" i="8"/>
  <c r="Y87" i="8"/>
  <c r="Y88" i="8" s="1"/>
  <c r="Y139" i="8"/>
  <c r="W106" i="8"/>
  <c r="W140" i="8"/>
  <c r="W104" i="8"/>
  <c r="W105" i="8" s="1"/>
  <c r="U123" i="8"/>
  <c r="U141" i="8"/>
  <c r="U144" i="8" s="1"/>
  <c r="U162" i="8" s="1"/>
  <c r="T183" i="8"/>
  <c r="T201" i="8" s="1"/>
  <c r="T172" i="8"/>
  <c r="T184" i="8" s="1"/>
  <c r="T202" i="8" s="1"/>
  <c r="W165" i="4"/>
  <c r="X74" i="4"/>
  <c r="W82" i="4"/>
  <c r="V86" i="4" s="1"/>
  <c r="V87" i="4" s="1"/>
  <c r="V88" i="4" s="1"/>
  <c r="U93" i="4"/>
  <c r="U95" i="4" s="1"/>
  <c r="U96" i="4" s="1"/>
  <c r="U97" i="4" s="1"/>
  <c r="U98" i="4" s="1"/>
  <c r="U99" i="4" s="1"/>
  <c r="T103" i="4" s="1"/>
  <c r="T104" i="4" s="1"/>
  <c r="T105" i="4" s="1"/>
  <c r="V90" i="4"/>
  <c r="V91" i="4"/>
  <c r="S110" i="4"/>
  <c r="S112" i="4" s="1"/>
  <c r="S113" i="4" s="1"/>
  <c r="S114" i="4" s="1"/>
  <c r="S115" i="4" s="1"/>
  <c r="S116" i="4" s="1"/>
  <c r="R120" i="4" s="1"/>
  <c r="R121" i="4" s="1"/>
  <c r="R122" i="4" s="1"/>
  <c r="T108" i="4"/>
  <c r="T107" i="4"/>
  <c r="R125" i="4"/>
  <c r="R124" i="4"/>
  <c r="W146" i="8" l="1"/>
  <c r="W164" i="8" s="1"/>
  <c r="W145" i="8"/>
  <c r="W163" i="8" s="1"/>
  <c r="U126" i="8"/>
  <c r="U151" i="8" s="1"/>
  <c r="U154" i="8" s="1"/>
  <c r="U168" i="8" s="1"/>
  <c r="Q127" i="4"/>
  <c r="Q129" i="4" s="1"/>
  <c r="Q130" i="4" s="1"/>
  <c r="Q131" i="4" s="1"/>
  <c r="Q132" i="4" s="1"/>
  <c r="Q134" i="4" s="1"/>
  <c r="Q159" i="4" s="1"/>
  <c r="AA78" i="8"/>
  <c r="AA79" i="8" s="1"/>
  <c r="AA81" i="8" s="1"/>
  <c r="AA76" i="8"/>
  <c r="AA77" i="8" s="1"/>
  <c r="Y92" i="8"/>
  <c r="Z85" i="8"/>
  <c r="W109" i="8"/>
  <c r="W150" i="8" s="1"/>
  <c r="X102" i="8"/>
  <c r="V125" i="8"/>
  <c r="V124" i="8"/>
  <c r="T140" i="4"/>
  <c r="T106" i="4"/>
  <c r="X75" i="4"/>
  <c r="V92" i="4"/>
  <c r="V149" i="4" s="1"/>
  <c r="W85" i="4"/>
  <c r="V89" i="4"/>
  <c r="V139" i="4"/>
  <c r="R123" i="4"/>
  <c r="R141" i="4"/>
  <c r="R144" i="4" s="1"/>
  <c r="R162" i="4" s="1"/>
  <c r="T109" i="4"/>
  <c r="T150" i="4" s="1"/>
  <c r="U102" i="4"/>
  <c r="R126" i="4"/>
  <c r="R151" i="4" s="1"/>
  <c r="R154" i="4" s="1"/>
  <c r="R168" i="4" s="1"/>
  <c r="S119" i="4"/>
  <c r="T156" i="4" l="1"/>
  <c r="T170" i="4" s="1"/>
  <c r="T155" i="4"/>
  <c r="T169" i="4" s="1"/>
  <c r="W156" i="8"/>
  <c r="W170" i="8" s="1"/>
  <c r="W155" i="8"/>
  <c r="W169" i="8" s="1"/>
  <c r="T146" i="4"/>
  <c r="T164" i="4" s="1"/>
  <c r="T145" i="4"/>
  <c r="T163" i="4" s="1"/>
  <c r="U127" i="8"/>
  <c r="U129" i="8" s="1"/>
  <c r="U130" i="8" s="1"/>
  <c r="U131" i="8" s="1"/>
  <c r="U132" i="8" s="1"/>
  <c r="U134" i="8" s="1"/>
  <c r="U159" i="8" s="1"/>
  <c r="U172" i="8" s="1"/>
  <c r="U184" i="8" s="1"/>
  <c r="U202" i="8" s="1"/>
  <c r="AA165" i="8"/>
  <c r="AB74" i="8"/>
  <c r="AA82" i="8"/>
  <c r="Z86" i="8" s="1"/>
  <c r="Z87" i="8" s="1"/>
  <c r="Z88" i="8" s="1"/>
  <c r="Z91" i="8"/>
  <c r="Z90" i="8"/>
  <c r="Y149" i="8"/>
  <c r="Y93" i="8"/>
  <c r="X108" i="8"/>
  <c r="X107" i="8"/>
  <c r="W110" i="8"/>
  <c r="T110" i="4"/>
  <c r="T112" i="4" s="1"/>
  <c r="T113" i="4" s="1"/>
  <c r="T114" i="4" s="1"/>
  <c r="T115" i="4" s="1"/>
  <c r="R127" i="4"/>
  <c r="R129" i="4" s="1"/>
  <c r="R130" i="4" s="1"/>
  <c r="R131" i="4" s="1"/>
  <c r="R132" i="4" s="1"/>
  <c r="R134" i="4" s="1"/>
  <c r="R159" i="4" s="1"/>
  <c r="V93" i="4"/>
  <c r="V95" i="4" s="1"/>
  <c r="V96" i="4" s="1"/>
  <c r="V97" i="4" s="1"/>
  <c r="V98" i="4" s="1"/>
  <c r="X78" i="4"/>
  <c r="X79" i="4" s="1"/>
  <c r="X81" i="4" s="1"/>
  <c r="X76" i="4"/>
  <c r="X77" i="4" s="1"/>
  <c r="W90" i="4"/>
  <c r="W91" i="4"/>
  <c r="U108" i="4"/>
  <c r="U107" i="4"/>
  <c r="S124" i="4"/>
  <c r="S125" i="4"/>
  <c r="Q172" i="4"/>
  <c r="Q184" i="4" s="1"/>
  <c r="Q202" i="4" s="1"/>
  <c r="Q183" i="4"/>
  <c r="Q201" i="4" s="1"/>
  <c r="U183" i="8" l="1"/>
  <c r="U201" i="8" s="1"/>
  <c r="AB75" i="8"/>
  <c r="Z92" i="8"/>
  <c r="Z149" i="8" s="1"/>
  <c r="AA85" i="8"/>
  <c r="Z89" i="8"/>
  <c r="Z139" i="8"/>
  <c r="Y95" i="8"/>
  <c r="Y96" i="8" s="1"/>
  <c r="Y97" i="8" s="1"/>
  <c r="Y98" i="8" s="1"/>
  <c r="Y99" i="8" s="1"/>
  <c r="X103" i="8" s="1"/>
  <c r="W112" i="8"/>
  <c r="W113" i="8" s="1"/>
  <c r="W114" i="8" s="1"/>
  <c r="W115" i="8" s="1"/>
  <c r="W116" i="8" s="1"/>
  <c r="V120" i="8" s="1"/>
  <c r="X165" i="4"/>
  <c r="Y74" i="4"/>
  <c r="X82" i="4"/>
  <c r="W86" i="4" s="1"/>
  <c r="V99" i="4"/>
  <c r="U103" i="4" s="1"/>
  <c r="T116" i="4"/>
  <c r="S120" i="4" s="1"/>
  <c r="R183" i="4"/>
  <c r="R201" i="4" s="1"/>
  <c r="R172" i="4"/>
  <c r="R184" i="4" s="1"/>
  <c r="R202" i="4" s="1"/>
  <c r="Z93" i="8" l="1"/>
  <c r="Z95" i="8" s="1"/>
  <c r="Z96" i="8" s="1"/>
  <c r="Z97" i="8" s="1"/>
  <c r="Z98" i="8" s="1"/>
  <c r="AB78" i="8"/>
  <c r="AB79" i="8" s="1"/>
  <c r="AB81" i="8" s="1"/>
  <c r="AB76" i="8"/>
  <c r="AB77" i="8" s="1"/>
  <c r="AA91" i="8"/>
  <c r="AA90" i="8"/>
  <c r="X140" i="8"/>
  <c r="X106" i="8"/>
  <c r="X104" i="8"/>
  <c r="X105" i="8" s="1"/>
  <c r="V121" i="8"/>
  <c r="V122" i="8" s="1"/>
  <c r="V123" i="8"/>
  <c r="V141" i="8"/>
  <c r="V144" i="8" s="1"/>
  <c r="V162" i="8" s="1"/>
  <c r="Y75" i="4"/>
  <c r="W89" i="4"/>
  <c r="W139" i="4"/>
  <c r="W87" i="4"/>
  <c r="W88" i="4" s="1"/>
  <c r="U106" i="4"/>
  <c r="U140" i="4"/>
  <c r="U104" i="4"/>
  <c r="U105" i="4" s="1"/>
  <c r="S123" i="4"/>
  <c r="S141" i="4"/>
  <c r="S144" i="4" s="1"/>
  <c r="S162" i="4" s="1"/>
  <c r="S121" i="4"/>
  <c r="S122" i="4" s="1"/>
  <c r="X146" i="8" l="1"/>
  <c r="X164" i="8" s="1"/>
  <c r="X145" i="8"/>
  <c r="X163" i="8" s="1"/>
  <c r="U146" i="4"/>
  <c r="U164" i="4" s="1"/>
  <c r="U145" i="4"/>
  <c r="U163" i="4" s="1"/>
  <c r="AB165" i="8"/>
  <c r="AC74" i="8"/>
  <c r="AB82" i="8"/>
  <c r="AA86" i="8" s="1"/>
  <c r="Z99" i="8"/>
  <c r="Y102" i="8"/>
  <c r="X109" i="8"/>
  <c r="X150" i="8" s="1"/>
  <c r="W119" i="8"/>
  <c r="V126" i="8"/>
  <c r="Y78" i="4"/>
  <c r="Y79" i="4" s="1"/>
  <c r="Y81" i="4" s="1"/>
  <c r="Y76" i="4"/>
  <c r="Y77" i="4" s="1"/>
  <c r="W92" i="4"/>
  <c r="W149" i="4" s="1"/>
  <c r="X85" i="4"/>
  <c r="U109" i="4"/>
  <c r="U150" i="4" s="1"/>
  <c r="V102" i="4"/>
  <c r="S126" i="4"/>
  <c r="S151" i="4" s="1"/>
  <c r="S154" i="4" s="1"/>
  <c r="S168" i="4" s="1"/>
  <c r="T119" i="4"/>
  <c r="X156" i="8" l="1"/>
  <c r="X170" i="8" s="1"/>
  <c r="X155" i="8"/>
  <c r="X169" i="8" s="1"/>
  <c r="U156" i="4"/>
  <c r="U170" i="4" s="1"/>
  <c r="U155" i="4"/>
  <c r="U169" i="4" s="1"/>
  <c r="W93" i="4"/>
  <c r="AC75" i="8"/>
  <c r="AC76" i="8" s="1"/>
  <c r="AC77" i="8" s="1"/>
  <c r="AA89" i="8"/>
  <c r="AA139" i="8"/>
  <c r="AA87" i="8"/>
  <c r="AA88" i="8" s="1"/>
  <c r="X110" i="8"/>
  <c r="Y108" i="8"/>
  <c r="Y107" i="8"/>
  <c r="Y103" i="8"/>
  <c r="W124" i="8"/>
  <c r="W125" i="8"/>
  <c r="V151" i="8"/>
  <c r="V154" i="8" s="1"/>
  <c r="V168" i="8" s="1"/>
  <c r="V127" i="8"/>
  <c r="U110" i="4"/>
  <c r="U112" i="4" s="1"/>
  <c r="U113" i="4" s="1"/>
  <c r="U114" i="4" s="1"/>
  <c r="U115" i="4" s="1"/>
  <c r="U116" i="4" s="1"/>
  <c r="T120" i="4" s="1"/>
  <c r="T121" i="4" s="1"/>
  <c r="T122" i="4" s="1"/>
  <c r="Y165" i="4"/>
  <c r="Z74" i="4"/>
  <c r="Y82" i="4"/>
  <c r="X86" i="4" s="1"/>
  <c r="X87" i="4" s="1"/>
  <c r="X88" i="4" s="1"/>
  <c r="W95" i="4"/>
  <c r="W96" i="4" s="1"/>
  <c r="W97" i="4" s="1"/>
  <c r="W98" i="4" s="1"/>
  <c r="W99" i="4" s="1"/>
  <c r="V103" i="4" s="1"/>
  <c r="V104" i="4" s="1"/>
  <c r="V105" i="4" s="1"/>
  <c r="X91" i="4"/>
  <c r="X90" i="4"/>
  <c r="V108" i="4"/>
  <c r="V107" i="4"/>
  <c r="T125" i="4"/>
  <c r="T124" i="4"/>
  <c r="S127" i="4"/>
  <c r="AC165" i="8" l="1"/>
  <c r="AD74" i="8"/>
  <c r="AC78" i="8"/>
  <c r="AC79" i="8" s="1"/>
  <c r="AC81" i="8" s="1"/>
  <c r="AA92" i="8"/>
  <c r="AA149" i="8" s="1"/>
  <c r="AB85" i="8"/>
  <c r="Y106" i="8"/>
  <c r="Y140" i="8"/>
  <c r="Y104" i="8"/>
  <c r="Y105" i="8" s="1"/>
  <c r="X112" i="8"/>
  <c r="X113" i="8" s="1"/>
  <c r="X114" i="8" s="1"/>
  <c r="X115" i="8" s="1"/>
  <c r="X116" i="8" s="1"/>
  <c r="W120" i="8" s="1"/>
  <c r="V129" i="8"/>
  <c r="V130" i="8" s="1"/>
  <c r="V131" i="8" s="1"/>
  <c r="V132" i="8" s="1"/>
  <c r="V134" i="8" s="1"/>
  <c r="V159" i="8" s="1"/>
  <c r="V106" i="4"/>
  <c r="V140" i="4"/>
  <c r="Y85" i="4"/>
  <c r="Y90" i="4" s="1"/>
  <c r="X92" i="4"/>
  <c r="X149" i="4" s="1"/>
  <c r="Z75" i="4"/>
  <c r="Z76" i="4" s="1"/>
  <c r="Z77" i="4" s="1"/>
  <c r="X89" i="4"/>
  <c r="X139" i="4"/>
  <c r="T123" i="4"/>
  <c r="T141" i="4"/>
  <c r="T144" i="4" s="1"/>
  <c r="T162" i="4" s="1"/>
  <c r="V109" i="4"/>
  <c r="V150" i="4" s="1"/>
  <c r="W102" i="4"/>
  <c r="T126" i="4"/>
  <c r="T151" i="4" s="1"/>
  <c r="T154" i="4" s="1"/>
  <c r="T168" i="4" s="1"/>
  <c r="U119" i="4"/>
  <c r="S129" i="4"/>
  <c r="V156" i="4" l="1"/>
  <c r="V170" i="4" s="1"/>
  <c r="V155" i="4"/>
  <c r="V169" i="4" s="1"/>
  <c r="Y146" i="8"/>
  <c r="Y164" i="8" s="1"/>
  <c r="Y145" i="8"/>
  <c r="Y163" i="8" s="1"/>
  <c r="V146" i="4"/>
  <c r="V164" i="4" s="1"/>
  <c r="V145" i="4"/>
  <c r="V163" i="4" s="1"/>
  <c r="AD75" i="8"/>
  <c r="AC82" i="8"/>
  <c r="AB86" i="8" s="1"/>
  <c r="AB87" i="8" s="1"/>
  <c r="AB88" i="8" s="1"/>
  <c r="AA93" i="8"/>
  <c r="AA95" i="8" s="1"/>
  <c r="AA96" i="8" s="1"/>
  <c r="AA97" i="8" s="1"/>
  <c r="AA98" i="8" s="1"/>
  <c r="AA99" i="8" s="1"/>
  <c r="AB91" i="8"/>
  <c r="AB90" i="8"/>
  <c r="W121" i="8"/>
  <c r="W122" i="8" s="1"/>
  <c r="W123" i="8"/>
  <c r="W141" i="8"/>
  <c r="W144" i="8" s="1"/>
  <c r="W162" i="8" s="1"/>
  <c r="Y109" i="8"/>
  <c r="Z102" i="8"/>
  <c r="V183" i="8"/>
  <c r="V201" i="8" s="1"/>
  <c r="V172" i="8"/>
  <c r="V184" i="8" s="1"/>
  <c r="V202" i="8" s="1"/>
  <c r="X93" i="4"/>
  <c r="X95" i="4" s="1"/>
  <c r="X96" i="4" s="1"/>
  <c r="X97" i="4" s="1"/>
  <c r="X98" i="4" s="1"/>
  <c r="X99" i="4" s="1"/>
  <c r="W103" i="4" s="1"/>
  <c r="W104" i="4" s="1"/>
  <c r="W105" i="4" s="1"/>
  <c r="Y91" i="4"/>
  <c r="V110" i="4"/>
  <c r="V112" i="4" s="1"/>
  <c r="V113" i="4" s="1"/>
  <c r="V114" i="4" s="1"/>
  <c r="V115" i="4" s="1"/>
  <c r="Z165" i="4"/>
  <c r="AA74" i="4"/>
  <c r="T127" i="4"/>
  <c r="T129" i="4" s="1"/>
  <c r="T130" i="4" s="1"/>
  <c r="T131" i="4" s="1"/>
  <c r="Z78" i="4"/>
  <c r="Z79" i="4" s="1"/>
  <c r="Z81" i="4" s="1"/>
  <c r="W108" i="4"/>
  <c r="W107" i="4"/>
  <c r="U125" i="4"/>
  <c r="U124" i="4"/>
  <c r="S130" i="4"/>
  <c r="S131" i="4" s="1"/>
  <c r="AD78" i="8" l="1"/>
  <c r="AD79" i="8" s="1"/>
  <c r="AD81" i="8" s="1"/>
  <c r="AD76" i="8"/>
  <c r="AD77" i="8" s="1"/>
  <c r="AB92" i="8"/>
  <c r="AB149" i="8" s="1"/>
  <c r="AC85" i="8"/>
  <c r="Z103" i="8"/>
  <c r="Z104" i="8" s="1"/>
  <c r="AB89" i="8"/>
  <c r="AB139" i="8"/>
  <c r="Y150" i="8"/>
  <c r="Y110" i="8"/>
  <c r="Z108" i="8"/>
  <c r="Z107" i="8"/>
  <c r="W126" i="8"/>
  <c r="X119" i="8"/>
  <c r="AA75" i="4"/>
  <c r="Z82" i="4"/>
  <c r="Y86" i="4" s="1"/>
  <c r="T132" i="4"/>
  <c r="T134" i="4" s="1"/>
  <c r="T159" i="4" s="1"/>
  <c r="T183" i="4" s="1"/>
  <c r="T201" i="4" s="1"/>
  <c r="W109" i="4"/>
  <c r="W150" i="4" s="1"/>
  <c r="X102" i="4"/>
  <c r="W106" i="4"/>
  <c r="W140" i="4"/>
  <c r="V116" i="4"/>
  <c r="U120" i="4" s="1"/>
  <c r="S132" i="4"/>
  <c r="S134" i="4" s="1"/>
  <c r="S159" i="4" s="1"/>
  <c r="W146" i="4" l="1"/>
  <c r="W164" i="4" s="1"/>
  <c r="W145" i="4"/>
  <c r="W163" i="4" s="1"/>
  <c r="Y156" i="8"/>
  <c r="Y170" i="8" s="1"/>
  <c r="Y155" i="8"/>
  <c r="Y169" i="8" s="1"/>
  <c r="W156" i="4"/>
  <c r="W170" i="4" s="1"/>
  <c r="W155" i="4"/>
  <c r="W169" i="4" s="1"/>
  <c r="Z106" i="8"/>
  <c r="T172" i="4"/>
  <c r="T184" i="4" s="1"/>
  <c r="T202" i="4" s="1"/>
  <c r="AB93" i="8"/>
  <c r="AB95" i="8" s="1"/>
  <c r="AB96" i="8" s="1"/>
  <c r="AB97" i="8" s="1"/>
  <c r="AB98" i="8" s="1"/>
  <c r="AD165" i="8"/>
  <c r="AE74" i="8"/>
  <c r="AD82" i="8"/>
  <c r="AC86" i="8" s="1"/>
  <c r="AC87" i="8" s="1"/>
  <c r="AC88" i="8" s="1"/>
  <c r="Z140" i="8"/>
  <c r="Z105" i="8"/>
  <c r="Z109" i="8" s="1"/>
  <c r="Z150" i="8" s="1"/>
  <c r="AC90" i="8"/>
  <c r="AC91" i="8"/>
  <c r="W151" i="8"/>
  <c r="W154" i="8" s="1"/>
  <c r="W168" i="8" s="1"/>
  <c r="W127" i="8"/>
  <c r="Y112" i="8"/>
  <c r="Y113" i="8" s="1"/>
  <c r="Y114" i="8" s="1"/>
  <c r="Y115" i="8" s="1"/>
  <c r="Y116" i="8" s="1"/>
  <c r="X120" i="8" s="1"/>
  <c r="X121" i="8" s="1"/>
  <c r="X122" i="8" s="1"/>
  <c r="X125" i="8"/>
  <c r="X124" i="8"/>
  <c r="W110" i="4"/>
  <c r="W112" i="4" s="1"/>
  <c r="W113" i="4" s="1"/>
  <c r="W114" i="4" s="1"/>
  <c r="W115" i="4" s="1"/>
  <c r="AA78" i="4"/>
  <c r="AA79" i="4" s="1"/>
  <c r="AA81" i="4" s="1"/>
  <c r="AA76" i="4"/>
  <c r="AA77" i="4" s="1"/>
  <c r="Y89" i="4"/>
  <c r="Y87" i="4"/>
  <c r="Y88" i="4" s="1"/>
  <c r="Y139" i="4"/>
  <c r="X108" i="4"/>
  <c r="X107" i="4"/>
  <c r="U123" i="4"/>
  <c r="U141" i="4"/>
  <c r="U144" i="4" s="1"/>
  <c r="U162" i="4" s="1"/>
  <c r="U121" i="4"/>
  <c r="U122" i="4" s="1"/>
  <c r="S183" i="4"/>
  <c r="S201" i="4" s="1"/>
  <c r="S172" i="4"/>
  <c r="S184" i="4" s="1"/>
  <c r="S202" i="4" s="1"/>
  <c r="Z156" i="8" l="1"/>
  <c r="Z170" i="8" s="1"/>
  <c r="Z155" i="8"/>
  <c r="Z169" i="8" s="1"/>
  <c r="Z146" i="8"/>
  <c r="Z164" i="8" s="1"/>
  <c r="Z145" i="8"/>
  <c r="Z163" i="8" s="1"/>
  <c r="AA102" i="8"/>
  <c r="AA108" i="8" s="1"/>
  <c r="AE75" i="8"/>
  <c r="AE76" i="8" s="1"/>
  <c r="AC92" i="8"/>
  <c r="AC149" i="8" s="1"/>
  <c r="AD85" i="8"/>
  <c r="AC89" i="8"/>
  <c r="AC139" i="8"/>
  <c r="Z110" i="8"/>
  <c r="Z112" i="8" s="1"/>
  <c r="Z113" i="8" s="1"/>
  <c r="Z114" i="8" s="1"/>
  <c r="Z115" i="8" s="1"/>
  <c r="AB99" i="8"/>
  <c r="X126" i="8"/>
  <c r="X151" i="8" s="1"/>
  <c r="X154" i="8" s="1"/>
  <c r="X168" i="8" s="1"/>
  <c r="Y119" i="8"/>
  <c r="X123" i="8"/>
  <c r="X141" i="8"/>
  <c r="X144" i="8" s="1"/>
  <c r="X162" i="8" s="1"/>
  <c r="W129" i="8"/>
  <c r="W130" i="8" s="1"/>
  <c r="W131" i="8" s="1"/>
  <c r="W132" i="8" s="1"/>
  <c r="W134" i="8" s="1"/>
  <c r="W159" i="8" s="1"/>
  <c r="AA165" i="4"/>
  <c r="AB74" i="4"/>
  <c r="AA82" i="4"/>
  <c r="Z86" i="4" s="1"/>
  <c r="Y92" i="4"/>
  <c r="Z85" i="4"/>
  <c r="W116" i="4"/>
  <c r="V120" i="4" s="1"/>
  <c r="U126" i="4"/>
  <c r="U151" i="4" s="1"/>
  <c r="U154" i="4" s="1"/>
  <c r="U168" i="4" s="1"/>
  <c r="V119" i="4"/>
  <c r="AA103" i="8" l="1"/>
  <c r="AC93" i="8"/>
  <c r="AC95" i="8" s="1"/>
  <c r="AC96" i="8" s="1"/>
  <c r="AC97" i="8" s="1"/>
  <c r="AC98" i="8" s="1"/>
  <c r="AA104" i="8"/>
  <c r="AA105" i="8" s="1"/>
  <c r="AB102" i="8" s="1"/>
  <c r="AA107" i="8"/>
  <c r="AE77" i="8"/>
  <c r="AE165" i="8" s="1"/>
  <c r="AE78" i="8"/>
  <c r="AE79" i="8" s="1"/>
  <c r="AE81" i="8" s="1"/>
  <c r="X127" i="8"/>
  <c r="X129" i="8" s="1"/>
  <c r="X130" i="8" s="1"/>
  <c r="X131" i="8" s="1"/>
  <c r="AD90" i="8"/>
  <c r="AD91" i="8"/>
  <c r="AA109" i="8"/>
  <c r="AA150" i="8" s="1"/>
  <c r="AA106" i="8"/>
  <c r="AA140" i="8"/>
  <c r="Z116" i="8"/>
  <c r="Y120" i="8" s="1"/>
  <c r="Y121" i="8" s="1"/>
  <c r="Y122" i="8" s="1"/>
  <c r="W183" i="8"/>
  <c r="W201" i="8" s="1"/>
  <c r="W172" i="8"/>
  <c r="W184" i="8" s="1"/>
  <c r="W202" i="8" s="1"/>
  <c r="Y124" i="8"/>
  <c r="Y125" i="8"/>
  <c r="AB75" i="4"/>
  <c r="Z89" i="4"/>
  <c r="Z139" i="4"/>
  <c r="Z87" i="4"/>
  <c r="Z88" i="4" s="1"/>
  <c r="Z91" i="4"/>
  <c r="Z90" i="4"/>
  <c r="Y149" i="4"/>
  <c r="Y93" i="4"/>
  <c r="U127" i="4"/>
  <c r="U129" i="4" s="1"/>
  <c r="V123" i="4"/>
  <c r="V141" i="4"/>
  <c r="V144" i="4" s="1"/>
  <c r="V162" i="4" s="1"/>
  <c r="V125" i="4"/>
  <c r="V124" i="4"/>
  <c r="V121" i="4"/>
  <c r="V122" i="4" s="1"/>
  <c r="AA156" i="8" l="1"/>
  <c r="AA170" i="8" s="1"/>
  <c r="AA155" i="8"/>
  <c r="AA169" i="8" s="1"/>
  <c r="AA146" i="8"/>
  <c r="AA164" i="8" s="1"/>
  <c r="AA145" i="8"/>
  <c r="AA163" i="8" s="1"/>
  <c r="AF74" i="8"/>
  <c r="AF75" i="8" s="1"/>
  <c r="AE82" i="8"/>
  <c r="AD86" i="8" s="1"/>
  <c r="X132" i="8"/>
  <c r="X134" i="8" s="1"/>
  <c r="X159" i="8" s="1"/>
  <c r="X172" i="8" s="1"/>
  <c r="X184" i="8" s="1"/>
  <c r="X202" i="8" s="1"/>
  <c r="AA110" i="8"/>
  <c r="AA112" i="8" s="1"/>
  <c r="AA113" i="8" s="1"/>
  <c r="AA114" i="8" s="1"/>
  <c r="AA115" i="8" s="1"/>
  <c r="AC99" i="8"/>
  <c r="AB103" i="8" s="1"/>
  <c r="AB104" i="8" s="1"/>
  <c r="AB105" i="8" s="1"/>
  <c r="AB108" i="8"/>
  <c r="AB107" i="8"/>
  <c r="Y126" i="8"/>
  <c r="Y151" i="8" s="1"/>
  <c r="Y154" i="8" s="1"/>
  <c r="Y168" i="8" s="1"/>
  <c r="Z119" i="8"/>
  <c r="Y123" i="8"/>
  <c r="Y141" i="8"/>
  <c r="Y144" i="8" s="1"/>
  <c r="Y162" i="8" s="1"/>
  <c r="AB78" i="4"/>
  <c r="AB79" i="4" s="1"/>
  <c r="AB81" i="4" s="1"/>
  <c r="AB76" i="4"/>
  <c r="AB77" i="4" s="1"/>
  <c r="Z92" i="4"/>
  <c r="Z149" i="4" s="1"/>
  <c r="AA85" i="4"/>
  <c r="Y95" i="4"/>
  <c r="Y96" i="4" s="1"/>
  <c r="Y97" i="4" s="1"/>
  <c r="Y98" i="4" s="1"/>
  <c r="Y99" i="4" s="1"/>
  <c r="X103" i="4" s="1"/>
  <c r="V126" i="4"/>
  <c r="V151" i="4" s="1"/>
  <c r="V154" i="4" s="1"/>
  <c r="V168" i="4" s="1"/>
  <c r="W119" i="4"/>
  <c r="U130" i="4"/>
  <c r="U131" i="4" s="1"/>
  <c r="U132" i="4" s="1"/>
  <c r="U134" i="4" s="1"/>
  <c r="U159" i="4" s="1"/>
  <c r="Z93" i="4" l="1"/>
  <c r="Z95" i="4" s="1"/>
  <c r="V127" i="4"/>
  <c r="V129" i="4" s="1"/>
  <c r="V130" i="4" s="1"/>
  <c r="V131" i="4" s="1"/>
  <c r="V132" i="4" s="1"/>
  <c r="V134" i="4" s="1"/>
  <c r="V159" i="4" s="1"/>
  <c r="X183" i="8"/>
  <c r="X201" i="8" s="1"/>
  <c r="AF78" i="8"/>
  <c r="AF79" i="8" s="1"/>
  <c r="AF81" i="8" s="1"/>
  <c r="AF76" i="8"/>
  <c r="AF77" i="8" s="1"/>
  <c r="AD89" i="8"/>
  <c r="AD139" i="8"/>
  <c r="AD87" i="8"/>
  <c r="AD88" i="8" s="1"/>
  <c r="Y127" i="8"/>
  <c r="Y129" i="8" s="1"/>
  <c r="Y130" i="8" s="1"/>
  <c r="Y131" i="8" s="1"/>
  <c r="Y132" i="8" s="1"/>
  <c r="Y134" i="8" s="1"/>
  <c r="Y159" i="8" s="1"/>
  <c r="AB109" i="8"/>
  <c r="AB150" i="8" s="1"/>
  <c r="AC102" i="8"/>
  <c r="AB106" i="8"/>
  <c r="AB140" i="8"/>
  <c r="AA116" i="8"/>
  <c r="Z120" i="8" s="1"/>
  <c r="Z121" i="8" s="1"/>
  <c r="Z122" i="8" s="1"/>
  <c r="Z125" i="8"/>
  <c r="Z124" i="8"/>
  <c r="AB165" i="4"/>
  <c r="AC74" i="4"/>
  <c r="AB82" i="4"/>
  <c r="AA86" i="4" s="1"/>
  <c r="AA87" i="4" s="1"/>
  <c r="AA91" i="4"/>
  <c r="AA90" i="4"/>
  <c r="Z96" i="4"/>
  <c r="Z97" i="4" s="1"/>
  <c r="Z98" i="4" s="1"/>
  <c r="X104" i="4"/>
  <c r="X105" i="4" s="1"/>
  <c r="X106" i="4"/>
  <c r="X140" i="4"/>
  <c r="W125" i="4"/>
  <c r="W124" i="4"/>
  <c r="U172" i="4"/>
  <c r="U184" i="4" s="1"/>
  <c r="U202" i="4" s="1"/>
  <c r="U183" i="4"/>
  <c r="U201" i="4" s="1"/>
  <c r="AB156" i="8" l="1"/>
  <c r="AB170" i="8" s="1"/>
  <c r="AB155" i="8"/>
  <c r="AB169" i="8" s="1"/>
  <c r="AB146" i="8"/>
  <c r="AB164" i="8" s="1"/>
  <c r="AB145" i="8"/>
  <c r="AB163" i="8" s="1"/>
  <c r="X146" i="4"/>
  <c r="X164" i="4" s="1"/>
  <c r="X145" i="4"/>
  <c r="X163" i="4" s="1"/>
  <c r="AB110" i="8"/>
  <c r="AB112" i="8" s="1"/>
  <c r="AB113" i="8" s="1"/>
  <c r="AB114" i="8" s="1"/>
  <c r="AB115" i="8" s="1"/>
  <c r="AF165" i="8"/>
  <c r="AG74" i="8"/>
  <c r="AF82" i="8"/>
  <c r="AE85" i="8"/>
  <c r="AD92" i="8"/>
  <c r="AD149" i="8" s="1"/>
  <c r="AC108" i="8"/>
  <c r="AC107" i="8"/>
  <c r="Z123" i="8"/>
  <c r="Z141" i="8"/>
  <c r="Z144" i="8" s="1"/>
  <c r="Z162" i="8" s="1"/>
  <c r="Z126" i="8"/>
  <c r="Z151" i="8" s="1"/>
  <c r="Z154" i="8" s="1"/>
  <c r="Z168" i="8" s="1"/>
  <c r="AA119" i="8"/>
  <c r="Y183" i="8"/>
  <c r="Y201" i="8" s="1"/>
  <c r="Y172" i="8"/>
  <c r="Y184" i="8" s="1"/>
  <c r="Y202" i="8" s="1"/>
  <c r="AC75" i="4"/>
  <c r="AA88" i="4"/>
  <c r="AB85" i="4" s="1"/>
  <c r="AB91" i="4" s="1"/>
  <c r="AA89" i="4"/>
  <c r="AA139" i="4"/>
  <c r="Z99" i="4"/>
  <c r="Y103" i="4" s="1"/>
  <c r="X109" i="4"/>
  <c r="Y102" i="4"/>
  <c r="V172" i="4"/>
  <c r="V184" i="4" s="1"/>
  <c r="V202" i="4" s="1"/>
  <c r="V183" i="4"/>
  <c r="V201" i="4" s="1"/>
  <c r="AB90" i="4" l="1"/>
  <c r="AA92" i="4"/>
  <c r="AA149" i="4" s="1"/>
  <c r="AD93" i="8"/>
  <c r="AD95" i="8" s="1"/>
  <c r="AD96" i="8" s="1"/>
  <c r="AD97" i="8" s="1"/>
  <c r="AD98" i="8" s="1"/>
  <c r="AD99" i="8" s="1"/>
  <c r="AC103" i="8" s="1"/>
  <c r="AC104" i="8" s="1"/>
  <c r="AC105" i="8" s="1"/>
  <c r="AD102" i="8" s="1"/>
  <c r="AG75" i="8"/>
  <c r="AG76" i="8" s="1"/>
  <c r="AE86" i="8"/>
  <c r="AE87" i="8" s="1"/>
  <c r="AE88" i="8" s="1"/>
  <c r="Z127" i="8"/>
  <c r="Z129" i="8" s="1"/>
  <c r="Z130" i="8" s="1"/>
  <c r="Z131" i="8" s="1"/>
  <c r="Z132" i="8" s="1"/>
  <c r="Z134" i="8" s="1"/>
  <c r="Z159" i="8" s="1"/>
  <c r="AE90" i="8"/>
  <c r="AE91" i="8"/>
  <c r="AB116" i="8"/>
  <c r="AA120" i="8" s="1"/>
  <c r="AA121" i="8" s="1"/>
  <c r="AA122" i="8" s="1"/>
  <c r="AA125" i="8"/>
  <c r="AA124" i="8"/>
  <c r="AC78" i="4"/>
  <c r="AC79" i="4" s="1"/>
  <c r="AC81" i="4" s="1"/>
  <c r="AC76" i="4"/>
  <c r="AC77" i="4" s="1"/>
  <c r="Y107" i="4"/>
  <c r="Y104" i="4"/>
  <c r="Y105" i="4" s="1"/>
  <c r="Y108" i="4"/>
  <c r="X150" i="4"/>
  <c r="X110" i="4"/>
  <c r="Y106" i="4"/>
  <c r="Y140" i="4"/>
  <c r="Y146" i="4" l="1"/>
  <c r="Y164" i="4" s="1"/>
  <c r="Y145" i="4"/>
  <c r="Y163" i="4" s="1"/>
  <c r="X156" i="4"/>
  <c r="X170" i="4" s="1"/>
  <c r="X155" i="4"/>
  <c r="X169" i="4" s="1"/>
  <c r="AA93" i="4"/>
  <c r="AA95" i="4" s="1"/>
  <c r="AA96" i="4" s="1"/>
  <c r="AA97" i="4" s="1"/>
  <c r="AA98" i="4" s="1"/>
  <c r="AA99" i="4" s="1"/>
  <c r="Z103" i="4" s="1"/>
  <c r="AG77" i="8"/>
  <c r="AC109" i="8"/>
  <c r="AC150" i="8" s="1"/>
  <c r="AC106" i="8"/>
  <c r="AG78" i="8"/>
  <c r="AG79" i="8" s="1"/>
  <c r="AG81" i="8" s="1"/>
  <c r="AE89" i="8"/>
  <c r="AE139" i="8"/>
  <c r="AE92" i="8"/>
  <c r="AE149" i="8" s="1"/>
  <c r="AF85" i="8"/>
  <c r="AC140" i="8"/>
  <c r="AD108" i="8"/>
  <c r="AD107" i="8"/>
  <c r="AA126" i="8"/>
  <c r="AA151" i="8" s="1"/>
  <c r="AA154" i="8" s="1"/>
  <c r="AA168" i="8" s="1"/>
  <c r="AB119" i="8"/>
  <c r="AA123" i="8"/>
  <c r="AA141" i="8"/>
  <c r="AA144" i="8" s="1"/>
  <c r="AA162" i="8" s="1"/>
  <c r="Z183" i="8"/>
  <c r="Z201" i="8" s="1"/>
  <c r="Z172" i="8"/>
  <c r="Z184" i="8" s="1"/>
  <c r="Z202" i="8" s="1"/>
  <c r="AC165" i="4"/>
  <c r="AD74" i="4"/>
  <c r="AC82" i="4"/>
  <c r="AB86" i="4" s="1"/>
  <c r="Y109" i="4"/>
  <c r="Z102" i="4"/>
  <c r="X112" i="4"/>
  <c r="X113" i="4" s="1"/>
  <c r="X114" i="4" s="1"/>
  <c r="X115" i="4" s="1"/>
  <c r="X116" i="4" s="1"/>
  <c r="W120" i="4" s="1"/>
  <c r="AC156" i="8" l="1"/>
  <c r="AC170" i="8" s="1"/>
  <c r="AC155" i="8"/>
  <c r="AC169" i="8" s="1"/>
  <c r="AC146" i="8"/>
  <c r="AC164" i="8" s="1"/>
  <c r="AC145" i="8"/>
  <c r="AC163" i="8" s="1"/>
  <c r="AC110" i="8"/>
  <c r="AC112" i="8" s="1"/>
  <c r="AC113" i="8" s="1"/>
  <c r="AC114" i="8" s="1"/>
  <c r="AC115" i="8" s="1"/>
  <c r="AC116" i="8" s="1"/>
  <c r="AB120" i="8" s="1"/>
  <c r="AB121" i="8" s="1"/>
  <c r="AB122" i="8" s="1"/>
  <c r="AA127" i="8"/>
  <c r="AA129" i="8" s="1"/>
  <c r="AA130" i="8" s="1"/>
  <c r="AA131" i="8" s="1"/>
  <c r="AA132" i="8" s="1"/>
  <c r="AA134" i="8" s="1"/>
  <c r="AA159" i="8" s="1"/>
  <c r="AE93" i="8"/>
  <c r="AE95" i="8" s="1"/>
  <c r="AE96" i="8" s="1"/>
  <c r="AE97" i="8" s="1"/>
  <c r="AE98" i="8" s="1"/>
  <c r="AG165" i="8"/>
  <c r="AH74" i="8"/>
  <c r="AG82" i="8"/>
  <c r="AF86" i="8" s="1"/>
  <c r="AF87" i="8" s="1"/>
  <c r="AF88" i="8" s="1"/>
  <c r="AF91" i="8"/>
  <c r="AF90" i="8"/>
  <c r="AB125" i="8"/>
  <c r="AB124" i="8"/>
  <c r="AD75" i="4"/>
  <c r="AD76" i="4" s="1"/>
  <c r="AB89" i="4"/>
  <c r="AB139" i="4"/>
  <c r="AB87" i="4"/>
  <c r="AB88" i="4" s="1"/>
  <c r="Z106" i="4"/>
  <c r="Z140" i="4"/>
  <c r="W141" i="4"/>
  <c r="W144" i="4" s="1"/>
  <c r="W162" i="4" s="1"/>
  <c r="W121" i="4"/>
  <c r="W122" i="4" s="1"/>
  <c r="W123" i="4"/>
  <c r="Z107" i="4"/>
  <c r="Z108" i="4"/>
  <c r="Z104" i="4"/>
  <c r="Z105" i="4" s="1"/>
  <c r="Y150" i="4"/>
  <c r="Y110" i="4"/>
  <c r="Z146" i="4" l="1"/>
  <c r="Z164" i="4" s="1"/>
  <c r="Z145" i="4"/>
  <c r="Z163" i="4" s="1"/>
  <c r="Y156" i="4"/>
  <c r="Y170" i="4" s="1"/>
  <c r="Y155" i="4"/>
  <c r="Y169" i="4" s="1"/>
  <c r="AH75" i="8"/>
  <c r="AH76" i="8" s="1"/>
  <c r="AF92" i="8"/>
  <c r="AF149" i="8" s="1"/>
  <c r="AG85" i="8"/>
  <c r="AF89" i="8"/>
  <c r="AF139" i="8"/>
  <c r="AE99" i="8"/>
  <c r="AD103" i="8" s="1"/>
  <c r="AB126" i="8"/>
  <c r="AB151" i="8" s="1"/>
  <c r="AB154" i="8" s="1"/>
  <c r="AB168" i="8" s="1"/>
  <c r="AC119" i="8"/>
  <c r="AB123" i="8"/>
  <c r="AB141" i="8"/>
  <c r="AB144" i="8" s="1"/>
  <c r="AB162" i="8" s="1"/>
  <c r="AA183" i="8"/>
  <c r="AA201" i="8" s="1"/>
  <c r="AA172" i="8"/>
  <c r="AA184" i="8" s="1"/>
  <c r="AA202" i="8" s="1"/>
  <c r="AD77" i="4"/>
  <c r="AD78" i="4"/>
  <c r="AD79" i="4" s="1"/>
  <c r="AD81" i="4" s="1"/>
  <c r="AC85" i="4"/>
  <c r="AB92" i="4"/>
  <c r="Z109" i="4"/>
  <c r="Z150" i="4" s="1"/>
  <c r="AA102" i="4"/>
  <c r="W126" i="4"/>
  <c r="W151" i="4" s="1"/>
  <c r="W154" i="4" s="1"/>
  <c r="W168" i="4" s="1"/>
  <c r="X119" i="4"/>
  <c r="Y112" i="4"/>
  <c r="Y113" i="4" s="1"/>
  <c r="Y114" i="4" s="1"/>
  <c r="Y115" i="4" s="1"/>
  <c r="Y116" i="4" s="1"/>
  <c r="X120" i="4" s="1"/>
  <c r="Z156" i="4" l="1"/>
  <c r="Z170" i="4" s="1"/>
  <c r="Z155" i="4"/>
  <c r="Z169" i="4" s="1"/>
  <c r="AF93" i="8"/>
  <c r="AF95" i="8" s="1"/>
  <c r="AF96" i="8" s="1"/>
  <c r="AF97" i="8" s="1"/>
  <c r="AF98" i="8" s="1"/>
  <c r="AB127" i="8"/>
  <c r="AB129" i="8" s="1"/>
  <c r="AB130" i="8" s="1"/>
  <c r="AB131" i="8" s="1"/>
  <c r="AB132" i="8" s="1"/>
  <c r="AB134" i="8" s="1"/>
  <c r="AB159" i="8" s="1"/>
  <c r="AH78" i="8"/>
  <c r="AH79" i="8" s="1"/>
  <c r="AH81" i="8" s="1"/>
  <c r="AH77" i="8"/>
  <c r="AG91" i="8"/>
  <c r="AG90" i="8"/>
  <c r="AD106" i="8"/>
  <c r="AD140" i="8"/>
  <c r="AD104" i="8"/>
  <c r="AD105" i="8" s="1"/>
  <c r="AC125" i="8"/>
  <c r="AC124" i="8"/>
  <c r="Z110" i="4"/>
  <c r="Z112" i="4" s="1"/>
  <c r="Z113" i="4" s="1"/>
  <c r="Z114" i="4" s="1"/>
  <c r="Z115" i="4" s="1"/>
  <c r="AD165" i="4"/>
  <c r="AE74" i="4"/>
  <c r="AD82" i="4"/>
  <c r="AC86" i="4" s="1"/>
  <c r="AC87" i="4" s="1"/>
  <c r="AB149" i="4"/>
  <c r="AB93" i="4"/>
  <c r="AC91" i="4"/>
  <c r="AC90" i="4"/>
  <c r="AA108" i="4"/>
  <c r="AA107" i="4"/>
  <c r="X123" i="4"/>
  <c r="X141" i="4"/>
  <c r="X144" i="4" s="1"/>
  <c r="X162" i="4" s="1"/>
  <c r="X125" i="4"/>
  <c r="X124" i="4"/>
  <c r="X121" i="4"/>
  <c r="X122" i="4" s="1"/>
  <c r="Y119" i="4" s="1"/>
  <c r="W127" i="4"/>
  <c r="AD146" i="8" l="1"/>
  <c r="AD164" i="8" s="1"/>
  <c r="AD145" i="8"/>
  <c r="AD163" i="8" s="1"/>
  <c r="AH165" i="8"/>
  <c r="AI74" i="8"/>
  <c r="AH82" i="8"/>
  <c r="AG86" i="8" s="1"/>
  <c r="AF99" i="8"/>
  <c r="AD109" i="8"/>
  <c r="AE102" i="8"/>
  <c r="AB183" i="8"/>
  <c r="AB201" i="8" s="1"/>
  <c r="AB172" i="8"/>
  <c r="AB184" i="8" s="1"/>
  <c r="AB202" i="8" s="1"/>
  <c r="AC88" i="4"/>
  <c r="AD85" i="4" s="1"/>
  <c r="AE75" i="4"/>
  <c r="AC89" i="4"/>
  <c r="AC139" i="4"/>
  <c r="AB95" i="4"/>
  <c r="AB96" i="4" s="1"/>
  <c r="AB97" i="4" s="1"/>
  <c r="AB98" i="4" s="1"/>
  <c r="AB99" i="4" s="1"/>
  <c r="AA103" i="4" s="1"/>
  <c r="Z116" i="4"/>
  <c r="Y120" i="4" s="1"/>
  <c r="Y121" i="4" s="1"/>
  <c r="Y122" i="4" s="1"/>
  <c r="Y124" i="4"/>
  <c r="Y125" i="4"/>
  <c r="W129" i="4"/>
  <c r="X126" i="4"/>
  <c r="X151" i="4" s="1"/>
  <c r="X154" i="4" s="1"/>
  <c r="X168" i="4" s="1"/>
  <c r="AC92" i="4" l="1"/>
  <c r="AC149" i="4" s="1"/>
  <c r="AI75" i="8"/>
  <c r="AI76" i="8" s="1"/>
  <c r="AI77" i="8" s="1"/>
  <c r="AG89" i="8"/>
  <c r="AG139" i="8"/>
  <c r="AG87" i="8"/>
  <c r="AG88" i="8" s="1"/>
  <c r="AE103" i="8"/>
  <c r="AE104" i="8" s="1"/>
  <c r="AE105" i="8" s="1"/>
  <c r="AE108" i="8"/>
  <c r="AE107" i="8"/>
  <c r="AD150" i="8"/>
  <c r="AD110" i="8"/>
  <c r="AE78" i="4"/>
  <c r="AE79" i="4" s="1"/>
  <c r="AE81" i="4" s="1"/>
  <c r="AE76" i="4"/>
  <c r="AE77" i="4" s="1"/>
  <c r="AD90" i="4"/>
  <c r="AD91" i="4"/>
  <c r="AA140" i="4"/>
  <c r="AA106" i="4"/>
  <c r="AA104" i="4"/>
  <c r="AA105" i="4" s="1"/>
  <c r="Y126" i="4"/>
  <c r="Y151" i="4" s="1"/>
  <c r="Y154" i="4" s="1"/>
  <c r="Y168" i="4" s="1"/>
  <c r="Z119" i="4"/>
  <c r="Y123" i="4"/>
  <c r="Y141" i="4"/>
  <c r="Y144" i="4" s="1"/>
  <c r="Y162" i="4" s="1"/>
  <c r="W130" i="4"/>
  <c r="W131" i="4" s="1"/>
  <c r="W132" i="4" s="1"/>
  <c r="W134" i="4" s="1"/>
  <c r="W159" i="4" s="1"/>
  <c r="X127" i="4"/>
  <c r="AD156" i="8" l="1"/>
  <c r="AD170" i="8" s="1"/>
  <c r="AD155" i="8"/>
  <c r="AD169" i="8" s="1"/>
  <c r="AA146" i="4"/>
  <c r="AA164" i="4" s="1"/>
  <c r="AA145" i="4"/>
  <c r="AA163" i="4" s="1"/>
  <c r="AC93" i="4"/>
  <c r="AC95" i="4" s="1"/>
  <c r="AC96" i="4" s="1"/>
  <c r="AC97" i="4" s="1"/>
  <c r="AC98" i="4" s="1"/>
  <c r="AC99" i="4" s="1"/>
  <c r="AB103" i="4" s="1"/>
  <c r="AI165" i="8"/>
  <c r="AJ74" i="8"/>
  <c r="AI78" i="8"/>
  <c r="AI79" i="8" s="1"/>
  <c r="AI81" i="8" s="1"/>
  <c r="AG92" i="8"/>
  <c r="AG149" i="8" s="1"/>
  <c r="AH85" i="8"/>
  <c r="AF102" i="8"/>
  <c r="AE109" i="8"/>
  <c r="AE150" i="8" s="1"/>
  <c r="AE106" i="8"/>
  <c r="AE140" i="8"/>
  <c r="AD112" i="8"/>
  <c r="AD113" i="8" s="1"/>
  <c r="AD114" i="8" s="1"/>
  <c r="AD115" i="8" s="1"/>
  <c r="AD116" i="8" s="1"/>
  <c r="AC120" i="8" s="1"/>
  <c r="AE165" i="4"/>
  <c r="AF74" i="4"/>
  <c r="AE82" i="4"/>
  <c r="AD86" i="4" s="1"/>
  <c r="Y127" i="4"/>
  <c r="Y129" i="4" s="1"/>
  <c r="AA109" i="4"/>
  <c r="AA150" i="4" s="1"/>
  <c r="AB102" i="4"/>
  <c r="W172" i="4"/>
  <c r="W184" i="4" s="1"/>
  <c r="W202" i="4" s="1"/>
  <c r="W183" i="4"/>
  <c r="W201" i="4" s="1"/>
  <c r="X129" i="4"/>
  <c r="X130" i="4" s="1"/>
  <c r="X131" i="4" s="1"/>
  <c r="X132" i="4" s="1"/>
  <c r="X134" i="4" s="1"/>
  <c r="X159" i="4" s="1"/>
  <c r="Z125" i="4"/>
  <c r="Z124" i="4"/>
  <c r="AA156" i="4" l="1"/>
  <c r="AA170" i="4" s="1"/>
  <c r="AA155" i="4"/>
  <c r="AA169" i="4" s="1"/>
  <c r="AE146" i="8"/>
  <c r="AE164" i="8" s="1"/>
  <c r="AE145" i="8"/>
  <c r="AE163" i="8" s="1"/>
  <c r="AE156" i="8"/>
  <c r="AE170" i="8" s="1"/>
  <c r="AE155" i="8"/>
  <c r="AE169" i="8" s="1"/>
  <c r="AG93" i="8"/>
  <c r="AG95" i="8" s="1"/>
  <c r="AG96" i="8" s="1"/>
  <c r="AG97" i="8" s="1"/>
  <c r="AG98" i="8" s="1"/>
  <c r="AG99" i="8" s="1"/>
  <c r="AF103" i="8" s="1"/>
  <c r="AF140" i="8" s="1"/>
  <c r="AE110" i="8"/>
  <c r="AE112" i="8" s="1"/>
  <c r="AE113" i="8" s="1"/>
  <c r="AE114" i="8" s="1"/>
  <c r="AE115" i="8" s="1"/>
  <c r="AJ75" i="8"/>
  <c r="AI82" i="8"/>
  <c r="AH86" i="8" s="1"/>
  <c r="AH91" i="8"/>
  <c r="AH90" i="8"/>
  <c r="AF108" i="8"/>
  <c r="AF107" i="8"/>
  <c r="AC121" i="8"/>
  <c r="AC122" i="8" s="1"/>
  <c r="AC141" i="8"/>
  <c r="AC144" i="8" s="1"/>
  <c r="AC162" i="8" s="1"/>
  <c r="AC123" i="8"/>
  <c r="AF75" i="4"/>
  <c r="AF76" i="4" s="1"/>
  <c r="AD89" i="4"/>
  <c r="AD139" i="4"/>
  <c r="AD87" i="4"/>
  <c r="AD88" i="4" s="1"/>
  <c r="AA110" i="4"/>
  <c r="AB108" i="4"/>
  <c r="AB107" i="4"/>
  <c r="AB104" i="4"/>
  <c r="AB105" i="4" s="1"/>
  <c r="AB106" i="4"/>
  <c r="AB140" i="4"/>
  <c r="X183" i="4"/>
  <c r="X201" i="4" s="1"/>
  <c r="X172" i="4"/>
  <c r="X184" i="4" s="1"/>
  <c r="X202" i="4" s="1"/>
  <c r="Y130" i="4"/>
  <c r="Y131" i="4" s="1"/>
  <c r="Y132" i="4" s="1"/>
  <c r="Y134" i="4" s="1"/>
  <c r="Y159" i="4" s="1"/>
  <c r="AF146" i="8" l="1"/>
  <c r="AF164" i="8" s="1"/>
  <c r="AF145" i="8"/>
  <c r="AF163" i="8" s="1"/>
  <c r="AB146" i="4"/>
  <c r="AB164" i="4" s="1"/>
  <c r="AB145" i="4"/>
  <c r="AB163" i="4" s="1"/>
  <c r="AF104" i="8"/>
  <c r="AF105" i="8" s="1"/>
  <c r="AF109" i="8" s="1"/>
  <c r="AF150" i="8" s="1"/>
  <c r="AF106" i="8"/>
  <c r="AH87" i="8"/>
  <c r="AH88" i="8" s="1"/>
  <c r="AJ78" i="8"/>
  <c r="AJ79" i="8" s="1"/>
  <c r="AJ81" i="8" s="1"/>
  <c r="AJ76" i="8"/>
  <c r="AJ77" i="8" s="1"/>
  <c r="AH89" i="8"/>
  <c r="AH139" i="8"/>
  <c r="AD119" i="8"/>
  <c r="AC126" i="8"/>
  <c r="AE116" i="8"/>
  <c r="AF78" i="4"/>
  <c r="AF79" i="4" s="1"/>
  <c r="AF81" i="4" s="1"/>
  <c r="AF77" i="4"/>
  <c r="AD92" i="4"/>
  <c r="AD149" i="4" s="1"/>
  <c r="AE85" i="4"/>
  <c r="AB109" i="4"/>
  <c r="AB150" i="4" s="1"/>
  <c r="AC102" i="4"/>
  <c r="AA112" i="4"/>
  <c r="AA113" i="4" s="1"/>
  <c r="AA114" i="4" s="1"/>
  <c r="AA115" i="4" s="1"/>
  <c r="AA116" i="4" s="1"/>
  <c r="Z120" i="4" s="1"/>
  <c r="Y183" i="4"/>
  <c r="Y201" i="4" s="1"/>
  <c r="Y172" i="4"/>
  <c r="Y184" i="4" s="1"/>
  <c r="Y202" i="4" s="1"/>
  <c r="AB156" i="4" l="1"/>
  <c r="AB170" i="4" s="1"/>
  <c r="AB155" i="4"/>
  <c r="AB169" i="4" s="1"/>
  <c r="AF156" i="8"/>
  <c r="AF170" i="8" s="1"/>
  <c r="AF155" i="8"/>
  <c r="AF169" i="8" s="1"/>
  <c r="AG102" i="8"/>
  <c r="AG108" i="8" s="1"/>
  <c r="AB110" i="4"/>
  <c r="AB112" i="4" s="1"/>
  <c r="AB113" i="4" s="1"/>
  <c r="AB114" i="4" s="1"/>
  <c r="AH92" i="8"/>
  <c r="AI85" i="8"/>
  <c r="AJ165" i="8"/>
  <c r="AK74" i="8"/>
  <c r="AJ82" i="8"/>
  <c r="AF110" i="8"/>
  <c r="AF112" i="8" s="1"/>
  <c r="AF113" i="8" s="1"/>
  <c r="AF114" i="8" s="1"/>
  <c r="AF115" i="8" s="1"/>
  <c r="AD120" i="8"/>
  <c r="AD123" i="8" s="1"/>
  <c r="AC151" i="8"/>
  <c r="AC154" i="8" s="1"/>
  <c r="AC168" i="8" s="1"/>
  <c r="AC127" i="8"/>
  <c r="AD125" i="8"/>
  <c r="AD124" i="8"/>
  <c r="AD93" i="4"/>
  <c r="AD95" i="4" s="1"/>
  <c r="AD96" i="4" s="1"/>
  <c r="AD97" i="4" s="1"/>
  <c r="AD98" i="4" s="1"/>
  <c r="AD99" i="4" s="1"/>
  <c r="AC103" i="4" s="1"/>
  <c r="AC104" i="4" s="1"/>
  <c r="AC105" i="4" s="1"/>
  <c r="AF165" i="4"/>
  <c r="AG74" i="4"/>
  <c r="AF82" i="4"/>
  <c r="AE86" i="4" s="1"/>
  <c r="AE87" i="4" s="1"/>
  <c r="AE91" i="4"/>
  <c r="AE90" i="4"/>
  <c r="Z121" i="4"/>
  <c r="Z122" i="4" s="1"/>
  <c r="Z141" i="4"/>
  <c r="Z144" i="4" s="1"/>
  <c r="Z162" i="4" s="1"/>
  <c r="Z123" i="4"/>
  <c r="AC108" i="4"/>
  <c r="AC107" i="4"/>
  <c r="AG107" i="8" l="1"/>
  <c r="AB115" i="4"/>
  <c r="AB116" i="4" s="1"/>
  <c r="AA120" i="4" s="1"/>
  <c r="AA123" i="4" s="1"/>
  <c r="AI90" i="8"/>
  <c r="AI91" i="8"/>
  <c r="AI86" i="8"/>
  <c r="AI87" i="8" s="1"/>
  <c r="AH149" i="8"/>
  <c r="AH93" i="8"/>
  <c r="AH95" i="8" s="1"/>
  <c r="AH96" i="8" s="1"/>
  <c r="AH97" i="8" s="1"/>
  <c r="AH98" i="8" s="1"/>
  <c r="AH99" i="8" s="1"/>
  <c r="AG103" i="8" s="1"/>
  <c r="AK75" i="8"/>
  <c r="AD121" i="8"/>
  <c r="AD122" i="8" s="1"/>
  <c r="AE119" i="8" s="1"/>
  <c r="AD141" i="8"/>
  <c r="AD144" i="8" s="1"/>
  <c r="AD162" i="8" s="1"/>
  <c r="AF116" i="8"/>
  <c r="AC129" i="8"/>
  <c r="AC140" i="4"/>
  <c r="AC106" i="4"/>
  <c r="AE88" i="4"/>
  <c r="AG75" i="4"/>
  <c r="AE89" i="4"/>
  <c r="AE139" i="4"/>
  <c r="AC109" i="4"/>
  <c r="AC150" i="4" s="1"/>
  <c r="AD102" i="4"/>
  <c r="Z126" i="4"/>
  <c r="Z151" i="4" s="1"/>
  <c r="Z154" i="4" s="1"/>
  <c r="Z168" i="4" s="1"/>
  <c r="AA119" i="4"/>
  <c r="AA141" i="4"/>
  <c r="AA144" i="4" s="1"/>
  <c r="AA162" i="4" s="1"/>
  <c r="AC156" i="4" l="1"/>
  <c r="AC170" i="4" s="1"/>
  <c r="AC155" i="4"/>
  <c r="AC169" i="4" s="1"/>
  <c r="AC146" i="4"/>
  <c r="AC164" i="4" s="1"/>
  <c r="AC145" i="4"/>
  <c r="AC163" i="4" s="1"/>
  <c r="AI139" i="8"/>
  <c r="AI89" i="8"/>
  <c r="AI88" i="8"/>
  <c r="AK78" i="8"/>
  <c r="AK79" i="8" s="1"/>
  <c r="AK81" i="8" s="1"/>
  <c r="AD126" i="8"/>
  <c r="AD151" i="8" s="1"/>
  <c r="AD154" i="8" s="1"/>
  <c r="AD168" i="8" s="1"/>
  <c r="AK76" i="8"/>
  <c r="AK77" i="8" s="1"/>
  <c r="AG106" i="8"/>
  <c r="AG140" i="8"/>
  <c r="AG104" i="8"/>
  <c r="AG105" i="8" s="1"/>
  <c r="AE120" i="8"/>
  <c r="AE121" i="8" s="1"/>
  <c r="AC130" i="8"/>
  <c r="AC131" i="8" s="1"/>
  <c r="AC132" i="8" s="1"/>
  <c r="AC134" i="8" s="1"/>
  <c r="AC159" i="8" s="1"/>
  <c r="AE125" i="8"/>
  <c r="AE124" i="8"/>
  <c r="AG76" i="4"/>
  <c r="AG77" i="4" s="1"/>
  <c r="AG78" i="4"/>
  <c r="AG79" i="4" s="1"/>
  <c r="AG81" i="4" s="1"/>
  <c r="AF85" i="4"/>
  <c r="AE92" i="4"/>
  <c r="AE149" i="4" s="1"/>
  <c r="AC110" i="4"/>
  <c r="AC112" i="4" s="1"/>
  <c r="AC113" i="4" s="1"/>
  <c r="AC114" i="4" s="1"/>
  <c r="AC115" i="4" s="1"/>
  <c r="AD108" i="4"/>
  <c r="AD107" i="4"/>
  <c r="AA121" i="4"/>
  <c r="AA122" i="4" s="1"/>
  <c r="AB119" i="4" s="1"/>
  <c r="AA125" i="4"/>
  <c r="AA124" i="4"/>
  <c r="Z127" i="4"/>
  <c r="AG146" i="8" l="1"/>
  <c r="AG164" i="8" s="1"/>
  <c r="AG145" i="8"/>
  <c r="AG163" i="8" s="1"/>
  <c r="AD127" i="8"/>
  <c r="AD129" i="8" s="1"/>
  <c r="AD130" i="8" s="1"/>
  <c r="AD131" i="8" s="1"/>
  <c r="AD132" i="8" s="1"/>
  <c r="AD134" i="8" s="1"/>
  <c r="AD159" i="8" s="1"/>
  <c r="AI92" i="8"/>
  <c r="AJ85" i="8"/>
  <c r="AK165" i="8"/>
  <c r="AL74" i="8"/>
  <c r="AK82" i="8"/>
  <c r="AE122" i="8"/>
  <c r="AF119" i="8" s="1"/>
  <c r="AG109" i="8"/>
  <c r="AG150" i="8" s="1"/>
  <c r="AH102" i="8"/>
  <c r="AE123" i="8"/>
  <c r="AE141" i="8"/>
  <c r="AE144" i="8" s="1"/>
  <c r="AE162" i="8" s="1"/>
  <c r="AC172" i="8"/>
  <c r="AC184" i="8" s="1"/>
  <c r="AC202" i="8" s="1"/>
  <c r="AC183" i="8"/>
  <c r="AC201" i="8" s="1"/>
  <c r="AE93" i="4"/>
  <c r="AE95" i="4" s="1"/>
  <c r="AE96" i="4" s="1"/>
  <c r="AE97" i="4" s="1"/>
  <c r="AE98" i="4" s="1"/>
  <c r="AE99" i="4" s="1"/>
  <c r="AD103" i="4" s="1"/>
  <c r="AD104" i="4" s="1"/>
  <c r="AD105" i="4" s="1"/>
  <c r="AE102" i="4" s="1"/>
  <c r="AG165" i="4"/>
  <c r="AH74" i="4"/>
  <c r="AG82" i="4"/>
  <c r="AF86" i="4" s="1"/>
  <c r="AF87" i="4" s="1"/>
  <c r="AF88" i="4" s="1"/>
  <c r="AF91" i="4"/>
  <c r="AF90" i="4"/>
  <c r="AA126" i="4"/>
  <c r="AA151" i="4" s="1"/>
  <c r="AA154" i="4" s="1"/>
  <c r="AA168" i="4" s="1"/>
  <c r="AC116" i="4"/>
  <c r="AB120" i="4" s="1"/>
  <c r="AB121" i="4" s="1"/>
  <c r="AB122" i="4" s="1"/>
  <c r="Z129" i="4"/>
  <c r="Z130" i="4" s="1"/>
  <c r="Z131" i="4" s="1"/>
  <c r="Z132" i="4" s="1"/>
  <c r="Z134" i="4" s="1"/>
  <c r="Z159" i="4" s="1"/>
  <c r="AB124" i="4"/>
  <c r="AB125" i="4"/>
  <c r="AG156" i="8" l="1"/>
  <c r="AG170" i="8" s="1"/>
  <c r="AG155" i="8"/>
  <c r="AG169" i="8" s="1"/>
  <c r="AJ86" i="8"/>
  <c r="AJ89" i="8" s="1"/>
  <c r="AE126" i="8"/>
  <c r="AE151" i="8" s="1"/>
  <c r="AE154" i="8" s="1"/>
  <c r="AE168" i="8" s="1"/>
  <c r="AD109" i="4"/>
  <c r="AD150" i="4" s="1"/>
  <c r="AD106" i="4"/>
  <c r="AJ91" i="8"/>
  <c r="AJ90" i="8"/>
  <c r="AI149" i="8"/>
  <c r="AI93" i="8"/>
  <c r="AI95" i="8" s="1"/>
  <c r="AI96" i="8" s="1"/>
  <c r="AI97" i="8" s="1"/>
  <c r="AI98" i="8" s="1"/>
  <c r="AI99" i="8" s="1"/>
  <c r="AH103" i="8" s="1"/>
  <c r="AH104" i="8" s="1"/>
  <c r="AH105" i="8" s="1"/>
  <c r="AD140" i="4"/>
  <c r="AL75" i="8"/>
  <c r="AL76" i="8" s="1"/>
  <c r="AG110" i="8"/>
  <c r="AG112" i="8" s="1"/>
  <c r="AG113" i="8" s="1"/>
  <c r="AG114" i="8" s="1"/>
  <c r="AG115" i="8" s="1"/>
  <c r="AG116" i="8" s="1"/>
  <c r="AF120" i="8" s="1"/>
  <c r="AF121" i="8" s="1"/>
  <c r="AF122" i="8" s="1"/>
  <c r="AH108" i="8"/>
  <c r="AH107" i="8"/>
  <c r="AF125" i="8"/>
  <c r="AF124" i="8"/>
  <c r="AD172" i="8"/>
  <c r="AD184" i="8" s="1"/>
  <c r="AD202" i="8" s="1"/>
  <c r="AD183" i="8"/>
  <c r="AD201" i="8" s="1"/>
  <c r="AH75" i="4"/>
  <c r="AH76" i="4" s="1"/>
  <c r="AF92" i="4"/>
  <c r="AF149" i="4" s="1"/>
  <c r="AG85" i="4"/>
  <c r="AA127" i="4"/>
  <c r="AA129" i="4" s="1"/>
  <c r="AA130" i="4" s="1"/>
  <c r="AA131" i="4" s="1"/>
  <c r="AA132" i="4" s="1"/>
  <c r="AA134" i="4" s="1"/>
  <c r="AA159" i="4" s="1"/>
  <c r="AF89" i="4"/>
  <c r="AF139" i="4"/>
  <c r="AE108" i="4"/>
  <c r="AE107" i="4"/>
  <c r="AB126" i="4"/>
  <c r="AB151" i="4" s="1"/>
  <c r="AB154" i="4" s="1"/>
  <c r="AB168" i="4" s="1"/>
  <c r="AC119" i="4"/>
  <c r="Z172" i="4"/>
  <c r="Z184" i="4" s="1"/>
  <c r="Z202" i="4" s="1"/>
  <c r="Z183" i="4"/>
  <c r="Z201" i="4" s="1"/>
  <c r="AB123" i="4"/>
  <c r="AB141" i="4"/>
  <c r="AB144" i="4" s="1"/>
  <c r="AB162" i="4" s="1"/>
  <c r="AJ87" i="8" l="1"/>
  <c r="AJ88" i="8" s="1"/>
  <c r="AD146" i="4"/>
  <c r="AD164" i="4" s="1"/>
  <c r="AD145" i="4"/>
  <c r="AD163" i="4" s="1"/>
  <c r="AD156" i="4"/>
  <c r="AD170" i="4" s="1"/>
  <c r="AD155" i="4"/>
  <c r="AD169" i="4" s="1"/>
  <c r="AJ139" i="8"/>
  <c r="AE127" i="8"/>
  <c r="AE129" i="8" s="1"/>
  <c r="AE130" i="8" s="1"/>
  <c r="AE131" i="8" s="1"/>
  <c r="AE132" i="8" s="1"/>
  <c r="AE134" i="8" s="1"/>
  <c r="AE159" i="8" s="1"/>
  <c r="AE172" i="8" s="1"/>
  <c r="AE184" i="8" s="1"/>
  <c r="AE202" i="8" s="1"/>
  <c r="AD110" i="4"/>
  <c r="AD112" i="4" s="1"/>
  <c r="AD113" i="4" s="1"/>
  <c r="AD114" i="4" s="1"/>
  <c r="AD115" i="4" s="1"/>
  <c r="AD116" i="4" s="1"/>
  <c r="AC120" i="4" s="1"/>
  <c r="AC121" i="4" s="1"/>
  <c r="AC122" i="4" s="1"/>
  <c r="AF93" i="4"/>
  <c r="AF95" i="4" s="1"/>
  <c r="AF96" i="4" s="1"/>
  <c r="AF97" i="4" s="1"/>
  <c r="AF98" i="4" s="1"/>
  <c r="AF99" i="4" s="1"/>
  <c r="AE103" i="4" s="1"/>
  <c r="AE104" i="4" s="1"/>
  <c r="AE105" i="4" s="1"/>
  <c r="AE109" i="4" s="1"/>
  <c r="AE150" i="4" s="1"/>
  <c r="AH106" i="8"/>
  <c r="AH77" i="4"/>
  <c r="AH165" i="4" s="1"/>
  <c r="AL77" i="8"/>
  <c r="AL78" i="8"/>
  <c r="AL79" i="8" s="1"/>
  <c r="AL81" i="8" s="1"/>
  <c r="AH140" i="8"/>
  <c r="AJ92" i="8"/>
  <c r="AJ149" i="8" s="1"/>
  <c r="AK85" i="8"/>
  <c r="AH109" i="8"/>
  <c r="AH150" i="8" s="1"/>
  <c r="AI102" i="8"/>
  <c r="AF126" i="8"/>
  <c r="AF151" i="8" s="1"/>
  <c r="AF154" i="8" s="1"/>
  <c r="AF168" i="8" s="1"/>
  <c r="AG119" i="8"/>
  <c r="AF123" i="8"/>
  <c r="AF141" i="8"/>
  <c r="AF144" i="8" s="1"/>
  <c r="AF162" i="8" s="1"/>
  <c r="AH78" i="4"/>
  <c r="AH79" i="4" s="1"/>
  <c r="AH81" i="4" s="1"/>
  <c r="AG90" i="4"/>
  <c r="AG91" i="4"/>
  <c r="AB127" i="4"/>
  <c r="AB129" i="4" s="1"/>
  <c r="AB130" i="4" s="1"/>
  <c r="AB131" i="4" s="1"/>
  <c r="AB132" i="4" s="1"/>
  <c r="AB134" i="4" s="1"/>
  <c r="AB159" i="4" s="1"/>
  <c r="AA183" i="4"/>
  <c r="AA201" i="4" s="1"/>
  <c r="AA172" i="4"/>
  <c r="AA184" i="4" s="1"/>
  <c r="AA202" i="4" s="1"/>
  <c r="AC125" i="4"/>
  <c r="AC124" i="4"/>
  <c r="AH146" i="8" l="1"/>
  <c r="AH164" i="8" s="1"/>
  <c r="AH145" i="8"/>
  <c r="AH163" i="8" s="1"/>
  <c r="AE156" i="4"/>
  <c r="AE170" i="4" s="1"/>
  <c r="AE155" i="4"/>
  <c r="AE169" i="4" s="1"/>
  <c r="AH156" i="8"/>
  <c r="AH170" i="8" s="1"/>
  <c r="AH155" i="8"/>
  <c r="AH169" i="8" s="1"/>
  <c r="AE183" i="8"/>
  <c r="AE201" i="8" s="1"/>
  <c r="AI74" i="4"/>
  <c r="AI75" i="4" s="1"/>
  <c r="AH110" i="8"/>
  <c r="AH112" i="8" s="1"/>
  <c r="AH113" i="8" s="1"/>
  <c r="AH114" i="8" s="1"/>
  <c r="AH115" i="8" s="1"/>
  <c r="AJ93" i="8"/>
  <c r="AJ95" i="8" s="1"/>
  <c r="AJ96" i="8" s="1"/>
  <c r="AJ97" i="8" s="1"/>
  <c r="AJ98" i="8" s="1"/>
  <c r="AJ99" i="8" s="1"/>
  <c r="AI103" i="8" s="1"/>
  <c r="AI104" i="8" s="1"/>
  <c r="AI105" i="8" s="1"/>
  <c r="AL165" i="8"/>
  <c r="AM74" i="8"/>
  <c r="AL82" i="8"/>
  <c r="AK86" i="8" s="1"/>
  <c r="AF127" i="8"/>
  <c r="AF129" i="8" s="1"/>
  <c r="AF130" i="8" s="1"/>
  <c r="AF131" i="8" s="1"/>
  <c r="AF132" i="8" s="1"/>
  <c r="AF134" i="8" s="1"/>
  <c r="AF159" i="8" s="1"/>
  <c r="AK91" i="8"/>
  <c r="AK90" i="8"/>
  <c r="AI108" i="8"/>
  <c r="AI107" i="8"/>
  <c r="AG125" i="8"/>
  <c r="AG124" i="8"/>
  <c r="AE106" i="4"/>
  <c r="AE110" i="4" s="1"/>
  <c r="AE112" i="4" s="1"/>
  <c r="AE113" i="4" s="1"/>
  <c r="AE114" i="4" s="1"/>
  <c r="AE115" i="4" s="1"/>
  <c r="AE140" i="4"/>
  <c r="AF102" i="4"/>
  <c r="AF108" i="4" s="1"/>
  <c r="AH82" i="4"/>
  <c r="AG86" i="4" s="1"/>
  <c r="AC126" i="4"/>
  <c r="AC151" i="4" s="1"/>
  <c r="AC154" i="4" s="1"/>
  <c r="AC168" i="4" s="1"/>
  <c r="AD119" i="4"/>
  <c r="AC123" i="4"/>
  <c r="AC141" i="4"/>
  <c r="AC144" i="4" s="1"/>
  <c r="AC162" i="4" s="1"/>
  <c r="AB183" i="4"/>
  <c r="AB201" i="4" s="1"/>
  <c r="AB172" i="4"/>
  <c r="AB184" i="4" s="1"/>
  <c r="AB202" i="4" s="1"/>
  <c r="AE146" i="4" l="1"/>
  <c r="AE164" i="4" s="1"/>
  <c r="AE145" i="4"/>
  <c r="AE163" i="4" s="1"/>
  <c r="AK87" i="8"/>
  <c r="AK88" i="8" s="1"/>
  <c r="AF107" i="4"/>
  <c r="AC127" i="4"/>
  <c r="AC129" i="4" s="1"/>
  <c r="AC130" i="4" s="1"/>
  <c r="AC131" i="4" s="1"/>
  <c r="AC132" i="4" s="1"/>
  <c r="AC134" i="4" s="1"/>
  <c r="AC159" i="4" s="1"/>
  <c r="AM75" i="8"/>
  <c r="AM76" i="8" s="1"/>
  <c r="AK89" i="8"/>
  <c r="AK139" i="8"/>
  <c r="AI109" i="8"/>
  <c r="AI150" i="8" s="1"/>
  <c r="AJ102" i="8"/>
  <c r="AI106" i="8"/>
  <c r="AI140" i="8"/>
  <c r="AH116" i="8"/>
  <c r="AG120" i="8" s="1"/>
  <c r="AF183" i="8"/>
  <c r="AF201" i="8" s="1"/>
  <c r="AF172" i="8"/>
  <c r="AF184" i="8" s="1"/>
  <c r="AF202" i="8" s="1"/>
  <c r="AI78" i="4"/>
  <c r="AI79" i="4" s="1"/>
  <c r="AI81" i="4" s="1"/>
  <c r="AI76" i="4"/>
  <c r="AI77" i="4" s="1"/>
  <c r="AG89" i="4"/>
  <c r="AG139" i="4"/>
  <c r="AG87" i="4"/>
  <c r="AG88" i="4" s="1"/>
  <c r="AE116" i="4"/>
  <c r="AD120" i="4" s="1"/>
  <c r="AD121" i="4" s="1"/>
  <c r="AD125" i="4"/>
  <c r="AD124" i="4"/>
  <c r="AI146" i="8" l="1"/>
  <c r="AI164" i="8" s="1"/>
  <c r="AI145" i="8"/>
  <c r="AI163" i="8" s="1"/>
  <c r="AI156" i="8"/>
  <c r="AI170" i="8" s="1"/>
  <c r="AI155" i="8"/>
  <c r="AI169" i="8" s="1"/>
  <c r="AL85" i="8"/>
  <c r="AL90" i="8" s="1"/>
  <c r="AK92" i="8"/>
  <c r="AM78" i="8"/>
  <c r="AM79" i="8" s="1"/>
  <c r="AM81" i="8" s="1"/>
  <c r="AM77" i="8"/>
  <c r="AI110" i="8"/>
  <c r="AI112" i="8" s="1"/>
  <c r="AI113" i="8" s="1"/>
  <c r="AI114" i="8" s="1"/>
  <c r="AI115" i="8" s="1"/>
  <c r="AJ108" i="8"/>
  <c r="AJ107" i="8"/>
  <c r="AG123" i="8"/>
  <c r="AG141" i="8"/>
  <c r="AG144" i="8" s="1"/>
  <c r="AG162" i="8" s="1"/>
  <c r="AG121" i="8"/>
  <c r="AG122" i="8" s="1"/>
  <c r="AI165" i="4"/>
  <c r="AJ74" i="4"/>
  <c r="AI82" i="4"/>
  <c r="AH86" i="4" s="1"/>
  <c r="AD122" i="4"/>
  <c r="AD126" i="4" s="1"/>
  <c r="AD151" i="4" s="1"/>
  <c r="AD154" i="4" s="1"/>
  <c r="AD168" i="4" s="1"/>
  <c r="AG92" i="4"/>
  <c r="AG149" i="4" s="1"/>
  <c r="AH85" i="4"/>
  <c r="AD123" i="4"/>
  <c r="AD141" i="4"/>
  <c r="AD144" i="4" s="1"/>
  <c r="AD162" i="4" s="1"/>
  <c r="AC183" i="4"/>
  <c r="AC201" i="4" s="1"/>
  <c r="AC172" i="4"/>
  <c r="AC184" i="4" s="1"/>
  <c r="AC202" i="4" s="1"/>
  <c r="AM165" i="8" l="1"/>
  <c r="AN74" i="8"/>
  <c r="AL91" i="8"/>
  <c r="AE119" i="4"/>
  <c r="AE124" i="4" s="1"/>
  <c r="AK149" i="8"/>
  <c r="AK93" i="8"/>
  <c r="AK95" i="8" s="1"/>
  <c r="AK96" i="8" s="1"/>
  <c r="AK97" i="8" s="1"/>
  <c r="AK98" i="8" s="1"/>
  <c r="AK99" i="8" s="1"/>
  <c r="AJ103" i="8" s="1"/>
  <c r="AG93" i="4"/>
  <c r="AG95" i="4" s="1"/>
  <c r="AG96" i="4" s="1"/>
  <c r="AG97" i="4" s="1"/>
  <c r="AG98" i="4" s="1"/>
  <c r="AG99" i="4" s="1"/>
  <c r="AF103" i="4" s="1"/>
  <c r="AF106" i="4" s="1"/>
  <c r="AM82" i="8"/>
  <c r="AL86" i="8" s="1"/>
  <c r="AI116" i="8"/>
  <c r="AG126" i="8"/>
  <c r="AG151" i="8" s="1"/>
  <c r="AG154" i="8" s="1"/>
  <c r="AG168" i="8" s="1"/>
  <c r="AH119" i="8"/>
  <c r="AD127" i="4"/>
  <c r="AD129" i="4" s="1"/>
  <c r="AD130" i="4" s="1"/>
  <c r="AD131" i="4" s="1"/>
  <c r="AJ75" i="4"/>
  <c r="AJ76" i="4" s="1"/>
  <c r="AH89" i="4"/>
  <c r="AH139" i="4"/>
  <c r="AH87" i="4"/>
  <c r="AH88" i="4" s="1"/>
  <c r="AH90" i="4"/>
  <c r="AH91" i="4"/>
  <c r="AN75" i="8" l="1"/>
  <c r="AE125" i="4"/>
  <c r="AG127" i="8"/>
  <c r="AG129" i="8" s="1"/>
  <c r="AL89" i="8"/>
  <c r="AL139" i="8"/>
  <c r="AL87" i="8"/>
  <c r="AL88" i="8" s="1"/>
  <c r="AJ106" i="8"/>
  <c r="AJ140" i="8"/>
  <c r="AJ104" i="8"/>
  <c r="AJ105" i="8" s="1"/>
  <c r="AH120" i="8"/>
  <c r="AH121" i="8" s="1"/>
  <c r="AH122" i="8" s="1"/>
  <c r="AH125" i="8"/>
  <c r="AH124" i="8"/>
  <c r="AJ77" i="4"/>
  <c r="AJ78" i="4"/>
  <c r="AJ79" i="4" s="1"/>
  <c r="AJ81" i="4" s="1"/>
  <c r="AH92" i="4"/>
  <c r="AH149" i="4" s="1"/>
  <c r="AI85" i="4"/>
  <c r="AF104" i="4"/>
  <c r="AF105" i="4" s="1"/>
  <c r="AF109" i="4" s="1"/>
  <c r="AF140" i="4"/>
  <c r="AD132" i="4"/>
  <c r="AD134" i="4" s="1"/>
  <c r="AD159" i="4" s="1"/>
  <c r="AD183" i="4" s="1"/>
  <c r="AD201" i="4" s="1"/>
  <c r="AJ146" i="8" l="1"/>
  <c r="AJ164" i="8" s="1"/>
  <c r="AJ145" i="8"/>
  <c r="AJ163" i="8" s="1"/>
  <c r="AF146" i="4"/>
  <c r="AF164" i="4" s="1"/>
  <c r="AF145" i="4"/>
  <c r="AF163" i="4" s="1"/>
  <c r="AN78" i="8"/>
  <c r="AN79" i="8" s="1"/>
  <c r="AN81" i="8" s="1"/>
  <c r="AN76" i="8"/>
  <c r="AN77" i="8" s="1"/>
  <c r="AH141" i="8"/>
  <c r="AH144" i="8" s="1"/>
  <c r="AH162" i="8" s="1"/>
  <c r="AH123" i="8"/>
  <c r="AM85" i="8"/>
  <c r="AL92" i="8"/>
  <c r="AL149" i="8" s="1"/>
  <c r="AJ109" i="8"/>
  <c r="AJ150" i="8" s="1"/>
  <c r="AK102" i="8"/>
  <c r="AH126" i="8"/>
  <c r="AH151" i="8" s="1"/>
  <c r="AH154" i="8" s="1"/>
  <c r="AH168" i="8" s="1"/>
  <c r="AI119" i="8"/>
  <c r="AG130" i="8"/>
  <c r="AG131" i="8" s="1"/>
  <c r="AG132" i="8" s="1"/>
  <c r="AG134" i="8" s="1"/>
  <c r="AG159" i="8" s="1"/>
  <c r="AG102" i="4"/>
  <c r="AG108" i="4" s="1"/>
  <c r="AH93" i="4"/>
  <c r="AH95" i="4" s="1"/>
  <c r="AH96" i="4" s="1"/>
  <c r="AH97" i="4" s="1"/>
  <c r="AH98" i="4" s="1"/>
  <c r="AJ165" i="4"/>
  <c r="AK74" i="4"/>
  <c r="AJ82" i="4"/>
  <c r="AI86" i="4" s="1"/>
  <c r="AI87" i="4" s="1"/>
  <c r="AI88" i="4" s="1"/>
  <c r="AI91" i="4"/>
  <c r="AI90" i="4"/>
  <c r="AD172" i="4"/>
  <c r="AD184" i="4" s="1"/>
  <c r="AD202" i="4" s="1"/>
  <c r="AF150" i="4"/>
  <c r="AF110" i="4"/>
  <c r="AF156" i="4" l="1"/>
  <c r="AF170" i="4" s="1"/>
  <c r="AF155" i="4"/>
  <c r="AF169" i="4" s="1"/>
  <c r="AJ156" i="8"/>
  <c r="AJ170" i="8" s="1"/>
  <c r="AJ155" i="8"/>
  <c r="AJ169" i="8" s="1"/>
  <c r="AN165" i="8"/>
  <c r="AO74" i="8"/>
  <c r="AN82" i="8"/>
  <c r="AM86" i="8" s="1"/>
  <c r="AM87" i="8" s="1"/>
  <c r="AM88" i="8" s="1"/>
  <c r="AL93" i="8"/>
  <c r="AL95" i="8" s="1"/>
  <c r="AL96" i="8" s="1"/>
  <c r="AL97" i="8" s="1"/>
  <c r="AL98" i="8" s="1"/>
  <c r="AL99" i="8" s="1"/>
  <c r="AK103" i="8" s="1"/>
  <c r="AK104" i="8" s="1"/>
  <c r="AK105" i="8" s="1"/>
  <c r="AH127" i="8"/>
  <c r="AH129" i="8" s="1"/>
  <c r="AH130" i="8" s="1"/>
  <c r="AH131" i="8" s="1"/>
  <c r="AH132" i="8" s="1"/>
  <c r="AH134" i="8" s="1"/>
  <c r="AH159" i="8" s="1"/>
  <c r="AJ110" i="8"/>
  <c r="AJ112" i="8" s="1"/>
  <c r="AJ113" i="8" s="1"/>
  <c r="AJ114" i="8" s="1"/>
  <c r="AJ115" i="8" s="1"/>
  <c r="AJ116" i="8" s="1"/>
  <c r="AI120" i="8" s="1"/>
  <c r="AI121" i="8" s="1"/>
  <c r="AI122" i="8" s="1"/>
  <c r="AG107" i="4"/>
  <c r="AM90" i="8"/>
  <c r="AM91" i="8"/>
  <c r="AK108" i="8"/>
  <c r="AK107" i="8"/>
  <c r="AI125" i="8"/>
  <c r="AI124" i="8"/>
  <c r="AG183" i="8"/>
  <c r="AG201" i="8" s="1"/>
  <c r="AG172" i="8"/>
  <c r="AG184" i="8" s="1"/>
  <c r="AG202" i="8" s="1"/>
  <c r="AK75" i="4"/>
  <c r="AK76" i="4" s="1"/>
  <c r="AI92" i="4"/>
  <c r="AI149" i="4" s="1"/>
  <c r="AJ85" i="4"/>
  <c r="AI89" i="4"/>
  <c r="AI139" i="4"/>
  <c r="AH99" i="4"/>
  <c r="AG103" i="4" s="1"/>
  <c r="AF112" i="4"/>
  <c r="AF113" i="4" s="1"/>
  <c r="AF114" i="4" s="1"/>
  <c r="AF115" i="4" s="1"/>
  <c r="AF116" i="4" s="1"/>
  <c r="AE120" i="4" s="1"/>
  <c r="AM92" i="8" l="1"/>
  <c r="AM149" i="8" s="1"/>
  <c r="AN85" i="8"/>
  <c r="AM89" i="8"/>
  <c r="AM139" i="8"/>
  <c r="AO75" i="8"/>
  <c r="AK109" i="8"/>
  <c r="AK150" i="8" s="1"/>
  <c r="AL102" i="8"/>
  <c r="AK106" i="8"/>
  <c r="AK140" i="8"/>
  <c r="AI126" i="8"/>
  <c r="AI151" i="8" s="1"/>
  <c r="AI154" i="8" s="1"/>
  <c r="AI168" i="8" s="1"/>
  <c r="AJ119" i="8"/>
  <c r="AI123" i="8"/>
  <c r="AI141" i="8"/>
  <c r="AI144" i="8" s="1"/>
  <c r="AI162" i="8" s="1"/>
  <c r="AH183" i="8"/>
  <c r="AH201" i="8" s="1"/>
  <c r="AH172" i="8"/>
  <c r="AH184" i="8" s="1"/>
  <c r="AH202" i="8" s="1"/>
  <c r="AI93" i="4"/>
  <c r="AI95" i="4" s="1"/>
  <c r="AI96" i="4" s="1"/>
  <c r="AI97" i="4" s="1"/>
  <c r="AI98" i="4" s="1"/>
  <c r="AK78" i="4"/>
  <c r="AK79" i="4" s="1"/>
  <c r="AK81" i="4" s="1"/>
  <c r="AK77" i="4"/>
  <c r="AJ90" i="4"/>
  <c r="AJ91" i="4"/>
  <c r="AG106" i="4"/>
  <c r="AG140" i="4"/>
  <c r="AG104" i="4"/>
  <c r="AG105" i="4" s="1"/>
  <c r="AE121" i="4"/>
  <c r="AE122" i="4" s="1"/>
  <c r="AE141" i="4"/>
  <c r="AE144" i="4" s="1"/>
  <c r="AE162" i="4" s="1"/>
  <c r="AE123" i="4"/>
  <c r="AG146" i="4" l="1"/>
  <c r="AG164" i="4" s="1"/>
  <c r="AG145" i="4"/>
  <c r="AG163" i="4" s="1"/>
  <c r="AK146" i="8"/>
  <c r="AK164" i="8" s="1"/>
  <c r="AK145" i="8"/>
  <c r="AK163" i="8" s="1"/>
  <c r="AK156" i="8"/>
  <c r="AK170" i="8" s="1"/>
  <c r="AK155" i="8"/>
  <c r="AK169" i="8" s="1"/>
  <c r="AM93" i="8"/>
  <c r="AM95" i="8" s="1"/>
  <c r="AM96" i="8" s="1"/>
  <c r="AM97" i="8" s="1"/>
  <c r="AM98" i="8" s="1"/>
  <c r="AO78" i="8"/>
  <c r="AO79" i="8" s="1"/>
  <c r="AO81" i="8" s="1"/>
  <c r="AO76" i="8"/>
  <c r="AO77" i="8" s="1"/>
  <c r="AN91" i="8"/>
  <c r="AN90" i="8"/>
  <c r="AK110" i="8"/>
  <c r="AK112" i="8" s="1"/>
  <c r="AK113" i="8" s="1"/>
  <c r="AK114" i="8" s="1"/>
  <c r="AK115" i="8" s="1"/>
  <c r="AI127" i="8"/>
  <c r="AI129" i="8" s="1"/>
  <c r="AI130" i="8" s="1"/>
  <c r="AI131" i="8" s="1"/>
  <c r="AI132" i="8" s="1"/>
  <c r="AI134" i="8" s="1"/>
  <c r="AI159" i="8" s="1"/>
  <c r="AL108" i="8"/>
  <c r="AL107" i="8"/>
  <c r="AJ125" i="8"/>
  <c r="AJ124" i="8"/>
  <c r="AK165" i="4"/>
  <c r="AL74" i="4"/>
  <c r="AK82" i="4"/>
  <c r="AJ86" i="4" s="1"/>
  <c r="AI99" i="4"/>
  <c r="AH103" i="4" s="1"/>
  <c r="AG109" i="4"/>
  <c r="AG150" i="4" s="1"/>
  <c r="AH102" i="4"/>
  <c r="AE126" i="4"/>
  <c r="AE151" i="4" s="1"/>
  <c r="AE154" i="4" s="1"/>
  <c r="AE168" i="4" s="1"/>
  <c r="AF119" i="4"/>
  <c r="AG156" i="4" l="1"/>
  <c r="AG170" i="4" s="1"/>
  <c r="AG155" i="4"/>
  <c r="AG169" i="4" s="1"/>
  <c r="AO82" i="8"/>
  <c r="AN86" i="8" s="1"/>
  <c r="AO165" i="8"/>
  <c r="AP74" i="8"/>
  <c r="AG110" i="4"/>
  <c r="AG112" i="4" s="1"/>
  <c r="AG113" i="4" s="1"/>
  <c r="AG114" i="4" s="1"/>
  <c r="AG115" i="4" s="1"/>
  <c r="AG116" i="4" s="1"/>
  <c r="AF120" i="4" s="1"/>
  <c r="AF141" i="4" s="1"/>
  <c r="AF144" i="4" s="1"/>
  <c r="AF162" i="4" s="1"/>
  <c r="AM99" i="8"/>
  <c r="AL103" i="8" s="1"/>
  <c r="AK116" i="8"/>
  <c r="AJ120" i="8" s="1"/>
  <c r="AI172" i="8"/>
  <c r="AI184" i="8" s="1"/>
  <c r="AI202" i="8" s="1"/>
  <c r="AI183" i="8"/>
  <c r="AI201" i="8" s="1"/>
  <c r="AL75" i="4"/>
  <c r="AJ89" i="4"/>
  <c r="AJ139" i="4"/>
  <c r="AJ87" i="4"/>
  <c r="AJ88" i="4" s="1"/>
  <c r="AH106" i="4"/>
  <c r="AH140" i="4"/>
  <c r="AH104" i="4"/>
  <c r="AH105" i="4" s="1"/>
  <c r="AH108" i="4"/>
  <c r="AH107" i="4"/>
  <c r="AF125" i="4"/>
  <c r="AF124" i="4"/>
  <c r="AE127" i="4"/>
  <c r="AH146" i="4" l="1"/>
  <c r="AH164" i="4" s="1"/>
  <c r="AH145" i="4"/>
  <c r="AH163" i="4" s="1"/>
  <c r="AP75" i="8"/>
  <c r="AN89" i="8"/>
  <c r="AN139" i="8"/>
  <c r="AN87" i="8"/>
  <c r="AN88" i="8" s="1"/>
  <c r="AL106" i="8"/>
  <c r="AL140" i="8"/>
  <c r="AL104" i="8"/>
  <c r="AL105" i="8" s="1"/>
  <c r="AJ123" i="8"/>
  <c r="AJ141" i="8"/>
  <c r="AJ144" i="8" s="1"/>
  <c r="AJ162" i="8" s="1"/>
  <c r="AJ121" i="8"/>
  <c r="AJ122" i="8" s="1"/>
  <c r="AL78" i="4"/>
  <c r="AL79" i="4" s="1"/>
  <c r="AL81" i="4" s="1"/>
  <c r="AL76" i="4"/>
  <c r="AL77" i="4" s="1"/>
  <c r="AJ92" i="4"/>
  <c r="AJ149" i="4" s="1"/>
  <c r="AK85" i="4"/>
  <c r="AF121" i="4"/>
  <c r="AF122" i="4" s="1"/>
  <c r="AF126" i="4" s="1"/>
  <c r="AF123" i="4"/>
  <c r="AH109" i="4"/>
  <c r="AH150" i="4" s="1"/>
  <c r="AI102" i="4"/>
  <c r="AE129" i="4"/>
  <c r="AH156" i="4" l="1"/>
  <c r="AH170" i="4" s="1"/>
  <c r="AH155" i="4"/>
  <c r="AH169" i="4" s="1"/>
  <c r="AL146" i="8"/>
  <c r="AL164" i="8" s="1"/>
  <c r="AL145" i="8"/>
  <c r="AL163" i="8" s="1"/>
  <c r="AO85" i="8"/>
  <c r="AN92" i="8"/>
  <c r="AP78" i="8"/>
  <c r="AP79" i="8" s="1"/>
  <c r="AP81" i="8" s="1"/>
  <c r="AP76" i="8"/>
  <c r="AP77" i="8" s="1"/>
  <c r="AJ93" i="4"/>
  <c r="AJ95" i="4" s="1"/>
  <c r="AJ96" i="4" s="1"/>
  <c r="AJ97" i="4" s="1"/>
  <c r="AJ98" i="4" s="1"/>
  <c r="AJ99" i="4" s="1"/>
  <c r="AI103" i="4" s="1"/>
  <c r="AI104" i="4" s="1"/>
  <c r="AL109" i="8"/>
  <c r="AL150" i="8" s="1"/>
  <c r="AM102" i="8"/>
  <c r="AJ126" i="8"/>
  <c r="AK119" i="8"/>
  <c r="AL165" i="4"/>
  <c r="AM74" i="4"/>
  <c r="AL82" i="4"/>
  <c r="AK86" i="4" s="1"/>
  <c r="AK87" i="4" s="1"/>
  <c r="AG119" i="4"/>
  <c r="AG124" i="4" s="1"/>
  <c r="AH110" i="4"/>
  <c r="AH112" i="4" s="1"/>
  <c r="AH113" i="4" s="1"/>
  <c r="AH114" i="4" s="1"/>
  <c r="AH115" i="4" s="1"/>
  <c r="AK91" i="4"/>
  <c r="AK90" i="4"/>
  <c r="AI108" i="4"/>
  <c r="AI107" i="4"/>
  <c r="AF151" i="4"/>
  <c r="AF154" i="4" s="1"/>
  <c r="AF168" i="4" s="1"/>
  <c r="AF127" i="4"/>
  <c r="AE130" i="4"/>
  <c r="AE131" i="4" s="1"/>
  <c r="AE132" i="4" s="1"/>
  <c r="AE134" i="4" s="1"/>
  <c r="AE159" i="4" s="1"/>
  <c r="AL156" i="8" l="1"/>
  <c r="AL170" i="8" s="1"/>
  <c r="AL155" i="8"/>
  <c r="AL169" i="8" s="1"/>
  <c r="AP82" i="8"/>
  <c r="AO86" i="8" s="1"/>
  <c r="AQ74" i="8"/>
  <c r="AP165" i="8"/>
  <c r="AN149" i="8"/>
  <c r="AN93" i="8"/>
  <c r="AO87" i="8"/>
  <c r="AO88" i="8" s="1"/>
  <c r="AO90" i="8"/>
  <c r="AO91" i="8"/>
  <c r="AL110" i="8"/>
  <c r="AL112" i="8" s="1"/>
  <c r="AK88" i="4"/>
  <c r="AK92" i="4" s="1"/>
  <c r="AM108" i="8"/>
  <c r="AM107" i="8"/>
  <c r="AK124" i="8"/>
  <c r="AK125" i="8"/>
  <c r="AJ151" i="8"/>
  <c r="AJ154" i="8" s="1"/>
  <c r="AJ168" i="8" s="1"/>
  <c r="AJ127" i="8"/>
  <c r="AM75" i="4"/>
  <c r="AM76" i="4" s="1"/>
  <c r="AI140" i="4"/>
  <c r="AG125" i="4"/>
  <c r="AK89" i="4"/>
  <c r="AK139" i="4"/>
  <c r="AI106" i="4"/>
  <c r="AI105" i="4"/>
  <c r="AJ102" i="4" s="1"/>
  <c r="AH116" i="4"/>
  <c r="AG120" i="4" s="1"/>
  <c r="AE183" i="4"/>
  <c r="AE201" i="4" s="1"/>
  <c r="AE172" i="4"/>
  <c r="AE184" i="4" s="1"/>
  <c r="AE202" i="4" s="1"/>
  <c r="AF129" i="4"/>
  <c r="AI146" i="4" l="1"/>
  <c r="AI164" i="4" s="1"/>
  <c r="AI145" i="4"/>
  <c r="AI163" i="4" s="1"/>
  <c r="AP85" i="8"/>
  <c r="AO92" i="8"/>
  <c r="AO149" i="8" s="1"/>
  <c r="AQ75" i="8"/>
  <c r="AN95" i="8"/>
  <c r="AO89" i="8"/>
  <c r="AO139" i="8"/>
  <c r="AK149" i="4"/>
  <c r="AK93" i="4"/>
  <c r="AK95" i="4" s="1"/>
  <c r="AK96" i="4" s="1"/>
  <c r="AK97" i="4" s="1"/>
  <c r="AK98" i="4" s="1"/>
  <c r="AL85" i="4"/>
  <c r="AL91" i="4" s="1"/>
  <c r="AM77" i="4"/>
  <c r="AL113" i="8"/>
  <c r="AL114" i="8" s="1"/>
  <c r="AL115" i="8" s="1"/>
  <c r="AL116" i="8" s="1"/>
  <c r="AK120" i="8" s="1"/>
  <c r="AJ129" i="8"/>
  <c r="AJ130" i="8" s="1"/>
  <c r="AJ131" i="8" s="1"/>
  <c r="AJ132" i="8" s="1"/>
  <c r="AJ134" i="8" s="1"/>
  <c r="AJ159" i="8" s="1"/>
  <c r="AM78" i="4"/>
  <c r="AM79" i="4" s="1"/>
  <c r="AM81" i="4" s="1"/>
  <c r="AI109" i="4"/>
  <c r="AJ108" i="4"/>
  <c r="AJ107" i="4"/>
  <c r="AG123" i="4"/>
  <c r="AG141" i="4"/>
  <c r="AG144" i="4" s="1"/>
  <c r="AG162" i="4" s="1"/>
  <c r="AG121" i="4"/>
  <c r="AG122" i="4" s="1"/>
  <c r="AF130" i="4"/>
  <c r="AF131" i="4" s="1"/>
  <c r="AO93" i="8" l="1"/>
  <c r="AO95" i="8" s="1"/>
  <c r="AO96" i="8" s="1"/>
  <c r="AO97" i="8" s="1"/>
  <c r="AL90" i="4"/>
  <c r="AQ78" i="8"/>
  <c r="AQ79" i="8" s="1"/>
  <c r="AQ81" i="8" s="1"/>
  <c r="AN96" i="8"/>
  <c r="AN97" i="8" s="1"/>
  <c r="AN98" i="8" s="1"/>
  <c r="AQ76" i="8"/>
  <c r="AQ77" i="8" s="1"/>
  <c r="AM165" i="4"/>
  <c r="AN74" i="4"/>
  <c r="AP90" i="8"/>
  <c r="AP91" i="8"/>
  <c r="AK121" i="8"/>
  <c r="AK122" i="8" s="1"/>
  <c r="AK123" i="8"/>
  <c r="AK141" i="8"/>
  <c r="AK144" i="8" s="1"/>
  <c r="AK162" i="8" s="1"/>
  <c r="AJ172" i="8"/>
  <c r="AJ184" i="8" s="1"/>
  <c r="AJ202" i="8" s="1"/>
  <c r="AJ183" i="8"/>
  <c r="AJ201" i="8" s="1"/>
  <c r="AM82" i="4"/>
  <c r="AL86" i="4" s="1"/>
  <c r="AK99" i="4"/>
  <c r="AJ103" i="4" s="1"/>
  <c r="AI150" i="4"/>
  <c r="AI110" i="4"/>
  <c r="AI112" i="4" s="1"/>
  <c r="AI113" i="4" s="1"/>
  <c r="AI114" i="4" s="1"/>
  <c r="AI115" i="4" s="1"/>
  <c r="AI116" i="4" s="1"/>
  <c r="AH120" i="4" s="1"/>
  <c r="AF132" i="4"/>
  <c r="AF134" i="4" s="1"/>
  <c r="AF159" i="4" s="1"/>
  <c r="AF172" i="4" s="1"/>
  <c r="AF184" i="4" s="1"/>
  <c r="AF202" i="4" s="1"/>
  <c r="AG126" i="4"/>
  <c r="AG151" i="4" s="1"/>
  <c r="AG154" i="4" s="1"/>
  <c r="AG168" i="4" s="1"/>
  <c r="AH119" i="4"/>
  <c r="AI156" i="4" l="1"/>
  <c r="AI170" i="4" s="1"/>
  <c r="AI155" i="4"/>
  <c r="AI169" i="4" s="1"/>
  <c r="AR74" i="8"/>
  <c r="AQ165" i="8"/>
  <c r="AN99" i="8"/>
  <c r="AM103" i="8" s="1"/>
  <c r="AQ82" i="8"/>
  <c r="AP86" i="8" s="1"/>
  <c r="AN75" i="4"/>
  <c r="AN76" i="4" s="1"/>
  <c r="AN77" i="4" s="1"/>
  <c r="AO98" i="8"/>
  <c r="AK126" i="8"/>
  <c r="AL119" i="8"/>
  <c r="AL89" i="4"/>
  <c r="AL139" i="4"/>
  <c r="AL87" i="4"/>
  <c r="AL88" i="4" s="1"/>
  <c r="AF183" i="4"/>
  <c r="AF201" i="4" s="1"/>
  <c r="AG127" i="4"/>
  <c r="AG129" i="4" s="1"/>
  <c r="AJ106" i="4"/>
  <c r="AJ140" i="4"/>
  <c r="AJ104" i="4"/>
  <c r="AJ105" i="4" s="1"/>
  <c r="AH123" i="4"/>
  <c r="AH141" i="4"/>
  <c r="AH144" i="4" s="1"/>
  <c r="AH162" i="4" s="1"/>
  <c r="AH121" i="4"/>
  <c r="AH122" i="4" s="1"/>
  <c r="AH125" i="4"/>
  <c r="AH124" i="4"/>
  <c r="AJ146" i="4" l="1"/>
  <c r="AJ164" i="4" s="1"/>
  <c r="AJ145" i="4"/>
  <c r="AJ163" i="4" s="1"/>
  <c r="AO74" i="4"/>
  <c r="AN165" i="4"/>
  <c r="AP89" i="8"/>
  <c r="AP139" i="8"/>
  <c r="AP87" i="8"/>
  <c r="AP88" i="8" s="1"/>
  <c r="AO99" i="8"/>
  <c r="AM106" i="8"/>
  <c r="AM140" i="8"/>
  <c r="AM104" i="8"/>
  <c r="AM105" i="8" s="1"/>
  <c r="AN78" i="4"/>
  <c r="AN79" i="4" s="1"/>
  <c r="AN81" i="4" s="1"/>
  <c r="AR75" i="8"/>
  <c r="AR76" i="8" s="1"/>
  <c r="AL124" i="8"/>
  <c r="AL125" i="8"/>
  <c r="AK151" i="8"/>
  <c r="AK154" i="8" s="1"/>
  <c r="AK168" i="8" s="1"/>
  <c r="AK127" i="8"/>
  <c r="AM85" i="4"/>
  <c r="AL92" i="4"/>
  <c r="AL149" i="4" s="1"/>
  <c r="AJ109" i="4"/>
  <c r="AJ150" i="4" s="1"/>
  <c r="AK102" i="4"/>
  <c r="AH126" i="4"/>
  <c r="AH151" i="4" s="1"/>
  <c r="AH154" i="4" s="1"/>
  <c r="AH168" i="4" s="1"/>
  <c r="AI119" i="4"/>
  <c r="AG130" i="4"/>
  <c r="AG131" i="4" s="1"/>
  <c r="AG132" i="4" s="1"/>
  <c r="AG134" i="4" s="1"/>
  <c r="AG159" i="4" s="1"/>
  <c r="AJ156" i="4" l="1"/>
  <c r="AJ170" i="4" s="1"/>
  <c r="AJ155" i="4"/>
  <c r="AJ169" i="4" s="1"/>
  <c r="AM146" i="8"/>
  <c r="AM164" i="8" s="1"/>
  <c r="AM145" i="8"/>
  <c r="AM163" i="8" s="1"/>
  <c r="AQ85" i="8"/>
  <c r="AP92" i="8"/>
  <c r="AN82" i="4"/>
  <c r="AM86" i="4" s="1"/>
  <c r="AM87" i="4" s="1"/>
  <c r="AM88" i="4" s="1"/>
  <c r="AM109" i="8"/>
  <c r="AM150" i="8" s="1"/>
  <c r="AN102" i="8"/>
  <c r="AN103" i="8" s="1"/>
  <c r="AR78" i="8"/>
  <c r="AR79" i="8" s="1"/>
  <c r="AR81" i="8" s="1"/>
  <c r="AR77" i="8"/>
  <c r="AO75" i="4"/>
  <c r="AH127" i="4"/>
  <c r="AH129" i="4" s="1"/>
  <c r="AH130" i="4" s="1"/>
  <c r="AH131" i="4" s="1"/>
  <c r="AH132" i="4" s="1"/>
  <c r="AH134" i="4" s="1"/>
  <c r="AH159" i="4" s="1"/>
  <c r="AL93" i="4"/>
  <c r="AL95" i="4" s="1"/>
  <c r="AL96" i="4" s="1"/>
  <c r="AL97" i="4" s="1"/>
  <c r="AL98" i="4" s="1"/>
  <c r="AL99" i="4" s="1"/>
  <c r="AK103" i="4" s="1"/>
  <c r="AK129" i="8"/>
  <c r="AK130" i="8" s="1"/>
  <c r="AK131" i="8" s="1"/>
  <c r="AK132" i="8" s="1"/>
  <c r="AK134" i="8" s="1"/>
  <c r="AK159" i="8" s="1"/>
  <c r="AM91" i="4"/>
  <c r="AM90" i="4"/>
  <c r="AJ110" i="4"/>
  <c r="AJ112" i="4" s="1"/>
  <c r="AJ113" i="4" s="1"/>
  <c r="AJ114" i="4" s="1"/>
  <c r="AJ115" i="4" s="1"/>
  <c r="AJ116" i="4" s="1"/>
  <c r="AI120" i="4" s="1"/>
  <c r="AI123" i="4" s="1"/>
  <c r="AK108" i="4"/>
  <c r="AK107" i="4"/>
  <c r="AI125" i="4"/>
  <c r="AI124" i="4"/>
  <c r="AG172" i="4"/>
  <c r="AG184" i="4" s="1"/>
  <c r="AG202" i="4" s="1"/>
  <c r="AG183" i="4"/>
  <c r="AG201" i="4" s="1"/>
  <c r="AM156" i="8" l="1"/>
  <c r="AM170" i="8" s="1"/>
  <c r="AM155" i="8"/>
  <c r="AM169" i="8" s="1"/>
  <c r="AM92" i="4"/>
  <c r="AM149" i="4" s="1"/>
  <c r="AN85" i="4"/>
  <c r="AS74" i="8"/>
  <c r="AR165" i="8"/>
  <c r="AR82" i="8"/>
  <c r="AQ86" i="8" s="1"/>
  <c r="AQ87" i="8" s="1"/>
  <c r="AQ88" i="8" s="1"/>
  <c r="AN107" i="8"/>
  <c r="AN108" i="8"/>
  <c r="AN104" i="8"/>
  <c r="AN105" i="8" s="1"/>
  <c r="AP149" i="8"/>
  <c r="AP93" i="8"/>
  <c r="AO78" i="4"/>
  <c r="AO79" i="4" s="1"/>
  <c r="AO81" i="4" s="1"/>
  <c r="AM89" i="4"/>
  <c r="AM139" i="4"/>
  <c r="AQ90" i="8"/>
  <c r="AQ91" i="8"/>
  <c r="AN106" i="8"/>
  <c r="AN140" i="8"/>
  <c r="AO76" i="4"/>
  <c r="AO77" i="4" s="1"/>
  <c r="AM110" i="8"/>
  <c r="AK140" i="4"/>
  <c r="AK106" i="4"/>
  <c r="AK104" i="4"/>
  <c r="AK105" i="4" s="1"/>
  <c r="AL102" i="4" s="1"/>
  <c r="AK183" i="8"/>
  <c r="AK201" i="8" s="1"/>
  <c r="AK172" i="8"/>
  <c r="AK184" i="8" s="1"/>
  <c r="AK202" i="8" s="1"/>
  <c r="AI141" i="4"/>
  <c r="AI144" i="4" s="1"/>
  <c r="AI162" i="4" s="1"/>
  <c r="AI121" i="4"/>
  <c r="AI122" i="4" s="1"/>
  <c r="AI126" i="4" s="1"/>
  <c r="AH183" i="4"/>
  <c r="AH201" i="4" s="1"/>
  <c r="AH172" i="4"/>
  <c r="AH184" i="4" s="1"/>
  <c r="AH202" i="4" s="1"/>
  <c r="AK146" i="4" l="1"/>
  <c r="AK164" i="4" s="1"/>
  <c r="AK145" i="4"/>
  <c r="AK163" i="4" s="1"/>
  <c r="AN146" i="8"/>
  <c r="AN164" i="8" s="1"/>
  <c r="AN145" i="8"/>
  <c r="AN163" i="8" s="1"/>
  <c r="AM93" i="4"/>
  <c r="AM95" i="4" s="1"/>
  <c r="AM96" i="4" s="1"/>
  <c r="AM97" i="4" s="1"/>
  <c r="AM98" i="4" s="1"/>
  <c r="AO82" i="4"/>
  <c r="AN86" i="4" s="1"/>
  <c r="AN87" i="4" s="1"/>
  <c r="AN88" i="4" s="1"/>
  <c r="AO102" i="8"/>
  <c r="AN109" i="8"/>
  <c r="AN150" i="8" s="1"/>
  <c r="AR85" i="8"/>
  <c r="AQ92" i="8"/>
  <c r="AQ149" i="8" s="1"/>
  <c r="AM112" i="8"/>
  <c r="AM113" i="8" s="1"/>
  <c r="AM114" i="8" s="1"/>
  <c r="AM115" i="8" s="1"/>
  <c r="AM116" i="8" s="1"/>
  <c r="AL120" i="8" s="1"/>
  <c r="AS75" i="8"/>
  <c r="AQ89" i="8"/>
  <c r="AQ139" i="8"/>
  <c r="AN90" i="4"/>
  <c r="AN91" i="4"/>
  <c r="AP74" i="4"/>
  <c r="AO165" i="4"/>
  <c r="AP95" i="8"/>
  <c r="AK109" i="4"/>
  <c r="AK150" i="4" s="1"/>
  <c r="AI151" i="4"/>
  <c r="AI154" i="4" s="1"/>
  <c r="AI168" i="4" s="1"/>
  <c r="AI127" i="4"/>
  <c r="AI129" i="4" s="1"/>
  <c r="AI130" i="4" s="1"/>
  <c r="AI131" i="4" s="1"/>
  <c r="AJ119" i="4"/>
  <c r="AJ124" i="4" s="1"/>
  <c r="AL108" i="4"/>
  <c r="AL107" i="4"/>
  <c r="AN156" i="8" l="1"/>
  <c r="AN170" i="8" s="1"/>
  <c r="AN155" i="8"/>
  <c r="AN169" i="8" s="1"/>
  <c r="AK156" i="4"/>
  <c r="AK170" i="4" s="1"/>
  <c r="AK155" i="4"/>
  <c r="AK169" i="4" s="1"/>
  <c r="AQ93" i="8"/>
  <c r="AQ95" i="8" s="1"/>
  <c r="AK110" i="4"/>
  <c r="AK112" i="4" s="1"/>
  <c r="AK113" i="4" s="1"/>
  <c r="AK114" i="4" s="1"/>
  <c r="AK115" i="4" s="1"/>
  <c r="AK116" i="4" s="1"/>
  <c r="AJ120" i="4" s="1"/>
  <c r="AO85" i="4"/>
  <c r="AN92" i="4"/>
  <c r="AN149" i="4" s="1"/>
  <c r="AP75" i="4"/>
  <c r="AL123" i="8"/>
  <c r="AL121" i="8"/>
  <c r="AL122" i="8" s="1"/>
  <c r="AL141" i="8"/>
  <c r="AR91" i="8"/>
  <c r="AR90" i="8"/>
  <c r="AO107" i="8"/>
  <c r="AO108" i="8"/>
  <c r="AN89" i="4"/>
  <c r="AN139" i="4"/>
  <c r="AN110" i="8"/>
  <c r="AS78" i="8"/>
  <c r="AS79" i="8" s="1"/>
  <c r="AS81" i="8" s="1"/>
  <c r="AP96" i="8"/>
  <c r="AP97" i="8" s="1"/>
  <c r="AP98" i="8" s="1"/>
  <c r="AS76" i="8"/>
  <c r="AS77" i="8" s="1"/>
  <c r="AJ125" i="4"/>
  <c r="AM99" i="4"/>
  <c r="AL103" i="4" s="1"/>
  <c r="AI132" i="4"/>
  <c r="AI134" i="4" s="1"/>
  <c r="AI159" i="4" s="1"/>
  <c r="AI183" i="4" s="1"/>
  <c r="AI201" i="4" s="1"/>
  <c r="AN93" i="4" l="1"/>
  <c r="AT74" i="8"/>
  <c r="AS165" i="8"/>
  <c r="AP99" i="8"/>
  <c r="AO103" i="8" s="1"/>
  <c r="AN95" i="4"/>
  <c r="AP78" i="4"/>
  <c r="AP79" i="4" s="1"/>
  <c r="AP81" i="4" s="1"/>
  <c r="AN112" i="8"/>
  <c r="AP76" i="4"/>
  <c r="AP77" i="4" s="1"/>
  <c r="AL144" i="8"/>
  <c r="AL126" i="8"/>
  <c r="AL151" i="8" s="1"/>
  <c r="AL154" i="8" s="1"/>
  <c r="AL168" i="8" s="1"/>
  <c r="AM119" i="8"/>
  <c r="AS82" i="8"/>
  <c r="AR86" i="8" s="1"/>
  <c r="AO90" i="4"/>
  <c r="AO91" i="4"/>
  <c r="AQ96" i="8"/>
  <c r="AQ97" i="8" s="1"/>
  <c r="AQ98" i="8" s="1"/>
  <c r="AL106" i="4"/>
  <c r="AL140" i="4"/>
  <c r="AL104" i="4"/>
  <c r="AL105" i="4" s="1"/>
  <c r="AI172" i="4"/>
  <c r="AI184" i="4" s="1"/>
  <c r="AI202" i="4" s="1"/>
  <c r="AJ123" i="4"/>
  <c r="AJ141" i="4"/>
  <c r="AJ144" i="4" s="1"/>
  <c r="AJ162" i="4" s="1"/>
  <c r="AJ121" i="4"/>
  <c r="AJ122" i="4" s="1"/>
  <c r="AL146" i="4" l="1"/>
  <c r="AL164" i="4" s="1"/>
  <c r="AL145" i="4"/>
  <c r="AL163" i="4" s="1"/>
  <c r="AL162" i="8"/>
  <c r="AP82" i="4"/>
  <c r="AO86" i="4" s="1"/>
  <c r="AQ99" i="8"/>
  <c r="AR89" i="8"/>
  <c r="AR139" i="8"/>
  <c r="AR87" i="8"/>
  <c r="AR88" i="8" s="1"/>
  <c r="AM125" i="8"/>
  <c r="AM124" i="8"/>
  <c r="AP165" i="4"/>
  <c r="AQ74" i="4"/>
  <c r="AL127" i="8"/>
  <c r="AL129" i="8" s="1"/>
  <c r="AL130" i="8" s="1"/>
  <c r="AL131" i="8" s="1"/>
  <c r="AL132" i="8" s="1"/>
  <c r="AL134" i="8" s="1"/>
  <c r="AL159" i="8" s="1"/>
  <c r="AN96" i="4"/>
  <c r="AN97" i="4" s="1"/>
  <c r="AN98" i="4" s="1"/>
  <c r="AO106" i="8"/>
  <c r="AO140" i="8"/>
  <c r="AO145" i="8" s="1"/>
  <c r="AO163" i="8" s="1"/>
  <c r="AO104" i="8"/>
  <c r="AO105" i="8" s="1"/>
  <c r="AN113" i="8"/>
  <c r="AN114" i="8" s="1"/>
  <c r="AN115" i="8" s="1"/>
  <c r="AT75" i="8"/>
  <c r="AL109" i="4"/>
  <c r="AL150" i="4" s="1"/>
  <c r="AM102" i="4"/>
  <c r="AJ126" i="4"/>
  <c r="AJ151" i="4" s="1"/>
  <c r="AJ154" i="4" s="1"/>
  <c r="AJ168" i="4" s="1"/>
  <c r="AK119" i="4"/>
  <c r="AL156" i="4" l="1"/>
  <c r="AL170" i="4" s="1"/>
  <c r="AL155" i="4"/>
  <c r="AL169" i="4" s="1"/>
  <c r="AT76" i="8"/>
  <c r="AT77" i="8" s="1"/>
  <c r="AN99" i="4"/>
  <c r="AM103" i="4" s="1"/>
  <c r="AS85" i="8"/>
  <c r="AR92" i="8"/>
  <c r="AN116" i="8"/>
  <c r="AM120" i="8" s="1"/>
  <c r="AO146" i="8"/>
  <c r="AL183" i="8"/>
  <c r="AL172" i="8"/>
  <c r="AL184" i="8" s="1"/>
  <c r="AL202" i="8" s="1"/>
  <c r="AQ75" i="4"/>
  <c r="AO89" i="4"/>
  <c r="AO139" i="4"/>
  <c r="AO87" i="4"/>
  <c r="AO88" i="4" s="1"/>
  <c r="AP102" i="8"/>
  <c r="AP103" i="8" s="1"/>
  <c r="AO109" i="8"/>
  <c r="AU74" i="8"/>
  <c r="AT165" i="8"/>
  <c r="AT78" i="8"/>
  <c r="AT79" i="8" s="1"/>
  <c r="AT81" i="8" s="1"/>
  <c r="AL110" i="4"/>
  <c r="AL112" i="4" s="1"/>
  <c r="AL113" i="4" s="1"/>
  <c r="AL114" i="4" s="1"/>
  <c r="AL115" i="4" s="1"/>
  <c r="AL116" i="4" s="1"/>
  <c r="AK120" i="4" s="1"/>
  <c r="AK123" i="4" s="1"/>
  <c r="AJ127" i="4"/>
  <c r="AJ129" i="4" s="1"/>
  <c r="AJ130" i="4" s="1"/>
  <c r="AJ131" i="4" s="1"/>
  <c r="AJ132" i="4" s="1"/>
  <c r="AJ134" i="4" s="1"/>
  <c r="AJ159" i="4" s="1"/>
  <c r="AM104" i="4"/>
  <c r="AM105" i="4" s="1"/>
  <c r="AM108" i="4"/>
  <c r="AM107" i="4"/>
  <c r="AK125" i="4"/>
  <c r="AK124" i="4"/>
  <c r="AO164" i="8" l="1"/>
  <c r="AP85" i="4"/>
  <c r="AO92" i="4"/>
  <c r="AO149" i="4" s="1"/>
  <c r="AT82" i="8"/>
  <c r="AS86" i="8" s="1"/>
  <c r="AP106" i="8"/>
  <c r="AP140" i="8"/>
  <c r="AP145" i="8" s="1"/>
  <c r="AP163" i="8" s="1"/>
  <c r="AL201" i="8"/>
  <c r="AR149" i="8"/>
  <c r="AR93" i="8"/>
  <c r="AO150" i="8"/>
  <c r="AO110" i="8"/>
  <c r="AP107" i="8"/>
  <c r="AP104" i="8"/>
  <c r="AP105" i="8" s="1"/>
  <c r="AQ102" i="8" s="1"/>
  <c r="AP108" i="8"/>
  <c r="AM109" i="4"/>
  <c r="AM150" i="4" s="1"/>
  <c r="AN102" i="4"/>
  <c r="AS91" i="8"/>
  <c r="AS90" i="8"/>
  <c r="AQ78" i="4"/>
  <c r="AQ79" i="4" s="1"/>
  <c r="AQ81" i="4" s="1"/>
  <c r="AU75" i="8"/>
  <c r="AM123" i="8"/>
  <c r="AM141" i="8"/>
  <c r="AM121" i="8"/>
  <c r="AM122" i="8" s="1"/>
  <c r="AQ76" i="4"/>
  <c r="AQ77" i="4" s="1"/>
  <c r="AM106" i="4"/>
  <c r="AM140" i="4"/>
  <c r="AM145" i="4" s="1"/>
  <c r="AM163" i="4" s="1"/>
  <c r="AK141" i="4"/>
  <c r="AK144" i="4" s="1"/>
  <c r="AK162" i="4" s="1"/>
  <c r="AK121" i="4"/>
  <c r="AK122" i="4" s="1"/>
  <c r="AK126" i="4" s="1"/>
  <c r="AK151" i="4" s="1"/>
  <c r="AK154" i="4" s="1"/>
  <c r="AK168" i="4" s="1"/>
  <c r="AJ172" i="4"/>
  <c r="AJ184" i="4" s="1"/>
  <c r="AJ202" i="4" s="1"/>
  <c r="AJ183" i="4"/>
  <c r="AJ201" i="4" s="1"/>
  <c r="AO156" i="8" l="1"/>
  <c r="AO170" i="8" s="1"/>
  <c r="AO155" i="8"/>
  <c r="AO169" i="8" s="1"/>
  <c r="AM156" i="4"/>
  <c r="AM170" i="4" s="1"/>
  <c r="AM155" i="4"/>
  <c r="AM169" i="4" s="1"/>
  <c r="AM110" i="4"/>
  <c r="AM112" i="4" s="1"/>
  <c r="AM113" i="4" s="1"/>
  <c r="AM114" i="4" s="1"/>
  <c r="AM115" i="4" s="1"/>
  <c r="AQ82" i="4"/>
  <c r="AP86" i="4" s="1"/>
  <c r="AP87" i="4" s="1"/>
  <c r="AP88" i="4" s="1"/>
  <c r="AQ85" i="4" s="1"/>
  <c r="AQ108" i="8"/>
  <c r="AQ107" i="8"/>
  <c r="AP146" i="8"/>
  <c r="AN108" i="4"/>
  <c r="AN107" i="4"/>
  <c r="AM146" i="4"/>
  <c r="AU78" i="8"/>
  <c r="AU79" i="8" s="1"/>
  <c r="AU81" i="8" s="1"/>
  <c r="AS89" i="8"/>
  <c r="AS139" i="8"/>
  <c r="AO112" i="8"/>
  <c r="AP91" i="4"/>
  <c r="AP90" i="4"/>
  <c r="AQ165" i="4"/>
  <c r="AR74" i="4"/>
  <c r="AP109" i="8"/>
  <c r="AP150" i="8" s="1"/>
  <c r="AM126" i="8"/>
  <c r="AN119" i="8"/>
  <c r="AM144" i="8"/>
  <c r="AU76" i="8"/>
  <c r="AU77" i="8" s="1"/>
  <c r="AS87" i="8"/>
  <c r="AS88" i="8" s="1"/>
  <c r="AR95" i="8"/>
  <c r="AO93" i="4"/>
  <c r="AL119" i="4"/>
  <c r="AL125" i="4" s="1"/>
  <c r="AK127" i="4"/>
  <c r="AK129" i="4" s="1"/>
  <c r="AK130" i="4" s="1"/>
  <c r="AK131" i="4" s="1"/>
  <c r="AK132" i="4" s="1"/>
  <c r="AK134" i="4" s="1"/>
  <c r="AK159" i="4" s="1"/>
  <c r="AP156" i="8" l="1"/>
  <c r="AP170" i="8" s="1"/>
  <c r="AP155" i="8"/>
  <c r="AP169" i="8" s="1"/>
  <c r="AL124" i="4"/>
  <c r="AM162" i="8"/>
  <c r="AP164" i="8"/>
  <c r="AV74" i="8"/>
  <c r="AU165" i="8"/>
  <c r="AU82" i="8"/>
  <c r="AQ90" i="4"/>
  <c r="AQ91" i="4"/>
  <c r="AN125" i="8"/>
  <c r="AN124" i="8"/>
  <c r="AR96" i="8"/>
  <c r="AR97" i="8" s="1"/>
  <c r="AR98" i="8" s="1"/>
  <c r="AT85" i="8"/>
  <c r="AS92" i="8"/>
  <c r="AM164" i="4"/>
  <c r="AP110" i="8"/>
  <c r="AO95" i="4"/>
  <c r="AP92" i="4"/>
  <c r="AP149" i="4" s="1"/>
  <c r="AM151" i="8"/>
  <c r="AM154" i="8" s="1"/>
  <c r="AM168" i="8" s="1"/>
  <c r="AM127" i="8"/>
  <c r="AO113" i="8"/>
  <c r="AO114" i="8" s="1"/>
  <c r="AO115" i="8" s="1"/>
  <c r="AR75" i="4"/>
  <c r="AP89" i="4"/>
  <c r="AP139" i="4"/>
  <c r="AM116" i="4"/>
  <c r="AL120" i="4" s="1"/>
  <c r="AK183" i="4"/>
  <c r="AK201" i="4" s="1"/>
  <c r="AK172" i="4"/>
  <c r="AK184" i="4" s="1"/>
  <c r="AK202" i="4" s="1"/>
  <c r="AT86" i="8" l="1"/>
  <c r="AT89" i="8" s="1"/>
  <c r="AP93" i="4"/>
  <c r="AP95" i="4" s="1"/>
  <c r="AR99" i="8"/>
  <c r="AQ103" i="8" s="1"/>
  <c r="AO116" i="8"/>
  <c r="AN120" i="8" s="1"/>
  <c r="AR76" i="4"/>
  <c r="AR77" i="4" s="1"/>
  <c r="AP112" i="8"/>
  <c r="AR78" i="4"/>
  <c r="AR79" i="4" s="1"/>
  <c r="AR81" i="4" s="1"/>
  <c r="AT90" i="8"/>
  <c r="AT87" i="8"/>
  <c r="AT88" i="8" s="1"/>
  <c r="AU85" i="8" s="1"/>
  <c r="AT91" i="8"/>
  <c r="AS149" i="8"/>
  <c r="AS93" i="8"/>
  <c r="AT139" i="8"/>
  <c r="AM129" i="8"/>
  <c r="AM130" i="8" s="1"/>
  <c r="AM131" i="8" s="1"/>
  <c r="AM132" i="8" s="1"/>
  <c r="AM134" i="8" s="1"/>
  <c r="AM159" i="8" s="1"/>
  <c r="AO96" i="4"/>
  <c r="AO97" i="4" s="1"/>
  <c r="AO98" i="4" s="1"/>
  <c r="AV75" i="8"/>
  <c r="AL123" i="4"/>
  <c r="AL141" i="4"/>
  <c r="AL121" i="4"/>
  <c r="AL122" i="4" s="1"/>
  <c r="AV76" i="8" l="1"/>
  <c r="AV77" i="8" s="1"/>
  <c r="AV165" i="8" s="1"/>
  <c r="AT92" i="8"/>
  <c r="AT149" i="8" s="1"/>
  <c r="AR165" i="4"/>
  <c r="AS74" i="4"/>
  <c r="AR82" i="4"/>
  <c r="AQ86" i="4" s="1"/>
  <c r="AN123" i="8"/>
  <c r="AN141" i="8"/>
  <c r="AN121" i="8"/>
  <c r="AN122" i="8" s="1"/>
  <c r="AO99" i="4"/>
  <c r="AN103" i="4" s="1"/>
  <c r="AP96" i="4"/>
  <c r="AP97" i="4" s="1"/>
  <c r="AP98" i="4" s="1"/>
  <c r="AS95" i="8"/>
  <c r="AP113" i="8"/>
  <c r="AP114" i="8" s="1"/>
  <c r="AP115" i="8" s="1"/>
  <c r="AV78" i="8"/>
  <c r="AV79" i="8" s="1"/>
  <c r="AV81" i="8" s="1"/>
  <c r="AU90" i="8"/>
  <c r="AU91" i="8"/>
  <c r="AM172" i="8"/>
  <c r="AM184" i="8" s="1"/>
  <c r="AM202" i="8" s="1"/>
  <c r="AM183" i="8"/>
  <c r="AQ106" i="8"/>
  <c r="AQ140" i="8"/>
  <c r="AQ145" i="8" s="1"/>
  <c r="AQ163" i="8" s="1"/>
  <c r="AQ104" i="8"/>
  <c r="AQ105" i="8" s="1"/>
  <c r="AL126" i="4"/>
  <c r="AL151" i="4" s="1"/>
  <c r="AL154" i="4" s="1"/>
  <c r="AL168" i="4" s="1"/>
  <c r="AM119" i="4"/>
  <c r="AL144" i="4"/>
  <c r="AW74" i="8" l="1"/>
  <c r="AW75" i="8" s="1"/>
  <c r="AT93" i="8"/>
  <c r="AT95" i="8" s="1"/>
  <c r="AT96" i="8" s="1"/>
  <c r="AT97" i="8" s="1"/>
  <c r="AV82" i="8"/>
  <c r="AU86" i="8" s="1"/>
  <c r="AN106" i="4"/>
  <c r="AN140" i="4"/>
  <c r="AN145" i="4" s="1"/>
  <c r="AN163" i="4" s="1"/>
  <c r="AN104" i="4"/>
  <c r="AN105" i="4" s="1"/>
  <c r="AN144" i="8"/>
  <c r="AQ146" i="8"/>
  <c r="AO119" i="8"/>
  <c r="AN126" i="8"/>
  <c r="AN151" i="8" s="1"/>
  <c r="AN154" i="8" s="1"/>
  <c r="AN168" i="8" s="1"/>
  <c r="AM201" i="8"/>
  <c r="AP116" i="8"/>
  <c r="AS96" i="8"/>
  <c r="AS97" i="8" s="1"/>
  <c r="AS98" i="8" s="1"/>
  <c r="AP99" i="4"/>
  <c r="AQ89" i="4"/>
  <c r="AQ139" i="4"/>
  <c r="AQ87" i="4"/>
  <c r="AQ88" i="4" s="1"/>
  <c r="AS75" i="4"/>
  <c r="AR102" i="8"/>
  <c r="AQ109" i="8"/>
  <c r="AL127" i="4"/>
  <c r="AL129" i="4" s="1"/>
  <c r="AL162" i="4"/>
  <c r="AM124" i="4"/>
  <c r="AM125" i="4"/>
  <c r="E189" i="8" l="1" a="1"/>
  <c r="E189" i="8" s="1"/>
  <c r="D189" i="8" a="1"/>
  <c r="D189" i="8" s="1"/>
  <c r="AN162" i="8"/>
  <c r="AQ164" i="8"/>
  <c r="AO120" i="8"/>
  <c r="AO121" i="8" s="1"/>
  <c r="AO122" i="8" s="1"/>
  <c r="AW78" i="8"/>
  <c r="AW79" i="8" s="1"/>
  <c r="AW81" i="8" s="1"/>
  <c r="C189" i="8"/>
  <c r="AW76" i="8"/>
  <c r="AW77" i="8" s="1"/>
  <c r="AW165" i="8" s="1"/>
  <c r="AR85" i="4"/>
  <c r="AQ92" i="4"/>
  <c r="AQ149" i="4" s="1"/>
  <c r="AS99" i="8"/>
  <c r="AR103" i="8" s="1"/>
  <c r="AQ150" i="8"/>
  <c r="AQ110" i="8"/>
  <c r="AT98" i="8"/>
  <c r="AN146" i="4"/>
  <c r="AR108" i="8"/>
  <c r="AR107" i="8"/>
  <c r="AS78" i="4"/>
  <c r="AS79" i="4" s="1"/>
  <c r="AS81" i="4" s="1"/>
  <c r="AS76" i="4"/>
  <c r="AS77" i="4" s="1"/>
  <c r="AO102" i="4"/>
  <c r="AO103" i="4" s="1"/>
  <c r="AN109" i="4"/>
  <c r="AO125" i="8"/>
  <c r="AO124" i="8"/>
  <c r="AN127" i="8"/>
  <c r="AU89" i="8"/>
  <c r="AU139" i="8"/>
  <c r="AU87" i="8"/>
  <c r="AU88" i="8" s="1"/>
  <c r="AL130" i="4"/>
  <c r="AL131" i="4" s="1"/>
  <c r="AL132" i="4" s="1"/>
  <c r="AL134" i="4" s="1"/>
  <c r="AL159" i="4" s="1"/>
  <c r="AQ156" i="8" l="1"/>
  <c r="AQ170" i="8" s="1"/>
  <c r="AQ155" i="8"/>
  <c r="AQ169" i="8" s="1"/>
  <c r="AO106" i="4"/>
  <c r="AO140" i="4"/>
  <c r="AO141" i="8"/>
  <c r="AO123" i="8"/>
  <c r="AQ93" i="4"/>
  <c r="AQ95" i="4" s="1"/>
  <c r="AW82" i="8"/>
  <c r="AP119" i="8"/>
  <c r="AO126" i="8"/>
  <c r="AO151" i="8" s="1"/>
  <c r="AO154" i="8" s="1"/>
  <c r="AO168" i="8" s="1"/>
  <c r="AN129" i="8"/>
  <c r="AR106" i="8"/>
  <c r="AR140" i="8"/>
  <c r="AR145" i="8" s="1"/>
  <c r="AR163" i="8" s="1"/>
  <c r="AT99" i="8"/>
  <c r="AS165" i="4"/>
  <c r="AT74" i="4"/>
  <c r="AV85" i="8"/>
  <c r="AU92" i="8"/>
  <c r="AO104" i="4"/>
  <c r="AO105" i="4" s="1"/>
  <c r="AO107" i="4"/>
  <c r="AO108" i="4"/>
  <c r="AR104" i="8"/>
  <c r="AR105" i="8" s="1"/>
  <c r="AN164" i="4"/>
  <c r="AS82" i="4"/>
  <c r="AR86" i="4" s="1"/>
  <c r="AR87" i="4" s="1"/>
  <c r="AR88" i="4" s="1"/>
  <c r="AQ112" i="8"/>
  <c r="AN150" i="4"/>
  <c r="AN110" i="4"/>
  <c r="AO144" i="8"/>
  <c r="AR91" i="4"/>
  <c r="AR90" i="4"/>
  <c r="AL183" i="4"/>
  <c r="AL172" i="4"/>
  <c r="AL184" i="4" s="1"/>
  <c r="AL202" i="4" s="1"/>
  <c r="AO146" i="4" l="1"/>
  <c r="AO164" i="4" s="1"/>
  <c r="AO145" i="4"/>
  <c r="AO163" i="4" s="1"/>
  <c r="AN156" i="4"/>
  <c r="AN170" i="4" s="1"/>
  <c r="AN155" i="4"/>
  <c r="AN169" i="4" s="1"/>
  <c r="AV86" i="8"/>
  <c r="AV87" i="8" s="1"/>
  <c r="AV88" i="8" s="1"/>
  <c r="AO162" i="8"/>
  <c r="AP102" i="4"/>
  <c r="AO109" i="4"/>
  <c r="AO150" i="4" s="1"/>
  <c r="AS85" i="4"/>
  <c r="AR92" i="4"/>
  <c r="AR149" i="4" s="1"/>
  <c r="AQ113" i="8"/>
  <c r="AQ114" i="8" s="1"/>
  <c r="AQ115" i="8" s="1"/>
  <c r="AU149" i="8"/>
  <c r="AU93" i="8"/>
  <c r="AR146" i="8"/>
  <c r="AS102" i="8"/>
  <c r="AS103" i="8" s="1"/>
  <c r="AR109" i="8"/>
  <c r="AN112" i="4"/>
  <c r="AR89" i="4"/>
  <c r="AR139" i="4"/>
  <c r="AV90" i="8"/>
  <c r="AV91" i="8"/>
  <c r="AQ96" i="4"/>
  <c r="AQ97" i="4" s="1"/>
  <c r="AQ98" i="4" s="1"/>
  <c r="AN130" i="8"/>
  <c r="AN131" i="8" s="1"/>
  <c r="AN132" i="8" s="1"/>
  <c r="AN134" i="8" s="1"/>
  <c r="AN159" i="8" s="1"/>
  <c r="AP125" i="8"/>
  <c r="AP124" i="8"/>
  <c r="AT75" i="4"/>
  <c r="AT76" i="4" s="1"/>
  <c r="AT77" i="4" s="1"/>
  <c r="AO127" i="8"/>
  <c r="AL201" i="4"/>
  <c r="AW139" i="8" l="1"/>
  <c r="AV139" i="8"/>
  <c r="AV89" i="8"/>
  <c r="AO156" i="4"/>
  <c r="AO170" i="4" s="1"/>
  <c r="AO155" i="4"/>
  <c r="AO169" i="4" s="1"/>
  <c r="AR164" i="8"/>
  <c r="AO110" i="4"/>
  <c r="AO112" i="4" s="1"/>
  <c r="AO113" i="4" s="1"/>
  <c r="AO114" i="4" s="1"/>
  <c r="AV92" i="8"/>
  <c r="AV149" i="8" s="1"/>
  <c r="AW85" i="8"/>
  <c r="AR93" i="4"/>
  <c r="AR95" i="4" s="1"/>
  <c r="AT165" i="4"/>
  <c r="AU74" i="4"/>
  <c r="AU95" i="8"/>
  <c r="AN172" i="8"/>
  <c r="AN184" i="8" s="1"/>
  <c r="AN202" i="8" s="1"/>
  <c r="AN183" i="8"/>
  <c r="AQ99" i="4"/>
  <c r="AP103" i="4" s="1"/>
  <c r="AP104" i="4" s="1"/>
  <c r="AP105" i="4" s="1"/>
  <c r="AQ102" i="4" s="1"/>
  <c r="AN113" i="4"/>
  <c r="AN114" i="4" s="1"/>
  <c r="AN115" i="4" s="1"/>
  <c r="AS91" i="4"/>
  <c r="AS90" i="4"/>
  <c r="AO129" i="8"/>
  <c r="AR150" i="8"/>
  <c r="AR110" i="8"/>
  <c r="AQ116" i="8"/>
  <c r="AP120" i="8" s="1"/>
  <c r="AS106" i="8"/>
  <c r="AS140" i="8"/>
  <c r="AS145" i="8" s="1"/>
  <c r="AS163" i="8" s="1"/>
  <c r="AT78" i="4"/>
  <c r="AT79" i="4" s="1"/>
  <c r="AT81" i="4" s="1"/>
  <c r="AS104" i="8"/>
  <c r="AS105" i="8" s="1"/>
  <c r="AS108" i="8"/>
  <c r="AS107" i="8"/>
  <c r="AP107" i="4"/>
  <c r="AP108" i="4"/>
  <c r="AR156" i="8" l="1"/>
  <c r="AR170" i="8" s="1"/>
  <c r="AR155" i="8"/>
  <c r="AR169" i="8" s="1"/>
  <c r="AV93" i="8"/>
  <c r="AV95" i="8" s="1"/>
  <c r="AV96" i="8" s="1"/>
  <c r="AV97" i="8" s="1"/>
  <c r="E192" i="8" a="1"/>
  <c r="E192" i="8" s="1"/>
  <c r="D192" i="8" a="1"/>
  <c r="D192" i="8" s="1"/>
  <c r="AO115" i="4"/>
  <c r="AW91" i="8"/>
  <c r="AW90" i="8"/>
  <c r="AW87" i="8"/>
  <c r="AW88" i="8" s="1"/>
  <c r="AW92" i="8" s="1"/>
  <c r="AW149" i="8" s="1"/>
  <c r="AT102" i="8"/>
  <c r="AS109" i="8"/>
  <c r="AS150" i="8" s="1"/>
  <c r="AT82" i="4"/>
  <c r="AS86" i="4" s="1"/>
  <c r="AS146" i="8"/>
  <c r="AU96" i="8"/>
  <c r="AU97" i="8" s="1"/>
  <c r="AU98" i="8" s="1"/>
  <c r="AR96" i="4"/>
  <c r="AR97" i="4" s="1"/>
  <c r="AR98" i="4" s="1"/>
  <c r="AQ107" i="4"/>
  <c r="AQ108" i="4"/>
  <c r="AN116" i="4"/>
  <c r="AM120" i="4" s="1"/>
  <c r="AU75" i="4"/>
  <c r="AU76" i="4" s="1"/>
  <c r="AO130" i="8"/>
  <c r="AO131" i="8" s="1"/>
  <c r="AO132" i="8" s="1"/>
  <c r="AO134" i="8" s="1"/>
  <c r="AO159" i="8" s="1"/>
  <c r="AN201" i="8"/>
  <c r="AP109" i="4"/>
  <c r="AP150" i="4" s="1"/>
  <c r="AP123" i="8"/>
  <c r="AP141" i="8"/>
  <c r="AP121" i="8"/>
  <c r="AP122" i="8" s="1"/>
  <c r="AR112" i="8"/>
  <c r="AP106" i="4"/>
  <c r="AP140" i="4"/>
  <c r="AP145" i="4" s="1"/>
  <c r="AP163" i="4" s="1"/>
  <c r="AP156" i="4" l="1"/>
  <c r="AP170" i="4" s="1"/>
  <c r="AP155" i="4"/>
  <c r="AP169" i="4" s="1"/>
  <c r="AS156" i="8"/>
  <c r="AS170" i="8" s="1"/>
  <c r="AS155" i="8"/>
  <c r="AS169" i="8" s="1"/>
  <c r="AV98" i="8"/>
  <c r="AS110" i="8"/>
  <c r="AS112" i="8" s="1"/>
  <c r="AS113" i="8" s="1"/>
  <c r="AS114" i="8" s="1"/>
  <c r="AS164" i="8"/>
  <c r="AO116" i="4"/>
  <c r="AW93" i="8"/>
  <c r="AW95" i="8" s="1"/>
  <c r="AU99" i="8"/>
  <c r="AT103" i="8" s="1"/>
  <c r="AT104" i="8" s="1"/>
  <c r="AT105" i="8" s="1"/>
  <c r="AU102" i="8" s="1"/>
  <c r="AQ119" i="8"/>
  <c r="AP126" i="8"/>
  <c r="AO172" i="8"/>
  <c r="AO184" i="8" s="1"/>
  <c r="AO202" i="8" s="1"/>
  <c r="AO183" i="8"/>
  <c r="AS89" i="4"/>
  <c r="AS139" i="4"/>
  <c r="AS87" i="4"/>
  <c r="AS88" i="4" s="1"/>
  <c r="AR113" i="8"/>
  <c r="AR114" i="8" s="1"/>
  <c r="AR115" i="8" s="1"/>
  <c r="AP146" i="4"/>
  <c r="AP110" i="4"/>
  <c r="AR99" i="4"/>
  <c r="AQ103" i="4" s="1"/>
  <c r="AU78" i="4"/>
  <c r="AU79" i="4" s="1"/>
  <c r="AU81" i="4" s="1"/>
  <c r="AU77" i="4"/>
  <c r="AP144" i="8"/>
  <c r="AM123" i="4"/>
  <c r="AM141" i="4"/>
  <c r="AM121" i="4"/>
  <c r="AM122" i="4" s="1"/>
  <c r="AT108" i="8"/>
  <c r="AT107" i="8"/>
  <c r="AP162" i="8" l="1"/>
  <c r="AV99" i="8"/>
  <c r="AU103" i="8" s="1"/>
  <c r="AS115" i="8"/>
  <c r="AW96" i="8"/>
  <c r="AW97" i="8" s="1"/>
  <c r="AW98" i="8" s="1"/>
  <c r="AU82" i="4"/>
  <c r="AU108" i="8"/>
  <c r="AU107" i="8"/>
  <c r="AQ106" i="4"/>
  <c r="AQ140" i="4"/>
  <c r="AQ145" i="4" s="1"/>
  <c r="AQ163" i="4" s="1"/>
  <c r="AQ104" i="4"/>
  <c r="AQ105" i="4" s="1"/>
  <c r="AQ125" i="8"/>
  <c r="AQ124" i="8"/>
  <c r="AT109" i="8"/>
  <c r="AT150" i="8" s="1"/>
  <c r="AT85" i="4"/>
  <c r="AS92" i="4"/>
  <c r="AM144" i="4"/>
  <c r="AP112" i="4"/>
  <c r="AP164" i="4"/>
  <c r="AR116" i="8"/>
  <c r="AQ120" i="8" s="1"/>
  <c r="AP151" i="8"/>
  <c r="AP154" i="8" s="1"/>
  <c r="AP168" i="8" s="1"/>
  <c r="AP127" i="8"/>
  <c r="AM126" i="4"/>
  <c r="AN119" i="4"/>
  <c r="AN120" i="4" s="1"/>
  <c r="AO201" i="8"/>
  <c r="AV74" i="4"/>
  <c r="AU165" i="4"/>
  <c r="AT106" i="8"/>
  <c r="AT140" i="8"/>
  <c r="AT146" i="8" l="1"/>
  <c r="AT164" i="8" s="1"/>
  <c r="AT145" i="8"/>
  <c r="AT163" i="8" s="1"/>
  <c r="AT156" i="8"/>
  <c r="AT170" i="8" s="1"/>
  <c r="AT155" i="8"/>
  <c r="AT169" i="8" s="1"/>
  <c r="AT86" i="4"/>
  <c r="AT139" i="4" s="1"/>
  <c r="AN123" i="4"/>
  <c r="AN141" i="4"/>
  <c r="AN144" i="4" s="1"/>
  <c r="AN162" i="4" s="1"/>
  <c r="AT110" i="8"/>
  <c r="AT112" i="8" s="1"/>
  <c r="AW99" i="8"/>
  <c r="AS116" i="8"/>
  <c r="AR102" i="4"/>
  <c r="AQ109" i="4"/>
  <c r="AU106" i="8"/>
  <c r="AU140" i="8"/>
  <c r="AP129" i="8"/>
  <c r="AQ146" i="4"/>
  <c r="AQ123" i="8"/>
  <c r="AQ141" i="8"/>
  <c r="AQ144" i="8" s="1"/>
  <c r="AQ162" i="8" s="1"/>
  <c r="AU104" i="8"/>
  <c r="AU105" i="8" s="1"/>
  <c r="AS149" i="4"/>
  <c r="AS93" i="4"/>
  <c r="AT87" i="4"/>
  <c r="AT88" i="4" s="1"/>
  <c r="AT91" i="4"/>
  <c r="AT90" i="4"/>
  <c r="AV75" i="4"/>
  <c r="AV76" i="4" s="1"/>
  <c r="AQ121" i="8"/>
  <c r="AQ122" i="8" s="1"/>
  <c r="AP113" i="4"/>
  <c r="AP114" i="4" s="1"/>
  <c r="AP115" i="4" s="1"/>
  <c r="AN124" i="4"/>
  <c r="AN125" i="4"/>
  <c r="AN121" i="4"/>
  <c r="AN122" i="4" s="1"/>
  <c r="AM151" i="4"/>
  <c r="AM154" i="4" s="1"/>
  <c r="AM168" i="4" s="1"/>
  <c r="AM127" i="4"/>
  <c r="AM162" i="4"/>
  <c r="AT89" i="4"/>
  <c r="AU146" i="8" l="1"/>
  <c r="AU164" i="8" s="1"/>
  <c r="AU145" i="8"/>
  <c r="AU163" i="8" s="1"/>
  <c r="AV77" i="4"/>
  <c r="AV165" i="4" s="1"/>
  <c r="AV102" i="8"/>
  <c r="AV103" i="8" s="1"/>
  <c r="AU109" i="8"/>
  <c r="AU85" i="4"/>
  <c r="AT92" i="4"/>
  <c r="AT149" i="4" s="1"/>
  <c r="AP116" i="4"/>
  <c r="AO119" i="4"/>
  <c r="AN126" i="4"/>
  <c r="AN151" i="4" s="1"/>
  <c r="AN154" i="4" s="1"/>
  <c r="AN168" i="4" s="1"/>
  <c r="AT113" i="8"/>
  <c r="AT114" i="8" s="1"/>
  <c r="AT115" i="8" s="1"/>
  <c r="AM129" i="4"/>
  <c r="AM130" i="4" s="1"/>
  <c r="AM131" i="4" s="1"/>
  <c r="AM132" i="4" s="1"/>
  <c r="AM134" i="4" s="1"/>
  <c r="AM159" i="4" s="1"/>
  <c r="AS95" i="4"/>
  <c r="AP130" i="8"/>
  <c r="AP131" i="8" s="1"/>
  <c r="AP132" i="8" s="1"/>
  <c r="AP134" i="8" s="1"/>
  <c r="AP159" i="8" s="1"/>
  <c r="AV78" i="4"/>
  <c r="AV79" i="4" s="1"/>
  <c r="AV81" i="4" s="1"/>
  <c r="AQ150" i="4"/>
  <c r="AQ110" i="4"/>
  <c r="AR108" i="4"/>
  <c r="AR107" i="4"/>
  <c r="AR119" i="8"/>
  <c r="AQ126" i="8"/>
  <c r="AQ164" i="4"/>
  <c r="AQ156" i="4" l="1"/>
  <c r="AQ170" i="4" s="1"/>
  <c r="AQ155" i="4"/>
  <c r="AQ169" i="4" s="1"/>
  <c r="AO120" i="4"/>
  <c r="AW74" i="4"/>
  <c r="AT93" i="4"/>
  <c r="AT95" i="4" s="1"/>
  <c r="AV106" i="8"/>
  <c r="AW140" i="8"/>
  <c r="AV140" i="8"/>
  <c r="AW75" i="4"/>
  <c r="AW76" i="4" s="1"/>
  <c r="AP172" i="8"/>
  <c r="AP184" i="8" s="1"/>
  <c r="AP202" i="8" s="1"/>
  <c r="AP183" i="8"/>
  <c r="AT116" i="8"/>
  <c r="AQ151" i="8"/>
  <c r="AQ154" i="8" s="1"/>
  <c r="AQ168" i="8" s="1"/>
  <c r="AQ127" i="8"/>
  <c r="AR125" i="8"/>
  <c r="AR124" i="8"/>
  <c r="AR120" i="8"/>
  <c r="AR121" i="8" s="1"/>
  <c r="AO123" i="4"/>
  <c r="AO141" i="4"/>
  <c r="AN127" i="4"/>
  <c r="AO124" i="4"/>
  <c r="AO125" i="4"/>
  <c r="AO121" i="4"/>
  <c r="AO122" i="4" s="1"/>
  <c r="AP119" i="4" s="1"/>
  <c r="AU90" i="4"/>
  <c r="AU91" i="4"/>
  <c r="AV82" i="4"/>
  <c r="AU86" i="4" s="1"/>
  <c r="AS96" i="4"/>
  <c r="AS97" i="4" s="1"/>
  <c r="AS98" i="4" s="1"/>
  <c r="AQ112" i="4"/>
  <c r="AM183" i="4"/>
  <c r="AM172" i="4"/>
  <c r="AM184" i="4" s="1"/>
  <c r="AM202" i="4" s="1"/>
  <c r="AU150" i="8"/>
  <c r="AU110" i="8"/>
  <c r="AV104" i="8"/>
  <c r="AV105" i="8" s="1"/>
  <c r="AV108" i="8"/>
  <c r="AV107" i="8"/>
  <c r="AU156" i="8" l="1"/>
  <c r="AU170" i="8" s="1"/>
  <c r="AU155" i="8"/>
  <c r="AU169" i="8" s="1"/>
  <c r="AV145" i="8"/>
  <c r="AV163" i="8" s="1"/>
  <c r="C192" i="8"/>
  <c r="AW146" i="8"/>
  <c r="AW164" i="8" s="1"/>
  <c r="AW145" i="8"/>
  <c r="AW163" i="8" s="1"/>
  <c r="AR122" i="8"/>
  <c r="AS119" i="8" s="1"/>
  <c r="AS120" i="8" s="1"/>
  <c r="AW78" i="4"/>
  <c r="AW79" i="4" s="1"/>
  <c r="AW81" i="4" s="1"/>
  <c r="C189" i="4"/>
  <c r="E189" i="4" a="1"/>
  <c r="E189" i="4" s="1"/>
  <c r="D189" i="4" a="1"/>
  <c r="D189" i="4" s="1"/>
  <c r="AW77" i="4"/>
  <c r="AW165" i="4" s="1"/>
  <c r="AV146" i="8"/>
  <c r="AV164" i="8" s="1"/>
  <c r="C193" i="8"/>
  <c r="AV109" i="8"/>
  <c r="AV150" i="8" s="1"/>
  <c r="AW102" i="8"/>
  <c r="AO126" i="4"/>
  <c r="AO151" i="4" s="1"/>
  <c r="AO154" i="4" s="1"/>
  <c r="AO168" i="4" s="1"/>
  <c r="AM201" i="4"/>
  <c r="AQ113" i="4"/>
  <c r="AQ114" i="4" s="1"/>
  <c r="AQ115" i="4" s="1"/>
  <c r="AS99" i="4"/>
  <c r="AR103" i="4" s="1"/>
  <c r="AU89" i="4"/>
  <c r="AU139" i="4"/>
  <c r="AN129" i="4"/>
  <c r="AO144" i="4"/>
  <c r="AU87" i="4"/>
  <c r="AU88" i="4" s="1"/>
  <c r="AT96" i="4"/>
  <c r="AT97" i="4" s="1"/>
  <c r="AT98" i="4" s="1"/>
  <c r="AP125" i="4"/>
  <c r="AP124" i="4"/>
  <c r="AQ129" i="8"/>
  <c r="AU112" i="8"/>
  <c r="AP201" i="8"/>
  <c r="AR123" i="8"/>
  <c r="AR141" i="8"/>
  <c r="AR144" i="8" s="1"/>
  <c r="AR162" i="8" s="1"/>
  <c r="AV156" i="8" l="1"/>
  <c r="AV170" i="8" s="1"/>
  <c r="AV155" i="8"/>
  <c r="AV169" i="8" s="1"/>
  <c r="D193" i="8" a="1"/>
  <c r="D193" i="8" s="1"/>
  <c r="AS125" i="8"/>
  <c r="AS124" i="8"/>
  <c r="AS121" i="8"/>
  <c r="AS122" i="8" s="1"/>
  <c r="AT119" i="8" s="1"/>
  <c r="AR126" i="8"/>
  <c r="AR151" i="8" s="1"/>
  <c r="AR154" i="8" s="1"/>
  <c r="AR168" i="8" s="1"/>
  <c r="E193" i="8" a="1"/>
  <c r="E193" i="8" s="1"/>
  <c r="AW82" i="4"/>
  <c r="AV110" i="8"/>
  <c r="AW108" i="8"/>
  <c r="AW104" i="8"/>
  <c r="AW105" i="8" s="1"/>
  <c r="AW109" i="8" s="1"/>
  <c r="AW150" i="8" s="1"/>
  <c r="AW107" i="8"/>
  <c r="AQ116" i="4"/>
  <c r="AP120" i="4" s="1"/>
  <c r="AN130" i="4"/>
  <c r="AN131" i="4" s="1"/>
  <c r="AN132" i="4" s="1"/>
  <c r="AN134" i="4" s="1"/>
  <c r="AN159" i="4" s="1"/>
  <c r="AQ130" i="8"/>
  <c r="AQ131" i="8" s="1"/>
  <c r="AQ132" i="8" s="1"/>
  <c r="AQ134" i="8" s="1"/>
  <c r="AQ159" i="8" s="1"/>
  <c r="AO162" i="4"/>
  <c r="AR106" i="4"/>
  <c r="AR140" i="4"/>
  <c r="AR104" i="4"/>
  <c r="AR105" i="4" s="1"/>
  <c r="AV85" i="4"/>
  <c r="AU92" i="4"/>
  <c r="AT99" i="4"/>
  <c r="AU113" i="8"/>
  <c r="AU114" i="8" s="1"/>
  <c r="AU115" i="8" s="1"/>
  <c r="AS123" i="8"/>
  <c r="AS141" i="8"/>
  <c r="AS144" i="8" s="1"/>
  <c r="AS162" i="8" s="1"/>
  <c r="AO127" i="4"/>
  <c r="AR146" i="4" l="1"/>
  <c r="AR145" i="4"/>
  <c r="AR163" i="4" s="1"/>
  <c r="AW156" i="8"/>
  <c r="AW170" i="8" s="1"/>
  <c r="AW155" i="8"/>
  <c r="AW169" i="8" s="1"/>
  <c r="AV86" i="4"/>
  <c r="AV87" i="4" s="1"/>
  <c r="AV88" i="4" s="1"/>
  <c r="AR127" i="8"/>
  <c r="AR129" i="8" s="1"/>
  <c r="AR130" i="8" s="1"/>
  <c r="AR131" i="8" s="1"/>
  <c r="AS126" i="8"/>
  <c r="AS151" i="8" s="1"/>
  <c r="AS154" i="8" s="1"/>
  <c r="AS168" i="8" s="1"/>
  <c r="AV112" i="8"/>
  <c r="AV113" i="8" s="1"/>
  <c r="AV114" i="8" s="1"/>
  <c r="AW110" i="8"/>
  <c r="AW112" i="8" s="1"/>
  <c r="AV89" i="4"/>
  <c r="AW139" i="4"/>
  <c r="AV139" i="4"/>
  <c r="AU116" i="8"/>
  <c r="AT120" i="8" s="1"/>
  <c r="AT121" i="8" s="1"/>
  <c r="AN172" i="4"/>
  <c r="AN184" i="4" s="1"/>
  <c r="AN202" i="4" s="1"/>
  <c r="AN183" i="4"/>
  <c r="AQ183" i="8"/>
  <c r="AQ172" i="8"/>
  <c r="AQ184" i="8" s="1"/>
  <c r="AQ202" i="8" s="1"/>
  <c r="AO129" i="4"/>
  <c r="AP123" i="4"/>
  <c r="AP141" i="4"/>
  <c r="AP121" i="4"/>
  <c r="AP122" i="4" s="1"/>
  <c r="AR164" i="4"/>
  <c r="AV115" i="8"/>
  <c r="AS102" i="4"/>
  <c r="AS103" i="4" s="1"/>
  <c r="AR109" i="4"/>
  <c r="AR150" i="4" s="1"/>
  <c r="AV90" i="4"/>
  <c r="AV91" i="4"/>
  <c r="AU149" i="4"/>
  <c r="AU93" i="4"/>
  <c r="AT124" i="8"/>
  <c r="AT125" i="8"/>
  <c r="AS127" i="8" l="1"/>
  <c r="AR156" i="4"/>
  <c r="AR170" i="4" s="1"/>
  <c r="AR155" i="4"/>
  <c r="AR169" i="4" s="1"/>
  <c r="AS106" i="4"/>
  <c r="AS140" i="4"/>
  <c r="AR132" i="8"/>
  <c r="AR134" i="8" s="1"/>
  <c r="AR159" i="8" s="1"/>
  <c r="AR172" i="8" s="1"/>
  <c r="AR184" i="8" s="1"/>
  <c r="AR202" i="8" s="1"/>
  <c r="AS129" i="8"/>
  <c r="AS130" i="8" s="1"/>
  <c r="AS131" i="8" s="1"/>
  <c r="AS132" i="8" s="1"/>
  <c r="AS134" i="8" s="1"/>
  <c r="AS159" i="8" s="1"/>
  <c r="AS172" i="8" s="1"/>
  <c r="AS184" i="8" s="1"/>
  <c r="AS202" i="8" s="1"/>
  <c r="AR183" i="8"/>
  <c r="AR201" i="8" s="1"/>
  <c r="AQ201" i="8"/>
  <c r="AW113" i="8"/>
  <c r="AW114" i="8" s="1"/>
  <c r="AW115" i="8" s="1"/>
  <c r="AV92" i="4"/>
  <c r="AV149" i="4" s="1"/>
  <c r="AW85" i="4"/>
  <c r="AR110" i="4"/>
  <c r="AV116" i="8"/>
  <c r="AT123" i="8"/>
  <c r="AT141" i="8"/>
  <c r="AT144" i="8" s="1"/>
  <c r="AT162" i="8" s="1"/>
  <c r="AP144" i="4"/>
  <c r="AO130" i="4"/>
  <c r="AO131" i="4" s="1"/>
  <c r="AO132" i="4" s="1"/>
  <c r="AO134" i="4" s="1"/>
  <c r="AO159" i="4" s="1"/>
  <c r="AN201" i="4"/>
  <c r="AT122" i="8"/>
  <c r="AQ119" i="4"/>
  <c r="AP126" i="4"/>
  <c r="AP151" i="4" s="1"/>
  <c r="AP154" i="4" s="1"/>
  <c r="AP168" i="4" s="1"/>
  <c r="AU95" i="4"/>
  <c r="AS107" i="4"/>
  <c r="AS108" i="4"/>
  <c r="AS104" i="4"/>
  <c r="AS105" i="4" s="1"/>
  <c r="AT102" i="4" s="1"/>
  <c r="AS146" i="4" l="1"/>
  <c r="AS164" i="4" s="1"/>
  <c r="AS145" i="4"/>
  <c r="AS163" i="4" s="1"/>
  <c r="AS183" i="8"/>
  <c r="AS201" i="8" s="1"/>
  <c r="AV93" i="4"/>
  <c r="AV95" i="4" s="1"/>
  <c r="AV96" i="4" s="1"/>
  <c r="AV97" i="4" s="1"/>
  <c r="AW116" i="8"/>
  <c r="D192" i="4" a="1"/>
  <c r="D192" i="4" s="1"/>
  <c r="E192" i="4" a="1"/>
  <c r="E192" i="4" s="1"/>
  <c r="AW87" i="4"/>
  <c r="AW88" i="4" s="1"/>
  <c r="AW92" i="4" s="1"/>
  <c r="AW149" i="4" s="1"/>
  <c r="AW90" i="4"/>
  <c r="AW91" i="4"/>
  <c r="AO172" i="4"/>
  <c r="AO184" i="4" s="1"/>
  <c r="AO202" i="4" s="1"/>
  <c r="AO183" i="4"/>
  <c r="AP162" i="4"/>
  <c r="AU96" i="4"/>
  <c r="AU97" i="4" s="1"/>
  <c r="AU98" i="4" s="1"/>
  <c r="AR112" i="4"/>
  <c r="AQ125" i="4"/>
  <c r="AQ124" i="4"/>
  <c r="AU119" i="8"/>
  <c r="AU120" i="8" s="1"/>
  <c r="AT126" i="8"/>
  <c r="AT107" i="4"/>
  <c r="AT108" i="4"/>
  <c r="AS109" i="4"/>
  <c r="AS150" i="4" s="1"/>
  <c r="AP127" i="4"/>
  <c r="AS156" i="4" l="1"/>
  <c r="AS170" i="4" s="1"/>
  <c r="AS155" i="4"/>
  <c r="AS169" i="4" s="1"/>
  <c r="AW93" i="4"/>
  <c r="AW95" i="4" s="1"/>
  <c r="AV98" i="4"/>
  <c r="AU124" i="8"/>
  <c r="AU121" i="8"/>
  <c r="AU122" i="8" s="1"/>
  <c r="AV119" i="8" s="1"/>
  <c r="AV120" i="8" s="1"/>
  <c r="AU125" i="8"/>
  <c r="AR113" i="4"/>
  <c r="AR114" i="4" s="1"/>
  <c r="AR115" i="4" s="1"/>
  <c r="AP129" i="4"/>
  <c r="AU123" i="8"/>
  <c r="AU141" i="8"/>
  <c r="AU144" i="8" s="1"/>
  <c r="AU162" i="8" s="1"/>
  <c r="AT151" i="8"/>
  <c r="AT154" i="8" s="1"/>
  <c r="AT168" i="8" s="1"/>
  <c r="AT127" i="8"/>
  <c r="AU99" i="4"/>
  <c r="AT103" i="4" s="1"/>
  <c r="AS110" i="4"/>
  <c r="AO201" i="4"/>
  <c r="AV123" i="8" l="1"/>
  <c r="AW141" i="8"/>
  <c r="AW144" i="8" s="1"/>
  <c r="AV141" i="8"/>
  <c r="AV144" i="8" s="1"/>
  <c r="AV162" i="8" s="1"/>
  <c r="AW96" i="4"/>
  <c r="AW97" i="4" s="1"/>
  <c r="AW98" i="4" s="1"/>
  <c r="AR116" i="4"/>
  <c r="AQ120" i="4" s="1"/>
  <c r="AP130" i="4"/>
  <c r="AP131" i="4" s="1"/>
  <c r="AP132" i="4" s="1"/>
  <c r="AP134" i="4" s="1"/>
  <c r="AP159" i="4" s="1"/>
  <c r="AT106" i="4"/>
  <c r="AT140" i="4"/>
  <c r="AT104" i="4"/>
  <c r="AT105" i="4" s="1"/>
  <c r="AV124" i="8"/>
  <c r="AV121" i="8"/>
  <c r="AV122" i="8" s="1"/>
  <c r="AV125" i="8"/>
  <c r="AU126" i="8"/>
  <c r="AU151" i="8" s="1"/>
  <c r="AU154" i="8" s="1"/>
  <c r="AU168" i="8" s="1"/>
  <c r="AV99" i="4"/>
  <c r="AS112" i="4"/>
  <c r="AT129" i="8"/>
  <c r="AT146" i="4" l="1"/>
  <c r="AT164" i="4" s="1"/>
  <c r="AT145" i="4"/>
  <c r="AT163" i="4" s="1"/>
  <c r="C191" i="8"/>
  <c r="C194" i="8" s="1"/>
  <c r="AW162" i="8"/>
  <c r="E191" i="8" a="1"/>
  <c r="E191" i="8" s="1"/>
  <c r="D191" i="8" a="1"/>
  <c r="D191" i="8" s="1"/>
  <c r="AW99" i="4"/>
  <c r="AV126" i="8"/>
  <c r="AV151" i="8" s="1"/>
  <c r="AV154" i="8" s="1"/>
  <c r="AV168" i="8" s="1"/>
  <c r="AW119" i="8"/>
  <c r="AU102" i="4"/>
  <c r="AU103" i="4" s="1"/>
  <c r="AT109" i="4"/>
  <c r="AT150" i="4" s="1"/>
  <c r="AP172" i="4"/>
  <c r="AP184" i="4" s="1"/>
  <c r="AP202" i="4" s="1"/>
  <c r="AP183" i="4"/>
  <c r="AT130" i="8"/>
  <c r="AT131" i="8" s="1"/>
  <c r="AT132" i="8" s="1"/>
  <c r="AT134" i="8" s="1"/>
  <c r="AT159" i="8" s="1"/>
  <c r="AQ123" i="4"/>
  <c r="AQ141" i="4"/>
  <c r="AQ121" i="4"/>
  <c r="AQ122" i="4" s="1"/>
  <c r="AS113" i="4"/>
  <c r="AS114" i="4" s="1"/>
  <c r="AS115" i="4" s="1"/>
  <c r="AU127" i="8"/>
  <c r="AT156" i="4" l="1"/>
  <c r="AT170" i="4" s="1"/>
  <c r="AT155" i="4"/>
  <c r="AT169" i="4" s="1"/>
  <c r="AU106" i="4"/>
  <c r="AU140" i="4"/>
  <c r="AV127" i="8"/>
  <c r="AV129" i="8" s="1"/>
  <c r="AW121" i="8"/>
  <c r="AW122" i="8" s="1"/>
  <c r="AW126" i="8" s="1"/>
  <c r="AW151" i="8" s="1"/>
  <c r="AW154" i="8" s="1"/>
  <c r="AW168" i="8" s="1"/>
  <c r="AW124" i="8"/>
  <c r="AW125" i="8"/>
  <c r="AT172" i="8"/>
  <c r="AT184" i="8" s="1"/>
  <c r="AT202" i="8" s="1"/>
  <c r="AT183" i="8"/>
  <c r="AS116" i="4"/>
  <c r="AP201" i="4"/>
  <c r="AR119" i="4"/>
  <c r="AQ126" i="4"/>
  <c r="AQ151" i="4" s="1"/>
  <c r="AQ154" i="4" s="1"/>
  <c r="AQ168" i="4" s="1"/>
  <c r="AT110" i="4"/>
  <c r="AU129" i="8"/>
  <c r="AQ144" i="4"/>
  <c r="AU107" i="4"/>
  <c r="AU108" i="4"/>
  <c r="AU104" i="4"/>
  <c r="AU105" i="4" s="1"/>
  <c r="AV102" i="4" s="1"/>
  <c r="AV103" i="4" s="1"/>
  <c r="AU146" i="4" l="1"/>
  <c r="AU164" i="4" s="1"/>
  <c r="AU145" i="4"/>
  <c r="AU163" i="4" s="1"/>
  <c r="AR120" i="4"/>
  <c r="AV140" i="4"/>
  <c r="C192" i="4" s="1"/>
  <c r="AV106" i="4"/>
  <c r="AW140" i="4"/>
  <c r="C193" i="4"/>
  <c r="AT201" i="8"/>
  <c r="AW127" i="8"/>
  <c r="AW129" i="8" s="1"/>
  <c r="AU109" i="4"/>
  <c r="AU150" i="4" s="1"/>
  <c r="AR121" i="4"/>
  <c r="AR122" i="4" s="1"/>
  <c r="AS119" i="4" s="1"/>
  <c r="AR125" i="4"/>
  <c r="AR124" i="4"/>
  <c r="AV104" i="4"/>
  <c r="AV105" i="4" s="1"/>
  <c r="AV108" i="4"/>
  <c r="AV107" i="4"/>
  <c r="E193" i="4" a="1"/>
  <c r="E193" i="4" s="1"/>
  <c r="D193" i="4" a="1"/>
  <c r="D193" i="4" s="1"/>
  <c r="AR123" i="4"/>
  <c r="AR141" i="4"/>
  <c r="AQ162" i="4"/>
  <c r="AU130" i="8"/>
  <c r="AU131" i="8" s="1"/>
  <c r="AV130" i="8"/>
  <c r="AV131" i="8" s="1"/>
  <c r="AT112" i="4"/>
  <c r="AQ127" i="4"/>
  <c r="AW146" i="4" l="1"/>
  <c r="AW164" i="4" s="1"/>
  <c r="AW145" i="4"/>
  <c r="AW163" i="4" s="1"/>
  <c r="AU156" i="4"/>
  <c r="AU170" i="4" s="1"/>
  <c r="AU155" i="4"/>
  <c r="AU169" i="4" s="1"/>
  <c r="AV145" i="4"/>
  <c r="AV163" i="4" s="1"/>
  <c r="AV146" i="4"/>
  <c r="AV164" i="4" s="1"/>
  <c r="AR126" i="4"/>
  <c r="AR151" i="4" s="1"/>
  <c r="AR154" i="4" s="1"/>
  <c r="AR168" i="4" s="1"/>
  <c r="AV109" i="4"/>
  <c r="AV150" i="4" s="1"/>
  <c r="AW102" i="4"/>
  <c r="AV132" i="8"/>
  <c r="AV134" i="8" s="1"/>
  <c r="AV159" i="8" s="1"/>
  <c r="AV183" i="8" s="1"/>
  <c r="AR127" i="4"/>
  <c r="AR129" i="4" s="1"/>
  <c r="AU110" i="4"/>
  <c r="AW130" i="8"/>
  <c r="AW131" i="8" s="1"/>
  <c r="AW132" i="8" s="1"/>
  <c r="AW134" i="8" s="1"/>
  <c r="AW159" i="8" s="1"/>
  <c r="AU132" i="8"/>
  <c r="AU134" i="8" s="1"/>
  <c r="AU159" i="8" s="1"/>
  <c r="AS125" i="4"/>
  <c r="AS124" i="4"/>
  <c r="AR144" i="4"/>
  <c r="AQ129" i="4"/>
  <c r="AT113" i="4"/>
  <c r="AT114" i="4" s="1"/>
  <c r="AV156" i="4" l="1"/>
  <c r="AV170" i="4" s="1"/>
  <c r="AV155" i="4"/>
  <c r="AV169" i="4" s="1"/>
  <c r="AV110" i="4"/>
  <c r="AV172" i="8"/>
  <c r="AV184" i="8" s="1"/>
  <c r="AV202" i="8" s="1"/>
  <c r="AV112" i="4"/>
  <c r="AV113" i="4" s="1"/>
  <c r="AV114" i="4" s="1"/>
  <c r="AW172" i="8"/>
  <c r="AW184" i="8" s="1"/>
  <c r="AW202" i="8" s="1"/>
  <c r="AW183" i="8"/>
  <c r="AW201" i="8" s="1"/>
  <c r="AW107" i="4"/>
  <c r="AW108" i="4"/>
  <c r="AW104" i="4"/>
  <c r="AW105" i="4" s="1"/>
  <c r="AW109" i="4" s="1"/>
  <c r="AW150" i="4" s="1"/>
  <c r="AU112" i="4"/>
  <c r="AU113" i="4" s="1"/>
  <c r="AU114" i="4" s="1"/>
  <c r="AR162" i="4"/>
  <c r="AU183" i="8"/>
  <c r="AU172" i="8"/>
  <c r="AU184" i="8" s="1"/>
  <c r="AU202" i="8" s="1"/>
  <c r="AQ130" i="4"/>
  <c r="AQ131" i="4" s="1"/>
  <c r="AT115" i="4"/>
  <c r="AR130" i="4"/>
  <c r="AR131" i="4" s="1"/>
  <c r="AV201" i="8"/>
  <c r="AW156" i="4" l="1"/>
  <c r="AW170" i="4" s="1"/>
  <c r="AW155" i="4"/>
  <c r="AW169" i="4" s="1"/>
  <c r="C185" i="8"/>
  <c r="AU201" i="8"/>
  <c r="C186" i="8" a="1"/>
  <c r="C186" i="8" s="1"/>
  <c r="AW110" i="4"/>
  <c r="AW112" i="4" s="1"/>
  <c r="AU115" i="4"/>
  <c r="AV115" i="4"/>
  <c r="AR132" i="4"/>
  <c r="AR134" i="4" s="1"/>
  <c r="AR159" i="4" s="1"/>
  <c r="AR172" i="4" s="1"/>
  <c r="AR184" i="4" s="1"/>
  <c r="AR202" i="4" s="1"/>
  <c r="AQ132" i="4"/>
  <c r="AQ134" i="4" s="1"/>
  <c r="AQ159" i="4" s="1"/>
  <c r="AT116" i="4"/>
  <c r="AR183" i="4" l="1"/>
  <c r="AR201" i="4" s="1"/>
  <c r="AW113" i="4"/>
  <c r="AW114" i="4" s="1"/>
  <c r="AW115" i="4" s="1"/>
  <c r="AS120" i="4"/>
  <c r="AU116" i="4"/>
  <c r="AQ172" i="4"/>
  <c r="AQ184" i="4" s="1"/>
  <c r="AQ202" i="4" s="1"/>
  <c r="AQ183" i="4"/>
  <c r="AV116" i="4" l="1"/>
  <c r="AQ201" i="4"/>
  <c r="AS123" i="4"/>
  <c r="AS141" i="4"/>
  <c r="AS144" i="4" s="1"/>
  <c r="AS162" i="4" s="1"/>
  <c r="AS121" i="4"/>
  <c r="AS122" i="4" s="1"/>
  <c r="AW116" i="4" l="1"/>
  <c r="AT119" i="4"/>
  <c r="AT120" i="4" s="1"/>
  <c r="AS126" i="4"/>
  <c r="AS151" i="4" s="1"/>
  <c r="AS154" i="4" s="1"/>
  <c r="AS168" i="4" s="1"/>
  <c r="AV144" i="4"/>
  <c r="AT123" i="4" l="1"/>
  <c r="AT141" i="4"/>
  <c r="AT144" i="4" s="1"/>
  <c r="AT162" i="4" s="1"/>
  <c r="AS127" i="4"/>
  <c r="AS129" i="4" s="1"/>
  <c r="AV162" i="4"/>
  <c r="AT121" i="4"/>
  <c r="AT122" i="4" s="1"/>
  <c r="AT125" i="4"/>
  <c r="AT124" i="4"/>
  <c r="AW144" i="4" l="1"/>
  <c r="C191" i="4"/>
  <c r="C194" i="4" s="1"/>
  <c r="AU119" i="4"/>
  <c r="AU120" i="4" s="1"/>
  <c r="AT126" i="4"/>
  <c r="AT151" i="4" s="1"/>
  <c r="AT154" i="4" s="1"/>
  <c r="AT168" i="4" s="1"/>
  <c r="AS130" i="4"/>
  <c r="AS131" i="4" s="1"/>
  <c r="AS132" i="4" s="1"/>
  <c r="AS134" i="4" s="1"/>
  <c r="AS159" i="4" s="1"/>
  <c r="AU123" i="4" l="1"/>
  <c r="AU141" i="4"/>
  <c r="AU144" i="4" s="1"/>
  <c r="AU162" i="4" s="1"/>
  <c r="AW162" i="4"/>
  <c r="D191" i="4" a="1"/>
  <c r="D191" i="4" s="1"/>
  <c r="E191" i="4" a="1"/>
  <c r="E191" i="4" s="1"/>
  <c r="AS183" i="4"/>
  <c r="AS201" i="4" s="1"/>
  <c r="AS172" i="4"/>
  <c r="AS184" i="4" s="1"/>
  <c r="AS202" i="4" s="1"/>
  <c r="AT127" i="4"/>
  <c r="AU125" i="4"/>
  <c r="AU121" i="4"/>
  <c r="AU122" i="4" s="1"/>
  <c r="AU124" i="4"/>
  <c r="AV119" i="4" l="1"/>
  <c r="AV120" i="4" s="1"/>
  <c r="AU126" i="4"/>
  <c r="AU151" i="4" s="1"/>
  <c r="AU154" i="4" s="1"/>
  <c r="AU168" i="4" s="1"/>
  <c r="AT129" i="4"/>
  <c r="AU127" i="4"/>
  <c r="AU129" i="4" s="1"/>
  <c r="AV141" i="4" l="1"/>
  <c r="AV123" i="4"/>
  <c r="AW141" i="4"/>
  <c r="AU130" i="4"/>
  <c r="AU131" i="4" s="1"/>
  <c r="AT130" i="4"/>
  <c r="AT131" i="4" s="1"/>
  <c r="AU132" i="4" s="1"/>
  <c r="AU134" i="4" s="1"/>
  <c r="AU159" i="4" s="1"/>
  <c r="AV121" i="4"/>
  <c r="AV122" i="4" s="1"/>
  <c r="AV125" i="4"/>
  <c r="AV124" i="4"/>
  <c r="AV126" i="4" l="1"/>
  <c r="AV151" i="4" s="1"/>
  <c r="AV154" i="4" s="1"/>
  <c r="AV168" i="4" s="1"/>
  <c r="AW119" i="4"/>
  <c r="AT132" i="4"/>
  <c r="AT134" i="4" s="1"/>
  <c r="AT159" i="4" s="1"/>
  <c r="AT183" i="4" s="1"/>
  <c r="AT201" i="4" s="1"/>
  <c r="AU183" i="4"/>
  <c r="AU201" i="4" s="1"/>
  <c r="AU172" i="4"/>
  <c r="AU184" i="4" s="1"/>
  <c r="AU202" i="4" s="1"/>
  <c r="AV127" i="4"/>
  <c r="AV129" i="4" s="1"/>
  <c r="AT172" i="4" l="1"/>
  <c r="AT184" i="4" s="1"/>
  <c r="AT202" i="4" s="1"/>
  <c r="AW124" i="4"/>
  <c r="AW125" i="4"/>
  <c r="AW121" i="4"/>
  <c r="AW122" i="4" s="1"/>
  <c r="AW126" i="4" s="1"/>
  <c r="AW151" i="4" s="1"/>
  <c r="AW154" i="4" s="1"/>
  <c r="AW168" i="4" s="1"/>
  <c r="AV130" i="4"/>
  <c r="AV131" i="4" s="1"/>
  <c r="AV132" i="4" s="1"/>
  <c r="AV134" i="4" s="1"/>
  <c r="AV159" i="4" s="1"/>
  <c r="AW127" i="4" l="1"/>
  <c r="AW129" i="4" s="1"/>
  <c r="AV183" i="4"/>
  <c r="AV172" i="4"/>
  <c r="AV184" i="4" s="1"/>
  <c r="AV202" i="4" s="1"/>
  <c r="AW130" i="4" l="1"/>
  <c r="AW131" i="4" s="1"/>
  <c r="AW132" i="4" s="1"/>
  <c r="AW134" i="4" s="1"/>
  <c r="AW159" i="4" s="1"/>
  <c r="AV201" i="4"/>
  <c r="AW183" i="4" l="1"/>
  <c r="AW172" i="4"/>
  <c r="AW184" i="4" s="1"/>
  <c r="AW202" i="4" s="1"/>
  <c r="AW201" i="4" l="1"/>
  <c r="C185" i="4"/>
  <c r="C186" i="4" a="1"/>
  <c r="C18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<sst xmlns="http://schemas.openxmlformats.org/spreadsheetml/2006/main" count="439" uniqueCount="172">
  <si>
    <t>Stock market investments</t>
  </si>
  <si>
    <t>Age</t>
  </si>
  <si>
    <t>Home loan</t>
  </si>
  <si>
    <t>Credit card balances</t>
  </si>
  <si>
    <t>more / less than current</t>
  </si>
  <si>
    <t>Housing rent</t>
  </si>
  <si>
    <t>Year</t>
  </si>
  <si>
    <t>Home</t>
  </si>
  <si>
    <t>Interest on cash balances</t>
  </si>
  <si>
    <t>Cash</t>
  </si>
  <si>
    <t>Cash b/fwd</t>
  </si>
  <si>
    <t>Cash c/fwd</t>
  </si>
  <si>
    <t>Stock market equity investments</t>
  </si>
  <si>
    <t>Home loan repayment</t>
  </si>
  <si>
    <t>Net from other work</t>
  </si>
  <si>
    <t>Continue other work until age</t>
  </si>
  <si>
    <t>Living expenses</t>
  </si>
  <si>
    <t>Inflows</t>
  </si>
  <si>
    <t>Outflows</t>
  </si>
  <si>
    <t>Net Cash Flow</t>
  </si>
  <si>
    <t>General inflatiion</t>
  </si>
  <si>
    <t>Liquidation required</t>
  </si>
  <si>
    <t>Liquidations</t>
  </si>
  <si>
    <t>b/fwd</t>
  </si>
  <si>
    <t>Disposals</t>
  </si>
  <si>
    <t>Growth</t>
  </si>
  <si>
    <t>c/fwd</t>
  </si>
  <si>
    <t>Disposal costs</t>
  </si>
  <si>
    <t>Stock market equity</t>
  </si>
  <si>
    <t>Net worth</t>
  </si>
  <si>
    <t>Value</t>
  </si>
  <si>
    <t>Liquidations required to fund retirement</t>
  </si>
  <si>
    <t>Name</t>
  </si>
  <si>
    <t>Home current market value</t>
  </si>
  <si>
    <t>Rental income foregone</t>
  </si>
  <si>
    <t>Cash runs out at age</t>
  </si>
  <si>
    <t>Dependents</t>
  </si>
  <si>
    <t>Home loan (mortgage)</t>
  </si>
  <si>
    <t>Other loan</t>
  </si>
  <si>
    <t>Other loan repayment</t>
  </si>
  <si>
    <t>Loan repayment</t>
  </si>
  <si>
    <t>Net proceeds</t>
  </si>
  <si>
    <t>Balance</t>
  </si>
  <si>
    <t>Plan to live until age</t>
  </si>
  <si>
    <t>Dependent 1</t>
  </si>
  <si>
    <t>Dependent 2</t>
  </si>
  <si>
    <t>Dependent 3</t>
  </si>
  <si>
    <t>Property 1</t>
  </si>
  <si>
    <t>Property 2</t>
  </si>
  <si>
    <t>Property 3</t>
  </si>
  <si>
    <t>Amount</t>
  </si>
  <si>
    <t>Net employment / self-employment income</t>
  </si>
  <si>
    <t>Other post-retirement income</t>
  </si>
  <si>
    <t>if not a home owner</t>
  </si>
  <si>
    <t>Annual cost saved</t>
  </si>
  <si>
    <t>Property loan balances after liquidations</t>
  </si>
  <si>
    <t>Other property</t>
  </si>
  <si>
    <t>Other property loans repayments</t>
  </si>
  <si>
    <t>Dependents cost</t>
  </si>
  <si>
    <t>Other property costs</t>
  </si>
  <si>
    <t>Current baseline</t>
  </si>
  <si>
    <t>from 66-75</t>
  </si>
  <si>
    <t>from age 76</t>
  </si>
  <si>
    <t>Spending adjustment (at today's euros)</t>
  </si>
  <si>
    <t>Major one-off expense events</t>
  </si>
  <si>
    <t>Other property loans</t>
  </si>
  <si>
    <t>Net worth adjustments after liquidations</t>
  </si>
  <si>
    <t>Cum property loan repayments on liquidations</t>
  </si>
  <si>
    <t>Adjusted net worth</t>
  </si>
  <si>
    <t>Cum property disposals</t>
  </si>
  <si>
    <t>Property values after liquidations</t>
  </si>
  <si>
    <t>Property</t>
  </si>
  <si>
    <t>Without liquidations</t>
  </si>
  <si>
    <t>With liquidations</t>
  </si>
  <si>
    <t>Can you finance retirement?</t>
  </si>
  <si>
    <t>At Age</t>
  </si>
  <si>
    <t>Year*</t>
  </si>
  <si>
    <t>*  year of fist liquidations in case of stocks</t>
  </si>
  <si>
    <t>Charts</t>
  </si>
  <si>
    <t>Net rental income from other properties</t>
  </si>
  <si>
    <t>Credit cards cleared</t>
  </si>
  <si>
    <t xml:space="preserve">Enough cash to finance retirement? </t>
  </si>
  <si>
    <t>Net Worth before liquidations</t>
  </si>
  <si>
    <t>from now to 65</t>
  </si>
  <si>
    <t>Extra cash</t>
  </si>
  <si>
    <t>Extra interest</t>
  </si>
  <si>
    <t>Cash buffer at any time</t>
  </si>
  <si>
    <t>Cash available (after buffer)</t>
  </si>
  <si>
    <t>Outputs</t>
  </si>
  <si>
    <t>Full pension</t>
  </si>
  <si>
    <t>Pension reduction from early retirement</t>
  </si>
  <si>
    <t>QUICK START</t>
  </si>
  <si>
    <t>Your age</t>
  </si>
  <si>
    <t>Current net annual income</t>
  </si>
  <si>
    <t>Must be entered</t>
  </si>
  <si>
    <t>Net of tax, from employment or self-employment</t>
  </si>
  <si>
    <t>Total cash balances</t>
  </si>
  <si>
    <t>current and savings accounts, bonds, term deposits</t>
  </si>
  <si>
    <t>Current market value of equity portfolio</t>
  </si>
  <si>
    <t>Interest rate</t>
  </si>
  <si>
    <t>Monthly repayment</t>
  </si>
  <si>
    <t>Months remaining</t>
  </si>
  <si>
    <t>Years remaining</t>
  </si>
  <si>
    <t>Annual pension at retirement</t>
  </si>
  <si>
    <t>Net annual state pension entitlement</t>
  </si>
  <si>
    <t>Statutory retirement age</t>
  </si>
  <si>
    <t>Year at which pension starts</t>
  </si>
  <si>
    <t>DEEPER DIVE</t>
  </si>
  <si>
    <t>including inflation</t>
  </si>
  <si>
    <t>Years from now</t>
  </si>
  <si>
    <t>Leave blank if none</t>
  </si>
  <si>
    <t>Years to support</t>
  </si>
  <si>
    <t>Other income</t>
  </si>
  <si>
    <t>net annual after all costs and tax</t>
  </si>
  <si>
    <t>Annual living expenses</t>
  </si>
  <si>
    <t>Other loans</t>
  </si>
  <si>
    <t>Income Event 1</t>
  </si>
  <si>
    <t>Income Event 2</t>
  </si>
  <si>
    <t>Income Event 3</t>
  </si>
  <si>
    <t>Enter 0 or leave blank if none</t>
  </si>
  <si>
    <t>Expense Event 1</t>
  </si>
  <si>
    <t>Expense Event 2</t>
  </si>
  <si>
    <t>Expense Event 3</t>
  </si>
  <si>
    <t>Market value</t>
  </si>
  <si>
    <t>Annual costs</t>
  </si>
  <si>
    <t>Repairs, maintenance, etc.</t>
  </si>
  <si>
    <t xml:space="preserve">Investment Properties </t>
  </si>
  <si>
    <t>Other work income (net annual)</t>
  </si>
  <si>
    <t>FINER DETAILS</t>
  </si>
  <si>
    <t>Cash interest rate</t>
  </si>
  <si>
    <t>Stock market return</t>
  </si>
  <si>
    <t>Rental income annual increase</t>
  </si>
  <si>
    <t>Salary annual growth rate</t>
  </si>
  <si>
    <t>Property annual appreciation</t>
  </si>
  <si>
    <t>Pension reduction per year early</t>
  </si>
  <si>
    <t>From age</t>
  </si>
  <si>
    <t>To age</t>
  </si>
  <si>
    <t>Food, education, healthcare,
etc.</t>
  </si>
  <si>
    <t>Annual cost</t>
  </si>
  <si>
    <t>emergency reserve</t>
  </si>
  <si>
    <t>reduction in pension for each year retired early</t>
  </si>
  <si>
    <t>tax, broker and other fees</t>
  </si>
  <si>
    <t>Stock market selling costs</t>
  </si>
  <si>
    <t>Property disposal costs</t>
  </si>
  <si>
    <t xml:space="preserve">agency, tax, legal fees </t>
  </si>
  <si>
    <t>Property liquidation order</t>
  </si>
  <si>
    <t>0 = would never sell</t>
  </si>
  <si>
    <t>Major life expense events</t>
  </si>
  <si>
    <t>Major life income events</t>
  </si>
  <si>
    <t>Major one-off income events</t>
  </si>
  <si>
    <t>Part-time / consulting / side projects etc. Leave blank if none</t>
  </si>
  <si>
    <t>Assumed cleared in Year 1. Leave blank if none</t>
  </si>
  <si>
    <t>Leave blank if not a home owner</t>
  </si>
  <si>
    <t>Leave blank if no mortgage</t>
  </si>
  <si>
    <t>User Tooltips</t>
  </si>
  <si>
    <t>UI Notes</t>
  </si>
  <si>
    <t>Excel helpers</t>
  </si>
  <si>
    <t>Defaults</t>
  </si>
  <si>
    <t>Activated only if user wants to</t>
  </si>
  <si>
    <t>Works behind the scenes, show and allow edit if user wants to</t>
  </si>
  <si>
    <t>Hide until user enters dependent name</t>
  </si>
  <si>
    <t>Hide until user enters property name</t>
  </si>
  <si>
    <t>Show with property name only if name was entered</t>
  </si>
  <si>
    <t>Show only if other work income entered</t>
  </si>
  <si>
    <t>show only if not a home owner (B12="")</t>
  </si>
  <si>
    <t>Sliema</t>
  </si>
  <si>
    <t>Cash balance after disposals inc interest</t>
  </si>
  <si>
    <t>Retire at</t>
  </si>
  <si>
    <t>Cash available (after extra interest)</t>
  </si>
  <si>
    <t>Only show if value&gt;0 entered in B141</t>
  </si>
  <si>
    <t>User inputs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</si>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</sst>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\ ;\(#,##0\);\ \ \ \-\ "/>
    <numFmt numFmtId="165" formatCode="#,##0.0\ ;\(#,##0.0\);\ \ \ \-\ "/>
    <numFmt numFmtId="166" formatCode="0.0%"/>
    <numFmt numFmtId="167" formatCode="#,##0.00\ ;\(#,##0.00\);\ \ \ \-\ "/>
    <numFmt numFmtId="168" formatCode="0;0;"/>
    <numFmt numFmtId="169" formatCode=";;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0" tint="-0.499984740745262"/>
      <name val="Aptos Narrow"/>
      <scheme val="minor"/>
    </font>
    <font>
      <sz val="8"/>
      <name val="Aptos Narrow"/>
      <family val="2"/>
      <scheme val="minor"/>
    </font>
    <font>
      <sz val="12"/>
      <color rgb="FFC00000"/>
      <name val="Aptos Narrow"/>
      <scheme val="minor"/>
    </font>
    <font>
      <b/>
      <sz val="14"/>
      <color theme="1"/>
      <name val="Aptos Narrow"/>
      <scheme val="minor"/>
    </font>
    <font>
      <sz val="8"/>
      <color theme="0" tint="-0.249977111117893"/>
      <name val="Aptos Narrow"/>
      <scheme val="minor"/>
    </font>
    <font>
      <sz val="12"/>
      <name val="Aptos Narrow"/>
      <scheme val="minor"/>
    </font>
    <font>
      <i/>
      <sz val="10"/>
      <color theme="1"/>
      <name val="Aptos Narrow"/>
      <scheme val="minor"/>
    </font>
    <font>
      <sz val="12"/>
      <color rgb="FF9C5700"/>
      <name val="Aptos Narrow"/>
      <family val="2"/>
      <scheme val="minor"/>
    </font>
    <font>
      <sz val="12"/>
      <color rgb="FF000000"/>
      <name val="Aptos Narrow"/>
      <family val="2"/>
    </font>
    <font>
      <b/>
      <sz val="12"/>
      <name val="Aptos Narrow"/>
      <scheme val="minor"/>
    </font>
    <font>
      <b/>
      <sz val="22"/>
      <color theme="1"/>
      <name val="Aptos Narrow"/>
      <scheme val="minor"/>
    </font>
    <font>
      <b/>
      <sz val="10"/>
      <name val="Aptos Narrow"/>
      <scheme val="minor"/>
    </font>
    <font>
      <sz val="10"/>
      <name val="Aptos Narrow"/>
      <scheme val="minor"/>
    </font>
    <font>
      <b/>
      <sz val="10"/>
      <color theme="0" tint="-0.499984740745262"/>
      <name val="Aptos Narrow"/>
      <scheme val="minor"/>
    </font>
    <font>
      <sz val="10"/>
      <color theme="0" tint="-0.499984740745262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</patternFill>
    </fill>
    <fill>
      <patternFill patternType="solid">
        <fgColor rgb="FFFFFFC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ED6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3" borderId="0" applyNumberFormat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164" fontId="3" fillId="0" borderId="2" xfId="0" applyNumberFormat="1" applyFont="1" applyBorder="1" applyAlignment="1">
      <alignment horizontal="right"/>
    </xf>
    <xf numFmtId="43" fontId="3" fillId="0" borderId="0" xfId="2" applyFont="1" applyAlignment="1">
      <alignment horizontal="right"/>
    </xf>
    <xf numFmtId="164" fontId="2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left"/>
    </xf>
    <xf numFmtId="0" fontId="7" fillId="0" borderId="0" xfId="0" applyFont="1"/>
    <xf numFmtId="164" fontId="0" fillId="0" borderId="0" xfId="0" applyNumberFormat="1" applyAlignment="1">
      <alignment horizontal="right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0" fontId="9" fillId="0" borderId="0" xfId="0" applyFont="1" applyAlignment="1">
      <alignment horizontal="left" indent="2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 indent="3"/>
    </xf>
    <xf numFmtId="43" fontId="3" fillId="0" borderId="0" xfId="2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10" fillId="0" borderId="0" xfId="0" quotePrefix="1" applyNumberFormat="1" applyFont="1" applyAlignment="1">
      <alignment horizontal="left" indent="1"/>
    </xf>
    <xf numFmtId="0" fontId="3" fillId="0" borderId="3" xfId="0" applyFont="1" applyBorder="1" applyAlignment="1">
      <alignment horizontal="left" indent="1"/>
    </xf>
    <xf numFmtId="0" fontId="7" fillId="0" borderId="3" xfId="0" applyFont="1" applyBorder="1"/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right"/>
    </xf>
    <xf numFmtId="164" fontId="6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indent="1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1" fillId="3" borderId="0" xfId="3" applyFont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left" indent="1"/>
    </xf>
    <xf numFmtId="164" fontId="9" fillId="2" borderId="1" xfId="0" applyNumberFormat="1" applyFont="1" applyFill="1" applyBorder="1" applyAlignment="1" applyProtection="1">
      <alignment horizontal="center"/>
      <protection locked="0"/>
    </xf>
    <xf numFmtId="166" fontId="9" fillId="2" borderId="1" xfId="0" applyNumberFormat="1" applyFont="1" applyFill="1" applyBorder="1" applyAlignment="1" applyProtection="1">
      <alignment horizontal="center"/>
      <protection locked="0"/>
    </xf>
    <xf numFmtId="164" fontId="9" fillId="0" borderId="0" xfId="0" applyNumberFormat="1" applyFont="1" applyAlignment="1">
      <alignment horizontal="center"/>
    </xf>
    <xf numFmtId="0" fontId="9" fillId="2" borderId="1" xfId="0" applyFont="1" applyFill="1" applyBorder="1" applyAlignment="1" applyProtection="1">
      <alignment horizontal="center"/>
      <protection locked="0"/>
    </xf>
    <xf numFmtId="0" fontId="9" fillId="4" borderId="4" xfId="0" applyFont="1" applyFill="1" applyBorder="1" applyAlignment="1" applyProtection="1">
      <alignment horizontal="center"/>
      <protection locked="0"/>
    </xf>
    <xf numFmtId="9" fontId="9" fillId="2" borderId="1" xfId="0" applyNumberFormat="1" applyFont="1" applyFill="1" applyBorder="1" applyAlignment="1" applyProtection="1">
      <alignment horizontal="center"/>
      <protection locked="0"/>
    </xf>
    <xf numFmtId="166" fontId="9" fillId="2" borderId="1" xfId="1" applyNumberFormat="1" applyFont="1" applyFill="1" applyBorder="1" applyAlignment="1" applyProtection="1">
      <alignment horizontal="center"/>
      <protection locked="0"/>
    </xf>
    <xf numFmtId="9" fontId="9" fillId="2" borderId="1" xfId="1" applyFont="1" applyFill="1" applyBorder="1" applyAlignment="1" applyProtection="1">
      <alignment horizontal="center"/>
      <protection locked="0"/>
    </xf>
    <xf numFmtId="168" fontId="9" fillId="2" borderId="1" xfId="2" applyNumberFormat="1" applyFont="1" applyFill="1" applyBorder="1" applyAlignment="1" applyProtection="1">
      <alignment horizontal="center"/>
      <protection locked="0"/>
    </xf>
    <xf numFmtId="0" fontId="13" fillId="0" borderId="3" xfId="0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0" fontId="9" fillId="5" borderId="0" xfId="0" applyFont="1" applyFill="1"/>
    <xf numFmtId="164" fontId="9" fillId="0" borderId="5" xfId="0" applyNumberFormat="1" applyFont="1" applyBorder="1" applyAlignment="1" applyProtection="1">
      <alignment horizontal="center"/>
      <protection locked="0"/>
    </xf>
    <xf numFmtId="9" fontId="9" fillId="0" borderId="5" xfId="0" applyNumberFormat="1" applyFont="1" applyBorder="1" applyAlignment="1" applyProtection="1">
      <alignment horizontal="center"/>
      <protection locked="0"/>
    </xf>
    <xf numFmtId="166" fontId="9" fillId="0" borderId="5" xfId="0" applyNumberFormat="1" applyFont="1" applyBorder="1" applyAlignment="1" applyProtection="1">
      <alignment horizontal="center"/>
      <protection locked="0"/>
    </xf>
    <xf numFmtId="166" fontId="9" fillId="0" borderId="5" xfId="1" applyNumberFormat="1" applyFont="1" applyFill="1" applyBorder="1" applyAlignment="1" applyProtection="1">
      <alignment horizontal="center"/>
      <protection locked="0"/>
    </xf>
    <xf numFmtId="9" fontId="9" fillId="0" borderId="5" xfId="1" applyFont="1" applyFill="1" applyBorder="1" applyAlignment="1" applyProtection="1">
      <alignment horizontal="center"/>
      <protection locked="0"/>
    </xf>
    <xf numFmtId="0" fontId="9" fillId="5" borderId="0" xfId="0" applyFont="1" applyFill="1" applyAlignment="1">
      <alignment horizontal="left" indent="3"/>
    </xf>
    <xf numFmtId="0" fontId="13" fillId="0" borderId="3" xfId="0" applyFont="1" applyBorder="1" applyAlignment="1">
      <alignment horizontal="left" indent="1"/>
    </xf>
    <xf numFmtId="0" fontId="13" fillId="0" borderId="0" xfId="0" applyFont="1" applyAlignment="1">
      <alignment horizontal="left" indent="2"/>
    </xf>
    <xf numFmtId="0" fontId="9" fillId="0" borderId="0" xfId="0" applyFont="1" applyAlignment="1">
      <alignment horizontal="left" indent="4"/>
    </xf>
    <xf numFmtId="168" fontId="9" fillId="0" borderId="0" xfId="0" applyNumberFormat="1" applyFont="1" applyAlignment="1">
      <alignment horizontal="left" indent="3"/>
    </xf>
    <xf numFmtId="0" fontId="9" fillId="0" borderId="0" xfId="0" applyFont="1" applyAlignment="1">
      <alignment horizontal="left" wrapText="1" indent="2"/>
    </xf>
    <xf numFmtId="169" fontId="9" fillId="0" borderId="0" xfId="0" applyNumberFormat="1" applyFont="1" applyAlignment="1">
      <alignment horizontal="left" indent="3"/>
    </xf>
    <xf numFmtId="0" fontId="7" fillId="0" borderId="0" xfId="0" applyFont="1" applyAlignment="1">
      <alignment horizontal="center"/>
    </xf>
    <xf numFmtId="0" fontId="15" fillId="5" borderId="0" xfId="0" applyFont="1" applyFill="1" applyAlignment="1">
      <alignment horizontal="left" indent="1"/>
    </xf>
    <xf numFmtId="0" fontId="16" fillId="0" borderId="0" xfId="0" applyFont="1"/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43" fontId="16" fillId="0" borderId="0" xfId="2" applyFont="1" applyBorder="1" applyAlignment="1">
      <alignment horizontal="right"/>
    </xf>
    <xf numFmtId="164" fontId="16" fillId="0" borderId="0" xfId="0" applyNumberFormat="1" applyFont="1" applyAlignment="1">
      <alignment horizontal="right"/>
    </xf>
    <xf numFmtId="0" fontId="15" fillId="5" borderId="0" xfId="0" applyFont="1" applyFill="1"/>
    <xf numFmtId="43" fontId="16" fillId="0" borderId="0" xfId="2" applyFont="1" applyBorder="1" applyAlignment="1"/>
    <xf numFmtId="0" fontId="17" fillId="5" borderId="0" xfId="0" applyFont="1" applyFill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43" fontId="18" fillId="0" borderId="0" xfId="2" applyFont="1" applyBorder="1" applyAlignment="1">
      <alignment horizontal="left"/>
    </xf>
    <xf numFmtId="165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 indent="1"/>
    </xf>
    <xf numFmtId="0" fontId="18" fillId="0" borderId="0" xfId="0" applyFont="1" applyAlignment="1">
      <alignment horizontal="center"/>
    </xf>
    <xf numFmtId="0" fontId="14" fillId="6" borderId="0" xfId="0" applyFont="1" applyFill="1" applyAlignment="1">
      <alignment horizontal="center" vertical="center"/>
    </xf>
    <xf numFmtId="9" fontId="3" fillId="0" borderId="0" xfId="1" applyFont="1" applyAlignment="1">
      <alignment horizontal="right"/>
    </xf>
  </cellXfs>
  <cellStyles count="4">
    <cellStyle name="Comma" xfId="2" builtinId="3"/>
    <cellStyle name="Neutral" xfId="3" builtinId="2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FED6"/>
      <color rgb="FFFF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Cash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Output!$AA$2</c:f>
              <c:strCache>
                <c:ptCount val="1"/>
                <c:pt idx="0">
                  <c:v>Retire at  59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4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  <c:pt idx="37">
                  <c:v>85</c:v>
                </c:pt>
                <c:pt idx="38">
                  <c:v>86</c:v>
                </c:pt>
                <c:pt idx="39">
                  <c:v>87</c:v>
                </c:pt>
                <c:pt idx="40">
                  <c:v>88</c:v>
                </c:pt>
                <c:pt idx="41">
                  <c:v>89</c:v>
                </c:pt>
                <c:pt idx="42">
                  <c:v>90</c:v>
                </c:pt>
                <c:pt idx="43">
                  <c:v>91</c:v>
                </c:pt>
                <c:pt idx="44">
                  <c:v>92</c:v>
                </c:pt>
                <c:pt idx="45">
                  <c:v>93</c:v>
                </c:pt>
                <c:pt idx="46">
                  <c:v>94</c:v>
                </c:pt>
              </c:numCache>
            </c:numRef>
          </c:cat>
          <c:val>
            <c:numRef>
              <c:f>RetEarly_Engine!ChartCash_Early</c:f>
              <c:numCache>
                <c:formatCode>#,##0\ ;\(#,##0\);\ \ \ \-\ </c:formatCode>
                <c:ptCount val="47"/>
                <c:pt idx="0">
                  <c:v>204898.75</c:v>
                </c:pt>
                <c:pt idx="1">
                  <c:v>210464.1875</c:v>
                </c:pt>
                <c:pt idx="2">
                  <c:v>216735.69765625001</c:v>
                </c:pt>
                <c:pt idx="3">
                  <c:v>223754.49157812502</c:v>
                </c:pt>
                <c:pt idx="4">
                  <c:v>231563.68121130861</c:v>
                </c:pt>
                <c:pt idx="5">
                  <c:v>240208.35706995256</c:v>
                </c:pt>
                <c:pt idx="6">
                  <c:v>249735.66892084025</c:v>
                </c:pt>
                <c:pt idx="7">
                  <c:v>260194.90952617431</c:v>
                </c:pt>
                <c:pt idx="8">
                  <c:v>271637.60155532236</c:v>
                </c:pt>
                <c:pt idx="9">
                  <c:v>284117.58777969546</c:v>
                </c:pt>
                <c:pt idx="10">
                  <c:v>297691.1246689033</c:v>
                </c:pt>
                <c:pt idx="11">
                  <c:v>228324.77186392489</c:v>
                </c:pt>
                <c:pt idx="12">
                  <c:v>155547.0444657795</c:v>
                </c:pt>
                <c:pt idx="13">
                  <c:v>79230.727715311907</c:v>
                </c:pt>
                <c:pt idx="14">
                  <c:v>20000</c:v>
                </c:pt>
                <c:pt idx="15">
                  <c:v>427213.7335140247</c:v>
                </c:pt>
                <c:pt idx="16">
                  <c:v>415291.8008390264</c:v>
                </c:pt>
                <c:pt idx="17">
                  <c:v>372462.15956001484</c:v>
                </c:pt>
                <c:pt idx="18">
                  <c:v>335022.09016209241</c:v>
                </c:pt>
                <c:pt idx="19">
                  <c:v>295308.03835375386</c:v>
                </c:pt>
                <c:pt idx="20">
                  <c:v>253263.15457473893</c:v>
                </c:pt>
                <c:pt idx="21">
                  <c:v>208829.1680257805</c:v>
                </c:pt>
                <c:pt idx="22">
                  <c:v>161946.35113763015</c:v>
                </c:pt>
                <c:pt idx="23">
                  <c:v>112553.48315180809</c:v>
                </c:pt>
                <c:pt idx="24">
                  <c:v>60587.812790872355</c:v>
                </c:pt>
                <c:pt idx="25">
                  <c:v>7194.2227591943811</c:v>
                </c:pt>
                <c:pt idx="26">
                  <c:v>-47534.20702327555</c:v>
                </c:pt>
                <c:pt idx="27">
                  <c:v>-103630.84755030723</c:v>
                </c:pt>
                <c:pt idx="28">
                  <c:v>-151147.42899672867</c:v>
                </c:pt>
                <c:pt idx="29">
                  <c:v>-199851.92497931066</c:v>
                </c:pt>
                <c:pt idx="30">
                  <c:v>-249774.03336145723</c:v>
                </c:pt>
                <c:pt idx="31">
                  <c:v>-300944.19445315743</c:v>
                </c:pt>
                <c:pt idx="32">
                  <c:v>-353393.60957215016</c:v>
                </c:pt>
                <c:pt idx="33">
                  <c:v>-407154.26006911776</c:v>
                </c:pt>
                <c:pt idx="34">
                  <c:v>-462258.9268285096</c:v>
                </c:pt>
                <c:pt idx="35">
                  <c:v>-518741.2102568862</c:v>
                </c:pt>
                <c:pt idx="36">
                  <c:v>-576635.55077097192</c:v>
                </c:pt>
                <c:pt idx="37">
                  <c:v>-635977.24979791022</c:v>
                </c:pt>
                <c:pt idx="38">
                  <c:v>-696802.49130052165</c:v>
                </c:pt>
                <c:pt idx="39">
                  <c:v>-759148.3638406985</c:v>
                </c:pt>
                <c:pt idx="40">
                  <c:v>-823052.88319437974</c:v>
                </c:pt>
                <c:pt idx="41">
                  <c:v>-888555.0155319029</c:v>
                </c:pt>
                <c:pt idx="42">
                  <c:v>-955694.7011778641</c:v>
                </c:pt>
                <c:pt idx="43">
                  <c:v>-1024512.8789649743</c:v>
                </c:pt>
                <c:pt idx="44">
                  <c:v>-1095051.5111967626</c:v>
                </c:pt>
                <c:pt idx="45">
                  <c:v>-1167353.6092343454</c:v>
                </c:pt>
                <c:pt idx="46">
                  <c:v>-1241463.2597228677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0-C94B-93B6-9E84AE83035F}"/>
            </c:ext>
          </c:extLst>
        </c:ser>
        <c:ser>
          <c:idx val="2"/>
          <c:order val="1"/>
          <c:tx>
            <c:strRef>
              <c:f>Output!$AA$3</c:f>
              <c:strCache>
                <c:ptCount val="1"/>
                <c:pt idx="0">
                  <c:v>Retire at  65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4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  <c:pt idx="37">
                  <c:v>85</c:v>
                </c:pt>
                <c:pt idx="38">
                  <c:v>86</c:v>
                </c:pt>
                <c:pt idx="39">
                  <c:v>87</c:v>
                </c:pt>
                <c:pt idx="40">
                  <c:v>88</c:v>
                </c:pt>
                <c:pt idx="41">
                  <c:v>89</c:v>
                </c:pt>
                <c:pt idx="42">
                  <c:v>90</c:v>
                </c:pt>
                <c:pt idx="43">
                  <c:v>91</c:v>
                </c:pt>
                <c:pt idx="44">
                  <c:v>92</c:v>
                </c:pt>
                <c:pt idx="45">
                  <c:v>93</c:v>
                </c:pt>
                <c:pt idx="46">
                  <c:v>94</c:v>
                </c:pt>
              </c:numCache>
            </c:numRef>
          </c:cat>
          <c:val>
            <c:numRef>
              <c:f>[0]!ChartCash_Norm</c:f>
              <c:numCache>
                <c:formatCode>#,##0\ ;\(#,##0\);\ \ \ \-\ </c:formatCode>
                <c:ptCount val="47"/>
                <c:pt idx="0">
                  <c:v>204898.75</c:v>
                </c:pt>
                <c:pt idx="1">
                  <c:v>210464.1875</c:v>
                </c:pt>
                <c:pt idx="2">
                  <c:v>216735.69765625001</c:v>
                </c:pt>
                <c:pt idx="3">
                  <c:v>223754.49157812502</c:v>
                </c:pt>
                <c:pt idx="4">
                  <c:v>231563.68121130861</c:v>
                </c:pt>
                <c:pt idx="5">
                  <c:v>240208.35706995256</c:v>
                </c:pt>
                <c:pt idx="6">
                  <c:v>249735.66892084025</c:v>
                </c:pt>
                <c:pt idx="7">
                  <c:v>260194.90952617431</c:v>
                </c:pt>
                <c:pt idx="8">
                  <c:v>271637.60155532236</c:v>
                </c:pt>
                <c:pt idx="9">
                  <c:v>284117.58777969546</c:v>
                </c:pt>
                <c:pt idx="10">
                  <c:v>297691.1246689033</c:v>
                </c:pt>
                <c:pt idx="11">
                  <c:v>312416.97951043496</c:v>
                </c:pt>
                <c:pt idx="12">
                  <c:v>328356.53117935767</c:v>
                </c:pt>
                <c:pt idx="13">
                  <c:v>345573.87468891207</c:v>
                </c:pt>
                <c:pt idx="14">
                  <c:v>364135.92965741799</c:v>
                </c:pt>
                <c:pt idx="15">
                  <c:v>387161.10470025497</c:v>
                </c:pt>
                <c:pt idx="16">
                  <c:v>418421.42047661229</c:v>
                </c:pt>
                <c:pt idx="17">
                  <c:v>378811.20508166938</c:v>
                </c:pt>
                <c:pt idx="18">
                  <c:v>344854.73778757063</c:v>
                </c:pt>
                <c:pt idx="19">
                  <c:v>308963.69012559089</c:v>
                </c:pt>
                <c:pt idx="20">
                  <c:v>271062.55586939497</c:v>
                </c:pt>
                <c:pt idx="21">
                  <c:v>231073.26259406074</c:v>
                </c:pt>
                <c:pt idx="22">
                  <c:v>188915.09055754144</c:v>
                </c:pt>
                <c:pt idx="23">
                  <c:v>144504.58913007489</c:v>
                </c:pt>
                <c:pt idx="24">
                  <c:v>97755.490699636561</c:v>
                </c:pt>
                <c:pt idx="25">
                  <c:v>48578.621979470016</c:v>
                </c:pt>
                <c:pt idx="26">
                  <c:v>20000</c:v>
                </c:pt>
                <c:pt idx="27">
                  <c:v>20000</c:v>
                </c:pt>
                <c:pt idx="28">
                  <c:v>20000</c:v>
                </c:pt>
                <c:pt idx="29">
                  <c:v>20000</c:v>
                </c:pt>
                <c:pt idx="30">
                  <c:v>20000</c:v>
                </c:pt>
                <c:pt idx="31">
                  <c:v>20000</c:v>
                </c:pt>
                <c:pt idx="32">
                  <c:v>20000</c:v>
                </c:pt>
                <c:pt idx="33">
                  <c:v>20000</c:v>
                </c:pt>
                <c:pt idx="34">
                  <c:v>20000</c:v>
                </c:pt>
                <c:pt idx="35">
                  <c:v>755473.29901135678</c:v>
                </c:pt>
                <c:pt idx="36">
                  <c:v>763483.72201347235</c:v>
                </c:pt>
                <c:pt idx="37">
                  <c:v>725448.12308551755</c:v>
                </c:pt>
                <c:pt idx="38">
                  <c:v>684635.55704448489</c:v>
                </c:pt>
                <c:pt idx="39">
                  <c:v>640976.5997125475</c:v>
                </c:pt>
                <c:pt idx="40">
                  <c:v>594400.09130743286</c:v>
                </c:pt>
                <c:pt idx="41">
                  <c:v>544833.09305231122</c:v>
                </c:pt>
                <c:pt idx="42">
                  <c:v>492200.84270093252</c:v>
                </c:pt>
                <c:pt idx="43">
                  <c:v>436426.70895089046</c:v>
                </c:pt>
                <c:pt idx="44">
                  <c:v>377432.14471721847</c:v>
                </c:pt>
                <c:pt idx="45">
                  <c:v>315136.63923782588</c:v>
                </c:pt>
                <c:pt idx="46">
                  <c:v>249457.66898156921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0-C94B-93B6-9E84AE830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642623"/>
        <c:axId val="1403644863"/>
      </c:lineChart>
      <c:catAx>
        <c:axId val="140364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4863"/>
        <c:crosses val="autoZero"/>
        <c:auto val="1"/>
        <c:lblAlgn val="ctr"/>
        <c:lblOffset val="100"/>
        <c:tickLblSkip val="2"/>
        <c:noMultiLvlLbl val="0"/>
      </c:catAx>
      <c:valAx>
        <c:axId val="14036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;\(#,##0\);\ \ \ \-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Net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Output!$AA$2</c:f>
              <c:strCache>
                <c:ptCount val="1"/>
                <c:pt idx="0">
                  <c:v>Retire at  59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4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  <c:pt idx="37">
                  <c:v>85</c:v>
                </c:pt>
                <c:pt idx="38">
                  <c:v>86</c:v>
                </c:pt>
                <c:pt idx="39">
                  <c:v>87</c:v>
                </c:pt>
                <c:pt idx="40">
                  <c:v>88</c:v>
                </c:pt>
                <c:pt idx="41">
                  <c:v>89</c:v>
                </c:pt>
                <c:pt idx="42">
                  <c:v>90</c:v>
                </c:pt>
                <c:pt idx="43">
                  <c:v>91</c:v>
                </c:pt>
                <c:pt idx="44">
                  <c:v>92</c:v>
                </c:pt>
                <c:pt idx="45">
                  <c:v>93</c:v>
                </c:pt>
                <c:pt idx="46">
                  <c:v>94</c:v>
                </c:pt>
              </c:numCache>
            </c:numRef>
          </c:cat>
          <c:val>
            <c:numRef>
              <c:f>RetEarly_Engine!ChartNW_Early</c:f>
              <c:numCache>
                <c:formatCode>#,##0\ ;\(#,##0\);\ \ \ \-\ </c:formatCode>
                <c:ptCount val="47"/>
                <c:pt idx="0">
                  <c:v>968981.94138270128</c:v>
                </c:pt>
                <c:pt idx="1">
                  <c:v>1009855.5963523956</c:v>
                </c:pt>
                <c:pt idx="2">
                  <c:v>1052713.1778108226</c:v>
                </c:pt>
                <c:pt idx="3">
                  <c:v>1097651.5917861115</c:v>
                </c:pt>
                <c:pt idx="4">
                  <c:v>1144772.700802363</c:v>
                </c:pt>
                <c:pt idx="5">
                  <c:v>1194183.603946965</c:v>
                </c:pt>
                <c:pt idx="6">
                  <c:v>1245996.9348095595</c:v>
                </c:pt>
                <c:pt idx="7">
                  <c:v>1300331.178554723</c:v>
                </c:pt>
                <c:pt idx="8">
                  <c:v>1357311.0094854354</c:v>
                </c:pt>
                <c:pt idx="9">
                  <c:v>1417067.6505567974</c:v>
                </c:pt>
                <c:pt idx="10">
                  <c:v>1479739.2564098446</c:v>
                </c:pt>
                <c:pt idx="11">
                  <c:v>1461379.1139677668</c:v>
                </c:pt>
                <c:pt idx="12">
                  <c:v>1441607.6292236468</c:v>
                </c:pt>
                <c:pt idx="13">
                  <c:v>1420395.0016198535</c:v>
                </c:pt>
                <c:pt idx="14">
                  <c:v>1394872.8691688532</c:v>
                </c:pt>
                <c:pt idx="15">
                  <c:v>1284742.242514536</c:v>
                </c:pt>
                <c:pt idx="16">
                  <c:v>1241715.6169749021</c:v>
                </c:pt>
                <c:pt idx="17">
                  <c:v>1223678.6901799669</c:v>
                </c:pt>
                <c:pt idx="18">
                  <c:v>1211775.116700643</c:v>
                </c:pt>
                <c:pt idx="19">
                  <c:v>1198363.6556884609</c:v>
                </c:pt>
                <c:pt idx="20">
                  <c:v>1183410.4404294873</c:v>
                </c:pt>
                <c:pt idx="21">
                  <c:v>1166880.8724561713</c:v>
                </c:pt>
                <c:pt idx="22">
                  <c:v>1148739.6067009326</c:v>
                </c:pt>
                <c:pt idx="23">
                  <c:v>1128950.5363820097</c:v>
                </c:pt>
                <c:pt idx="24">
                  <c:v>1107476.77761798</c:v>
                </c:pt>
                <c:pt idx="25">
                  <c:v>1085489.8565311152</c:v>
                </c:pt>
                <c:pt idx="26">
                  <c:v>1063110.2957618029</c:v>
                </c:pt>
                <c:pt idx="27">
                  <c:v>1040332.9903183237</c:v>
                </c:pt>
                <c:pt idx="28">
                  <c:v>1027135.3240079612</c:v>
                </c:pt>
                <c:pt idx="29">
                  <c:v>1013779.31061552</c:v>
                </c:pt>
                <c:pt idx="30">
                  <c:v>1000266.1393012183</c:v>
                </c:pt>
                <c:pt idx="31">
                  <c:v>986597.1833893985</c:v>
                </c:pt>
                <c:pt idx="32">
                  <c:v>972774.00960568257</c:v>
                </c:pt>
                <c:pt idx="33">
                  <c:v>958798.3876840499</c:v>
                </c:pt>
                <c:pt idx="34">
                  <c:v>944672.30035725306</c:v>
                </c:pt>
                <c:pt idx="35">
                  <c:v>930397.95374444942</c:v>
                </c:pt>
                <c:pt idx="36">
                  <c:v>915977.78815040388</c:v>
                </c:pt>
                <c:pt idx="37">
                  <c:v>901414.48929110682</c:v>
                </c:pt>
                <c:pt idx="38">
                  <c:v>886710.99996116594</c:v>
                </c:pt>
                <c:pt idx="39">
                  <c:v>871870.53215883975</c:v>
                </c:pt>
                <c:pt idx="40">
                  <c:v>856896.57968514459</c:v>
                </c:pt>
                <c:pt idx="41">
                  <c:v>841792.93123400724</c:v>
                </c:pt>
                <c:pt idx="42">
                  <c:v>826563.68399102334</c:v>
                </c:pt>
                <c:pt idx="43">
                  <c:v>811213.25775897969</c:v>
                </c:pt>
                <c:pt idx="44">
                  <c:v>795746.40962891001</c:v>
                </c:pt>
                <c:pt idx="45">
                  <c:v>780168.24921609741</c:v>
                </c:pt>
                <c:pt idx="46">
                  <c:v>764484.25448108837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0-C94B-93B6-9E84AE83035F}"/>
            </c:ext>
          </c:extLst>
        </c:ser>
        <c:ser>
          <c:idx val="2"/>
          <c:order val="1"/>
          <c:tx>
            <c:strRef>
              <c:f>Output!$AA$3</c:f>
              <c:strCache>
                <c:ptCount val="1"/>
                <c:pt idx="0">
                  <c:v>Retire at  65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4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  <c:pt idx="37">
                  <c:v>85</c:v>
                </c:pt>
                <c:pt idx="38">
                  <c:v>86</c:v>
                </c:pt>
                <c:pt idx="39">
                  <c:v>87</c:v>
                </c:pt>
                <c:pt idx="40">
                  <c:v>88</c:v>
                </c:pt>
                <c:pt idx="41">
                  <c:v>89</c:v>
                </c:pt>
                <c:pt idx="42">
                  <c:v>90</c:v>
                </c:pt>
                <c:pt idx="43">
                  <c:v>91</c:v>
                </c:pt>
                <c:pt idx="44">
                  <c:v>92</c:v>
                </c:pt>
                <c:pt idx="45">
                  <c:v>93</c:v>
                </c:pt>
                <c:pt idx="46">
                  <c:v>94</c:v>
                </c:pt>
              </c:numCache>
            </c:numRef>
          </c:cat>
          <c:val>
            <c:numRef>
              <c:f>[0]!ChartNW_Norm</c:f>
              <c:numCache>
                <c:formatCode>#,##0\ ;\(#,##0\);\ \ \ \-\ </c:formatCode>
                <c:ptCount val="47"/>
                <c:pt idx="0">
                  <c:v>968981.94138270128</c:v>
                </c:pt>
                <c:pt idx="1">
                  <c:v>1009855.5963523956</c:v>
                </c:pt>
                <c:pt idx="2">
                  <c:v>1052713.1778108226</c:v>
                </c:pt>
                <c:pt idx="3">
                  <c:v>1097651.5917861115</c:v>
                </c:pt>
                <c:pt idx="4">
                  <c:v>1144772.700802363</c:v>
                </c:pt>
                <c:pt idx="5">
                  <c:v>1194183.603946965</c:v>
                </c:pt>
                <c:pt idx="6">
                  <c:v>1245996.9348095595</c:v>
                </c:pt>
                <c:pt idx="7">
                  <c:v>1300331.178554723</c:v>
                </c:pt>
                <c:pt idx="8">
                  <c:v>1357311.0094854354</c:v>
                </c:pt>
                <c:pt idx="9">
                  <c:v>1417067.6505567974</c:v>
                </c:pt>
                <c:pt idx="10">
                  <c:v>1479739.2564098446</c:v>
                </c:pt>
                <c:pt idx="11">
                  <c:v>1545471.3216142766</c:v>
                </c:pt>
                <c:pt idx="12">
                  <c:v>1614417.1159372251</c:v>
                </c:pt>
                <c:pt idx="13">
                  <c:v>1686738.1485934532</c:v>
                </c:pt>
                <c:pt idx="14">
                  <c:v>1762604.6635815429</c:v>
                </c:pt>
                <c:pt idx="15">
                  <c:v>1842223.3881459921</c:v>
                </c:pt>
                <c:pt idx="16">
                  <c:v>1925700.4290340568</c:v>
                </c:pt>
                <c:pt idx="17">
                  <c:v>1940558.6290328393</c:v>
                </c:pt>
                <c:pt idx="18">
                  <c:v>1963444.633205238</c:v>
                </c:pt>
                <c:pt idx="19">
                  <c:v>1986900.5350535875</c:v>
                </c:pt>
                <c:pt idx="20">
                  <c:v>2010989.899004855</c:v>
                </c:pt>
                <c:pt idx="21">
                  <c:v>2035783.0103119779</c:v>
                </c:pt>
                <c:pt idx="22">
                  <c:v>2061357.4817384603</c:v>
                </c:pt>
                <c:pt idx="23">
                  <c:v>2087798.9111604034</c:v>
                </c:pt>
                <c:pt idx="24">
                  <c:v>2115201.5942339753</c:v>
                </c:pt>
                <c:pt idx="25">
                  <c:v>2143669.296610387</c:v>
                </c:pt>
                <c:pt idx="26">
                  <c:v>2170152.5491132536</c:v>
                </c:pt>
                <c:pt idx="27">
                  <c:v>2192418.8133000331</c:v>
                </c:pt>
                <c:pt idx="28">
                  <c:v>2223626.97032844</c:v>
                </c:pt>
                <c:pt idx="29">
                  <c:v>2253309.5606830819</c:v>
                </c:pt>
                <c:pt idx="30">
                  <c:v>2281230.2559831026</c:v>
                </c:pt>
                <c:pt idx="31">
                  <c:v>2307130.5526740211</c:v>
                </c:pt>
                <c:pt idx="32">
                  <c:v>2330727.903936455</c:v>
                </c:pt>
                <c:pt idx="33">
                  <c:v>2351713.6994249597</c:v>
                </c:pt>
                <c:pt idx="34">
                  <c:v>2369751.0805842127</c:v>
                </c:pt>
                <c:pt idx="35">
                  <c:v>2250462.3789177919</c:v>
                </c:pt>
                <c:pt idx="36">
                  <c:v>2256097.0609348482</c:v>
                </c:pt>
                <c:pt idx="37">
                  <c:v>2262839.8621745347</c:v>
                </c:pt>
                <c:pt idx="38">
                  <c:v>2268149.0483061727</c:v>
                </c:pt>
                <c:pt idx="39">
                  <c:v>2271995.4957120856</c:v>
                </c:pt>
                <c:pt idx="40">
                  <c:v>2274349.554186957</c:v>
                </c:pt>
                <c:pt idx="41">
                  <c:v>2275181.0398182212</c:v>
                </c:pt>
                <c:pt idx="42">
                  <c:v>2274459.2278698198</c:v>
                </c:pt>
                <c:pt idx="43">
                  <c:v>2272152.8456748445</c:v>
                </c:pt>
                <c:pt idx="44">
                  <c:v>2268230.0655428912</c:v>
                </c:pt>
                <c:pt idx="45">
                  <c:v>2262658.4976882688</c:v>
                </c:pt>
                <c:pt idx="46">
                  <c:v>2255405.1831855252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0-C94B-93B6-9E84AE830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642623"/>
        <c:axId val="1403644863"/>
      </c:lineChart>
      <c:catAx>
        <c:axId val="140364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4863"/>
        <c:crosses val="autoZero"/>
        <c:auto val="1"/>
        <c:lblAlgn val="ctr"/>
        <c:lblOffset val="100"/>
        <c:tickLblSkip val="2"/>
        <c:noMultiLvlLbl val="0"/>
      </c:catAx>
      <c:valAx>
        <c:axId val="14036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;\(#,##0\);\ \ \ \-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Spin" dx="15" fmlaLink="RetEarly_Engine!$B$3" max="65" min="18" page="10" val="59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165100</xdr:colOff>
          <xdr:row>130</xdr:row>
          <xdr:rowOff>177800</xdr:rowOff>
        </xdr:from>
        <xdr:to>
          <xdr:col>3</xdr:col>
          <xdr:colOff>1371600</xdr:colOff>
          <xdr:row>131</xdr:row>
          <xdr:rowOff>215900</xdr:rowOff>
        </xdr:to>
        <xdr:sp macro="" textlink="">
          <xdr:nvSpPr>
            <xdr:cNvPr id="1055" name="Butto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Aptos Narrow" pitchFamily="2" charset="0"/>
                </a:rPr>
                <a:t>Restore Defaults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297479</xdr:colOff>
      <xdr:row>1</xdr:row>
      <xdr:rowOff>128162</xdr:rowOff>
    </xdr:from>
    <xdr:to>
      <xdr:col>10</xdr:col>
      <xdr:colOff>297478</xdr:colOff>
      <xdr:row>30</xdr:row>
      <xdr:rowOff>160180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EF6F3C-5549-FFD1-5465-CCE02109B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423336</xdr:colOff>
      <xdr:row>1</xdr:row>
      <xdr:rowOff>128162</xdr:rowOff>
    </xdr:from>
    <xdr:to>
      <xdr:col>20</xdr:col>
      <xdr:colOff>423336</xdr:colOff>
      <xdr:row>30</xdr:row>
      <xdr:rowOff>160180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2D580-9C83-6C91-B509-F2CDB56D1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38100</xdr:colOff>
          <xdr:row>4</xdr:row>
          <xdr:rowOff>63500</xdr:rowOff>
        </xdr:from>
        <xdr:to>
          <xdr:col>21</xdr:col>
          <xdr:colOff>660400</xdr:colOff>
          <xdr:row>9</xdr:row>
          <xdr:rowOff>63500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C09A-970C-8B4A-8DAA-2452C038377E}">
  <sheetPr codeName="Sheet1">
    <tabColor rgb="FFFFFF00"/>
  </sheetPr>
  <dimension ref="A1:M176"/>
  <sheetViews>
    <sheetView zoomScale="135" zoomScaleNormal="120" workbookViewId="0">
      <pane ySplit="1" topLeftCell="A147" activePane="bottomLeft" state="frozen"/>
      <selection pane="bottomLeft" activeCell="B135" sqref="B135"/>
    </sheetView>
  </sheetViews>
  <sheetFormatPr baseColWidth="10" defaultRowHeight="16" x14ac:dyDescent="0.2"/>
  <cols>
    <col min="1" max="1" width="37.83203125" style="24" customWidth="1"/>
    <col min="2" max="2" width="11.6640625" style="21" customWidth="1"/>
    <col min="3" max="3" width="10.83203125" style="23"/>
    <col min="4" max="4" width="45.33203125" style="68" customWidth="1"/>
    <col min="5" max="5" width="43.83203125" style="66" bestFit="1" customWidth="1"/>
    <col min="6" max="6" width="16.1640625" style="76" customWidth="1"/>
    <col min="7" max="7" width="6.5" style="75" customWidth="1"/>
    <col min="8" max="11" width="10.83203125" style="23"/>
    <col min="12" max="12" width="10.83203125" style="2"/>
    <col min="13" max="16384" width="10.83203125" style="23"/>
  </cols>
  <sheetData>
    <row r="1" spans="1:12" ht="35" customHeight="1" x14ac:dyDescent="0.2">
      <c r="A1" s="57"/>
      <c r="B1" s="65" t="s">
        <v>170</v>
      </c>
      <c r="C1" s="51"/>
      <c r="D1" s="65" t="s">
        <v>154</v>
      </c>
      <c r="E1" s="72" t="s">
        <v>155</v>
      </c>
      <c r="F1" s="74" t="s">
        <v>156</v>
      </c>
      <c r="G1" s="74"/>
    </row>
    <row r="2" spans="1:12" x14ac:dyDescent="0.2">
      <c r="A2" s="58" t="s">
        <v>91</v>
      </c>
      <c r="B2" s="38"/>
      <c r="D2" s="66"/>
      <c r="F2" s="75"/>
      <c r="L2" s="23"/>
    </row>
    <row r="3" spans="1:12" x14ac:dyDescent="0.2">
      <c r="D3" s="67"/>
      <c r="L3" s="23"/>
    </row>
    <row r="4" spans="1:12" x14ac:dyDescent="0.2">
      <c r="A4" s="20" t="s">
        <v>92</v>
      </c>
      <c r="B4" s="40">
        <v>47</v>
      </c>
      <c r="D4" s="67" t="s">
        <v>94</v>
      </c>
      <c r="L4" s="23"/>
    </row>
    <row r="5" spans="1:12" x14ac:dyDescent="0.2">
      <c r="A5" s="20"/>
      <c r="D5" s="67"/>
      <c r="L5" s="23"/>
    </row>
    <row r="6" spans="1:12" x14ac:dyDescent="0.2">
      <c r="A6" s="20" t="s">
        <v>93</v>
      </c>
      <c r="B6" s="40">
        <v>60000</v>
      </c>
      <c r="D6" s="67" t="s">
        <v>95</v>
      </c>
      <c r="L6" s="23"/>
    </row>
    <row r="7" spans="1:12" x14ac:dyDescent="0.2">
      <c r="A7" s="20"/>
      <c r="D7" s="67"/>
      <c r="L7" s="23"/>
    </row>
    <row r="8" spans="1:12" x14ac:dyDescent="0.2">
      <c r="A8" s="20" t="s">
        <v>96</v>
      </c>
      <c r="B8" s="40">
        <v>200000</v>
      </c>
      <c r="D8" s="67" t="s">
        <v>97</v>
      </c>
      <c r="L8" s="23"/>
    </row>
    <row r="9" spans="1:12" x14ac:dyDescent="0.2">
      <c r="A9" s="20"/>
      <c r="D9" s="67"/>
      <c r="L9" s="23"/>
    </row>
    <row r="10" spans="1:12" x14ac:dyDescent="0.2">
      <c r="A10" s="20" t="s">
        <v>0</v>
      </c>
      <c r="B10" s="40">
        <v>50000</v>
      </c>
      <c r="D10" s="67" t="s">
        <v>98</v>
      </c>
      <c r="L10" s="23"/>
    </row>
    <row r="11" spans="1:12" x14ac:dyDescent="0.2">
      <c r="A11" s="20"/>
      <c r="D11" s="67"/>
      <c r="L11" s="23"/>
    </row>
    <row r="12" spans="1:12" x14ac:dyDescent="0.2">
      <c r="A12" s="20" t="s">
        <v>33</v>
      </c>
      <c r="B12" s="40">
        <v>500000</v>
      </c>
      <c r="D12" s="67" t="s">
        <v>152</v>
      </c>
      <c r="L12" s="23"/>
    </row>
    <row r="13" spans="1:12" x14ac:dyDescent="0.2">
      <c r="A13" s="20"/>
      <c r="D13" s="67"/>
      <c r="L13" s="23"/>
    </row>
    <row r="14" spans="1:12" x14ac:dyDescent="0.2">
      <c r="A14" s="20" t="s">
        <v>37</v>
      </c>
      <c r="E14" s="73"/>
      <c r="L14" s="23"/>
    </row>
    <row r="15" spans="1:12" x14ac:dyDescent="0.2">
      <c r="A15" s="24" t="s">
        <v>42</v>
      </c>
      <c r="B15" s="40">
        <v>120000</v>
      </c>
      <c r="D15" s="67" t="s">
        <v>153</v>
      </c>
      <c r="F15" s="77" t="s">
        <v>101</v>
      </c>
      <c r="G15" s="78">
        <f>IFERROR(NPER(B16/12,-B17,B15),"")</f>
        <v>188.23635571770168</v>
      </c>
      <c r="L15" s="23"/>
    </row>
    <row r="16" spans="1:12" x14ac:dyDescent="0.2">
      <c r="A16" s="24" t="s">
        <v>99</v>
      </c>
      <c r="B16" s="41">
        <v>0.03</v>
      </c>
      <c r="D16" s="67"/>
      <c r="F16" s="77" t="s">
        <v>102</v>
      </c>
      <c r="G16" s="78">
        <f>IFERROR(G15/12,"")</f>
        <v>15.68636297647514</v>
      </c>
      <c r="L16" s="23"/>
    </row>
    <row r="17" spans="1:12" x14ac:dyDescent="0.2">
      <c r="A17" s="24" t="s">
        <v>100</v>
      </c>
      <c r="B17" s="40">
        <v>800</v>
      </c>
      <c r="D17" s="67"/>
      <c r="L17" s="23"/>
    </row>
    <row r="18" spans="1:12" x14ac:dyDescent="0.2">
      <c r="A18" s="20"/>
      <c r="D18" s="67"/>
      <c r="L18" s="23"/>
    </row>
    <row r="19" spans="1:12" x14ac:dyDescent="0.2">
      <c r="A19" s="20" t="s">
        <v>105</v>
      </c>
      <c r="B19" s="40">
        <v>65</v>
      </c>
      <c r="D19" s="67" t="s">
        <v>106</v>
      </c>
      <c r="L19" s="23"/>
    </row>
    <row r="20" spans="1:12" x14ac:dyDescent="0.2">
      <c r="A20" s="20"/>
      <c r="B20" s="42"/>
      <c r="D20" s="67"/>
      <c r="L20" s="23"/>
    </row>
    <row r="21" spans="1:12" x14ac:dyDescent="0.2">
      <c r="A21" s="20" t="s">
        <v>103</v>
      </c>
      <c r="B21" s="40">
        <v>18000</v>
      </c>
      <c r="D21" s="67" t="s">
        <v>104</v>
      </c>
      <c r="L21" s="23"/>
    </row>
    <row r="22" spans="1:12" x14ac:dyDescent="0.2">
      <c r="A22" s="20"/>
      <c r="D22" s="67"/>
      <c r="L22" s="23"/>
    </row>
    <row r="23" spans="1:12" x14ac:dyDescent="0.2">
      <c r="A23" s="20" t="s">
        <v>5</v>
      </c>
      <c r="B23" s="40"/>
      <c r="D23" s="67" t="s">
        <v>53</v>
      </c>
      <c r="E23" s="66" t="s">
        <v>164</v>
      </c>
      <c r="L23" s="23"/>
    </row>
    <row r="24" spans="1:12" x14ac:dyDescent="0.2">
      <c r="A24" s="20"/>
      <c r="D24" s="67"/>
      <c r="L24" s="23"/>
    </row>
    <row r="25" spans="1:12" x14ac:dyDescent="0.2">
      <c r="A25" s="20" t="s">
        <v>114</v>
      </c>
      <c r="B25" s="40">
        <v>50000</v>
      </c>
      <c r="D25" s="67"/>
      <c r="L25" s="23"/>
    </row>
    <row r="26" spans="1:12" x14ac:dyDescent="0.2">
      <c r="D26" s="67"/>
      <c r="L26" s="23"/>
    </row>
    <row r="27" spans="1:12" x14ac:dyDescent="0.2">
      <c r="D27" s="67"/>
      <c r="L27" s="23"/>
    </row>
    <row r="28" spans="1:12" x14ac:dyDescent="0.2">
      <c r="A28" s="58" t="s">
        <v>107</v>
      </c>
      <c r="B28" s="38"/>
      <c r="D28" s="67"/>
      <c r="E28" s="66" t="s">
        <v>158</v>
      </c>
      <c r="L28" s="23"/>
    </row>
    <row r="29" spans="1:12" x14ac:dyDescent="0.2">
      <c r="D29" s="67"/>
      <c r="L29" s="23"/>
    </row>
    <row r="30" spans="1:12" x14ac:dyDescent="0.2">
      <c r="A30" s="59" t="s">
        <v>36</v>
      </c>
      <c r="D30" s="67"/>
      <c r="L30" s="23"/>
    </row>
    <row r="31" spans="1:12" x14ac:dyDescent="0.2">
      <c r="D31" s="67"/>
      <c r="L31" s="23"/>
    </row>
    <row r="32" spans="1:12" x14ac:dyDescent="0.2">
      <c r="A32" s="24" t="s">
        <v>44</v>
      </c>
      <c r="L32" s="23"/>
    </row>
    <row r="33" spans="1:12" x14ac:dyDescent="0.2">
      <c r="A33" s="60" t="s">
        <v>32</v>
      </c>
      <c r="B33" s="43"/>
      <c r="D33" s="67" t="s">
        <v>110</v>
      </c>
      <c r="L33" s="23"/>
    </row>
    <row r="34" spans="1:12" x14ac:dyDescent="0.2">
      <c r="A34" s="60" t="s">
        <v>138</v>
      </c>
      <c r="B34" s="40"/>
      <c r="D34" s="67" t="s">
        <v>137</v>
      </c>
      <c r="E34" s="66" t="s">
        <v>160</v>
      </c>
      <c r="L34" s="23"/>
    </row>
    <row r="35" spans="1:12" x14ac:dyDescent="0.2">
      <c r="A35" s="60" t="s">
        <v>111</v>
      </c>
      <c r="B35" s="40"/>
      <c r="D35" s="67" t="s">
        <v>109</v>
      </c>
      <c r="E35" s="66" t="s">
        <v>160</v>
      </c>
      <c r="L35" s="23"/>
    </row>
    <row r="36" spans="1:12" x14ac:dyDescent="0.2">
      <c r="L36" s="23"/>
    </row>
    <row r="37" spans="1:12" x14ac:dyDescent="0.2">
      <c r="A37" s="24" t="s">
        <v>45</v>
      </c>
      <c r="L37" s="23"/>
    </row>
    <row r="38" spans="1:12" x14ac:dyDescent="0.2">
      <c r="A38" s="60" t="s">
        <v>32</v>
      </c>
      <c r="B38" s="43"/>
      <c r="D38" s="67" t="s">
        <v>110</v>
      </c>
      <c r="L38" s="23"/>
    </row>
    <row r="39" spans="1:12" x14ac:dyDescent="0.2">
      <c r="A39" s="60" t="s">
        <v>138</v>
      </c>
      <c r="B39" s="40"/>
      <c r="D39" s="67" t="s">
        <v>137</v>
      </c>
      <c r="E39" s="66" t="s">
        <v>160</v>
      </c>
      <c r="L39" s="23"/>
    </row>
    <row r="40" spans="1:12" x14ac:dyDescent="0.2">
      <c r="A40" s="60" t="s">
        <v>111</v>
      </c>
      <c r="B40" s="40"/>
      <c r="D40" s="67" t="s">
        <v>109</v>
      </c>
      <c r="E40" s="66" t="s">
        <v>160</v>
      </c>
      <c r="L40" s="23"/>
    </row>
    <row r="42" spans="1:12" x14ac:dyDescent="0.2">
      <c r="A42" s="24" t="s">
        <v>46</v>
      </c>
      <c r="L42" s="23"/>
    </row>
    <row r="43" spans="1:12" x14ac:dyDescent="0.2">
      <c r="A43" s="60" t="s">
        <v>32</v>
      </c>
      <c r="B43" s="43"/>
      <c r="D43" s="67" t="s">
        <v>110</v>
      </c>
      <c r="L43" s="23"/>
    </row>
    <row r="44" spans="1:12" x14ac:dyDescent="0.2">
      <c r="A44" s="60" t="s">
        <v>138</v>
      </c>
      <c r="B44" s="40"/>
      <c r="D44" s="67" t="s">
        <v>137</v>
      </c>
      <c r="E44" s="66" t="s">
        <v>160</v>
      </c>
      <c r="L44" s="23"/>
    </row>
    <row r="45" spans="1:12" x14ac:dyDescent="0.2">
      <c r="A45" s="60" t="s">
        <v>111</v>
      </c>
      <c r="B45" s="40"/>
      <c r="D45" s="67" t="s">
        <v>109</v>
      </c>
      <c r="E45" s="66" t="s">
        <v>160</v>
      </c>
      <c r="L45" s="23"/>
    </row>
    <row r="46" spans="1:12" x14ac:dyDescent="0.2">
      <c r="A46" s="60"/>
      <c r="B46" s="39"/>
      <c r="D46" s="67"/>
      <c r="L46" s="23"/>
    </row>
    <row r="47" spans="1:12" x14ac:dyDescent="0.2">
      <c r="A47" s="59" t="s">
        <v>126</v>
      </c>
      <c r="D47" s="67"/>
      <c r="L47" s="23"/>
    </row>
    <row r="48" spans="1:12" x14ac:dyDescent="0.2">
      <c r="A48" s="59"/>
      <c r="D48" s="67"/>
      <c r="L48" s="23"/>
    </row>
    <row r="49" spans="1:12" x14ac:dyDescent="0.2">
      <c r="A49" s="24" t="s">
        <v>47</v>
      </c>
      <c r="D49" s="67"/>
      <c r="L49" s="23"/>
    </row>
    <row r="50" spans="1:12" x14ac:dyDescent="0.2">
      <c r="A50" s="60" t="s">
        <v>32</v>
      </c>
      <c r="B50" s="43" t="s">
        <v>165</v>
      </c>
      <c r="D50" s="67" t="s">
        <v>110</v>
      </c>
      <c r="L50" s="23"/>
    </row>
    <row r="51" spans="1:12" x14ac:dyDescent="0.2">
      <c r="A51" s="60" t="s">
        <v>123</v>
      </c>
      <c r="B51" s="40">
        <v>300000</v>
      </c>
      <c r="D51" s="67"/>
      <c r="E51" s="66" t="s">
        <v>161</v>
      </c>
      <c r="L51" s="23"/>
    </row>
    <row r="52" spans="1:12" x14ac:dyDescent="0.2">
      <c r="A52" s="60" t="s">
        <v>124</v>
      </c>
      <c r="B52" s="40">
        <v>500</v>
      </c>
      <c r="D52" s="67" t="s">
        <v>125</v>
      </c>
      <c r="E52" s="66" t="s">
        <v>161</v>
      </c>
      <c r="L52" s="23"/>
    </row>
    <row r="53" spans="1:12" x14ac:dyDescent="0.2">
      <c r="D53" s="67"/>
      <c r="L53" s="23"/>
    </row>
    <row r="54" spans="1:12" x14ac:dyDescent="0.2">
      <c r="A54" s="24" t="s">
        <v>48</v>
      </c>
      <c r="D54" s="67"/>
      <c r="L54" s="23"/>
    </row>
    <row r="55" spans="1:12" x14ac:dyDescent="0.2">
      <c r="A55" s="60" t="s">
        <v>32</v>
      </c>
      <c r="B55" s="43"/>
      <c r="D55" s="67" t="s">
        <v>110</v>
      </c>
      <c r="L55" s="23"/>
    </row>
    <row r="56" spans="1:12" x14ac:dyDescent="0.2">
      <c r="A56" s="60" t="s">
        <v>123</v>
      </c>
      <c r="B56" s="40"/>
      <c r="D56" s="67"/>
      <c r="E56" s="66" t="s">
        <v>161</v>
      </c>
      <c r="L56" s="23"/>
    </row>
    <row r="57" spans="1:12" x14ac:dyDescent="0.2">
      <c r="A57" s="60" t="s">
        <v>124</v>
      </c>
      <c r="B57" s="40"/>
      <c r="D57" s="67" t="s">
        <v>125</v>
      </c>
      <c r="E57" s="66" t="s">
        <v>161</v>
      </c>
      <c r="L57" s="23"/>
    </row>
    <row r="58" spans="1:12" x14ac:dyDescent="0.2">
      <c r="D58" s="67"/>
      <c r="L58" s="23"/>
    </row>
    <row r="59" spans="1:12" x14ac:dyDescent="0.2">
      <c r="A59" s="24" t="s">
        <v>49</v>
      </c>
      <c r="D59" s="67"/>
      <c r="L59" s="23"/>
    </row>
    <row r="60" spans="1:12" x14ac:dyDescent="0.2">
      <c r="A60" s="60" t="s">
        <v>32</v>
      </c>
      <c r="B60" s="43"/>
      <c r="D60" s="67" t="s">
        <v>110</v>
      </c>
      <c r="L60" s="23"/>
    </row>
    <row r="61" spans="1:12" x14ac:dyDescent="0.2">
      <c r="A61" s="60" t="s">
        <v>123</v>
      </c>
      <c r="B61" s="40"/>
      <c r="D61" s="67"/>
      <c r="E61" s="66" t="s">
        <v>161</v>
      </c>
      <c r="L61" s="23"/>
    </row>
    <row r="62" spans="1:12" x14ac:dyDescent="0.2">
      <c r="A62" s="60" t="s">
        <v>124</v>
      </c>
      <c r="B62" s="40"/>
      <c r="D62" s="67" t="s">
        <v>125</v>
      </c>
      <c r="E62" s="66" t="s">
        <v>161</v>
      </c>
      <c r="L62" s="23"/>
    </row>
    <row r="63" spans="1:12" x14ac:dyDescent="0.2">
      <c r="A63" s="60"/>
      <c r="D63" s="67"/>
      <c r="L63" s="23"/>
    </row>
    <row r="64" spans="1:12" x14ac:dyDescent="0.2">
      <c r="A64" s="59" t="s">
        <v>112</v>
      </c>
      <c r="L64" s="23"/>
    </row>
    <row r="65" spans="1:12" x14ac:dyDescent="0.2">
      <c r="D65" s="67"/>
      <c r="L65" s="23"/>
    </row>
    <row r="66" spans="1:12" x14ac:dyDescent="0.2">
      <c r="A66" s="24" t="str">
        <f>"Rental income: "&amp;B50</f>
        <v>Rental income: Sliema</v>
      </c>
      <c r="B66" s="40"/>
      <c r="D66" s="67" t="s">
        <v>113</v>
      </c>
      <c r="E66" s="66" t="s">
        <v>162</v>
      </c>
      <c r="L66" s="23"/>
    </row>
    <row r="67" spans="1:12" x14ac:dyDescent="0.2">
      <c r="A67" s="24" t="str">
        <f>"Rental income: "&amp;B55</f>
        <v xml:space="preserve">Rental income: </v>
      </c>
      <c r="B67" s="40"/>
      <c r="D67" s="67" t="s">
        <v>113</v>
      </c>
      <c r="E67" s="66" t="s">
        <v>162</v>
      </c>
      <c r="L67" s="23"/>
    </row>
    <row r="68" spans="1:12" x14ac:dyDescent="0.2">
      <c r="A68" s="24" t="str">
        <f>"Rental income: "&amp;B60</f>
        <v xml:space="preserve">Rental income: </v>
      </c>
      <c r="B68" s="40"/>
      <c r="D68" s="67" t="s">
        <v>113</v>
      </c>
      <c r="E68" s="66" t="s">
        <v>162</v>
      </c>
      <c r="L68" s="23"/>
    </row>
    <row r="69" spans="1:12" x14ac:dyDescent="0.2">
      <c r="D69" s="67"/>
      <c r="L69" s="23"/>
    </row>
    <row r="70" spans="1:12" x14ac:dyDescent="0.2">
      <c r="A70" s="24" t="s">
        <v>127</v>
      </c>
      <c r="B70" s="40"/>
      <c r="D70" s="67" t="s">
        <v>150</v>
      </c>
      <c r="L70" s="23"/>
    </row>
    <row r="71" spans="1:12" x14ac:dyDescent="0.2">
      <c r="A71" s="24" t="s">
        <v>15</v>
      </c>
      <c r="B71" s="40"/>
      <c r="D71" s="67"/>
      <c r="E71" s="66" t="s">
        <v>163</v>
      </c>
      <c r="L71" s="23"/>
    </row>
    <row r="72" spans="1:12" x14ac:dyDescent="0.2">
      <c r="D72" s="67"/>
      <c r="L72" s="23"/>
    </row>
    <row r="73" spans="1:12" x14ac:dyDescent="0.2">
      <c r="A73" s="59" t="s">
        <v>115</v>
      </c>
      <c r="D73" s="67"/>
      <c r="L73" s="23"/>
    </row>
    <row r="74" spans="1:12" x14ac:dyDescent="0.2">
      <c r="D74" s="67"/>
      <c r="J74" s="50"/>
      <c r="L74" s="23"/>
    </row>
    <row r="75" spans="1:12" x14ac:dyDescent="0.2">
      <c r="A75" s="24" t="s">
        <v>3</v>
      </c>
      <c r="B75" s="40"/>
      <c r="D75" s="67" t="s">
        <v>151</v>
      </c>
      <c r="L75" s="23"/>
    </row>
    <row r="76" spans="1:12" x14ac:dyDescent="0.2">
      <c r="D76" s="67"/>
      <c r="L76" s="23"/>
    </row>
    <row r="77" spans="1:12" x14ac:dyDescent="0.2">
      <c r="A77" s="61" t="str">
        <f>B50 &amp; " Property"</f>
        <v>Sliema Property</v>
      </c>
      <c r="F77" s="77"/>
      <c r="G77" s="79"/>
      <c r="J77" s="50"/>
      <c r="L77" s="23"/>
    </row>
    <row r="78" spans="1:12" x14ac:dyDescent="0.2">
      <c r="A78" s="60" t="s">
        <v>42</v>
      </c>
      <c r="B78" s="40"/>
      <c r="D78" s="67" t="s">
        <v>119</v>
      </c>
      <c r="F78" s="77" t="s">
        <v>101</v>
      </c>
      <c r="G78" s="78" t="str">
        <f>IFERROR(NPER(B79/12,-B80,B78),"")</f>
        <v/>
      </c>
      <c r="L78" s="23"/>
    </row>
    <row r="79" spans="1:12" x14ac:dyDescent="0.2">
      <c r="A79" s="60" t="s">
        <v>99</v>
      </c>
      <c r="B79" s="41"/>
      <c r="D79" s="67"/>
      <c r="F79" s="77" t="s">
        <v>102</v>
      </c>
      <c r="G79" s="78" t="str">
        <f>IFERROR(G78/12,"")</f>
        <v/>
      </c>
      <c r="L79" s="23"/>
    </row>
    <row r="80" spans="1:12" x14ac:dyDescent="0.2">
      <c r="A80" s="60" t="s">
        <v>100</v>
      </c>
      <c r="B80" s="40"/>
      <c r="D80" s="67"/>
      <c r="G80" s="79"/>
      <c r="J80" s="50"/>
      <c r="L80" s="23"/>
    </row>
    <row r="81" spans="1:12" x14ac:dyDescent="0.2">
      <c r="B81" s="23"/>
      <c r="D81" s="67"/>
      <c r="G81" s="79"/>
      <c r="J81" s="50"/>
      <c r="L81" s="23"/>
    </row>
    <row r="82" spans="1:12" x14ac:dyDescent="0.2">
      <c r="A82" s="61" t="str">
        <f>B55 &amp; " Property"</f>
        <v xml:space="preserve"> Property</v>
      </c>
      <c r="B82" s="23"/>
      <c r="F82" s="77"/>
      <c r="G82" s="79"/>
      <c r="L82" s="23"/>
    </row>
    <row r="83" spans="1:12" x14ac:dyDescent="0.2">
      <c r="A83" s="60" t="s">
        <v>42</v>
      </c>
      <c r="B83" s="40"/>
      <c r="D83" s="67" t="s">
        <v>119</v>
      </c>
      <c r="F83" s="77" t="s">
        <v>101</v>
      </c>
      <c r="G83" s="78" t="str">
        <f>IFERROR(NPER(B84/12,-B85,B83),"")</f>
        <v/>
      </c>
      <c r="L83" s="23"/>
    </row>
    <row r="84" spans="1:12" x14ac:dyDescent="0.2">
      <c r="A84" s="60" t="s">
        <v>99</v>
      </c>
      <c r="B84" s="41"/>
      <c r="D84" s="67"/>
      <c r="F84" s="77" t="s">
        <v>102</v>
      </c>
      <c r="G84" s="78" t="str">
        <f>IFERROR(G83/12,"")</f>
        <v/>
      </c>
      <c r="L84" s="23"/>
    </row>
    <row r="85" spans="1:12" x14ac:dyDescent="0.2">
      <c r="A85" s="60" t="s">
        <v>100</v>
      </c>
      <c r="B85" s="40"/>
      <c r="D85" s="67"/>
      <c r="G85" s="79"/>
      <c r="L85" s="23"/>
    </row>
    <row r="86" spans="1:12" x14ac:dyDescent="0.2">
      <c r="D86" s="67"/>
      <c r="G86" s="79"/>
      <c r="L86" s="23"/>
    </row>
    <row r="87" spans="1:12" x14ac:dyDescent="0.2">
      <c r="A87" s="61" t="str">
        <f>B60&amp; " Property"</f>
        <v xml:space="preserve"> Property</v>
      </c>
      <c r="B87" s="23"/>
      <c r="F87" s="77"/>
      <c r="G87" s="79"/>
      <c r="L87" s="23"/>
    </row>
    <row r="88" spans="1:12" x14ac:dyDescent="0.2">
      <c r="A88" s="60" t="s">
        <v>42</v>
      </c>
      <c r="B88" s="40"/>
      <c r="D88" s="67" t="s">
        <v>119</v>
      </c>
      <c r="F88" s="77" t="s">
        <v>101</v>
      </c>
      <c r="G88" s="78" t="str">
        <f>IFERROR(NPER(B89/12,-B90,B88),"")</f>
        <v/>
      </c>
      <c r="L88" s="23"/>
    </row>
    <row r="89" spans="1:12" x14ac:dyDescent="0.2">
      <c r="A89" s="60" t="s">
        <v>99</v>
      </c>
      <c r="B89" s="41"/>
      <c r="D89" s="67"/>
      <c r="F89" s="77" t="s">
        <v>102</v>
      </c>
      <c r="G89" s="78" t="str">
        <f>IFERROR(G88/12,"")</f>
        <v/>
      </c>
      <c r="J89" s="50"/>
      <c r="L89" s="23"/>
    </row>
    <row r="90" spans="1:12" x14ac:dyDescent="0.2">
      <c r="A90" s="60" t="s">
        <v>100</v>
      </c>
      <c r="B90" s="40"/>
      <c r="D90" s="67"/>
      <c r="G90" s="79"/>
      <c r="J90" s="50"/>
      <c r="L90" s="23"/>
    </row>
    <row r="91" spans="1:12" x14ac:dyDescent="0.2">
      <c r="B91" s="23"/>
      <c r="D91" s="67"/>
      <c r="G91" s="79"/>
      <c r="L91" s="23"/>
    </row>
    <row r="92" spans="1:12" x14ac:dyDescent="0.2">
      <c r="A92" s="24" t="s">
        <v>38</v>
      </c>
      <c r="D92" s="67"/>
      <c r="F92" s="77"/>
      <c r="G92" s="78"/>
      <c r="L92" s="23"/>
    </row>
    <row r="93" spans="1:12" x14ac:dyDescent="0.2">
      <c r="A93" s="60" t="s">
        <v>42</v>
      </c>
      <c r="B93" s="40"/>
      <c r="D93" s="67" t="s">
        <v>110</v>
      </c>
      <c r="F93" s="77" t="s">
        <v>101</v>
      </c>
      <c r="G93" s="78" t="str">
        <f>IFERROR(NPER(B94/12,-B95,B93),"")</f>
        <v/>
      </c>
      <c r="L93" s="23"/>
    </row>
    <row r="94" spans="1:12" x14ac:dyDescent="0.2">
      <c r="A94" s="60" t="s">
        <v>99</v>
      </c>
      <c r="B94" s="41"/>
      <c r="D94" s="67"/>
      <c r="F94" s="77" t="s">
        <v>102</v>
      </c>
      <c r="G94" s="78" t="str">
        <f>IFERROR(G93/12,"")</f>
        <v/>
      </c>
      <c r="L94" s="23"/>
    </row>
    <row r="95" spans="1:12" x14ac:dyDescent="0.2">
      <c r="A95" s="60" t="s">
        <v>100</v>
      </c>
      <c r="B95" s="40"/>
      <c r="D95" s="67"/>
      <c r="E95" s="73"/>
      <c r="L95" s="23"/>
    </row>
    <row r="96" spans="1:12" x14ac:dyDescent="0.2">
      <c r="D96" s="67"/>
      <c r="E96" s="73"/>
      <c r="L96" s="23"/>
    </row>
    <row r="97" spans="1:12" x14ac:dyDescent="0.2">
      <c r="A97" s="59" t="s">
        <v>148</v>
      </c>
      <c r="D97" s="67"/>
      <c r="L97" s="23"/>
    </row>
    <row r="98" spans="1:12" x14ac:dyDescent="0.2">
      <c r="B98" s="39"/>
      <c r="L98" s="23"/>
    </row>
    <row r="99" spans="1:12" s="21" customFormat="1" x14ac:dyDescent="0.2">
      <c r="A99" s="24" t="s">
        <v>116</v>
      </c>
      <c r="B99" s="39"/>
      <c r="D99" s="68"/>
      <c r="E99" s="66"/>
      <c r="F99" s="76"/>
      <c r="G99" s="80"/>
    </row>
    <row r="100" spans="1:12" s="21" customFormat="1" x14ac:dyDescent="0.2">
      <c r="A100" s="60" t="s">
        <v>32</v>
      </c>
      <c r="B100" s="44"/>
      <c r="D100" s="67" t="s">
        <v>110</v>
      </c>
      <c r="E100" s="66"/>
      <c r="F100" s="76"/>
      <c r="G100" s="80"/>
    </row>
    <row r="101" spans="1:12" s="21" customFormat="1" x14ac:dyDescent="0.2">
      <c r="A101" s="60" t="s">
        <v>50</v>
      </c>
      <c r="B101" s="40"/>
      <c r="D101" s="67" t="s">
        <v>119</v>
      </c>
      <c r="E101" s="66"/>
      <c r="F101" s="76"/>
      <c r="G101" s="80"/>
    </row>
    <row r="102" spans="1:12" s="21" customFormat="1" x14ac:dyDescent="0.2">
      <c r="A102" s="60" t="s">
        <v>6</v>
      </c>
      <c r="B102" s="43"/>
      <c r="D102" s="68"/>
      <c r="E102" s="66"/>
      <c r="F102" s="76"/>
      <c r="G102" s="80"/>
    </row>
    <row r="103" spans="1:12" s="21" customFormat="1" x14ac:dyDescent="0.2">
      <c r="A103" s="24"/>
      <c r="B103" s="39"/>
      <c r="D103" s="68"/>
      <c r="E103" s="66"/>
      <c r="F103" s="76"/>
      <c r="G103" s="80"/>
    </row>
    <row r="104" spans="1:12" s="21" customFormat="1" x14ac:dyDescent="0.2">
      <c r="A104" s="24" t="s">
        <v>117</v>
      </c>
      <c r="B104" s="39"/>
      <c r="D104" s="68"/>
      <c r="E104" s="66"/>
      <c r="F104" s="76"/>
      <c r="G104" s="80"/>
    </row>
    <row r="105" spans="1:12" s="21" customFormat="1" x14ac:dyDescent="0.2">
      <c r="A105" s="60" t="s">
        <v>32</v>
      </c>
      <c r="B105" s="44"/>
      <c r="D105" s="67" t="s">
        <v>110</v>
      </c>
      <c r="E105" s="66"/>
      <c r="F105" s="76"/>
      <c r="G105" s="80"/>
    </row>
    <row r="106" spans="1:12" s="21" customFormat="1" x14ac:dyDescent="0.2">
      <c r="A106" s="60" t="s">
        <v>50</v>
      </c>
      <c r="B106" s="40"/>
      <c r="D106" s="67" t="s">
        <v>119</v>
      </c>
      <c r="E106" s="66"/>
      <c r="F106" s="76"/>
      <c r="G106" s="80"/>
    </row>
    <row r="107" spans="1:12" s="21" customFormat="1" x14ac:dyDescent="0.2">
      <c r="A107" s="60" t="s">
        <v>6</v>
      </c>
      <c r="B107" s="43"/>
      <c r="D107" s="68"/>
      <c r="E107" s="66"/>
      <c r="F107" s="76"/>
      <c r="G107" s="80"/>
    </row>
    <row r="108" spans="1:12" s="21" customFormat="1" x14ac:dyDescent="0.2">
      <c r="A108" s="24"/>
      <c r="B108" s="39"/>
      <c r="D108" s="68"/>
      <c r="E108" s="66"/>
      <c r="F108" s="76"/>
      <c r="G108" s="80"/>
    </row>
    <row r="109" spans="1:12" s="21" customFormat="1" x14ac:dyDescent="0.2">
      <c r="A109" s="24" t="s">
        <v>118</v>
      </c>
      <c r="B109" s="39"/>
      <c r="D109" s="68"/>
      <c r="E109" s="66"/>
      <c r="F109" s="76"/>
      <c r="G109" s="80"/>
    </row>
    <row r="110" spans="1:12" s="21" customFormat="1" x14ac:dyDescent="0.2">
      <c r="A110" s="60" t="s">
        <v>32</v>
      </c>
      <c r="B110" s="44"/>
      <c r="D110" s="67" t="s">
        <v>110</v>
      </c>
      <c r="E110" s="66"/>
      <c r="F110" s="76"/>
      <c r="G110" s="80"/>
    </row>
    <row r="111" spans="1:12" s="21" customFormat="1" x14ac:dyDescent="0.2">
      <c r="A111" s="60" t="s">
        <v>50</v>
      </c>
      <c r="B111" s="40"/>
      <c r="D111" s="67" t="s">
        <v>119</v>
      </c>
      <c r="E111" s="66"/>
      <c r="F111" s="76"/>
      <c r="G111" s="80"/>
    </row>
    <row r="112" spans="1:12" s="21" customFormat="1" x14ac:dyDescent="0.2">
      <c r="A112" s="60" t="s">
        <v>6</v>
      </c>
      <c r="B112" s="43"/>
      <c r="D112" s="68"/>
      <c r="E112" s="66"/>
      <c r="F112" s="76"/>
      <c r="G112" s="80"/>
    </row>
    <row r="113" spans="1:12" s="21" customFormat="1" x14ac:dyDescent="0.2">
      <c r="A113" s="24"/>
      <c r="B113" s="39"/>
      <c r="D113" s="68"/>
      <c r="E113" s="66"/>
      <c r="F113" s="76"/>
      <c r="G113" s="80"/>
    </row>
    <row r="114" spans="1:12" x14ac:dyDescent="0.2">
      <c r="A114" s="59" t="s">
        <v>147</v>
      </c>
      <c r="B114" s="39"/>
      <c r="L114" s="23"/>
    </row>
    <row r="115" spans="1:12" x14ac:dyDescent="0.2">
      <c r="A115" s="60"/>
      <c r="B115" s="39"/>
      <c r="L115" s="23"/>
    </row>
    <row r="116" spans="1:12" s="21" customFormat="1" x14ac:dyDescent="0.2">
      <c r="A116" s="24" t="s">
        <v>120</v>
      </c>
      <c r="B116" s="39"/>
      <c r="D116" s="68"/>
      <c r="E116" s="66"/>
      <c r="F116" s="76"/>
      <c r="G116" s="80"/>
    </row>
    <row r="117" spans="1:12" s="21" customFormat="1" x14ac:dyDescent="0.2">
      <c r="A117" s="60" t="s">
        <v>32</v>
      </c>
      <c r="B117" s="44"/>
      <c r="D117" s="67" t="s">
        <v>110</v>
      </c>
      <c r="E117" s="66"/>
      <c r="F117" s="76"/>
      <c r="G117" s="80"/>
    </row>
    <row r="118" spans="1:12" s="21" customFormat="1" x14ac:dyDescent="0.2">
      <c r="A118" s="60" t="s">
        <v>50</v>
      </c>
      <c r="B118" s="40"/>
      <c r="D118" s="67" t="s">
        <v>119</v>
      </c>
      <c r="E118" s="66"/>
      <c r="F118" s="76"/>
      <c r="G118" s="80"/>
    </row>
    <row r="119" spans="1:12" s="21" customFormat="1" x14ac:dyDescent="0.2">
      <c r="A119" s="60" t="s">
        <v>6</v>
      </c>
      <c r="B119" s="43"/>
      <c r="D119" s="68"/>
      <c r="E119" s="66"/>
      <c r="F119" s="76"/>
      <c r="G119" s="80"/>
    </row>
    <row r="120" spans="1:12" s="21" customFormat="1" x14ac:dyDescent="0.2">
      <c r="A120" s="24"/>
      <c r="B120" s="39"/>
      <c r="D120" s="68"/>
      <c r="E120" s="66"/>
      <c r="F120" s="76"/>
      <c r="G120" s="80"/>
    </row>
    <row r="121" spans="1:12" s="21" customFormat="1" x14ac:dyDescent="0.2">
      <c r="A121" s="24" t="s">
        <v>121</v>
      </c>
      <c r="B121" s="39"/>
      <c r="D121" s="68"/>
      <c r="E121" s="66"/>
      <c r="F121" s="76"/>
      <c r="G121" s="80"/>
    </row>
    <row r="122" spans="1:12" s="21" customFormat="1" x14ac:dyDescent="0.2">
      <c r="A122" s="60" t="s">
        <v>32</v>
      </c>
      <c r="B122" s="44"/>
      <c r="D122" s="67" t="s">
        <v>110</v>
      </c>
      <c r="E122" s="66"/>
      <c r="F122" s="76"/>
      <c r="G122" s="80"/>
    </row>
    <row r="123" spans="1:12" s="21" customFormat="1" x14ac:dyDescent="0.2">
      <c r="A123" s="60" t="s">
        <v>50</v>
      </c>
      <c r="B123" s="40"/>
      <c r="D123" s="67" t="s">
        <v>119</v>
      </c>
      <c r="E123" s="66"/>
      <c r="F123" s="76"/>
      <c r="G123" s="80"/>
    </row>
    <row r="124" spans="1:12" s="21" customFormat="1" x14ac:dyDescent="0.2">
      <c r="A124" s="60" t="s">
        <v>6</v>
      </c>
      <c r="B124" s="43"/>
      <c r="D124" s="68"/>
      <c r="E124" s="66"/>
      <c r="F124" s="76"/>
      <c r="G124" s="80"/>
    </row>
    <row r="125" spans="1:12" x14ac:dyDescent="0.2">
      <c r="B125" s="39"/>
      <c r="L125" s="23"/>
    </row>
    <row r="126" spans="1:12" x14ac:dyDescent="0.2">
      <c r="A126" s="24" t="s">
        <v>122</v>
      </c>
      <c r="B126" s="39"/>
      <c r="L126" s="23"/>
    </row>
    <row r="127" spans="1:12" x14ac:dyDescent="0.2">
      <c r="A127" s="60" t="s">
        <v>32</v>
      </c>
      <c r="B127" s="44"/>
      <c r="D127" s="67" t="s">
        <v>110</v>
      </c>
      <c r="L127" s="23"/>
    </row>
    <row r="128" spans="1:12" x14ac:dyDescent="0.2">
      <c r="A128" s="60" t="s">
        <v>50</v>
      </c>
      <c r="B128" s="40"/>
      <c r="D128" s="67" t="s">
        <v>119</v>
      </c>
      <c r="L128" s="23"/>
    </row>
    <row r="129" spans="1:12" x14ac:dyDescent="0.2">
      <c r="A129" s="60" t="s">
        <v>6</v>
      </c>
      <c r="B129" s="43"/>
      <c r="L129" s="23"/>
    </row>
    <row r="130" spans="1:12" x14ac:dyDescent="0.2">
      <c r="A130" s="60"/>
      <c r="D130" s="67"/>
      <c r="L130" s="23"/>
    </row>
    <row r="131" spans="1:12" x14ac:dyDescent="0.2">
      <c r="A131" s="60"/>
      <c r="D131" s="67"/>
      <c r="L131" s="23"/>
    </row>
    <row r="132" spans="1:12" x14ac:dyDescent="0.2">
      <c r="A132" s="58" t="s">
        <v>128</v>
      </c>
      <c r="B132" s="38"/>
      <c r="C132" s="49" t="s">
        <v>157</v>
      </c>
      <c r="D132" s="67"/>
      <c r="E132" s="66" t="s">
        <v>159</v>
      </c>
      <c r="L132" s="23"/>
    </row>
    <row r="133" spans="1:12" x14ac:dyDescent="0.2">
      <c r="D133" s="67"/>
      <c r="L133" s="23"/>
    </row>
    <row r="134" spans="1:12" x14ac:dyDescent="0.2">
      <c r="A134" s="20" t="s">
        <v>43</v>
      </c>
      <c r="B134" s="40">
        <v>94</v>
      </c>
      <c r="C134" s="52">
        <v>85</v>
      </c>
      <c r="L134" s="23"/>
    </row>
    <row r="135" spans="1:12" x14ac:dyDescent="0.2">
      <c r="A135" s="20"/>
      <c r="C135" s="21"/>
      <c r="D135" s="67"/>
      <c r="L135" s="23"/>
    </row>
    <row r="136" spans="1:12" s="21" customFormat="1" x14ac:dyDescent="0.2">
      <c r="A136" s="20" t="s">
        <v>63</v>
      </c>
      <c r="D136" s="68"/>
      <c r="E136" s="66"/>
      <c r="F136" s="76"/>
      <c r="G136" s="80"/>
    </row>
    <row r="137" spans="1:12" s="21" customFormat="1" x14ac:dyDescent="0.2">
      <c r="A137" s="24" t="s">
        <v>83</v>
      </c>
      <c r="B137" s="45">
        <v>0</v>
      </c>
      <c r="C137" s="53">
        <v>0</v>
      </c>
      <c r="D137" s="69" t="s">
        <v>4</v>
      </c>
      <c r="E137" s="66"/>
      <c r="F137" s="76"/>
      <c r="G137" s="80"/>
    </row>
    <row r="138" spans="1:12" s="21" customFormat="1" x14ac:dyDescent="0.2">
      <c r="A138" s="24" t="s">
        <v>61</v>
      </c>
      <c r="B138" s="45">
        <v>-0.1</v>
      </c>
      <c r="C138" s="53">
        <v>-0.1</v>
      </c>
      <c r="D138" s="69" t="s">
        <v>4</v>
      </c>
      <c r="E138" s="66"/>
      <c r="F138" s="76"/>
      <c r="G138" s="80"/>
    </row>
    <row r="139" spans="1:12" s="21" customFormat="1" x14ac:dyDescent="0.2">
      <c r="A139" s="24" t="s">
        <v>62</v>
      </c>
      <c r="B139" s="45">
        <v>-0.2</v>
      </c>
      <c r="C139" s="53">
        <v>-0.2</v>
      </c>
      <c r="D139" s="69" t="s">
        <v>4</v>
      </c>
      <c r="E139" s="66"/>
      <c r="F139" s="76"/>
      <c r="G139" s="80"/>
    </row>
    <row r="140" spans="1:12" x14ac:dyDescent="0.2">
      <c r="C140" s="21"/>
      <c r="L140" s="23"/>
    </row>
    <row r="141" spans="1:12" x14ac:dyDescent="0.2">
      <c r="A141" s="20" t="s">
        <v>52</v>
      </c>
      <c r="B141" s="40"/>
      <c r="C141" s="52"/>
      <c r="D141" s="67" t="s">
        <v>119</v>
      </c>
      <c r="L141" s="23"/>
    </row>
    <row r="142" spans="1:12" x14ac:dyDescent="0.2">
      <c r="A142" s="24" t="s">
        <v>135</v>
      </c>
      <c r="B142" s="40"/>
      <c r="C142" s="52"/>
      <c r="D142" s="67"/>
      <c r="L142" s="23"/>
    </row>
    <row r="143" spans="1:12" x14ac:dyDescent="0.2">
      <c r="A143" s="24" t="s">
        <v>136</v>
      </c>
      <c r="B143" s="40"/>
      <c r="C143" s="52"/>
      <c r="D143" s="67"/>
      <c r="E143" s="66" t="s">
        <v>169</v>
      </c>
      <c r="L143" s="23"/>
    </row>
    <row r="144" spans="1:12" x14ac:dyDescent="0.2">
      <c r="C144" s="21"/>
      <c r="D144" s="67"/>
      <c r="L144" s="23"/>
    </row>
    <row r="145" spans="1:12" x14ac:dyDescent="0.2">
      <c r="A145" s="20" t="s">
        <v>20</v>
      </c>
      <c r="B145" s="41">
        <v>2.5000000000000001E-2</v>
      </c>
      <c r="C145" s="54">
        <v>2.5000000000000001E-2</v>
      </c>
      <c r="L145" s="23"/>
    </row>
    <row r="146" spans="1:12" x14ac:dyDescent="0.2">
      <c r="C146" s="21"/>
      <c r="D146" s="67"/>
      <c r="L146" s="23"/>
    </row>
    <row r="147" spans="1:12" x14ac:dyDescent="0.2">
      <c r="A147" s="20" t="s">
        <v>133</v>
      </c>
      <c r="B147" s="41">
        <v>0.03</v>
      </c>
      <c r="C147" s="54">
        <v>0.03</v>
      </c>
      <c r="D147" s="67" t="s">
        <v>108</v>
      </c>
      <c r="L147" s="23"/>
    </row>
    <row r="148" spans="1:12" x14ac:dyDescent="0.2">
      <c r="C148" s="21"/>
      <c r="D148" s="67"/>
      <c r="L148" s="23"/>
    </row>
    <row r="149" spans="1:12" x14ac:dyDescent="0.2">
      <c r="A149" s="20" t="s">
        <v>129</v>
      </c>
      <c r="B149" s="46">
        <v>2.5000000000000001E-2</v>
      </c>
      <c r="C149" s="55">
        <v>2.5000000000000001E-2</v>
      </c>
      <c r="D149" s="67" t="s">
        <v>108</v>
      </c>
      <c r="L149" s="23"/>
    </row>
    <row r="150" spans="1:12" x14ac:dyDescent="0.2">
      <c r="C150" s="21"/>
      <c r="D150" s="67"/>
      <c r="L150" s="23"/>
    </row>
    <row r="151" spans="1:12" x14ac:dyDescent="0.2">
      <c r="A151" s="20" t="s">
        <v>130</v>
      </c>
      <c r="B151" s="47">
        <v>0.08</v>
      </c>
      <c r="C151" s="56">
        <v>0.08</v>
      </c>
      <c r="D151" s="67" t="s">
        <v>108</v>
      </c>
      <c r="L151" s="23"/>
    </row>
    <row r="152" spans="1:12" x14ac:dyDescent="0.2">
      <c r="C152" s="21"/>
      <c r="D152" s="67"/>
      <c r="L152" s="23"/>
    </row>
    <row r="153" spans="1:12" x14ac:dyDescent="0.2">
      <c r="A153" s="20" t="s">
        <v>132</v>
      </c>
      <c r="B153" s="45">
        <v>0.03</v>
      </c>
      <c r="C153" s="53">
        <v>0.03</v>
      </c>
      <c r="D153" s="67" t="s">
        <v>108</v>
      </c>
      <c r="L153" s="23"/>
    </row>
    <row r="154" spans="1:12" x14ac:dyDescent="0.2">
      <c r="C154" s="21"/>
      <c r="D154" s="67"/>
      <c r="L154" s="23"/>
    </row>
    <row r="155" spans="1:12" x14ac:dyDescent="0.2">
      <c r="A155" s="20" t="s">
        <v>131</v>
      </c>
      <c r="B155" s="45">
        <v>0.03</v>
      </c>
      <c r="C155" s="53">
        <v>0.03</v>
      </c>
      <c r="L155" s="23"/>
    </row>
    <row r="156" spans="1:12" x14ac:dyDescent="0.2">
      <c r="C156" s="21"/>
      <c r="D156" s="67"/>
      <c r="L156" s="23"/>
    </row>
    <row r="157" spans="1:12" ht="17" x14ac:dyDescent="0.2">
      <c r="A157" s="62" t="s">
        <v>134</v>
      </c>
      <c r="B157" s="40">
        <v>300</v>
      </c>
      <c r="C157" s="52">
        <v>300</v>
      </c>
      <c r="D157" s="67" t="s">
        <v>140</v>
      </c>
      <c r="L157" s="23"/>
    </row>
    <row r="158" spans="1:12" x14ac:dyDescent="0.2">
      <c r="A158" s="20"/>
      <c r="C158" s="21"/>
      <c r="D158" s="67"/>
      <c r="L158" s="23"/>
    </row>
    <row r="159" spans="1:12" x14ac:dyDescent="0.2">
      <c r="A159" s="20" t="s">
        <v>86</v>
      </c>
      <c r="B159" s="40">
        <v>20000</v>
      </c>
      <c r="C159" s="52">
        <v>20000</v>
      </c>
      <c r="D159" s="67" t="s">
        <v>139</v>
      </c>
      <c r="L159" s="23"/>
    </row>
    <row r="160" spans="1:12" x14ac:dyDescent="0.2">
      <c r="C160" s="21"/>
      <c r="D160" s="67"/>
      <c r="L160" s="23"/>
    </row>
    <row r="161" spans="1:13" x14ac:dyDescent="0.2">
      <c r="A161" s="20" t="s">
        <v>142</v>
      </c>
      <c r="B161" s="45">
        <v>0.05</v>
      </c>
      <c r="C161" s="53">
        <v>0.05</v>
      </c>
      <c r="D161" s="67" t="s">
        <v>141</v>
      </c>
      <c r="L161" s="23"/>
    </row>
    <row r="162" spans="1:13" x14ac:dyDescent="0.2">
      <c r="A162" s="60"/>
      <c r="C162" s="21"/>
      <c r="L162" s="23"/>
    </row>
    <row r="163" spans="1:13" x14ac:dyDescent="0.2">
      <c r="A163" s="20" t="s">
        <v>143</v>
      </c>
      <c r="B163" s="45">
        <v>0.15</v>
      </c>
      <c r="C163" s="53">
        <v>0.15</v>
      </c>
      <c r="D163" s="67" t="s">
        <v>144</v>
      </c>
      <c r="L163" s="23"/>
    </row>
    <row r="164" spans="1:13" x14ac:dyDescent="0.2">
      <c r="C164" s="21"/>
      <c r="L164" s="23"/>
      <c r="M164" s="21"/>
    </row>
    <row r="165" spans="1:13" ht="17" x14ac:dyDescent="0.2">
      <c r="A165" s="62" t="s">
        <v>145</v>
      </c>
      <c r="C165" s="21"/>
      <c r="D165" s="70"/>
      <c r="L165" s="23"/>
      <c r="M165" s="21"/>
    </row>
    <row r="166" spans="1:13" x14ac:dyDescent="0.2">
      <c r="A166" s="63" t="str">
        <f>B50</f>
        <v>Sliema</v>
      </c>
      <c r="B166" s="48" t="s">
        <v>171</v>
      </c>
      <c r="C166" s="21">
        <f>IF(F166&lt;=0,"",_xlfn.RANK.EQ(F166,$F$166:$F$168,1)-COUNTIF($F$166:$F$168,0))</f>
        <v>1</v>
      </c>
      <c r="D166" s="67" t="s">
        <v>146</v>
      </c>
      <c r="F166" s="80">
        <f>B51</f>
        <v>300000</v>
      </c>
      <c r="L166" s="23"/>
    </row>
    <row r="167" spans="1:13" x14ac:dyDescent="0.2">
      <c r="A167" s="63">
        <f>B55</f>
        <v>0</v>
      </c>
      <c r="B167" s="48" t="s">
        <v>171</v>
      </c>
      <c r="C167" s="21" t="str">
        <f>IF(F167&lt;=0,"",_xlfn.RANK.EQ(F167,$F$166:$F$168,1)-COUNTIF($F$166:$F$168,0))</f>
        <v/>
      </c>
      <c r="D167" s="71"/>
      <c r="F167" s="80">
        <f>B56</f>
        <v>0</v>
      </c>
      <c r="L167" s="23"/>
    </row>
    <row r="168" spans="1:13" x14ac:dyDescent="0.2">
      <c r="A168" s="63">
        <f>B60</f>
        <v>0</v>
      </c>
      <c r="B168" s="48" t="s">
        <v>171</v>
      </c>
      <c r="C168" s="21" t="str">
        <f>IF(F168&lt;=0,"",_xlfn.RANK.EQ(F168,$F$166:$F$168,1)-COUNTIF($F$166:$F$168,0))</f>
        <v/>
      </c>
      <c r="D168" s="71"/>
      <c r="F168" s="80">
        <f>B61</f>
        <v>0</v>
      </c>
      <c r="L168" s="23"/>
    </row>
    <row r="169" spans="1:13" x14ac:dyDescent="0.2">
      <c r="L169" s="23"/>
    </row>
    <row r="170" spans="1:13" x14ac:dyDescent="0.2">
      <c r="L170" s="23"/>
    </row>
    <row r="171" spans="1:13" x14ac:dyDescent="0.2">
      <c r="L171" s="23"/>
    </row>
    <row r="172" spans="1:13" x14ac:dyDescent="0.2">
      <c r="L172" s="23"/>
    </row>
    <row r="173" spans="1:13" x14ac:dyDescent="0.2">
      <c r="L173" s="23"/>
    </row>
    <row r="174" spans="1:13" x14ac:dyDescent="0.2">
      <c r="L174" s="23"/>
    </row>
    <row r="175" spans="1:13" x14ac:dyDescent="0.2">
      <c r="L175" s="23"/>
    </row>
    <row r="176" spans="1:13" x14ac:dyDescent="0.2">
      <c r="L176" s="23"/>
    </row>
  </sheetData>
  <phoneticPr fontId="5" type="noConversion"/>
  <dataValidations count="6">
    <dataValidation type="list" allowBlank="1" showInputMessage="1" showErrorMessage="1" sqref="B166:C168" xr:uid="{1C76E72A-4A74-9342-9CD6-96E686486B37}">
      <formula1>"0,1,2,3"</formula1>
    </dataValidation>
    <dataValidation type="whole" allowBlank="1" showInputMessage="1" showErrorMessage="1" sqref="B4:C4" xr:uid="{CEBCBBEB-61E4-314B-B9D6-B93D3329E6F5}">
      <formula1>18</formula1>
      <formula2>100</formula2>
    </dataValidation>
    <dataValidation type="decimal" allowBlank="1" showInputMessage="1" showErrorMessage="1" sqref="B147:C147" xr:uid="{A76CC167-ADB1-954D-BA8F-57DA6856622B}">
      <formula1>0</formula1>
      <formula2>0.5</formula2>
    </dataValidation>
    <dataValidation type="whole" allowBlank="1" showInputMessage="1" showErrorMessage="1" sqref="B35:C35 B40:C40 B45:C45" xr:uid="{A3B04CD6-6A0C-9D4A-960A-19DFAACFBC84}">
      <formula1>1</formula1>
      <formula2>99</formula2>
    </dataValidation>
    <dataValidation type="custom" allowBlank="1" showInputMessage="1" showErrorMessage="1" sqref="C134" xr:uid="{78711C78-86C7-AC4E-B0D1-FA577F555676}">
      <formula1>AND(C134&gt;I4,C134&lt;=100)</formula1>
    </dataValidation>
    <dataValidation type="custom" allowBlank="1" showInputMessage="1" showErrorMessage="1" sqref="B134" xr:uid="{CFCAF581-183B-7347-97B6-0AC7B0FFD5E6}">
      <formula1>AND(B134&gt;B4,B134&lt;=100)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3" name="Button 31">
              <controlPr defaultSize="0" print="0" autoFill="0" autoPict="0" macro="[0]!RestoreDefaults">
                <anchor moveWithCells="1" sizeWithCells="1">
                  <from>
                    <xdr:col>3</xdr:col>
                    <xdr:colOff>165100</xdr:colOff>
                    <xdr:row>130</xdr:row>
                    <xdr:rowOff>177800</xdr:rowOff>
                  </from>
                  <to>
                    <xdr:col>3</xdr:col>
                    <xdr:colOff>1371600</xdr:colOff>
                    <xdr:row>131</xdr:row>
                    <xdr:rowOff>215900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8C7B-D167-A641-8E52-8DBE60839A73}">
  <sheetPr codeName="Sheet6">
    <tabColor theme="7" tint="0.79998168889431442"/>
  </sheetPr>
  <dimension ref="J2:AA13"/>
  <sheetViews>
    <sheetView showGridLines="0" zoomScale="111" zoomScaleNormal="110" workbookViewId="0">
      <selection activeCell="AB18" sqref="AB18"/>
    </sheetView>
  </sheetViews>
  <sheetFormatPr baseColWidth="10" defaultColWidth="11.1640625" defaultRowHeight="16" x14ac:dyDescent="0.2"/>
  <cols>
    <col min="21" max="21" width="11.5" customWidth="1"/>
    <col min="22" max="22" width="8.6640625" customWidth="1"/>
    <col min="23" max="27" width="0" hidden="1" customWidth="1"/>
  </cols>
  <sheetData>
    <row r="2" spans="10:27" ht="19" x14ac:dyDescent="0.25">
      <c r="V2" s="64" t="s">
        <v>167</v>
      </c>
      <c r="AA2" s="2" t="str">
        <f>"Retire at  "&amp;RetEarly_Engine!B3</f>
        <v>Retire at  59</v>
      </c>
    </row>
    <row r="3" spans="10:27" x14ac:dyDescent="0.2">
      <c r="V3" s="81">
        <f>RetEarly_Engine!B3</f>
        <v>59</v>
      </c>
      <c r="AA3" s="2" t="str">
        <f>"Retire at  "&amp;RetAge</f>
        <v>Retire at  65</v>
      </c>
    </row>
    <row r="4" spans="10:27" x14ac:dyDescent="0.2">
      <c r="K4" s="2"/>
      <c r="V4" s="81"/>
    </row>
    <row r="13" spans="10:27" x14ac:dyDescent="0.2">
      <c r="J13" s="15"/>
    </row>
  </sheetData>
  <mergeCells count="1">
    <mergeCell ref="V3:V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21</xdr:col>
                    <xdr:colOff>38100</xdr:colOff>
                    <xdr:row>4</xdr:row>
                    <xdr:rowOff>63500</xdr:rowOff>
                  </from>
                  <to>
                    <xdr:col>21</xdr:col>
                    <xdr:colOff>660400</xdr:colOff>
                    <xdr:row>9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D27E-B873-BD4B-AD92-1E837389CA3B}">
  <sheetPr codeName="Sheet2"/>
  <dimension ref="A1:AW348"/>
  <sheetViews>
    <sheetView zoomScale="110" zoomScaleNormal="110" workbookViewId="0">
      <pane xSplit="1" ySplit="3" topLeftCell="AC4" activePane="bottomRight" state="frozen"/>
      <selection activeCell="G122" sqref="G122"/>
      <selection pane="topRight" activeCell="G122" sqref="G122"/>
      <selection pane="bottomLeft" activeCell="G122" sqref="G122"/>
      <selection pane="bottomRight" activeCell="AW3" sqref="AW3"/>
    </sheetView>
  </sheetViews>
  <sheetFormatPr baseColWidth="10" defaultRowHeight="16" x14ac:dyDescent="0.2"/>
  <cols>
    <col min="1" max="1" width="39.33203125" style="2" customWidth="1"/>
    <col min="2" max="2" width="4.33203125" style="7" customWidth="1"/>
    <col min="3" max="47" width="11.83203125" style="2" customWidth="1"/>
    <col min="48" max="49" width="9.6640625" style="2" bestFit="1" customWidth="1"/>
    <col min="50" max="2615" width="11.83203125" customWidth="1"/>
  </cols>
  <sheetData>
    <row r="1" spans="1:49" x14ac:dyDescent="0.2">
      <c r="B1" s="6">
        <v>0</v>
      </c>
      <c r="C1" s="2">
        <v>1</v>
      </c>
      <c r="D1" s="2">
        <f>C1+1</f>
        <v>2</v>
      </c>
      <c r="E1" s="2">
        <f t="shared" ref="E1:AM2" si="0">D1+1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si="0"/>
        <v>8</v>
      </c>
      <c r="K1" s="2">
        <f t="shared" si="0"/>
        <v>9</v>
      </c>
      <c r="L1" s="2">
        <f t="shared" si="0"/>
        <v>10</v>
      </c>
      <c r="M1" s="2">
        <f t="shared" si="0"/>
        <v>11</v>
      </c>
      <c r="N1" s="2">
        <f t="shared" si="0"/>
        <v>12</v>
      </c>
      <c r="O1" s="2">
        <f t="shared" si="0"/>
        <v>13</v>
      </c>
      <c r="P1" s="2">
        <f t="shared" si="0"/>
        <v>14</v>
      </c>
      <c r="Q1" s="2">
        <f t="shared" si="0"/>
        <v>15</v>
      </c>
      <c r="R1" s="2">
        <f t="shared" si="0"/>
        <v>16</v>
      </c>
      <c r="S1" s="2">
        <f t="shared" si="0"/>
        <v>17</v>
      </c>
      <c r="T1" s="2">
        <f t="shared" si="0"/>
        <v>18</v>
      </c>
      <c r="U1" s="2">
        <f t="shared" si="0"/>
        <v>19</v>
      </c>
      <c r="V1" s="2">
        <f t="shared" si="0"/>
        <v>20</v>
      </c>
      <c r="W1" s="2">
        <f t="shared" si="0"/>
        <v>21</v>
      </c>
      <c r="X1" s="2">
        <f t="shared" si="0"/>
        <v>22</v>
      </c>
      <c r="Y1" s="2">
        <f t="shared" si="0"/>
        <v>23</v>
      </c>
      <c r="Z1" s="2">
        <f t="shared" si="0"/>
        <v>24</v>
      </c>
      <c r="AA1" s="2">
        <f t="shared" si="0"/>
        <v>25</v>
      </c>
      <c r="AB1" s="2">
        <f t="shared" si="0"/>
        <v>26</v>
      </c>
      <c r="AC1" s="2">
        <f t="shared" si="0"/>
        <v>27</v>
      </c>
      <c r="AD1" s="2">
        <f t="shared" si="0"/>
        <v>28</v>
      </c>
      <c r="AE1" s="2">
        <f t="shared" si="0"/>
        <v>29</v>
      </c>
      <c r="AF1" s="2">
        <f t="shared" si="0"/>
        <v>30</v>
      </c>
      <c r="AG1" s="2">
        <f t="shared" si="0"/>
        <v>31</v>
      </c>
      <c r="AH1" s="2">
        <f t="shared" si="0"/>
        <v>32</v>
      </c>
      <c r="AI1" s="2">
        <f t="shared" si="0"/>
        <v>33</v>
      </c>
      <c r="AJ1" s="2">
        <f t="shared" si="0"/>
        <v>34</v>
      </c>
      <c r="AK1" s="2">
        <f t="shared" si="0"/>
        <v>35</v>
      </c>
      <c r="AL1" s="2">
        <f t="shared" si="0"/>
        <v>36</v>
      </c>
      <c r="AM1" s="2">
        <f t="shared" si="0"/>
        <v>37</v>
      </c>
      <c r="AN1" s="2">
        <f t="shared" ref="AN1:AN3" si="1">AM1+1</f>
        <v>38</v>
      </c>
      <c r="AO1" s="2">
        <f t="shared" ref="AO1:AO3" si="2">AN1+1</f>
        <v>39</v>
      </c>
      <c r="AP1" s="2">
        <f t="shared" ref="AP1:AP3" si="3">AO1+1</f>
        <v>40</v>
      </c>
      <c r="AQ1" s="2">
        <f t="shared" ref="AQ1:AQ3" si="4">AP1+1</f>
        <v>41</v>
      </c>
      <c r="AR1" s="2">
        <f t="shared" ref="AR1:AR3" si="5">AQ1+1</f>
        <v>42</v>
      </c>
      <c r="AS1" s="2">
        <f t="shared" ref="AS1:AS3" si="6">AR1+1</f>
        <v>43</v>
      </c>
      <c r="AT1" s="2">
        <f t="shared" ref="AT1:AT3" si="7">AS1+1</f>
        <v>44</v>
      </c>
      <c r="AU1" s="2">
        <f t="shared" ref="AU1:AU3" si="8">AT1+1</f>
        <v>45</v>
      </c>
      <c r="AV1" s="2">
        <f t="shared" ref="AV1:AW3" si="9">AU1+1</f>
        <v>46</v>
      </c>
      <c r="AW1" s="2">
        <f t="shared" si="9"/>
        <v>47</v>
      </c>
    </row>
    <row r="2" spans="1:49" x14ac:dyDescent="0.2">
      <c r="A2" s="12"/>
      <c r="B2" s="6" t="s">
        <v>6</v>
      </c>
      <c r="C2" s="2">
        <f ca="1">YEAR(TODAY())+1</f>
        <v>2027</v>
      </c>
      <c r="D2" s="2">
        <f ca="1">C2+1</f>
        <v>2028</v>
      </c>
      <c r="E2" s="2">
        <f t="shared" ca="1" si="0"/>
        <v>2029</v>
      </c>
      <c r="F2" s="2">
        <f t="shared" ca="1" si="0"/>
        <v>2030</v>
      </c>
      <c r="G2" s="2">
        <f t="shared" ca="1" si="0"/>
        <v>2031</v>
      </c>
      <c r="H2" s="2">
        <f t="shared" ca="1" si="0"/>
        <v>2032</v>
      </c>
      <c r="I2" s="2">
        <f t="shared" ca="1" si="0"/>
        <v>2033</v>
      </c>
      <c r="J2" s="2">
        <f t="shared" ca="1" si="0"/>
        <v>2034</v>
      </c>
      <c r="K2" s="2">
        <f t="shared" ca="1" si="0"/>
        <v>2035</v>
      </c>
      <c r="L2" s="2">
        <f t="shared" ca="1" si="0"/>
        <v>2036</v>
      </c>
      <c r="M2" s="2">
        <f t="shared" ca="1" si="0"/>
        <v>2037</v>
      </c>
      <c r="N2" s="2">
        <f t="shared" ca="1" si="0"/>
        <v>2038</v>
      </c>
      <c r="O2" s="2">
        <f t="shared" ca="1" si="0"/>
        <v>2039</v>
      </c>
      <c r="P2" s="2">
        <f t="shared" ca="1" si="0"/>
        <v>2040</v>
      </c>
      <c r="Q2" s="2">
        <f t="shared" ca="1" si="0"/>
        <v>2041</v>
      </c>
      <c r="R2" s="2">
        <f t="shared" ca="1" si="0"/>
        <v>2042</v>
      </c>
      <c r="S2" s="2">
        <f t="shared" ca="1" si="0"/>
        <v>2043</v>
      </c>
      <c r="T2" s="2">
        <f t="shared" ca="1" si="0"/>
        <v>2044</v>
      </c>
      <c r="U2" s="2">
        <f t="shared" ca="1" si="0"/>
        <v>2045</v>
      </c>
      <c r="V2" s="2">
        <f t="shared" ca="1" si="0"/>
        <v>2046</v>
      </c>
      <c r="W2" s="2">
        <f t="shared" ca="1" si="0"/>
        <v>2047</v>
      </c>
      <c r="X2" s="2">
        <f t="shared" ca="1" si="0"/>
        <v>2048</v>
      </c>
      <c r="Y2" s="2">
        <f t="shared" ca="1" si="0"/>
        <v>2049</v>
      </c>
      <c r="Z2" s="2">
        <f t="shared" ca="1" si="0"/>
        <v>2050</v>
      </c>
      <c r="AA2" s="2">
        <f t="shared" ca="1" si="0"/>
        <v>2051</v>
      </c>
      <c r="AB2" s="2">
        <f t="shared" ca="1" si="0"/>
        <v>2052</v>
      </c>
      <c r="AC2" s="2">
        <f t="shared" ca="1" si="0"/>
        <v>2053</v>
      </c>
      <c r="AD2" s="2">
        <f t="shared" ca="1" si="0"/>
        <v>2054</v>
      </c>
      <c r="AE2" s="2">
        <f t="shared" ca="1" si="0"/>
        <v>2055</v>
      </c>
      <c r="AF2" s="2">
        <f t="shared" ca="1" si="0"/>
        <v>2056</v>
      </c>
      <c r="AG2" s="2">
        <f t="shared" ca="1" si="0"/>
        <v>2057</v>
      </c>
      <c r="AH2" s="2">
        <f t="shared" ca="1" si="0"/>
        <v>2058</v>
      </c>
      <c r="AI2" s="2">
        <f t="shared" ca="1" si="0"/>
        <v>2059</v>
      </c>
      <c r="AJ2" s="2">
        <f t="shared" ca="1" si="0"/>
        <v>2060</v>
      </c>
      <c r="AK2" s="2">
        <f t="shared" ca="1" si="0"/>
        <v>2061</v>
      </c>
      <c r="AL2" s="2">
        <f t="shared" ca="1" si="0"/>
        <v>2062</v>
      </c>
      <c r="AM2" s="2">
        <f t="shared" ca="1" si="0"/>
        <v>2063</v>
      </c>
      <c r="AN2" s="2">
        <f t="shared" ca="1" si="1"/>
        <v>2064</v>
      </c>
      <c r="AO2" s="2">
        <f t="shared" ca="1" si="2"/>
        <v>2065</v>
      </c>
      <c r="AP2" s="2">
        <f t="shared" ca="1" si="3"/>
        <v>2066</v>
      </c>
      <c r="AQ2" s="2">
        <f t="shared" ca="1" si="4"/>
        <v>2067</v>
      </c>
      <c r="AR2" s="2">
        <f t="shared" ca="1" si="5"/>
        <v>2068</v>
      </c>
      <c r="AS2" s="2">
        <f t="shared" ca="1" si="6"/>
        <v>2069</v>
      </c>
      <c r="AT2" s="2">
        <f t="shared" ca="1" si="7"/>
        <v>2070</v>
      </c>
      <c r="AU2" s="2">
        <f t="shared" ca="1" si="8"/>
        <v>2071</v>
      </c>
      <c r="AV2" s="2">
        <f t="shared" ca="1" si="9"/>
        <v>2072</v>
      </c>
      <c r="AW2" s="2">
        <f t="shared" ca="1" si="9"/>
        <v>2073</v>
      </c>
    </row>
    <row r="3" spans="1:49" x14ac:dyDescent="0.2">
      <c r="A3" s="36"/>
      <c r="B3" s="37">
        <f>Inputs!B19</f>
        <v>65</v>
      </c>
      <c r="C3" s="2">
        <f>Inputs!B4+1</f>
        <v>48</v>
      </c>
      <c r="D3" s="2">
        <f>C3+1</f>
        <v>49</v>
      </c>
      <c r="E3" s="2">
        <f t="shared" ref="E3:AM3" si="10">D3+1</f>
        <v>50</v>
      </c>
      <c r="F3" s="2">
        <f t="shared" si="10"/>
        <v>51</v>
      </c>
      <c r="G3" s="2">
        <f t="shared" si="10"/>
        <v>52</v>
      </c>
      <c r="H3" s="2">
        <f t="shared" si="10"/>
        <v>53</v>
      </c>
      <c r="I3" s="2">
        <f t="shared" si="10"/>
        <v>54</v>
      </c>
      <c r="J3" s="2">
        <f t="shared" si="10"/>
        <v>55</v>
      </c>
      <c r="K3" s="2">
        <f t="shared" si="10"/>
        <v>56</v>
      </c>
      <c r="L3" s="2">
        <f t="shared" si="10"/>
        <v>57</v>
      </c>
      <c r="M3" s="2">
        <f t="shared" si="10"/>
        <v>58</v>
      </c>
      <c r="N3" s="2">
        <f t="shared" si="10"/>
        <v>59</v>
      </c>
      <c r="O3" s="2">
        <f t="shared" si="10"/>
        <v>60</v>
      </c>
      <c r="P3" s="2">
        <f t="shared" si="10"/>
        <v>61</v>
      </c>
      <c r="Q3" s="2">
        <f t="shared" si="10"/>
        <v>62</v>
      </c>
      <c r="R3" s="2">
        <f t="shared" si="10"/>
        <v>63</v>
      </c>
      <c r="S3" s="2">
        <f t="shared" si="10"/>
        <v>64</v>
      </c>
      <c r="T3" s="2">
        <f t="shared" si="10"/>
        <v>65</v>
      </c>
      <c r="U3" s="2">
        <f t="shared" si="10"/>
        <v>66</v>
      </c>
      <c r="V3" s="2">
        <f t="shared" si="10"/>
        <v>67</v>
      </c>
      <c r="W3" s="2">
        <f t="shared" si="10"/>
        <v>68</v>
      </c>
      <c r="X3" s="2">
        <f t="shared" si="10"/>
        <v>69</v>
      </c>
      <c r="Y3" s="2">
        <f t="shared" si="10"/>
        <v>70</v>
      </c>
      <c r="Z3" s="2">
        <f t="shared" si="10"/>
        <v>71</v>
      </c>
      <c r="AA3" s="2">
        <f t="shared" si="10"/>
        <v>72</v>
      </c>
      <c r="AB3" s="2">
        <f t="shared" si="10"/>
        <v>73</v>
      </c>
      <c r="AC3" s="2">
        <f t="shared" si="10"/>
        <v>74</v>
      </c>
      <c r="AD3" s="2">
        <f t="shared" si="10"/>
        <v>75</v>
      </c>
      <c r="AE3" s="2">
        <f t="shared" si="10"/>
        <v>76</v>
      </c>
      <c r="AF3" s="2">
        <f t="shared" si="10"/>
        <v>77</v>
      </c>
      <c r="AG3" s="2">
        <f t="shared" si="10"/>
        <v>78</v>
      </c>
      <c r="AH3" s="2">
        <f t="shared" si="10"/>
        <v>79</v>
      </c>
      <c r="AI3" s="2">
        <f t="shared" si="10"/>
        <v>80</v>
      </c>
      <c r="AJ3" s="2">
        <f t="shared" si="10"/>
        <v>81</v>
      </c>
      <c r="AK3" s="2">
        <f t="shared" si="10"/>
        <v>82</v>
      </c>
      <c r="AL3" s="2">
        <f t="shared" si="10"/>
        <v>83</v>
      </c>
      <c r="AM3" s="2">
        <f t="shared" si="10"/>
        <v>84</v>
      </c>
      <c r="AN3" s="2">
        <f t="shared" si="1"/>
        <v>85</v>
      </c>
      <c r="AO3" s="2">
        <f t="shared" si="2"/>
        <v>86</v>
      </c>
      <c r="AP3" s="2">
        <f t="shared" si="3"/>
        <v>87</v>
      </c>
      <c r="AQ3" s="2">
        <f t="shared" si="4"/>
        <v>88</v>
      </c>
      <c r="AR3" s="2">
        <f t="shared" si="5"/>
        <v>89</v>
      </c>
      <c r="AS3" s="2">
        <f t="shared" si="6"/>
        <v>90</v>
      </c>
      <c r="AT3" s="2">
        <f t="shared" si="7"/>
        <v>91</v>
      </c>
      <c r="AU3" s="2">
        <f t="shared" si="8"/>
        <v>92</v>
      </c>
      <c r="AV3" s="2">
        <f t="shared" si="9"/>
        <v>93</v>
      </c>
      <c r="AW3" s="2">
        <f t="shared" si="9"/>
        <v>94</v>
      </c>
    </row>
    <row r="4" spans="1:49" ht="19" x14ac:dyDescent="0.25">
      <c r="A4" s="14" t="s">
        <v>17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">
      <c r="A5" s="5" t="s">
        <v>51</v>
      </c>
      <c r="B5" s="9"/>
      <c r="C5" s="8">
        <f>IF(AND(Inputs!$B$19&gt;C3,$B$3&gt;C3),Inputs!$B$6*(1+sincr)^B1,0)</f>
        <v>60000</v>
      </c>
      <c r="D5" s="8">
        <f>IF(AND(Inputs!$B$19&gt;D3,$B$3&gt;D3),Inputs!$B$6*(1+sincr)^C1,0)</f>
        <v>61800</v>
      </c>
      <c r="E5" s="8">
        <f>IF(AND(Inputs!$B$19&gt;E3,$B$3&gt;E3),Inputs!$B$6*(1+sincr)^D1,0)</f>
        <v>63654</v>
      </c>
      <c r="F5" s="8">
        <f>IF(AND(Inputs!$B$19&gt;F3,$B$3&gt;F3),Inputs!$B$6*(1+sincr)^E1,0)</f>
        <v>65563.62</v>
      </c>
      <c r="G5" s="8">
        <f>IF(AND(Inputs!$B$19&gt;G3,$B$3&gt;G3),Inputs!$B$6*(1+sincr)^F1,0)</f>
        <v>67530.528599999991</v>
      </c>
      <c r="H5" s="8">
        <f>IF(AND(Inputs!$B$19&gt;H3,$B$3&gt;H3),Inputs!$B$6*(1+sincr)^G1,0)</f>
        <v>69556.444457999984</v>
      </c>
      <c r="I5" s="8">
        <f>IF(AND(Inputs!$B$19&gt;I3,$B$3&gt;I3),Inputs!$B$6*(1+sincr)^H1,0)</f>
        <v>71643.137791739995</v>
      </c>
      <c r="J5" s="8">
        <f>IF(AND(Inputs!$B$19&gt;J3,$B$3&gt;J3),Inputs!$B$6*(1+sincr)^I1,0)</f>
        <v>73792.431925492201</v>
      </c>
      <c r="K5" s="8">
        <f>IF(AND(Inputs!$B$19&gt;K3,$B$3&gt;K3),Inputs!$B$6*(1+sincr)^J1,0)</f>
        <v>76006.204883256956</v>
      </c>
      <c r="L5" s="8">
        <f>IF(AND(Inputs!$B$19&gt;L3,$B$3&gt;L3),Inputs!$B$6*(1+sincr)^K1,0)</f>
        <v>78286.391029754668</v>
      </c>
      <c r="M5" s="8">
        <f>IF(AND(Inputs!$B$19&gt;M3,$B$3&gt;M3),Inputs!$B$6*(1+sincr)^L1,0)</f>
        <v>80634.982760647312</v>
      </c>
      <c r="N5" s="8">
        <f>IF(AND(Inputs!$B$19&gt;N3,$B$3&gt;N3),Inputs!$B$6*(1+sincr)^M1,0)</f>
        <v>83054.032243466732</v>
      </c>
      <c r="O5" s="8">
        <f>IF(AND(Inputs!$B$19&gt;O3,$B$3&gt;O3),Inputs!$B$6*(1+sincr)^N1,0)</f>
        <v>85545.653210770717</v>
      </c>
      <c r="P5" s="8">
        <f>IF(AND(Inputs!$B$19&gt;P3,$B$3&gt;P3),Inputs!$B$6*(1+sincr)^O1,0)</f>
        <v>88112.022807093832</v>
      </c>
      <c r="Q5" s="8">
        <f>IF(AND(Inputs!$B$19&gt;Q3,$B$3&gt;Q3),Inputs!$B$6*(1+sincr)^P1,0)</f>
        <v>90755.383491306668</v>
      </c>
      <c r="R5" s="8">
        <f>IF(AND(Inputs!$B$19&gt;R3,$B$3&gt;R3),Inputs!$B$6*(1+sincr)^Q1,0)</f>
        <v>93478.044996045865</v>
      </c>
      <c r="S5" s="8">
        <f>IF(AND(Inputs!$B$19&gt;S3,$B$3&gt;S3),Inputs!$B$6*(1+sincr)^R1,0)</f>
        <v>96282.386345927225</v>
      </c>
      <c r="T5" s="8">
        <f>IF(AND(Inputs!$B$19&gt;T3,$B$3&gt;T3),Inputs!$B$6*(1+sincr)^S1,0)</f>
        <v>0</v>
      </c>
      <c r="U5" s="8">
        <f>IF(AND(Inputs!$B$19&gt;U3,$B$3&gt;U3),Inputs!$B$6*(1+sincr)^T1,0)</f>
        <v>0</v>
      </c>
      <c r="V5" s="8">
        <f>IF(AND(Inputs!$B$19&gt;V3,$B$3&gt;V3),Inputs!$B$6*(1+sincr)^U1,0)</f>
        <v>0</v>
      </c>
      <c r="W5" s="8">
        <f>IF(AND(Inputs!$B$19&gt;W3,$B$3&gt;W3),Inputs!$B$6*(1+sincr)^V1,0)</f>
        <v>0</v>
      </c>
      <c r="X5" s="8">
        <f>IF(AND(Inputs!$B$19&gt;X3,$B$3&gt;X3),Inputs!$B$6*(1+sincr)^W1,0)</f>
        <v>0</v>
      </c>
      <c r="Y5" s="8">
        <f>IF(AND(Inputs!$B$19&gt;Y3,$B$3&gt;Y3),Inputs!$B$6*(1+sincr)^X1,0)</f>
        <v>0</v>
      </c>
      <c r="Z5" s="8">
        <f>IF(AND(Inputs!$B$19&gt;Z3,$B$3&gt;Z3),Inputs!$B$6*(1+sincr)^Y1,0)</f>
        <v>0</v>
      </c>
      <c r="AA5" s="8">
        <f>IF(AND(Inputs!$B$19&gt;AA3,$B$3&gt;AA3),Inputs!$B$6*(1+sincr)^Z1,0)</f>
        <v>0</v>
      </c>
      <c r="AB5" s="8">
        <f>IF(AND(Inputs!$B$19&gt;AB3,$B$3&gt;AB3),Inputs!$B$6*(1+sincr)^AA1,0)</f>
        <v>0</v>
      </c>
      <c r="AC5" s="8">
        <f>IF(AND(Inputs!$B$19&gt;AC3,$B$3&gt;AC3),Inputs!$B$6*(1+sincr)^AB1,0)</f>
        <v>0</v>
      </c>
      <c r="AD5" s="8">
        <f>IF(AND(Inputs!$B$19&gt;AD3,$B$3&gt;AD3),Inputs!$B$6*(1+sincr)^AC1,0)</f>
        <v>0</v>
      </c>
      <c r="AE5" s="8">
        <f>IF(AND(Inputs!$B$19&gt;AE3,$B$3&gt;AE3),Inputs!$B$6*(1+sincr)^AD1,0)</f>
        <v>0</v>
      </c>
      <c r="AF5" s="8">
        <f>IF(AND(Inputs!$B$19&gt;AF3,$B$3&gt;AF3),Inputs!$B$6*(1+sincr)^AE1,0)</f>
        <v>0</v>
      </c>
      <c r="AG5" s="8">
        <f>IF(AND(Inputs!$B$19&gt;AG3,$B$3&gt;AG3),Inputs!$B$6*(1+sincr)^AF1,0)</f>
        <v>0</v>
      </c>
      <c r="AH5" s="8">
        <f>IF(AND(Inputs!$B$19&gt;AH3,$B$3&gt;AH3),Inputs!$B$6*(1+sincr)^AG1,0)</f>
        <v>0</v>
      </c>
      <c r="AI5" s="8">
        <f>IF(AND(Inputs!$B$19&gt;AI3,$B$3&gt;AI3),Inputs!$B$6*(1+sincr)^AH1,0)</f>
        <v>0</v>
      </c>
      <c r="AJ5" s="8">
        <f>IF(AND(Inputs!$B$19&gt;AJ3,$B$3&gt;AJ3),Inputs!$B$6*(1+sincr)^AI1,0)</f>
        <v>0</v>
      </c>
      <c r="AK5" s="8">
        <f>IF(AND(Inputs!$B$19&gt;AK3,$B$3&gt;AK3),Inputs!$B$6*(1+sincr)^AJ1,0)</f>
        <v>0</v>
      </c>
      <c r="AL5" s="8">
        <f>IF(AND(Inputs!$B$19&gt;AL3,$B$3&gt;AL3),Inputs!$B$6*(1+sincr)^AK1,0)</f>
        <v>0</v>
      </c>
      <c r="AM5" s="8">
        <f>IF(AND(Inputs!$B$19&gt;AM3,$B$3&gt;AM3),Inputs!$B$6*(1+sincr)^AL1,0)</f>
        <v>0</v>
      </c>
      <c r="AN5" s="8">
        <f>IF(AND(Inputs!$B$19&gt;AN3,$B$3&gt;AN3),Inputs!$B$6*(1+sincr)^AM1,0)</f>
        <v>0</v>
      </c>
      <c r="AO5" s="8">
        <f>IF(AND(Inputs!$B$19&gt;AO3,$B$3&gt;AO3),Inputs!$B$6*(1+sincr)^AN1,0)</f>
        <v>0</v>
      </c>
      <c r="AP5" s="8">
        <f>IF(AND(Inputs!$B$19&gt;AP3,$B$3&gt;AP3),Inputs!$B$6*(1+sincr)^AO1,0)</f>
        <v>0</v>
      </c>
      <c r="AQ5" s="8">
        <f>IF(AND(Inputs!$B$19&gt;AQ3,$B$3&gt;AQ3),Inputs!$B$6*(1+sincr)^AP1,0)</f>
        <v>0</v>
      </c>
      <c r="AR5" s="8">
        <f>IF(AND(Inputs!$B$19&gt;AR3,$B$3&gt;AR3),Inputs!$B$6*(1+sincr)^AQ1,0)</f>
        <v>0</v>
      </c>
      <c r="AS5" s="8">
        <f>IF(AND(Inputs!$B$19&gt;AS3,$B$3&gt;AS3),Inputs!$B$6*(1+sincr)^AR1,0)</f>
        <v>0</v>
      </c>
      <c r="AT5" s="8">
        <f>IF(AND(Inputs!$B$19&gt;AT3,$B$3&gt;AT3),Inputs!$B$6*(1+sincr)^AS1,0)</f>
        <v>0</v>
      </c>
      <c r="AU5" s="8">
        <f>IF(AND(Inputs!$B$19&gt;AU3,$B$3&gt;AU3),Inputs!$B$6*(1+sincr)^AT1,0)</f>
        <v>0</v>
      </c>
      <c r="AV5" s="8">
        <f>IF(AND(Inputs!$B$19&gt;AV3,$B$3&gt;AV3),Inputs!$B$6*(1+sincr)^AU1,0)</f>
        <v>0</v>
      </c>
      <c r="AW5" s="8">
        <f>IF(AND(Inputs!$B$19&gt;AW3,$B$3&gt;AW3),Inputs!$B$6*(1+sincr)^AV1,0)</f>
        <v>0</v>
      </c>
    </row>
    <row r="6" spans="1:49" x14ac:dyDescent="0.2">
      <c r="A6" s="5" t="s">
        <v>14</v>
      </c>
      <c r="B6" s="9"/>
      <c r="C6" s="8">
        <f>IF(C$3&lt;=Inputs!$B$71,Inputs!$B$70,0)*(1+inf)^B$1</f>
        <v>0</v>
      </c>
      <c r="D6" s="8">
        <f>IF(D$3&lt;=Inputs!$B$71,Inputs!$B$70,0)*(1+inf)^C$1</f>
        <v>0</v>
      </c>
      <c r="E6" s="8">
        <f>IF(E$3&lt;=Inputs!$B$71,Inputs!$B$70,0)*(1+inf)^D$1</f>
        <v>0</v>
      </c>
      <c r="F6" s="8">
        <f>IF(F$3&lt;=Inputs!$B$71,Inputs!$B$70,0)*(1+inf)^E$1</f>
        <v>0</v>
      </c>
      <c r="G6" s="8">
        <f>IF(G$3&lt;=Inputs!$B$71,Inputs!$B$70,0)*(1+inf)^F$1</f>
        <v>0</v>
      </c>
      <c r="H6" s="8">
        <f>IF(H$3&lt;=Inputs!$B$71,Inputs!$B$70,0)*(1+inf)^G$1</f>
        <v>0</v>
      </c>
      <c r="I6" s="8">
        <f>IF(I$3&lt;=Inputs!$B$71,Inputs!$B$70,0)*(1+inf)^H$1</f>
        <v>0</v>
      </c>
      <c r="J6" s="8">
        <f>IF(J$3&lt;=Inputs!$B$71,Inputs!$B$70,0)*(1+inf)^I$1</f>
        <v>0</v>
      </c>
      <c r="K6" s="8">
        <f>IF(K$3&lt;=Inputs!$B$71,Inputs!$B$70,0)*(1+inf)^J$1</f>
        <v>0</v>
      </c>
      <c r="L6" s="8">
        <f>IF(L$3&lt;=Inputs!$B$71,Inputs!$B$70,0)*(1+inf)^K$1</f>
        <v>0</v>
      </c>
      <c r="M6" s="8">
        <f>IF(M$3&lt;=Inputs!$B$71,Inputs!$B$70,0)*(1+inf)^L$1</f>
        <v>0</v>
      </c>
      <c r="N6" s="8">
        <f>IF(N$3&lt;=Inputs!$B$71,Inputs!$B$70,0)*(1+inf)^M$1</f>
        <v>0</v>
      </c>
      <c r="O6" s="8">
        <f>IF(O$3&lt;=Inputs!$B$71,Inputs!$B$70,0)*(1+inf)^N$1</f>
        <v>0</v>
      </c>
      <c r="P6" s="8">
        <f>IF(P$3&lt;=Inputs!$B$71,Inputs!$B$70,0)*(1+inf)^O$1</f>
        <v>0</v>
      </c>
      <c r="Q6" s="8">
        <f>IF(Q$3&lt;=Inputs!$B$71,Inputs!$B$70,0)*(1+inf)^P$1</f>
        <v>0</v>
      </c>
      <c r="R6" s="8">
        <f>IF(R$3&lt;=Inputs!$B$71,Inputs!$B$70,0)*(1+inf)^Q$1</f>
        <v>0</v>
      </c>
      <c r="S6" s="8">
        <f>IF(S$3&lt;=Inputs!$B$71,Inputs!$B$70,0)*(1+inf)^R$1</f>
        <v>0</v>
      </c>
      <c r="T6" s="8">
        <f>IF(T$3&lt;=Inputs!$B$71,Inputs!$B$70,0)*(1+inf)^S$1</f>
        <v>0</v>
      </c>
      <c r="U6" s="8">
        <f>IF(U$3&lt;=Inputs!$B$71,Inputs!$B$70,0)*(1+inf)^T$1</f>
        <v>0</v>
      </c>
      <c r="V6" s="8">
        <f>IF(V$3&lt;=Inputs!$B$71,Inputs!$B$70,0)*(1+inf)^U$1</f>
        <v>0</v>
      </c>
      <c r="W6" s="8">
        <f>IF(W$3&lt;=Inputs!$B$71,Inputs!$B$70,0)*(1+inf)^V$1</f>
        <v>0</v>
      </c>
      <c r="X6" s="8">
        <f>IF(X$3&lt;=Inputs!$B$71,Inputs!$B$70,0)*(1+inf)^W$1</f>
        <v>0</v>
      </c>
      <c r="Y6" s="8">
        <f>IF(Y$3&lt;=Inputs!$B$71,Inputs!$B$70,0)*(1+inf)^X$1</f>
        <v>0</v>
      </c>
      <c r="Z6" s="8">
        <f>IF(Z$3&lt;=Inputs!$B$71,Inputs!$B$70,0)*(1+inf)^Y$1</f>
        <v>0</v>
      </c>
      <c r="AA6" s="8">
        <f>IF(AA$3&lt;=Inputs!$B$71,Inputs!$B$70,0)*(1+inf)^Z$1</f>
        <v>0</v>
      </c>
      <c r="AB6" s="8">
        <f>IF(AB$3&lt;=Inputs!$B$71,Inputs!$B$70,0)*(1+inf)^AA$1</f>
        <v>0</v>
      </c>
      <c r="AC6" s="8">
        <f>IF(AC$3&lt;=Inputs!$B$71,Inputs!$B$70,0)*(1+inf)^AB$1</f>
        <v>0</v>
      </c>
      <c r="AD6" s="8">
        <f>IF(AD$3&lt;=Inputs!$B$71,Inputs!$B$70,0)*(1+inf)^AC$1</f>
        <v>0</v>
      </c>
      <c r="AE6" s="8">
        <f>IF(AE$3&lt;=Inputs!$B$71,Inputs!$B$70,0)*(1+inf)^AD$1</f>
        <v>0</v>
      </c>
      <c r="AF6" s="8">
        <f>IF(AF$3&lt;=Inputs!$B$71,Inputs!$B$70,0)*(1+inf)^AE$1</f>
        <v>0</v>
      </c>
      <c r="AG6" s="8">
        <f>IF(AG$3&lt;=Inputs!$B$71,Inputs!$B$70,0)*(1+inf)^AF$1</f>
        <v>0</v>
      </c>
      <c r="AH6" s="8">
        <f>IF(AH$3&lt;=Inputs!$B$71,Inputs!$B$70,0)*(1+inf)^AG$1</f>
        <v>0</v>
      </c>
      <c r="AI6" s="8">
        <f>IF(AI$3&lt;=Inputs!$B$71,Inputs!$B$70,0)*(1+inf)^AH$1</f>
        <v>0</v>
      </c>
      <c r="AJ6" s="8">
        <f>IF(AJ$3&lt;=Inputs!$B$71,Inputs!$B$70,0)*(1+inf)^AI$1</f>
        <v>0</v>
      </c>
      <c r="AK6" s="8">
        <f>IF(AK$3&lt;=Inputs!$B$71,Inputs!$B$70,0)*(1+inf)^AJ$1</f>
        <v>0</v>
      </c>
      <c r="AL6" s="8">
        <f>IF(AL$3&lt;=Inputs!$B$71,Inputs!$B$70,0)*(1+inf)^AK$1</f>
        <v>0</v>
      </c>
      <c r="AM6" s="8">
        <f>IF(AM$3&lt;=Inputs!$B$71,Inputs!$B$70,0)*(1+inf)^AL$1</f>
        <v>0</v>
      </c>
      <c r="AN6" s="8">
        <f>IF(AN$3&lt;=Inputs!$B$71,Inputs!$B$70,0)*(1+inf)^AM$1</f>
        <v>0</v>
      </c>
      <c r="AO6" s="8">
        <f>IF(AO$3&lt;=Inputs!$B$71,Inputs!$B$70,0)*(1+inf)^AN$1</f>
        <v>0</v>
      </c>
      <c r="AP6" s="8">
        <f>IF(AP$3&lt;=Inputs!$B$71,Inputs!$B$70,0)*(1+inf)^AO$1</f>
        <v>0</v>
      </c>
      <c r="AQ6" s="8">
        <f>IF(AQ$3&lt;=Inputs!$B$71,Inputs!$B$70,0)*(1+inf)^AP$1</f>
        <v>0</v>
      </c>
      <c r="AR6" s="8">
        <f>IF(AR$3&lt;=Inputs!$B$71,Inputs!$B$70,0)*(1+inf)^AQ$1</f>
        <v>0</v>
      </c>
      <c r="AS6" s="8">
        <f>IF(AS$3&lt;=Inputs!$B$71,Inputs!$B$70,0)*(1+inf)^AR$1</f>
        <v>0</v>
      </c>
      <c r="AT6" s="8">
        <f>IF(AT$3&lt;=Inputs!$B$71,Inputs!$B$70,0)*(1+inf)^AS$1</f>
        <v>0</v>
      </c>
      <c r="AU6" s="8">
        <f>IF(AU$3&lt;=Inputs!$B$71,Inputs!$B$70,0)*(1+inf)^AT$1</f>
        <v>0</v>
      </c>
      <c r="AV6" s="8">
        <f>IF(AV$3&lt;=Inputs!$B$71,Inputs!$B$70,0)*(1+inf)^AU$1</f>
        <v>0</v>
      </c>
      <c r="AW6" s="8">
        <f>IF(AW$3&lt;=Inputs!$B$71,Inputs!$B$70,0)*(1+inf)^AV$1</f>
        <v>0</v>
      </c>
    </row>
    <row r="7" spans="1:49" x14ac:dyDescent="0.2">
      <c r="A7" s="5" t="s">
        <v>79</v>
      </c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">
      <c r="A8" s="4" t="str">
        <f>TEXT(Inputs!$B$50,"")</f>
        <v>Sliema</v>
      </c>
      <c r="C8" s="8">
        <f>Inputs!B66</f>
        <v>0</v>
      </c>
      <c r="D8" s="8">
        <f t="shared" ref="D8:AM8" si="11">C8*(1+rinc)</f>
        <v>0</v>
      </c>
      <c r="E8" s="8">
        <f t="shared" si="11"/>
        <v>0</v>
      </c>
      <c r="F8" s="8">
        <f t="shared" si="11"/>
        <v>0</v>
      </c>
      <c r="G8" s="8">
        <f t="shared" si="11"/>
        <v>0</v>
      </c>
      <c r="H8" s="8">
        <f t="shared" si="11"/>
        <v>0</v>
      </c>
      <c r="I8" s="8">
        <f t="shared" si="11"/>
        <v>0</v>
      </c>
      <c r="J8" s="8">
        <f t="shared" si="11"/>
        <v>0</v>
      </c>
      <c r="K8" s="8">
        <f t="shared" si="11"/>
        <v>0</v>
      </c>
      <c r="L8" s="8">
        <f t="shared" si="11"/>
        <v>0</v>
      </c>
      <c r="M8" s="8">
        <f t="shared" si="11"/>
        <v>0</v>
      </c>
      <c r="N8" s="8">
        <f t="shared" si="11"/>
        <v>0</v>
      </c>
      <c r="O8" s="8">
        <f t="shared" si="11"/>
        <v>0</v>
      </c>
      <c r="P8" s="8">
        <f t="shared" si="11"/>
        <v>0</v>
      </c>
      <c r="Q8" s="8">
        <f t="shared" si="11"/>
        <v>0</v>
      </c>
      <c r="R8" s="8">
        <f t="shared" si="11"/>
        <v>0</v>
      </c>
      <c r="S8" s="8">
        <f t="shared" si="11"/>
        <v>0</v>
      </c>
      <c r="T8" s="8">
        <f t="shared" si="11"/>
        <v>0</v>
      </c>
      <c r="U8" s="8">
        <f t="shared" si="11"/>
        <v>0</v>
      </c>
      <c r="V8" s="8">
        <f t="shared" si="11"/>
        <v>0</v>
      </c>
      <c r="W8" s="8">
        <f t="shared" si="11"/>
        <v>0</v>
      </c>
      <c r="X8" s="8">
        <f t="shared" si="11"/>
        <v>0</v>
      </c>
      <c r="Y8" s="8">
        <f t="shared" si="11"/>
        <v>0</v>
      </c>
      <c r="Z8" s="8">
        <f t="shared" si="11"/>
        <v>0</v>
      </c>
      <c r="AA8" s="8">
        <f t="shared" si="11"/>
        <v>0</v>
      </c>
      <c r="AB8" s="8">
        <f t="shared" si="11"/>
        <v>0</v>
      </c>
      <c r="AC8" s="8">
        <f t="shared" si="11"/>
        <v>0</v>
      </c>
      <c r="AD8" s="8">
        <f t="shared" si="11"/>
        <v>0</v>
      </c>
      <c r="AE8" s="8">
        <f t="shared" si="11"/>
        <v>0</v>
      </c>
      <c r="AF8" s="8">
        <f t="shared" si="11"/>
        <v>0</v>
      </c>
      <c r="AG8" s="8">
        <f t="shared" si="11"/>
        <v>0</v>
      </c>
      <c r="AH8" s="8">
        <f t="shared" si="11"/>
        <v>0</v>
      </c>
      <c r="AI8" s="8">
        <f t="shared" si="11"/>
        <v>0</v>
      </c>
      <c r="AJ8" s="8">
        <f t="shared" si="11"/>
        <v>0</v>
      </c>
      <c r="AK8" s="8">
        <f t="shared" si="11"/>
        <v>0</v>
      </c>
      <c r="AL8" s="8">
        <f t="shared" si="11"/>
        <v>0</v>
      </c>
      <c r="AM8" s="8">
        <f t="shared" si="11"/>
        <v>0</v>
      </c>
      <c r="AN8" s="8">
        <f t="shared" ref="AN8:AN10" si="12">AM8*(1+rinc)</f>
        <v>0</v>
      </c>
      <c r="AO8" s="8">
        <f t="shared" ref="AO8:AO10" si="13">AN8*(1+rinc)</f>
        <v>0</v>
      </c>
      <c r="AP8" s="8">
        <f t="shared" ref="AP8:AP10" si="14">AO8*(1+rinc)</f>
        <v>0</v>
      </c>
      <c r="AQ8" s="8">
        <f t="shared" ref="AQ8:AQ10" si="15">AP8*(1+rinc)</f>
        <v>0</v>
      </c>
      <c r="AR8" s="8">
        <f t="shared" ref="AR8:AR10" si="16">AQ8*(1+rinc)</f>
        <v>0</v>
      </c>
      <c r="AS8" s="8">
        <f t="shared" ref="AS8:AS10" si="17">AR8*(1+rinc)</f>
        <v>0</v>
      </c>
      <c r="AT8" s="8">
        <f t="shared" ref="AT8:AT10" si="18">AS8*(1+rinc)</f>
        <v>0</v>
      </c>
      <c r="AU8" s="8">
        <f t="shared" ref="AU8:AU10" si="19">AT8*(1+rinc)</f>
        <v>0</v>
      </c>
      <c r="AV8" s="8">
        <f t="shared" ref="AV8:AW10" si="20">AU8*(1+rinc)</f>
        <v>0</v>
      </c>
      <c r="AW8" s="8">
        <f t="shared" si="20"/>
        <v>0</v>
      </c>
    </row>
    <row r="9" spans="1:49" x14ac:dyDescent="0.2">
      <c r="A9" s="4" t="str">
        <f>TEXT(Inputs!$B$55,"")</f>
        <v/>
      </c>
      <c r="C9" s="8">
        <f>Inputs!B67</f>
        <v>0</v>
      </c>
      <c r="D9" s="8">
        <f t="shared" ref="D9:AM9" si="21">C9*(1+rinc)</f>
        <v>0</v>
      </c>
      <c r="E9" s="8">
        <f t="shared" si="21"/>
        <v>0</v>
      </c>
      <c r="F9" s="8">
        <f t="shared" si="21"/>
        <v>0</v>
      </c>
      <c r="G9" s="8">
        <f t="shared" si="21"/>
        <v>0</v>
      </c>
      <c r="H9" s="8">
        <f t="shared" si="21"/>
        <v>0</v>
      </c>
      <c r="I9" s="8">
        <f t="shared" si="21"/>
        <v>0</v>
      </c>
      <c r="J9" s="8">
        <f t="shared" si="21"/>
        <v>0</v>
      </c>
      <c r="K9" s="8">
        <f t="shared" si="21"/>
        <v>0</v>
      </c>
      <c r="L9" s="8">
        <f t="shared" si="21"/>
        <v>0</v>
      </c>
      <c r="M9" s="8">
        <f t="shared" si="21"/>
        <v>0</v>
      </c>
      <c r="N9" s="8">
        <f t="shared" si="21"/>
        <v>0</v>
      </c>
      <c r="O9" s="8">
        <f t="shared" si="21"/>
        <v>0</v>
      </c>
      <c r="P9" s="8">
        <f t="shared" si="21"/>
        <v>0</v>
      </c>
      <c r="Q9" s="8">
        <f t="shared" si="21"/>
        <v>0</v>
      </c>
      <c r="R9" s="8">
        <f t="shared" si="21"/>
        <v>0</v>
      </c>
      <c r="S9" s="8">
        <f t="shared" si="21"/>
        <v>0</v>
      </c>
      <c r="T9" s="8">
        <f t="shared" si="21"/>
        <v>0</v>
      </c>
      <c r="U9" s="8">
        <f t="shared" si="21"/>
        <v>0</v>
      </c>
      <c r="V9" s="8">
        <f t="shared" si="21"/>
        <v>0</v>
      </c>
      <c r="W9" s="8">
        <f t="shared" si="21"/>
        <v>0</v>
      </c>
      <c r="X9" s="8">
        <f t="shared" si="21"/>
        <v>0</v>
      </c>
      <c r="Y9" s="8">
        <f t="shared" si="21"/>
        <v>0</v>
      </c>
      <c r="Z9" s="8">
        <f t="shared" si="21"/>
        <v>0</v>
      </c>
      <c r="AA9" s="8">
        <f t="shared" si="21"/>
        <v>0</v>
      </c>
      <c r="AB9" s="8">
        <f t="shared" si="21"/>
        <v>0</v>
      </c>
      <c r="AC9" s="8">
        <f t="shared" si="21"/>
        <v>0</v>
      </c>
      <c r="AD9" s="8">
        <f t="shared" si="21"/>
        <v>0</v>
      </c>
      <c r="AE9" s="8">
        <f t="shared" si="21"/>
        <v>0</v>
      </c>
      <c r="AF9" s="8">
        <f t="shared" si="21"/>
        <v>0</v>
      </c>
      <c r="AG9" s="8">
        <f t="shared" si="21"/>
        <v>0</v>
      </c>
      <c r="AH9" s="8">
        <f t="shared" si="21"/>
        <v>0</v>
      </c>
      <c r="AI9" s="8">
        <f t="shared" si="21"/>
        <v>0</v>
      </c>
      <c r="AJ9" s="8">
        <f t="shared" si="21"/>
        <v>0</v>
      </c>
      <c r="AK9" s="8">
        <f t="shared" si="21"/>
        <v>0</v>
      </c>
      <c r="AL9" s="8">
        <f t="shared" si="21"/>
        <v>0</v>
      </c>
      <c r="AM9" s="8">
        <f t="shared" si="21"/>
        <v>0</v>
      </c>
      <c r="AN9" s="8">
        <f t="shared" si="12"/>
        <v>0</v>
      </c>
      <c r="AO9" s="8">
        <f t="shared" si="13"/>
        <v>0</v>
      </c>
      <c r="AP9" s="8">
        <f t="shared" si="14"/>
        <v>0</v>
      </c>
      <c r="AQ9" s="8">
        <f t="shared" si="15"/>
        <v>0</v>
      </c>
      <c r="AR9" s="8">
        <f t="shared" si="16"/>
        <v>0</v>
      </c>
      <c r="AS9" s="8">
        <f t="shared" si="17"/>
        <v>0</v>
      </c>
      <c r="AT9" s="8">
        <f t="shared" si="18"/>
        <v>0</v>
      </c>
      <c r="AU9" s="8">
        <f t="shared" si="19"/>
        <v>0</v>
      </c>
      <c r="AV9" s="8">
        <f t="shared" si="20"/>
        <v>0</v>
      </c>
      <c r="AW9" s="8">
        <f t="shared" si="20"/>
        <v>0</v>
      </c>
    </row>
    <row r="10" spans="1:49" x14ac:dyDescent="0.2">
      <c r="A10" s="4" t="str">
        <f>TEXT(Inputs!$B$60,"")</f>
        <v/>
      </c>
      <c r="C10" s="8">
        <f>Inputs!B68</f>
        <v>0</v>
      </c>
      <c r="D10" s="8">
        <f t="shared" ref="D10:AM10" si="22">C10*(1+rinc)</f>
        <v>0</v>
      </c>
      <c r="E10" s="8">
        <f t="shared" si="22"/>
        <v>0</v>
      </c>
      <c r="F10" s="8">
        <f t="shared" si="22"/>
        <v>0</v>
      </c>
      <c r="G10" s="8">
        <f t="shared" si="22"/>
        <v>0</v>
      </c>
      <c r="H10" s="8">
        <f t="shared" si="22"/>
        <v>0</v>
      </c>
      <c r="I10" s="8">
        <f t="shared" si="22"/>
        <v>0</v>
      </c>
      <c r="J10" s="8">
        <f t="shared" si="22"/>
        <v>0</v>
      </c>
      <c r="K10" s="8">
        <f t="shared" si="22"/>
        <v>0</v>
      </c>
      <c r="L10" s="8">
        <f t="shared" si="22"/>
        <v>0</v>
      </c>
      <c r="M10" s="8">
        <f t="shared" si="22"/>
        <v>0</v>
      </c>
      <c r="N10" s="8">
        <f t="shared" si="22"/>
        <v>0</v>
      </c>
      <c r="O10" s="8">
        <f t="shared" si="22"/>
        <v>0</v>
      </c>
      <c r="P10" s="8">
        <f t="shared" si="22"/>
        <v>0</v>
      </c>
      <c r="Q10" s="8">
        <f t="shared" si="22"/>
        <v>0</v>
      </c>
      <c r="R10" s="8">
        <f t="shared" si="22"/>
        <v>0</v>
      </c>
      <c r="S10" s="8">
        <f t="shared" si="22"/>
        <v>0</v>
      </c>
      <c r="T10" s="8">
        <f t="shared" si="22"/>
        <v>0</v>
      </c>
      <c r="U10" s="8">
        <f t="shared" si="22"/>
        <v>0</v>
      </c>
      <c r="V10" s="8">
        <f t="shared" si="22"/>
        <v>0</v>
      </c>
      <c r="W10" s="8">
        <f t="shared" si="22"/>
        <v>0</v>
      </c>
      <c r="X10" s="8">
        <f t="shared" si="22"/>
        <v>0</v>
      </c>
      <c r="Y10" s="8">
        <f t="shared" si="22"/>
        <v>0</v>
      </c>
      <c r="Z10" s="8">
        <f t="shared" si="22"/>
        <v>0</v>
      </c>
      <c r="AA10" s="8">
        <f t="shared" si="22"/>
        <v>0</v>
      </c>
      <c r="AB10" s="8">
        <f t="shared" si="22"/>
        <v>0</v>
      </c>
      <c r="AC10" s="8">
        <f t="shared" si="22"/>
        <v>0</v>
      </c>
      <c r="AD10" s="8">
        <f t="shared" si="22"/>
        <v>0</v>
      </c>
      <c r="AE10" s="8">
        <f t="shared" si="22"/>
        <v>0</v>
      </c>
      <c r="AF10" s="8">
        <f t="shared" si="22"/>
        <v>0</v>
      </c>
      <c r="AG10" s="8">
        <f t="shared" si="22"/>
        <v>0</v>
      </c>
      <c r="AH10" s="8">
        <f t="shared" si="22"/>
        <v>0</v>
      </c>
      <c r="AI10" s="8">
        <f t="shared" si="22"/>
        <v>0</v>
      </c>
      <c r="AJ10" s="8">
        <f t="shared" si="22"/>
        <v>0</v>
      </c>
      <c r="AK10" s="8">
        <f t="shared" si="22"/>
        <v>0</v>
      </c>
      <c r="AL10" s="8">
        <f t="shared" si="22"/>
        <v>0</v>
      </c>
      <c r="AM10" s="8">
        <f t="shared" si="22"/>
        <v>0</v>
      </c>
      <c r="AN10" s="8">
        <f t="shared" si="12"/>
        <v>0</v>
      </c>
      <c r="AO10" s="8">
        <f t="shared" si="13"/>
        <v>0</v>
      </c>
      <c r="AP10" s="8">
        <f t="shared" si="14"/>
        <v>0</v>
      </c>
      <c r="AQ10" s="8">
        <f t="shared" si="15"/>
        <v>0</v>
      </c>
      <c r="AR10" s="8">
        <f t="shared" si="16"/>
        <v>0</v>
      </c>
      <c r="AS10" s="8">
        <f t="shared" si="17"/>
        <v>0</v>
      </c>
      <c r="AT10" s="8">
        <f t="shared" si="18"/>
        <v>0</v>
      </c>
      <c r="AU10" s="8">
        <f t="shared" si="19"/>
        <v>0</v>
      </c>
      <c r="AV10" s="8">
        <f t="shared" si="20"/>
        <v>0</v>
      </c>
      <c r="AW10" s="8">
        <f t="shared" si="20"/>
        <v>0</v>
      </c>
    </row>
    <row r="11" spans="1:49" x14ac:dyDescent="0.2">
      <c r="A11" s="5" t="s">
        <v>89</v>
      </c>
      <c r="B11" s="9"/>
      <c r="C11" s="8">
        <f>IF(C$3&lt;Inputs!$B$19,0,Inputs!$B$21)*(1+inf)^B$1</f>
        <v>0</v>
      </c>
      <c r="D11" s="8">
        <f>IF(D$3&lt;Inputs!$B$19,0,Inputs!$B$21)*(1+inf)^C$1</f>
        <v>0</v>
      </c>
      <c r="E11" s="8">
        <f>IF(E$3&lt;Inputs!$B$19,0,Inputs!$B$21)*(1+inf)^D$1</f>
        <v>0</v>
      </c>
      <c r="F11" s="8">
        <f>IF(F$3&lt;Inputs!$B$19,0,Inputs!$B$21)*(1+inf)^E$1</f>
        <v>0</v>
      </c>
      <c r="G11" s="8">
        <f>IF(G$3&lt;Inputs!$B$19,0,Inputs!$B$21)*(1+inf)^F$1</f>
        <v>0</v>
      </c>
      <c r="H11" s="8">
        <f>IF(H$3&lt;Inputs!$B$19,0,Inputs!$B$21)*(1+inf)^G$1</f>
        <v>0</v>
      </c>
      <c r="I11" s="8">
        <f>IF(I$3&lt;Inputs!$B$19,0,Inputs!$B$21)*(1+inf)^H$1</f>
        <v>0</v>
      </c>
      <c r="J11" s="8">
        <f>IF(J$3&lt;Inputs!$B$19,0,Inputs!$B$21)*(1+inf)^I$1</f>
        <v>0</v>
      </c>
      <c r="K11" s="8">
        <f>IF(K$3&lt;Inputs!$B$19,0,Inputs!$B$21)*(1+inf)^J$1</f>
        <v>0</v>
      </c>
      <c r="L11" s="8">
        <f>IF(L$3&lt;Inputs!$B$19,0,Inputs!$B$21)*(1+inf)^K$1</f>
        <v>0</v>
      </c>
      <c r="M11" s="8">
        <f>IF(M$3&lt;Inputs!$B$19,0,Inputs!$B$21)*(1+inf)^L$1</f>
        <v>0</v>
      </c>
      <c r="N11" s="8">
        <f>IF(N$3&lt;Inputs!$B$19,0,Inputs!$B$21)*(1+inf)^M$1</f>
        <v>0</v>
      </c>
      <c r="O11" s="8">
        <f>IF(O$3&lt;Inputs!$B$19,0,Inputs!$B$21)*(1+inf)^N$1</f>
        <v>0</v>
      </c>
      <c r="P11" s="8">
        <f>IF(P$3&lt;Inputs!$B$19,0,Inputs!$B$21)*(1+inf)^O$1</f>
        <v>0</v>
      </c>
      <c r="Q11" s="8">
        <f>IF(Q$3&lt;Inputs!$B$19,0,Inputs!$B$21)*(1+inf)^P$1</f>
        <v>0</v>
      </c>
      <c r="R11" s="8">
        <f>IF(R$3&lt;Inputs!$B$19,0,Inputs!$B$21)*(1+inf)^Q$1</f>
        <v>0</v>
      </c>
      <c r="S11" s="8">
        <f>IF(S$3&lt;Inputs!$B$19,0,Inputs!$B$21)*(1+inf)^R$1</f>
        <v>0</v>
      </c>
      <c r="T11" s="8">
        <f>IF(T$3&lt;Inputs!$B$19,0,Inputs!$B$21)*(1+inf)^S$1</f>
        <v>27389.128701187386</v>
      </c>
      <c r="U11" s="8">
        <f>IF(U$3&lt;Inputs!$B$19,0,Inputs!$B$21)*(1+inf)^T$1</f>
        <v>28073.856918717072</v>
      </c>
      <c r="V11" s="8">
        <f>IF(V$3&lt;Inputs!$B$19,0,Inputs!$B$21)*(1+inf)^U$1</f>
        <v>28775.703341684999</v>
      </c>
      <c r="W11" s="8">
        <f>IF(W$3&lt;Inputs!$B$19,0,Inputs!$B$21)*(1+inf)^V$1</f>
        <v>29495.09592522712</v>
      </c>
      <c r="X11" s="8">
        <f>IF(X$3&lt;Inputs!$B$19,0,Inputs!$B$21)*(1+inf)^W$1</f>
        <v>30232.473323357794</v>
      </c>
      <c r="Y11" s="8">
        <f>IF(Y$3&lt;Inputs!$B$19,0,Inputs!$B$21)*(1+inf)^X$1</f>
        <v>30988.28515644174</v>
      </c>
      <c r="Z11" s="8">
        <f>IF(Z$3&lt;Inputs!$B$19,0,Inputs!$B$21)*(1+inf)^Y$1</f>
        <v>31762.992285352782</v>
      </c>
      <c r="AA11" s="8">
        <f>IF(AA$3&lt;Inputs!$B$19,0,Inputs!$B$21)*(1+inf)^Z$1</f>
        <v>32557.067092486599</v>
      </c>
      <c r="AB11" s="8">
        <f>IF(AB$3&lt;Inputs!$B$19,0,Inputs!$B$21)*(1+inf)^AA$1</f>
        <v>33370.993769798763</v>
      </c>
      <c r="AC11" s="8">
        <f>IF(AC$3&lt;Inputs!$B$19,0,Inputs!$B$21)*(1+inf)^AB$1</f>
        <v>34205.268614043729</v>
      </c>
      <c r="AD11" s="8">
        <f>IF(AD$3&lt;Inputs!$B$19,0,Inputs!$B$21)*(1+inf)^AC$1</f>
        <v>35060.400329394819</v>
      </c>
      <c r="AE11" s="8">
        <f>IF(AE$3&lt;Inputs!$B$19,0,Inputs!$B$21)*(1+inf)^AD$1</f>
        <v>35936.910337629684</v>
      </c>
      <c r="AF11" s="8">
        <f>IF(AF$3&lt;Inputs!$B$19,0,Inputs!$B$21)*(1+inf)^AE$1</f>
        <v>36835.333096070433</v>
      </c>
      <c r="AG11" s="8">
        <f>IF(AG$3&lt;Inputs!$B$19,0,Inputs!$B$21)*(1+inf)^AF$1</f>
        <v>37756.216423472186</v>
      </c>
      <c r="AH11" s="8">
        <f>IF(AH$3&lt;Inputs!$B$19,0,Inputs!$B$21)*(1+inf)^AG$1</f>
        <v>38700.121834058999</v>
      </c>
      <c r="AI11" s="8">
        <f>IF(AI$3&lt;Inputs!$B$19,0,Inputs!$B$21)*(1+inf)^AH$1</f>
        <v>39667.624879910465</v>
      </c>
      <c r="AJ11" s="8">
        <f>IF(AJ$3&lt;Inputs!$B$19,0,Inputs!$B$21)*(1+inf)^AI$1</f>
        <v>40659.315501908226</v>
      </c>
      <c r="AK11" s="8">
        <f>IF(AK$3&lt;Inputs!$B$19,0,Inputs!$B$21)*(1+inf)^AJ$1</f>
        <v>41675.798389455929</v>
      </c>
      <c r="AL11" s="8">
        <f>IF(AL$3&lt;Inputs!$B$19,0,Inputs!$B$21)*(1+inf)^AK$1</f>
        <v>42717.693349192326</v>
      </c>
      <c r="AM11" s="8">
        <f>IF(AM$3&lt;Inputs!$B$19,0,Inputs!$B$21)*(1+inf)^AL$1</f>
        <v>43785.635682922133</v>
      </c>
      <c r="AN11" s="8">
        <f>IF(AN$3&lt;Inputs!$B$19,0,Inputs!$B$21)*(1+inf)^AM$1</f>
        <v>44880.276574995187</v>
      </c>
      <c r="AO11" s="8">
        <f>IF(AO$3&lt;Inputs!$B$19,0,Inputs!$B$21)*(1+inf)^AN$1</f>
        <v>46002.283489370049</v>
      </c>
      <c r="AP11" s="8">
        <f>IF(AP$3&lt;Inputs!$B$19,0,Inputs!$B$21)*(1+inf)^AO$1</f>
        <v>47152.340576604307</v>
      </c>
      <c r="AQ11" s="8">
        <f>IF(AQ$3&lt;Inputs!$B$19,0,Inputs!$B$21)*(1+inf)^AP$1</f>
        <v>48331.149091019412</v>
      </c>
      <c r="AR11" s="8">
        <f>IF(AR$3&lt;Inputs!$B$19,0,Inputs!$B$21)*(1+inf)^AQ$1</f>
        <v>49539.427818294891</v>
      </c>
      <c r="AS11" s="8">
        <f>IF(AS$3&lt;Inputs!$B$19,0,Inputs!$B$21)*(1+inf)^AR$1</f>
        <v>50777.913513752261</v>
      </c>
      <c r="AT11" s="8">
        <f>IF(AT$3&lt;Inputs!$B$19,0,Inputs!$B$21)*(1+inf)^AS$1</f>
        <v>52047.361351596075</v>
      </c>
      <c r="AU11" s="8">
        <f>IF(AU$3&lt;Inputs!$B$19,0,Inputs!$B$21)*(1+inf)^AT$1</f>
        <v>53348.545385385965</v>
      </c>
      <c r="AV11" s="8">
        <f>IF(AV$3&lt;Inputs!$B$19,0,Inputs!$B$21)*(1+inf)^AU$1</f>
        <v>54682.259020020618</v>
      </c>
      <c r="AW11" s="8">
        <f>IF(AW$3&lt;Inputs!$B$19,0,Inputs!$B$21)*(1+inf)^AV$1</f>
        <v>56049.315495521121</v>
      </c>
    </row>
    <row r="12" spans="1:49" x14ac:dyDescent="0.2">
      <c r="A12" s="5" t="s">
        <v>90</v>
      </c>
      <c r="B12" s="9"/>
      <c r="C12" s="8">
        <f>MIN(0,MAX(-IF(C11=0,0,(Inputs!$B$19-INDEX(3:3,MATCH(0,5:5,0))))*Inputs!$B$157*(1+inf)^B$1,-C11))</f>
        <v>0</v>
      </c>
      <c r="D12" s="8">
        <f>MIN(0,MAX(-IF(D11=0,0,(Inputs!$B$19-INDEX(3:3,MATCH(0,5:5,0))))*Inputs!$B$157*(1+inf)^C$1,-D11))</f>
        <v>0</v>
      </c>
      <c r="E12" s="8">
        <f>MIN(0,MAX(-IF(E11=0,0,(Inputs!$B$19-INDEX(3:3,MATCH(0,5:5,0))))*Inputs!$B$157*(1+inf)^D$1,-E11))</f>
        <v>0</v>
      </c>
      <c r="F12" s="8">
        <f>MIN(0,MAX(-IF(F11=0,0,(Inputs!$B$19-INDEX(3:3,MATCH(0,5:5,0))))*Inputs!$B$157*(1+inf)^E$1,-F11))</f>
        <v>0</v>
      </c>
      <c r="G12" s="8">
        <f>MIN(0,MAX(-IF(G11=0,0,(Inputs!$B$19-INDEX(3:3,MATCH(0,5:5,0))))*Inputs!$B$157*(1+inf)^F$1,-G11))</f>
        <v>0</v>
      </c>
      <c r="H12" s="8">
        <f>MIN(0,MAX(-IF(H11=0,0,(Inputs!$B$19-INDEX(3:3,MATCH(0,5:5,0))))*Inputs!$B$157*(1+inf)^G$1,-H11))</f>
        <v>0</v>
      </c>
      <c r="I12" s="8">
        <f>MIN(0,MAX(-IF(I11=0,0,(Inputs!$B$19-INDEX(3:3,MATCH(0,5:5,0))))*Inputs!$B$157*(1+inf)^H$1,-I11))</f>
        <v>0</v>
      </c>
      <c r="J12" s="8">
        <f>MIN(0,MAX(-IF(J11=0,0,(Inputs!$B$19-INDEX(3:3,MATCH(0,5:5,0))))*Inputs!$B$157*(1+inf)^I$1,-J11))</f>
        <v>0</v>
      </c>
      <c r="K12" s="8">
        <f>MIN(0,MAX(-IF(K11=0,0,(Inputs!$B$19-INDEX(3:3,MATCH(0,5:5,0))))*Inputs!$B$157*(1+inf)^J$1,-K11))</f>
        <v>0</v>
      </c>
      <c r="L12" s="8">
        <f>MIN(0,MAX(-IF(L11=0,0,(Inputs!$B$19-INDEX(3:3,MATCH(0,5:5,0))))*Inputs!$B$157*(1+inf)^K$1,-L11))</f>
        <v>0</v>
      </c>
      <c r="M12" s="8">
        <f>MIN(0,MAX(-IF(M11=0,0,(Inputs!$B$19-INDEX(3:3,MATCH(0,5:5,0))))*Inputs!$B$157*(1+inf)^L$1,-M11))</f>
        <v>0</v>
      </c>
      <c r="N12" s="8">
        <f>MIN(0,MAX(-IF(N11=0,0,(Inputs!$B$19-INDEX(3:3,MATCH(0,5:5,0))))*Inputs!$B$157*(1+inf)^M$1,-N11))</f>
        <v>0</v>
      </c>
      <c r="O12" s="8">
        <f>MIN(0,MAX(-IF(O11=0,0,(Inputs!$B$19-INDEX(3:3,MATCH(0,5:5,0))))*Inputs!$B$157*(1+inf)^N$1,-O11))</f>
        <v>0</v>
      </c>
      <c r="P12" s="8">
        <f>MIN(0,MAX(-IF(P11=0,0,(Inputs!$B$19-INDEX(3:3,MATCH(0,5:5,0))))*Inputs!$B$157*(1+inf)^O$1,-P11))</f>
        <v>0</v>
      </c>
      <c r="Q12" s="8">
        <f>MIN(0,MAX(-IF(Q11=0,0,(Inputs!$B$19-INDEX(3:3,MATCH(0,5:5,0))))*Inputs!$B$157*(1+inf)^P$1,-Q11))</f>
        <v>0</v>
      </c>
      <c r="R12" s="8">
        <f>MIN(0,MAX(-IF(R11=0,0,(Inputs!$B$19-INDEX(3:3,MATCH(0,5:5,0))))*Inputs!$B$157*(1+inf)^Q$1,-R11))</f>
        <v>0</v>
      </c>
      <c r="S12" s="8">
        <f>MIN(0,MAX(-IF(S11=0,0,(Inputs!$B$19-INDEX(3:3,MATCH(0,5:5,0))))*Inputs!$B$157*(1+inf)^R$1,-S11))</f>
        <v>0</v>
      </c>
      <c r="T12" s="8">
        <f>MIN(0,MAX(-IF(T11=0,0,(Inputs!$B$19-INDEX(3:3,MATCH(0,5:5,0))))*Inputs!$B$157*(1+inf)^S$1,-T11))</f>
        <v>0</v>
      </c>
      <c r="U12" s="8">
        <f>MIN(0,MAX(-IF(U11=0,0,(Inputs!$B$19-INDEX(3:3,MATCH(0,5:5,0))))*Inputs!$B$157*(1+inf)^T$1,-U11))</f>
        <v>0</v>
      </c>
      <c r="V12" s="8">
        <f>MIN(0,MAX(-IF(V11=0,0,(Inputs!$B$19-INDEX(3:3,MATCH(0,5:5,0))))*Inputs!$B$157*(1+inf)^U$1,-V11))</f>
        <v>0</v>
      </c>
      <c r="W12" s="8">
        <f>MIN(0,MAX(-IF(W11=0,0,(Inputs!$B$19-INDEX(3:3,MATCH(0,5:5,0))))*Inputs!$B$157*(1+inf)^V$1,-W11))</f>
        <v>0</v>
      </c>
      <c r="X12" s="8">
        <f>MIN(0,MAX(-IF(X11=0,0,(Inputs!$B$19-INDEX(3:3,MATCH(0,5:5,0))))*Inputs!$B$157*(1+inf)^W$1,-X11))</f>
        <v>0</v>
      </c>
      <c r="Y12" s="8">
        <f>MIN(0,MAX(-IF(Y11=0,0,(Inputs!$B$19-INDEX(3:3,MATCH(0,5:5,0))))*Inputs!$B$157*(1+inf)^X$1,-Y11))</f>
        <v>0</v>
      </c>
      <c r="Z12" s="8">
        <f>MIN(0,MAX(-IF(Z11=0,0,(Inputs!$B$19-INDEX(3:3,MATCH(0,5:5,0))))*Inputs!$B$157*(1+inf)^Y$1,-Z11))</f>
        <v>0</v>
      </c>
      <c r="AA12" s="8">
        <f>MIN(0,MAX(-IF(AA11=0,0,(Inputs!$B$19-INDEX(3:3,MATCH(0,5:5,0))))*Inputs!$B$157*(1+inf)^Z$1,-AA11))</f>
        <v>0</v>
      </c>
      <c r="AB12" s="8">
        <f>MIN(0,MAX(-IF(AB11=0,0,(Inputs!$B$19-INDEX(3:3,MATCH(0,5:5,0))))*Inputs!$B$157*(1+inf)^AA$1,-AB11))</f>
        <v>0</v>
      </c>
      <c r="AC12" s="8">
        <f>MIN(0,MAX(-IF(AC11=0,0,(Inputs!$B$19-INDEX(3:3,MATCH(0,5:5,0))))*Inputs!$B$157*(1+inf)^AB$1,-AC11))</f>
        <v>0</v>
      </c>
      <c r="AD12" s="8">
        <f>MIN(0,MAX(-IF(AD11=0,0,(Inputs!$B$19-INDEX(3:3,MATCH(0,5:5,0))))*Inputs!$B$157*(1+inf)^AC$1,-AD11))</f>
        <v>0</v>
      </c>
      <c r="AE12" s="8">
        <f>MIN(0,MAX(-IF(AE11=0,0,(Inputs!$B$19-INDEX(3:3,MATCH(0,5:5,0))))*Inputs!$B$157*(1+inf)^AD$1,-AE11))</f>
        <v>0</v>
      </c>
      <c r="AF12" s="8">
        <f>MIN(0,MAX(-IF(AF11=0,0,(Inputs!$B$19-INDEX(3:3,MATCH(0,5:5,0))))*Inputs!$B$157*(1+inf)^AE$1,-AF11))</f>
        <v>0</v>
      </c>
      <c r="AG12" s="8">
        <f>MIN(0,MAX(-IF(AG11=0,0,(Inputs!$B$19-INDEX(3:3,MATCH(0,5:5,0))))*Inputs!$B$157*(1+inf)^AF$1,-AG11))</f>
        <v>0</v>
      </c>
      <c r="AH12" s="8">
        <f>MIN(0,MAX(-IF(AH11=0,0,(Inputs!$B$19-INDEX(3:3,MATCH(0,5:5,0))))*Inputs!$B$157*(1+inf)^AG$1,-AH11))</f>
        <v>0</v>
      </c>
      <c r="AI12" s="8">
        <f>MIN(0,MAX(-IF(AI11=0,0,(Inputs!$B$19-INDEX(3:3,MATCH(0,5:5,0))))*Inputs!$B$157*(1+inf)^AH$1,-AI11))</f>
        <v>0</v>
      </c>
      <c r="AJ12" s="8">
        <f>MIN(0,MAX(-IF(AJ11=0,0,(Inputs!$B$19-INDEX(3:3,MATCH(0,5:5,0))))*Inputs!$B$157*(1+inf)^AI$1,-AJ11))</f>
        <v>0</v>
      </c>
      <c r="AK12" s="8">
        <f>MIN(0,MAX(-IF(AK11=0,0,(Inputs!$B$19-INDEX(3:3,MATCH(0,5:5,0))))*Inputs!$B$157*(1+inf)^AJ$1,-AK11))</f>
        <v>0</v>
      </c>
      <c r="AL12" s="8">
        <f>MIN(0,MAX(-IF(AL11=0,0,(Inputs!$B$19-INDEX(3:3,MATCH(0,5:5,0))))*Inputs!$B$157*(1+inf)^AK$1,-AL11))</f>
        <v>0</v>
      </c>
      <c r="AM12" s="8">
        <f>MIN(0,MAX(-IF(AM11=0,0,(Inputs!$B$19-INDEX(3:3,MATCH(0,5:5,0))))*Inputs!$B$157*(1+inf)^AL$1,-AM11))</f>
        <v>0</v>
      </c>
      <c r="AN12" s="8">
        <f>MIN(0,MAX(-IF(AN11=0,0,(Inputs!$B$19-INDEX(3:3,MATCH(0,5:5,0))))*Inputs!$B$157*(1+inf)^AM$1,-AN11))</f>
        <v>0</v>
      </c>
      <c r="AO12" s="8">
        <f>MIN(0,MAX(-IF(AO11=0,0,(Inputs!$B$19-INDEX(3:3,MATCH(0,5:5,0))))*Inputs!$B$157*(1+inf)^AN$1,-AO11))</f>
        <v>0</v>
      </c>
      <c r="AP12" s="8">
        <f>MIN(0,MAX(-IF(AP11=0,0,(Inputs!$B$19-INDEX(3:3,MATCH(0,5:5,0))))*Inputs!$B$157*(1+inf)^AO$1,-AP11))</f>
        <v>0</v>
      </c>
      <c r="AQ12" s="8">
        <f>MIN(0,MAX(-IF(AQ11=0,0,(Inputs!$B$19-INDEX(3:3,MATCH(0,5:5,0))))*Inputs!$B$157*(1+inf)^AP$1,-AQ11))</f>
        <v>0</v>
      </c>
      <c r="AR12" s="8">
        <f>MIN(0,MAX(-IF(AR11=0,0,(Inputs!$B$19-INDEX(3:3,MATCH(0,5:5,0))))*Inputs!$B$157*(1+inf)^AQ$1,-AR11))</f>
        <v>0</v>
      </c>
      <c r="AS12" s="8">
        <f>MIN(0,MAX(-IF(AS11=0,0,(Inputs!$B$19-INDEX(3:3,MATCH(0,5:5,0))))*Inputs!$B$157*(1+inf)^AR$1,-AS11))</f>
        <v>0</v>
      </c>
      <c r="AT12" s="8">
        <f>MIN(0,MAX(-IF(AT11=0,0,(Inputs!$B$19-INDEX(3:3,MATCH(0,5:5,0))))*Inputs!$B$157*(1+inf)^AS$1,-AT11))</f>
        <v>0</v>
      </c>
      <c r="AU12" s="8">
        <f>MIN(0,MAX(-IF(AU11=0,0,(Inputs!$B$19-INDEX(3:3,MATCH(0,5:5,0))))*Inputs!$B$157*(1+inf)^AT$1,-AU11))</f>
        <v>0</v>
      </c>
      <c r="AV12" s="8">
        <f>MIN(0,MAX(-IF(AV11=0,0,(Inputs!$B$19-INDEX(3:3,MATCH(0,5:5,0))))*Inputs!$B$157*(1+inf)^AU$1,-AV11))</f>
        <v>0</v>
      </c>
      <c r="AW12" s="8">
        <f>MIN(0,MAX(-IF(AW11=0,0,(Inputs!$B$19-INDEX(3:3,MATCH(0,5:5,0))))*Inputs!$B$157*(1+inf)^AV$1,-AW11))</f>
        <v>0</v>
      </c>
    </row>
    <row r="13" spans="1:49" x14ac:dyDescent="0.2">
      <c r="A13" s="5" t="s">
        <v>52</v>
      </c>
      <c r="B13" s="9"/>
      <c r="C13" s="8">
        <f>IF(AND(C$3&gt;=Inputs!$B$142,C$3&lt;=Inputs!$B$143),Inputs!$B$141*(1+inf)^B$1,0)</f>
        <v>0</v>
      </c>
      <c r="D13" s="8">
        <f>IF(AND(D$3&gt;=Inputs!$B$142,D$3&lt;=Inputs!$B$143),Inputs!$B$141*(1+inf)^C$1,0)</f>
        <v>0</v>
      </c>
      <c r="E13" s="8">
        <f>IF(AND(E$3&gt;=Inputs!$B$142,E$3&lt;=Inputs!$B$143),Inputs!$B$141*(1+inf)^D$1,0)</f>
        <v>0</v>
      </c>
      <c r="F13" s="8">
        <f>IF(AND(F$3&gt;=Inputs!$B$142,F$3&lt;=Inputs!$B$143),Inputs!$B$141*(1+inf)^E$1,0)</f>
        <v>0</v>
      </c>
      <c r="G13" s="8">
        <f>IF(AND(G$3&gt;=Inputs!$B$142,G$3&lt;=Inputs!$B$143),Inputs!$B$141*(1+inf)^F$1,0)</f>
        <v>0</v>
      </c>
      <c r="H13" s="8">
        <f>IF(AND(H$3&gt;=Inputs!$B$142,H$3&lt;=Inputs!$B$143),Inputs!$B$141*(1+inf)^G$1,0)</f>
        <v>0</v>
      </c>
      <c r="I13" s="8">
        <f>IF(AND(I$3&gt;=Inputs!$B$142,I$3&lt;=Inputs!$B$143),Inputs!$B$141*(1+inf)^H$1,0)</f>
        <v>0</v>
      </c>
      <c r="J13" s="8">
        <f>IF(AND(J$3&gt;=Inputs!$B$142,J$3&lt;=Inputs!$B$143),Inputs!$B$141*(1+inf)^I$1,0)</f>
        <v>0</v>
      </c>
      <c r="K13" s="8">
        <f>IF(AND(K$3&gt;=Inputs!$B$142,K$3&lt;=Inputs!$B$143),Inputs!$B$141*(1+inf)^J$1,0)</f>
        <v>0</v>
      </c>
      <c r="L13" s="8">
        <f>IF(AND(L$3&gt;=Inputs!$B$142,L$3&lt;=Inputs!$B$143),Inputs!$B$141*(1+inf)^K$1,0)</f>
        <v>0</v>
      </c>
      <c r="M13" s="8">
        <f>IF(AND(M$3&gt;=Inputs!$B$142,M$3&lt;=Inputs!$B$143),Inputs!$B$141*(1+inf)^L$1,0)</f>
        <v>0</v>
      </c>
      <c r="N13" s="8">
        <f>IF(AND(N$3&gt;=Inputs!$B$142,N$3&lt;=Inputs!$B$143),Inputs!$B$141*(1+inf)^M$1,0)</f>
        <v>0</v>
      </c>
      <c r="O13" s="8">
        <f>IF(AND(O$3&gt;=Inputs!$B$142,O$3&lt;=Inputs!$B$143),Inputs!$B$141*(1+inf)^N$1,0)</f>
        <v>0</v>
      </c>
      <c r="P13" s="8">
        <f>IF(AND(P$3&gt;=Inputs!$B$142,P$3&lt;=Inputs!$B$143),Inputs!$B$141*(1+inf)^O$1,0)</f>
        <v>0</v>
      </c>
      <c r="Q13" s="8">
        <f>IF(AND(Q$3&gt;=Inputs!$B$142,Q$3&lt;=Inputs!$B$143),Inputs!$B$141*(1+inf)^P$1,0)</f>
        <v>0</v>
      </c>
      <c r="R13" s="8">
        <f>IF(AND(R$3&gt;=Inputs!$B$142,R$3&lt;=Inputs!$B$143),Inputs!$B$141*(1+inf)^Q$1,0)</f>
        <v>0</v>
      </c>
      <c r="S13" s="8">
        <f>IF(AND(S$3&gt;=Inputs!$B$142,S$3&lt;=Inputs!$B$143),Inputs!$B$141*(1+inf)^R$1,0)</f>
        <v>0</v>
      </c>
      <c r="T13" s="8">
        <f>IF(AND(T$3&gt;=Inputs!$B$142,T$3&lt;=Inputs!$B$143),Inputs!$B$141*(1+inf)^S$1,0)</f>
        <v>0</v>
      </c>
      <c r="U13" s="8">
        <f>IF(AND(U$3&gt;=Inputs!$B$142,U$3&lt;=Inputs!$B$143),Inputs!$B$141*(1+inf)^T$1,0)</f>
        <v>0</v>
      </c>
      <c r="V13" s="8">
        <f>IF(AND(V$3&gt;=Inputs!$B$142,V$3&lt;=Inputs!$B$143),Inputs!$B$141*(1+inf)^U$1,0)</f>
        <v>0</v>
      </c>
      <c r="W13" s="8">
        <f>IF(AND(W$3&gt;=Inputs!$B$142,W$3&lt;=Inputs!$B$143),Inputs!$B$141*(1+inf)^V$1,0)</f>
        <v>0</v>
      </c>
      <c r="X13" s="8">
        <f>IF(AND(X$3&gt;=Inputs!$B$142,X$3&lt;=Inputs!$B$143),Inputs!$B$141*(1+inf)^W$1,0)</f>
        <v>0</v>
      </c>
      <c r="Y13" s="8">
        <f>IF(AND(Y$3&gt;=Inputs!$B$142,Y$3&lt;=Inputs!$B$143),Inputs!$B$141*(1+inf)^X$1,0)</f>
        <v>0</v>
      </c>
      <c r="Z13" s="8">
        <f>IF(AND(Z$3&gt;=Inputs!$B$142,Z$3&lt;=Inputs!$B$143),Inputs!$B$141*(1+inf)^Y$1,0)</f>
        <v>0</v>
      </c>
      <c r="AA13" s="8">
        <f>IF(AND(AA$3&gt;=Inputs!$B$142,AA$3&lt;=Inputs!$B$143),Inputs!$B$141*(1+inf)^Z$1,0)</f>
        <v>0</v>
      </c>
      <c r="AB13" s="8">
        <f>IF(AND(AB$3&gt;=Inputs!$B$142,AB$3&lt;=Inputs!$B$143),Inputs!$B$141*(1+inf)^AA$1,0)</f>
        <v>0</v>
      </c>
      <c r="AC13" s="8">
        <f>IF(AND(AC$3&gt;=Inputs!$B$142,AC$3&lt;=Inputs!$B$143),Inputs!$B$141*(1+inf)^AB$1,0)</f>
        <v>0</v>
      </c>
      <c r="AD13" s="8">
        <f>IF(AND(AD$3&gt;=Inputs!$B$142,AD$3&lt;=Inputs!$B$143),Inputs!$B$141*(1+inf)^AC$1,0)</f>
        <v>0</v>
      </c>
      <c r="AE13" s="8">
        <f>IF(AND(AE$3&gt;=Inputs!$B$142,AE$3&lt;=Inputs!$B$143),Inputs!$B$141*(1+inf)^AD$1,0)</f>
        <v>0</v>
      </c>
      <c r="AF13" s="8">
        <f>IF(AND(AF$3&gt;=Inputs!$B$142,AF$3&lt;=Inputs!$B$143),Inputs!$B$141*(1+inf)^AE$1,0)</f>
        <v>0</v>
      </c>
      <c r="AG13" s="8">
        <f>IF(AND(AG$3&gt;=Inputs!$B$142,AG$3&lt;=Inputs!$B$143),Inputs!$B$141*(1+inf)^AF$1,0)</f>
        <v>0</v>
      </c>
      <c r="AH13" s="8">
        <f>IF(AND(AH$3&gt;=Inputs!$B$142,AH$3&lt;=Inputs!$B$143),Inputs!$B$141*(1+inf)^AG$1,0)</f>
        <v>0</v>
      </c>
      <c r="AI13" s="8">
        <f>IF(AND(AI$3&gt;=Inputs!$B$142,AI$3&lt;=Inputs!$B$143),Inputs!$B$141*(1+inf)^AH$1,0)</f>
        <v>0</v>
      </c>
      <c r="AJ13" s="8">
        <f>IF(AND(AJ$3&gt;=Inputs!$B$142,AJ$3&lt;=Inputs!$B$143),Inputs!$B$141*(1+inf)^AI$1,0)</f>
        <v>0</v>
      </c>
      <c r="AK13" s="8">
        <f>IF(AND(AK$3&gt;=Inputs!$B$142,AK$3&lt;=Inputs!$B$143),Inputs!$B$141*(1+inf)^AJ$1,0)</f>
        <v>0</v>
      </c>
      <c r="AL13" s="8">
        <f>IF(AND(AL$3&gt;=Inputs!$B$142,AL$3&lt;=Inputs!$B$143),Inputs!$B$141*(1+inf)^AK$1,0)</f>
        <v>0</v>
      </c>
      <c r="AM13" s="8">
        <f>IF(AND(AM$3&gt;=Inputs!$B$142,AM$3&lt;=Inputs!$B$143),Inputs!$B$141*(1+inf)^AL$1,0)</f>
        <v>0</v>
      </c>
      <c r="AN13" s="8">
        <f>IF(AND(AN$3&gt;=Inputs!$B$142,AN$3&lt;=Inputs!$B$143),Inputs!$B$141*(1+inf)^AM$1,0)</f>
        <v>0</v>
      </c>
      <c r="AO13" s="8">
        <f>IF(AND(AO$3&gt;=Inputs!$B$142,AO$3&lt;=Inputs!$B$143),Inputs!$B$141*(1+inf)^AN$1,0)</f>
        <v>0</v>
      </c>
      <c r="AP13" s="8">
        <f>IF(AND(AP$3&gt;=Inputs!$B$142,AP$3&lt;=Inputs!$B$143),Inputs!$B$141*(1+inf)^AO$1,0)</f>
        <v>0</v>
      </c>
      <c r="AQ13" s="8">
        <f>IF(AND(AQ$3&gt;=Inputs!$B$142,AQ$3&lt;=Inputs!$B$143),Inputs!$B$141*(1+inf)^AP$1,0)</f>
        <v>0</v>
      </c>
      <c r="AR13" s="8">
        <f>IF(AND(AR$3&gt;=Inputs!$B$142,AR$3&lt;=Inputs!$B$143),Inputs!$B$141*(1+inf)^AQ$1,0)</f>
        <v>0</v>
      </c>
      <c r="AS13" s="8">
        <f>IF(AND(AS$3&gt;=Inputs!$B$142,AS$3&lt;=Inputs!$B$143),Inputs!$B$141*(1+inf)^AR$1,0)</f>
        <v>0</v>
      </c>
      <c r="AT13" s="8">
        <f>IF(AND(AT$3&gt;=Inputs!$B$142,AT$3&lt;=Inputs!$B$143),Inputs!$B$141*(1+inf)^AS$1,0)</f>
        <v>0</v>
      </c>
      <c r="AU13" s="8">
        <f>IF(AND(AU$3&gt;=Inputs!$B$142,AU$3&lt;=Inputs!$B$143),Inputs!$B$141*(1+inf)^AT$1,0)</f>
        <v>0</v>
      </c>
      <c r="AV13" s="8">
        <f>IF(AND(AV$3&gt;=Inputs!$B$142,AV$3&lt;=Inputs!$B$143),Inputs!$B$141*(1+inf)^AU$1,0)</f>
        <v>0</v>
      </c>
      <c r="AW13" s="8">
        <f>IF(AND(AW$3&gt;=Inputs!$B$142,AW$3&lt;=Inputs!$B$143),Inputs!$B$141*(1+inf)^AV$1,0)</f>
        <v>0</v>
      </c>
    </row>
    <row r="14" spans="1:49" x14ac:dyDescent="0.2">
      <c r="A14" s="5" t="s">
        <v>149</v>
      </c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">
      <c r="A15" s="4" t="str">
        <f>TEXT(Inputs!B100,"")</f>
        <v/>
      </c>
      <c r="B15" s="9"/>
      <c r="C15" s="8">
        <f ca="1">IF(C$2=Inputs!$B102,Inputs!$B101,0)*(1+inf)^B$1</f>
        <v>0</v>
      </c>
      <c r="D15" s="8">
        <f ca="1">IF(D$2=Inputs!$B102,Inputs!$B101,0)*(1+inf)^C$1</f>
        <v>0</v>
      </c>
      <c r="E15" s="8">
        <f ca="1">IF(E$2=Inputs!$B102,Inputs!$B101,0)*(1+inf)^D$1</f>
        <v>0</v>
      </c>
      <c r="F15" s="8">
        <f ca="1">IF(F$2=Inputs!$B102,Inputs!$B101,0)*(1+inf)^E$1</f>
        <v>0</v>
      </c>
      <c r="G15" s="8">
        <f ca="1">IF(G$2=Inputs!$B102,Inputs!$B101,0)*(1+inf)^F$1</f>
        <v>0</v>
      </c>
      <c r="H15" s="8">
        <f ca="1">IF(H$2=Inputs!$B102,Inputs!$B101,0)*(1+inf)^G$1</f>
        <v>0</v>
      </c>
      <c r="I15" s="8">
        <f ca="1">IF(I$2=Inputs!$B102,Inputs!$B101,0)*(1+inf)^H$1</f>
        <v>0</v>
      </c>
      <c r="J15" s="8">
        <f ca="1">IF(J$2=Inputs!$B102,Inputs!$B101,0)*(1+inf)^I$1</f>
        <v>0</v>
      </c>
      <c r="K15" s="8">
        <f ca="1">IF(K$2=Inputs!$B102,Inputs!$B101,0)*(1+inf)^J$1</f>
        <v>0</v>
      </c>
      <c r="L15" s="8">
        <f ca="1">IF(L$2=Inputs!$B102,Inputs!$B101,0)*(1+inf)^K$1</f>
        <v>0</v>
      </c>
      <c r="M15" s="8">
        <f ca="1">IF(M$2=Inputs!$B102,Inputs!$B101,0)*(1+inf)^L$1</f>
        <v>0</v>
      </c>
      <c r="N15" s="8">
        <f ca="1">IF(N$2=Inputs!$B102,Inputs!$B101,0)*(1+inf)^M$1</f>
        <v>0</v>
      </c>
      <c r="O15" s="8">
        <f ca="1">IF(O$2=Inputs!$B102,Inputs!$B101,0)*(1+inf)^N$1</f>
        <v>0</v>
      </c>
      <c r="P15" s="8">
        <f ca="1">IF(P$2=Inputs!$B102,Inputs!$B101,0)*(1+inf)^O$1</f>
        <v>0</v>
      </c>
      <c r="Q15" s="8">
        <f ca="1">IF(Q$2=Inputs!$B102,Inputs!$B101,0)*(1+inf)^P$1</f>
        <v>0</v>
      </c>
      <c r="R15" s="8">
        <f ca="1">IF(R$2=Inputs!$B102,Inputs!$B101,0)*(1+inf)^Q$1</f>
        <v>0</v>
      </c>
      <c r="S15" s="8">
        <f ca="1">IF(S$2=Inputs!$B102,Inputs!$B101,0)*(1+inf)^R$1</f>
        <v>0</v>
      </c>
      <c r="T15" s="8">
        <f ca="1">IF(T$2=Inputs!$B102,Inputs!$B101,0)*(1+inf)^S$1</f>
        <v>0</v>
      </c>
      <c r="U15" s="8">
        <f ca="1">IF(U$2=Inputs!$B102,Inputs!$B101,0)*(1+inf)^T$1</f>
        <v>0</v>
      </c>
      <c r="V15" s="8">
        <f ca="1">IF(V$2=Inputs!$B102,Inputs!$B101,0)*(1+inf)^U$1</f>
        <v>0</v>
      </c>
      <c r="W15" s="8">
        <f ca="1">IF(W$2=Inputs!$B102,Inputs!$B101,0)*(1+inf)^V$1</f>
        <v>0</v>
      </c>
      <c r="X15" s="8">
        <f ca="1">IF(X$2=Inputs!$B102,Inputs!$B101,0)*(1+inf)^W$1</f>
        <v>0</v>
      </c>
      <c r="Y15" s="8">
        <f ca="1">IF(Y$2=Inputs!$B102,Inputs!$B101,0)*(1+inf)^X$1</f>
        <v>0</v>
      </c>
      <c r="Z15" s="8">
        <f ca="1">IF(Z$2=Inputs!$B102,Inputs!$B101,0)*(1+inf)^Y$1</f>
        <v>0</v>
      </c>
      <c r="AA15" s="8">
        <f ca="1">IF(AA$2=Inputs!$B102,Inputs!$B101,0)*(1+inf)^Z$1</f>
        <v>0</v>
      </c>
      <c r="AB15" s="8">
        <f ca="1">IF(AB$2=Inputs!$B102,Inputs!$B101,0)*(1+inf)^AA$1</f>
        <v>0</v>
      </c>
      <c r="AC15" s="8">
        <f ca="1">IF(AC$2=Inputs!$B102,Inputs!$B101,0)*(1+inf)^AB$1</f>
        <v>0</v>
      </c>
      <c r="AD15" s="8">
        <f ca="1">IF(AD$2=Inputs!$B102,Inputs!$B101,0)*(1+inf)^AC$1</f>
        <v>0</v>
      </c>
      <c r="AE15" s="8">
        <f ca="1">IF(AE$2=Inputs!$B102,Inputs!$B101,0)*(1+inf)^AD$1</f>
        <v>0</v>
      </c>
      <c r="AF15" s="8">
        <f ca="1">IF(AF$2=Inputs!$B102,Inputs!$B101,0)*(1+inf)^AE$1</f>
        <v>0</v>
      </c>
      <c r="AG15" s="8">
        <f ca="1">IF(AG$2=Inputs!$B102,Inputs!$B101,0)*(1+inf)^AF$1</f>
        <v>0</v>
      </c>
      <c r="AH15" s="8">
        <f ca="1">IF(AH$2=Inputs!$B102,Inputs!$B101,0)*(1+inf)^AG$1</f>
        <v>0</v>
      </c>
      <c r="AI15" s="8">
        <f ca="1">IF(AI$2=Inputs!$B102,Inputs!$B101,0)*(1+inf)^AH$1</f>
        <v>0</v>
      </c>
      <c r="AJ15" s="8">
        <f ca="1">IF(AJ$2=Inputs!$B102,Inputs!$B101,0)*(1+inf)^AI$1</f>
        <v>0</v>
      </c>
      <c r="AK15" s="8">
        <f ca="1">IF(AK$2=Inputs!$B102,Inputs!$B101,0)*(1+inf)^AJ$1</f>
        <v>0</v>
      </c>
      <c r="AL15" s="8">
        <f ca="1">IF(AL$2=Inputs!$B102,Inputs!$B101,0)*(1+inf)^AK$1</f>
        <v>0</v>
      </c>
      <c r="AM15" s="8">
        <f ca="1">IF(AM$2=Inputs!$B102,Inputs!$B101,0)*(1+inf)^AL$1</f>
        <v>0</v>
      </c>
      <c r="AN15" s="8">
        <f ca="1">IF(AN$2=Inputs!$B102,Inputs!$B101,0)*(1+inf)^AM$1</f>
        <v>0</v>
      </c>
      <c r="AO15" s="8">
        <f ca="1">IF(AO$2=Inputs!$B102,Inputs!$B101,0)*(1+inf)^AN$1</f>
        <v>0</v>
      </c>
      <c r="AP15" s="8">
        <f ca="1">IF(AP$2=Inputs!$B102,Inputs!$B101,0)*(1+inf)^AO$1</f>
        <v>0</v>
      </c>
      <c r="AQ15" s="8">
        <f ca="1">IF(AQ$2=Inputs!$B102,Inputs!$B101,0)*(1+inf)^AP$1</f>
        <v>0</v>
      </c>
      <c r="AR15" s="8">
        <f ca="1">IF(AR$2=Inputs!$B102,Inputs!$B101,0)*(1+inf)^AQ$1</f>
        <v>0</v>
      </c>
      <c r="AS15" s="8">
        <f ca="1">IF(AS$2=Inputs!$B102,Inputs!$B101,0)*(1+inf)^AR$1</f>
        <v>0</v>
      </c>
      <c r="AT15" s="8">
        <f ca="1">IF(AT$2=Inputs!$B102,Inputs!$B101,0)*(1+inf)^AS$1</f>
        <v>0</v>
      </c>
      <c r="AU15" s="8">
        <f ca="1">IF(AU$2=Inputs!$B102,Inputs!$B101,0)*(1+inf)^AT$1</f>
        <v>0</v>
      </c>
      <c r="AV15" s="8">
        <f ca="1">IF(AV$2=Inputs!$B102,Inputs!$B101,0)*(1+inf)^AU$1</f>
        <v>0</v>
      </c>
      <c r="AW15" s="8">
        <f ca="1">IF(AW$2=Inputs!$B102,Inputs!$B101,0)*(1+inf)^AV$1</f>
        <v>0</v>
      </c>
    </row>
    <row r="16" spans="1:49" x14ac:dyDescent="0.2">
      <c r="A16" s="4" t="str">
        <f>TEXT(Inputs!B105,"")</f>
        <v/>
      </c>
      <c r="B16" s="9"/>
      <c r="C16" s="8">
        <f ca="1">IF(C$2=Inputs!$B107,Inputs!$B106,0)*(1+inf)^B$1</f>
        <v>0</v>
      </c>
      <c r="D16" s="8">
        <f ca="1">IF(D$2=Inputs!$B107,Inputs!$B106,0)*(1+inf)^C$1</f>
        <v>0</v>
      </c>
      <c r="E16" s="8">
        <f ca="1">IF(E$2=Inputs!$B107,Inputs!$B106,0)*(1+inf)^D$1</f>
        <v>0</v>
      </c>
      <c r="F16" s="8">
        <f ca="1">IF(F$2=Inputs!$B107,Inputs!$B106,0)*(1+inf)^E$1</f>
        <v>0</v>
      </c>
      <c r="G16" s="8">
        <f ca="1">IF(G$2=Inputs!$B107,Inputs!$B106,0)*(1+inf)^F$1</f>
        <v>0</v>
      </c>
      <c r="H16" s="8">
        <f ca="1">IF(H$2=Inputs!$B107,Inputs!$B106,0)*(1+inf)^G$1</f>
        <v>0</v>
      </c>
      <c r="I16" s="8">
        <f ca="1">IF(I$2=Inputs!$B107,Inputs!$B106,0)*(1+inf)^H$1</f>
        <v>0</v>
      </c>
      <c r="J16" s="8">
        <f ca="1">IF(J$2=Inputs!$B107,Inputs!$B106,0)*(1+inf)^I$1</f>
        <v>0</v>
      </c>
      <c r="K16" s="8">
        <f ca="1">IF(K$2=Inputs!$B107,Inputs!$B106,0)*(1+inf)^J$1</f>
        <v>0</v>
      </c>
      <c r="L16" s="8">
        <f ca="1">IF(L$2=Inputs!$B107,Inputs!$B106,0)*(1+inf)^K$1</f>
        <v>0</v>
      </c>
      <c r="M16" s="8">
        <f ca="1">IF(M$2=Inputs!$B107,Inputs!$B106,0)*(1+inf)^L$1</f>
        <v>0</v>
      </c>
      <c r="N16" s="8">
        <f ca="1">IF(N$2=Inputs!$B107,Inputs!$B106,0)*(1+inf)^M$1</f>
        <v>0</v>
      </c>
      <c r="O16" s="8">
        <f ca="1">IF(O$2=Inputs!$B107,Inputs!$B106,0)*(1+inf)^N$1</f>
        <v>0</v>
      </c>
      <c r="P16" s="8">
        <f ca="1">IF(P$2=Inputs!$B107,Inputs!$B106,0)*(1+inf)^O$1</f>
        <v>0</v>
      </c>
      <c r="Q16" s="8">
        <f ca="1">IF(Q$2=Inputs!$B107,Inputs!$B106,0)*(1+inf)^P$1</f>
        <v>0</v>
      </c>
      <c r="R16" s="8">
        <f ca="1">IF(R$2=Inputs!$B107,Inputs!$B106,0)*(1+inf)^Q$1</f>
        <v>0</v>
      </c>
      <c r="S16" s="8">
        <f ca="1">IF(S$2=Inputs!$B107,Inputs!$B106,0)*(1+inf)^R$1</f>
        <v>0</v>
      </c>
      <c r="T16" s="8">
        <f ca="1">IF(T$2=Inputs!$B107,Inputs!$B106,0)*(1+inf)^S$1</f>
        <v>0</v>
      </c>
      <c r="U16" s="8">
        <f ca="1">IF(U$2=Inputs!$B107,Inputs!$B106,0)*(1+inf)^T$1</f>
        <v>0</v>
      </c>
      <c r="V16" s="8">
        <f ca="1">IF(V$2=Inputs!$B107,Inputs!$B106,0)*(1+inf)^U$1</f>
        <v>0</v>
      </c>
      <c r="W16" s="8">
        <f ca="1">IF(W$2=Inputs!$B107,Inputs!$B106,0)*(1+inf)^V$1</f>
        <v>0</v>
      </c>
      <c r="X16" s="8">
        <f ca="1">IF(X$2=Inputs!$B107,Inputs!$B106,0)*(1+inf)^W$1</f>
        <v>0</v>
      </c>
      <c r="Y16" s="8">
        <f ca="1">IF(Y$2=Inputs!$B107,Inputs!$B106,0)*(1+inf)^X$1</f>
        <v>0</v>
      </c>
      <c r="Z16" s="8">
        <f ca="1">IF(Z$2=Inputs!$B107,Inputs!$B106,0)*(1+inf)^Y$1</f>
        <v>0</v>
      </c>
      <c r="AA16" s="8">
        <f ca="1">IF(AA$2=Inputs!$B107,Inputs!$B106,0)*(1+inf)^Z$1</f>
        <v>0</v>
      </c>
      <c r="AB16" s="8">
        <f ca="1">IF(AB$2=Inputs!$B107,Inputs!$B106,0)*(1+inf)^AA$1</f>
        <v>0</v>
      </c>
      <c r="AC16" s="8">
        <f ca="1">IF(AC$2=Inputs!$B107,Inputs!$B106,0)*(1+inf)^AB$1</f>
        <v>0</v>
      </c>
      <c r="AD16" s="8">
        <f ca="1">IF(AD$2=Inputs!$B107,Inputs!$B106,0)*(1+inf)^AC$1</f>
        <v>0</v>
      </c>
      <c r="AE16" s="8">
        <f ca="1">IF(AE$2=Inputs!$B107,Inputs!$B106,0)*(1+inf)^AD$1</f>
        <v>0</v>
      </c>
      <c r="AF16" s="8">
        <f ca="1">IF(AF$2=Inputs!$B107,Inputs!$B106,0)*(1+inf)^AE$1</f>
        <v>0</v>
      </c>
      <c r="AG16" s="8">
        <f ca="1">IF(AG$2=Inputs!$B107,Inputs!$B106,0)*(1+inf)^AF$1</f>
        <v>0</v>
      </c>
      <c r="AH16" s="8">
        <f ca="1">IF(AH$2=Inputs!$B107,Inputs!$B106,0)*(1+inf)^AG$1</f>
        <v>0</v>
      </c>
      <c r="AI16" s="8">
        <f ca="1">IF(AI$2=Inputs!$B107,Inputs!$B106,0)*(1+inf)^AH$1</f>
        <v>0</v>
      </c>
      <c r="AJ16" s="8">
        <f ca="1">IF(AJ$2=Inputs!$B107,Inputs!$B106,0)*(1+inf)^AI$1</f>
        <v>0</v>
      </c>
      <c r="AK16" s="8">
        <f ca="1">IF(AK$2=Inputs!$B107,Inputs!$B106,0)*(1+inf)^AJ$1</f>
        <v>0</v>
      </c>
      <c r="AL16" s="8">
        <f ca="1">IF(AL$2=Inputs!$B107,Inputs!$B106,0)*(1+inf)^AK$1</f>
        <v>0</v>
      </c>
      <c r="AM16" s="8">
        <f ca="1">IF(AM$2=Inputs!$B107,Inputs!$B106,0)*(1+inf)^AL$1</f>
        <v>0</v>
      </c>
      <c r="AN16" s="8">
        <f ca="1">IF(AN$2=Inputs!$B107,Inputs!$B106,0)*(1+inf)^AM$1</f>
        <v>0</v>
      </c>
      <c r="AO16" s="8">
        <f ca="1">IF(AO$2=Inputs!$B107,Inputs!$B106,0)*(1+inf)^AN$1</f>
        <v>0</v>
      </c>
      <c r="AP16" s="8">
        <f ca="1">IF(AP$2=Inputs!$B107,Inputs!$B106,0)*(1+inf)^AO$1</f>
        <v>0</v>
      </c>
      <c r="AQ16" s="8">
        <f ca="1">IF(AQ$2=Inputs!$B107,Inputs!$B106,0)*(1+inf)^AP$1</f>
        <v>0</v>
      </c>
      <c r="AR16" s="8">
        <f ca="1">IF(AR$2=Inputs!$B107,Inputs!$B106,0)*(1+inf)^AQ$1</f>
        <v>0</v>
      </c>
      <c r="AS16" s="8">
        <f ca="1">IF(AS$2=Inputs!$B107,Inputs!$B106,0)*(1+inf)^AR$1</f>
        <v>0</v>
      </c>
      <c r="AT16" s="8">
        <f ca="1">IF(AT$2=Inputs!$B107,Inputs!$B106,0)*(1+inf)^AS$1</f>
        <v>0</v>
      </c>
      <c r="AU16" s="8">
        <f ca="1">IF(AU$2=Inputs!$B107,Inputs!$B106,0)*(1+inf)^AT$1</f>
        <v>0</v>
      </c>
      <c r="AV16" s="8">
        <f ca="1">IF(AV$2=Inputs!$B107,Inputs!$B106,0)*(1+inf)^AU$1</f>
        <v>0</v>
      </c>
      <c r="AW16" s="8">
        <f ca="1">IF(AW$2=Inputs!$B107,Inputs!$B106,0)*(1+inf)^AV$1</f>
        <v>0</v>
      </c>
    </row>
    <row r="17" spans="1:49" x14ac:dyDescent="0.2">
      <c r="A17" s="4" t="str">
        <f>TEXT(Inputs!B110,"")</f>
        <v/>
      </c>
      <c r="B17" s="9"/>
      <c r="C17" s="8">
        <f ca="1">IF(C$2=Inputs!$B112,Inputs!$B111,0)*(1+inf)^B$1</f>
        <v>0</v>
      </c>
      <c r="D17" s="8">
        <f ca="1">IF(D$2=Inputs!$B112,Inputs!$B111,0)*(1+inf)^C$1</f>
        <v>0</v>
      </c>
      <c r="E17" s="8">
        <f ca="1">IF(E$2=Inputs!$B112,Inputs!$B111,0)*(1+inf)^D$1</f>
        <v>0</v>
      </c>
      <c r="F17" s="8">
        <f ca="1">IF(F$2=Inputs!$B112,Inputs!$B111,0)*(1+inf)^E$1</f>
        <v>0</v>
      </c>
      <c r="G17" s="8">
        <f ca="1">IF(G$2=Inputs!$B112,Inputs!$B111,0)*(1+inf)^F$1</f>
        <v>0</v>
      </c>
      <c r="H17" s="8">
        <f ca="1">IF(H$2=Inputs!$B112,Inputs!$B111,0)*(1+inf)^G$1</f>
        <v>0</v>
      </c>
      <c r="I17" s="8">
        <f ca="1">IF(I$2=Inputs!$B112,Inputs!$B111,0)*(1+inf)^H$1</f>
        <v>0</v>
      </c>
      <c r="J17" s="8">
        <f ca="1">IF(J$2=Inputs!$B112,Inputs!$B111,0)*(1+inf)^I$1</f>
        <v>0</v>
      </c>
      <c r="K17" s="8">
        <f ca="1">IF(K$2=Inputs!$B112,Inputs!$B111,0)*(1+inf)^J$1</f>
        <v>0</v>
      </c>
      <c r="L17" s="8">
        <f ca="1">IF(L$2=Inputs!$B112,Inputs!$B111,0)*(1+inf)^K$1</f>
        <v>0</v>
      </c>
      <c r="M17" s="8">
        <f ca="1">IF(M$2=Inputs!$B112,Inputs!$B111,0)*(1+inf)^L$1</f>
        <v>0</v>
      </c>
      <c r="N17" s="8">
        <f ca="1">IF(N$2=Inputs!$B112,Inputs!$B111,0)*(1+inf)^M$1</f>
        <v>0</v>
      </c>
      <c r="O17" s="8">
        <f ca="1">IF(O$2=Inputs!$B112,Inputs!$B111,0)*(1+inf)^N$1</f>
        <v>0</v>
      </c>
      <c r="P17" s="8">
        <f ca="1">IF(P$2=Inputs!$B112,Inputs!$B111,0)*(1+inf)^O$1</f>
        <v>0</v>
      </c>
      <c r="Q17" s="8">
        <f ca="1">IF(Q$2=Inputs!$B112,Inputs!$B111,0)*(1+inf)^P$1</f>
        <v>0</v>
      </c>
      <c r="R17" s="8">
        <f ca="1">IF(R$2=Inputs!$B112,Inputs!$B111,0)*(1+inf)^Q$1</f>
        <v>0</v>
      </c>
      <c r="S17" s="8">
        <f ca="1">IF(S$2=Inputs!$B112,Inputs!$B111,0)*(1+inf)^R$1</f>
        <v>0</v>
      </c>
      <c r="T17" s="8">
        <f ca="1">IF(T$2=Inputs!$B112,Inputs!$B111,0)*(1+inf)^S$1</f>
        <v>0</v>
      </c>
      <c r="U17" s="8">
        <f ca="1">IF(U$2=Inputs!$B112,Inputs!$B111,0)*(1+inf)^T$1</f>
        <v>0</v>
      </c>
      <c r="V17" s="8">
        <f ca="1">IF(V$2=Inputs!$B112,Inputs!$B111,0)*(1+inf)^U$1</f>
        <v>0</v>
      </c>
      <c r="W17" s="8">
        <f ca="1">IF(W$2=Inputs!$B112,Inputs!$B111,0)*(1+inf)^V$1</f>
        <v>0</v>
      </c>
      <c r="X17" s="8">
        <f ca="1">IF(X$2=Inputs!$B112,Inputs!$B111,0)*(1+inf)^W$1</f>
        <v>0</v>
      </c>
      <c r="Y17" s="8">
        <f ca="1">IF(Y$2=Inputs!$B112,Inputs!$B111,0)*(1+inf)^X$1</f>
        <v>0</v>
      </c>
      <c r="Z17" s="8">
        <f ca="1">IF(Z$2=Inputs!$B112,Inputs!$B111,0)*(1+inf)^Y$1</f>
        <v>0</v>
      </c>
      <c r="AA17" s="8">
        <f ca="1">IF(AA$2=Inputs!$B112,Inputs!$B111,0)*(1+inf)^Z$1</f>
        <v>0</v>
      </c>
      <c r="AB17" s="8">
        <f ca="1">IF(AB$2=Inputs!$B112,Inputs!$B111,0)*(1+inf)^AA$1</f>
        <v>0</v>
      </c>
      <c r="AC17" s="8">
        <f ca="1">IF(AC$2=Inputs!$B112,Inputs!$B111,0)*(1+inf)^AB$1</f>
        <v>0</v>
      </c>
      <c r="AD17" s="8">
        <f ca="1">IF(AD$2=Inputs!$B112,Inputs!$B111,0)*(1+inf)^AC$1</f>
        <v>0</v>
      </c>
      <c r="AE17" s="8">
        <f ca="1">IF(AE$2=Inputs!$B112,Inputs!$B111,0)*(1+inf)^AD$1</f>
        <v>0</v>
      </c>
      <c r="AF17" s="8">
        <f ca="1">IF(AF$2=Inputs!$B112,Inputs!$B111,0)*(1+inf)^AE$1</f>
        <v>0</v>
      </c>
      <c r="AG17" s="8">
        <f ca="1">IF(AG$2=Inputs!$B112,Inputs!$B111,0)*(1+inf)^AF$1</f>
        <v>0</v>
      </c>
      <c r="AH17" s="8">
        <f ca="1">IF(AH$2=Inputs!$B112,Inputs!$B111,0)*(1+inf)^AG$1</f>
        <v>0</v>
      </c>
      <c r="AI17" s="8">
        <f ca="1">IF(AI$2=Inputs!$B112,Inputs!$B111,0)*(1+inf)^AH$1</f>
        <v>0</v>
      </c>
      <c r="AJ17" s="8">
        <f ca="1">IF(AJ$2=Inputs!$B112,Inputs!$B111,0)*(1+inf)^AI$1</f>
        <v>0</v>
      </c>
      <c r="AK17" s="8">
        <f ca="1">IF(AK$2=Inputs!$B112,Inputs!$B111,0)*(1+inf)^AJ$1</f>
        <v>0</v>
      </c>
      <c r="AL17" s="8">
        <f ca="1">IF(AL$2=Inputs!$B112,Inputs!$B111,0)*(1+inf)^AK$1</f>
        <v>0</v>
      </c>
      <c r="AM17" s="8">
        <f ca="1">IF(AM$2=Inputs!$B112,Inputs!$B111,0)*(1+inf)^AL$1</f>
        <v>0</v>
      </c>
      <c r="AN17" s="8">
        <f ca="1">IF(AN$2=Inputs!$B112,Inputs!$B111,0)*(1+inf)^AM$1</f>
        <v>0</v>
      </c>
      <c r="AO17" s="8">
        <f ca="1">IF(AO$2=Inputs!$B112,Inputs!$B111,0)*(1+inf)^AN$1</f>
        <v>0</v>
      </c>
      <c r="AP17" s="8">
        <f ca="1">IF(AP$2=Inputs!$B112,Inputs!$B111,0)*(1+inf)^AO$1</f>
        <v>0</v>
      </c>
      <c r="AQ17" s="8">
        <f ca="1">IF(AQ$2=Inputs!$B112,Inputs!$B111,0)*(1+inf)^AP$1</f>
        <v>0</v>
      </c>
      <c r="AR17" s="8">
        <f ca="1">IF(AR$2=Inputs!$B112,Inputs!$B111,0)*(1+inf)^AQ$1</f>
        <v>0</v>
      </c>
      <c r="AS17" s="8">
        <f ca="1">IF(AS$2=Inputs!$B112,Inputs!$B111,0)*(1+inf)^AR$1</f>
        <v>0</v>
      </c>
      <c r="AT17" s="8">
        <f ca="1">IF(AT$2=Inputs!$B112,Inputs!$B111,0)*(1+inf)^AS$1</f>
        <v>0</v>
      </c>
      <c r="AU17" s="8">
        <f ca="1">IF(AU$2=Inputs!$B112,Inputs!$B111,0)*(1+inf)^AT$1</f>
        <v>0</v>
      </c>
      <c r="AV17" s="8">
        <f ca="1">IF(AV$2=Inputs!$B112,Inputs!$B111,0)*(1+inf)^AU$1</f>
        <v>0</v>
      </c>
      <c r="AW17" s="8">
        <f ca="1">IF(AW$2=Inputs!$B112,Inputs!$B111,0)*(1+inf)^AV$1</f>
        <v>0</v>
      </c>
    </row>
    <row r="18" spans="1:49" x14ac:dyDescent="0.2">
      <c r="A18" s="5" t="s">
        <v>8</v>
      </c>
      <c r="C18" s="8">
        <f ca="1">MAX(AVERAGE(C49,C49+SUM(C5:C17)-C46)*Inputs!$B$149,0)</f>
        <v>4998.75</v>
      </c>
      <c r="D18" s="8">
        <f ca="1">MAX(AVERAGE(D49,D49+SUM(D5:D17)-D46)*Inputs!$B$149,0)</f>
        <v>5127.9375</v>
      </c>
      <c r="E18" s="8">
        <f ca="1">MAX(AVERAGE(E49,E49+SUM(E5:E17)-E46)*Inputs!$B$149,0)</f>
        <v>5274.0726562500004</v>
      </c>
      <c r="F18" s="8">
        <f ca="1">MAX(AVERAGE(F49,F49+SUM(F5:F17)-F46)*Inputs!$B$149,0)</f>
        <v>5438.1504843749999</v>
      </c>
      <c r="G18" s="8">
        <f ca="1">MAX(AVERAGE(G49,G49+SUM(G5:G17)-G46)*Inputs!$B$149,0)</f>
        <v>5621.2120097460938</v>
      </c>
      <c r="H18" s="8">
        <f ca="1">MAX(AVERAGE(H49,H49+SUM(H5:H17)-H46)*Inputs!$B$149,0)</f>
        <v>5824.346151620508</v>
      </c>
      <c r="I18" s="8">
        <f ca="1">MAX(AVERAGE(I49,I49+SUM(I5:I17)-I46)*Inputs!$B$149,0)</f>
        <v>6048.6916788986773</v>
      </c>
      <c r="J18" s="8">
        <f ca="1">MAX(AVERAGE(J49,J49+SUM(J5:J17)-J46)*Inputs!$B$149,0)</f>
        <v>6295.4392400866</v>
      </c>
      <c r="K18" s="8">
        <f ca="1">MAX(AVERAGE(K49,K49+SUM(K5:K17)-K46)*Inputs!$B$149,0)</f>
        <v>6565.8334701419344</v>
      </c>
      <c r="L18" s="8">
        <f ca="1">MAX(AVERAGE(L49,L49+SUM(L5:L17)-L46)*Inputs!$B$149,0)</f>
        <v>6861.1751769755283</v>
      </c>
      <c r="M18" s="8">
        <f ca="1">MAX(AVERAGE(M49,M49+SUM(M5:M17)-M46)*Inputs!$B$149,0)</f>
        <v>7182.8236104765274</v>
      </c>
      <c r="N18" s="8">
        <f ca="1">MAX(AVERAGE(N49,N49+SUM(N5:N17)-N46)*Inputs!$B$149,0)</f>
        <v>7532.1988170288678</v>
      </c>
      <c r="O18" s="8">
        <f ca="1">MAX(AVERAGE(O49,O49+SUM(O5:O17)-O46)*Inputs!$B$149,0)</f>
        <v>7910.7840825900321</v>
      </c>
      <c r="P18" s="8">
        <f ca="1">MAX(AVERAGE(P49,P49+SUM(P5:P17)-P46)*Inputs!$B$149,0)</f>
        <v>8320.128467509503</v>
      </c>
      <c r="Q18" s="8">
        <f ca="1">MAX(AVERAGE(Q49,Q49+SUM(Q5:Q17)-Q46)*Inputs!$B$149,0)</f>
        <v>8761.8494363744448</v>
      </c>
      <c r="R18" s="8">
        <f ca="1">MAX(AVERAGE(R49,R49+SUM(R5:R17)-R46)*Inputs!$B$149,0)</f>
        <v>9275.2720291070746</v>
      </c>
      <c r="S18" s="8">
        <f ca="1">MAX(AVERAGE(S49,S49+SUM(S5:S17)-S46)*Inputs!$B$149,0)</f>
        <v>9945.4632737884858</v>
      </c>
      <c r="T18" s="8">
        <f ca="1">MAX(AVERAGE(T49,T49+SUM(T5:T17)-T46)*Inputs!$B$149,0)</f>
        <v>9842.3780933121197</v>
      </c>
      <c r="U18" s="8">
        <f ca="1">MAX(AVERAGE(U49,U49+SUM(U5:U17)-U46)*Inputs!$B$149,0)</f>
        <v>8934.1474428301244</v>
      </c>
      <c r="V18" s="8">
        <f ca="1">MAX(AVERAGE(V49,V49+SUM(V5:V17)-V46)*Inputs!$B$149,0)</f>
        <v>8071.8324433723647</v>
      </c>
      <c r="W18" s="8">
        <f ca="1">MAX(AVERAGE(W49,W49+SUM(W5:W17)-W46)*Inputs!$B$149,0)</f>
        <v>7160.8178517899496</v>
      </c>
      <c r="X18" s="8">
        <f ca="1">MAX(AVERAGE(X49,X49+SUM(X5:X17)-X46)*Inputs!$B$149,0)</f>
        <v>6199.2076353513057</v>
      </c>
      <c r="Y18" s="8">
        <f ca="1">MAX(AVERAGE(Y49,Y49+SUM(Y5:Y17)-Y46)*Inputs!$B$149,0)</f>
        <v>5185.0413969333604</v>
      </c>
      <c r="Z18" s="8">
        <f ca="1">MAX(AVERAGE(Z49,Z49+SUM(Z5:Z17)-Z46)*Inputs!$B$149,0)</f>
        <v>4116.2923418224236</v>
      </c>
      <c r="AA18" s="8">
        <f ca="1">MAX(AVERAGE(AA49,AA49+SUM(AA5:AA17)-AA46)*Inputs!$B$149,0)</f>
        <v>2990.8651830828576</v>
      </c>
      <c r="AB18" s="8">
        <f ca="1">MAX(AVERAGE(AB49,AB49+SUM(AB5:AB17)-AB46)*Inputs!$B$149,0)</f>
        <v>1806.5939836926736</v>
      </c>
      <c r="AC18" s="8">
        <f ca="1">MAX(AVERAGE(AC49,AC49+SUM(AC5:AC17)-AC46)*Inputs!$B$149,0)</f>
        <v>561.23993359355427</v>
      </c>
      <c r="AD18" s="8">
        <f ca="1">MAX(AVERAGE(AD49,AD49+SUM(AD5:AD17)-AD46)*Inputs!$B$149,0)</f>
        <v>0</v>
      </c>
      <c r="AE18" s="8">
        <f ca="1">MAX(AVERAGE(AE49,AE49+SUM(AE5:AE17)-AE46)*Inputs!$B$149,0)</f>
        <v>0</v>
      </c>
      <c r="AF18" s="8">
        <f ca="1">MAX(AVERAGE(AF49,AF49+SUM(AF5:AF17)-AF46)*Inputs!$B$149,0)</f>
        <v>0</v>
      </c>
      <c r="AG18" s="8">
        <f ca="1">MAX(AVERAGE(AG49,AG49+SUM(AG5:AG17)-AG46)*Inputs!$B$149,0)</f>
        <v>0</v>
      </c>
      <c r="AH18" s="8">
        <f ca="1">MAX(AVERAGE(AH49,AH49+SUM(AH5:AH17)-AH46)*Inputs!$B$149,0)</f>
        <v>0</v>
      </c>
      <c r="AI18" s="8">
        <f ca="1">MAX(AVERAGE(AI49,AI49+SUM(AI5:AI17)-AI46)*Inputs!$B$149,0)</f>
        <v>0</v>
      </c>
      <c r="AJ18" s="8">
        <f ca="1">MAX(AVERAGE(AJ49,AJ49+SUM(AJ5:AJ17)-AJ46)*Inputs!$B$149,0)</f>
        <v>0</v>
      </c>
      <c r="AK18" s="8">
        <f ca="1">MAX(AVERAGE(AK49,AK49+SUM(AK5:AK17)-AK46)*Inputs!$B$149,0)</f>
        <v>0</v>
      </c>
      <c r="AL18" s="8">
        <f ca="1">MAX(AVERAGE(AL49,AL49+SUM(AL5:AL17)-AL46)*Inputs!$B$149,0)</f>
        <v>0</v>
      </c>
      <c r="AM18" s="8">
        <f ca="1">MAX(AVERAGE(AM49,AM49+SUM(AM5:AM17)-AM46)*Inputs!$B$149,0)</f>
        <v>0</v>
      </c>
      <c r="AN18" s="8">
        <f ca="1">MAX(AVERAGE(AN49,AN49+SUM(AN5:AN17)-AN46)*Inputs!$B$149,0)</f>
        <v>0</v>
      </c>
      <c r="AO18" s="8">
        <f ca="1">MAX(AVERAGE(AO49,AO49+SUM(AO5:AO17)-AO46)*Inputs!$B$149,0)</f>
        <v>0</v>
      </c>
      <c r="AP18" s="8">
        <f ca="1">MAX(AVERAGE(AP49,AP49+SUM(AP5:AP17)-AP46)*Inputs!$B$149,0)</f>
        <v>0</v>
      </c>
      <c r="AQ18" s="8">
        <f ca="1">MAX(AVERAGE(AQ49,AQ49+SUM(AQ5:AQ17)-AQ46)*Inputs!$B$149,0)</f>
        <v>0</v>
      </c>
      <c r="AR18" s="8">
        <f ca="1">MAX(AVERAGE(AR49,AR49+SUM(AR5:AR17)-AR46)*Inputs!$B$149,0)</f>
        <v>0</v>
      </c>
      <c r="AS18" s="8">
        <f ca="1">MAX(AVERAGE(AS49,AS49+SUM(AS5:AS17)-AS46)*Inputs!$B$149,0)</f>
        <v>0</v>
      </c>
      <c r="AT18" s="8">
        <f ca="1">MAX(AVERAGE(AT49,AT49+SUM(AT5:AT17)-AT46)*Inputs!$B$149,0)</f>
        <v>0</v>
      </c>
      <c r="AU18" s="8">
        <f ca="1">MAX(AVERAGE(AU49,AU49+SUM(AU5:AU17)-AU46)*Inputs!$B$149,0)</f>
        <v>0</v>
      </c>
      <c r="AV18" s="8">
        <f ca="1">MAX(AVERAGE(AV49,AV49+SUM(AV5:AV17)-AV46)*Inputs!$B$149,0)</f>
        <v>0</v>
      </c>
      <c r="AW18" s="8">
        <f ca="1">MAX(AVERAGE(AW49,AW49+SUM(AW5:AW17)-AW46)*Inputs!$B$149,0)</f>
        <v>0</v>
      </c>
    </row>
    <row r="19" spans="1:49" x14ac:dyDescent="0.2">
      <c r="C19" s="10">
        <f ca="1">SUM(C4:C18)</f>
        <v>64998.75</v>
      </c>
      <c r="D19" s="10">
        <f t="shared" ref="D19:G19" ca="1" si="23">SUM(D4:D18)</f>
        <v>66927.9375</v>
      </c>
      <c r="E19" s="10">
        <f t="shared" ca="1" si="23"/>
        <v>68928.072656250006</v>
      </c>
      <c r="F19" s="10">
        <f t="shared" ca="1" si="23"/>
        <v>71001.770484374996</v>
      </c>
      <c r="G19" s="10">
        <f t="shared" ca="1" si="23"/>
        <v>73151.740609746077</v>
      </c>
      <c r="H19" s="10">
        <f t="shared" ref="H19:AM19" ca="1" si="24">SUM(H4:H18)</f>
        <v>75380.790609620497</v>
      </c>
      <c r="I19" s="10">
        <f t="shared" ca="1" si="24"/>
        <v>77691.829470638666</v>
      </c>
      <c r="J19" s="10">
        <f t="shared" ca="1" si="24"/>
        <v>80087.871165578807</v>
      </c>
      <c r="K19" s="10">
        <f t="shared" ca="1" si="24"/>
        <v>82572.038353398893</v>
      </c>
      <c r="L19" s="10">
        <f t="shared" ca="1" si="24"/>
        <v>85147.566206730204</v>
      </c>
      <c r="M19" s="10">
        <f t="shared" ca="1" si="24"/>
        <v>87817.806371123836</v>
      </c>
      <c r="N19" s="10">
        <f t="shared" ca="1" si="24"/>
        <v>90586.2310604956</v>
      </c>
      <c r="O19" s="10">
        <f t="shared" ca="1" si="24"/>
        <v>93456.437293360752</v>
      </c>
      <c r="P19" s="10">
        <f t="shared" ca="1" si="24"/>
        <v>96432.15127460334</v>
      </c>
      <c r="Q19" s="10">
        <f t="shared" ca="1" si="24"/>
        <v>99517.232927681107</v>
      </c>
      <c r="R19" s="10">
        <f t="shared" ca="1" si="24"/>
        <v>102753.31702515294</v>
      </c>
      <c r="S19" s="10">
        <f t="shared" ca="1" si="24"/>
        <v>106227.84961971571</v>
      </c>
      <c r="T19" s="10">
        <f t="shared" ca="1" si="24"/>
        <v>37231.50679449951</v>
      </c>
      <c r="U19" s="10">
        <f t="shared" ca="1" si="24"/>
        <v>37008.004361547195</v>
      </c>
      <c r="V19" s="10">
        <f t="shared" ca="1" si="24"/>
        <v>36847.535785057364</v>
      </c>
      <c r="W19" s="10">
        <f t="shared" ca="1" si="24"/>
        <v>36655.913777017071</v>
      </c>
      <c r="X19" s="10">
        <f t="shared" ca="1" si="24"/>
        <v>36431.680958709097</v>
      </c>
      <c r="Y19" s="10">
        <f t="shared" ca="1" si="24"/>
        <v>36173.326553375096</v>
      </c>
      <c r="Z19" s="10">
        <f t="shared" ca="1" si="24"/>
        <v>35879.284627175206</v>
      </c>
      <c r="AA19" s="10">
        <f t="shared" ca="1" si="24"/>
        <v>35547.932275569459</v>
      </c>
      <c r="AB19" s="10">
        <f t="shared" ca="1" si="24"/>
        <v>35177.587753491433</v>
      </c>
      <c r="AC19" s="10">
        <f t="shared" ca="1" si="24"/>
        <v>34766.508547637284</v>
      </c>
      <c r="AD19" s="10">
        <f t="shared" ca="1" si="24"/>
        <v>35060.400329394819</v>
      </c>
      <c r="AE19" s="10">
        <f t="shared" ca="1" si="24"/>
        <v>35936.910337629684</v>
      </c>
      <c r="AF19" s="10">
        <f t="shared" ca="1" si="24"/>
        <v>36835.333096070433</v>
      </c>
      <c r="AG19" s="10">
        <f t="shared" ca="1" si="24"/>
        <v>37756.216423472186</v>
      </c>
      <c r="AH19" s="10">
        <f t="shared" ca="1" si="24"/>
        <v>38700.121834058999</v>
      </c>
      <c r="AI19" s="10">
        <f t="shared" ca="1" si="24"/>
        <v>39667.624879910465</v>
      </c>
      <c r="AJ19" s="10">
        <f t="shared" ca="1" si="24"/>
        <v>40659.315501908226</v>
      </c>
      <c r="AK19" s="10">
        <f t="shared" ca="1" si="24"/>
        <v>41675.798389455929</v>
      </c>
      <c r="AL19" s="10">
        <f t="shared" ca="1" si="24"/>
        <v>42717.693349192326</v>
      </c>
      <c r="AM19" s="10">
        <f t="shared" ca="1" si="24"/>
        <v>43785.635682922133</v>
      </c>
      <c r="AN19" s="10">
        <f t="shared" ref="AN19:AV19" ca="1" si="25">SUM(AN4:AN18)</f>
        <v>44880.276574995187</v>
      </c>
      <c r="AO19" s="10">
        <f t="shared" ca="1" si="25"/>
        <v>46002.283489370049</v>
      </c>
      <c r="AP19" s="10">
        <f t="shared" ca="1" si="25"/>
        <v>47152.340576604307</v>
      </c>
      <c r="AQ19" s="10">
        <f t="shared" ca="1" si="25"/>
        <v>48331.149091019412</v>
      </c>
      <c r="AR19" s="10">
        <f t="shared" ca="1" si="25"/>
        <v>49539.427818294891</v>
      </c>
      <c r="AS19" s="10">
        <f t="shared" ca="1" si="25"/>
        <v>50777.913513752261</v>
      </c>
      <c r="AT19" s="10">
        <f t="shared" ca="1" si="25"/>
        <v>52047.361351596075</v>
      </c>
      <c r="AU19" s="10">
        <f t="shared" ca="1" si="25"/>
        <v>53348.545385385965</v>
      </c>
      <c r="AV19" s="10">
        <f t="shared" ca="1" si="25"/>
        <v>54682.259020020618</v>
      </c>
      <c r="AW19" s="10">
        <f t="shared" ref="AW19" ca="1" si="26">SUM(AW4:AW18)</f>
        <v>56049.315495521121</v>
      </c>
    </row>
    <row r="20" spans="1:49" ht="19" x14ac:dyDescent="0.25">
      <c r="A20" s="14" t="s">
        <v>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">
      <c r="A21" s="5" t="s">
        <v>80</v>
      </c>
      <c r="C21" s="8">
        <f>Inputs!B75</f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</row>
    <row r="22" spans="1:49" x14ac:dyDescent="0.2">
      <c r="A22" s="5" t="s">
        <v>13</v>
      </c>
      <c r="C22" s="8">
        <f>MAX(IF(C$1*12&lt;=Inputs!$G$15,12,(Inputs!$G$15-B$1*12)),0)*Inputs!$B$17</f>
        <v>9600</v>
      </c>
      <c r="D22" s="8">
        <f>MAX(IF(D$1*12&lt;=Inputs!$G$15,12,(Inputs!$G$15-C$1*12)),0)*Inputs!$B$17</f>
        <v>9600</v>
      </c>
      <c r="E22" s="8">
        <f>MAX(IF(E$1*12&lt;=Inputs!$G$15,12,(Inputs!$G$15-D$1*12)),0)*Inputs!$B$17</f>
        <v>9600</v>
      </c>
      <c r="F22" s="8">
        <f>MAX(IF(F$1*12&lt;=Inputs!$G$15,12,(Inputs!$G$15-E$1*12)),0)*Inputs!$B$17</f>
        <v>9600</v>
      </c>
      <c r="G22" s="8">
        <f>MAX(IF(G$1*12&lt;=Inputs!$G$15,12,(Inputs!$G$15-F$1*12)),0)*Inputs!$B$17</f>
        <v>9600</v>
      </c>
      <c r="H22" s="8">
        <f>MAX(IF(H$1*12&lt;=Inputs!$G$15,12,(Inputs!$G$15-G$1*12)),0)*Inputs!$B$17</f>
        <v>9600</v>
      </c>
      <c r="I22" s="8">
        <f>MAX(IF(I$1*12&lt;=Inputs!$G$15,12,(Inputs!$G$15-H$1*12)),0)*Inputs!$B$17</f>
        <v>9600</v>
      </c>
      <c r="J22" s="8">
        <f>MAX(IF(J$1*12&lt;=Inputs!$G$15,12,(Inputs!$G$15-I$1*12)),0)*Inputs!$B$17</f>
        <v>9600</v>
      </c>
      <c r="K22" s="8">
        <f>MAX(IF(K$1*12&lt;=Inputs!$G$15,12,(Inputs!$G$15-J$1*12)),0)*Inputs!$B$17</f>
        <v>9600</v>
      </c>
      <c r="L22" s="8">
        <f>MAX(IF(L$1*12&lt;=Inputs!$G$15,12,(Inputs!$G$15-K$1*12)),0)*Inputs!$B$17</f>
        <v>9600</v>
      </c>
      <c r="M22" s="8">
        <f>MAX(IF(M$1*12&lt;=Inputs!$G$15,12,(Inputs!$G$15-L$1*12)),0)*Inputs!$B$17</f>
        <v>9600</v>
      </c>
      <c r="N22" s="8">
        <f>MAX(IF(N$1*12&lt;=Inputs!$G$15,12,(Inputs!$G$15-M$1*12)),0)*Inputs!$B$17</f>
        <v>9600</v>
      </c>
      <c r="O22" s="8">
        <f>MAX(IF(O$1*12&lt;=Inputs!$G$15,12,(Inputs!$G$15-N$1*12)),0)*Inputs!$B$17</f>
        <v>9600</v>
      </c>
      <c r="P22" s="8">
        <f>MAX(IF(P$1*12&lt;=Inputs!$G$15,12,(Inputs!$G$15-O$1*12)),0)*Inputs!$B$17</f>
        <v>9600</v>
      </c>
      <c r="Q22" s="8">
        <f>MAX(IF(Q$1*12&lt;=Inputs!$G$15,12,(Inputs!$G$15-P$1*12)),0)*Inputs!$B$17</f>
        <v>9600</v>
      </c>
      <c r="R22" s="8">
        <f>MAX(IF(R$1*12&lt;=Inputs!$G$15,12,(Inputs!$G$15-Q$1*12)),0)*Inputs!$B$17</f>
        <v>6589.0845741613475</v>
      </c>
      <c r="S22" s="8">
        <f>MAX(IF(S$1*12&lt;=Inputs!$G$15,12,(Inputs!$G$15-R$1*12)),0)*Inputs!$B$17</f>
        <v>0</v>
      </c>
      <c r="T22" s="8">
        <f>MAX(IF(T$1*12&lt;=Inputs!$G$15,12,(Inputs!$G$15-S$1*12)),0)*Inputs!$B$17</f>
        <v>0</v>
      </c>
      <c r="U22" s="8">
        <f>MAX(IF(U$1*12&lt;=Inputs!$G$15,12,(Inputs!$G$15-T$1*12)),0)*Inputs!$B$17</f>
        <v>0</v>
      </c>
      <c r="V22" s="8">
        <f>MAX(IF(V$1*12&lt;=Inputs!$G$15,12,(Inputs!$G$15-U$1*12)),0)*Inputs!$B$17</f>
        <v>0</v>
      </c>
      <c r="W22" s="8">
        <f>MAX(IF(W$1*12&lt;=Inputs!$G$15,12,(Inputs!$G$15-V$1*12)),0)*Inputs!$B$17</f>
        <v>0</v>
      </c>
      <c r="X22" s="8">
        <f>MAX(IF(X$1*12&lt;=Inputs!$G$15,12,(Inputs!$G$15-W$1*12)),0)*Inputs!$B$17</f>
        <v>0</v>
      </c>
      <c r="Y22" s="8">
        <f>MAX(IF(Y$1*12&lt;=Inputs!$G$15,12,(Inputs!$G$15-X$1*12)),0)*Inputs!$B$17</f>
        <v>0</v>
      </c>
      <c r="Z22" s="8">
        <f>MAX(IF(Z$1*12&lt;=Inputs!$G$15,12,(Inputs!$G$15-Y$1*12)),0)*Inputs!$B$17</f>
        <v>0</v>
      </c>
      <c r="AA22" s="8">
        <f>MAX(IF(AA$1*12&lt;=Inputs!$G$15,12,(Inputs!$G$15-Z$1*12)),0)*Inputs!$B$17</f>
        <v>0</v>
      </c>
      <c r="AB22" s="8">
        <f>MAX(IF(AB$1*12&lt;=Inputs!$G$15,12,(Inputs!$G$15-AA$1*12)),0)*Inputs!$B$17</f>
        <v>0</v>
      </c>
      <c r="AC22" s="8">
        <f>MAX(IF(AC$1*12&lt;=Inputs!$G$15,12,(Inputs!$G$15-AB$1*12)),0)*Inputs!$B$17</f>
        <v>0</v>
      </c>
      <c r="AD22" s="8">
        <f>MAX(IF(AD$1*12&lt;=Inputs!$G$15,12,(Inputs!$G$15-AC$1*12)),0)*Inputs!$B$17</f>
        <v>0</v>
      </c>
      <c r="AE22" s="8">
        <f>MAX(IF(AE$1*12&lt;=Inputs!$G$15,12,(Inputs!$G$15-AD$1*12)),0)*Inputs!$B$17</f>
        <v>0</v>
      </c>
      <c r="AF22" s="8">
        <f>MAX(IF(AF$1*12&lt;=Inputs!$G$15,12,(Inputs!$G$15-AE$1*12)),0)*Inputs!$B$17</f>
        <v>0</v>
      </c>
      <c r="AG22" s="8">
        <f>MAX(IF(AG$1*12&lt;=Inputs!$G$15,12,(Inputs!$G$15-AF$1*12)),0)*Inputs!$B$17</f>
        <v>0</v>
      </c>
      <c r="AH22" s="8">
        <f>MAX(IF(AH$1*12&lt;=Inputs!$G$15,12,(Inputs!$G$15-AG$1*12)),0)*Inputs!$B$17</f>
        <v>0</v>
      </c>
      <c r="AI22" s="8">
        <f>MAX(IF(AI$1*12&lt;=Inputs!$G$15,12,(Inputs!$G$15-AH$1*12)),0)*Inputs!$B$17</f>
        <v>0</v>
      </c>
      <c r="AJ22" s="8">
        <f>MAX(IF(AJ$1*12&lt;=Inputs!$G$15,12,(Inputs!$G$15-AI$1*12)),0)*Inputs!$B$17</f>
        <v>0</v>
      </c>
      <c r="AK22" s="8">
        <f>MAX(IF(AK$1*12&lt;=Inputs!$G$15,12,(Inputs!$G$15-AJ$1*12)),0)*Inputs!$B$17</f>
        <v>0</v>
      </c>
      <c r="AL22" s="8">
        <f>MAX(IF(AL$1*12&lt;=Inputs!$G$15,12,(Inputs!$G$15-AK$1*12)),0)*Inputs!$B$17</f>
        <v>0</v>
      </c>
      <c r="AM22" s="8">
        <f>MAX(IF(AM$1*12&lt;=Inputs!$G$15,12,(Inputs!$G$15-AL$1*12)),0)*Inputs!$B$17</f>
        <v>0</v>
      </c>
      <c r="AN22" s="8">
        <f>MAX(IF(AN$1*12&lt;=Inputs!$G$15,12,(Inputs!$G$15-AM$1*12)),0)*Inputs!$B$17</f>
        <v>0</v>
      </c>
      <c r="AO22" s="8">
        <f>MAX(IF(AO$1*12&lt;=Inputs!$G$15,12,(Inputs!$G$15-AN$1*12)),0)*Inputs!$B$17</f>
        <v>0</v>
      </c>
      <c r="AP22" s="8">
        <f>MAX(IF(AP$1*12&lt;=Inputs!$G$15,12,(Inputs!$G$15-AO$1*12)),0)*Inputs!$B$17</f>
        <v>0</v>
      </c>
      <c r="AQ22" s="8">
        <f>MAX(IF(AQ$1*12&lt;=Inputs!$G$15,12,(Inputs!$G$15-AP$1*12)),0)*Inputs!$B$17</f>
        <v>0</v>
      </c>
      <c r="AR22" s="8">
        <f>MAX(IF(AR$1*12&lt;=Inputs!$G$15,12,(Inputs!$G$15-AQ$1*12)),0)*Inputs!$B$17</f>
        <v>0</v>
      </c>
      <c r="AS22" s="8">
        <f>MAX(IF(AS$1*12&lt;=Inputs!$G$15,12,(Inputs!$G$15-AR$1*12)),0)*Inputs!$B$17</f>
        <v>0</v>
      </c>
      <c r="AT22" s="8">
        <f>MAX(IF(AT$1*12&lt;=Inputs!$G$15,12,(Inputs!$G$15-AS$1*12)),0)*Inputs!$B$17</f>
        <v>0</v>
      </c>
      <c r="AU22" s="8">
        <f>MAX(IF(AU$1*12&lt;=Inputs!$G$15,12,(Inputs!$G$15-AT$1*12)),0)*Inputs!$B$17</f>
        <v>0</v>
      </c>
      <c r="AV22" s="8">
        <f>MAX(IF(AV$1*12&lt;=Inputs!$G$15,12,(Inputs!$G$15-AU$1*12)),0)*Inputs!$B$17</f>
        <v>0</v>
      </c>
      <c r="AW22" s="8">
        <f>MAX(IF(AW$1*12&lt;=Inputs!$G$15,12,(Inputs!$G$15-AV$1*12)),0)*Inputs!$B$17</f>
        <v>0</v>
      </c>
    </row>
    <row r="23" spans="1:49" x14ac:dyDescent="0.2">
      <c r="A23" s="5" t="s">
        <v>57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">
      <c r="A24" s="4" t="str">
        <f>TEXT(Inputs!$B$50,"")</f>
        <v>Sliema</v>
      </c>
      <c r="C24" s="8">
        <f>MAX(IF(C$1*12&lt;=Inputs!$G$78,12,(Inputs!$G$78-B$1*12)),0)*Inputs!$B$80</f>
        <v>0</v>
      </c>
      <c r="D24" s="8">
        <f>MAX(IF(D$1*12&lt;=Inputs!$G$78,12,(Inputs!$G$78-C$1*12)),0)*Inputs!$B$80</f>
        <v>0</v>
      </c>
      <c r="E24" s="8">
        <f>MAX(IF(E$1*12&lt;=Inputs!$G$78,12,(Inputs!$G$78-D$1*12)),0)*Inputs!$B$80</f>
        <v>0</v>
      </c>
      <c r="F24" s="8">
        <f>MAX(IF(F$1*12&lt;=Inputs!$G$78,12,(Inputs!$G$78-E$1*12)),0)*Inputs!$B$80</f>
        <v>0</v>
      </c>
      <c r="G24" s="8">
        <f>MAX(IF(G$1*12&lt;=Inputs!$G$78,12,(Inputs!$G$78-F$1*12)),0)*Inputs!$B$80</f>
        <v>0</v>
      </c>
      <c r="H24" s="8">
        <f>MAX(IF(H$1*12&lt;=Inputs!$G$78,12,(Inputs!$G$78-G$1*12)),0)*Inputs!$B$80</f>
        <v>0</v>
      </c>
      <c r="I24" s="8">
        <f>MAX(IF(I$1*12&lt;=Inputs!$G$78,12,(Inputs!$G$78-H$1*12)),0)*Inputs!$B$80</f>
        <v>0</v>
      </c>
      <c r="J24" s="8">
        <f>MAX(IF(J$1*12&lt;=Inputs!$G$78,12,(Inputs!$G$78-I$1*12)),0)*Inputs!$B$80</f>
        <v>0</v>
      </c>
      <c r="K24" s="8">
        <f>MAX(IF(K$1*12&lt;=Inputs!$G$78,12,(Inputs!$G$78-J$1*12)),0)*Inputs!$B$80</f>
        <v>0</v>
      </c>
      <c r="L24" s="8">
        <f>MAX(IF(L$1*12&lt;=Inputs!$G$78,12,(Inputs!$G$78-K$1*12)),0)*Inputs!$B$80</f>
        <v>0</v>
      </c>
      <c r="M24" s="8">
        <f>MAX(IF(M$1*12&lt;=Inputs!$G$78,12,(Inputs!$G$78-L$1*12)),0)*Inputs!$B$80</f>
        <v>0</v>
      </c>
      <c r="N24" s="8">
        <f>MAX(IF(N$1*12&lt;=Inputs!$G$78,12,(Inputs!$G$78-M$1*12)),0)*Inputs!$B$80</f>
        <v>0</v>
      </c>
      <c r="O24" s="8">
        <f>MAX(IF(O$1*12&lt;=Inputs!$G$78,12,(Inputs!$G$78-N$1*12)),0)*Inputs!$B$80</f>
        <v>0</v>
      </c>
      <c r="P24" s="8">
        <f>MAX(IF(P$1*12&lt;=Inputs!$G$78,12,(Inputs!$G$78-O$1*12)),0)*Inputs!$B$80</f>
        <v>0</v>
      </c>
      <c r="Q24" s="8">
        <f>MAX(IF(Q$1*12&lt;=Inputs!$G$78,12,(Inputs!$G$78-P$1*12)),0)*Inputs!$B$80</f>
        <v>0</v>
      </c>
      <c r="R24" s="8">
        <f>MAX(IF(R$1*12&lt;=Inputs!$G$78,12,(Inputs!$G$78-Q$1*12)),0)*Inputs!$B$80</f>
        <v>0</v>
      </c>
      <c r="S24" s="8">
        <f>MAX(IF(S$1*12&lt;=Inputs!$G$78,12,(Inputs!$G$78-R$1*12)),0)*Inputs!$B$80</f>
        <v>0</v>
      </c>
      <c r="T24" s="8">
        <f>MAX(IF(T$1*12&lt;=Inputs!$G$78,12,(Inputs!$G$78-S$1*12)),0)*Inputs!$B$80</f>
        <v>0</v>
      </c>
      <c r="U24" s="8">
        <f>MAX(IF(U$1*12&lt;=Inputs!$G$78,12,(Inputs!$G$78-T$1*12)),0)*Inputs!$B$80</f>
        <v>0</v>
      </c>
      <c r="V24" s="8">
        <f>MAX(IF(V$1*12&lt;=Inputs!$G$78,12,(Inputs!$G$78-U$1*12)),0)*Inputs!$B$80</f>
        <v>0</v>
      </c>
      <c r="W24" s="8">
        <f>MAX(IF(W$1*12&lt;=Inputs!$G$78,12,(Inputs!$G$78-V$1*12)),0)*Inputs!$B$80</f>
        <v>0</v>
      </c>
      <c r="X24" s="8">
        <f>MAX(IF(X$1*12&lt;=Inputs!$G$78,12,(Inputs!$G$78-W$1*12)),0)*Inputs!$B$80</f>
        <v>0</v>
      </c>
      <c r="Y24" s="8">
        <f>MAX(IF(Y$1*12&lt;=Inputs!$G$78,12,(Inputs!$G$78-X$1*12)),0)*Inputs!$B$80</f>
        <v>0</v>
      </c>
      <c r="Z24" s="8">
        <f>MAX(IF(Z$1*12&lt;=Inputs!$G$78,12,(Inputs!$G$78-Y$1*12)),0)*Inputs!$B$80</f>
        <v>0</v>
      </c>
      <c r="AA24" s="8">
        <f>MAX(IF(AA$1*12&lt;=Inputs!$G$78,12,(Inputs!$G$78-Z$1*12)),0)*Inputs!$B$80</f>
        <v>0</v>
      </c>
      <c r="AB24" s="8">
        <f>MAX(IF(AB$1*12&lt;=Inputs!$G$78,12,(Inputs!$G$78-AA$1*12)),0)*Inputs!$B$80</f>
        <v>0</v>
      </c>
      <c r="AC24" s="8">
        <f>MAX(IF(AC$1*12&lt;=Inputs!$G$78,12,(Inputs!$G$78-AB$1*12)),0)*Inputs!$B$80</f>
        <v>0</v>
      </c>
      <c r="AD24" s="8">
        <f>MAX(IF(AD$1*12&lt;=Inputs!$G$78,12,(Inputs!$G$78-AC$1*12)),0)*Inputs!$B$80</f>
        <v>0</v>
      </c>
      <c r="AE24" s="8">
        <f>MAX(IF(AE$1*12&lt;=Inputs!$G$78,12,(Inputs!$G$78-AD$1*12)),0)*Inputs!$B$80</f>
        <v>0</v>
      </c>
      <c r="AF24" s="8">
        <f>MAX(IF(AF$1*12&lt;=Inputs!$G$78,12,(Inputs!$G$78-AE$1*12)),0)*Inputs!$B$80</f>
        <v>0</v>
      </c>
      <c r="AG24" s="8">
        <f>MAX(IF(AG$1*12&lt;=Inputs!$G$78,12,(Inputs!$G$78-AF$1*12)),0)*Inputs!$B$80</f>
        <v>0</v>
      </c>
      <c r="AH24" s="8">
        <f>MAX(IF(AH$1*12&lt;=Inputs!$G$78,12,(Inputs!$G$78-AG$1*12)),0)*Inputs!$B$80</f>
        <v>0</v>
      </c>
      <c r="AI24" s="8">
        <f>MAX(IF(AI$1*12&lt;=Inputs!$G$78,12,(Inputs!$G$78-AH$1*12)),0)*Inputs!$B$80</f>
        <v>0</v>
      </c>
      <c r="AJ24" s="8">
        <f>MAX(IF(AJ$1*12&lt;=Inputs!$G$78,12,(Inputs!$G$78-AI$1*12)),0)*Inputs!$B$80</f>
        <v>0</v>
      </c>
      <c r="AK24" s="8">
        <f>MAX(IF(AK$1*12&lt;=Inputs!$G$78,12,(Inputs!$G$78-AJ$1*12)),0)*Inputs!$B$80</f>
        <v>0</v>
      </c>
      <c r="AL24" s="8">
        <f>MAX(IF(AL$1*12&lt;=Inputs!$G$78,12,(Inputs!$G$78-AK$1*12)),0)*Inputs!$B$80</f>
        <v>0</v>
      </c>
      <c r="AM24" s="8">
        <f>MAX(IF(AM$1*12&lt;=Inputs!$G$78,12,(Inputs!$G$78-AL$1*12)),0)*Inputs!$B$80</f>
        <v>0</v>
      </c>
      <c r="AN24" s="8">
        <f>MAX(IF(AN$1*12&lt;=Inputs!$G$78,12,(Inputs!$G$78-AM$1*12)),0)*Inputs!$B$80</f>
        <v>0</v>
      </c>
      <c r="AO24" s="8">
        <f>MAX(IF(AO$1*12&lt;=Inputs!$G$78,12,(Inputs!$G$78-AN$1*12)),0)*Inputs!$B$80</f>
        <v>0</v>
      </c>
      <c r="AP24" s="8">
        <f>MAX(IF(AP$1*12&lt;=Inputs!$G$78,12,(Inputs!$G$78-AO$1*12)),0)*Inputs!$B$80</f>
        <v>0</v>
      </c>
      <c r="AQ24" s="8">
        <f>MAX(IF(AQ$1*12&lt;=Inputs!$G$78,12,(Inputs!$G$78-AP$1*12)),0)*Inputs!$B$80</f>
        <v>0</v>
      </c>
      <c r="AR24" s="8">
        <f>MAX(IF(AR$1*12&lt;=Inputs!$G$78,12,(Inputs!$G$78-AQ$1*12)),0)*Inputs!$B$80</f>
        <v>0</v>
      </c>
      <c r="AS24" s="8">
        <f>MAX(IF(AS$1*12&lt;=Inputs!$G$78,12,(Inputs!$G$78-AR$1*12)),0)*Inputs!$B$80</f>
        <v>0</v>
      </c>
      <c r="AT24" s="8">
        <f>MAX(IF(AT$1*12&lt;=Inputs!$G$78,12,(Inputs!$G$78-AS$1*12)),0)*Inputs!$B$80</f>
        <v>0</v>
      </c>
      <c r="AU24" s="8">
        <f>MAX(IF(AU$1*12&lt;=Inputs!$G$78,12,(Inputs!$G$78-AT$1*12)),0)*Inputs!$B$80</f>
        <v>0</v>
      </c>
      <c r="AV24" s="8">
        <f>MAX(IF(AV$1*12&lt;=Inputs!$G$78,12,(Inputs!$G$78-AU$1*12)),0)*Inputs!$B$80</f>
        <v>0</v>
      </c>
      <c r="AW24" s="8">
        <f>MAX(IF(AW$1*12&lt;=Inputs!$G$78,12,(Inputs!$G$78-AV$1*12)),0)*Inputs!$B$80</f>
        <v>0</v>
      </c>
    </row>
    <row r="25" spans="1:49" x14ac:dyDescent="0.2">
      <c r="A25" s="4" t="str">
        <f>TEXT(Inputs!$B$55,"")</f>
        <v/>
      </c>
      <c r="C25" s="8">
        <f>MAX(IF(C$1*12&lt;=Inputs!$G$83,12,(Inputs!$G$83-B$1*12)),0)*Inputs!$B$85</f>
        <v>0</v>
      </c>
      <c r="D25" s="8">
        <f>MAX(IF(D$1*12&lt;=Inputs!$G$83,12,(Inputs!$G$83-C$1*12)),0)*Inputs!$B$85</f>
        <v>0</v>
      </c>
      <c r="E25" s="8">
        <f>MAX(IF(E$1*12&lt;=Inputs!$G$83,12,(Inputs!$G$83-D$1*12)),0)*Inputs!$B$85</f>
        <v>0</v>
      </c>
      <c r="F25" s="8">
        <f>MAX(IF(F$1*12&lt;=Inputs!$G$83,12,(Inputs!$G$83-E$1*12)),0)*Inputs!$B$85</f>
        <v>0</v>
      </c>
      <c r="G25" s="8">
        <f>MAX(IF(G$1*12&lt;=Inputs!$G$83,12,(Inputs!$G$83-F$1*12)),0)*Inputs!$B$85</f>
        <v>0</v>
      </c>
      <c r="H25" s="8">
        <f>MAX(IF(H$1*12&lt;=Inputs!$G$83,12,(Inputs!$G$83-G$1*12)),0)*Inputs!$B$85</f>
        <v>0</v>
      </c>
      <c r="I25" s="8">
        <f>MAX(IF(I$1*12&lt;=Inputs!$G$83,12,(Inputs!$G$83-H$1*12)),0)*Inputs!$B$85</f>
        <v>0</v>
      </c>
      <c r="J25" s="8">
        <f>MAX(IF(J$1*12&lt;=Inputs!$G$83,12,(Inputs!$G$83-I$1*12)),0)*Inputs!$B$85</f>
        <v>0</v>
      </c>
      <c r="K25" s="8">
        <f>MAX(IF(K$1*12&lt;=Inputs!$G$83,12,(Inputs!$G$83-J$1*12)),0)*Inputs!$B$85</f>
        <v>0</v>
      </c>
      <c r="L25" s="8">
        <f>MAX(IF(L$1*12&lt;=Inputs!$G$83,12,(Inputs!$G$83-K$1*12)),0)*Inputs!$B$85</f>
        <v>0</v>
      </c>
      <c r="M25" s="8">
        <f>MAX(IF(M$1*12&lt;=Inputs!$G$83,12,(Inputs!$G$83-L$1*12)),0)*Inputs!$B$85</f>
        <v>0</v>
      </c>
      <c r="N25" s="8">
        <f>MAX(IF(N$1*12&lt;=Inputs!$G$83,12,(Inputs!$G$83-M$1*12)),0)*Inputs!$B$85</f>
        <v>0</v>
      </c>
      <c r="O25" s="8">
        <f>MAX(IF(O$1*12&lt;=Inputs!$G$83,12,(Inputs!$G$83-N$1*12)),0)*Inputs!$B$85</f>
        <v>0</v>
      </c>
      <c r="P25" s="8">
        <f>MAX(IF(P$1*12&lt;=Inputs!$G$83,12,(Inputs!$G$83-O$1*12)),0)*Inputs!$B$85</f>
        <v>0</v>
      </c>
      <c r="Q25" s="8">
        <f>MAX(IF(Q$1*12&lt;=Inputs!$G$83,12,(Inputs!$G$83-P$1*12)),0)*Inputs!$B$85</f>
        <v>0</v>
      </c>
      <c r="R25" s="8">
        <f>MAX(IF(R$1*12&lt;=Inputs!$G$83,12,(Inputs!$G$83-Q$1*12)),0)*Inputs!$B$85</f>
        <v>0</v>
      </c>
      <c r="S25" s="8">
        <f>MAX(IF(S$1*12&lt;=Inputs!$G$83,12,(Inputs!$G$83-R$1*12)),0)*Inputs!$B$85</f>
        <v>0</v>
      </c>
      <c r="T25" s="8">
        <f>MAX(IF(T$1*12&lt;=Inputs!$G$83,12,(Inputs!$G$83-S$1*12)),0)*Inputs!$B$85</f>
        <v>0</v>
      </c>
      <c r="U25" s="8">
        <f>MAX(IF(U$1*12&lt;=Inputs!$G$83,12,(Inputs!$G$83-T$1*12)),0)*Inputs!$B$85</f>
        <v>0</v>
      </c>
      <c r="V25" s="8">
        <f>MAX(IF(V$1*12&lt;=Inputs!$G$83,12,(Inputs!$G$83-U$1*12)),0)*Inputs!$B$85</f>
        <v>0</v>
      </c>
      <c r="W25" s="8">
        <f>MAX(IF(W$1*12&lt;=Inputs!$G$83,12,(Inputs!$G$83-V$1*12)),0)*Inputs!$B$85</f>
        <v>0</v>
      </c>
      <c r="X25" s="8">
        <f>MAX(IF(X$1*12&lt;=Inputs!$G$83,12,(Inputs!$G$83-W$1*12)),0)*Inputs!$B$85</f>
        <v>0</v>
      </c>
      <c r="Y25" s="8">
        <f>MAX(IF(Y$1*12&lt;=Inputs!$G$83,12,(Inputs!$G$83-X$1*12)),0)*Inputs!$B$85</f>
        <v>0</v>
      </c>
      <c r="Z25" s="8">
        <f>MAX(IF(Z$1*12&lt;=Inputs!$G$83,12,(Inputs!$G$83-Y$1*12)),0)*Inputs!$B$85</f>
        <v>0</v>
      </c>
      <c r="AA25" s="8">
        <f>MAX(IF(AA$1*12&lt;=Inputs!$G$83,12,(Inputs!$G$83-Z$1*12)),0)*Inputs!$B$85</f>
        <v>0</v>
      </c>
      <c r="AB25" s="8">
        <f>MAX(IF(AB$1*12&lt;=Inputs!$G$83,12,(Inputs!$G$83-AA$1*12)),0)*Inputs!$B$85</f>
        <v>0</v>
      </c>
      <c r="AC25" s="8">
        <f>MAX(IF(AC$1*12&lt;=Inputs!$G$83,12,(Inputs!$G$83-AB$1*12)),0)*Inputs!$B$85</f>
        <v>0</v>
      </c>
      <c r="AD25" s="8">
        <f>MAX(IF(AD$1*12&lt;=Inputs!$G$83,12,(Inputs!$G$83-AC$1*12)),0)*Inputs!$B$85</f>
        <v>0</v>
      </c>
      <c r="AE25" s="8">
        <f>MAX(IF(AE$1*12&lt;=Inputs!$G$83,12,(Inputs!$G$83-AD$1*12)),0)*Inputs!$B$85</f>
        <v>0</v>
      </c>
      <c r="AF25" s="8">
        <f>MAX(IF(AF$1*12&lt;=Inputs!$G$83,12,(Inputs!$G$83-AE$1*12)),0)*Inputs!$B$85</f>
        <v>0</v>
      </c>
      <c r="AG25" s="8">
        <f>MAX(IF(AG$1*12&lt;=Inputs!$G$83,12,(Inputs!$G$83-AF$1*12)),0)*Inputs!$B$85</f>
        <v>0</v>
      </c>
      <c r="AH25" s="8">
        <f>MAX(IF(AH$1*12&lt;=Inputs!$G$83,12,(Inputs!$G$83-AG$1*12)),0)*Inputs!$B$85</f>
        <v>0</v>
      </c>
      <c r="AI25" s="8">
        <f>MAX(IF(AI$1*12&lt;=Inputs!$G$83,12,(Inputs!$G$83-AH$1*12)),0)*Inputs!$B$85</f>
        <v>0</v>
      </c>
      <c r="AJ25" s="8">
        <f>MAX(IF(AJ$1*12&lt;=Inputs!$G$83,12,(Inputs!$G$83-AI$1*12)),0)*Inputs!$B$85</f>
        <v>0</v>
      </c>
      <c r="AK25" s="8">
        <f>MAX(IF(AK$1*12&lt;=Inputs!$G$83,12,(Inputs!$G$83-AJ$1*12)),0)*Inputs!$B$85</f>
        <v>0</v>
      </c>
      <c r="AL25" s="8">
        <f>MAX(IF(AL$1*12&lt;=Inputs!$G$83,12,(Inputs!$G$83-AK$1*12)),0)*Inputs!$B$85</f>
        <v>0</v>
      </c>
      <c r="AM25" s="8">
        <f>MAX(IF(AM$1*12&lt;=Inputs!$G$83,12,(Inputs!$G$83-AL$1*12)),0)*Inputs!$B$85</f>
        <v>0</v>
      </c>
      <c r="AN25" s="8">
        <f>MAX(IF(AN$1*12&lt;=Inputs!$G$83,12,(Inputs!$G$83-AM$1*12)),0)*Inputs!$B$85</f>
        <v>0</v>
      </c>
      <c r="AO25" s="8">
        <f>MAX(IF(AO$1*12&lt;=Inputs!$G$83,12,(Inputs!$G$83-AN$1*12)),0)*Inputs!$B$85</f>
        <v>0</v>
      </c>
      <c r="AP25" s="8">
        <f>MAX(IF(AP$1*12&lt;=Inputs!$G$83,12,(Inputs!$G$83-AO$1*12)),0)*Inputs!$B$85</f>
        <v>0</v>
      </c>
      <c r="AQ25" s="8">
        <f>MAX(IF(AQ$1*12&lt;=Inputs!$G$83,12,(Inputs!$G$83-AP$1*12)),0)*Inputs!$B$85</f>
        <v>0</v>
      </c>
      <c r="AR25" s="8">
        <f>MAX(IF(AR$1*12&lt;=Inputs!$G$83,12,(Inputs!$G$83-AQ$1*12)),0)*Inputs!$B$85</f>
        <v>0</v>
      </c>
      <c r="AS25" s="8">
        <f>MAX(IF(AS$1*12&lt;=Inputs!$G$83,12,(Inputs!$G$83-AR$1*12)),0)*Inputs!$B$85</f>
        <v>0</v>
      </c>
      <c r="AT25" s="8">
        <f>MAX(IF(AT$1*12&lt;=Inputs!$G$83,12,(Inputs!$G$83-AS$1*12)),0)*Inputs!$B$85</f>
        <v>0</v>
      </c>
      <c r="AU25" s="8">
        <f>MAX(IF(AU$1*12&lt;=Inputs!$G$83,12,(Inputs!$G$83-AT$1*12)),0)*Inputs!$B$85</f>
        <v>0</v>
      </c>
      <c r="AV25" s="8">
        <f>MAX(IF(AV$1*12&lt;=Inputs!$G$83,12,(Inputs!$G$83-AU$1*12)),0)*Inputs!$B$85</f>
        <v>0</v>
      </c>
      <c r="AW25" s="8">
        <f>MAX(IF(AW$1*12&lt;=Inputs!$G$83,12,(Inputs!$G$83-AV$1*12)),0)*Inputs!$B$85</f>
        <v>0</v>
      </c>
    </row>
    <row r="26" spans="1:49" x14ac:dyDescent="0.2">
      <c r="A26" s="4" t="str">
        <f>TEXT(Inputs!$B$60,"")</f>
        <v/>
      </c>
      <c r="C26" s="8">
        <f>MAX(IF(C$1*12&lt;=Inputs!$G$88,12,(Inputs!$G$88-B$1*12)),0)*Inputs!$B$90</f>
        <v>0</v>
      </c>
      <c r="D26" s="8">
        <f>MAX(IF(D$1*12&lt;=Inputs!$G$88,12,(Inputs!$G$88-C$1*12)),0)*Inputs!$B$90</f>
        <v>0</v>
      </c>
      <c r="E26" s="8">
        <f>MAX(IF(E$1*12&lt;=Inputs!$G$88,12,(Inputs!$G$88-D$1*12)),0)*Inputs!$B$90</f>
        <v>0</v>
      </c>
      <c r="F26" s="8">
        <f>MAX(IF(F$1*12&lt;=Inputs!$G$88,12,(Inputs!$G$88-E$1*12)),0)*Inputs!$B$90</f>
        <v>0</v>
      </c>
      <c r="G26" s="8">
        <f>MAX(IF(G$1*12&lt;=Inputs!$G$88,12,(Inputs!$G$88-F$1*12)),0)*Inputs!$B$90</f>
        <v>0</v>
      </c>
      <c r="H26" s="8">
        <f>MAX(IF(H$1*12&lt;=Inputs!$G$88,12,(Inputs!$G$88-G$1*12)),0)*Inputs!$B$90</f>
        <v>0</v>
      </c>
      <c r="I26" s="8">
        <f>MAX(IF(I$1*12&lt;=Inputs!$G$88,12,(Inputs!$G$88-H$1*12)),0)*Inputs!$B$90</f>
        <v>0</v>
      </c>
      <c r="J26" s="8">
        <f>MAX(IF(J$1*12&lt;=Inputs!$G$88,12,(Inputs!$G$88-I$1*12)),0)*Inputs!$B$90</f>
        <v>0</v>
      </c>
      <c r="K26" s="8">
        <f>MAX(IF(K$1*12&lt;=Inputs!$G$88,12,(Inputs!$G$88-J$1*12)),0)*Inputs!$B$90</f>
        <v>0</v>
      </c>
      <c r="L26" s="8">
        <f>MAX(IF(L$1*12&lt;=Inputs!$G$88,12,(Inputs!$G$88-K$1*12)),0)*Inputs!$B$90</f>
        <v>0</v>
      </c>
      <c r="M26" s="8">
        <f>MAX(IF(M$1*12&lt;=Inputs!$G$88,12,(Inputs!$G$88-L$1*12)),0)*Inputs!$B$90</f>
        <v>0</v>
      </c>
      <c r="N26" s="8">
        <f>MAX(IF(N$1*12&lt;=Inputs!$G$88,12,(Inputs!$G$88-M$1*12)),0)*Inputs!$B$90</f>
        <v>0</v>
      </c>
      <c r="O26" s="8">
        <f>MAX(IF(O$1*12&lt;=Inputs!$G$88,12,(Inputs!$G$88-N$1*12)),0)*Inputs!$B$90</f>
        <v>0</v>
      </c>
      <c r="P26" s="8">
        <f>MAX(IF(P$1*12&lt;=Inputs!$G$88,12,(Inputs!$G$88-O$1*12)),0)*Inputs!$B$90</f>
        <v>0</v>
      </c>
      <c r="Q26" s="8">
        <f>MAX(IF(Q$1*12&lt;=Inputs!$G$88,12,(Inputs!$G$88-P$1*12)),0)*Inputs!$B$90</f>
        <v>0</v>
      </c>
      <c r="R26" s="8">
        <f>MAX(IF(R$1*12&lt;=Inputs!$G$88,12,(Inputs!$G$88-Q$1*12)),0)*Inputs!$B$90</f>
        <v>0</v>
      </c>
      <c r="S26" s="8">
        <f>MAX(IF(S$1*12&lt;=Inputs!$G$88,12,(Inputs!$G$88-R$1*12)),0)*Inputs!$B$90</f>
        <v>0</v>
      </c>
      <c r="T26" s="8">
        <f>MAX(IF(T$1*12&lt;=Inputs!$G$88,12,(Inputs!$G$88-S$1*12)),0)*Inputs!$B$90</f>
        <v>0</v>
      </c>
      <c r="U26" s="8">
        <f>MAX(IF(U$1*12&lt;=Inputs!$G$88,12,(Inputs!$G$88-T$1*12)),0)*Inputs!$B$90</f>
        <v>0</v>
      </c>
      <c r="V26" s="8">
        <f>MAX(IF(V$1*12&lt;=Inputs!$G$88,12,(Inputs!$G$88-U$1*12)),0)*Inputs!$B$90</f>
        <v>0</v>
      </c>
      <c r="W26" s="8">
        <f>MAX(IF(W$1*12&lt;=Inputs!$G$88,12,(Inputs!$G$88-V$1*12)),0)*Inputs!$B$90</f>
        <v>0</v>
      </c>
      <c r="X26" s="8">
        <f>MAX(IF(X$1*12&lt;=Inputs!$G$88,12,(Inputs!$G$88-W$1*12)),0)*Inputs!$B$90</f>
        <v>0</v>
      </c>
      <c r="Y26" s="8">
        <f>MAX(IF(Y$1*12&lt;=Inputs!$G$88,12,(Inputs!$G$88-X$1*12)),0)*Inputs!$B$90</f>
        <v>0</v>
      </c>
      <c r="Z26" s="8">
        <f>MAX(IF(Z$1*12&lt;=Inputs!$G$88,12,(Inputs!$G$88-Y$1*12)),0)*Inputs!$B$90</f>
        <v>0</v>
      </c>
      <c r="AA26" s="8">
        <f>MAX(IF(AA$1*12&lt;=Inputs!$G$88,12,(Inputs!$G$88-Z$1*12)),0)*Inputs!$B$90</f>
        <v>0</v>
      </c>
      <c r="AB26" s="8">
        <f>MAX(IF(AB$1*12&lt;=Inputs!$G$88,12,(Inputs!$G$88-AA$1*12)),0)*Inputs!$B$90</f>
        <v>0</v>
      </c>
      <c r="AC26" s="8">
        <f>MAX(IF(AC$1*12&lt;=Inputs!$G$88,12,(Inputs!$G$88-AB$1*12)),0)*Inputs!$B$90</f>
        <v>0</v>
      </c>
      <c r="AD26" s="8">
        <f>MAX(IF(AD$1*12&lt;=Inputs!$G$88,12,(Inputs!$G$88-AC$1*12)),0)*Inputs!$B$90</f>
        <v>0</v>
      </c>
      <c r="AE26" s="8">
        <f>MAX(IF(AE$1*12&lt;=Inputs!$G$88,12,(Inputs!$G$88-AD$1*12)),0)*Inputs!$B$90</f>
        <v>0</v>
      </c>
      <c r="AF26" s="8">
        <f>MAX(IF(AF$1*12&lt;=Inputs!$G$88,12,(Inputs!$G$88-AE$1*12)),0)*Inputs!$B$90</f>
        <v>0</v>
      </c>
      <c r="AG26" s="8">
        <f>MAX(IF(AG$1*12&lt;=Inputs!$G$88,12,(Inputs!$G$88-AF$1*12)),0)*Inputs!$B$90</f>
        <v>0</v>
      </c>
      <c r="AH26" s="8">
        <f>MAX(IF(AH$1*12&lt;=Inputs!$G$88,12,(Inputs!$G$88-AG$1*12)),0)*Inputs!$B$90</f>
        <v>0</v>
      </c>
      <c r="AI26" s="8">
        <f>MAX(IF(AI$1*12&lt;=Inputs!$G$88,12,(Inputs!$G$88-AH$1*12)),0)*Inputs!$B$90</f>
        <v>0</v>
      </c>
      <c r="AJ26" s="8">
        <f>MAX(IF(AJ$1*12&lt;=Inputs!$G$88,12,(Inputs!$G$88-AI$1*12)),0)*Inputs!$B$90</f>
        <v>0</v>
      </c>
      <c r="AK26" s="8">
        <f>MAX(IF(AK$1*12&lt;=Inputs!$G$88,12,(Inputs!$G$88-AJ$1*12)),0)*Inputs!$B$90</f>
        <v>0</v>
      </c>
      <c r="AL26" s="8">
        <f>MAX(IF(AL$1*12&lt;=Inputs!$G$88,12,(Inputs!$G$88-AK$1*12)),0)*Inputs!$B$90</f>
        <v>0</v>
      </c>
      <c r="AM26" s="8">
        <f>MAX(IF(AM$1*12&lt;=Inputs!$G$88,12,(Inputs!$G$88-AL$1*12)),0)*Inputs!$B$90</f>
        <v>0</v>
      </c>
      <c r="AN26" s="8">
        <f>MAX(IF(AN$1*12&lt;=Inputs!$G$88,12,(Inputs!$G$88-AM$1*12)),0)*Inputs!$B$90</f>
        <v>0</v>
      </c>
      <c r="AO26" s="8">
        <f>MAX(IF(AO$1*12&lt;=Inputs!$G$88,12,(Inputs!$G$88-AN$1*12)),0)*Inputs!$B$90</f>
        <v>0</v>
      </c>
      <c r="AP26" s="8">
        <f>MAX(IF(AP$1*12&lt;=Inputs!$G$88,12,(Inputs!$G$88-AO$1*12)),0)*Inputs!$B$90</f>
        <v>0</v>
      </c>
      <c r="AQ26" s="8">
        <f>MAX(IF(AQ$1*12&lt;=Inputs!$G$88,12,(Inputs!$G$88-AP$1*12)),0)*Inputs!$B$90</f>
        <v>0</v>
      </c>
      <c r="AR26" s="8">
        <f>MAX(IF(AR$1*12&lt;=Inputs!$G$88,12,(Inputs!$G$88-AQ$1*12)),0)*Inputs!$B$90</f>
        <v>0</v>
      </c>
      <c r="AS26" s="8">
        <f>MAX(IF(AS$1*12&lt;=Inputs!$G$88,12,(Inputs!$G$88-AR$1*12)),0)*Inputs!$B$90</f>
        <v>0</v>
      </c>
      <c r="AT26" s="8">
        <f>MAX(IF(AT$1*12&lt;=Inputs!$G$88,12,(Inputs!$G$88-AS$1*12)),0)*Inputs!$B$90</f>
        <v>0</v>
      </c>
      <c r="AU26" s="8">
        <f>MAX(IF(AU$1*12&lt;=Inputs!$G$88,12,(Inputs!$G$88-AT$1*12)),0)*Inputs!$B$90</f>
        <v>0</v>
      </c>
      <c r="AV26" s="8">
        <f>MAX(IF(AV$1*12&lt;=Inputs!$G$88,12,(Inputs!$G$88-AU$1*12)),0)*Inputs!$B$90</f>
        <v>0</v>
      </c>
      <c r="AW26" s="8">
        <f>MAX(IF(AW$1*12&lt;=Inputs!$G$88,12,(Inputs!$G$88-AV$1*12)),0)*Inputs!$B$90</f>
        <v>0</v>
      </c>
    </row>
    <row r="27" spans="1:49" x14ac:dyDescent="0.2">
      <c r="A27" s="5" t="s">
        <v>39</v>
      </c>
      <c r="C27" s="8">
        <f>MAX(IF(C$1*12&lt;=Inputs!$G$93,12,(Inputs!$G$93-B$1*12)),0)*Inputs!$B$95</f>
        <v>0</v>
      </c>
      <c r="D27" s="8">
        <f>MAX(IF(D$1*12&lt;=Inputs!$G$93,12,(Inputs!$G$93-C$1*12)),0)*Inputs!$B$95</f>
        <v>0</v>
      </c>
      <c r="E27" s="8">
        <f>MAX(IF(E$1*12&lt;=Inputs!$G$93,12,(Inputs!$G$93-D$1*12)),0)*Inputs!$B$95</f>
        <v>0</v>
      </c>
      <c r="F27" s="8">
        <f>MAX(IF(F$1*12&lt;=Inputs!$G$93,12,(Inputs!$G$93-E$1*12)),0)*Inputs!$B$95</f>
        <v>0</v>
      </c>
      <c r="G27" s="8">
        <f>MAX(IF(G$1*12&lt;=Inputs!$G$93,12,(Inputs!$G$93-F$1*12)),0)*Inputs!$B$95</f>
        <v>0</v>
      </c>
      <c r="H27" s="8">
        <f>MAX(IF(H$1*12&lt;=Inputs!$G$93,12,(Inputs!$G$93-G$1*12)),0)*Inputs!$B$95</f>
        <v>0</v>
      </c>
      <c r="I27" s="8">
        <f>MAX(IF(I$1*12&lt;=Inputs!$G$93,12,(Inputs!$G$93-H$1*12)),0)*Inputs!$B$95</f>
        <v>0</v>
      </c>
      <c r="J27" s="8">
        <f>MAX(IF(J$1*12&lt;=Inputs!$G$93,12,(Inputs!$G$93-I$1*12)),0)*Inputs!$B$95</f>
        <v>0</v>
      </c>
      <c r="K27" s="8">
        <f>MAX(IF(K$1*12&lt;=Inputs!$G$93,12,(Inputs!$G$93-J$1*12)),0)*Inputs!$B$95</f>
        <v>0</v>
      </c>
      <c r="L27" s="8">
        <f>MAX(IF(L$1*12&lt;=Inputs!$G$93,12,(Inputs!$G$93-K$1*12)),0)*Inputs!$B$95</f>
        <v>0</v>
      </c>
      <c r="M27" s="8">
        <f>MAX(IF(M$1*12&lt;=Inputs!$G$93,12,(Inputs!$G$93-L$1*12)),0)*Inputs!$B$95</f>
        <v>0</v>
      </c>
      <c r="N27" s="8">
        <f>MAX(IF(N$1*12&lt;=Inputs!$G$93,12,(Inputs!$G$93-M$1*12)),0)*Inputs!$B$95</f>
        <v>0</v>
      </c>
      <c r="O27" s="8">
        <f>MAX(IF(O$1*12&lt;=Inputs!$G$93,12,(Inputs!$G$93-N$1*12)),0)*Inputs!$B$95</f>
        <v>0</v>
      </c>
      <c r="P27" s="8">
        <f>MAX(IF(P$1*12&lt;=Inputs!$G$93,12,(Inputs!$G$93-O$1*12)),0)*Inputs!$B$95</f>
        <v>0</v>
      </c>
      <c r="Q27" s="8">
        <f>MAX(IF(Q$1*12&lt;=Inputs!$G$93,12,(Inputs!$G$93-P$1*12)),0)*Inputs!$B$95</f>
        <v>0</v>
      </c>
      <c r="R27" s="8">
        <f>MAX(IF(R$1*12&lt;=Inputs!$G$93,12,(Inputs!$G$93-Q$1*12)),0)*Inputs!$B$95</f>
        <v>0</v>
      </c>
      <c r="S27" s="8">
        <f>MAX(IF(S$1*12&lt;=Inputs!$G$93,12,(Inputs!$G$93-R$1*12)),0)*Inputs!$B$95</f>
        <v>0</v>
      </c>
      <c r="T27" s="8">
        <f>MAX(IF(T$1*12&lt;=Inputs!$G$93,12,(Inputs!$G$93-S$1*12)),0)*Inputs!$B$95</f>
        <v>0</v>
      </c>
      <c r="U27" s="8">
        <f>MAX(IF(U$1*12&lt;=Inputs!$G$93,12,(Inputs!$G$93-T$1*12)),0)*Inputs!$B$95</f>
        <v>0</v>
      </c>
      <c r="V27" s="8">
        <f>MAX(IF(V$1*12&lt;=Inputs!$G$93,12,(Inputs!$G$93-U$1*12)),0)*Inputs!$B$95</f>
        <v>0</v>
      </c>
      <c r="W27" s="8">
        <f>MAX(IF(W$1*12&lt;=Inputs!$G$93,12,(Inputs!$G$93-V$1*12)),0)*Inputs!$B$95</f>
        <v>0</v>
      </c>
      <c r="X27" s="8">
        <f>MAX(IF(X$1*12&lt;=Inputs!$G$93,12,(Inputs!$G$93-W$1*12)),0)*Inputs!$B$95</f>
        <v>0</v>
      </c>
      <c r="Y27" s="8">
        <f>MAX(IF(Y$1*12&lt;=Inputs!$G$93,12,(Inputs!$G$93-X$1*12)),0)*Inputs!$B$95</f>
        <v>0</v>
      </c>
      <c r="Z27" s="8">
        <f>MAX(IF(Z$1*12&lt;=Inputs!$G$93,12,(Inputs!$G$93-Y$1*12)),0)*Inputs!$B$95</f>
        <v>0</v>
      </c>
      <c r="AA27" s="8">
        <f>MAX(IF(AA$1*12&lt;=Inputs!$G$93,12,(Inputs!$G$93-Z$1*12)),0)*Inputs!$B$95</f>
        <v>0</v>
      </c>
      <c r="AB27" s="8">
        <f>MAX(IF(AB$1*12&lt;=Inputs!$G$93,12,(Inputs!$G$93-AA$1*12)),0)*Inputs!$B$95</f>
        <v>0</v>
      </c>
      <c r="AC27" s="8">
        <f>MAX(IF(AC$1*12&lt;=Inputs!$G$93,12,(Inputs!$G$93-AB$1*12)),0)*Inputs!$B$95</f>
        <v>0</v>
      </c>
      <c r="AD27" s="8">
        <f>MAX(IF(AD$1*12&lt;=Inputs!$G$93,12,(Inputs!$G$93-AC$1*12)),0)*Inputs!$B$95</f>
        <v>0</v>
      </c>
      <c r="AE27" s="8">
        <f>MAX(IF(AE$1*12&lt;=Inputs!$G$93,12,(Inputs!$G$93-AD$1*12)),0)*Inputs!$B$95</f>
        <v>0</v>
      </c>
      <c r="AF27" s="8">
        <f>MAX(IF(AF$1*12&lt;=Inputs!$G$93,12,(Inputs!$G$93-AE$1*12)),0)*Inputs!$B$95</f>
        <v>0</v>
      </c>
      <c r="AG27" s="8">
        <f>MAX(IF(AG$1*12&lt;=Inputs!$G$93,12,(Inputs!$G$93-AF$1*12)),0)*Inputs!$B$95</f>
        <v>0</v>
      </c>
      <c r="AH27" s="8">
        <f>MAX(IF(AH$1*12&lt;=Inputs!$G$93,12,(Inputs!$G$93-AG$1*12)),0)*Inputs!$B$95</f>
        <v>0</v>
      </c>
      <c r="AI27" s="8">
        <f>MAX(IF(AI$1*12&lt;=Inputs!$G$93,12,(Inputs!$G$93-AH$1*12)),0)*Inputs!$B$95</f>
        <v>0</v>
      </c>
      <c r="AJ27" s="8">
        <f>MAX(IF(AJ$1*12&lt;=Inputs!$G$93,12,(Inputs!$G$93-AI$1*12)),0)*Inputs!$B$95</f>
        <v>0</v>
      </c>
      <c r="AK27" s="8">
        <f>MAX(IF(AK$1*12&lt;=Inputs!$G$93,12,(Inputs!$G$93-AJ$1*12)),0)*Inputs!$B$95</f>
        <v>0</v>
      </c>
      <c r="AL27" s="8">
        <f>MAX(IF(AL$1*12&lt;=Inputs!$G$93,12,(Inputs!$G$93-AK$1*12)),0)*Inputs!$B$95</f>
        <v>0</v>
      </c>
      <c r="AM27" s="8">
        <f>MAX(IF(AM$1*12&lt;=Inputs!$G$93,12,(Inputs!$G$93-AL$1*12)),0)*Inputs!$B$95</f>
        <v>0</v>
      </c>
      <c r="AN27" s="8">
        <f>MAX(IF(AN$1*12&lt;=Inputs!$G$93,12,(Inputs!$G$93-AM$1*12)),0)*Inputs!$B$95</f>
        <v>0</v>
      </c>
      <c r="AO27" s="8">
        <f>MAX(IF(AO$1*12&lt;=Inputs!$G$93,12,(Inputs!$G$93-AN$1*12)),0)*Inputs!$B$95</f>
        <v>0</v>
      </c>
      <c r="AP27" s="8">
        <f>MAX(IF(AP$1*12&lt;=Inputs!$G$93,12,(Inputs!$G$93-AO$1*12)),0)*Inputs!$B$95</f>
        <v>0</v>
      </c>
      <c r="AQ27" s="8">
        <f>MAX(IF(AQ$1*12&lt;=Inputs!$G$93,12,(Inputs!$G$93-AP$1*12)),0)*Inputs!$B$95</f>
        <v>0</v>
      </c>
      <c r="AR27" s="8">
        <f>MAX(IF(AR$1*12&lt;=Inputs!$G$93,12,(Inputs!$G$93-AQ$1*12)),0)*Inputs!$B$95</f>
        <v>0</v>
      </c>
      <c r="AS27" s="8">
        <f>MAX(IF(AS$1*12&lt;=Inputs!$G$93,12,(Inputs!$G$93-AR$1*12)),0)*Inputs!$B$95</f>
        <v>0</v>
      </c>
      <c r="AT27" s="8">
        <f>MAX(IF(AT$1*12&lt;=Inputs!$G$93,12,(Inputs!$G$93-AS$1*12)),0)*Inputs!$B$95</f>
        <v>0</v>
      </c>
      <c r="AU27" s="8">
        <f>MAX(IF(AU$1*12&lt;=Inputs!$G$93,12,(Inputs!$G$93-AT$1*12)),0)*Inputs!$B$95</f>
        <v>0</v>
      </c>
      <c r="AV27" s="8">
        <f>MAX(IF(AV$1*12&lt;=Inputs!$G$93,12,(Inputs!$G$93-AU$1*12)),0)*Inputs!$B$95</f>
        <v>0</v>
      </c>
      <c r="AW27" s="8">
        <f>MAX(IF(AW$1*12&lt;=Inputs!$G$93,12,(Inputs!$G$93-AV$1*12)),0)*Inputs!$B$95</f>
        <v>0</v>
      </c>
    </row>
    <row r="28" spans="1:49" x14ac:dyDescent="0.2">
      <c r="A28" s="5" t="s">
        <v>58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">
      <c r="A29" s="4" t="str">
        <f>TEXT(Inputs!B33,"")</f>
        <v/>
      </c>
      <c r="B29" s="9"/>
      <c r="C29" s="8">
        <f>IF(Inputs!$B$35&gt;=C$1,Inputs!$B$34,0)*(1+inf)^B$1</f>
        <v>0</v>
      </c>
      <c r="D29" s="8">
        <f>IF(Inputs!$B$35&gt;=D$1,Inputs!$B$34,0)*(1+inf)^C$1</f>
        <v>0</v>
      </c>
      <c r="E29" s="8">
        <f>IF(Inputs!$B$35&gt;=E$1,Inputs!$B$34,0)*(1+inf)^D$1</f>
        <v>0</v>
      </c>
      <c r="F29" s="8">
        <f>IF(Inputs!$B$35&gt;=F$1,Inputs!$B$34,0)*(1+inf)^E$1</f>
        <v>0</v>
      </c>
      <c r="G29" s="8">
        <f>IF(Inputs!$B$35&gt;=G$1,Inputs!$B$34,0)*(1+inf)^F$1</f>
        <v>0</v>
      </c>
      <c r="H29" s="8">
        <f>IF(Inputs!$B$35&gt;=H$1,Inputs!$B$34,0)*(1+inf)^G$1</f>
        <v>0</v>
      </c>
      <c r="I29" s="8">
        <f>IF(Inputs!$B$35&gt;=I$1,Inputs!$B$34,0)*(1+inf)^H$1</f>
        <v>0</v>
      </c>
      <c r="J29" s="8">
        <f>IF(Inputs!$B$35&gt;=J$1,Inputs!$B$34,0)*(1+inf)^I$1</f>
        <v>0</v>
      </c>
      <c r="K29" s="8">
        <f>IF(Inputs!$B$35&gt;=K$1,Inputs!$B$34,0)*(1+inf)^J$1</f>
        <v>0</v>
      </c>
      <c r="L29" s="8">
        <f>IF(Inputs!$B$35&gt;=L$1,Inputs!$B$34,0)*(1+inf)^K$1</f>
        <v>0</v>
      </c>
      <c r="M29" s="8">
        <f>IF(Inputs!$B$35&gt;=M$1,Inputs!$B$34,0)*(1+inf)^L$1</f>
        <v>0</v>
      </c>
      <c r="N29" s="8">
        <f>IF(Inputs!$B$35&gt;=N$1,Inputs!$B$34,0)*(1+inf)^M$1</f>
        <v>0</v>
      </c>
      <c r="O29" s="8">
        <f>IF(Inputs!$B$35&gt;=O$1,Inputs!$B$34,0)*(1+inf)^N$1</f>
        <v>0</v>
      </c>
      <c r="P29" s="8">
        <f>IF(Inputs!$B$35&gt;=P$1,Inputs!$B$34,0)*(1+inf)^O$1</f>
        <v>0</v>
      </c>
      <c r="Q29" s="8">
        <f>IF(Inputs!$B$35&gt;=Q$1,Inputs!$B$34,0)*(1+inf)^P$1</f>
        <v>0</v>
      </c>
      <c r="R29" s="8">
        <f>IF(Inputs!$B$35&gt;=R$1,Inputs!$B$34,0)*(1+inf)^Q$1</f>
        <v>0</v>
      </c>
      <c r="S29" s="8">
        <f>IF(Inputs!$B$35&gt;=S$1,Inputs!$B$34,0)*(1+inf)^R$1</f>
        <v>0</v>
      </c>
      <c r="T29" s="8">
        <f>IF(Inputs!$B$35&gt;=T$1,Inputs!$B$34,0)*(1+inf)^S$1</f>
        <v>0</v>
      </c>
      <c r="U29" s="8">
        <f>IF(Inputs!$B$35&gt;=U$1,Inputs!$B$34,0)*(1+inf)^T$1</f>
        <v>0</v>
      </c>
      <c r="V29" s="8">
        <f>IF(Inputs!$B$35&gt;=V$1,Inputs!$B$34,0)*(1+inf)^U$1</f>
        <v>0</v>
      </c>
      <c r="W29" s="8">
        <f>IF(Inputs!$B$35&gt;=W$1,Inputs!$B$34,0)*(1+inf)^V$1</f>
        <v>0</v>
      </c>
      <c r="X29" s="8">
        <f>IF(Inputs!$B$35&gt;=X$1,Inputs!$B$34,0)*(1+inf)^W$1</f>
        <v>0</v>
      </c>
      <c r="Y29" s="8">
        <f>IF(Inputs!$B$35&gt;=Y$1,Inputs!$B$34,0)*(1+inf)^X$1</f>
        <v>0</v>
      </c>
      <c r="Z29" s="8">
        <f>IF(Inputs!$B$35&gt;=Z$1,Inputs!$B$34,0)*(1+inf)^Y$1</f>
        <v>0</v>
      </c>
      <c r="AA29" s="8">
        <f>IF(Inputs!$B$35&gt;=AA$1,Inputs!$B$34,0)*(1+inf)^Z$1</f>
        <v>0</v>
      </c>
      <c r="AB29" s="8">
        <f>IF(Inputs!$B$35&gt;=AB$1,Inputs!$B$34,0)*(1+inf)^AA$1</f>
        <v>0</v>
      </c>
      <c r="AC29" s="8">
        <f>IF(Inputs!$B$35&gt;=AC$1,Inputs!$B$34,0)*(1+inf)^AB$1</f>
        <v>0</v>
      </c>
      <c r="AD29" s="8">
        <f>IF(Inputs!$B$35&gt;=AD$1,Inputs!$B$34,0)*(1+inf)^AC$1</f>
        <v>0</v>
      </c>
      <c r="AE29" s="8">
        <f>IF(Inputs!$B$35&gt;=AE$1,Inputs!$B$34,0)*(1+inf)^AD$1</f>
        <v>0</v>
      </c>
      <c r="AF29" s="8">
        <f>IF(Inputs!$B$35&gt;=AF$1,Inputs!$B$34,0)*(1+inf)^AE$1</f>
        <v>0</v>
      </c>
      <c r="AG29" s="8">
        <f>IF(Inputs!$B$35&gt;=AG$1,Inputs!$B$34,0)*(1+inf)^AF$1</f>
        <v>0</v>
      </c>
      <c r="AH29" s="8">
        <f>IF(Inputs!$B$35&gt;=AH$1,Inputs!$B$34,0)*(1+inf)^AG$1</f>
        <v>0</v>
      </c>
      <c r="AI29" s="8">
        <f>IF(Inputs!$B$35&gt;=AI$1,Inputs!$B$34,0)*(1+inf)^AH$1</f>
        <v>0</v>
      </c>
      <c r="AJ29" s="8">
        <f>IF(Inputs!$B$35&gt;=AJ$1,Inputs!$B$34,0)*(1+inf)^AI$1</f>
        <v>0</v>
      </c>
      <c r="AK29" s="8">
        <f>IF(Inputs!$B$35&gt;=AK$1,Inputs!$B$34,0)*(1+inf)^AJ$1</f>
        <v>0</v>
      </c>
      <c r="AL29" s="8">
        <f>IF(Inputs!$B$35&gt;=AL$1,Inputs!$B$34,0)*(1+inf)^AK$1</f>
        <v>0</v>
      </c>
      <c r="AM29" s="8">
        <f>IF(Inputs!$B$35&gt;=AM$1,Inputs!$B$34,0)*(1+inf)^AL$1</f>
        <v>0</v>
      </c>
      <c r="AN29" s="8">
        <f>IF(Inputs!$B$35&gt;=AN$1,Inputs!$B$34,0)*(1+inf)^AM$1</f>
        <v>0</v>
      </c>
      <c r="AO29" s="8">
        <f>IF(Inputs!$B$35&gt;=AO$1,Inputs!$B$34,0)*(1+inf)^AN$1</f>
        <v>0</v>
      </c>
      <c r="AP29" s="8">
        <f>IF(Inputs!$B$35&gt;=AP$1,Inputs!$B$34,0)*(1+inf)^AO$1</f>
        <v>0</v>
      </c>
      <c r="AQ29" s="8">
        <f>IF(Inputs!$B$35&gt;=AQ$1,Inputs!$B$34,0)*(1+inf)^AP$1</f>
        <v>0</v>
      </c>
      <c r="AR29" s="8">
        <f>IF(Inputs!$B$35&gt;=AR$1,Inputs!$B$34,0)*(1+inf)^AQ$1</f>
        <v>0</v>
      </c>
      <c r="AS29" s="8">
        <f>IF(Inputs!$B$35&gt;=AS$1,Inputs!$B$34,0)*(1+inf)^AR$1</f>
        <v>0</v>
      </c>
      <c r="AT29" s="8">
        <f>IF(Inputs!$B$35&gt;=AT$1,Inputs!$B$34,0)*(1+inf)^AS$1</f>
        <v>0</v>
      </c>
      <c r="AU29" s="8">
        <f>IF(Inputs!$B$35&gt;=AU$1,Inputs!$B$34,0)*(1+inf)^AT$1</f>
        <v>0</v>
      </c>
      <c r="AV29" s="8">
        <f>IF(Inputs!$B$35&gt;=AV$1,Inputs!$B$34,0)*(1+inf)^AU$1</f>
        <v>0</v>
      </c>
      <c r="AW29" s="8">
        <f>IF(Inputs!$B$35&gt;=AW$1,Inputs!$B$34,0)*(1+inf)^AV$1</f>
        <v>0</v>
      </c>
    </row>
    <row r="30" spans="1:49" x14ac:dyDescent="0.2">
      <c r="A30" s="4" t="str">
        <f>TEXT(Inputs!B38,"")</f>
        <v/>
      </c>
      <c r="B30" s="9"/>
      <c r="C30" s="8">
        <f>IF(Inputs!$B$40&gt;=C$1,Inputs!$B$39,0)*(1+inf)^B$1</f>
        <v>0</v>
      </c>
      <c r="D30" s="8">
        <f>IF(Inputs!$B$40&gt;=D$1,Inputs!$B$39,0)*(1+inf)^C$1</f>
        <v>0</v>
      </c>
      <c r="E30" s="8">
        <f>IF(Inputs!$B$40&gt;=E$1,Inputs!$B$39,0)*(1+inf)^D$1</f>
        <v>0</v>
      </c>
      <c r="F30" s="8">
        <f>IF(Inputs!$B$40&gt;=F$1,Inputs!$B$39,0)*(1+inf)^E$1</f>
        <v>0</v>
      </c>
      <c r="G30" s="8">
        <f>IF(Inputs!$B$40&gt;=G$1,Inputs!$B$39,0)*(1+inf)^F$1</f>
        <v>0</v>
      </c>
      <c r="H30" s="8">
        <f>IF(Inputs!$B$40&gt;=H$1,Inputs!$B$39,0)*(1+inf)^G$1</f>
        <v>0</v>
      </c>
      <c r="I30" s="8">
        <f>IF(Inputs!$B$40&gt;=I$1,Inputs!$B$39,0)*(1+inf)^H$1</f>
        <v>0</v>
      </c>
      <c r="J30" s="8">
        <f>IF(Inputs!$B$40&gt;=J$1,Inputs!$B$39,0)*(1+inf)^I$1</f>
        <v>0</v>
      </c>
      <c r="K30" s="8">
        <f>IF(Inputs!$B$40&gt;=K$1,Inputs!$B$39,0)*(1+inf)^J$1</f>
        <v>0</v>
      </c>
      <c r="L30" s="8">
        <f>IF(Inputs!$B$40&gt;=L$1,Inputs!$B$39,0)*(1+inf)^K$1</f>
        <v>0</v>
      </c>
      <c r="M30" s="8">
        <f>IF(Inputs!$B$40&gt;=M$1,Inputs!$B$39,0)*(1+inf)^L$1</f>
        <v>0</v>
      </c>
      <c r="N30" s="8">
        <f>IF(Inputs!$B$40&gt;=N$1,Inputs!$B$39,0)*(1+inf)^M$1</f>
        <v>0</v>
      </c>
      <c r="O30" s="8">
        <f>IF(Inputs!$B$40&gt;=O$1,Inputs!$B$39,0)*(1+inf)^N$1</f>
        <v>0</v>
      </c>
      <c r="P30" s="8">
        <f>IF(Inputs!$B$40&gt;=P$1,Inputs!$B$39,0)*(1+inf)^O$1</f>
        <v>0</v>
      </c>
      <c r="Q30" s="8">
        <f>IF(Inputs!$B$40&gt;=Q$1,Inputs!$B$39,0)*(1+inf)^P$1</f>
        <v>0</v>
      </c>
      <c r="R30" s="8">
        <f>IF(Inputs!$B$40&gt;=R$1,Inputs!$B$39,0)*(1+inf)^Q$1</f>
        <v>0</v>
      </c>
      <c r="S30" s="8">
        <f>IF(Inputs!$B$40&gt;=S$1,Inputs!$B$39,0)*(1+inf)^R$1</f>
        <v>0</v>
      </c>
      <c r="T30" s="8">
        <f>IF(Inputs!$B$40&gt;=T$1,Inputs!$B$39,0)*(1+inf)^S$1</f>
        <v>0</v>
      </c>
      <c r="U30" s="8">
        <f>IF(Inputs!$B$40&gt;=U$1,Inputs!$B$39,0)*(1+inf)^T$1</f>
        <v>0</v>
      </c>
      <c r="V30" s="8">
        <f>IF(Inputs!$B$40&gt;=V$1,Inputs!$B$39,0)*(1+inf)^U$1</f>
        <v>0</v>
      </c>
      <c r="W30" s="8">
        <f>IF(Inputs!$B$40&gt;=W$1,Inputs!$B$39,0)*(1+inf)^V$1</f>
        <v>0</v>
      </c>
      <c r="X30" s="8">
        <f>IF(Inputs!$B$40&gt;=X$1,Inputs!$B$39,0)*(1+inf)^W$1</f>
        <v>0</v>
      </c>
      <c r="Y30" s="8">
        <f>IF(Inputs!$B$40&gt;=Y$1,Inputs!$B$39,0)*(1+inf)^X$1</f>
        <v>0</v>
      </c>
      <c r="Z30" s="8">
        <f>IF(Inputs!$B$40&gt;=Z$1,Inputs!$B$39,0)*(1+inf)^Y$1</f>
        <v>0</v>
      </c>
      <c r="AA30" s="8">
        <f>IF(Inputs!$B$40&gt;=AA$1,Inputs!$B$39,0)*(1+inf)^Z$1</f>
        <v>0</v>
      </c>
      <c r="AB30" s="8">
        <f>IF(Inputs!$B$40&gt;=AB$1,Inputs!$B$39,0)*(1+inf)^AA$1</f>
        <v>0</v>
      </c>
      <c r="AC30" s="8">
        <f>IF(Inputs!$B$40&gt;=AC$1,Inputs!$B$39,0)*(1+inf)^AB$1</f>
        <v>0</v>
      </c>
      <c r="AD30" s="8">
        <f>IF(Inputs!$B$40&gt;=AD$1,Inputs!$B$39,0)*(1+inf)^AC$1</f>
        <v>0</v>
      </c>
      <c r="AE30" s="8">
        <f>IF(Inputs!$B$40&gt;=AE$1,Inputs!$B$39,0)*(1+inf)^AD$1</f>
        <v>0</v>
      </c>
      <c r="AF30" s="8">
        <f>IF(Inputs!$B$40&gt;=AF$1,Inputs!$B$39,0)*(1+inf)^AE$1</f>
        <v>0</v>
      </c>
      <c r="AG30" s="8">
        <f>IF(Inputs!$B$40&gt;=AG$1,Inputs!$B$39,0)*(1+inf)^AF$1</f>
        <v>0</v>
      </c>
      <c r="AH30" s="8">
        <f>IF(Inputs!$B$40&gt;=AH$1,Inputs!$B$39,0)*(1+inf)^AG$1</f>
        <v>0</v>
      </c>
      <c r="AI30" s="8">
        <f>IF(Inputs!$B$40&gt;=AI$1,Inputs!$B$39,0)*(1+inf)^AH$1</f>
        <v>0</v>
      </c>
      <c r="AJ30" s="8">
        <f>IF(Inputs!$B$40&gt;=AJ$1,Inputs!$B$39,0)*(1+inf)^AI$1</f>
        <v>0</v>
      </c>
      <c r="AK30" s="8">
        <f>IF(Inputs!$B$40&gt;=AK$1,Inputs!$B$39,0)*(1+inf)^AJ$1</f>
        <v>0</v>
      </c>
      <c r="AL30" s="8">
        <f>IF(Inputs!$B$40&gt;=AL$1,Inputs!$B$39,0)*(1+inf)^AK$1</f>
        <v>0</v>
      </c>
      <c r="AM30" s="8">
        <f>IF(Inputs!$B$40&gt;=AM$1,Inputs!$B$39,0)*(1+inf)^AL$1</f>
        <v>0</v>
      </c>
      <c r="AN30" s="8">
        <f>IF(Inputs!$B$40&gt;=AN$1,Inputs!$B$39,0)*(1+inf)^AM$1</f>
        <v>0</v>
      </c>
      <c r="AO30" s="8">
        <f>IF(Inputs!$B$40&gt;=AO$1,Inputs!$B$39,0)*(1+inf)^AN$1</f>
        <v>0</v>
      </c>
      <c r="AP30" s="8">
        <f>IF(Inputs!$B$40&gt;=AP$1,Inputs!$B$39,0)*(1+inf)^AO$1</f>
        <v>0</v>
      </c>
      <c r="AQ30" s="8">
        <f>IF(Inputs!$B$40&gt;=AQ$1,Inputs!$B$39,0)*(1+inf)^AP$1</f>
        <v>0</v>
      </c>
      <c r="AR30" s="8">
        <f>IF(Inputs!$B$40&gt;=AR$1,Inputs!$B$39,0)*(1+inf)^AQ$1</f>
        <v>0</v>
      </c>
      <c r="AS30" s="8">
        <f>IF(Inputs!$B$40&gt;=AS$1,Inputs!$B$39,0)*(1+inf)^AR$1</f>
        <v>0</v>
      </c>
      <c r="AT30" s="8">
        <f>IF(Inputs!$B$40&gt;=AT$1,Inputs!$B$39,0)*(1+inf)^AS$1</f>
        <v>0</v>
      </c>
      <c r="AU30" s="8">
        <f>IF(Inputs!$B$40&gt;=AU$1,Inputs!$B$39,0)*(1+inf)^AT$1</f>
        <v>0</v>
      </c>
      <c r="AV30" s="8">
        <f>IF(Inputs!$B$40&gt;=AV$1,Inputs!$B$39,0)*(1+inf)^AU$1</f>
        <v>0</v>
      </c>
      <c r="AW30" s="8">
        <f>IF(Inputs!$B$40&gt;=AW$1,Inputs!$B$39,0)*(1+inf)^AV$1</f>
        <v>0</v>
      </c>
    </row>
    <row r="31" spans="1:49" x14ac:dyDescent="0.2">
      <c r="A31" s="4" t="str">
        <f>TEXT(Inputs!B43,"")</f>
        <v/>
      </c>
      <c r="B31" s="9"/>
      <c r="C31" s="8">
        <f>IF(Inputs!$B$45&gt;=C$1,Inputs!$B$44,0)*(1+inf)^B$1</f>
        <v>0</v>
      </c>
      <c r="D31" s="8">
        <f>IF(Inputs!$B$45&gt;=D$1,Inputs!$B$44,0)*(1+inf)^C$1</f>
        <v>0</v>
      </c>
      <c r="E31" s="8">
        <f>IF(Inputs!$B$45&gt;=E$1,Inputs!$B$44,0)*(1+inf)^D$1</f>
        <v>0</v>
      </c>
      <c r="F31" s="8">
        <f>IF(Inputs!$B$45&gt;=F$1,Inputs!$B$44,0)*(1+inf)^E$1</f>
        <v>0</v>
      </c>
      <c r="G31" s="8">
        <f>IF(Inputs!$B$45&gt;=G$1,Inputs!$B$44,0)*(1+inf)^F$1</f>
        <v>0</v>
      </c>
      <c r="H31" s="8">
        <f>IF(Inputs!$B$45&gt;=H$1,Inputs!$B$44,0)*(1+inf)^G$1</f>
        <v>0</v>
      </c>
      <c r="I31" s="8">
        <f>IF(Inputs!$B$45&gt;=I$1,Inputs!$B$44,0)*(1+inf)^H$1</f>
        <v>0</v>
      </c>
      <c r="J31" s="8">
        <f>IF(Inputs!$B$45&gt;=J$1,Inputs!$B$44,0)*(1+inf)^I$1</f>
        <v>0</v>
      </c>
      <c r="K31" s="8">
        <f>IF(Inputs!$B$45&gt;=K$1,Inputs!$B$44,0)*(1+inf)^J$1</f>
        <v>0</v>
      </c>
      <c r="L31" s="8">
        <f>IF(Inputs!$B$45&gt;=L$1,Inputs!$B$44,0)*(1+inf)^K$1</f>
        <v>0</v>
      </c>
      <c r="M31" s="8">
        <f>IF(Inputs!$B$45&gt;=M$1,Inputs!$B$44,0)*(1+inf)^L$1</f>
        <v>0</v>
      </c>
      <c r="N31" s="8">
        <f>IF(Inputs!$B$45&gt;=N$1,Inputs!$B$44,0)*(1+inf)^M$1</f>
        <v>0</v>
      </c>
      <c r="O31" s="8">
        <f>IF(Inputs!$B$45&gt;=O$1,Inputs!$B$44,0)*(1+inf)^N$1</f>
        <v>0</v>
      </c>
      <c r="P31" s="8">
        <f>IF(Inputs!$B$45&gt;=P$1,Inputs!$B$44,0)*(1+inf)^O$1</f>
        <v>0</v>
      </c>
      <c r="Q31" s="8">
        <f>IF(Inputs!$B$45&gt;=Q$1,Inputs!$B$44,0)*(1+inf)^P$1</f>
        <v>0</v>
      </c>
      <c r="R31" s="8">
        <f>IF(Inputs!$B$45&gt;=R$1,Inputs!$B$44,0)*(1+inf)^Q$1</f>
        <v>0</v>
      </c>
      <c r="S31" s="8">
        <f>IF(Inputs!$B$45&gt;=S$1,Inputs!$B$44,0)*(1+inf)^R$1</f>
        <v>0</v>
      </c>
      <c r="T31" s="8">
        <f>IF(Inputs!$B$45&gt;=T$1,Inputs!$B$44,0)*(1+inf)^S$1</f>
        <v>0</v>
      </c>
      <c r="U31" s="8">
        <f>IF(Inputs!$B$45&gt;=U$1,Inputs!$B$44,0)*(1+inf)^T$1</f>
        <v>0</v>
      </c>
      <c r="V31" s="8">
        <f>IF(Inputs!$B$45&gt;=V$1,Inputs!$B$44,0)*(1+inf)^U$1</f>
        <v>0</v>
      </c>
      <c r="W31" s="8">
        <f>IF(Inputs!$B$45&gt;=W$1,Inputs!$B$44,0)*(1+inf)^V$1</f>
        <v>0</v>
      </c>
      <c r="X31" s="8">
        <f>IF(Inputs!$B$45&gt;=X$1,Inputs!$B$44,0)*(1+inf)^W$1</f>
        <v>0</v>
      </c>
      <c r="Y31" s="8">
        <f>IF(Inputs!$B$45&gt;=Y$1,Inputs!$B$44,0)*(1+inf)^X$1</f>
        <v>0</v>
      </c>
      <c r="Z31" s="8">
        <f>IF(Inputs!$B$45&gt;=Z$1,Inputs!$B$44,0)*(1+inf)^Y$1</f>
        <v>0</v>
      </c>
      <c r="AA31" s="8">
        <f>IF(Inputs!$B$45&gt;=AA$1,Inputs!$B$44,0)*(1+inf)^Z$1</f>
        <v>0</v>
      </c>
      <c r="AB31" s="8">
        <f>IF(Inputs!$B$45&gt;=AB$1,Inputs!$B$44,0)*(1+inf)^AA$1</f>
        <v>0</v>
      </c>
      <c r="AC31" s="8">
        <f>IF(Inputs!$B$45&gt;=AC$1,Inputs!$B$44,0)*(1+inf)^AB$1</f>
        <v>0</v>
      </c>
      <c r="AD31" s="8">
        <f>IF(Inputs!$B$45&gt;=AD$1,Inputs!$B$44,0)*(1+inf)^AC$1</f>
        <v>0</v>
      </c>
      <c r="AE31" s="8">
        <f>IF(Inputs!$B$45&gt;=AE$1,Inputs!$B$44,0)*(1+inf)^AD$1</f>
        <v>0</v>
      </c>
      <c r="AF31" s="8">
        <f>IF(Inputs!$B$45&gt;=AF$1,Inputs!$B$44,0)*(1+inf)^AE$1</f>
        <v>0</v>
      </c>
      <c r="AG31" s="8">
        <f>IF(Inputs!$B$45&gt;=AG$1,Inputs!$B$44,0)*(1+inf)^AF$1</f>
        <v>0</v>
      </c>
      <c r="AH31" s="8">
        <f>IF(Inputs!$B$45&gt;=AH$1,Inputs!$B$44,0)*(1+inf)^AG$1</f>
        <v>0</v>
      </c>
      <c r="AI31" s="8">
        <f>IF(Inputs!$B$45&gt;=AI$1,Inputs!$B$44,0)*(1+inf)^AH$1</f>
        <v>0</v>
      </c>
      <c r="AJ31" s="8">
        <f>IF(Inputs!$B$45&gt;=AJ$1,Inputs!$B$44,0)*(1+inf)^AI$1</f>
        <v>0</v>
      </c>
      <c r="AK31" s="8">
        <f>IF(Inputs!$B$45&gt;=AK$1,Inputs!$B$44,0)*(1+inf)^AJ$1</f>
        <v>0</v>
      </c>
      <c r="AL31" s="8">
        <f>IF(Inputs!$B$45&gt;=AL$1,Inputs!$B$44,0)*(1+inf)^AK$1</f>
        <v>0</v>
      </c>
      <c r="AM31" s="8">
        <f>IF(Inputs!$B$45&gt;=AM$1,Inputs!$B$44,0)*(1+inf)^AL$1</f>
        <v>0</v>
      </c>
      <c r="AN31" s="8">
        <f>IF(Inputs!$B$45&gt;=AN$1,Inputs!$B$44,0)*(1+inf)^AM$1</f>
        <v>0</v>
      </c>
      <c r="AO31" s="8">
        <f>IF(Inputs!$B$45&gt;=AO$1,Inputs!$B$44,0)*(1+inf)^AN$1</f>
        <v>0</v>
      </c>
      <c r="AP31" s="8">
        <f>IF(Inputs!$B$45&gt;=AP$1,Inputs!$B$44,0)*(1+inf)^AO$1</f>
        <v>0</v>
      </c>
      <c r="AQ31" s="8">
        <f>IF(Inputs!$B$45&gt;=AQ$1,Inputs!$B$44,0)*(1+inf)^AP$1</f>
        <v>0</v>
      </c>
      <c r="AR31" s="8">
        <f>IF(Inputs!$B$45&gt;=AR$1,Inputs!$B$44,0)*(1+inf)^AQ$1</f>
        <v>0</v>
      </c>
      <c r="AS31" s="8">
        <f>IF(Inputs!$B$45&gt;=AS$1,Inputs!$B$44,0)*(1+inf)^AR$1</f>
        <v>0</v>
      </c>
      <c r="AT31" s="8">
        <f>IF(Inputs!$B$45&gt;=AT$1,Inputs!$B$44,0)*(1+inf)^AS$1</f>
        <v>0</v>
      </c>
      <c r="AU31" s="8">
        <f>IF(Inputs!$B$45&gt;=AU$1,Inputs!$B$44,0)*(1+inf)^AT$1</f>
        <v>0</v>
      </c>
      <c r="AV31" s="8">
        <f>IF(Inputs!$B$45&gt;=AV$1,Inputs!$B$44,0)*(1+inf)^AU$1</f>
        <v>0</v>
      </c>
      <c r="AW31" s="8">
        <f>IF(Inputs!$B$45&gt;=AW$1,Inputs!$B$44,0)*(1+inf)^AV$1</f>
        <v>0</v>
      </c>
    </row>
    <row r="32" spans="1:49" x14ac:dyDescent="0.2">
      <c r="A32" s="5" t="s">
        <v>5</v>
      </c>
      <c r="B32" s="9"/>
      <c r="C32" s="8">
        <f>Inputs!$B$23*(1+inf)^B$1</f>
        <v>0</v>
      </c>
      <c r="D32" s="8">
        <f>Inputs!$B$23*(1+inf)^C$1</f>
        <v>0</v>
      </c>
      <c r="E32" s="8">
        <f>Inputs!$B$23*(1+inf)^D$1</f>
        <v>0</v>
      </c>
      <c r="F32" s="8">
        <f>Inputs!$B$23*(1+inf)^E$1</f>
        <v>0</v>
      </c>
      <c r="G32" s="8">
        <f>Inputs!$B$23*(1+inf)^F$1</f>
        <v>0</v>
      </c>
      <c r="H32" s="8">
        <f>Inputs!$B$23*(1+inf)^G$1</f>
        <v>0</v>
      </c>
      <c r="I32" s="8">
        <f>Inputs!$B$23*(1+inf)^H$1</f>
        <v>0</v>
      </c>
      <c r="J32" s="8">
        <f>Inputs!$B$23*(1+inf)^I$1</f>
        <v>0</v>
      </c>
      <c r="K32" s="8">
        <f>Inputs!$B$23*(1+inf)^J$1</f>
        <v>0</v>
      </c>
      <c r="L32" s="8">
        <f>Inputs!$B$23*(1+inf)^K$1</f>
        <v>0</v>
      </c>
      <c r="M32" s="8">
        <f>Inputs!$B$23*(1+inf)^L$1</f>
        <v>0</v>
      </c>
      <c r="N32" s="8">
        <f>Inputs!$B$23*(1+inf)^M$1</f>
        <v>0</v>
      </c>
      <c r="O32" s="8">
        <f>Inputs!$B$23*(1+inf)^N$1</f>
        <v>0</v>
      </c>
      <c r="P32" s="8">
        <f>Inputs!$B$23*(1+inf)^O$1</f>
        <v>0</v>
      </c>
      <c r="Q32" s="8">
        <f>Inputs!$B$23*(1+inf)^P$1</f>
        <v>0</v>
      </c>
      <c r="R32" s="8">
        <f>Inputs!$B$23*(1+inf)^Q$1</f>
        <v>0</v>
      </c>
      <c r="S32" s="8">
        <f>Inputs!$B$23*(1+inf)^R$1</f>
        <v>0</v>
      </c>
      <c r="T32" s="8">
        <f>Inputs!$B$23*(1+inf)^S$1</f>
        <v>0</v>
      </c>
      <c r="U32" s="8">
        <f>Inputs!$B$23*(1+inf)^T$1</f>
        <v>0</v>
      </c>
      <c r="V32" s="8">
        <f>Inputs!$B$23*(1+inf)^U$1</f>
        <v>0</v>
      </c>
      <c r="W32" s="8">
        <f>Inputs!$B$23*(1+inf)^V$1</f>
        <v>0</v>
      </c>
      <c r="X32" s="8">
        <f>Inputs!$B$23*(1+inf)^W$1</f>
        <v>0</v>
      </c>
      <c r="Y32" s="8">
        <f>Inputs!$B$23*(1+inf)^X$1</f>
        <v>0</v>
      </c>
      <c r="Z32" s="8">
        <f>Inputs!$B$23*(1+inf)^Y$1</f>
        <v>0</v>
      </c>
      <c r="AA32" s="8">
        <f>Inputs!$B$23*(1+inf)^Z$1</f>
        <v>0</v>
      </c>
      <c r="AB32" s="8">
        <f>Inputs!$B$23*(1+inf)^AA$1</f>
        <v>0</v>
      </c>
      <c r="AC32" s="8">
        <f>Inputs!$B$23*(1+inf)^AB$1</f>
        <v>0</v>
      </c>
      <c r="AD32" s="8">
        <f>Inputs!$B$23*(1+inf)^AC$1</f>
        <v>0</v>
      </c>
      <c r="AE32" s="8">
        <f>Inputs!$B$23*(1+inf)^AD$1</f>
        <v>0</v>
      </c>
      <c r="AF32" s="8">
        <f>Inputs!$B$23*(1+inf)^AE$1</f>
        <v>0</v>
      </c>
      <c r="AG32" s="8">
        <f>Inputs!$B$23*(1+inf)^AF$1</f>
        <v>0</v>
      </c>
      <c r="AH32" s="8">
        <f>Inputs!$B$23*(1+inf)^AG$1</f>
        <v>0</v>
      </c>
      <c r="AI32" s="8">
        <f>Inputs!$B$23*(1+inf)^AH$1</f>
        <v>0</v>
      </c>
      <c r="AJ32" s="8">
        <f>Inputs!$B$23*(1+inf)^AI$1</f>
        <v>0</v>
      </c>
      <c r="AK32" s="8">
        <f>Inputs!$B$23*(1+inf)^AJ$1</f>
        <v>0</v>
      </c>
      <c r="AL32" s="8">
        <f>Inputs!$B$23*(1+inf)^AK$1</f>
        <v>0</v>
      </c>
      <c r="AM32" s="8">
        <f>Inputs!$B$23*(1+inf)^AL$1</f>
        <v>0</v>
      </c>
      <c r="AN32" s="8">
        <f>Inputs!$B$23*(1+inf)^AM$1</f>
        <v>0</v>
      </c>
      <c r="AO32" s="8">
        <f>Inputs!$B$23*(1+inf)^AN$1</f>
        <v>0</v>
      </c>
      <c r="AP32" s="8">
        <f>Inputs!$B$23*(1+inf)^AO$1</f>
        <v>0</v>
      </c>
      <c r="AQ32" s="8">
        <f>Inputs!$B$23*(1+inf)^AP$1</f>
        <v>0</v>
      </c>
      <c r="AR32" s="8">
        <f>Inputs!$B$23*(1+inf)^AQ$1</f>
        <v>0</v>
      </c>
      <c r="AS32" s="8">
        <f>Inputs!$B$23*(1+inf)^AR$1</f>
        <v>0</v>
      </c>
      <c r="AT32" s="8">
        <f>Inputs!$B$23*(1+inf)^AS$1</f>
        <v>0</v>
      </c>
      <c r="AU32" s="8">
        <f>Inputs!$B$23*(1+inf)^AT$1</f>
        <v>0</v>
      </c>
      <c r="AV32" s="8">
        <f>Inputs!$B$23*(1+inf)^AU$1</f>
        <v>0</v>
      </c>
      <c r="AW32" s="8">
        <f>Inputs!$B$23*(1+inf)^AV$1</f>
        <v>0</v>
      </c>
    </row>
    <row r="33" spans="1:49" x14ac:dyDescent="0.2">
      <c r="A33" s="5" t="s">
        <v>59</v>
      </c>
      <c r="B33" s="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">
      <c r="A34" s="4" t="str">
        <f>TEXT(Inputs!$B$50,"")</f>
        <v>Sliema</v>
      </c>
      <c r="B34" s="9"/>
      <c r="C34" s="8">
        <f>Inputs!$B52*(1+inf)^B$1</f>
        <v>500</v>
      </c>
      <c r="D34" s="8">
        <f>Inputs!$B52*(1+inf)^C$1</f>
        <v>512.5</v>
      </c>
      <c r="E34" s="8">
        <f>Inputs!$B52*(1+inf)^D$1</f>
        <v>525.3125</v>
      </c>
      <c r="F34" s="8">
        <f>Inputs!$B52*(1+inf)^E$1</f>
        <v>538.44531249999989</v>
      </c>
      <c r="G34" s="8">
        <f>Inputs!$B52*(1+inf)^F$1</f>
        <v>551.90644531249984</v>
      </c>
      <c r="H34" s="8">
        <f>Inputs!$B52*(1+inf)^G$1</f>
        <v>565.70410644531228</v>
      </c>
      <c r="I34" s="8">
        <f>Inputs!$B52*(1+inf)^H$1</f>
        <v>579.84670910644513</v>
      </c>
      <c r="J34" s="8">
        <f>Inputs!$B52*(1+inf)^I$1</f>
        <v>594.34287683410628</v>
      </c>
      <c r="K34" s="8">
        <f>Inputs!$B52*(1+inf)^J$1</f>
        <v>609.20144875495885</v>
      </c>
      <c r="L34" s="8">
        <f>Inputs!$B52*(1+inf)^K$1</f>
        <v>624.43148497383277</v>
      </c>
      <c r="M34" s="8">
        <f>Inputs!$B52*(1+inf)^L$1</f>
        <v>640.0422720981785</v>
      </c>
      <c r="N34" s="8">
        <f>Inputs!$B52*(1+inf)^M$1</f>
        <v>656.04332890063301</v>
      </c>
      <c r="O34" s="8">
        <f>Inputs!$B52*(1+inf)^N$1</f>
        <v>672.44441212314871</v>
      </c>
      <c r="P34" s="8">
        <f>Inputs!$B52*(1+inf)^O$1</f>
        <v>689.25552242622746</v>
      </c>
      <c r="Q34" s="8">
        <f>Inputs!$B52*(1+inf)^P$1</f>
        <v>706.48691048688306</v>
      </c>
      <c r="R34" s="8">
        <f>Inputs!$B52*(1+inf)^Q$1</f>
        <v>724.14908324905525</v>
      </c>
      <c r="S34" s="8">
        <f>Inputs!$B52*(1+inf)^R$1</f>
        <v>742.25281033028159</v>
      </c>
      <c r="T34" s="8">
        <f>Inputs!$B52*(1+inf)^S$1</f>
        <v>760.80913058853855</v>
      </c>
      <c r="U34" s="8">
        <f>Inputs!$B52*(1+inf)^T$1</f>
        <v>779.82935885325196</v>
      </c>
      <c r="V34" s="8">
        <f>Inputs!$B52*(1+inf)^U$1</f>
        <v>799.32509282458329</v>
      </c>
      <c r="W34" s="8">
        <f>Inputs!$B52*(1+inf)^V$1</f>
        <v>819.30822014519777</v>
      </c>
      <c r="X34" s="8">
        <f>Inputs!$B52*(1+inf)^W$1</f>
        <v>839.79092564882762</v>
      </c>
      <c r="Y34" s="8">
        <f>Inputs!$B52*(1+inf)^X$1</f>
        <v>860.78569879004829</v>
      </c>
      <c r="Z34" s="8">
        <f>Inputs!$B52*(1+inf)^Y$1</f>
        <v>882.30534125979955</v>
      </c>
      <c r="AA34" s="8">
        <f>Inputs!$B52*(1+inf)^Z$1</f>
        <v>904.3629747912945</v>
      </c>
      <c r="AB34" s="8">
        <f>Inputs!$B52*(1+inf)^AA$1</f>
        <v>926.97204916107671</v>
      </c>
      <c r="AC34" s="8">
        <f>Inputs!$B52*(1+inf)^AB$1</f>
        <v>950.14635039010352</v>
      </c>
      <c r="AD34" s="8">
        <f>Inputs!$B52*(1+inf)^AC$1</f>
        <v>973.90000914985603</v>
      </c>
      <c r="AE34" s="8">
        <f>Inputs!$B52*(1+inf)^AD$1</f>
        <v>998.24750937860244</v>
      </c>
      <c r="AF34" s="8">
        <f>Inputs!$B52*(1+inf)^AE$1</f>
        <v>1023.2036971130676</v>
      </c>
      <c r="AG34" s="8">
        <f>Inputs!$B52*(1+inf)^AF$1</f>
        <v>1048.7837895408941</v>
      </c>
      <c r="AH34" s="8">
        <f>Inputs!$B52*(1+inf)^AG$1</f>
        <v>1075.0033842794167</v>
      </c>
      <c r="AI34" s="8">
        <f>Inputs!$B52*(1+inf)^AH$1</f>
        <v>1101.8784688864018</v>
      </c>
      <c r="AJ34" s="8">
        <f>Inputs!$B52*(1+inf)^AI$1</f>
        <v>1129.4254306085618</v>
      </c>
      <c r="AK34" s="8">
        <f>Inputs!$B52*(1+inf)^AJ$1</f>
        <v>1157.6610663737758</v>
      </c>
      <c r="AL34" s="8">
        <f>Inputs!$B52*(1+inf)^AK$1</f>
        <v>1186.60259303312</v>
      </c>
      <c r="AM34" s="8">
        <f>Inputs!$B52*(1+inf)^AL$1</f>
        <v>1216.2676578589483</v>
      </c>
      <c r="AN34" s="8">
        <f>Inputs!$B52*(1+inf)^AM$1</f>
        <v>1246.6743493054219</v>
      </c>
      <c r="AO34" s="8">
        <f>Inputs!$B52*(1+inf)^AN$1</f>
        <v>1277.8412080380569</v>
      </c>
      <c r="AP34" s="8">
        <f>Inputs!$B52*(1+inf)^AO$1</f>
        <v>1309.7872382390085</v>
      </c>
      <c r="AQ34" s="8">
        <f>Inputs!$B52*(1+inf)^AP$1</f>
        <v>1342.5319191949836</v>
      </c>
      <c r="AR34" s="8">
        <f>Inputs!$B52*(1+inf)^AQ$1</f>
        <v>1376.0952171748581</v>
      </c>
      <c r="AS34" s="8">
        <f>Inputs!$B52*(1+inf)^AR$1</f>
        <v>1410.4975976042294</v>
      </c>
      <c r="AT34" s="8">
        <f>Inputs!$B52*(1+inf)^AS$1</f>
        <v>1445.7600375443353</v>
      </c>
      <c r="AU34" s="8">
        <f>Inputs!$B52*(1+inf)^AT$1</f>
        <v>1481.9040384829434</v>
      </c>
      <c r="AV34" s="8">
        <f>Inputs!$B52*(1+inf)^AU$1</f>
        <v>1518.951639445017</v>
      </c>
      <c r="AW34" s="8">
        <f>Inputs!$B52*(1+inf)^AV$1</f>
        <v>1556.9254304311421</v>
      </c>
    </row>
    <row r="35" spans="1:49" x14ac:dyDescent="0.2">
      <c r="A35" s="4" t="str">
        <f>TEXT(Inputs!$B$55,"")</f>
        <v/>
      </c>
      <c r="B35" s="9"/>
      <c r="C35" s="8">
        <f>Inputs!$B57*(1+inf)^B$1</f>
        <v>0</v>
      </c>
      <c r="D35" s="8">
        <f>Inputs!$B57*(1+inf)^C$1</f>
        <v>0</v>
      </c>
      <c r="E35" s="8">
        <f>Inputs!$B57*(1+inf)^D$1</f>
        <v>0</v>
      </c>
      <c r="F35" s="8">
        <f>Inputs!$B57*(1+inf)^E$1</f>
        <v>0</v>
      </c>
      <c r="G35" s="8">
        <f>Inputs!$B57*(1+inf)^F$1</f>
        <v>0</v>
      </c>
      <c r="H35" s="8">
        <f>Inputs!$B57*(1+inf)^G$1</f>
        <v>0</v>
      </c>
      <c r="I35" s="8">
        <f>Inputs!$B57*(1+inf)^H$1</f>
        <v>0</v>
      </c>
      <c r="J35" s="8">
        <f>Inputs!$B57*(1+inf)^I$1</f>
        <v>0</v>
      </c>
      <c r="K35" s="8">
        <f>Inputs!$B57*(1+inf)^J$1</f>
        <v>0</v>
      </c>
      <c r="L35" s="8">
        <f>Inputs!$B57*(1+inf)^K$1</f>
        <v>0</v>
      </c>
      <c r="M35" s="8">
        <f>Inputs!$B57*(1+inf)^L$1</f>
        <v>0</v>
      </c>
      <c r="N35" s="8">
        <f>Inputs!$B57*(1+inf)^M$1</f>
        <v>0</v>
      </c>
      <c r="O35" s="8">
        <f>Inputs!$B57*(1+inf)^N$1</f>
        <v>0</v>
      </c>
      <c r="P35" s="8">
        <f>Inputs!$B57*(1+inf)^O$1</f>
        <v>0</v>
      </c>
      <c r="Q35" s="8">
        <f>Inputs!$B57*(1+inf)^P$1</f>
        <v>0</v>
      </c>
      <c r="R35" s="8">
        <f>Inputs!$B57*(1+inf)^Q$1</f>
        <v>0</v>
      </c>
      <c r="S35" s="8">
        <f>Inputs!$B57*(1+inf)^R$1</f>
        <v>0</v>
      </c>
      <c r="T35" s="8">
        <f>Inputs!$B57*(1+inf)^S$1</f>
        <v>0</v>
      </c>
      <c r="U35" s="8">
        <f>Inputs!$B57*(1+inf)^T$1</f>
        <v>0</v>
      </c>
      <c r="V35" s="8">
        <f>Inputs!$B57*(1+inf)^U$1</f>
        <v>0</v>
      </c>
      <c r="W35" s="8">
        <f>Inputs!$B57*(1+inf)^V$1</f>
        <v>0</v>
      </c>
      <c r="X35" s="8">
        <f>Inputs!$B57*(1+inf)^W$1</f>
        <v>0</v>
      </c>
      <c r="Y35" s="8">
        <f>Inputs!$B57*(1+inf)^X$1</f>
        <v>0</v>
      </c>
      <c r="Z35" s="8">
        <f>Inputs!$B57*(1+inf)^Y$1</f>
        <v>0</v>
      </c>
      <c r="AA35" s="8">
        <f>Inputs!$B57*(1+inf)^Z$1</f>
        <v>0</v>
      </c>
      <c r="AB35" s="8">
        <f>Inputs!$B57*(1+inf)^AA$1</f>
        <v>0</v>
      </c>
      <c r="AC35" s="8">
        <f>Inputs!$B57*(1+inf)^AB$1</f>
        <v>0</v>
      </c>
      <c r="AD35" s="8">
        <f>Inputs!$B57*(1+inf)^AC$1</f>
        <v>0</v>
      </c>
      <c r="AE35" s="8">
        <f>Inputs!$B57*(1+inf)^AD$1</f>
        <v>0</v>
      </c>
      <c r="AF35" s="8">
        <f>Inputs!$B57*(1+inf)^AE$1</f>
        <v>0</v>
      </c>
      <c r="AG35" s="8">
        <f>Inputs!$B57*(1+inf)^AF$1</f>
        <v>0</v>
      </c>
      <c r="AH35" s="8">
        <f>Inputs!$B57*(1+inf)^AG$1</f>
        <v>0</v>
      </c>
      <c r="AI35" s="8">
        <f>Inputs!$B57*(1+inf)^AH$1</f>
        <v>0</v>
      </c>
      <c r="AJ35" s="8">
        <f>Inputs!$B57*(1+inf)^AI$1</f>
        <v>0</v>
      </c>
      <c r="AK35" s="8">
        <f>Inputs!$B57*(1+inf)^AJ$1</f>
        <v>0</v>
      </c>
      <c r="AL35" s="8">
        <f>Inputs!$B57*(1+inf)^AK$1</f>
        <v>0</v>
      </c>
      <c r="AM35" s="8">
        <f>Inputs!$B57*(1+inf)^AL$1</f>
        <v>0</v>
      </c>
      <c r="AN35" s="8">
        <f>Inputs!$B57*(1+inf)^AM$1</f>
        <v>0</v>
      </c>
      <c r="AO35" s="8">
        <f>Inputs!$B57*(1+inf)^AN$1</f>
        <v>0</v>
      </c>
      <c r="AP35" s="8">
        <f>Inputs!$B57*(1+inf)^AO$1</f>
        <v>0</v>
      </c>
      <c r="AQ35" s="8">
        <f>Inputs!$B57*(1+inf)^AP$1</f>
        <v>0</v>
      </c>
      <c r="AR35" s="8">
        <f>Inputs!$B57*(1+inf)^AQ$1</f>
        <v>0</v>
      </c>
      <c r="AS35" s="8">
        <f>Inputs!$B57*(1+inf)^AR$1</f>
        <v>0</v>
      </c>
      <c r="AT35" s="8">
        <f>Inputs!$B57*(1+inf)^AS$1</f>
        <v>0</v>
      </c>
      <c r="AU35" s="8">
        <f>Inputs!$B57*(1+inf)^AT$1</f>
        <v>0</v>
      </c>
      <c r="AV35" s="8">
        <f>Inputs!$B57*(1+inf)^AU$1</f>
        <v>0</v>
      </c>
      <c r="AW35" s="8">
        <f>Inputs!$B57*(1+inf)^AV$1</f>
        <v>0</v>
      </c>
    </row>
    <row r="36" spans="1:49" x14ac:dyDescent="0.2">
      <c r="A36" s="4" t="str">
        <f>TEXT(Inputs!$B$60,"")</f>
        <v/>
      </c>
      <c r="B36" s="9"/>
      <c r="C36" s="8">
        <f>Inputs!$B62*(1+inf)^B$1</f>
        <v>0</v>
      </c>
      <c r="D36" s="8">
        <f>Inputs!$B62*(1+inf)^C$1</f>
        <v>0</v>
      </c>
      <c r="E36" s="8">
        <f>Inputs!$B62*(1+inf)^D$1</f>
        <v>0</v>
      </c>
      <c r="F36" s="8">
        <f>Inputs!$B62*(1+inf)^E$1</f>
        <v>0</v>
      </c>
      <c r="G36" s="8">
        <f>Inputs!$B62*(1+inf)^F$1</f>
        <v>0</v>
      </c>
      <c r="H36" s="8">
        <f>Inputs!$B62*(1+inf)^G$1</f>
        <v>0</v>
      </c>
      <c r="I36" s="8">
        <f>Inputs!$B62*(1+inf)^H$1</f>
        <v>0</v>
      </c>
      <c r="J36" s="8">
        <f>Inputs!$B62*(1+inf)^I$1</f>
        <v>0</v>
      </c>
      <c r="K36" s="8">
        <f>Inputs!$B62*(1+inf)^J$1</f>
        <v>0</v>
      </c>
      <c r="L36" s="8">
        <f>Inputs!$B62*(1+inf)^K$1</f>
        <v>0</v>
      </c>
      <c r="M36" s="8">
        <f>Inputs!$B62*(1+inf)^L$1</f>
        <v>0</v>
      </c>
      <c r="N36" s="8">
        <f>Inputs!$B62*(1+inf)^M$1</f>
        <v>0</v>
      </c>
      <c r="O36" s="8">
        <f>Inputs!$B62*(1+inf)^N$1</f>
        <v>0</v>
      </c>
      <c r="P36" s="8">
        <f>Inputs!$B62*(1+inf)^O$1</f>
        <v>0</v>
      </c>
      <c r="Q36" s="8">
        <f>Inputs!$B62*(1+inf)^P$1</f>
        <v>0</v>
      </c>
      <c r="R36" s="8">
        <f>Inputs!$B62*(1+inf)^Q$1</f>
        <v>0</v>
      </c>
      <c r="S36" s="8">
        <f>Inputs!$B62*(1+inf)^R$1</f>
        <v>0</v>
      </c>
      <c r="T36" s="8">
        <f>Inputs!$B62*(1+inf)^S$1</f>
        <v>0</v>
      </c>
      <c r="U36" s="8">
        <f>Inputs!$B62*(1+inf)^T$1</f>
        <v>0</v>
      </c>
      <c r="V36" s="8">
        <f>Inputs!$B62*(1+inf)^U$1</f>
        <v>0</v>
      </c>
      <c r="W36" s="8">
        <f>Inputs!$B62*(1+inf)^V$1</f>
        <v>0</v>
      </c>
      <c r="X36" s="8">
        <f>Inputs!$B62*(1+inf)^W$1</f>
        <v>0</v>
      </c>
      <c r="Y36" s="8">
        <f>Inputs!$B62*(1+inf)^X$1</f>
        <v>0</v>
      </c>
      <c r="Z36" s="8">
        <f>Inputs!$B62*(1+inf)^Y$1</f>
        <v>0</v>
      </c>
      <c r="AA36" s="8">
        <f>Inputs!$B62*(1+inf)^Z$1</f>
        <v>0</v>
      </c>
      <c r="AB36" s="8">
        <f>Inputs!$B62*(1+inf)^AA$1</f>
        <v>0</v>
      </c>
      <c r="AC36" s="8">
        <f>Inputs!$B62*(1+inf)^AB$1</f>
        <v>0</v>
      </c>
      <c r="AD36" s="8">
        <f>Inputs!$B62*(1+inf)^AC$1</f>
        <v>0</v>
      </c>
      <c r="AE36" s="8">
        <f>Inputs!$B62*(1+inf)^AD$1</f>
        <v>0</v>
      </c>
      <c r="AF36" s="8">
        <f>Inputs!$B62*(1+inf)^AE$1</f>
        <v>0</v>
      </c>
      <c r="AG36" s="8">
        <f>Inputs!$B62*(1+inf)^AF$1</f>
        <v>0</v>
      </c>
      <c r="AH36" s="8">
        <f>Inputs!$B62*(1+inf)^AG$1</f>
        <v>0</v>
      </c>
      <c r="AI36" s="8">
        <f>Inputs!$B62*(1+inf)^AH$1</f>
        <v>0</v>
      </c>
      <c r="AJ36" s="8">
        <f>Inputs!$B62*(1+inf)^AI$1</f>
        <v>0</v>
      </c>
      <c r="AK36" s="8">
        <f>Inputs!$B62*(1+inf)^AJ$1</f>
        <v>0</v>
      </c>
      <c r="AL36" s="8">
        <f>Inputs!$B62*(1+inf)^AK$1</f>
        <v>0</v>
      </c>
      <c r="AM36" s="8">
        <f>Inputs!$B62*(1+inf)^AL$1</f>
        <v>0</v>
      </c>
      <c r="AN36" s="8">
        <f>Inputs!$B62*(1+inf)^AM$1</f>
        <v>0</v>
      </c>
      <c r="AO36" s="8">
        <f>Inputs!$B62*(1+inf)^AN$1</f>
        <v>0</v>
      </c>
      <c r="AP36" s="8">
        <f>Inputs!$B62*(1+inf)^AO$1</f>
        <v>0</v>
      </c>
      <c r="AQ36" s="8">
        <f>Inputs!$B62*(1+inf)^AP$1</f>
        <v>0</v>
      </c>
      <c r="AR36" s="8">
        <f>Inputs!$B62*(1+inf)^AQ$1</f>
        <v>0</v>
      </c>
      <c r="AS36" s="8">
        <f>Inputs!$B62*(1+inf)^AR$1</f>
        <v>0</v>
      </c>
      <c r="AT36" s="8">
        <f>Inputs!$B62*(1+inf)^AS$1</f>
        <v>0</v>
      </c>
      <c r="AU36" s="8">
        <f>Inputs!$B62*(1+inf)^AT$1</f>
        <v>0</v>
      </c>
      <c r="AV36" s="8">
        <f>Inputs!$B62*(1+inf)^AU$1</f>
        <v>0</v>
      </c>
      <c r="AW36" s="8">
        <f>Inputs!$B62*(1+inf)^AV$1</f>
        <v>0</v>
      </c>
    </row>
    <row r="37" spans="1:49" x14ac:dyDescent="0.2">
      <c r="A37" s="5" t="s">
        <v>16</v>
      </c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">
      <c r="A38" s="4" t="s">
        <v>60</v>
      </c>
      <c r="B38" s="9"/>
      <c r="C38" s="8">
        <f>Inputs!$B$25*(1+inf)^B$1</f>
        <v>50000</v>
      </c>
      <c r="D38" s="8">
        <f>Inputs!$B$25*(1+inf)^C$1</f>
        <v>51249.999999999993</v>
      </c>
      <c r="E38" s="8">
        <f>Inputs!$B$25*(1+inf)^D$1</f>
        <v>52531.249999999993</v>
      </c>
      <c r="F38" s="8">
        <f>Inputs!$B$25*(1+inf)^E$1</f>
        <v>53844.531249999993</v>
      </c>
      <c r="G38" s="8">
        <f>Inputs!$B$25*(1+inf)^F$1</f>
        <v>55190.644531249985</v>
      </c>
      <c r="H38" s="8">
        <f>Inputs!$B$25*(1+inf)^G$1</f>
        <v>56570.410644531235</v>
      </c>
      <c r="I38" s="8">
        <f>Inputs!$B$25*(1+inf)^H$1</f>
        <v>57984.670910644512</v>
      </c>
      <c r="J38" s="8">
        <f>Inputs!$B$25*(1+inf)^I$1</f>
        <v>59434.287683410628</v>
      </c>
      <c r="K38" s="8">
        <f>Inputs!$B$25*(1+inf)^J$1</f>
        <v>60920.144875495884</v>
      </c>
      <c r="L38" s="8">
        <f>Inputs!$B$25*(1+inf)^K$1</f>
        <v>62443.14849738327</v>
      </c>
      <c r="M38" s="8">
        <f>Inputs!$B$25*(1+inf)^L$1</f>
        <v>64004.227209817851</v>
      </c>
      <c r="N38" s="8">
        <f>Inputs!$B$25*(1+inf)^M$1</f>
        <v>65604.332890063306</v>
      </c>
      <c r="O38" s="8">
        <f>Inputs!$B$25*(1+inf)^N$1</f>
        <v>67244.44121231488</v>
      </c>
      <c r="P38" s="8">
        <f>Inputs!$B$25*(1+inf)^O$1</f>
        <v>68925.55224262274</v>
      </c>
      <c r="Q38" s="8">
        <f>Inputs!$B$25*(1+inf)^P$1</f>
        <v>70648.691048688299</v>
      </c>
      <c r="R38" s="8">
        <f>Inputs!$B$25*(1+inf)^Q$1</f>
        <v>72414.908324905526</v>
      </c>
      <c r="S38" s="8">
        <f>Inputs!$B$25*(1+inf)^R$1</f>
        <v>74225.28103302815</v>
      </c>
      <c r="T38" s="8">
        <f>Inputs!$B$25*(1+inf)^S$1</f>
        <v>76080.913058853854</v>
      </c>
      <c r="U38" s="8">
        <f>Inputs!$B$25*(1+inf)^T$1</f>
        <v>77982.935885325205</v>
      </c>
      <c r="V38" s="8">
        <f>Inputs!$B$25*(1+inf)^U$1</f>
        <v>79932.509282458326</v>
      </c>
      <c r="W38" s="8">
        <f>Inputs!$B$25*(1+inf)^V$1</f>
        <v>81930.82201451977</v>
      </c>
      <c r="X38" s="8">
        <f>Inputs!$B$25*(1+inf)^W$1</f>
        <v>83979.092564882769</v>
      </c>
      <c r="Y38" s="8">
        <f>Inputs!$B$25*(1+inf)^X$1</f>
        <v>86078.569879004834</v>
      </c>
      <c r="Z38" s="8">
        <f>Inputs!$B$25*(1+inf)^Y$1</f>
        <v>88230.534125979961</v>
      </c>
      <c r="AA38" s="8">
        <f>Inputs!$B$25*(1+inf)^Z$1</f>
        <v>90436.29747912944</v>
      </c>
      <c r="AB38" s="8">
        <f>Inputs!$B$25*(1+inf)^AA$1</f>
        <v>92697.204916107672</v>
      </c>
      <c r="AC38" s="8">
        <f>Inputs!$B$25*(1+inf)^AB$1</f>
        <v>95014.635039010347</v>
      </c>
      <c r="AD38" s="8">
        <f>Inputs!$B$25*(1+inf)^AC$1</f>
        <v>97390.000914985605</v>
      </c>
      <c r="AE38" s="8">
        <f>Inputs!$B$25*(1+inf)^AD$1</f>
        <v>99824.750937860241</v>
      </c>
      <c r="AF38" s="8">
        <f>Inputs!$B$25*(1+inf)^AE$1</f>
        <v>102320.36971130676</v>
      </c>
      <c r="AG38" s="8">
        <f>Inputs!$B$25*(1+inf)^AF$1</f>
        <v>104878.37895408941</v>
      </c>
      <c r="AH38" s="8">
        <f>Inputs!$B$25*(1+inf)^AG$1</f>
        <v>107500.33842794166</v>
      </c>
      <c r="AI38" s="8">
        <f>Inputs!$B$25*(1+inf)^AH$1</f>
        <v>110187.84688864018</v>
      </c>
      <c r="AJ38" s="8">
        <f>Inputs!$B$25*(1+inf)^AI$1</f>
        <v>112942.54306085619</v>
      </c>
      <c r="AK38" s="8">
        <f>Inputs!$B$25*(1+inf)^AJ$1</f>
        <v>115766.10663737758</v>
      </c>
      <c r="AL38" s="8">
        <f>Inputs!$B$25*(1+inf)^AK$1</f>
        <v>118660.25930331201</v>
      </c>
      <c r="AM38" s="8">
        <f>Inputs!$B$25*(1+inf)^AL$1</f>
        <v>121626.76578589482</v>
      </c>
      <c r="AN38" s="8">
        <f>Inputs!$B$25*(1+inf)^AM$1</f>
        <v>124667.43493054218</v>
      </c>
      <c r="AO38" s="8">
        <f>Inputs!$B$25*(1+inf)^AN$1</f>
        <v>127784.12080380569</v>
      </c>
      <c r="AP38" s="8">
        <f>Inputs!$B$25*(1+inf)^AO$1</f>
        <v>130978.72382390086</v>
      </c>
      <c r="AQ38" s="8">
        <f>Inputs!$B$25*(1+inf)^AP$1</f>
        <v>134253.19191949835</v>
      </c>
      <c r="AR38" s="8">
        <f>Inputs!$B$25*(1+inf)^AQ$1</f>
        <v>137609.52171748583</v>
      </c>
      <c r="AS38" s="8">
        <f>Inputs!$B$25*(1+inf)^AR$1</f>
        <v>141049.75976042295</v>
      </c>
      <c r="AT38" s="8">
        <f>Inputs!$B$25*(1+inf)^AS$1</f>
        <v>144576.00375443354</v>
      </c>
      <c r="AU38" s="8">
        <f>Inputs!$B$25*(1+inf)^AT$1</f>
        <v>148190.40384829434</v>
      </c>
      <c r="AV38" s="8">
        <f>Inputs!$B$25*(1+inf)^AU$1</f>
        <v>151895.16394450172</v>
      </c>
      <c r="AW38" s="8">
        <f>Inputs!$B$25*(1+inf)^AV$1</f>
        <v>155692.54304311422</v>
      </c>
    </row>
    <row r="39" spans="1:49" x14ac:dyDescent="0.2">
      <c r="A39" s="4" t="str">
        <f>"Adjustment "&amp;Inputs!A137</f>
        <v>Adjustment from now to 65</v>
      </c>
      <c r="B39" s="9"/>
      <c r="C39" s="8">
        <f>IF(C$3&lt;=65,Inputs!$B$137*C$38,0)</f>
        <v>0</v>
      </c>
      <c r="D39" s="8">
        <f>IF(D$3&lt;=65,Inputs!$B$137*D$38,0)</f>
        <v>0</v>
      </c>
      <c r="E39" s="8">
        <f>IF(E$3&lt;=65,Inputs!$B$137*E$38,0)</f>
        <v>0</v>
      </c>
      <c r="F39" s="8">
        <f>IF(F$3&lt;=65,Inputs!$B$137*F$38,0)</f>
        <v>0</v>
      </c>
      <c r="G39" s="8">
        <f>IF(G$3&lt;=65,Inputs!$B$137*G$38,0)</f>
        <v>0</v>
      </c>
      <c r="H39" s="8">
        <f>IF(H$3&lt;=65,Inputs!$B$137*H$38,0)</f>
        <v>0</v>
      </c>
      <c r="I39" s="8">
        <f>IF(I$3&lt;=65,Inputs!$B$137*I$38,0)</f>
        <v>0</v>
      </c>
      <c r="J39" s="8">
        <f>IF(J$3&lt;=65,Inputs!$B$137*J$38,0)</f>
        <v>0</v>
      </c>
      <c r="K39" s="8">
        <f>IF(K$3&lt;=65,Inputs!$B$137*K$38,0)</f>
        <v>0</v>
      </c>
      <c r="L39" s="8">
        <f>IF(L$3&lt;=65,Inputs!$B$137*L$38,0)</f>
        <v>0</v>
      </c>
      <c r="M39" s="8">
        <f>IF(M$3&lt;=65,Inputs!$B$137*M$38,0)</f>
        <v>0</v>
      </c>
      <c r="N39" s="8">
        <f>IF(N$3&lt;=65,Inputs!$B$137*N$38,0)</f>
        <v>0</v>
      </c>
      <c r="O39" s="8">
        <f>IF(O$3&lt;=65,Inputs!$B$137*O$38,0)</f>
        <v>0</v>
      </c>
      <c r="P39" s="8">
        <f>IF(P$3&lt;=65,Inputs!$B$137*P$38,0)</f>
        <v>0</v>
      </c>
      <c r="Q39" s="8">
        <f>IF(Q$3&lt;=65,Inputs!$B$137*Q$38,0)</f>
        <v>0</v>
      </c>
      <c r="R39" s="8">
        <f>IF(R$3&lt;=65,Inputs!$B$137*R$38,0)</f>
        <v>0</v>
      </c>
      <c r="S39" s="8">
        <f>IF(S$3&lt;=65,Inputs!$B$137*S$38,0)</f>
        <v>0</v>
      </c>
      <c r="T39" s="8">
        <f>IF(T$3&lt;=65,Inputs!$B$137*T$38,0)</f>
        <v>0</v>
      </c>
      <c r="U39" s="8">
        <f>IF(U$3&lt;=65,Inputs!$B$137*U$38,0)</f>
        <v>0</v>
      </c>
      <c r="V39" s="8">
        <f>IF(V$3&lt;=65,Inputs!$B$137*V$38,0)</f>
        <v>0</v>
      </c>
      <c r="W39" s="8">
        <f>IF(W$3&lt;=65,Inputs!$B$137*W$38,0)</f>
        <v>0</v>
      </c>
      <c r="X39" s="8">
        <f>IF(X$3&lt;=65,Inputs!$B$137*X$38,0)</f>
        <v>0</v>
      </c>
      <c r="Y39" s="8">
        <f>IF(Y$3&lt;=65,Inputs!$B$137*Y$38,0)</f>
        <v>0</v>
      </c>
      <c r="Z39" s="8">
        <f>IF(Z$3&lt;=65,Inputs!$B$137*Z$38,0)</f>
        <v>0</v>
      </c>
      <c r="AA39" s="8">
        <f>IF(AA$3&lt;=65,Inputs!$B$137*AA$38,0)</f>
        <v>0</v>
      </c>
      <c r="AB39" s="8">
        <f>IF(AB$3&lt;=65,Inputs!$B$137*AB$38,0)</f>
        <v>0</v>
      </c>
      <c r="AC39" s="8">
        <f>IF(AC$3&lt;=65,Inputs!$B$137*AC$38,0)</f>
        <v>0</v>
      </c>
      <c r="AD39" s="8">
        <f>IF(AD$3&lt;=65,Inputs!$B$137*AD$38,0)</f>
        <v>0</v>
      </c>
      <c r="AE39" s="8">
        <f>IF(AE$3&lt;=65,Inputs!$B$137*AE$38,0)</f>
        <v>0</v>
      </c>
      <c r="AF39" s="8">
        <f>IF(AF$3&lt;=65,Inputs!$B$137*AF$38,0)</f>
        <v>0</v>
      </c>
      <c r="AG39" s="8">
        <f>IF(AG$3&lt;=65,Inputs!$B$137*AG$38,0)</f>
        <v>0</v>
      </c>
      <c r="AH39" s="8">
        <f>IF(AH$3&lt;=65,Inputs!$B$137*AH$38,0)</f>
        <v>0</v>
      </c>
      <c r="AI39" s="8">
        <f>IF(AI$3&lt;=65,Inputs!$B$137*AI$38,0)</f>
        <v>0</v>
      </c>
      <c r="AJ39" s="8">
        <f>IF(AJ$3&lt;=65,Inputs!$B$137*AJ$38,0)</f>
        <v>0</v>
      </c>
      <c r="AK39" s="8">
        <f>IF(AK$3&lt;=65,Inputs!$B$137*AK$38,0)</f>
        <v>0</v>
      </c>
      <c r="AL39" s="8">
        <f>IF(AL$3&lt;=65,Inputs!$B$137*AL$38,0)</f>
        <v>0</v>
      </c>
      <c r="AM39" s="8">
        <f>IF(AM$3&lt;=65,Inputs!$B$137*AM$38,0)</f>
        <v>0</v>
      </c>
      <c r="AN39" s="8">
        <f>IF(AN$3&lt;=65,Inputs!$B$137*AN$38,0)</f>
        <v>0</v>
      </c>
      <c r="AO39" s="8">
        <f>IF(AO$3&lt;=65,Inputs!$B$137*AO$38,0)</f>
        <v>0</v>
      </c>
      <c r="AP39" s="8">
        <f>IF(AP$3&lt;=65,Inputs!$B$137*AP$38,0)</f>
        <v>0</v>
      </c>
      <c r="AQ39" s="8">
        <f>IF(AQ$3&lt;=65,Inputs!$B$137*AQ$38,0)</f>
        <v>0</v>
      </c>
      <c r="AR39" s="8">
        <f>IF(AR$3&lt;=65,Inputs!$B$137*AR$38,0)</f>
        <v>0</v>
      </c>
      <c r="AS39" s="8">
        <f>IF(AS$3&lt;=65,Inputs!$B$137*AS$38,0)</f>
        <v>0</v>
      </c>
      <c r="AT39" s="8">
        <f>IF(AT$3&lt;=65,Inputs!$B$137*AT$38,0)</f>
        <v>0</v>
      </c>
      <c r="AU39" s="8">
        <f>IF(AU$3&lt;=65,Inputs!$B$137*AU$38,0)</f>
        <v>0</v>
      </c>
      <c r="AV39" s="8">
        <f>IF(AV$3&lt;=65,Inputs!$B$137*AV$38,0)</f>
        <v>0</v>
      </c>
      <c r="AW39" s="8">
        <f>IF(AW$3&lt;=65,Inputs!$B$137*AW$38,0)</f>
        <v>0</v>
      </c>
    </row>
    <row r="40" spans="1:49" x14ac:dyDescent="0.2">
      <c r="A40" s="4" t="str">
        <f>"Adjustment "&amp;Inputs!A138</f>
        <v>Adjustment from 66-75</v>
      </c>
      <c r="B40" s="9"/>
      <c r="C40" s="8">
        <f>IF(AND(C$3&gt;65,C$3&lt;=75),Inputs!$B$138*C38,0)</f>
        <v>0</v>
      </c>
      <c r="D40" s="8">
        <f>IF(AND(D$3&gt;65,D$3&lt;=75),Inputs!$B$138*D38,0)</f>
        <v>0</v>
      </c>
      <c r="E40" s="8">
        <f>IF(AND(E$3&gt;65,E$3&lt;=75),Inputs!$B$138*E38,0)</f>
        <v>0</v>
      </c>
      <c r="F40" s="8">
        <f>IF(AND(F$3&gt;65,F$3&lt;=75),Inputs!$B$138*F38,0)</f>
        <v>0</v>
      </c>
      <c r="G40" s="8">
        <f>IF(AND(G$3&gt;65,G$3&lt;=75),Inputs!$B$138*G38,0)</f>
        <v>0</v>
      </c>
      <c r="H40" s="8">
        <f>IF(AND(H$3&gt;65,H$3&lt;=75),Inputs!$B$138*H38,0)</f>
        <v>0</v>
      </c>
      <c r="I40" s="8">
        <f>IF(AND(I$3&gt;65,I$3&lt;=75),Inputs!$B$138*I38,0)</f>
        <v>0</v>
      </c>
      <c r="J40" s="8">
        <f>IF(AND(J$3&gt;65,J$3&lt;=75),Inputs!$B$138*J38,0)</f>
        <v>0</v>
      </c>
      <c r="K40" s="8">
        <f>IF(AND(K$3&gt;65,K$3&lt;=75),Inputs!$B$138*K38,0)</f>
        <v>0</v>
      </c>
      <c r="L40" s="8">
        <f>IF(AND(L$3&gt;65,L$3&lt;=75),Inputs!$B$138*L38,0)</f>
        <v>0</v>
      </c>
      <c r="M40" s="8">
        <f>IF(AND(M$3&gt;65,M$3&lt;=75),Inputs!$B$138*M38,0)</f>
        <v>0</v>
      </c>
      <c r="N40" s="8">
        <f>IF(AND(N$3&gt;65,N$3&lt;=75),Inputs!$B$138*N38,0)</f>
        <v>0</v>
      </c>
      <c r="O40" s="8">
        <f>IF(AND(O$3&gt;65,O$3&lt;=75),Inputs!$B$138*O38,0)</f>
        <v>0</v>
      </c>
      <c r="P40" s="8">
        <f>IF(AND(P$3&gt;65,P$3&lt;=75),Inputs!$B$138*P38,0)</f>
        <v>0</v>
      </c>
      <c r="Q40" s="8">
        <f>IF(AND(Q$3&gt;65,Q$3&lt;=75),Inputs!$B$138*Q38,0)</f>
        <v>0</v>
      </c>
      <c r="R40" s="8">
        <f>IF(AND(R$3&gt;65,R$3&lt;=75),Inputs!$B$138*R38,0)</f>
        <v>0</v>
      </c>
      <c r="S40" s="8">
        <f>IF(AND(S$3&gt;65,S$3&lt;=75),Inputs!$B$138*S38,0)</f>
        <v>0</v>
      </c>
      <c r="T40" s="8">
        <f>IF(AND(T$3&gt;65,T$3&lt;=75),Inputs!$B$138*T38,0)</f>
        <v>0</v>
      </c>
      <c r="U40" s="8">
        <f>IF(AND(U$3&gt;65,U$3&lt;=75),Inputs!$B$138*U38,0)</f>
        <v>-7798.2935885325205</v>
      </c>
      <c r="V40" s="8">
        <f>IF(AND(V$3&gt;65,V$3&lt;=75),Inputs!$B$138*V38,0)</f>
        <v>-7993.2509282458332</v>
      </c>
      <c r="W40" s="8">
        <f>IF(AND(W$3&gt;65,W$3&lt;=75),Inputs!$B$138*W38,0)</f>
        <v>-8193.0822014519781</v>
      </c>
      <c r="X40" s="8">
        <f>IF(AND(X$3&gt;65,X$3&lt;=75),Inputs!$B$138*X38,0)</f>
        <v>-8397.9092564882776</v>
      </c>
      <c r="Y40" s="8">
        <f>IF(AND(Y$3&gt;65,Y$3&lt;=75),Inputs!$B$138*Y38,0)</f>
        <v>-8607.8569879004845</v>
      </c>
      <c r="Z40" s="8">
        <f>IF(AND(Z$3&gt;65,Z$3&lt;=75),Inputs!$B$138*Z38,0)</f>
        <v>-8823.0534125979957</v>
      </c>
      <c r="AA40" s="8">
        <f>IF(AND(AA$3&gt;65,AA$3&lt;=75),Inputs!$B$138*AA38,0)</f>
        <v>-9043.6297479129444</v>
      </c>
      <c r="AB40" s="8">
        <f>IF(AND(AB$3&gt;65,AB$3&lt;=75),Inputs!$B$138*AB38,0)</f>
        <v>-9269.7204916107676</v>
      </c>
      <c r="AC40" s="8">
        <f>IF(AND(AC$3&gt;65,AC$3&lt;=75),Inputs!$B$138*AC38,0)</f>
        <v>-9501.4635039010354</v>
      </c>
      <c r="AD40" s="8">
        <f>IF(AND(AD$3&gt;65,AD$3&lt;=75),Inputs!$B$138*AD38,0)</f>
        <v>-9739.0000914985612</v>
      </c>
      <c r="AE40" s="8">
        <f>IF(AND(AE$3&gt;65,AE$3&lt;=75),Inputs!$B$138*AE38,0)</f>
        <v>0</v>
      </c>
      <c r="AF40" s="8">
        <f>IF(AND(AF$3&gt;65,AF$3&lt;=75),Inputs!$B$138*AF38,0)</f>
        <v>0</v>
      </c>
      <c r="AG40" s="8">
        <f>IF(AND(AG$3&gt;65,AG$3&lt;=75),Inputs!$B$138*AG38,0)</f>
        <v>0</v>
      </c>
      <c r="AH40" s="8">
        <f>IF(AND(AH$3&gt;65,AH$3&lt;=75),Inputs!$B$138*AH38,0)</f>
        <v>0</v>
      </c>
      <c r="AI40" s="8">
        <f>IF(AND(AI$3&gt;65,AI$3&lt;=75),Inputs!$B$138*AI38,0)</f>
        <v>0</v>
      </c>
      <c r="AJ40" s="8">
        <f>IF(AND(AJ$3&gt;65,AJ$3&lt;=75),Inputs!$B$138*AJ38,0)</f>
        <v>0</v>
      </c>
      <c r="AK40" s="8">
        <f>IF(AND(AK$3&gt;65,AK$3&lt;=75),Inputs!$B$138*AK38,0)</f>
        <v>0</v>
      </c>
      <c r="AL40" s="8">
        <f>IF(AND(AL$3&gt;65,AL$3&lt;=75),Inputs!$B$138*AL38,0)</f>
        <v>0</v>
      </c>
      <c r="AM40" s="8">
        <f>IF(AND(AM$3&gt;65,AM$3&lt;=75),Inputs!$B$138*AM38,0)</f>
        <v>0</v>
      </c>
      <c r="AN40" s="8">
        <f>IF(AND(AN$3&gt;65,AN$3&lt;=75),Inputs!$B$138*AN38,0)</f>
        <v>0</v>
      </c>
      <c r="AO40" s="8">
        <f>IF(AND(AO$3&gt;65,AO$3&lt;=75),Inputs!$B$138*AO38,0)</f>
        <v>0</v>
      </c>
      <c r="AP40" s="8">
        <f>IF(AND(AP$3&gt;65,AP$3&lt;=75),Inputs!$B$138*AP38,0)</f>
        <v>0</v>
      </c>
      <c r="AQ40" s="8">
        <f>IF(AND(AQ$3&gt;65,AQ$3&lt;=75),Inputs!$B$138*AQ38,0)</f>
        <v>0</v>
      </c>
      <c r="AR40" s="8">
        <f>IF(AND(AR$3&gt;65,AR$3&lt;=75),Inputs!$B$138*AR38,0)</f>
        <v>0</v>
      </c>
      <c r="AS40" s="8">
        <f>IF(AND(AS$3&gt;65,AS$3&lt;=75),Inputs!$B$138*AS38,0)</f>
        <v>0</v>
      </c>
      <c r="AT40" s="8">
        <f>IF(AND(AT$3&gt;65,AT$3&lt;=75),Inputs!$B$138*AT38,0)</f>
        <v>0</v>
      </c>
      <c r="AU40" s="8">
        <f>IF(AND(AU$3&gt;65,AU$3&lt;=75),Inputs!$B$138*AU38,0)</f>
        <v>0</v>
      </c>
      <c r="AV40" s="8">
        <f>IF(AND(AV$3&gt;65,AV$3&lt;=75),Inputs!$B$138*AV38,0)</f>
        <v>0</v>
      </c>
      <c r="AW40" s="8">
        <f>IF(AND(AW$3&gt;65,AW$3&lt;=75),Inputs!$B$138*AW38,0)</f>
        <v>0</v>
      </c>
    </row>
    <row r="41" spans="1:49" x14ac:dyDescent="0.2">
      <c r="A41" s="4" t="str">
        <f>"Adjustment "&amp;Inputs!A139</f>
        <v>Adjustment from age 76</v>
      </c>
      <c r="B41" s="9"/>
      <c r="C41" s="8">
        <f>IF(C$3&gt;75,Inputs!$B$139*C$38,0)</f>
        <v>0</v>
      </c>
      <c r="D41" s="8">
        <f>IF(D$3&gt;75,Inputs!$B$139*D$38,0)</f>
        <v>0</v>
      </c>
      <c r="E41" s="8">
        <f>IF(E$3&gt;75,Inputs!$B$139*E$38,0)</f>
        <v>0</v>
      </c>
      <c r="F41" s="8">
        <f>IF(F$3&gt;75,Inputs!$B$139*F$38,0)</f>
        <v>0</v>
      </c>
      <c r="G41" s="8">
        <f>IF(G$3&gt;75,Inputs!$B$139*G$38,0)</f>
        <v>0</v>
      </c>
      <c r="H41" s="8">
        <f>IF(H$3&gt;75,Inputs!$B$139*H$38,0)</f>
        <v>0</v>
      </c>
      <c r="I41" s="8">
        <f>IF(I$3&gt;75,Inputs!$B$139*I$38,0)</f>
        <v>0</v>
      </c>
      <c r="J41" s="8">
        <f>IF(J$3&gt;75,Inputs!$B$139*J$38,0)</f>
        <v>0</v>
      </c>
      <c r="K41" s="8">
        <f>IF(K$3&gt;75,Inputs!$B$139*K$38,0)</f>
        <v>0</v>
      </c>
      <c r="L41" s="8">
        <f>IF(L$3&gt;75,Inputs!$B$139*L$38,0)</f>
        <v>0</v>
      </c>
      <c r="M41" s="8">
        <f>IF(M$3&gt;75,Inputs!$B$139*M$38,0)</f>
        <v>0</v>
      </c>
      <c r="N41" s="8">
        <f>IF(N$3&gt;75,Inputs!$B$139*N$38,0)</f>
        <v>0</v>
      </c>
      <c r="O41" s="8">
        <f>IF(O$3&gt;75,Inputs!$B$139*O$38,0)</f>
        <v>0</v>
      </c>
      <c r="P41" s="8">
        <f>IF(P$3&gt;75,Inputs!$B$139*P$38,0)</f>
        <v>0</v>
      </c>
      <c r="Q41" s="8">
        <f>IF(Q$3&gt;75,Inputs!$B$139*Q$38,0)</f>
        <v>0</v>
      </c>
      <c r="R41" s="8">
        <f>IF(R$3&gt;75,Inputs!$B$139*R$38,0)</f>
        <v>0</v>
      </c>
      <c r="S41" s="8">
        <f>IF(S$3&gt;75,Inputs!$B$139*S$38,0)</f>
        <v>0</v>
      </c>
      <c r="T41" s="8">
        <f>IF(T$3&gt;75,Inputs!$B$139*T$38,0)</f>
        <v>0</v>
      </c>
      <c r="U41" s="8">
        <f>IF(U$3&gt;75,Inputs!$B$139*U$38,0)</f>
        <v>0</v>
      </c>
      <c r="V41" s="8">
        <f>IF(V$3&gt;75,Inputs!$B$139*V$38,0)</f>
        <v>0</v>
      </c>
      <c r="W41" s="8">
        <f>IF(W$3&gt;75,Inputs!$B$139*W$38,0)</f>
        <v>0</v>
      </c>
      <c r="X41" s="8">
        <f>IF(X$3&gt;75,Inputs!$B$139*X$38,0)</f>
        <v>0</v>
      </c>
      <c r="Y41" s="8">
        <f>IF(Y$3&gt;75,Inputs!$B$139*Y$38,0)</f>
        <v>0</v>
      </c>
      <c r="Z41" s="8">
        <f>IF(Z$3&gt;75,Inputs!$B$139*Z$38,0)</f>
        <v>0</v>
      </c>
      <c r="AA41" s="8">
        <f>IF(AA$3&gt;75,Inputs!$B$139*AA$38,0)</f>
        <v>0</v>
      </c>
      <c r="AB41" s="8">
        <f>IF(AB$3&gt;75,Inputs!$B$139*AB$38,0)</f>
        <v>0</v>
      </c>
      <c r="AC41" s="8">
        <f>IF(AC$3&gt;75,Inputs!$B$139*AC$38,0)</f>
        <v>0</v>
      </c>
      <c r="AD41" s="8">
        <f>IF(AD$3&gt;75,Inputs!$B$139*AD$38,0)</f>
        <v>0</v>
      </c>
      <c r="AE41" s="8">
        <f>IF(AE$3&gt;75,Inputs!$B$139*AE$38,0)</f>
        <v>-19964.950187572049</v>
      </c>
      <c r="AF41" s="8">
        <f>IF(AF$3&gt;75,Inputs!$B$139*AF$38,0)</f>
        <v>-20464.073942261355</v>
      </c>
      <c r="AG41" s="8">
        <f>IF(AG$3&gt;75,Inputs!$B$139*AG$38,0)</f>
        <v>-20975.675790817884</v>
      </c>
      <c r="AH41" s="8">
        <f>IF(AH$3&gt;75,Inputs!$B$139*AH$38,0)</f>
        <v>-21500.067685588336</v>
      </c>
      <c r="AI41" s="8">
        <f>IF(AI$3&gt;75,Inputs!$B$139*AI$38,0)</f>
        <v>-22037.569377728039</v>
      </c>
      <c r="AJ41" s="8">
        <f>IF(AJ$3&gt;75,Inputs!$B$139*AJ$38,0)</f>
        <v>-22588.508612171237</v>
      </c>
      <c r="AK41" s="8">
        <f>IF(AK$3&gt;75,Inputs!$B$139*AK$38,0)</f>
        <v>-23153.22132747552</v>
      </c>
      <c r="AL41" s="8">
        <f>IF(AL$3&gt;75,Inputs!$B$139*AL$38,0)</f>
        <v>-23732.051860662403</v>
      </c>
      <c r="AM41" s="8">
        <f>IF(AM$3&gt;75,Inputs!$B$139*AM$38,0)</f>
        <v>-24325.353157178964</v>
      </c>
      <c r="AN41" s="8">
        <f>IF(AN$3&gt;75,Inputs!$B$139*AN$38,0)</f>
        <v>-24933.486986108437</v>
      </c>
      <c r="AO41" s="8">
        <f>IF(AO$3&gt;75,Inputs!$B$139*AO$38,0)</f>
        <v>-25556.824160761142</v>
      </c>
      <c r="AP41" s="8">
        <f>IF(AP$3&gt;75,Inputs!$B$139*AP$38,0)</f>
        <v>-26195.744764780175</v>
      </c>
      <c r="AQ41" s="8">
        <f>IF(AQ$3&gt;75,Inputs!$B$139*AQ$38,0)</f>
        <v>-26850.63838389967</v>
      </c>
      <c r="AR41" s="8">
        <f>IF(AR$3&gt;75,Inputs!$B$139*AR$38,0)</f>
        <v>-27521.904343497168</v>
      </c>
      <c r="AS41" s="8">
        <f>IF(AS$3&gt;75,Inputs!$B$139*AS$38,0)</f>
        <v>-28209.951952084593</v>
      </c>
      <c r="AT41" s="8">
        <f>IF(AT$3&gt;75,Inputs!$B$139*AT$38,0)</f>
        <v>-28915.20075088671</v>
      </c>
      <c r="AU41" s="8">
        <f>IF(AU$3&gt;75,Inputs!$B$139*AU$38,0)</f>
        <v>-29638.080769658871</v>
      </c>
      <c r="AV41" s="8">
        <f>IF(AV$3&gt;75,Inputs!$B$139*AV$38,0)</f>
        <v>-30379.032788900346</v>
      </c>
      <c r="AW41" s="8">
        <f>IF(AW$3&gt;75,Inputs!$B$139*AW$38,0)</f>
        <v>-31138.508608622844</v>
      </c>
    </row>
    <row r="42" spans="1:49" x14ac:dyDescent="0.2">
      <c r="A42" s="5" t="s">
        <v>64</v>
      </c>
      <c r="B42" s="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">
      <c r="A43" s="4" t="str">
        <f>TEXT(Inputs!$B$117,"")</f>
        <v/>
      </c>
      <c r="B43" s="9"/>
      <c r="C43" s="8">
        <f ca="1">IF(C$2=Inputs!$B119,Inputs!$B118,0)*(1+inf)^B$1</f>
        <v>0</v>
      </c>
      <c r="D43" s="8">
        <f ca="1">IF(D$2=Inputs!$B119,Inputs!$B118,0)*(1+inf)^C$1</f>
        <v>0</v>
      </c>
      <c r="E43" s="8">
        <f ca="1">IF(E$2=Inputs!$B119,Inputs!$B118,0)*(1+inf)^D$1</f>
        <v>0</v>
      </c>
      <c r="F43" s="8">
        <f ca="1">IF(F$2=Inputs!$B119,Inputs!$B118,0)*(1+inf)^E$1</f>
        <v>0</v>
      </c>
      <c r="G43" s="8">
        <f ca="1">IF(G$2=Inputs!$B119,Inputs!$B118,0)*(1+inf)^F$1</f>
        <v>0</v>
      </c>
      <c r="H43" s="8">
        <f ca="1">IF(H$2=Inputs!$B119,Inputs!$B118,0)*(1+inf)^G$1</f>
        <v>0</v>
      </c>
      <c r="I43" s="8">
        <f ca="1">IF(I$2=Inputs!$B119,Inputs!$B118,0)*(1+inf)^H$1</f>
        <v>0</v>
      </c>
      <c r="J43" s="8">
        <f ca="1">IF(J$2=Inputs!$B119,Inputs!$B118,0)*(1+inf)^I$1</f>
        <v>0</v>
      </c>
      <c r="K43" s="8">
        <f ca="1">IF(K$2=Inputs!$B119,Inputs!$B118,0)*(1+inf)^J$1</f>
        <v>0</v>
      </c>
      <c r="L43" s="8">
        <f ca="1">IF(L$2=Inputs!$B119,Inputs!$B118,0)*(1+inf)^K$1</f>
        <v>0</v>
      </c>
      <c r="M43" s="8">
        <f ca="1">IF(M$2=Inputs!$B119,Inputs!$B118,0)*(1+inf)^L$1</f>
        <v>0</v>
      </c>
      <c r="N43" s="8">
        <f ca="1">IF(N$2=Inputs!$B119,Inputs!$B118,0)*(1+inf)^M$1</f>
        <v>0</v>
      </c>
      <c r="O43" s="8">
        <f ca="1">IF(O$2=Inputs!$B119,Inputs!$B118,0)*(1+inf)^N$1</f>
        <v>0</v>
      </c>
      <c r="P43" s="8">
        <f ca="1">IF(P$2=Inputs!$B119,Inputs!$B118,0)*(1+inf)^O$1</f>
        <v>0</v>
      </c>
      <c r="Q43" s="8">
        <f ca="1">IF(Q$2=Inputs!$B119,Inputs!$B118,0)*(1+inf)^P$1</f>
        <v>0</v>
      </c>
      <c r="R43" s="8">
        <f ca="1">IF(R$2=Inputs!$B119,Inputs!$B118,0)*(1+inf)^Q$1</f>
        <v>0</v>
      </c>
      <c r="S43" s="8">
        <f ca="1">IF(S$2=Inputs!$B119,Inputs!$B118,0)*(1+inf)^R$1</f>
        <v>0</v>
      </c>
      <c r="T43" s="8">
        <f ca="1">IF(T$2=Inputs!$B119,Inputs!$B118,0)*(1+inf)^S$1</f>
        <v>0</v>
      </c>
      <c r="U43" s="8">
        <f ca="1">IF(U$2=Inputs!$B119,Inputs!$B118,0)*(1+inf)^T$1</f>
        <v>0</v>
      </c>
      <c r="V43" s="8">
        <f ca="1">IF(V$2=Inputs!$B119,Inputs!$B118,0)*(1+inf)^U$1</f>
        <v>0</v>
      </c>
      <c r="W43" s="8">
        <f ca="1">IF(W$2=Inputs!$B119,Inputs!$B118,0)*(1+inf)^V$1</f>
        <v>0</v>
      </c>
      <c r="X43" s="8">
        <f ca="1">IF(X$2=Inputs!$B119,Inputs!$B118,0)*(1+inf)^W$1</f>
        <v>0</v>
      </c>
      <c r="Y43" s="8">
        <f ca="1">IF(Y$2=Inputs!$B119,Inputs!$B118,0)*(1+inf)^X$1</f>
        <v>0</v>
      </c>
      <c r="Z43" s="8">
        <f ca="1">IF(Z$2=Inputs!$B119,Inputs!$B118,0)*(1+inf)^Y$1</f>
        <v>0</v>
      </c>
      <c r="AA43" s="8">
        <f ca="1">IF(AA$2=Inputs!$B119,Inputs!$B118,0)*(1+inf)^Z$1</f>
        <v>0</v>
      </c>
      <c r="AB43" s="8">
        <f ca="1">IF(AB$2=Inputs!$B119,Inputs!$B118,0)*(1+inf)^AA$1</f>
        <v>0</v>
      </c>
      <c r="AC43" s="8">
        <f ca="1">IF(AC$2=Inputs!$B119,Inputs!$B118,0)*(1+inf)^AB$1</f>
        <v>0</v>
      </c>
      <c r="AD43" s="8">
        <f ca="1">IF(AD$2=Inputs!$B119,Inputs!$B118,0)*(1+inf)^AC$1</f>
        <v>0</v>
      </c>
      <c r="AE43" s="8">
        <f ca="1">IF(AE$2=Inputs!$B119,Inputs!$B118,0)*(1+inf)^AD$1</f>
        <v>0</v>
      </c>
      <c r="AF43" s="8">
        <f ca="1">IF(AF$2=Inputs!$B119,Inputs!$B118,0)*(1+inf)^AE$1</f>
        <v>0</v>
      </c>
      <c r="AG43" s="8">
        <f ca="1">IF(AG$2=Inputs!$B119,Inputs!$B118,0)*(1+inf)^AF$1</f>
        <v>0</v>
      </c>
      <c r="AH43" s="8">
        <f ca="1">IF(AH$2=Inputs!$B119,Inputs!$B118,0)*(1+inf)^AG$1</f>
        <v>0</v>
      </c>
      <c r="AI43" s="8">
        <f ca="1">IF(AI$2=Inputs!$B119,Inputs!$B118,0)*(1+inf)^AH$1</f>
        <v>0</v>
      </c>
      <c r="AJ43" s="8">
        <f ca="1">IF(AJ$2=Inputs!$B119,Inputs!$B118,0)*(1+inf)^AI$1</f>
        <v>0</v>
      </c>
      <c r="AK43" s="8">
        <f ca="1">IF(AK$2=Inputs!$B119,Inputs!$B118,0)*(1+inf)^AJ$1</f>
        <v>0</v>
      </c>
      <c r="AL43" s="8">
        <f ca="1">IF(AL$2=Inputs!$B119,Inputs!$B118,0)*(1+inf)^AK$1</f>
        <v>0</v>
      </c>
      <c r="AM43" s="8">
        <f ca="1">IF(AM$2=Inputs!$B119,Inputs!$B118,0)*(1+inf)^AL$1</f>
        <v>0</v>
      </c>
      <c r="AN43" s="8">
        <f ca="1">IF(AN$2=Inputs!$B119,Inputs!$B118,0)*(1+inf)^AM$1</f>
        <v>0</v>
      </c>
      <c r="AO43" s="8">
        <f ca="1">IF(AO$2=Inputs!$B119,Inputs!$B118,0)*(1+inf)^AN$1</f>
        <v>0</v>
      </c>
      <c r="AP43" s="8">
        <f ca="1">IF(AP$2=Inputs!$B119,Inputs!$B118,0)*(1+inf)^AO$1</f>
        <v>0</v>
      </c>
      <c r="AQ43" s="8">
        <f ca="1">IF(AQ$2=Inputs!$B119,Inputs!$B118,0)*(1+inf)^AP$1</f>
        <v>0</v>
      </c>
      <c r="AR43" s="8">
        <f ca="1">IF(AR$2=Inputs!$B119,Inputs!$B118,0)*(1+inf)^AQ$1</f>
        <v>0</v>
      </c>
      <c r="AS43" s="8">
        <f ca="1">IF(AS$2=Inputs!$B119,Inputs!$B118,0)*(1+inf)^AR$1</f>
        <v>0</v>
      </c>
      <c r="AT43" s="8">
        <f ca="1">IF(AT$2=Inputs!$B119,Inputs!$B118,0)*(1+inf)^AS$1</f>
        <v>0</v>
      </c>
      <c r="AU43" s="8">
        <f ca="1">IF(AU$2=Inputs!$B119,Inputs!$B118,0)*(1+inf)^AT$1</f>
        <v>0</v>
      </c>
      <c r="AV43" s="8">
        <f ca="1">IF(AV$2=Inputs!$B119,Inputs!$B118,0)*(1+inf)^AU$1</f>
        <v>0</v>
      </c>
      <c r="AW43" s="8">
        <f ca="1">IF(AW$2=Inputs!$B119,Inputs!$B118,0)*(1+inf)^AV$1</f>
        <v>0</v>
      </c>
    </row>
    <row r="44" spans="1:49" x14ac:dyDescent="0.2">
      <c r="A44" s="4" t="str">
        <f>TEXT(Inputs!$B$122,"")</f>
        <v/>
      </c>
      <c r="B44" s="9"/>
      <c r="C44" s="8">
        <f ca="1">IF(C$2=Inputs!$B124,Inputs!$B123,0)*(1+inf)^B$1</f>
        <v>0</v>
      </c>
      <c r="D44" s="8">
        <f ca="1">IF(D$2=Inputs!$B124,Inputs!$B123,0)*(1+inf)^C$1</f>
        <v>0</v>
      </c>
      <c r="E44" s="8">
        <f ca="1">IF(E$2=Inputs!$B124,Inputs!$B123,0)*(1+inf)^D$1</f>
        <v>0</v>
      </c>
      <c r="F44" s="8">
        <f ca="1">IF(F$2=Inputs!$B124,Inputs!$B123,0)*(1+inf)^E$1</f>
        <v>0</v>
      </c>
      <c r="G44" s="8">
        <f ca="1">IF(G$2=Inputs!$B124,Inputs!$B123,0)*(1+inf)^F$1</f>
        <v>0</v>
      </c>
      <c r="H44" s="8">
        <f ca="1">IF(H$2=Inputs!$B124,Inputs!$B123,0)*(1+inf)^G$1</f>
        <v>0</v>
      </c>
      <c r="I44" s="8">
        <f ca="1">IF(I$2=Inputs!$B124,Inputs!$B123,0)*(1+inf)^H$1</f>
        <v>0</v>
      </c>
      <c r="J44" s="8">
        <f ca="1">IF(J$2=Inputs!$B124,Inputs!$B123,0)*(1+inf)^I$1</f>
        <v>0</v>
      </c>
      <c r="K44" s="8">
        <f ca="1">IF(K$2=Inputs!$B124,Inputs!$B123,0)*(1+inf)^J$1</f>
        <v>0</v>
      </c>
      <c r="L44" s="8">
        <f ca="1">IF(L$2=Inputs!$B124,Inputs!$B123,0)*(1+inf)^K$1</f>
        <v>0</v>
      </c>
      <c r="M44" s="8">
        <f ca="1">IF(M$2=Inputs!$B124,Inputs!$B123,0)*(1+inf)^L$1</f>
        <v>0</v>
      </c>
      <c r="N44" s="8">
        <f ca="1">IF(N$2=Inputs!$B124,Inputs!$B123,0)*(1+inf)^M$1</f>
        <v>0</v>
      </c>
      <c r="O44" s="8">
        <f ca="1">IF(O$2=Inputs!$B124,Inputs!$B123,0)*(1+inf)^N$1</f>
        <v>0</v>
      </c>
      <c r="P44" s="8">
        <f ca="1">IF(P$2=Inputs!$B124,Inputs!$B123,0)*(1+inf)^O$1</f>
        <v>0</v>
      </c>
      <c r="Q44" s="8">
        <f ca="1">IF(Q$2=Inputs!$B124,Inputs!$B123,0)*(1+inf)^P$1</f>
        <v>0</v>
      </c>
      <c r="R44" s="8">
        <f ca="1">IF(R$2=Inputs!$B124,Inputs!$B123,0)*(1+inf)^Q$1</f>
        <v>0</v>
      </c>
      <c r="S44" s="8">
        <f ca="1">IF(S$2=Inputs!$B124,Inputs!$B123,0)*(1+inf)^R$1</f>
        <v>0</v>
      </c>
      <c r="T44" s="8">
        <f ca="1">IF(T$2=Inputs!$B124,Inputs!$B123,0)*(1+inf)^S$1</f>
        <v>0</v>
      </c>
      <c r="U44" s="8">
        <f ca="1">IF(U$2=Inputs!$B124,Inputs!$B123,0)*(1+inf)^T$1</f>
        <v>0</v>
      </c>
      <c r="V44" s="8">
        <f ca="1">IF(V$2=Inputs!$B124,Inputs!$B123,0)*(1+inf)^U$1</f>
        <v>0</v>
      </c>
      <c r="W44" s="8">
        <f ca="1">IF(W$2=Inputs!$B124,Inputs!$B123,0)*(1+inf)^V$1</f>
        <v>0</v>
      </c>
      <c r="X44" s="8">
        <f ca="1">IF(X$2=Inputs!$B124,Inputs!$B123,0)*(1+inf)^W$1</f>
        <v>0</v>
      </c>
      <c r="Y44" s="8">
        <f ca="1">IF(Y$2=Inputs!$B124,Inputs!$B123,0)*(1+inf)^X$1</f>
        <v>0</v>
      </c>
      <c r="Z44" s="8">
        <f ca="1">IF(Z$2=Inputs!$B124,Inputs!$B123,0)*(1+inf)^Y$1</f>
        <v>0</v>
      </c>
      <c r="AA44" s="8">
        <f ca="1">IF(AA$2=Inputs!$B124,Inputs!$B123,0)*(1+inf)^Z$1</f>
        <v>0</v>
      </c>
      <c r="AB44" s="8">
        <f ca="1">IF(AB$2=Inputs!$B124,Inputs!$B123,0)*(1+inf)^AA$1</f>
        <v>0</v>
      </c>
      <c r="AC44" s="8">
        <f ca="1">IF(AC$2=Inputs!$B124,Inputs!$B123,0)*(1+inf)^AB$1</f>
        <v>0</v>
      </c>
      <c r="AD44" s="8">
        <f ca="1">IF(AD$2=Inputs!$B124,Inputs!$B123,0)*(1+inf)^AC$1</f>
        <v>0</v>
      </c>
      <c r="AE44" s="8">
        <f ca="1">IF(AE$2=Inputs!$B124,Inputs!$B123,0)*(1+inf)^AD$1</f>
        <v>0</v>
      </c>
      <c r="AF44" s="8">
        <f ca="1">IF(AF$2=Inputs!$B124,Inputs!$B123,0)*(1+inf)^AE$1</f>
        <v>0</v>
      </c>
      <c r="AG44" s="8">
        <f ca="1">IF(AG$2=Inputs!$B124,Inputs!$B123,0)*(1+inf)^AF$1</f>
        <v>0</v>
      </c>
      <c r="AH44" s="8">
        <f ca="1">IF(AH$2=Inputs!$B124,Inputs!$B123,0)*(1+inf)^AG$1</f>
        <v>0</v>
      </c>
      <c r="AI44" s="8">
        <f ca="1">IF(AI$2=Inputs!$B124,Inputs!$B123,0)*(1+inf)^AH$1</f>
        <v>0</v>
      </c>
      <c r="AJ44" s="8">
        <f ca="1">IF(AJ$2=Inputs!$B124,Inputs!$B123,0)*(1+inf)^AI$1</f>
        <v>0</v>
      </c>
      <c r="AK44" s="8">
        <f ca="1">IF(AK$2=Inputs!$B124,Inputs!$B123,0)*(1+inf)^AJ$1</f>
        <v>0</v>
      </c>
      <c r="AL44" s="8">
        <f ca="1">IF(AL$2=Inputs!$B124,Inputs!$B123,0)*(1+inf)^AK$1</f>
        <v>0</v>
      </c>
      <c r="AM44" s="8">
        <f ca="1">IF(AM$2=Inputs!$B124,Inputs!$B123,0)*(1+inf)^AL$1</f>
        <v>0</v>
      </c>
      <c r="AN44" s="8">
        <f ca="1">IF(AN$2=Inputs!$B124,Inputs!$B123,0)*(1+inf)^AM$1</f>
        <v>0</v>
      </c>
      <c r="AO44" s="8">
        <f ca="1">IF(AO$2=Inputs!$B124,Inputs!$B123,0)*(1+inf)^AN$1</f>
        <v>0</v>
      </c>
      <c r="AP44" s="8">
        <f ca="1">IF(AP$2=Inputs!$B124,Inputs!$B123,0)*(1+inf)^AO$1</f>
        <v>0</v>
      </c>
      <c r="AQ44" s="8">
        <f ca="1">IF(AQ$2=Inputs!$B124,Inputs!$B123,0)*(1+inf)^AP$1</f>
        <v>0</v>
      </c>
      <c r="AR44" s="8">
        <f ca="1">IF(AR$2=Inputs!$B124,Inputs!$B123,0)*(1+inf)^AQ$1</f>
        <v>0</v>
      </c>
      <c r="AS44" s="8">
        <f ca="1">IF(AS$2=Inputs!$B124,Inputs!$B123,0)*(1+inf)^AR$1</f>
        <v>0</v>
      </c>
      <c r="AT44" s="8">
        <f ca="1">IF(AT$2=Inputs!$B124,Inputs!$B123,0)*(1+inf)^AS$1</f>
        <v>0</v>
      </c>
      <c r="AU44" s="8">
        <f ca="1">IF(AU$2=Inputs!$B124,Inputs!$B123,0)*(1+inf)^AT$1</f>
        <v>0</v>
      </c>
      <c r="AV44" s="8">
        <f ca="1">IF(AV$2=Inputs!$B124,Inputs!$B123,0)*(1+inf)^AU$1</f>
        <v>0</v>
      </c>
      <c r="AW44" s="8">
        <f ca="1">IF(AW$2=Inputs!$B124,Inputs!$B123,0)*(1+inf)^AV$1</f>
        <v>0</v>
      </c>
    </row>
    <row r="45" spans="1:49" x14ac:dyDescent="0.2">
      <c r="A45" s="4" t="str">
        <f>TEXT(Inputs!$B$127,"")</f>
        <v/>
      </c>
      <c r="B45" s="9"/>
      <c r="C45" s="8">
        <f ca="1">IF(C$2=Inputs!$B129,Inputs!$B128,0)*(1+inf)^B$1</f>
        <v>0</v>
      </c>
      <c r="D45" s="8">
        <f ca="1">IF(D$2=Inputs!$B129,Inputs!$B128,0)*(1+inf)^C$1</f>
        <v>0</v>
      </c>
      <c r="E45" s="8">
        <f ca="1">IF(E$2=Inputs!$B129,Inputs!$B128,0)*(1+inf)^D$1</f>
        <v>0</v>
      </c>
      <c r="F45" s="8">
        <f ca="1">IF(F$2=Inputs!$B129,Inputs!$B128,0)*(1+inf)^E$1</f>
        <v>0</v>
      </c>
      <c r="G45" s="8">
        <f ca="1">IF(G$2=Inputs!$B129,Inputs!$B128,0)*(1+inf)^F$1</f>
        <v>0</v>
      </c>
      <c r="H45" s="8">
        <f ca="1">IF(H$2=Inputs!$B129,Inputs!$B128,0)*(1+inf)^G$1</f>
        <v>0</v>
      </c>
      <c r="I45" s="8">
        <f ca="1">IF(I$2=Inputs!$B129,Inputs!$B128,0)*(1+inf)^H$1</f>
        <v>0</v>
      </c>
      <c r="J45" s="8">
        <f ca="1">IF(J$2=Inputs!$B129,Inputs!$B128,0)*(1+inf)^I$1</f>
        <v>0</v>
      </c>
      <c r="K45" s="8">
        <f ca="1">IF(K$2=Inputs!$B129,Inputs!$B128,0)*(1+inf)^J$1</f>
        <v>0</v>
      </c>
      <c r="L45" s="8">
        <f ca="1">IF(L$2=Inputs!$B129,Inputs!$B128,0)*(1+inf)^K$1</f>
        <v>0</v>
      </c>
      <c r="M45" s="8">
        <f ca="1">IF(M$2=Inputs!$B129,Inputs!$B128,0)*(1+inf)^L$1</f>
        <v>0</v>
      </c>
      <c r="N45" s="8">
        <f ca="1">IF(N$2=Inputs!$B129,Inputs!$B128,0)*(1+inf)^M$1</f>
        <v>0</v>
      </c>
      <c r="O45" s="8">
        <f ca="1">IF(O$2=Inputs!$B129,Inputs!$B128,0)*(1+inf)^N$1</f>
        <v>0</v>
      </c>
      <c r="P45" s="8">
        <f ca="1">IF(P$2=Inputs!$B129,Inputs!$B128,0)*(1+inf)^O$1</f>
        <v>0</v>
      </c>
      <c r="Q45" s="8">
        <f ca="1">IF(Q$2=Inputs!$B129,Inputs!$B128,0)*(1+inf)^P$1</f>
        <v>0</v>
      </c>
      <c r="R45" s="8">
        <f ca="1">IF(R$2=Inputs!$B129,Inputs!$B128,0)*(1+inf)^Q$1</f>
        <v>0</v>
      </c>
      <c r="S45" s="8">
        <f ca="1">IF(S$2=Inputs!$B129,Inputs!$B128,0)*(1+inf)^R$1</f>
        <v>0</v>
      </c>
      <c r="T45" s="8">
        <f ca="1">IF(T$2=Inputs!$B129,Inputs!$B128,0)*(1+inf)^S$1</f>
        <v>0</v>
      </c>
      <c r="U45" s="8">
        <f ca="1">IF(U$2=Inputs!$B129,Inputs!$B128,0)*(1+inf)^T$1</f>
        <v>0</v>
      </c>
      <c r="V45" s="8">
        <f ca="1">IF(V$2=Inputs!$B129,Inputs!$B128,0)*(1+inf)^U$1</f>
        <v>0</v>
      </c>
      <c r="W45" s="8">
        <f ca="1">IF(W$2=Inputs!$B129,Inputs!$B128,0)*(1+inf)^V$1</f>
        <v>0</v>
      </c>
      <c r="X45" s="8">
        <f ca="1">IF(X$2=Inputs!$B129,Inputs!$B128,0)*(1+inf)^W$1</f>
        <v>0</v>
      </c>
      <c r="Y45" s="8">
        <f ca="1">IF(Y$2=Inputs!$B129,Inputs!$B128,0)*(1+inf)^X$1</f>
        <v>0</v>
      </c>
      <c r="Z45" s="8">
        <f ca="1">IF(Z$2=Inputs!$B129,Inputs!$B128,0)*(1+inf)^Y$1</f>
        <v>0</v>
      </c>
      <c r="AA45" s="8">
        <f ca="1">IF(AA$2=Inputs!$B129,Inputs!$B128,0)*(1+inf)^Z$1</f>
        <v>0</v>
      </c>
      <c r="AB45" s="8">
        <f ca="1">IF(AB$2=Inputs!$B129,Inputs!$B128,0)*(1+inf)^AA$1</f>
        <v>0</v>
      </c>
      <c r="AC45" s="8">
        <f ca="1">IF(AC$2=Inputs!$B129,Inputs!$B128,0)*(1+inf)^AB$1</f>
        <v>0</v>
      </c>
      <c r="AD45" s="8">
        <f ca="1">IF(AD$2=Inputs!$B129,Inputs!$B128,0)*(1+inf)^AC$1</f>
        <v>0</v>
      </c>
      <c r="AE45" s="8">
        <f ca="1">IF(AE$2=Inputs!$B129,Inputs!$B128,0)*(1+inf)^AD$1</f>
        <v>0</v>
      </c>
      <c r="AF45" s="8">
        <f ca="1">IF(AF$2=Inputs!$B129,Inputs!$B128,0)*(1+inf)^AE$1</f>
        <v>0</v>
      </c>
      <c r="AG45" s="8">
        <f ca="1">IF(AG$2=Inputs!$B129,Inputs!$B128,0)*(1+inf)^AF$1</f>
        <v>0</v>
      </c>
      <c r="AH45" s="8">
        <f ca="1">IF(AH$2=Inputs!$B129,Inputs!$B128,0)*(1+inf)^AG$1</f>
        <v>0</v>
      </c>
      <c r="AI45" s="8">
        <f ca="1">IF(AI$2=Inputs!$B129,Inputs!$B128,0)*(1+inf)^AH$1</f>
        <v>0</v>
      </c>
      <c r="AJ45" s="8">
        <f ca="1">IF(AJ$2=Inputs!$B129,Inputs!$B128,0)*(1+inf)^AI$1</f>
        <v>0</v>
      </c>
      <c r="AK45" s="8">
        <f ca="1">IF(AK$2=Inputs!$B129,Inputs!$B128,0)*(1+inf)^AJ$1</f>
        <v>0</v>
      </c>
      <c r="AL45" s="8">
        <f ca="1">IF(AL$2=Inputs!$B129,Inputs!$B128,0)*(1+inf)^AK$1</f>
        <v>0</v>
      </c>
      <c r="AM45" s="8">
        <f ca="1">IF(AM$2=Inputs!$B129,Inputs!$B128,0)*(1+inf)^AL$1</f>
        <v>0</v>
      </c>
      <c r="AN45" s="8">
        <f ca="1">IF(AN$2=Inputs!$B129,Inputs!$B128,0)*(1+inf)^AM$1</f>
        <v>0</v>
      </c>
      <c r="AO45" s="8">
        <f ca="1">IF(AO$2=Inputs!$B129,Inputs!$B128,0)*(1+inf)^AN$1</f>
        <v>0</v>
      </c>
      <c r="AP45" s="8">
        <f ca="1">IF(AP$2=Inputs!$B129,Inputs!$B128,0)*(1+inf)^AO$1</f>
        <v>0</v>
      </c>
      <c r="AQ45" s="8">
        <f ca="1">IF(AQ$2=Inputs!$B129,Inputs!$B128,0)*(1+inf)^AP$1</f>
        <v>0</v>
      </c>
      <c r="AR45" s="8">
        <f ca="1">IF(AR$2=Inputs!$B129,Inputs!$B128,0)*(1+inf)^AQ$1</f>
        <v>0</v>
      </c>
      <c r="AS45" s="8">
        <f ca="1">IF(AS$2=Inputs!$B129,Inputs!$B128,0)*(1+inf)^AR$1</f>
        <v>0</v>
      </c>
      <c r="AT45" s="8">
        <f ca="1">IF(AT$2=Inputs!$B129,Inputs!$B128,0)*(1+inf)^AS$1</f>
        <v>0</v>
      </c>
      <c r="AU45" s="8">
        <f ca="1">IF(AU$2=Inputs!$B129,Inputs!$B128,0)*(1+inf)^AT$1</f>
        <v>0</v>
      </c>
      <c r="AV45" s="8">
        <f ca="1">IF(AV$2=Inputs!$B129,Inputs!$B128,0)*(1+inf)^AU$1</f>
        <v>0</v>
      </c>
      <c r="AW45" s="8">
        <f ca="1">IF(AW$2=Inputs!$B129,Inputs!$B128,0)*(1+inf)^AV$1</f>
        <v>0</v>
      </c>
    </row>
    <row r="46" spans="1:49" x14ac:dyDescent="0.2">
      <c r="A46" s="5"/>
      <c r="C46" s="10">
        <f t="shared" ref="C46:G46" ca="1" si="27">SUM(C20:C45)</f>
        <v>60100</v>
      </c>
      <c r="D46" s="10">
        <f t="shared" ca="1" si="27"/>
        <v>61362.499999999993</v>
      </c>
      <c r="E46" s="10">
        <f t="shared" ca="1" si="27"/>
        <v>62656.562499999993</v>
      </c>
      <c r="F46" s="10">
        <f t="shared" ca="1" si="27"/>
        <v>63982.976562499993</v>
      </c>
      <c r="G46" s="10">
        <f t="shared" ca="1" si="27"/>
        <v>65342.550976562488</v>
      </c>
      <c r="H46" s="10">
        <f t="shared" ref="H46:AM46" ca="1" si="28">SUM(H20:H45)</f>
        <v>66736.114750976543</v>
      </c>
      <c r="I46" s="10">
        <f t="shared" ca="1" si="28"/>
        <v>68164.517619750957</v>
      </c>
      <c r="J46" s="10">
        <f t="shared" ca="1" si="28"/>
        <v>69628.630560244739</v>
      </c>
      <c r="K46" s="10">
        <f t="shared" ca="1" si="28"/>
        <v>71129.346324250844</v>
      </c>
      <c r="L46" s="10">
        <f t="shared" ca="1" si="28"/>
        <v>72667.5799823571</v>
      </c>
      <c r="M46" s="10">
        <f t="shared" ca="1" si="28"/>
        <v>74244.269481916024</v>
      </c>
      <c r="N46" s="10">
        <f t="shared" ca="1" si="28"/>
        <v>75860.376218963938</v>
      </c>
      <c r="O46" s="10">
        <f t="shared" ca="1" si="28"/>
        <v>77516.885624438029</v>
      </c>
      <c r="P46" s="10">
        <f t="shared" ca="1" si="28"/>
        <v>79214.807765048972</v>
      </c>
      <c r="Q46" s="10">
        <f t="shared" ca="1" si="28"/>
        <v>80955.177959175184</v>
      </c>
      <c r="R46" s="10">
        <f t="shared" ca="1" si="28"/>
        <v>79728.141982315923</v>
      </c>
      <c r="S46" s="10">
        <f t="shared" ca="1" si="28"/>
        <v>74967.533843358426</v>
      </c>
      <c r="T46" s="10">
        <f t="shared" ca="1" si="28"/>
        <v>76841.722189442386</v>
      </c>
      <c r="U46" s="10">
        <f t="shared" ca="1" si="28"/>
        <v>70964.471655645932</v>
      </c>
      <c r="V46" s="10">
        <f t="shared" ca="1" si="28"/>
        <v>72738.583447037076</v>
      </c>
      <c r="W46" s="10">
        <f t="shared" ca="1" si="28"/>
        <v>74557.048033212981</v>
      </c>
      <c r="X46" s="10">
        <f t="shared" ca="1" si="28"/>
        <v>76420.974234043329</v>
      </c>
      <c r="Y46" s="10">
        <f t="shared" ca="1" si="28"/>
        <v>78331.4985898944</v>
      </c>
      <c r="Z46" s="10">
        <f t="shared" ca="1" si="28"/>
        <v>80289.786054641765</v>
      </c>
      <c r="AA46" s="10">
        <f t="shared" ca="1" si="28"/>
        <v>82297.03070600779</v>
      </c>
      <c r="AB46" s="10">
        <f t="shared" ca="1" si="28"/>
        <v>84354.456473657978</v>
      </c>
      <c r="AC46" s="10">
        <f t="shared" ca="1" si="28"/>
        <v>86463.317885499418</v>
      </c>
      <c r="AD46" s="10">
        <f t="shared" ca="1" si="28"/>
        <v>88624.900832636908</v>
      </c>
      <c r="AE46" s="10">
        <f t="shared" ca="1" si="28"/>
        <v>80858.048259666801</v>
      </c>
      <c r="AF46" s="10">
        <f t="shared" ca="1" si="28"/>
        <v>82879.499466158479</v>
      </c>
      <c r="AG46" s="10">
        <f t="shared" ca="1" si="28"/>
        <v>84951.486952812411</v>
      </c>
      <c r="AH46" s="10">
        <f t="shared" ca="1" si="28"/>
        <v>87075.27412663275</v>
      </c>
      <c r="AI46" s="10">
        <f t="shared" ca="1" si="28"/>
        <v>89252.155979798539</v>
      </c>
      <c r="AJ46" s="10">
        <f t="shared" ca="1" si="28"/>
        <v>91483.459879293514</v>
      </c>
      <c r="AK46" s="10">
        <f t="shared" ca="1" si="28"/>
        <v>93770.546376275845</v>
      </c>
      <c r="AL46" s="10">
        <f t="shared" ca="1" si="28"/>
        <v>96114.81003568272</v>
      </c>
      <c r="AM46" s="10">
        <f t="shared" ca="1" si="28"/>
        <v>98517.680286574803</v>
      </c>
      <c r="AN46" s="10">
        <f t="shared" ref="AN46:AV46" ca="1" si="29">SUM(AN20:AN45)</f>
        <v>100980.62229373917</v>
      </c>
      <c r="AO46" s="10">
        <f t="shared" ca="1" si="29"/>
        <v>103505.1378510826</v>
      </c>
      <c r="AP46" s="10">
        <f t="shared" ca="1" si="29"/>
        <v>106092.7662973597</v>
      </c>
      <c r="AQ46" s="10">
        <f t="shared" ca="1" si="29"/>
        <v>108745.08545479368</v>
      </c>
      <c r="AR46" s="10">
        <f t="shared" ca="1" si="29"/>
        <v>111463.71259116351</v>
      </c>
      <c r="AS46" s="10">
        <f t="shared" ca="1" si="29"/>
        <v>114250.30540594259</v>
      </c>
      <c r="AT46" s="10">
        <f t="shared" ca="1" si="29"/>
        <v>117106.56304109115</v>
      </c>
      <c r="AU46" s="10">
        <f t="shared" ca="1" si="29"/>
        <v>120034.22711711843</v>
      </c>
      <c r="AV46" s="10">
        <f t="shared" ca="1" si="29"/>
        <v>123035.08279504639</v>
      </c>
      <c r="AW46" s="10">
        <f t="shared" ref="AW46" ca="1" si="30">SUM(AW20:AW45)</f>
        <v>126110.95986492252</v>
      </c>
    </row>
    <row r="47" spans="1:49" x14ac:dyDescent="0.2">
      <c r="A47" s="5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ht="19" x14ac:dyDescent="0.25">
      <c r="A48" s="14" t="s">
        <v>19</v>
      </c>
      <c r="C48" s="8">
        <f t="shared" ref="C48:G48" ca="1" si="31">C19-C46</f>
        <v>4898.75</v>
      </c>
      <c r="D48" s="8">
        <f t="shared" ca="1" si="31"/>
        <v>5565.4375000000073</v>
      </c>
      <c r="E48" s="8">
        <f t="shared" ca="1" si="31"/>
        <v>6271.5101562500131</v>
      </c>
      <c r="F48" s="8">
        <f t="shared" ca="1" si="31"/>
        <v>7018.7939218750034</v>
      </c>
      <c r="G48" s="8">
        <f t="shared" ca="1" si="31"/>
        <v>7809.1896331835887</v>
      </c>
      <c r="H48" s="8">
        <f t="shared" ref="H48:AM48" ca="1" si="32">H19-H46</f>
        <v>8644.6758586439537</v>
      </c>
      <c r="I48" s="8">
        <f t="shared" ca="1" si="32"/>
        <v>9527.3118508877087</v>
      </c>
      <c r="J48" s="8">
        <f t="shared" ca="1" si="32"/>
        <v>10459.240605334067</v>
      </c>
      <c r="K48" s="8">
        <f t="shared" ca="1" si="32"/>
        <v>11442.692029148049</v>
      </c>
      <c r="L48" s="8">
        <f t="shared" ca="1" si="32"/>
        <v>12479.986224373104</v>
      </c>
      <c r="M48" s="8">
        <f t="shared" ca="1" si="32"/>
        <v>13573.536889207811</v>
      </c>
      <c r="N48" s="8">
        <f t="shared" ca="1" si="32"/>
        <v>14725.854841531662</v>
      </c>
      <c r="O48" s="8">
        <f t="shared" ca="1" si="32"/>
        <v>15939.551668922722</v>
      </c>
      <c r="P48" s="8">
        <f t="shared" ca="1" si="32"/>
        <v>17217.343509554368</v>
      </c>
      <c r="Q48" s="8">
        <f t="shared" ca="1" si="32"/>
        <v>18562.054968505923</v>
      </c>
      <c r="R48" s="8">
        <f t="shared" ca="1" si="32"/>
        <v>23025.175042837014</v>
      </c>
      <c r="S48" s="8">
        <f t="shared" ca="1" si="32"/>
        <v>31260.315776357282</v>
      </c>
      <c r="T48" s="8">
        <f t="shared" ca="1" si="32"/>
        <v>-39610.215394942876</v>
      </c>
      <c r="U48" s="8">
        <f t="shared" ca="1" si="32"/>
        <v>-33956.467294098737</v>
      </c>
      <c r="V48" s="8">
        <f t="shared" ca="1" si="32"/>
        <v>-35891.047661979712</v>
      </c>
      <c r="W48" s="8">
        <f t="shared" ca="1" si="32"/>
        <v>-37901.13425619591</v>
      </c>
      <c r="X48" s="8">
        <f t="shared" ca="1" si="32"/>
        <v>-39989.293275334232</v>
      </c>
      <c r="Y48" s="8">
        <f t="shared" ca="1" si="32"/>
        <v>-42158.172036519303</v>
      </c>
      <c r="Z48" s="8">
        <f t="shared" ca="1" si="32"/>
        <v>-44410.501427466559</v>
      </c>
      <c r="AA48" s="8">
        <f t="shared" ca="1" si="32"/>
        <v>-46749.098430438331</v>
      </c>
      <c r="AB48" s="8">
        <f t="shared" ca="1" si="32"/>
        <v>-49176.868720166545</v>
      </c>
      <c r="AC48" s="8">
        <f t="shared" ca="1" si="32"/>
        <v>-51696.809337862134</v>
      </c>
      <c r="AD48" s="8">
        <f t="shared" ca="1" si="32"/>
        <v>-53564.500503242089</v>
      </c>
      <c r="AE48" s="8">
        <f t="shared" ca="1" si="32"/>
        <v>-44921.137922037116</v>
      </c>
      <c r="AF48" s="8">
        <f t="shared" ca="1" si="32"/>
        <v>-46044.166370088045</v>
      </c>
      <c r="AG48" s="8">
        <f t="shared" ca="1" si="32"/>
        <v>-47195.270529340225</v>
      </c>
      <c r="AH48" s="8">
        <f t="shared" ca="1" si="32"/>
        <v>-48375.152292573752</v>
      </c>
      <c r="AI48" s="8">
        <f t="shared" ca="1" si="32"/>
        <v>-49584.531099888074</v>
      </c>
      <c r="AJ48" s="8">
        <f t="shared" ca="1" si="32"/>
        <v>-50824.144377385288</v>
      </c>
      <c r="AK48" s="8">
        <f t="shared" ca="1" si="32"/>
        <v>-52094.747986819915</v>
      </c>
      <c r="AL48" s="8">
        <f t="shared" ca="1" si="32"/>
        <v>-53397.116686490393</v>
      </c>
      <c r="AM48" s="8">
        <f t="shared" ca="1" si="32"/>
        <v>-54732.04460365267</v>
      </c>
      <c r="AN48" s="8">
        <f t="shared" ref="AN48:AV48" ca="1" si="33">AN19-AN46</f>
        <v>-56100.345718743985</v>
      </c>
      <c r="AO48" s="8">
        <f t="shared" ca="1" si="33"/>
        <v>-57502.854361712554</v>
      </c>
      <c r="AP48" s="8">
        <f t="shared" ca="1" si="33"/>
        <v>-58940.425720755396</v>
      </c>
      <c r="AQ48" s="8">
        <f t="shared" ca="1" si="33"/>
        <v>-60413.936363774264</v>
      </c>
      <c r="AR48" s="8">
        <f t="shared" ca="1" si="33"/>
        <v>-61924.284772868617</v>
      </c>
      <c r="AS48" s="8">
        <f t="shared" ca="1" si="33"/>
        <v>-63472.391892190331</v>
      </c>
      <c r="AT48" s="8">
        <f t="shared" ca="1" si="33"/>
        <v>-65059.201689495079</v>
      </c>
      <c r="AU48" s="8">
        <f t="shared" ca="1" si="33"/>
        <v>-66685.68173173246</v>
      </c>
      <c r="AV48" s="8">
        <f t="shared" ca="1" si="33"/>
        <v>-68352.823775025769</v>
      </c>
      <c r="AW48" s="8">
        <f t="shared" ref="AW48" ca="1" si="34">AW19-AW46</f>
        <v>-70061.644369401401</v>
      </c>
    </row>
    <row r="49" spans="1:49" x14ac:dyDescent="0.2">
      <c r="A49" s="5" t="s">
        <v>10</v>
      </c>
      <c r="C49" s="8">
        <f>Inputs!B8</f>
        <v>200000</v>
      </c>
      <c r="D49" s="8">
        <f ca="1">C50</f>
        <v>204898.75</v>
      </c>
      <c r="E49" s="8">
        <f t="shared" ref="E49:AM49" ca="1" si="35">D50</f>
        <v>210464.1875</v>
      </c>
      <c r="F49" s="8">
        <f t="shared" ca="1" si="35"/>
        <v>216735.69765625001</v>
      </c>
      <c r="G49" s="8">
        <f t="shared" ca="1" si="35"/>
        <v>223754.49157812502</v>
      </c>
      <c r="H49" s="8">
        <f t="shared" ca="1" si="35"/>
        <v>231563.68121130861</v>
      </c>
      <c r="I49" s="8">
        <f t="shared" ca="1" si="35"/>
        <v>240208.35706995256</v>
      </c>
      <c r="J49" s="8">
        <f t="shared" ca="1" si="35"/>
        <v>249735.66892084025</v>
      </c>
      <c r="K49" s="8">
        <f t="shared" ca="1" si="35"/>
        <v>260194.90952617431</v>
      </c>
      <c r="L49" s="8">
        <f t="shared" ca="1" si="35"/>
        <v>271637.60155532236</v>
      </c>
      <c r="M49" s="8">
        <f t="shared" ca="1" si="35"/>
        <v>284117.58777969546</v>
      </c>
      <c r="N49" s="8">
        <f t="shared" ca="1" si="35"/>
        <v>297691.1246689033</v>
      </c>
      <c r="O49" s="8">
        <f t="shared" ca="1" si="35"/>
        <v>312416.97951043496</v>
      </c>
      <c r="P49" s="8">
        <f t="shared" ca="1" si="35"/>
        <v>328356.53117935767</v>
      </c>
      <c r="Q49" s="8">
        <f t="shared" ca="1" si="35"/>
        <v>345573.87468891207</v>
      </c>
      <c r="R49" s="8">
        <f t="shared" ca="1" si="35"/>
        <v>364135.92965741799</v>
      </c>
      <c r="S49" s="8">
        <f t="shared" ca="1" si="35"/>
        <v>387161.10470025497</v>
      </c>
      <c r="T49" s="8">
        <f t="shared" ca="1" si="35"/>
        <v>418421.42047661229</v>
      </c>
      <c r="U49" s="8">
        <f t="shared" ca="1" si="35"/>
        <v>378811.20508166938</v>
      </c>
      <c r="V49" s="8">
        <f t="shared" ca="1" si="35"/>
        <v>344854.73778757063</v>
      </c>
      <c r="W49" s="8">
        <f t="shared" ca="1" si="35"/>
        <v>308963.69012559089</v>
      </c>
      <c r="X49" s="8">
        <f t="shared" ca="1" si="35"/>
        <v>271062.55586939497</v>
      </c>
      <c r="Y49" s="8">
        <f t="shared" ca="1" si="35"/>
        <v>231073.26259406074</v>
      </c>
      <c r="Z49" s="8">
        <f t="shared" ca="1" si="35"/>
        <v>188915.09055754144</v>
      </c>
      <c r="AA49" s="8">
        <f t="shared" ca="1" si="35"/>
        <v>144504.58913007489</v>
      </c>
      <c r="AB49" s="8">
        <f t="shared" ca="1" si="35"/>
        <v>97755.490699636561</v>
      </c>
      <c r="AC49" s="8">
        <f t="shared" ca="1" si="35"/>
        <v>48578.621979470016</v>
      </c>
      <c r="AD49" s="8">
        <f t="shared" ca="1" si="35"/>
        <v>-3118.1873583921188</v>
      </c>
      <c r="AE49" s="8">
        <f t="shared" ca="1" si="35"/>
        <v>-56682.687861634207</v>
      </c>
      <c r="AF49" s="8">
        <f t="shared" ca="1" si="35"/>
        <v>-101603.82578367132</v>
      </c>
      <c r="AG49" s="8">
        <f t="shared" ca="1" si="35"/>
        <v>-147647.99215375935</v>
      </c>
      <c r="AH49" s="8">
        <f t="shared" ca="1" si="35"/>
        <v>-194843.26268309957</v>
      </c>
      <c r="AI49" s="8">
        <f t="shared" ca="1" si="35"/>
        <v>-243218.41497567331</v>
      </c>
      <c r="AJ49" s="8">
        <f t="shared" ca="1" si="35"/>
        <v>-292802.9460755614</v>
      </c>
      <c r="AK49" s="8">
        <f t="shared" ca="1" si="35"/>
        <v>-343627.09045294666</v>
      </c>
      <c r="AL49" s="8">
        <f t="shared" ca="1" si="35"/>
        <v>-395721.83843976655</v>
      </c>
      <c r="AM49" s="8">
        <f t="shared" ca="1" si="35"/>
        <v>-449118.95512625691</v>
      </c>
      <c r="AN49" s="8">
        <f t="shared" ref="AN49" ca="1" si="36">AM50</f>
        <v>-503850.99972990958</v>
      </c>
      <c r="AO49" s="8">
        <f t="shared" ref="AO49" ca="1" si="37">AN50</f>
        <v>-559951.34544865356</v>
      </c>
      <c r="AP49" s="8">
        <f t="shared" ref="AP49" ca="1" si="38">AO50</f>
        <v>-617454.19981036615</v>
      </c>
      <c r="AQ49" s="8">
        <f t="shared" ref="AQ49" ca="1" si="39">AP50</f>
        <v>-676394.62553112151</v>
      </c>
      <c r="AR49" s="8">
        <f t="shared" ref="AR49" ca="1" si="40">AQ50</f>
        <v>-736808.56189489574</v>
      </c>
      <c r="AS49" s="8">
        <f t="shared" ref="AS49" ca="1" si="41">AR50</f>
        <v>-798732.84666776436</v>
      </c>
      <c r="AT49" s="8">
        <f t="shared" ref="AT49" ca="1" si="42">AS50</f>
        <v>-862205.23855995468</v>
      </c>
      <c r="AU49" s="8">
        <f t="shared" ref="AU49" ca="1" si="43">AT50</f>
        <v>-927264.44024944981</v>
      </c>
      <c r="AV49" s="8">
        <f t="shared" ref="AV49:AW49" ca="1" si="44">AU50</f>
        <v>-993950.12198118225</v>
      </c>
      <c r="AW49" s="8">
        <f t="shared" ca="1" si="44"/>
        <v>-1062302.9457562079</v>
      </c>
    </row>
    <row r="50" spans="1:49" x14ac:dyDescent="0.2">
      <c r="A50" s="5" t="s">
        <v>11</v>
      </c>
      <c r="C50" s="10">
        <f ca="1">SUM(C48:C49)</f>
        <v>204898.75</v>
      </c>
      <c r="D50" s="10">
        <f t="shared" ref="D50:G50" ca="1" si="45">SUM(D48:D49)</f>
        <v>210464.1875</v>
      </c>
      <c r="E50" s="10">
        <f t="shared" ca="1" si="45"/>
        <v>216735.69765625001</v>
      </c>
      <c r="F50" s="10">
        <f t="shared" ca="1" si="45"/>
        <v>223754.49157812502</v>
      </c>
      <c r="G50" s="10">
        <f t="shared" ca="1" si="45"/>
        <v>231563.68121130861</v>
      </c>
      <c r="H50" s="10">
        <f t="shared" ref="H50:AM50" ca="1" si="46">SUM(H48:H49)</f>
        <v>240208.35706995256</v>
      </c>
      <c r="I50" s="10">
        <f t="shared" ca="1" si="46"/>
        <v>249735.66892084025</v>
      </c>
      <c r="J50" s="10">
        <f t="shared" ca="1" si="46"/>
        <v>260194.90952617431</v>
      </c>
      <c r="K50" s="10">
        <f t="shared" ca="1" si="46"/>
        <v>271637.60155532236</v>
      </c>
      <c r="L50" s="10">
        <f t="shared" ca="1" si="46"/>
        <v>284117.58777969546</v>
      </c>
      <c r="M50" s="10">
        <f t="shared" ca="1" si="46"/>
        <v>297691.1246689033</v>
      </c>
      <c r="N50" s="10">
        <f t="shared" ca="1" si="46"/>
        <v>312416.97951043496</v>
      </c>
      <c r="O50" s="10">
        <f t="shared" ca="1" si="46"/>
        <v>328356.53117935767</v>
      </c>
      <c r="P50" s="10">
        <f t="shared" ca="1" si="46"/>
        <v>345573.87468891207</v>
      </c>
      <c r="Q50" s="10">
        <f t="shared" ca="1" si="46"/>
        <v>364135.92965741799</v>
      </c>
      <c r="R50" s="10">
        <f t="shared" ca="1" si="46"/>
        <v>387161.10470025497</v>
      </c>
      <c r="S50" s="10">
        <f t="shared" ca="1" si="46"/>
        <v>418421.42047661229</v>
      </c>
      <c r="T50" s="10">
        <f t="shared" ca="1" si="46"/>
        <v>378811.20508166938</v>
      </c>
      <c r="U50" s="10">
        <f t="shared" ca="1" si="46"/>
        <v>344854.73778757063</v>
      </c>
      <c r="V50" s="10">
        <f t="shared" ca="1" si="46"/>
        <v>308963.69012559089</v>
      </c>
      <c r="W50" s="10">
        <f t="shared" ca="1" si="46"/>
        <v>271062.55586939497</v>
      </c>
      <c r="X50" s="10">
        <f t="shared" ca="1" si="46"/>
        <v>231073.26259406074</v>
      </c>
      <c r="Y50" s="10">
        <f t="shared" ca="1" si="46"/>
        <v>188915.09055754144</v>
      </c>
      <c r="Z50" s="10">
        <f t="shared" ca="1" si="46"/>
        <v>144504.58913007489</v>
      </c>
      <c r="AA50" s="10">
        <f t="shared" ca="1" si="46"/>
        <v>97755.490699636561</v>
      </c>
      <c r="AB50" s="10">
        <f t="shared" ca="1" si="46"/>
        <v>48578.621979470016</v>
      </c>
      <c r="AC50" s="10">
        <f t="shared" ca="1" si="46"/>
        <v>-3118.1873583921188</v>
      </c>
      <c r="AD50" s="10">
        <f t="shared" ca="1" si="46"/>
        <v>-56682.687861634207</v>
      </c>
      <c r="AE50" s="10">
        <f t="shared" ca="1" si="46"/>
        <v>-101603.82578367132</v>
      </c>
      <c r="AF50" s="10">
        <f t="shared" ca="1" si="46"/>
        <v>-147647.99215375935</v>
      </c>
      <c r="AG50" s="10">
        <f t="shared" ca="1" si="46"/>
        <v>-194843.26268309957</v>
      </c>
      <c r="AH50" s="10">
        <f t="shared" ca="1" si="46"/>
        <v>-243218.41497567331</v>
      </c>
      <c r="AI50" s="10">
        <f t="shared" ca="1" si="46"/>
        <v>-292802.9460755614</v>
      </c>
      <c r="AJ50" s="10">
        <f t="shared" ca="1" si="46"/>
        <v>-343627.09045294666</v>
      </c>
      <c r="AK50" s="10">
        <f t="shared" ca="1" si="46"/>
        <v>-395721.83843976655</v>
      </c>
      <c r="AL50" s="10">
        <f t="shared" ca="1" si="46"/>
        <v>-449118.95512625691</v>
      </c>
      <c r="AM50" s="10">
        <f t="shared" ca="1" si="46"/>
        <v>-503850.99972990958</v>
      </c>
      <c r="AN50" s="10">
        <f t="shared" ref="AN50:AV50" ca="1" si="47">SUM(AN48:AN49)</f>
        <v>-559951.34544865356</v>
      </c>
      <c r="AO50" s="10">
        <f t="shared" ca="1" si="47"/>
        <v>-617454.19981036615</v>
      </c>
      <c r="AP50" s="10">
        <f t="shared" ca="1" si="47"/>
        <v>-676394.62553112151</v>
      </c>
      <c r="AQ50" s="10">
        <f t="shared" ca="1" si="47"/>
        <v>-736808.56189489574</v>
      </c>
      <c r="AR50" s="10">
        <f t="shared" ca="1" si="47"/>
        <v>-798732.84666776436</v>
      </c>
      <c r="AS50" s="10">
        <f t="shared" ca="1" si="47"/>
        <v>-862205.23855995468</v>
      </c>
      <c r="AT50" s="10">
        <f t="shared" ca="1" si="47"/>
        <v>-927264.44024944981</v>
      </c>
      <c r="AU50" s="10">
        <f t="shared" ca="1" si="47"/>
        <v>-993950.12198118225</v>
      </c>
      <c r="AV50" s="10">
        <f t="shared" ca="1" si="47"/>
        <v>-1062302.9457562079</v>
      </c>
      <c r="AW50" s="10">
        <f t="shared" ref="AW50" ca="1" si="48">SUM(AW48:AW49)</f>
        <v>-1132364.5901256094</v>
      </c>
    </row>
    <row r="51" spans="1:49" x14ac:dyDescent="0.2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ht="19" x14ac:dyDescent="0.25">
      <c r="A52" s="30" t="s">
        <v>82</v>
      </c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</row>
    <row r="53" spans="1:49" x14ac:dyDescent="0.2">
      <c r="A53" s="5" t="s">
        <v>9</v>
      </c>
      <c r="C53" s="8">
        <f t="shared" ref="C53:G53" ca="1" si="49">C50</f>
        <v>204898.75</v>
      </c>
      <c r="D53" s="8">
        <f t="shared" ca="1" si="49"/>
        <v>210464.1875</v>
      </c>
      <c r="E53" s="8">
        <f t="shared" ca="1" si="49"/>
        <v>216735.69765625001</v>
      </c>
      <c r="F53" s="8">
        <f t="shared" ca="1" si="49"/>
        <v>223754.49157812502</v>
      </c>
      <c r="G53" s="8">
        <f t="shared" ca="1" si="49"/>
        <v>231563.68121130861</v>
      </c>
      <c r="H53" s="8">
        <f t="shared" ref="H53:AM53" ca="1" si="50">H50</f>
        <v>240208.35706995256</v>
      </c>
      <c r="I53" s="8">
        <f t="shared" ca="1" si="50"/>
        <v>249735.66892084025</v>
      </c>
      <c r="J53" s="8">
        <f t="shared" ca="1" si="50"/>
        <v>260194.90952617431</v>
      </c>
      <c r="K53" s="8">
        <f t="shared" ca="1" si="50"/>
        <v>271637.60155532236</v>
      </c>
      <c r="L53" s="8">
        <f t="shared" ca="1" si="50"/>
        <v>284117.58777969546</v>
      </c>
      <c r="M53" s="8">
        <f t="shared" ca="1" si="50"/>
        <v>297691.1246689033</v>
      </c>
      <c r="N53" s="8">
        <f t="shared" ca="1" si="50"/>
        <v>312416.97951043496</v>
      </c>
      <c r="O53" s="8">
        <f t="shared" ca="1" si="50"/>
        <v>328356.53117935767</v>
      </c>
      <c r="P53" s="8">
        <f t="shared" ca="1" si="50"/>
        <v>345573.87468891207</v>
      </c>
      <c r="Q53" s="8">
        <f t="shared" ca="1" si="50"/>
        <v>364135.92965741799</v>
      </c>
      <c r="R53" s="8">
        <f t="shared" ca="1" si="50"/>
        <v>387161.10470025497</v>
      </c>
      <c r="S53" s="8">
        <f t="shared" ca="1" si="50"/>
        <v>418421.42047661229</v>
      </c>
      <c r="T53" s="8">
        <f t="shared" ca="1" si="50"/>
        <v>378811.20508166938</v>
      </c>
      <c r="U53" s="8">
        <f t="shared" ca="1" si="50"/>
        <v>344854.73778757063</v>
      </c>
      <c r="V53" s="8">
        <f t="shared" ca="1" si="50"/>
        <v>308963.69012559089</v>
      </c>
      <c r="W53" s="8">
        <f t="shared" ca="1" si="50"/>
        <v>271062.55586939497</v>
      </c>
      <c r="X53" s="8">
        <f t="shared" ca="1" si="50"/>
        <v>231073.26259406074</v>
      </c>
      <c r="Y53" s="8">
        <f t="shared" ca="1" si="50"/>
        <v>188915.09055754144</v>
      </c>
      <c r="Z53" s="8">
        <f t="shared" ca="1" si="50"/>
        <v>144504.58913007489</v>
      </c>
      <c r="AA53" s="8">
        <f t="shared" ca="1" si="50"/>
        <v>97755.490699636561</v>
      </c>
      <c r="AB53" s="8">
        <f t="shared" ca="1" si="50"/>
        <v>48578.621979470016</v>
      </c>
      <c r="AC53" s="8">
        <f t="shared" ca="1" si="50"/>
        <v>-3118.1873583921188</v>
      </c>
      <c r="AD53" s="8">
        <f t="shared" ca="1" si="50"/>
        <v>-56682.687861634207</v>
      </c>
      <c r="AE53" s="8">
        <f t="shared" ca="1" si="50"/>
        <v>-101603.82578367132</v>
      </c>
      <c r="AF53" s="8">
        <f t="shared" ca="1" si="50"/>
        <v>-147647.99215375935</v>
      </c>
      <c r="AG53" s="8">
        <f t="shared" ca="1" si="50"/>
        <v>-194843.26268309957</v>
      </c>
      <c r="AH53" s="8">
        <f t="shared" ca="1" si="50"/>
        <v>-243218.41497567331</v>
      </c>
      <c r="AI53" s="8">
        <f t="shared" ca="1" si="50"/>
        <v>-292802.9460755614</v>
      </c>
      <c r="AJ53" s="8">
        <f t="shared" ca="1" si="50"/>
        <v>-343627.09045294666</v>
      </c>
      <c r="AK53" s="8">
        <f t="shared" ca="1" si="50"/>
        <v>-395721.83843976655</v>
      </c>
      <c r="AL53" s="8">
        <f t="shared" ca="1" si="50"/>
        <v>-449118.95512625691</v>
      </c>
      <c r="AM53" s="8">
        <f t="shared" ca="1" si="50"/>
        <v>-503850.99972990958</v>
      </c>
      <c r="AN53" s="8">
        <f t="shared" ref="AN53:AV53" ca="1" si="51">AN50</f>
        <v>-559951.34544865356</v>
      </c>
      <c r="AO53" s="8">
        <f t="shared" ca="1" si="51"/>
        <v>-617454.19981036615</v>
      </c>
      <c r="AP53" s="8">
        <f t="shared" ca="1" si="51"/>
        <v>-676394.62553112151</v>
      </c>
      <c r="AQ53" s="8">
        <f t="shared" ca="1" si="51"/>
        <v>-736808.56189489574</v>
      </c>
      <c r="AR53" s="8">
        <f t="shared" ca="1" si="51"/>
        <v>-798732.84666776436</v>
      </c>
      <c r="AS53" s="8">
        <f t="shared" ca="1" si="51"/>
        <v>-862205.23855995468</v>
      </c>
      <c r="AT53" s="8">
        <f t="shared" ca="1" si="51"/>
        <v>-927264.44024944981</v>
      </c>
      <c r="AU53" s="8">
        <f t="shared" ca="1" si="51"/>
        <v>-993950.12198118225</v>
      </c>
      <c r="AV53" s="8">
        <f t="shared" ca="1" si="51"/>
        <v>-1062302.9457562079</v>
      </c>
      <c r="AW53" s="8">
        <f t="shared" ref="AW53" ca="1" si="52">AW50</f>
        <v>-1132364.5901256094</v>
      </c>
    </row>
    <row r="54" spans="1:49" x14ac:dyDescent="0.2">
      <c r="A54" s="5" t="s">
        <v>7</v>
      </c>
      <c r="C54" s="8">
        <f>Inputs!B12*(1+princ)</f>
        <v>515000</v>
      </c>
      <c r="D54" s="8">
        <f t="shared" ref="D54:AM54" si="53">C54*(1+princ)</f>
        <v>530450</v>
      </c>
      <c r="E54" s="8">
        <f t="shared" si="53"/>
        <v>546363.5</v>
      </c>
      <c r="F54" s="8">
        <f t="shared" si="53"/>
        <v>562754.40500000003</v>
      </c>
      <c r="G54" s="8">
        <f t="shared" si="53"/>
        <v>579637.03714999999</v>
      </c>
      <c r="H54" s="8">
        <f t="shared" si="53"/>
        <v>597026.14826449996</v>
      </c>
      <c r="I54" s="8">
        <f t="shared" si="53"/>
        <v>614936.93271243502</v>
      </c>
      <c r="J54" s="8">
        <f t="shared" si="53"/>
        <v>633385.04069380811</v>
      </c>
      <c r="K54" s="8">
        <f t="shared" si="53"/>
        <v>652386.59191462235</v>
      </c>
      <c r="L54" s="8">
        <f t="shared" si="53"/>
        <v>671958.18967206101</v>
      </c>
      <c r="M54" s="8">
        <f t="shared" si="53"/>
        <v>692116.93536222284</v>
      </c>
      <c r="N54" s="8">
        <f t="shared" si="53"/>
        <v>712880.44342308957</v>
      </c>
      <c r="O54" s="8">
        <f t="shared" si="53"/>
        <v>734266.85672578227</v>
      </c>
      <c r="P54" s="8">
        <f t="shared" si="53"/>
        <v>756294.86242755572</v>
      </c>
      <c r="Q54" s="8">
        <f t="shared" si="53"/>
        <v>778983.70830038236</v>
      </c>
      <c r="R54" s="8">
        <f t="shared" si="53"/>
        <v>802353.21954939386</v>
      </c>
      <c r="S54" s="8">
        <f t="shared" si="53"/>
        <v>826423.81613587565</v>
      </c>
      <c r="T54" s="8">
        <f t="shared" si="53"/>
        <v>851216.5306199519</v>
      </c>
      <c r="U54" s="8">
        <f t="shared" si="53"/>
        <v>876753.0265385505</v>
      </c>
      <c r="V54" s="8">
        <f t="shared" si="53"/>
        <v>903055.61733470706</v>
      </c>
      <c r="W54" s="8">
        <f t="shared" si="53"/>
        <v>930147.28585474833</v>
      </c>
      <c r="X54" s="8">
        <f t="shared" si="53"/>
        <v>958051.70443039085</v>
      </c>
      <c r="Y54" s="8">
        <f t="shared" si="53"/>
        <v>986793.25556330255</v>
      </c>
      <c r="Z54" s="8">
        <f t="shared" si="53"/>
        <v>1016397.0532302016</v>
      </c>
      <c r="AA54" s="8">
        <f t="shared" si="53"/>
        <v>1046888.9648271076</v>
      </c>
      <c r="AB54" s="8">
        <f t="shared" si="53"/>
        <v>1078295.6337719208</v>
      </c>
      <c r="AC54" s="8">
        <f t="shared" si="53"/>
        <v>1110644.5027850785</v>
      </c>
      <c r="AD54" s="8">
        <f t="shared" si="53"/>
        <v>1143963.8378686309</v>
      </c>
      <c r="AE54" s="8">
        <f t="shared" si="53"/>
        <v>1178282.7530046899</v>
      </c>
      <c r="AF54" s="8">
        <f t="shared" si="53"/>
        <v>1213631.2355948307</v>
      </c>
      <c r="AG54" s="8">
        <f t="shared" si="53"/>
        <v>1250040.1726626756</v>
      </c>
      <c r="AH54" s="8">
        <f t="shared" si="53"/>
        <v>1287541.377842556</v>
      </c>
      <c r="AI54" s="8">
        <f t="shared" si="53"/>
        <v>1326167.6191778327</v>
      </c>
      <c r="AJ54" s="8">
        <f t="shared" si="53"/>
        <v>1365952.6477531677</v>
      </c>
      <c r="AK54" s="8">
        <f t="shared" si="53"/>
        <v>1406931.2271857627</v>
      </c>
      <c r="AL54" s="8">
        <f t="shared" si="53"/>
        <v>1449139.1640013356</v>
      </c>
      <c r="AM54" s="8">
        <f t="shared" si="53"/>
        <v>1492613.3389213758</v>
      </c>
      <c r="AN54" s="8">
        <f t="shared" ref="AN54" si="54">AM54*(1+princ)</f>
        <v>1537391.739089017</v>
      </c>
      <c r="AO54" s="8">
        <f t="shared" ref="AO54" si="55">AN54*(1+princ)</f>
        <v>1583513.4912616876</v>
      </c>
      <c r="AP54" s="8">
        <f t="shared" ref="AP54" si="56">AO54*(1+princ)</f>
        <v>1631018.8959995382</v>
      </c>
      <c r="AQ54" s="8">
        <f t="shared" ref="AQ54" si="57">AP54*(1+princ)</f>
        <v>1679949.4628795243</v>
      </c>
      <c r="AR54" s="8">
        <f t="shared" ref="AR54" si="58">AQ54*(1+princ)</f>
        <v>1730347.9467659101</v>
      </c>
      <c r="AS54" s="8">
        <f t="shared" ref="AS54" si="59">AR54*(1+princ)</f>
        <v>1782258.3851688874</v>
      </c>
      <c r="AT54" s="8">
        <f t="shared" ref="AT54" si="60">AS54*(1+princ)</f>
        <v>1835726.136723954</v>
      </c>
      <c r="AU54" s="8">
        <f t="shared" ref="AU54" si="61">AT54*(1+princ)</f>
        <v>1890797.9208256726</v>
      </c>
      <c r="AV54" s="8">
        <f t="shared" ref="AV54:AW54" si="62">AU54*(1+princ)</f>
        <v>1947521.8584504428</v>
      </c>
      <c r="AW54" s="8">
        <f t="shared" si="62"/>
        <v>2005947.5142039561</v>
      </c>
    </row>
    <row r="55" spans="1:49" x14ac:dyDescent="0.2">
      <c r="A55" s="5" t="s">
        <v>56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">
      <c r="A56" s="4" t="str">
        <f>TEXT(Inputs!$B$50,"")</f>
        <v>Sliema</v>
      </c>
      <c r="C56" s="8">
        <f>Inputs!B51*(1+princ)</f>
        <v>309000</v>
      </c>
      <c r="D56" s="8">
        <f t="shared" ref="D56:AM56" si="63">C56*(1+princ)</f>
        <v>318270</v>
      </c>
      <c r="E56" s="8">
        <f t="shared" si="63"/>
        <v>327818.10000000003</v>
      </c>
      <c r="F56" s="8">
        <f t="shared" si="63"/>
        <v>337652.64300000004</v>
      </c>
      <c r="G56" s="8">
        <f t="shared" si="63"/>
        <v>347782.22229000006</v>
      </c>
      <c r="H56" s="8">
        <f t="shared" si="63"/>
        <v>358215.68895870005</v>
      </c>
      <c r="I56" s="8">
        <f t="shared" si="63"/>
        <v>368962.15962746105</v>
      </c>
      <c r="J56" s="8">
        <f t="shared" si="63"/>
        <v>380031.02441628487</v>
      </c>
      <c r="K56" s="8">
        <f t="shared" si="63"/>
        <v>391431.95514877344</v>
      </c>
      <c r="L56" s="8">
        <f t="shared" si="63"/>
        <v>403174.91380323668</v>
      </c>
      <c r="M56" s="8">
        <f t="shared" si="63"/>
        <v>415270.16121733381</v>
      </c>
      <c r="N56" s="8">
        <f t="shared" si="63"/>
        <v>427728.26605385385</v>
      </c>
      <c r="O56" s="8">
        <f t="shared" si="63"/>
        <v>440560.11403546948</v>
      </c>
      <c r="P56" s="8">
        <f t="shared" si="63"/>
        <v>453776.91745653359</v>
      </c>
      <c r="Q56" s="8">
        <f t="shared" si="63"/>
        <v>467390.22498022963</v>
      </c>
      <c r="R56" s="8">
        <f t="shared" si="63"/>
        <v>481411.9317296365</v>
      </c>
      <c r="S56" s="8">
        <f t="shared" si="63"/>
        <v>495854.28968152561</v>
      </c>
      <c r="T56" s="8">
        <f t="shared" si="63"/>
        <v>510729.91837197141</v>
      </c>
      <c r="U56" s="8">
        <f t="shared" si="63"/>
        <v>526051.81592313061</v>
      </c>
      <c r="V56" s="8">
        <f t="shared" si="63"/>
        <v>541833.37040082458</v>
      </c>
      <c r="W56" s="8">
        <f t="shared" si="63"/>
        <v>558088.37151284935</v>
      </c>
      <c r="X56" s="8">
        <f t="shared" si="63"/>
        <v>574831.02265823481</v>
      </c>
      <c r="Y56" s="8">
        <f t="shared" si="63"/>
        <v>592075.95333798183</v>
      </c>
      <c r="Z56" s="8">
        <f t="shared" si="63"/>
        <v>609838.23193812126</v>
      </c>
      <c r="AA56" s="8">
        <f t="shared" si="63"/>
        <v>628133.37889626494</v>
      </c>
      <c r="AB56" s="8">
        <f t="shared" si="63"/>
        <v>646977.38026315288</v>
      </c>
      <c r="AC56" s="8">
        <f t="shared" si="63"/>
        <v>666386.70167104749</v>
      </c>
      <c r="AD56" s="8">
        <f t="shared" si="63"/>
        <v>686378.30272117897</v>
      </c>
      <c r="AE56" s="8">
        <f t="shared" si="63"/>
        <v>706969.65180281433</v>
      </c>
      <c r="AF56" s="8">
        <f t="shared" si="63"/>
        <v>728178.7413568988</v>
      </c>
      <c r="AG56" s="8">
        <f t="shared" si="63"/>
        <v>750024.10359760583</v>
      </c>
      <c r="AH56" s="8">
        <f t="shared" si="63"/>
        <v>772524.82670553401</v>
      </c>
      <c r="AI56" s="8">
        <f t="shared" si="63"/>
        <v>795700.57150670001</v>
      </c>
      <c r="AJ56" s="8">
        <f t="shared" si="63"/>
        <v>819571.58865190099</v>
      </c>
      <c r="AK56" s="8">
        <f t="shared" si="63"/>
        <v>844158.73631145805</v>
      </c>
      <c r="AL56" s="8">
        <f t="shared" si="63"/>
        <v>869483.49840080179</v>
      </c>
      <c r="AM56" s="8">
        <f t="shared" si="63"/>
        <v>895568.00335282588</v>
      </c>
      <c r="AN56" s="8">
        <f t="shared" ref="AN56:AN58" si="64">AM56*(1+princ)</f>
        <v>922435.04345341073</v>
      </c>
      <c r="AO56" s="8">
        <f t="shared" ref="AO56:AO58" si="65">AN56*(1+princ)</f>
        <v>950108.09475701302</v>
      </c>
      <c r="AP56" s="8">
        <f t="shared" ref="AP56:AP58" si="66">AO56*(1+princ)</f>
        <v>978611.33759972348</v>
      </c>
      <c r="AQ56" s="8">
        <f t="shared" ref="AQ56:AQ58" si="67">AP56*(1+princ)</f>
        <v>1007969.6777277152</v>
      </c>
      <c r="AR56" s="8">
        <f t="shared" ref="AR56:AR58" si="68">AQ56*(1+princ)</f>
        <v>1038208.7680595467</v>
      </c>
      <c r="AS56" s="8">
        <f t="shared" ref="AS56:AS58" si="69">AR56*(1+princ)</f>
        <v>1069355.0311013332</v>
      </c>
      <c r="AT56" s="8">
        <f t="shared" ref="AT56:AT58" si="70">AS56*(1+princ)</f>
        <v>1101435.6820343733</v>
      </c>
      <c r="AU56" s="8">
        <f t="shared" ref="AU56:AU58" si="71">AT56*(1+princ)</f>
        <v>1134478.7524954046</v>
      </c>
      <c r="AV56" s="8">
        <f t="shared" ref="AV56:AW58" si="72">AU56*(1+princ)</f>
        <v>1168513.1150702666</v>
      </c>
      <c r="AW56" s="8">
        <f t="shared" si="72"/>
        <v>1203568.5085223748</v>
      </c>
    </row>
    <row r="57" spans="1:49" x14ac:dyDescent="0.2">
      <c r="A57" s="4" t="str">
        <f>TEXT(Inputs!$B$55,"")</f>
        <v/>
      </c>
      <c r="C57" s="8">
        <f>Inputs!B56*(1+princ)</f>
        <v>0</v>
      </c>
      <c r="D57" s="8">
        <f t="shared" ref="D57:AM57" si="73">C57*(1+princ)</f>
        <v>0</v>
      </c>
      <c r="E57" s="8">
        <f t="shared" si="73"/>
        <v>0</v>
      </c>
      <c r="F57" s="8">
        <f t="shared" si="73"/>
        <v>0</v>
      </c>
      <c r="G57" s="8">
        <f t="shared" si="73"/>
        <v>0</v>
      </c>
      <c r="H57" s="8">
        <f t="shared" si="73"/>
        <v>0</v>
      </c>
      <c r="I57" s="8">
        <f t="shared" si="73"/>
        <v>0</v>
      </c>
      <c r="J57" s="8">
        <f t="shared" si="73"/>
        <v>0</v>
      </c>
      <c r="K57" s="8">
        <f t="shared" si="73"/>
        <v>0</v>
      </c>
      <c r="L57" s="8">
        <f t="shared" si="73"/>
        <v>0</v>
      </c>
      <c r="M57" s="8">
        <f t="shared" si="73"/>
        <v>0</v>
      </c>
      <c r="N57" s="8">
        <f t="shared" si="73"/>
        <v>0</v>
      </c>
      <c r="O57" s="8">
        <f t="shared" si="73"/>
        <v>0</v>
      </c>
      <c r="P57" s="8">
        <f t="shared" si="73"/>
        <v>0</v>
      </c>
      <c r="Q57" s="8">
        <f t="shared" si="73"/>
        <v>0</v>
      </c>
      <c r="R57" s="8">
        <f t="shared" si="73"/>
        <v>0</v>
      </c>
      <c r="S57" s="8">
        <f t="shared" si="73"/>
        <v>0</v>
      </c>
      <c r="T57" s="8">
        <f t="shared" si="73"/>
        <v>0</v>
      </c>
      <c r="U57" s="8">
        <f t="shared" si="73"/>
        <v>0</v>
      </c>
      <c r="V57" s="8">
        <f t="shared" si="73"/>
        <v>0</v>
      </c>
      <c r="W57" s="8">
        <f t="shared" si="73"/>
        <v>0</v>
      </c>
      <c r="X57" s="8">
        <f t="shared" si="73"/>
        <v>0</v>
      </c>
      <c r="Y57" s="8">
        <f t="shared" si="73"/>
        <v>0</v>
      </c>
      <c r="Z57" s="8">
        <f t="shared" si="73"/>
        <v>0</v>
      </c>
      <c r="AA57" s="8">
        <f t="shared" si="73"/>
        <v>0</v>
      </c>
      <c r="AB57" s="8">
        <f t="shared" si="73"/>
        <v>0</v>
      </c>
      <c r="AC57" s="8">
        <f t="shared" si="73"/>
        <v>0</v>
      </c>
      <c r="AD57" s="8">
        <f t="shared" si="73"/>
        <v>0</v>
      </c>
      <c r="AE57" s="8">
        <f t="shared" si="73"/>
        <v>0</v>
      </c>
      <c r="AF57" s="8">
        <f t="shared" si="73"/>
        <v>0</v>
      </c>
      <c r="AG57" s="8">
        <f t="shared" si="73"/>
        <v>0</v>
      </c>
      <c r="AH57" s="8">
        <f t="shared" si="73"/>
        <v>0</v>
      </c>
      <c r="AI57" s="8">
        <f t="shared" si="73"/>
        <v>0</v>
      </c>
      <c r="AJ57" s="8">
        <f t="shared" si="73"/>
        <v>0</v>
      </c>
      <c r="AK57" s="8">
        <f t="shared" si="73"/>
        <v>0</v>
      </c>
      <c r="AL57" s="8">
        <f t="shared" si="73"/>
        <v>0</v>
      </c>
      <c r="AM57" s="8">
        <f t="shared" si="73"/>
        <v>0</v>
      </c>
      <c r="AN57" s="8">
        <f t="shared" si="64"/>
        <v>0</v>
      </c>
      <c r="AO57" s="8">
        <f t="shared" si="65"/>
        <v>0</v>
      </c>
      <c r="AP57" s="8">
        <f t="shared" si="66"/>
        <v>0</v>
      </c>
      <c r="AQ57" s="8">
        <f t="shared" si="67"/>
        <v>0</v>
      </c>
      <c r="AR57" s="8">
        <f t="shared" si="68"/>
        <v>0</v>
      </c>
      <c r="AS57" s="8">
        <f t="shared" si="69"/>
        <v>0</v>
      </c>
      <c r="AT57" s="8">
        <f t="shared" si="70"/>
        <v>0</v>
      </c>
      <c r="AU57" s="8">
        <f t="shared" si="71"/>
        <v>0</v>
      </c>
      <c r="AV57" s="8">
        <f t="shared" si="72"/>
        <v>0</v>
      </c>
      <c r="AW57" s="8">
        <f t="shared" si="72"/>
        <v>0</v>
      </c>
    </row>
    <row r="58" spans="1:49" x14ac:dyDescent="0.2">
      <c r="A58" s="4" t="str">
        <f>TEXT(Inputs!$B$60,"")</f>
        <v/>
      </c>
      <c r="C58" s="8">
        <f>Inputs!B61*(1+princ)</f>
        <v>0</v>
      </c>
      <c r="D58" s="8">
        <f t="shared" ref="D58:AM58" si="74">C58*(1+princ)</f>
        <v>0</v>
      </c>
      <c r="E58" s="8">
        <f t="shared" si="74"/>
        <v>0</v>
      </c>
      <c r="F58" s="8">
        <f t="shared" si="74"/>
        <v>0</v>
      </c>
      <c r="G58" s="8">
        <f t="shared" si="74"/>
        <v>0</v>
      </c>
      <c r="H58" s="8">
        <f t="shared" si="74"/>
        <v>0</v>
      </c>
      <c r="I58" s="8">
        <f t="shared" si="74"/>
        <v>0</v>
      </c>
      <c r="J58" s="8">
        <f t="shared" si="74"/>
        <v>0</v>
      </c>
      <c r="K58" s="8">
        <f t="shared" si="74"/>
        <v>0</v>
      </c>
      <c r="L58" s="8">
        <f t="shared" si="74"/>
        <v>0</v>
      </c>
      <c r="M58" s="8">
        <f t="shared" si="74"/>
        <v>0</v>
      </c>
      <c r="N58" s="8">
        <f t="shared" si="74"/>
        <v>0</v>
      </c>
      <c r="O58" s="8">
        <f t="shared" si="74"/>
        <v>0</v>
      </c>
      <c r="P58" s="8">
        <f t="shared" si="74"/>
        <v>0</v>
      </c>
      <c r="Q58" s="8">
        <f t="shared" si="74"/>
        <v>0</v>
      </c>
      <c r="R58" s="8">
        <f t="shared" si="74"/>
        <v>0</v>
      </c>
      <c r="S58" s="8">
        <f t="shared" si="74"/>
        <v>0</v>
      </c>
      <c r="T58" s="8">
        <f t="shared" si="74"/>
        <v>0</v>
      </c>
      <c r="U58" s="8">
        <f t="shared" si="74"/>
        <v>0</v>
      </c>
      <c r="V58" s="8">
        <f t="shared" si="74"/>
        <v>0</v>
      </c>
      <c r="W58" s="8">
        <f t="shared" si="74"/>
        <v>0</v>
      </c>
      <c r="X58" s="8">
        <f t="shared" si="74"/>
        <v>0</v>
      </c>
      <c r="Y58" s="8">
        <f t="shared" si="74"/>
        <v>0</v>
      </c>
      <c r="Z58" s="8">
        <f t="shared" si="74"/>
        <v>0</v>
      </c>
      <c r="AA58" s="8">
        <f t="shared" si="74"/>
        <v>0</v>
      </c>
      <c r="AB58" s="8">
        <f t="shared" si="74"/>
        <v>0</v>
      </c>
      <c r="AC58" s="8">
        <f t="shared" si="74"/>
        <v>0</v>
      </c>
      <c r="AD58" s="8">
        <f t="shared" si="74"/>
        <v>0</v>
      </c>
      <c r="AE58" s="8">
        <f t="shared" si="74"/>
        <v>0</v>
      </c>
      <c r="AF58" s="8">
        <f t="shared" si="74"/>
        <v>0</v>
      </c>
      <c r="AG58" s="8">
        <f t="shared" si="74"/>
        <v>0</v>
      </c>
      <c r="AH58" s="8">
        <f t="shared" si="74"/>
        <v>0</v>
      </c>
      <c r="AI58" s="8">
        <f t="shared" si="74"/>
        <v>0</v>
      </c>
      <c r="AJ58" s="8">
        <f t="shared" si="74"/>
        <v>0</v>
      </c>
      <c r="AK58" s="8">
        <f t="shared" si="74"/>
        <v>0</v>
      </c>
      <c r="AL58" s="8">
        <f t="shared" si="74"/>
        <v>0</v>
      </c>
      <c r="AM58" s="8">
        <f t="shared" si="74"/>
        <v>0</v>
      </c>
      <c r="AN58" s="8">
        <f t="shared" si="64"/>
        <v>0</v>
      </c>
      <c r="AO58" s="8">
        <f t="shared" si="65"/>
        <v>0</v>
      </c>
      <c r="AP58" s="8">
        <f t="shared" si="66"/>
        <v>0</v>
      </c>
      <c r="AQ58" s="8">
        <f t="shared" si="67"/>
        <v>0</v>
      </c>
      <c r="AR58" s="8">
        <f t="shared" si="68"/>
        <v>0</v>
      </c>
      <c r="AS58" s="8">
        <f t="shared" si="69"/>
        <v>0</v>
      </c>
      <c r="AT58" s="8">
        <f t="shared" si="70"/>
        <v>0</v>
      </c>
      <c r="AU58" s="8">
        <f t="shared" si="71"/>
        <v>0</v>
      </c>
      <c r="AV58" s="8">
        <f t="shared" si="72"/>
        <v>0</v>
      </c>
      <c r="AW58" s="8">
        <f t="shared" si="72"/>
        <v>0</v>
      </c>
    </row>
    <row r="59" spans="1:49" x14ac:dyDescent="0.2">
      <c r="A59" s="5" t="s">
        <v>12</v>
      </c>
      <c r="C59" s="8">
        <f>Inputs!B10*(1+stinc)</f>
        <v>54000</v>
      </c>
      <c r="D59" s="8">
        <f>C59*(1+stinc)</f>
        <v>58320.000000000007</v>
      </c>
      <c r="E59" s="8">
        <f t="shared" ref="E59:AM59" si="75">D59*(1+stinc)</f>
        <v>62985.600000000013</v>
      </c>
      <c r="F59" s="8">
        <f t="shared" si="75"/>
        <v>68024.448000000019</v>
      </c>
      <c r="G59" s="8">
        <f t="shared" si="75"/>
        <v>73466.403840000028</v>
      </c>
      <c r="H59" s="8">
        <f t="shared" si="75"/>
        <v>79343.71614720003</v>
      </c>
      <c r="I59" s="8">
        <f t="shared" si="75"/>
        <v>85691.213438976032</v>
      </c>
      <c r="J59" s="8">
        <f t="shared" si="75"/>
        <v>92546.510514094116</v>
      </c>
      <c r="K59" s="8">
        <f t="shared" si="75"/>
        <v>99950.231355221651</v>
      </c>
      <c r="L59" s="8">
        <f t="shared" si="75"/>
        <v>107946.24986363939</v>
      </c>
      <c r="M59" s="8">
        <f t="shared" si="75"/>
        <v>116581.94985273054</v>
      </c>
      <c r="N59" s="8">
        <f t="shared" si="75"/>
        <v>125908.50584094899</v>
      </c>
      <c r="O59" s="8">
        <f t="shared" si="75"/>
        <v>135981.18630822492</v>
      </c>
      <c r="P59" s="8">
        <f t="shared" si="75"/>
        <v>146859.68121288292</v>
      </c>
      <c r="Q59" s="8">
        <f t="shared" si="75"/>
        <v>158608.45570991357</v>
      </c>
      <c r="R59" s="8">
        <f t="shared" si="75"/>
        <v>171297.13216670667</v>
      </c>
      <c r="S59" s="8">
        <f t="shared" si="75"/>
        <v>185000.90274004321</v>
      </c>
      <c r="T59" s="8">
        <f t="shared" si="75"/>
        <v>199800.97495924667</v>
      </c>
      <c r="U59" s="8">
        <f t="shared" si="75"/>
        <v>215785.05295598641</v>
      </c>
      <c r="V59" s="8">
        <f t="shared" si="75"/>
        <v>233047.85719246534</v>
      </c>
      <c r="W59" s="8">
        <f t="shared" si="75"/>
        <v>251691.68576786257</v>
      </c>
      <c r="X59" s="8">
        <f t="shared" si="75"/>
        <v>271827.0206292916</v>
      </c>
      <c r="Y59" s="8">
        <f t="shared" si="75"/>
        <v>293573.18227963493</v>
      </c>
      <c r="Z59" s="8">
        <f t="shared" si="75"/>
        <v>317059.03686200577</v>
      </c>
      <c r="AA59" s="8">
        <f t="shared" si="75"/>
        <v>342423.75981096626</v>
      </c>
      <c r="AB59" s="8">
        <f t="shared" si="75"/>
        <v>369817.66059584357</v>
      </c>
      <c r="AC59" s="8">
        <f t="shared" si="75"/>
        <v>399403.07344351109</v>
      </c>
      <c r="AD59" s="8">
        <f t="shared" si="75"/>
        <v>431355.31931899203</v>
      </c>
      <c r="AE59" s="8">
        <f t="shared" si="75"/>
        <v>465863.74486451142</v>
      </c>
      <c r="AF59" s="8">
        <f t="shared" si="75"/>
        <v>503132.84445367235</v>
      </c>
      <c r="AG59" s="8">
        <f t="shared" si="75"/>
        <v>543383.47200996615</v>
      </c>
      <c r="AH59" s="8">
        <f t="shared" si="75"/>
        <v>586854.14977076347</v>
      </c>
      <c r="AI59" s="8">
        <f t="shared" si="75"/>
        <v>633802.48175242462</v>
      </c>
      <c r="AJ59" s="8">
        <f t="shared" si="75"/>
        <v>684506.68029261858</v>
      </c>
      <c r="AK59" s="8">
        <f t="shared" si="75"/>
        <v>739267.21471602807</v>
      </c>
      <c r="AL59" s="8">
        <f t="shared" si="75"/>
        <v>798408.59189331043</v>
      </c>
      <c r="AM59" s="8">
        <f t="shared" si="75"/>
        <v>862281.2792447753</v>
      </c>
      <c r="AN59" s="8">
        <f t="shared" ref="AN59" si="76">AM59*(1+stinc)</f>
        <v>931263.78158435738</v>
      </c>
      <c r="AO59" s="8">
        <f t="shared" ref="AO59" si="77">AN59*(1+stinc)</f>
        <v>1005764.884111106</v>
      </c>
      <c r="AP59" s="8">
        <f t="shared" ref="AP59" si="78">AO59*(1+stinc)</f>
        <v>1086226.0748399945</v>
      </c>
      <c r="AQ59" s="8">
        <f t="shared" ref="AQ59" si="79">AP59*(1+stinc)</f>
        <v>1173124.1608271941</v>
      </c>
      <c r="AR59" s="8">
        <f t="shared" ref="AR59" si="80">AQ59*(1+stinc)</f>
        <v>1266974.0936933698</v>
      </c>
      <c r="AS59" s="8">
        <f t="shared" ref="AS59" si="81">AR59*(1+stinc)</f>
        <v>1368332.0211888393</v>
      </c>
      <c r="AT59" s="8">
        <f t="shared" ref="AT59" si="82">AS59*(1+stinc)</f>
        <v>1477798.5828839466</v>
      </c>
      <c r="AU59" s="8">
        <f t="shared" ref="AU59" si="83">AT59*(1+stinc)</f>
        <v>1596022.4695146624</v>
      </c>
      <c r="AV59" s="8">
        <f t="shared" ref="AV59:AW59" si="84">AU59*(1+stinc)</f>
        <v>1723704.2670758355</v>
      </c>
      <c r="AW59" s="8">
        <f t="shared" si="84"/>
        <v>1861600.6084419026</v>
      </c>
    </row>
    <row r="60" spans="1:49" x14ac:dyDescent="0.2">
      <c r="A60" s="5" t="s">
        <v>2</v>
      </c>
      <c r="C60" s="8">
        <f>-MAX(FV(Inputs!$B16/12,C$1*12,Inputs!$B17,-Inputs!$B15),0)</f>
        <v>-113916.80861729867</v>
      </c>
      <c r="D60" s="8">
        <f>-MAX(FV(Inputs!$B16/12,D$1*12,Inputs!$B17,-Inputs!$B15),0)</f>
        <v>-107648.59114760446</v>
      </c>
      <c r="E60" s="8">
        <f>-MAX(FV(Inputs!$B16/12,E$1*12,Inputs!$B17,-Inputs!$B15),0)</f>
        <v>-101189.71984542748</v>
      </c>
      <c r="F60" s="8">
        <f>-MAX(FV(Inputs!$B16/12,F$1*12,Inputs!$B17,-Inputs!$B15),0)</f>
        <v>-94534.39579201366</v>
      </c>
      <c r="G60" s="8">
        <f>-MAX(FV(Inputs!$B16/12,G$1*12,Inputs!$B17,-Inputs!$B15),0)</f>
        <v>-87676.643688945813</v>
      </c>
      <c r="H60" s="8">
        <f>-MAX(FV(Inputs!$B16/12,H$1*12,Inputs!$B17,-Inputs!$B15),0)</f>
        <v>-80610.306493387528</v>
      </c>
      <c r="I60" s="8">
        <f>-MAX(FV(Inputs!$B16/12,I$1*12,Inputs!$B17,-Inputs!$B15),0)</f>
        <v>-73329.039890152781</v>
      </c>
      <c r="J60" s="8">
        <f>-MAX(FV(Inputs!$B16/12,J$1*12,Inputs!$B17,-Inputs!$B15),0)</f>
        <v>-65826.306595638322</v>
      </c>
      <c r="K60" s="8">
        <f>-MAX(FV(Inputs!$B16/12,K$1*12,Inputs!$B17,-Inputs!$B15),0)</f>
        <v>-58095.370488504399</v>
      </c>
      <c r="L60" s="8">
        <f>-MAX(FV(Inputs!$B16/12,L$1*12,Inputs!$B17,-Inputs!$B15),0)</f>
        <v>-50129.29056183486</v>
      </c>
      <c r="M60" s="8">
        <f>-MAX(FV(Inputs!$B16/12,M$1*12,Inputs!$B17,-Inputs!$B15),0)</f>
        <v>-41920.914691346072</v>
      </c>
      <c r="N60" s="8">
        <f>-MAX(FV(Inputs!$B16/12,N$1*12,Inputs!$B17,-Inputs!$B15),0)</f>
        <v>-33462.873214050662</v>
      </c>
      <c r="O60" s="8">
        <f>-MAX(FV(Inputs!$B16/12,O$1*12,Inputs!$B17,-Inputs!$B15),0)</f>
        <v>-24747.572311609256</v>
      </c>
      <c r="P60" s="8">
        <f>-MAX(FV(Inputs!$B16/12,P$1*12,Inputs!$B17,-Inputs!$B15),0)</f>
        <v>-15767.187192430836</v>
      </c>
      <c r="Q60" s="8">
        <f>-MAX(FV(Inputs!$B16/12,Q$1*12,Inputs!$B17,-Inputs!$B15),0)</f>
        <v>-6513.6550664008246</v>
      </c>
      <c r="R60" s="8">
        <f>-MAX(FV(Inputs!$B16/12,R$1*12,Inputs!$B17,-Inputs!$B15),0)</f>
        <v>0</v>
      </c>
      <c r="S60" s="8">
        <f>-MAX(FV(Inputs!$B16/12,S$1*12,Inputs!$B17,-Inputs!$B15),0)</f>
        <v>0</v>
      </c>
      <c r="T60" s="8">
        <f>-MAX(FV(Inputs!$B16/12,T$1*12,Inputs!$B17,-Inputs!$B15),0)</f>
        <v>0</v>
      </c>
      <c r="U60" s="8">
        <f>-MAX(FV(Inputs!$B16/12,U$1*12,Inputs!$B17,-Inputs!$B15),0)</f>
        <v>0</v>
      </c>
      <c r="V60" s="8">
        <f>-MAX(FV(Inputs!$B16/12,V$1*12,Inputs!$B17,-Inputs!$B15),0)</f>
        <v>0</v>
      </c>
      <c r="W60" s="8">
        <f>-MAX(FV(Inputs!$B16/12,W$1*12,Inputs!$B17,-Inputs!$B15),0)</f>
        <v>0</v>
      </c>
      <c r="X60" s="8">
        <f>-MAX(FV(Inputs!$B16/12,X$1*12,Inputs!$B17,-Inputs!$B15),0)</f>
        <v>0</v>
      </c>
      <c r="Y60" s="8">
        <f>-MAX(FV(Inputs!$B16/12,Y$1*12,Inputs!$B17,-Inputs!$B15),0)</f>
        <v>0</v>
      </c>
      <c r="Z60" s="8">
        <f>-MAX(FV(Inputs!$B16/12,Z$1*12,Inputs!$B17,-Inputs!$B15),0)</f>
        <v>0</v>
      </c>
      <c r="AA60" s="8">
        <f>-MAX(FV(Inputs!$B16/12,AA$1*12,Inputs!$B17,-Inputs!$B15),0)</f>
        <v>0</v>
      </c>
      <c r="AB60" s="8">
        <f>-MAX(FV(Inputs!$B16/12,AB$1*12,Inputs!$B17,-Inputs!$B15),0)</f>
        <v>0</v>
      </c>
      <c r="AC60" s="8">
        <f>-MAX(FV(Inputs!$B16/12,AC$1*12,Inputs!$B17,-Inputs!$B15),0)</f>
        <v>0</v>
      </c>
      <c r="AD60" s="8">
        <f>-MAX(FV(Inputs!$B16/12,AD$1*12,Inputs!$B17,-Inputs!$B15),0)</f>
        <v>0</v>
      </c>
      <c r="AE60" s="8">
        <f>-MAX(FV(Inputs!$B16/12,AE$1*12,Inputs!$B17,-Inputs!$B15),0)</f>
        <v>0</v>
      </c>
      <c r="AF60" s="8">
        <f>-MAX(FV(Inputs!$B16/12,AF$1*12,Inputs!$B17,-Inputs!$B15),0)</f>
        <v>0</v>
      </c>
      <c r="AG60" s="8">
        <f>-MAX(FV(Inputs!$B16/12,AG$1*12,Inputs!$B17,-Inputs!$B15),0)</f>
        <v>0</v>
      </c>
      <c r="AH60" s="8">
        <f>-MAX(FV(Inputs!$B16/12,AH$1*12,Inputs!$B17,-Inputs!$B15),0)</f>
        <v>0</v>
      </c>
      <c r="AI60" s="8">
        <f>-MAX(FV(Inputs!$B16/12,AI$1*12,Inputs!$B17,-Inputs!$B15),0)</f>
        <v>0</v>
      </c>
      <c r="AJ60" s="8">
        <f>-MAX(FV(Inputs!$B16/12,AJ$1*12,Inputs!$B17,-Inputs!$B15),0)</f>
        <v>0</v>
      </c>
      <c r="AK60" s="8">
        <f>-MAX(FV(Inputs!$B16/12,AK$1*12,Inputs!$B17,-Inputs!$B15),0)</f>
        <v>0</v>
      </c>
      <c r="AL60" s="8">
        <f>-MAX(FV(Inputs!$B16/12,AL$1*12,Inputs!$B17,-Inputs!$B15),0)</f>
        <v>0</v>
      </c>
      <c r="AM60" s="8">
        <f>-MAX(FV(Inputs!$B16/12,AM$1*12,Inputs!$B17,-Inputs!$B15),0)</f>
        <v>0</v>
      </c>
      <c r="AN60" s="8">
        <f>-MAX(FV(Inputs!$B16/12,AN$1*12,Inputs!$B17,-Inputs!$B15),0)</f>
        <v>0</v>
      </c>
      <c r="AO60" s="8">
        <f>-MAX(FV(Inputs!$B16/12,AO$1*12,Inputs!$B17,-Inputs!$B15),0)</f>
        <v>0</v>
      </c>
      <c r="AP60" s="8">
        <f>-MAX(FV(Inputs!$B16/12,AP$1*12,Inputs!$B17,-Inputs!$B15),0)</f>
        <v>0</v>
      </c>
      <c r="AQ60" s="8">
        <f>-MAX(FV(Inputs!$B16/12,AQ$1*12,Inputs!$B17,-Inputs!$B15),0)</f>
        <v>0</v>
      </c>
      <c r="AR60" s="8">
        <f>-MAX(FV(Inputs!$B16/12,AR$1*12,Inputs!$B17,-Inputs!$B15),0)</f>
        <v>0</v>
      </c>
      <c r="AS60" s="8">
        <f>-MAX(FV(Inputs!$B16/12,AS$1*12,Inputs!$B17,-Inputs!$B15),0)</f>
        <v>0</v>
      </c>
      <c r="AT60" s="8">
        <f>-MAX(FV(Inputs!$B16/12,AT$1*12,Inputs!$B17,-Inputs!$B15),0)</f>
        <v>0</v>
      </c>
      <c r="AU60" s="8">
        <f>-MAX(FV(Inputs!$B16/12,AU$1*12,Inputs!$B17,-Inputs!$B15),0)</f>
        <v>0</v>
      </c>
      <c r="AV60" s="8">
        <f>-MAX(FV(Inputs!$B16/12,AV$1*12,Inputs!$B17,-Inputs!$B15),0)</f>
        <v>0</v>
      </c>
      <c r="AW60" s="8">
        <f>-MAX(FV(Inputs!$B16/12,AW$1*12,Inputs!$B17,-Inputs!$B15),0)</f>
        <v>0</v>
      </c>
    </row>
    <row r="61" spans="1:49" x14ac:dyDescent="0.2">
      <c r="A61" s="5" t="s">
        <v>65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">
      <c r="A62" s="4" t="str">
        <f>TEXT(Inputs!$B$50,"")</f>
        <v>Sliema</v>
      </c>
      <c r="C62" s="8">
        <f>-MAX(FV(Inputs!$B79/12,C$1*12,Inputs!$B80,-Inputs!$B78),0)</f>
        <v>0</v>
      </c>
      <c r="D62" s="8">
        <f>-MAX(FV(Inputs!$B79/12,D$1*12,Inputs!$B80,-Inputs!$B78),0)</f>
        <v>0</v>
      </c>
      <c r="E62" s="8">
        <f>-MAX(FV(Inputs!$B79/12,E$1*12,Inputs!$B80,-Inputs!$B78),0)</f>
        <v>0</v>
      </c>
      <c r="F62" s="8">
        <f>-MAX(FV(Inputs!$B79/12,F$1*12,Inputs!$B80,-Inputs!$B78),0)</f>
        <v>0</v>
      </c>
      <c r="G62" s="8">
        <f>-MAX(FV(Inputs!$B79/12,G$1*12,Inputs!$B80,-Inputs!$B78),0)</f>
        <v>0</v>
      </c>
      <c r="H62" s="8">
        <f>-MAX(FV(Inputs!$B79/12,H$1*12,Inputs!$B80,-Inputs!$B78),0)</f>
        <v>0</v>
      </c>
      <c r="I62" s="8">
        <f>-MAX(FV(Inputs!$B79/12,I$1*12,Inputs!$B80,-Inputs!$B78),0)</f>
        <v>0</v>
      </c>
      <c r="J62" s="8">
        <f>-MAX(FV(Inputs!$B79/12,J$1*12,Inputs!$B80,-Inputs!$B78),0)</f>
        <v>0</v>
      </c>
      <c r="K62" s="8">
        <f>-MAX(FV(Inputs!$B79/12,K$1*12,Inputs!$B80,-Inputs!$B78),0)</f>
        <v>0</v>
      </c>
      <c r="L62" s="8">
        <f>-MAX(FV(Inputs!$B79/12,L$1*12,Inputs!$B80,-Inputs!$B78),0)</f>
        <v>0</v>
      </c>
      <c r="M62" s="8">
        <f>-MAX(FV(Inputs!$B79/12,M$1*12,Inputs!$B80,-Inputs!$B78),0)</f>
        <v>0</v>
      </c>
      <c r="N62" s="8">
        <f>-MAX(FV(Inputs!$B79/12,N$1*12,Inputs!$B80,-Inputs!$B78),0)</f>
        <v>0</v>
      </c>
      <c r="O62" s="8">
        <f>-MAX(FV(Inputs!$B79/12,O$1*12,Inputs!$B80,-Inputs!$B78),0)</f>
        <v>0</v>
      </c>
      <c r="P62" s="8">
        <f>-MAX(FV(Inputs!$B79/12,P$1*12,Inputs!$B80,-Inputs!$B78),0)</f>
        <v>0</v>
      </c>
      <c r="Q62" s="8">
        <f>-MAX(FV(Inputs!$B79/12,Q$1*12,Inputs!$B80,-Inputs!$B78),0)</f>
        <v>0</v>
      </c>
      <c r="R62" s="8">
        <f>-MAX(FV(Inputs!$B79/12,R$1*12,Inputs!$B80,-Inputs!$B78),0)</f>
        <v>0</v>
      </c>
      <c r="S62" s="8">
        <f>-MAX(FV(Inputs!$B79/12,S$1*12,Inputs!$B80,-Inputs!$B78),0)</f>
        <v>0</v>
      </c>
      <c r="T62" s="8">
        <f>-MAX(FV(Inputs!$B79/12,T$1*12,Inputs!$B80,-Inputs!$B78),0)</f>
        <v>0</v>
      </c>
      <c r="U62" s="8">
        <f>-MAX(FV(Inputs!$B79/12,U$1*12,Inputs!$B80,-Inputs!$B78),0)</f>
        <v>0</v>
      </c>
      <c r="V62" s="8">
        <f>-MAX(FV(Inputs!$B79/12,V$1*12,Inputs!$B80,-Inputs!$B78),0)</f>
        <v>0</v>
      </c>
      <c r="W62" s="8">
        <f>-MAX(FV(Inputs!$B79/12,W$1*12,Inputs!$B80,-Inputs!$B78),0)</f>
        <v>0</v>
      </c>
      <c r="X62" s="8">
        <f>-MAX(FV(Inputs!$B79/12,X$1*12,Inputs!$B80,-Inputs!$B78),0)</f>
        <v>0</v>
      </c>
      <c r="Y62" s="8">
        <f>-MAX(FV(Inputs!$B79/12,Y$1*12,Inputs!$B80,-Inputs!$B78),0)</f>
        <v>0</v>
      </c>
      <c r="Z62" s="8">
        <f>-MAX(FV(Inputs!$B79/12,Z$1*12,Inputs!$B80,-Inputs!$B78),0)</f>
        <v>0</v>
      </c>
      <c r="AA62" s="8">
        <f>-MAX(FV(Inputs!$B79/12,AA$1*12,Inputs!$B80,-Inputs!$B78),0)</f>
        <v>0</v>
      </c>
      <c r="AB62" s="8">
        <f>-MAX(FV(Inputs!$B79/12,AB$1*12,Inputs!$B80,-Inputs!$B78),0)</f>
        <v>0</v>
      </c>
      <c r="AC62" s="8">
        <f>-MAX(FV(Inputs!$B79/12,AC$1*12,Inputs!$B80,-Inputs!$B78),0)</f>
        <v>0</v>
      </c>
      <c r="AD62" s="8">
        <f>-MAX(FV(Inputs!$B79/12,AD$1*12,Inputs!$B80,-Inputs!$B78),0)</f>
        <v>0</v>
      </c>
      <c r="AE62" s="8">
        <f>-MAX(FV(Inputs!$B79/12,AE$1*12,Inputs!$B80,-Inputs!$B78),0)</f>
        <v>0</v>
      </c>
      <c r="AF62" s="8">
        <f>-MAX(FV(Inputs!$B79/12,AF$1*12,Inputs!$B80,-Inputs!$B78),0)</f>
        <v>0</v>
      </c>
      <c r="AG62" s="8">
        <f>-MAX(FV(Inputs!$B79/12,AG$1*12,Inputs!$B80,-Inputs!$B78),0)</f>
        <v>0</v>
      </c>
      <c r="AH62" s="8">
        <f>-MAX(FV(Inputs!$B79/12,AH$1*12,Inputs!$B80,-Inputs!$B78),0)</f>
        <v>0</v>
      </c>
      <c r="AI62" s="8">
        <f>-MAX(FV(Inputs!$B79/12,AI$1*12,Inputs!$B80,-Inputs!$B78),0)</f>
        <v>0</v>
      </c>
      <c r="AJ62" s="8">
        <f>-MAX(FV(Inputs!$B79/12,AJ$1*12,Inputs!$B80,-Inputs!$B78),0)</f>
        <v>0</v>
      </c>
      <c r="AK62" s="8">
        <f>-MAX(FV(Inputs!$B79/12,AK$1*12,Inputs!$B80,-Inputs!$B78),0)</f>
        <v>0</v>
      </c>
      <c r="AL62" s="8">
        <f>-MAX(FV(Inputs!$B79/12,AL$1*12,Inputs!$B80,-Inputs!$B78),0)</f>
        <v>0</v>
      </c>
      <c r="AM62" s="8">
        <f>-MAX(FV(Inputs!$B79/12,AM$1*12,Inputs!$B80,-Inputs!$B78),0)</f>
        <v>0</v>
      </c>
      <c r="AN62" s="8">
        <f>-MAX(FV(Inputs!$B79/12,AN$1*12,Inputs!$B80,-Inputs!$B78),0)</f>
        <v>0</v>
      </c>
      <c r="AO62" s="8">
        <f>-MAX(FV(Inputs!$B79/12,AO$1*12,Inputs!$B80,-Inputs!$B78),0)</f>
        <v>0</v>
      </c>
      <c r="AP62" s="8">
        <f>-MAX(FV(Inputs!$B79/12,AP$1*12,Inputs!$B80,-Inputs!$B78),0)</f>
        <v>0</v>
      </c>
      <c r="AQ62" s="8">
        <f>-MAX(FV(Inputs!$B79/12,AQ$1*12,Inputs!$B80,-Inputs!$B78),0)</f>
        <v>0</v>
      </c>
      <c r="AR62" s="8">
        <f>-MAX(FV(Inputs!$B79/12,AR$1*12,Inputs!$B80,-Inputs!$B78),0)</f>
        <v>0</v>
      </c>
      <c r="AS62" s="8">
        <f>-MAX(FV(Inputs!$B79/12,AS$1*12,Inputs!$B80,-Inputs!$B78),0)</f>
        <v>0</v>
      </c>
      <c r="AT62" s="8">
        <f>-MAX(FV(Inputs!$B79/12,AT$1*12,Inputs!$B80,-Inputs!$B78),0)</f>
        <v>0</v>
      </c>
      <c r="AU62" s="8">
        <f>-MAX(FV(Inputs!$B79/12,AU$1*12,Inputs!$B80,-Inputs!$B78),0)</f>
        <v>0</v>
      </c>
      <c r="AV62" s="8">
        <f>-MAX(FV(Inputs!$B79/12,AV$1*12,Inputs!$B80,-Inputs!$B78),0)</f>
        <v>0</v>
      </c>
      <c r="AW62" s="8">
        <f>-MAX(FV(Inputs!$B79/12,AW$1*12,Inputs!$B80,-Inputs!$B78),0)</f>
        <v>0</v>
      </c>
    </row>
    <row r="63" spans="1:49" x14ac:dyDescent="0.2">
      <c r="A63" s="4" t="str">
        <f>TEXT(Inputs!$B$55,"")</f>
        <v/>
      </c>
      <c r="C63" s="8">
        <f>-MAX(FV(Inputs!$B84/12,C$1*12,Inputs!$B85,-Inputs!$B83),0)</f>
        <v>0</v>
      </c>
      <c r="D63" s="8">
        <f>-MAX(FV(Inputs!$B84/12,D$1*12,Inputs!$B85,-Inputs!$B83),0)</f>
        <v>0</v>
      </c>
      <c r="E63" s="8">
        <f>-MAX(FV(Inputs!$B84/12,E$1*12,Inputs!$B85,-Inputs!$B83),0)</f>
        <v>0</v>
      </c>
      <c r="F63" s="8">
        <f>-MAX(FV(Inputs!$B84/12,F$1*12,Inputs!$B85,-Inputs!$B83),0)</f>
        <v>0</v>
      </c>
      <c r="G63" s="8">
        <f>-MAX(FV(Inputs!$B84/12,G$1*12,Inputs!$B85,-Inputs!$B83),0)</f>
        <v>0</v>
      </c>
      <c r="H63" s="8">
        <f>-MAX(FV(Inputs!$B84/12,H$1*12,Inputs!$B85,-Inputs!$B83),0)</f>
        <v>0</v>
      </c>
      <c r="I63" s="8">
        <f>-MAX(FV(Inputs!$B84/12,I$1*12,Inputs!$B85,-Inputs!$B83),0)</f>
        <v>0</v>
      </c>
      <c r="J63" s="8">
        <f>-MAX(FV(Inputs!$B84/12,J$1*12,Inputs!$B85,-Inputs!$B83),0)</f>
        <v>0</v>
      </c>
      <c r="K63" s="8">
        <f>-MAX(FV(Inputs!$B84/12,K$1*12,Inputs!$B85,-Inputs!$B83),0)</f>
        <v>0</v>
      </c>
      <c r="L63" s="8">
        <f>-MAX(FV(Inputs!$B84/12,L$1*12,Inputs!$B85,-Inputs!$B83),0)</f>
        <v>0</v>
      </c>
      <c r="M63" s="8">
        <f>-MAX(FV(Inputs!$B84/12,M$1*12,Inputs!$B85,-Inputs!$B83),0)</f>
        <v>0</v>
      </c>
      <c r="N63" s="8">
        <f>-MAX(FV(Inputs!$B84/12,N$1*12,Inputs!$B85,-Inputs!$B83),0)</f>
        <v>0</v>
      </c>
      <c r="O63" s="8">
        <f>-MAX(FV(Inputs!$B84/12,O$1*12,Inputs!$B85,-Inputs!$B83),0)</f>
        <v>0</v>
      </c>
      <c r="P63" s="8">
        <f>-MAX(FV(Inputs!$B84/12,P$1*12,Inputs!$B85,-Inputs!$B83),0)</f>
        <v>0</v>
      </c>
      <c r="Q63" s="8">
        <f>-MAX(FV(Inputs!$B84/12,Q$1*12,Inputs!$B85,-Inputs!$B83),0)</f>
        <v>0</v>
      </c>
      <c r="R63" s="8">
        <f>-MAX(FV(Inputs!$B84/12,R$1*12,Inputs!$B85,-Inputs!$B83),0)</f>
        <v>0</v>
      </c>
      <c r="S63" s="8">
        <f>-MAX(FV(Inputs!$B84/12,S$1*12,Inputs!$B85,-Inputs!$B83),0)</f>
        <v>0</v>
      </c>
      <c r="T63" s="8">
        <f>-MAX(FV(Inputs!$B84/12,T$1*12,Inputs!$B85,-Inputs!$B83),0)</f>
        <v>0</v>
      </c>
      <c r="U63" s="8">
        <f>-MAX(FV(Inputs!$B84/12,U$1*12,Inputs!$B85,-Inputs!$B83),0)</f>
        <v>0</v>
      </c>
      <c r="V63" s="8">
        <f>-MAX(FV(Inputs!$B84/12,V$1*12,Inputs!$B85,-Inputs!$B83),0)</f>
        <v>0</v>
      </c>
      <c r="W63" s="8">
        <f>-MAX(FV(Inputs!$B84/12,W$1*12,Inputs!$B85,-Inputs!$B83),0)</f>
        <v>0</v>
      </c>
      <c r="X63" s="8">
        <f>-MAX(FV(Inputs!$B84/12,X$1*12,Inputs!$B85,-Inputs!$B83),0)</f>
        <v>0</v>
      </c>
      <c r="Y63" s="8">
        <f>-MAX(FV(Inputs!$B84/12,Y$1*12,Inputs!$B85,-Inputs!$B83),0)</f>
        <v>0</v>
      </c>
      <c r="Z63" s="8">
        <f>-MAX(FV(Inputs!$B84/12,Z$1*12,Inputs!$B85,-Inputs!$B83),0)</f>
        <v>0</v>
      </c>
      <c r="AA63" s="8">
        <f>-MAX(FV(Inputs!$B84/12,AA$1*12,Inputs!$B85,-Inputs!$B83),0)</f>
        <v>0</v>
      </c>
      <c r="AB63" s="8">
        <f>-MAX(FV(Inputs!$B84/12,AB$1*12,Inputs!$B85,-Inputs!$B83),0)</f>
        <v>0</v>
      </c>
      <c r="AC63" s="8">
        <f>-MAX(FV(Inputs!$B84/12,AC$1*12,Inputs!$B85,-Inputs!$B83),0)</f>
        <v>0</v>
      </c>
      <c r="AD63" s="8">
        <f>-MAX(FV(Inputs!$B84/12,AD$1*12,Inputs!$B85,-Inputs!$B83),0)</f>
        <v>0</v>
      </c>
      <c r="AE63" s="8">
        <f>-MAX(FV(Inputs!$B84/12,AE$1*12,Inputs!$B85,-Inputs!$B83),0)</f>
        <v>0</v>
      </c>
      <c r="AF63" s="8">
        <f>-MAX(FV(Inputs!$B84/12,AF$1*12,Inputs!$B85,-Inputs!$B83),0)</f>
        <v>0</v>
      </c>
      <c r="AG63" s="8">
        <f>-MAX(FV(Inputs!$B84/12,AG$1*12,Inputs!$B85,-Inputs!$B83),0)</f>
        <v>0</v>
      </c>
      <c r="AH63" s="8">
        <f>-MAX(FV(Inputs!$B84/12,AH$1*12,Inputs!$B85,-Inputs!$B83),0)</f>
        <v>0</v>
      </c>
      <c r="AI63" s="8">
        <f>-MAX(FV(Inputs!$B84/12,AI$1*12,Inputs!$B85,-Inputs!$B83),0)</f>
        <v>0</v>
      </c>
      <c r="AJ63" s="8">
        <f>-MAX(FV(Inputs!$B84/12,AJ$1*12,Inputs!$B85,-Inputs!$B83),0)</f>
        <v>0</v>
      </c>
      <c r="AK63" s="8">
        <f>-MAX(FV(Inputs!$B84/12,AK$1*12,Inputs!$B85,-Inputs!$B83),0)</f>
        <v>0</v>
      </c>
      <c r="AL63" s="8">
        <f>-MAX(FV(Inputs!$B84/12,AL$1*12,Inputs!$B85,-Inputs!$B83),0)</f>
        <v>0</v>
      </c>
      <c r="AM63" s="8">
        <f>-MAX(FV(Inputs!$B84/12,AM$1*12,Inputs!$B85,-Inputs!$B83),0)</f>
        <v>0</v>
      </c>
      <c r="AN63" s="8">
        <f>-MAX(FV(Inputs!$B84/12,AN$1*12,Inputs!$B85,-Inputs!$B83),0)</f>
        <v>0</v>
      </c>
      <c r="AO63" s="8">
        <f>-MAX(FV(Inputs!$B84/12,AO$1*12,Inputs!$B85,-Inputs!$B83),0)</f>
        <v>0</v>
      </c>
      <c r="AP63" s="8">
        <f>-MAX(FV(Inputs!$B84/12,AP$1*12,Inputs!$B85,-Inputs!$B83),0)</f>
        <v>0</v>
      </c>
      <c r="AQ63" s="8">
        <f>-MAX(FV(Inputs!$B84/12,AQ$1*12,Inputs!$B85,-Inputs!$B83),0)</f>
        <v>0</v>
      </c>
      <c r="AR63" s="8">
        <f>-MAX(FV(Inputs!$B84/12,AR$1*12,Inputs!$B85,-Inputs!$B83),0)</f>
        <v>0</v>
      </c>
      <c r="AS63" s="8">
        <f>-MAX(FV(Inputs!$B84/12,AS$1*12,Inputs!$B85,-Inputs!$B83),0)</f>
        <v>0</v>
      </c>
      <c r="AT63" s="8">
        <f>-MAX(FV(Inputs!$B84/12,AT$1*12,Inputs!$B85,-Inputs!$B83),0)</f>
        <v>0</v>
      </c>
      <c r="AU63" s="8">
        <f>-MAX(FV(Inputs!$B84/12,AU$1*12,Inputs!$B85,-Inputs!$B83),0)</f>
        <v>0</v>
      </c>
      <c r="AV63" s="8">
        <f>-MAX(FV(Inputs!$B84/12,AV$1*12,Inputs!$B85,-Inputs!$B83),0)</f>
        <v>0</v>
      </c>
      <c r="AW63" s="8">
        <f>-MAX(FV(Inputs!$B84/12,AW$1*12,Inputs!$B85,-Inputs!$B83),0)</f>
        <v>0</v>
      </c>
    </row>
    <row r="64" spans="1:49" x14ac:dyDescent="0.2">
      <c r="A64" s="4" t="str">
        <f>TEXT(Inputs!$B$60,"")</f>
        <v/>
      </c>
      <c r="C64" s="8">
        <f>-MAX(FV(Inputs!$B89/12,C$1*12,Inputs!$B90,-Inputs!$B88),0)</f>
        <v>0</v>
      </c>
      <c r="D64" s="8">
        <f>-MAX(FV(Inputs!$B89/12,D$1*12,Inputs!$B90,-Inputs!$B88),0)</f>
        <v>0</v>
      </c>
      <c r="E64" s="8">
        <f>-MAX(FV(Inputs!$B89/12,E$1*12,Inputs!$B90,-Inputs!$B88),0)</f>
        <v>0</v>
      </c>
      <c r="F64" s="8">
        <f>-MAX(FV(Inputs!$B89/12,F$1*12,Inputs!$B90,-Inputs!$B88),0)</f>
        <v>0</v>
      </c>
      <c r="G64" s="8">
        <f>-MAX(FV(Inputs!$B89/12,G$1*12,Inputs!$B90,-Inputs!$B88),0)</f>
        <v>0</v>
      </c>
      <c r="H64" s="8">
        <f>-MAX(FV(Inputs!$B89/12,H$1*12,Inputs!$B90,-Inputs!$B88),0)</f>
        <v>0</v>
      </c>
      <c r="I64" s="8">
        <f>-MAX(FV(Inputs!$B89/12,I$1*12,Inputs!$B90,-Inputs!$B88),0)</f>
        <v>0</v>
      </c>
      <c r="J64" s="8">
        <f>-MAX(FV(Inputs!$B89/12,J$1*12,Inputs!$B90,-Inputs!$B88),0)</f>
        <v>0</v>
      </c>
      <c r="K64" s="8">
        <f>-MAX(FV(Inputs!$B89/12,K$1*12,Inputs!$B90,-Inputs!$B88),0)</f>
        <v>0</v>
      </c>
      <c r="L64" s="8">
        <f>-MAX(FV(Inputs!$B89/12,L$1*12,Inputs!$B90,-Inputs!$B88),0)</f>
        <v>0</v>
      </c>
      <c r="M64" s="8">
        <f>-MAX(FV(Inputs!$B89/12,M$1*12,Inputs!$B90,-Inputs!$B88),0)</f>
        <v>0</v>
      </c>
      <c r="N64" s="8">
        <f>-MAX(FV(Inputs!$B89/12,N$1*12,Inputs!$B90,-Inputs!$B88),0)</f>
        <v>0</v>
      </c>
      <c r="O64" s="8">
        <f>-MAX(FV(Inputs!$B89/12,O$1*12,Inputs!$B90,-Inputs!$B88),0)</f>
        <v>0</v>
      </c>
      <c r="P64" s="8">
        <f>-MAX(FV(Inputs!$B89/12,P$1*12,Inputs!$B90,-Inputs!$B88),0)</f>
        <v>0</v>
      </c>
      <c r="Q64" s="8">
        <f>-MAX(FV(Inputs!$B89/12,Q$1*12,Inputs!$B90,-Inputs!$B88),0)</f>
        <v>0</v>
      </c>
      <c r="R64" s="8">
        <f>-MAX(FV(Inputs!$B89/12,R$1*12,Inputs!$B90,-Inputs!$B88),0)</f>
        <v>0</v>
      </c>
      <c r="S64" s="8">
        <f>-MAX(FV(Inputs!$B89/12,S$1*12,Inputs!$B90,-Inputs!$B88),0)</f>
        <v>0</v>
      </c>
      <c r="T64" s="8">
        <f>-MAX(FV(Inputs!$B89/12,T$1*12,Inputs!$B90,-Inputs!$B88),0)</f>
        <v>0</v>
      </c>
      <c r="U64" s="8">
        <f>-MAX(FV(Inputs!$B89/12,U$1*12,Inputs!$B90,-Inputs!$B88),0)</f>
        <v>0</v>
      </c>
      <c r="V64" s="8">
        <f>-MAX(FV(Inputs!$B89/12,V$1*12,Inputs!$B90,-Inputs!$B88),0)</f>
        <v>0</v>
      </c>
      <c r="W64" s="8">
        <f>-MAX(FV(Inputs!$B89/12,W$1*12,Inputs!$B90,-Inputs!$B88),0)</f>
        <v>0</v>
      </c>
      <c r="X64" s="8">
        <f>-MAX(FV(Inputs!$B89/12,X$1*12,Inputs!$B90,-Inputs!$B88),0)</f>
        <v>0</v>
      </c>
      <c r="Y64" s="8">
        <f>-MAX(FV(Inputs!$B89/12,Y$1*12,Inputs!$B90,-Inputs!$B88),0)</f>
        <v>0</v>
      </c>
      <c r="Z64" s="8">
        <f>-MAX(FV(Inputs!$B89/12,Z$1*12,Inputs!$B90,-Inputs!$B88),0)</f>
        <v>0</v>
      </c>
      <c r="AA64" s="8">
        <f>-MAX(FV(Inputs!$B89/12,AA$1*12,Inputs!$B90,-Inputs!$B88),0)</f>
        <v>0</v>
      </c>
      <c r="AB64" s="8">
        <f>-MAX(FV(Inputs!$B89/12,AB$1*12,Inputs!$B90,-Inputs!$B88),0)</f>
        <v>0</v>
      </c>
      <c r="AC64" s="8">
        <f>-MAX(FV(Inputs!$B89/12,AC$1*12,Inputs!$B90,-Inputs!$B88),0)</f>
        <v>0</v>
      </c>
      <c r="AD64" s="8">
        <f>-MAX(FV(Inputs!$B89/12,AD$1*12,Inputs!$B90,-Inputs!$B88),0)</f>
        <v>0</v>
      </c>
      <c r="AE64" s="8">
        <f>-MAX(FV(Inputs!$B89/12,AE$1*12,Inputs!$B90,-Inputs!$B88),0)</f>
        <v>0</v>
      </c>
      <c r="AF64" s="8">
        <f>-MAX(FV(Inputs!$B89/12,AF$1*12,Inputs!$B90,-Inputs!$B88),0)</f>
        <v>0</v>
      </c>
      <c r="AG64" s="8">
        <f>-MAX(FV(Inputs!$B89/12,AG$1*12,Inputs!$B90,-Inputs!$B88),0)</f>
        <v>0</v>
      </c>
      <c r="AH64" s="8">
        <f>-MAX(FV(Inputs!$B89/12,AH$1*12,Inputs!$B90,-Inputs!$B88),0)</f>
        <v>0</v>
      </c>
      <c r="AI64" s="8">
        <f>-MAX(FV(Inputs!$B89/12,AI$1*12,Inputs!$B90,-Inputs!$B88),0)</f>
        <v>0</v>
      </c>
      <c r="AJ64" s="8">
        <f>-MAX(FV(Inputs!$B89/12,AJ$1*12,Inputs!$B90,-Inputs!$B88),0)</f>
        <v>0</v>
      </c>
      <c r="AK64" s="8">
        <f>-MAX(FV(Inputs!$B89/12,AK$1*12,Inputs!$B90,-Inputs!$B88),0)</f>
        <v>0</v>
      </c>
      <c r="AL64" s="8">
        <f>-MAX(FV(Inputs!$B89/12,AL$1*12,Inputs!$B90,-Inputs!$B88),0)</f>
        <v>0</v>
      </c>
      <c r="AM64" s="8">
        <f>-MAX(FV(Inputs!$B89/12,AM$1*12,Inputs!$B90,-Inputs!$B88),0)</f>
        <v>0</v>
      </c>
      <c r="AN64" s="8">
        <f>-MAX(FV(Inputs!$B89/12,AN$1*12,Inputs!$B90,-Inputs!$B88),0)</f>
        <v>0</v>
      </c>
      <c r="AO64" s="8">
        <f>-MAX(FV(Inputs!$B89/12,AO$1*12,Inputs!$B90,-Inputs!$B88),0)</f>
        <v>0</v>
      </c>
      <c r="AP64" s="8">
        <f>-MAX(FV(Inputs!$B89/12,AP$1*12,Inputs!$B90,-Inputs!$B88),0)</f>
        <v>0</v>
      </c>
      <c r="AQ64" s="8">
        <f>-MAX(FV(Inputs!$B89/12,AQ$1*12,Inputs!$B90,-Inputs!$B88),0)</f>
        <v>0</v>
      </c>
      <c r="AR64" s="8">
        <f>-MAX(FV(Inputs!$B89/12,AR$1*12,Inputs!$B90,-Inputs!$B88),0)</f>
        <v>0</v>
      </c>
      <c r="AS64" s="8">
        <f>-MAX(FV(Inputs!$B89/12,AS$1*12,Inputs!$B90,-Inputs!$B88),0)</f>
        <v>0</v>
      </c>
      <c r="AT64" s="8">
        <f>-MAX(FV(Inputs!$B89/12,AT$1*12,Inputs!$B90,-Inputs!$B88),0)</f>
        <v>0</v>
      </c>
      <c r="AU64" s="8">
        <f>-MAX(FV(Inputs!$B89/12,AU$1*12,Inputs!$B90,-Inputs!$B88),0)</f>
        <v>0</v>
      </c>
      <c r="AV64" s="8">
        <f>-MAX(FV(Inputs!$B89/12,AV$1*12,Inputs!$B90,-Inputs!$B88),0)</f>
        <v>0</v>
      </c>
      <c r="AW64" s="8">
        <f>-MAX(FV(Inputs!$B89/12,AW$1*12,Inputs!$B90,-Inputs!$B88),0)</f>
        <v>0</v>
      </c>
    </row>
    <row r="65" spans="1:49" x14ac:dyDescent="0.2">
      <c r="A65" s="5" t="s">
        <v>38</v>
      </c>
      <c r="C65" s="8">
        <f>-MAX(FV(Inputs!$B94/12,C$1*12,Inputs!$B95,-Inputs!$B93),0)</f>
        <v>0</v>
      </c>
      <c r="D65" s="8">
        <f>-MAX(FV(Inputs!$B94/12,D$1*12,Inputs!$B95,-Inputs!$B93),0)</f>
        <v>0</v>
      </c>
      <c r="E65" s="8">
        <f>-MAX(FV(Inputs!$B94/12,E$1*12,Inputs!$B95,-Inputs!$B93),0)</f>
        <v>0</v>
      </c>
      <c r="F65" s="8">
        <f>-MAX(FV(Inputs!$B94/12,F$1*12,Inputs!$B95,-Inputs!$B93),0)</f>
        <v>0</v>
      </c>
      <c r="G65" s="8">
        <f>-MAX(FV(Inputs!$B94/12,G$1*12,Inputs!$B95,-Inputs!$B93),0)</f>
        <v>0</v>
      </c>
      <c r="H65" s="8">
        <f>-MAX(FV(Inputs!$B94/12,H$1*12,Inputs!$B95,-Inputs!$B93),0)</f>
        <v>0</v>
      </c>
      <c r="I65" s="8">
        <f>-MAX(FV(Inputs!$B94/12,I$1*12,Inputs!$B95,-Inputs!$B93),0)</f>
        <v>0</v>
      </c>
      <c r="J65" s="8">
        <f>-MAX(FV(Inputs!$B94/12,J$1*12,Inputs!$B95,-Inputs!$B93),0)</f>
        <v>0</v>
      </c>
      <c r="K65" s="8">
        <f>-MAX(FV(Inputs!$B94/12,K$1*12,Inputs!$B95,-Inputs!$B93),0)</f>
        <v>0</v>
      </c>
      <c r="L65" s="8">
        <f>-MAX(FV(Inputs!$B94/12,L$1*12,Inputs!$B95,-Inputs!$B93),0)</f>
        <v>0</v>
      </c>
      <c r="M65" s="8">
        <f>-MAX(FV(Inputs!$B94/12,M$1*12,Inputs!$B95,-Inputs!$B93),0)</f>
        <v>0</v>
      </c>
      <c r="N65" s="8">
        <f>-MAX(FV(Inputs!$B94/12,N$1*12,Inputs!$B95,-Inputs!$B93),0)</f>
        <v>0</v>
      </c>
      <c r="O65" s="8">
        <f>-MAX(FV(Inputs!$B94/12,O$1*12,Inputs!$B95,-Inputs!$B93),0)</f>
        <v>0</v>
      </c>
      <c r="P65" s="8">
        <f>-MAX(FV(Inputs!$B94/12,P$1*12,Inputs!$B95,-Inputs!$B93),0)</f>
        <v>0</v>
      </c>
      <c r="Q65" s="8">
        <f>-MAX(FV(Inputs!$B94/12,Q$1*12,Inputs!$B95,-Inputs!$B93),0)</f>
        <v>0</v>
      </c>
      <c r="R65" s="8">
        <f>-MAX(FV(Inputs!$B94/12,R$1*12,Inputs!$B95,-Inputs!$B93),0)</f>
        <v>0</v>
      </c>
      <c r="S65" s="8">
        <f>-MAX(FV(Inputs!$B94/12,S$1*12,Inputs!$B95,-Inputs!$B93),0)</f>
        <v>0</v>
      </c>
      <c r="T65" s="8">
        <f>-MAX(FV(Inputs!$B94/12,T$1*12,Inputs!$B95,-Inputs!$B93),0)</f>
        <v>0</v>
      </c>
      <c r="U65" s="8">
        <f>-MAX(FV(Inputs!$B94/12,U$1*12,Inputs!$B95,-Inputs!$B93),0)</f>
        <v>0</v>
      </c>
      <c r="V65" s="8">
        <f>-MAX(FV(Inputs!$B94/12,V$1*12,Inputs!$B95,-Inputs!$B93),0)</f>
        <v>0</v>
      </c>
      <c r="W65" s="8">
        <f>-MAX(FV(Inputs!$B94/12,W$1*12,Inputs!$B95,-Inputs!$B93),0)</f>
        <v>0</v>
      </c>
      <c r="X65" s="8">
        <f>-MAX(FV(Inputs!$B94/12,X$1*12,Inputs!$B95,-Inputs!$B93),0)</f>
        <v>0</v>
      </c>
      <c r="Y65" s="8">
        <f>-MAX(FV(Inputs!$B94/12,Y$1*12,Inputs!$B95,-Inputs!$B93),0)</f>
        <v>0</v>
      </c>
      <c r="Z65" s="8">
        <f>-MAX(FV(Inputs!$B94/12,Z$1*12,Inputs!$B95,-Inputs!$B93),0)</f>
        <v>0</v>
      </c>
      <c r="AA65" s="8">
        <f>-MAX(FV(Inputs!$B94/12,AA$1*12,Inputs!$B95,-Inputs!$B93),0)</f>
        <v>0</v>
      </c>
      <c r="AB65" s="8">
        <f>-MAX(FV(Inputs!$B94/12,AB$1*12,Inputs!$B95,-Inputs!$B93),0)</f>
        <v>0</v>
      </c>
      <c r="AC65" s="8">
        <f>-MAX(FV(Inputs!$B94/12,AC$1*12,Inputs!$B95,-Inputs!$B93),0)</f>
        <v>0</v>
      </c>
      <c r="AD65" s="8">
        <f>-MAX(FV(Inputs!$B94/12,AD$1*12,Inputs!$B95,-Inputs!$B93),0)</f>
        <v>0</v>
      </c>
      <c r="AE65" s="8">
        <f>-MAX(FV(Inputs!$B94/12,AE$1*12,Inputs!$B95,-Inputs!$B93),0)</f>
        <v>0</v>
      </c>
      <c r="AF65" s="8">
        <f>-MAX(FV(Inputs!$B94/12,AF$1*12,Inputs!$B95,-Inputs!$B93),0)</f>
        <v>0</v>
      </c>
      <c r="AG65" s="8">
        <f>-MAX(FV(Inputs!$B94/12,AG$1*12,Inputs!$B95,-Inputs!$B93),0)</f>
        <v>0</v>
      </c>
      <c r="AH65" s="8">
        <f>-MAX(FV(Inputs!$B94/12,AH$1*12,Inputs!$B95,-Inputs!$B93),0)</f>
        <v>0</v>
      </c>
      <c r="AI65" s="8">
        <f>-MAX(FV(Inputs!$B94/12,AI$1*12,Inputs!$B95,-Inputs!$B93),0)</f>
        <v>0</v>
      </c>
      <c r="AJ65" s="8">
        <f>-MAX(FV(Inputs!$B94/12,AJ$1*12,Inputs!$B95,-Inputs!$B93),0)</f>
        <v>0</v>
      </c>
      <c r="AK65" s="8">
        <f>-MAX(FV(Inputs!$B94/12,AK$1*12,Inputs!$B95,-Inputs!$B93),0)</f>
        <v>0</v>
      </c>
      <c r="AL65" s="8">
        <f>-MAX(FV(Inputs!$B94/12,AL$1*12,Inputs!$B95,-Inputs!$B93),0)</f>
        <v>0</v>
      </c>
      <c r="AM65" s="8">
        <f>-MAX(FV(Inputs!$B94/12,AM$1*12,Inputs!$B95,-Inputs!$B93),0)</f>
        <v>0</v>
      </c>
      <c r="AN65" s="8">
        <f>-MAX(FV(Inputs!$B94/12,AN$1*12,Inputs!$B95,-Inputs!$B93),0)</f>
        <v>0</v>
      </c>
      <c r="AO65" s="8">
        <f>-MAX(FV(Inputs!$B94/12,AO$1*12,Inputs!$B95,-Inputs!$B93),0)</f>
        <v>0</v>
      </c>
      <c r="AP65" s="8">
        <f>-MAX(FV(Inputs!$B94/12,AP$1*12,Inputs!$B95,-Inputs!$B93),0)</f>
        <v>0</v>
      </c>
      <c r="AQ65" s="8">
        <f>-MAX(FV(Inputs!$B94/12,AQ$1*12,Inputs!$B95,-Inputs!$B93),0)</f>
        <v>0</v>
      </c>
      <c r="AR65" s="8">
        <f>-MAX(FV(Inputs!$B94/12,AR$1*12,Inputs!$B95,-Inputs!$B93),0)</f>
        <v>0</v>
      </c>
      <c r="AS65" s="8">
        <f>-MAX(FV(Inputs!$B94/12,AS$1*12,Inputs!$B95,-Inputs!$B93),0)</f>
        <v>0</v>
      </c>
      <c r="AT65" s="8">
        <f>-MAX(FV(Inputs!$B94/12,AT$1*12,Inputs!$B95,-Inputs!$B93),0)</f>
        <v>0</v>
      </c>
      <c r="AU65" s="8">
        <f>-MAX(FV(Inputs!$B94/12,AU$1*12,Inputs!$B95,-Inputs!$B93),0)</f>
        <v>0</v>
      </c>
      <c r="AV65" s="8">
        <f>-MAX(FV(Inputs!$B94/12,AV$1*12,Inputs!$B95,-Inputs!$B93),0)</f>
        <v>0</v>
      </c>
      <c r="AW65" s="8">
        <f>-MAX(FV(Inputs!$B94/12,AW$1*12,Inputs!$B95,-Inputs!$B93),0)</f>
        <v>0</v>
      </c>
    </row>
    <row r="66" spans="1:49" x14ac:dyDescent="0.2">
      <c r="A66" s="5"/>
      <c r="C66" s="10">
        <f t="shared" ref="C66:G66" ca="1" si="85">SUM(C52:C65)</f>
        <v>968981.94138270128</v>
      </c>
      <c r="D66" s="10">
        <f t="shared" ca="1" si="85"/>
        <v>1009855.5963523956</v>
      </c>
      <c r="E66" s="10">
        <f t="shared" ca="1" si="85"/>
        <v>1052713.1778108226</v>
      </c>
      <c r="F66" s="10">
        <f t="shared" ca="1" si="85"/>
        <v>1097651.5917861115</v>
      </c>
      <c r="G66" s="10">
        <f t="shared" ca="1" si="85"/>
        <v>1144772.700802363</v>
      </c>
      <c r="H66" s="10">
        <f t="shared" ref="H66:AM66" ca="1" si="86">SUM(H52:H65)</f>
        <v>1194183.603946965</v>
      </c>
      <c r="I66" s="10">
        <f t="shared" ca="1" si="86"/>
        <v>1245996.9348095595</v>
      </c>
      <c r="J66" s="10">
        <f t="shared" ca="1" si="86"/>
        <v>1300331.178554723</v>
      </c>
      <c r="K66" s="10">
        <f t="shared" ca="1" si="86"/>
        <v>1357311.0094854354</v>
      </c>
      <c r="L66" s="10">
        <f t="shared" ca="1" si="86"/>
        <v>1417067.6505567976</v>
      </c>
      <c r="M66" s="10">
        <f t="shared" ca="1" si="86"/>
        <v>1479739.2564098446</v>
      </c>
      <c r="N66" s="10">
        <f t="shared" ca="1" si="86"/>
        <v>1545471.3216142766</v>
      </c>
      <c r="O66" s="10">
        <f t="shared" ca="1" si="86"/>
        <v>1614417.1159372251</v>
      </c>
      <c r="P66" s="10">
        <f t="shared" ca="1" si="86"/>
        <v>1686738.1485934532</v>
      </c>
      <c r="Q66" s="10">
        <f t="shared" ca="1" si="86"/>
        <v>1762604.6635815429</v>
      </c>
      <c r="R66" s="10">
        <f t="shared" ca="1" si="86"/>
        <v>1842223.3881459923</v>
      </c>
      <c r="S66" s="10">
        <f t="shared" ca="1" si="86"/>
        <v>1925700.4290340568</v>
      </c>
      <c r="T66" s="10">
        <f t="shared" ca="1" si="86"/>
        <v>1940558.6290328393</v>
      </c>
      <c r="U66" s="10">
        <f t="shared" ca="1" si="86"/>
        <v>1963444.6332052383</v>
      </c>
      <c r="V66" s="10">
        <f t="shared" ca="1" si="86"/>
        <v>1986900.5350535878</v>
      </c>
      <c r="W66" s="10">
        <f t="shared" ca="1" si="86"/>
        <v>2010989.8990048552</v>
      </c>
      <c r="X66" s="10">
        <f t="shared" ca="1" si="86"/>
        <v>2035783.0103119782</v>
      </c>
      <c r="Y66" s="10">
        <f t="shared" ca="1" si="86"/>
        <v>2061357.4817384607</v>
      </c>
      <c r="Z66" s="10">
        <f t="shared" ca="1" si="86"/>
        <v>2087798.9111604036</v>
      </c>
      <c r="AA66" s="10">
        <f t="shared" ca="1" si="86"/>
        <v>2115201.5942339757</v>
      </c>
      <c r="AB66" s="10">
        <f t="shared" ca="1" si="86"/>
        <v>2143669.2966103875</v>
      </c>
      <c r="AC66" s="10">
        <f t="shared" ca="1" si="86"/>
        <v>2173316.090541245</v>
      </c>
      <c r="AD66" s="10">
        <f t="shared" ca="1" si="86"/>
        <v>2205014.7720471676</v>
      </c>
      <c r="AE66" s="10">
        <f t="shared" ca="1" si="86"/>
        <v>2249512.3238883442</v>
      </c>
      <c r="AF66" s="10">
        <f t="shared" ca="1" si="86"/>
        <v>2297294.8292516423</v>
      </c>
      <c r="AG66" s="10">
        <f t="shared" ca="1" si="86"/>
        <v>2348604.485587148</v>
      </c>
      <c r="AH66" s="10">
        <f t="shared" ca="1" si="86"/>
        <v>2403701.9393431805</v>
      </c>
      <c r="AI66" s="10">
        <f t="shared" ca="1" si="86"/>
        <v>2462867.7263613958</v>
      </c>
      <c r="AJ66" s="10">
        <f t="shared" ca="1" si="86"/>
        <v>2526403.8262447403</v>
      </c>
      <c r="AK66" s="10">
        <f t="shared" ca="1" si="86"/>
        <v>2594635.3397734822</v>
      </c>
      <c r="AL66" s="10">
        <f t="shared" ca="1" si="86"/>
        <v>2667912.2991691912</v>
      </c>
      <c r="AM66" s="10">
        <f t="shared" ca="1" si="86"/>
        <v>2746611.6217890675</v>
      </c>
      <c r="AN66" s="10">
        <f t="shared" ref="AN66:AV66" ca="1" si="87">SUM(AN52:AN65)</f>
        <v>2831139.2186781317</v>
      </c>
      <c r="AO66" s="10">
        <f t="shared" ca="1" si="87"/>
        <v>2921932.2703194404</v>
      </c>
      <c r="AP66" s="10">
        <f t="shared" ca="1" si="87"/>
        <v>3019461.6829081345</v>
      </c>
      <c r="AQ66" s="10">
        <f t="shared" ca="1" si="87"/>
        <v>3124234.7395395376</v>
      </c>
      <c r="AR66" s="10">
        <f t="shared" ca="1" si="87"/>
        <v>3236797.9618510623</v>
      </c>
      <c r="AS66" s="10">
        <f t="shared" ca="1" si="87"/>
        <v>3357740.1988991052</v>
      </c>
      <c r="AT66" s="10">
        <f t="shared" ca="1" si="87"/>
        <v>3487695.9613928241</v>
      </c>
      <c r="AU66" s="10">
        <f t="shared" ca="1" si="87"/>
        <v>3627349.0208545574</v>
      </c>
      <c r="AV66" s="10">
        <f t="shared" ca="1" si="87"/>
        <v>3777436.2948403368</v>
      </c>
      <c r="AW66" s="10">
        <f t="shared" ref="AW66" ca="1" si="88">SUM(AW52:AW65)</f>
        <v>3938752.041042624</v>
      </c>
    </row>
    <row r="67" spans="1:49" x14ac:dyDescent="0.2">
      <c r="A67" s="5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">
      <c r="A68" s="35" t="s">
        <v>87</v>
      </c>
      <c r="C68" s="8">
        <f t="shared" ref="C68:AM68" ca="1" si="89">C53-buffer</f>
        <v>184898.75</v>
      </c>
      <c r="D68" s="8">
        <f t="shared" ca="1" si="89"/>
        <v>190464.1875</v>
      </c>
      <c r="E68" s="8">
        <f t="shared" ca="1" si="89"/>
        <v>196735.69765625001</v>
      </c>
      <c r="F68" s="8">
        <f t="shared" ca="1" si="89"/>
        <v>203754.49157812502</v>
      </c>
      <c r="G68" s="8">
        <f t="shared" ca="1" si="89"/>
        <v>211563.68121130861</v>
      </c>
      <c r="H68" s="8">
        <f t="shared" ca="1" si="89"/>
        <v>220208.35706995256</v>
      </c>
      <c r="I68" s="8">
        <f t="shared" ca="1" si="89"/>
        <v>229735.66892084025</v>
      </c>
      <c r="J68" s="8">
        <f t="shared" ca="1" si="89"/>
        <v>240194.90952617431</v>
      </c>
      <c r="K68" s="8">
        <f t="shared" ca="1" si="89"/>
        <v>251637.60155532236</v>
      </c>
      <c r="L68" s="8">
        <f t="shared" ca="1" si="89"/>
        <v>264117.58777969546</v>
      </c>
      <c r="M68" s="8">
        <f t="shared" ca="1" si="89"/>
        <v>277691.1246689033</v>
      </c>
      <c r="N68" s="8">
        <f t="shared" ca="1" si="89"/>
        <v>292416.97951043496</v>
      </c>
      <c r="O68" s="8">
        <f t="shared" ca="1" si="89"/>
        <v>308356.53117935767</v>
      </c>
      <c r="P68" s="8">
        <f t="shared" ca="1" si="89"/>
        <v>325573.87468891207</v>
      </c>
      <c r="Q68" s="8">
        <f t="shared" ca="1" si="89"/>
        <v>344135.92965741799</v>
      </c>
      <c r="R68" s="8">
        <f t="shared" ca="1" si="89"/>
        <v>367161.10470025497</v>
      </c>
      <c r="S68" s="8">
        <f t="shared" ca="1" si="89"/>
        <v>398421.42047661229</v>
      </c>
      <c r="T68" s="8">
        <f t="shared" ca="1" si="89"/>
        <v>358811.20508166938</v>
      </c>
      <c r="U68" s="8">
        <f t="shared" ca="1" si="89"/>
        <v>324854.73778757063</v>
      </c>
      <c r="V68" s="8">
        <f t="shared" ca="1" si="89"/>
        <v>288963.69012559089</v>
      </c>
      <c r="W68" s="8">
        <f t="shared" ca="1" si="89"/>
        <v>251062.55586939497</v>
      </c>
      <c r="X68" s="8">
        <f t="shared" ca="1" si="89"/>
        <v>211073.26259406074</v>
      </c>
      <c r="Y68" s="8">
        <f t="shared" ca="1" si="89"/>
        <v>168915.09055754144</v>
      </c>
      <c r="Z68" s="8">
        <f t="shared" ca="1" si="89"/>
        <v>124504.58913007489</v>
      </c>
      <c r="AA68" s="8">
        <f t="shared" ca="1" si="89"/>
        <v>77755.490699636561</v>
      </c>
      <c r="AB68" s="8">
        <f t="shared" ca="1" si="89"/>
        <v>28578.621979470016</v>
      </c>
      <c r="AC68" s="8">
        <f t="shared" ca="1" si="89"/>
        <v>-23118.187358392119</v>
      </c>
      <c r="AD68" s="8">
        <f t="shared" ca="1" si="89"/>
        <v>-76682.687861634215</v>
      </c>
      <c r="AE68" s="8">
        <f t="shared" ca="1" si="89"/>
        <v>-121603.82578367132</v>
      </c>
      <c r="AF68" s="8">
        <f t="shared" ca="1" si="89"/>
        <v>-167647.99215375935</v>
      </c>
      <c r="AG68" s="8">
        <f t="shared" ca="1" si="89"/>
        <v>-214843.26268309957</v>
      </c>
      <c r="AH68" s="8">
        <f t="shared" ca="1" si="89"/>
        <v>-263218.41497567331</v>
      </c>
      <c r="AI68" s="8">
        <f t="shared" ca="1" si="89"/>
        <v>-312802.9460755614</v>
      </c>
      <c r="AJ68" s="8">
        <f t="shared" ca="1" si="89"/>
        <v>-363627.09045294666</v>
      </c>
      <c r="AK68" s="8">
        <f t="shared" ca="1" si="89"/>
        <v>-415721.83843976655</v>
      </c>
      <c r="AL68" s="8">
        <f t="shared" ca="1" si="89"/>
        <v>-469118.95512625691</v>
      </c>
      <c r="AM68" s="8">
        <f t="shared" ca="1" si="89"/>
        <v>-523850.99972990958</v>
      </c>
      <c r="AN68" s="8">
        <f t="shared" ref="AN68:AV68" ca="1" si="90">AN53-buffer</f>
        <v>-579951.34544865356</v>
      </c>
      <c r="AO68" s="8">
        <f t="shared" ca="1" si="90"/>
        <v>-637454.19981036615</v>
      </c>
      <c r="AP68" s="8">
        <f t="shared" ca="1" si="90"/>
        <v>-696394.62553112151</v>
      </c>
      <c r="AQ68" s="8">
        <f t="shared" ca="1" si="90"/>
        <v>-756808.56189489574</v>
      </c>
      <c r="AR68" s="8">
        <f t="shared" ca="1" si="90"/>
        <v>-818732.84666776436</v>
      </c>
      <c r="AS68" s="8">
        <f t="shared" ca="1" si="90"/>
        <v>-882205.23855995468</v>
      </c>
      <c r="AT68" s="8">
        <f t="shared" ca="1" si="90"/>
        <v>-947264.44024944981</v>
      </c>
      <c r="AU68" s="8">
        <f t="shared" ca="1" si="90"/>
        <v>-1013950.1219811823</v>
      </c>
      <c r="AV68" s="8">
        <f t="shared" ca="1" si="90"/>
        <v>-1082302.9457562079</v>
      </c>
      <c r="AW68" s="8">
        <f t="shared" ref="AW68" ca="1" si="91">AW53-buffer</f>
        <v>-1152364.5901256094</v>
      </c>
    </row>
    <row r="69" spans="1:49" x14ac:dyDescent="0.2">
      <c r="A69" s="2" t="s">
        <v>21</v>
      </c>
      <c r="C69" s="8">
        <f ca="1">IF(C68&lt;0,-C68,0)</f>
        <v>0</v>
      </c>
      <c r="D69" s="8">
        <f ca="1">IF(D68+SUM($C69:C69)&lt;0,-(D68+SUM($C69:C69)),0)</f>
        <v>0</v>
      </c>
      <c r="E69" s="8">
        <f ca="1">IF(E68+SUM($C69:D69)&lt;0,-(E68+SUM($C69:D69)),0)</f>
        <v>0</v>
      </c>
      <c r="F69" s="8">
        <f ca="1">IF(F68+SUM($C69:E69)&lt;0,-(F68+SUM($C69:E69)),0)</f>
        <v>0</v>
      </c>
      <c r="G69" s="8">
        <f ca="1">IF(G68+SUM($C69:F69)&lt;0,-(G68+SUM($C69:F69)),0)</f>
        <v>0</v>
      </c>
      <c r="H69" s="8">
        <f ca="1">IF(H68+SUM($C69:G69)&lt;0,-(H68+SUM($C69:G69)),0)</f>
        <v>0</v>
      </c>
      <c r="I69" s="8">
        <f ca="1">IF(I68+SUM($C69:H69)&lt;0,-(I68+SUM($C69:H69)),0)</f>
        <v>0</v>
      </c>
      <c r="J69" s="8">
        <f ca="1">IF(J68+SUM($C69:I69)&lt;0,-(J68+SUM($C69:I69)),0)</f>
        <v>0</v>
      </c>
      <c r="K69" s="8">
        <f ca="1">IF(K68+SUM($C69:J69)&lt;0,-(K68+SUM($C69:J69)),0)</f>
        <v>0</v>
      </c>
      <c r="L69" s="8">
        <f ca="1">IF(L68+SUM($C69:K69)&lt;0,-(L68+SUM($C69:K69)),0)</f>
        <v>0</v>
      </c>
      <c r="M69" s="8">
        <f ca="1">IF(M68+SUM($C69:L69)&lt;0,-(M68+SUM($C69:L69)),0)</f>
        <v>0</v>
      </c>
      <c r="N69" s="8">
        <f ca="1">IF(N68+SUM($C69:M69)&lt;0,-(N68+SUM($C69:M69)),0)</f>
        <v>0</v>
      </c>
      <c r="O69" s="8">
        <f ca="1">IF(O68+SUM($C69:N69)&lt;0,-(O68+SUM($C69:N69)),0)</f>
        <v>0</v>
      </c>
      <c r="P69" s="8">
        <f ca="1">IF(P68+SUM($C69:O69)&lt;0,-(P68+SUM($C69:O69)),0)</f>
        <v>0</v>
      </c>
      <c r="Q69" s="8">
        <f ca="1">IF(Q68+SUM($C69:P69)&lt;0,-(Q68+SUM($C69:P69)),0)</f>
        <v>0</v>
      </c>
      <c r="R69" s="8">
        <f ca="1">IF(R68+SUM($C69:Q69)&lt;0,-(R68+SUM($C69:Q69)),0)</f>
        <v>0</v>
      </c>
      <c r="S69" s="8">
        <f ca="1">IF(S68+SUM($C69:R69)&lt;0,-(S68+SUM($C69:R69)),0)</f>
        <v>0</v>
      </c>
      <c r="T69" s="8">
        <f ca="1">IF(T68+SUM($C69:S69)&lt;0,-(T68+SUM($C69:S69)),0)</f>
        <v>0</v>
      </c>
      <c r="U69" s="8">
        <f ca="1">IF(U68+SUM($C69:T69)&lt;0,-(U68+SUM($C69:T69)),0)</f>
        <v>0</v>
      </c>
      <c r="V69" s="8">
        <f ca="1">IF(V68+SUM($C69:U69)&lt;0,-(V68+SUM($C69:U69)),0)</f>
        <v>0</v>
      </c>
      <c r="W69" s="8">
        <f ca="1">IF(W68+SUM($C69:V69)&lt;0,-(W68+SUM($C69:V69)),0)</f>
        <v>0</v>
      </c>
      <c r="X69" s="8">
        <f ca="1">IF(X68+SUM($C69:W69)&lt;0,-(X68+SUM($C69:W69)),0)</f>
        <v>0</v>
      </c>
      <c r="Y69" s="8">
        <f ca="1">IF(Y68+SUM($C69:X69)&lt;0,-(Y68+SUM($C69:X69)),0)</f>
        <v>0</v>
      </c>
      <c r="Z69" s="8">
        <f ca="1">IF(Z68+SUM($C69:Y69)&lt;0,-(Z68+SUM($C69:Y69)),0)</f>
        <v>0</v>
      </c>
      <c r="AA69" s="8">
        <f ca="1">IF(AA68+SUM($C69:Z69)&lt;0,-(AA68+SUM($C69:Z69)),0)</f>
        <v>0</v>
      </c>
      <c r="AB69" s="8">
        <f ca="1">IF(AB68+SUM($C69:AA69)&lt;0,-(AB68+SUM($C69:AA69)),0)</f>
        <v>0</v>
      </c>
      <c r="AC69" s="8">
        <f ca="1">IF(AC68+SUM($C69:AB69)&lt;0,-(AC68+SUM($C69:AB69)),0)</f>
        <v>23118.187358392119</v>
      </c>
      <c r="AD69" s="8">
        <f ca="1">IF(AD68+SUM($C69:AC69)&lt;0,-(AD68+SUM($C69:AC69)),0)</f>
        <v>53564.500503242096</v>
      </c>
      <c r="AE69" s="8">
        <f ca="1">IF(AE68+SUM($C69:AD69)&lt;0,-(AE68+SUM($C69:AD69)),0)</f>
        <v>44921.137922037102</v>
      </c>
      <c r="AF69" s="8">
        <f ca="1">IF(AF68+SUM($C69:AE69)&lt;0,-(AF68+SUM($C69:AE69)),0)</f>
        <v>46044.166370088031</v>
      </c>
      <c r="AG69" s="8">
        <f ca="1">IF(AG68+SUM($C69:AF69)&lt;0,-(AG68+SUM($C69:AF69)),0)</f>
        <v>47195.270529340225</v>
      </c>
      <c r="AH69" s="8">
        <f ca="1">IF(AH68+SUM($C69:AG69)&lt;0,-(AH68+SUM($C69:AG69)),0)</f>
        <v>48375.152292573737</v>
      </c>
      <c r="AI69" s="8">
        <f ca="1">IF(AI68+SUM($C69:AH69)&lt;0,-(AI68+SUM($C69:AH69)),0)</f>
        <v>49584.531099888089</v>
      </c>
      <c r="AJ69" s="8">
        <f ca="1">IF(AJ68+SUM($C69:AI69)&lt;0,-(AJ68+SUM($C69:AI69)),0)</f>
        <v>50824.144377385266</v>
      </c>
      <c r="AK69" s="8">
        <f ca="1">IF(AK68+SUM($C69:AJ69)&lt;0,-(AK68+SUM($C69:AJ69)),0)</f>
        <v>52094.747986819886</v>
      </c>
      <c r="AL69" s="8">
        <f ca="1">IF(AL68+SUM($C69:AK69)&lt;0,-(AL68+SUM($C69:AK69)),0)</f>
        <v>53397.116686490364</v>
      </c>
      <c r="AM69" s="8">
        <f ca="1">IF(AM68+SUM($C69:AL69)&lt;0,-(AM68+SUM($C69:AL69)),0)</f>
        <v>54732.04460365267</v>
      </c>
      <c r="AN69" s="8">
        <f ca="1">IF(AN68+SUM($C69:AM69)&lt;0,-(AN68+SUM($C69:AM69)),0)</f>
        <v>56100.345718743978</v>
      </c>
      <c r="AO69" s="8">
        <f ca="1">IF(AO68+SUM($C69:AN69)&lt;0,-(AO68+SUM($C69:AN69)),0)</f>
        <v>57502.854361712583</v>
      </c>
      <c r="AP69" s="8">
        <f ca="1">IF(AP68+SUM($C69:AO69)&lt;0,-(AP68+SUM($C69:AO69)),0)</f>
        <v>58940.42572075536</v>
      </c>
      <c r="AQ69" s="8">
        <f ca="1">IF(AQ68+SUM($C69:AP69)&lt;0,-(AQ68+SUM($C69:AP69)),0)</f>
        <v>60413.936363774235</v>
      </c>
      <c r="AR69" s="8">
        <f ca="1">IF(AR68+SUM($C69:AQ69)&lt;0,-(AR68+SUM($C69:AQ69)),0)</f>
        <v>61924.284772868617</v>
      </c>
      <c r="AS69" s="8">
        <f ca="1">IF(AS68+SUM($C69:AR69)&lt;0,-(AS68+SUM($C69:AR69)),0)</f>
        <v>63472.391892190324</v>
      </c>
      <c r="AT69" s="8">
        <f ca="1">IF(AT68+SUM($C69:AS69)&lt;0,-(AT68+SUM($C69:AS69)),0)</f>
        <v>65059.201689495123</v>
      </c>
      <c r="AU69" s="8">
        <f ca="1">IF(AU68+SUM($C69:AT69)&lt;0,-(AU68+SUM($C69:AT69)),0)</f>
        <v>66685.681731732446</v>
      </c>
      <c r="AV69" s="8">
        <f ca="1">IF(AV68+SUM($C69:AU69)&lt;0,-(AV68+SUM($C69:AU69)),0)</f>
        <v>68352.823775025667</v>
      </c>
      <c r="AW69" s="8">
        <f ca="1">IF(AW68+SUM($C69:AV69)&lt;0,-(AW68+SUM($C69:AV69)),0)</f>
        <v>70061.644369401503</v>
      </c>
    </row>
    <row r="70" spans="1:49" x14ac:dyDescent="0.2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ht="19" x14ac:dyDescent="0.25">
      <c r="A71" s="30" t="s">
        <v>22</v>
      </c>
      <c r="B71" s="31"/>
      <c r="C71" s="32"/>
      <c r="D71" s="33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</row>
    <row r="72" spans="1:49" x14ac:dyDescent="0.2">
      <c r="A72" s="1"/>
      <c r="C72" s="8"/>
      <c r="D72" s="13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">
      <c r="A73" s="29" t="s">
        <v>28</v>
      </c>
      <c r="B73" s="31"/>
      <c r="C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">
      <c r="A74" s="4" t="s">
        <v>23</v>
      </c>
      <c r="C74" s="8">
        <f>C59</f>
        <v>54000</v>
      </c>
      <c r="D74" s="8">
        <f t="shared" ref="D74:AM74" ca="1" si="92">C77</f>
        <v>54000</v>
      </c>
      <c r="E74" s="8">
        <f t="shared" ca="1" si="92"/>
        <v>58320</v>
      </c>
      <c r="F74" s="8">
        <f t="shared" ca="1" si="92"/>
        <v>62985.599999999999</v>
      </c>
      <c r="G74" s="8">
        <f t="shared" ca="1" si="92"/>
        <v>68024.448000000004</v>
      </c>
      <c r="H74" s="8">
        <f t="shared" ca="1" si="92"/>
        <v>73466.403839999999</v>
      </c>
      <c r="I74" s="8">
        <f t="shared" ca="1" si="92"/>
        <v>79343.716147200001</v>
      </c>
      <c r="J74" s="8">
        <f t="shared" ca="1" si="92"/>
        <v>85691.213438976003</v>
      </c>
      <c r="K74" s="8">
        <f t="shared" ca="1" si="92"/>
        <v>92546.510514094087</v>
      </c>
      <c r="L74" s="8">
        <f t="shared" ca="1" si="92"/>
        <v>99950.231355221607</v>
      </c>
      <c r="M74" s="8">
        <f t="shared" ca="1" si="92"/>
        <v>107946.24986363934</v>
      </c>
      <c r="N74" s="8">
        <f t="shared" ca="1" si="92"/>
        <v>116581.9498527305</v>
      </c>
      <c r="O74" s="8">
        <f t="shared" ca="1" si="92"/>
        <v>125908.50584094894</v>
      </c>
      <c r="P74" s="8">
        <f t="shared" ca="1" si="92"/>
        <v>135981.18630822486</v>
      </c>
      <c r="Q74" s="8">
        <f t="shared" ca="1" si="92"/>
        <v>146859.68121288286</v>
      </c>
      <c r="R74" s="8">
        <f t="shared" ca="1" si="92"/>
        <v>158608.45570991348</v>
      </c>
      <c r="S74" s="8">
        <f t="shared" ca="1" si="92"/>
        <v>171297.13216670655</v>
      </c>
      <c r="T74" s="8">
        <f t="shared" ca="1" si="92"/>
        <v>185000.90274004306</v>
      </c>
      <c r="U74" s="8">
        <f t="shared" ca="1" si="92"/>
        <v>199800.97495924652</v>
      </c>
      <c r="V74" s="8">
        <f t="shared" ca="1" si="92"/>
        <v>215785.05295598623</v>
      </c>
      <c r="W74" s="8">
        <f t="shared" ca="1" si="92"/>
        <v>233047.85719246513</v>
      </c>
      <c r="X74" s="8">
        <f t="shared" ca="1" si="92"/>
        <v>251691.68576786233</v>
      </c>
      <c r="Y74" s="8">
        <f t="shared" ca="1" si="92"/>
        <v>271827.02062929131</v>
      </c>
      <c r="Z74" s="8">
        <f t="shared" ca="1" si="92"/>
        <v>293573.18227963464</v>
      </c>
      <c r="AA74" s="8">
        <f t="shared" ca="1" si="92"/>
        <v>317059.03686200542</v>
      </c>
      <c r="AB74" s="8">
        <f t="shared" ca="1" si="92"/>
        <v>342423.75981096586</v>
      </c>
      <c r="AC74" s="8">
        <f t="shared" ca="1" si="92"/>
        <v>369817.6605958431</v>
      </c>
      <c r="AD74" s="8">
        <f t="shared" ca="1" si="92"/>
        <v>373121.34465712792</v>
      </c>
      <c r="AE74" s="8">
        <f t="shared" ca="1" si="92"/>
        <v>342076.67271022295</v>
      </c>
      <c r="AF74" s="8">
        <f t="shared" ca="1" si="92"/>
        <v>318374.56552093546</v>
      </c>
      <c r="AG74" s="8">
        <f t="shared" ca="1" si="92"/>
        <v>291499.58373135229</v>
      </c>
      <c r="AH74" s="8">
        <f t="shared" ca="1" si="92"/>
        <v>261165.97972282104</v>
      </c>
      <c r="AI74" s="8">
        <f t="shared" ca="1" si="92"/>
        <v>227064.34812593131</v>
      </c>
      <c r="AJ74" s="8">
        <f t="shared" ca="1" si="92"/>
        <v>188859.71325192251</v>
      </c>
      <c r="AK74" s="8">
        <f t="shared" ca="1" si="92"/>
        <v>146189.46301989097</v>
      </c>
      <c r="AL74" s="8">
        <f t="shared" ca="1" si="92"/>
        <v>98661.117086992279</v>
      </c>
      <c r="AM74" s="8">
        <f t="shared" ca="1" si="92"/>
        <v>45849.915905099457</v>
      </c>
      <c r="AN74" s="8">
        <f t="shared" ref="AN74" ca="1" si="93">AM77</f>
        <v>0</v>
      </c>
      <c r="AO74" s="8">
        <f t="shared" ref="AO74" ca="1" si="94">AN77</f>
        <v>0</v>
      </c>
      <c r="AP74" s="8">
        <f t="shared" ref="AP74" ca="1" si="95">AO77</f>
        <v>0</v>
      </c>
      <c r="AQ74" s="8">
        <f t="shared" ref="AQ74" ca="1" si="96">AP77</f>
        <v>0</v>
      </c>
      <c r="AR74" s="8">
        <f t="shared" ref="AR74" ca="1" si="97">AQ77</f>
        <v>0</v>
      </c>
      <c r="AS74" s="8">
        <f t="shared" ref="AS74" ca="1" si="98">AR77</f>
        <v>0</v>
      </c>
      <c r="AT74" s="8">
        <f t="shared" ref="AT74" ca="1" si="99">AS77</f>
        <v>0</v>
      </c>
      <c r="AU74" s="8">
        <f t="shared" ref="AU74" ca="1" si="100">AT77</f>
        <v>0</v>
      </c>
      <c r="AV74" s="8">
        <f t="shared" ref="AV74:AW74" ca="1" si="101">AU77</f>
        <v>0</v>
      </c>
      <c r="AW74" s="8">
        <f t="shared" ca="1" si="101"/>
        <v>0</v>
      </c>
    </row>
    <row r="75" spans="1:49" x14ac:dyDescent="0.2">
      <c r="A75" s="4" t="s">
        <v>24</v>
      </c>
      <c r="C75" s="8">
        <f ca="1">-MIN( IF(C74&gt;C69/ (1 - Inputs!$B$161), C69/ (1 - Inputs!$B$161), C74), C74/ (1 - Inputs!$B$161) )</f>
        <v>0</v>
      </c>
      <c r="D75" s="8">
        <f ca="1">-MIN( IF(D74&gt;D69/ (1 - Inputs!$B$161), D69/ (1 - Inputs!$B$161), D74), D74/ (1 - Inputs!$B$161) )</f>
        <v>0</v>
      </c>
      <c r="E75" s="8">
        <f ca="1">-MIN( IF(E74&gt;E69/ (1 - Inputs!$B$161), E69/ (1 - Inputs!$B$161), E74), E74/ (1 - Inputs!$B$161) )</f>
        <v>0</v>
      </c>
      <c r="F75" s="8">
        <f ca="1">-MIN( IF(F74&gt;F69/ (1 - Inputs!$B$161), F69/ (1 - Inputs!$B$161), F74), F74/ (1 - Inputs!$B$161) )</f>
        <v>0</v>
      </c>
      <c r="G75" s="8">
        <f ca="1">-MIN( IF(G74&gt;G69/ (1 - Inputs!$B$161), G69/ (1 - Inputs!$B$161), G74), G74/ (1 - Inputs!$B$161) )</f>
        <v>0</v>
      </c>
      <c r="H75" s="8">
        <f ca="1">-MIN( IF(H74&gt;H69/ (1 - Inputs!$B$161), H69/ (1 - Inputs!$B$161), H74), H74/ (1 - Inputs!$B$161) )</f>
        <v>0</v>
      </c>
      <c r="I75" s="8">
        <f ca="1">-MIN( IF(I74&gt;I69/ (1 - Inputs!$B$161), I69/ (1 - Inputs!$B$161), I74), I74/ (1 - Inputs!$B$161) )</f>
        <v>0</v>
      </c>
      <c r="J75" s="8">
        <f ca="1">-MIN( IF(J74&gt;J69/ (1 - Inputs!$B$161), J69/ (1 - Inputs!$B$161), J74), J74/ (1 - Inputs!$B$161) )</f>
        <v>0</v>
      </c>
      <c r="K75" s="8">
        <f ca="1">-MIN( IF(K74&gt;K69/ (1 - Inputs!$B$161), K69/ (1 - Inputs!$B$161), K74), K74/ (1 - Inputs!$B$161) )</f>
        <v>0</v>
      </c>
      <c r="L75" s="8">
        <f ca="1">-MIN( IF(L74&gt;L69/ (1 - Inputs!$B$161), L69/ (1 - Inputs!$B$161), L74), L74/ (1 - Inputs!$B$161) )</f>
        <v>0</v>
      </c>
      <c r="M75" s="8">
        <f ca="1">-MIN( IF(M74&gt;M69/ (1 - Inputs!$B$161), M69/ (1 - Inputs!$B$161), M74), M74/ (1 - Inputs!$B$161) )</f>
        <v>0</v>
      </c>
      <c r="N75" s="8">
        <f ca="1">-MIN( IF(N74&gt;N69/ (1 - Inputs!$B$161), N69/ (1 - Inputs!$B$161), N74), N74/ (1 - Inputs!$B$161) )</f>
        <v>0</v>
      </c>
      <c r="O75" s="8">
        <f ca="1">-MIN( IF(O74&gt;O69/ (1 - Inputs!$B$161), O69/ (1 - Inputs!$B$161), O74), O74/ (1 - Inputs!$B$161) )</f>
        <v>0</v>
      </c>
      <c r="P75" s="8">
        <f ca="1">-MIN( IF(P74&gt;P69/ (1 - Inputs!$B$161), P69/ (1 - Inputs!$B$161), P74), P74/ (1 - Inputs!$B$161) )</f>
        <v>0</v>
      </c>
      <c r="Q75" s="8">
        <f ca="1">-MIN( IF(Q74&gt;Q69/ (1 - Inputs!$B$161), Q69/ (1 - Inputs!$B$161), Q74), Q74/ (1 - Inputs!$B$161) )</f>
        <v>0</v>
      </c>
      <c r="R75" s="8">
        <f ca="1">-MIN( IF(R74&gt;R69/ (1 - Inputs!$B$161), R69/ (1 - Inputs!$B$161), R74), R74/ (1 - Inputs!$B$161) )</f>
        <v>0</v>
      </c>
      <c r="S75" s="8">
        <f ca="1">-MIN( IF(S74&gt;S69/ (1 - Inputs!$B$161), S69/ (1 - Inputs!$B$161), S74), S74/ (1 - Inputs!$B$161) )</f>
        <v>0</v>
      </c>
      <c r="T75" s="8">
        <f ca="1">-MIN( IF(T74&gt;T69/ (1 - Inputs!$B$161), T69/ (1 - Inputs!$B$161), T74), T74/ (1 - Inputs!$B$161) )</f>
        <v>0</v>
      </c>
      <c r="U75" s="8">
        <f ca="1">-MIN( IF(U74&gt;U69/ (1 - Inputs!$B$161), U69/ (1 - Inputs!$B$161), U74), U74/ (1 - Inputs!$B$161) )</f>
        <v>0</v>
      </c>
      <c r="V75" s="8">
        <f ca="1">-MIN( IF(V74&gt;V69/ (1 - Inputs!$B$161), V69/ (1 - Inputs!$B$161), V74), V74/ (1 - Inputs!$B$161) )</f>
        <v>0</v>
      </c>
      <c r="W75" s="8">
        <f ca="1">-MIN( IF(W74&gt;W69/ (1 - Inputs!$B$161), W69/ (1 - Inputs!$B$161), W74), W74/ (1 - Inputs!$B$161) )</f>
        <v>0</v>
      </c>
      <c r="X75" s="8">
        <f ca="1">-MIN( IF(X74&gt;X69/ (1 - Inputs!$B$161), X69/ (1 - Inputs!$B$161), X74), X74/ (1 - Inputs!$B$161) )</f>
        <v>0</v>
      </c>
      <c r="Y75" s="8">
        <f ca="1">-MIN( IF(Y74&gt;Y69/ (1 - Inputs!$B$161), Y69/ (1 - Inputs!$B$161), Y74), Y74/ (1 - Inputs!$B$161) )</f>
        <v>0</v>
      </c>
      <c r="Z75" s="8">
        <f ca="1">-MIN( IF(Z74&gt;Z69/ (1 - Inputs!$B$161), Z69/ (1 - Inputs!$B$161), Z74), Z74/ (1 - Inputs!$B$161) )</f>
        <v>0</v>
      </c>
      <c r="AA75" s="8">
        <f ca="1">-MIN( IF(AA74&gt;AA69/ (1 - Inputs!$B$161), AA69/ (1 - Inputs!$B$161), AA74), AA74/ (1 - Inputs!$B$161) )</f>
        <v>0</v>
      </c>
      <c r="AB75" s="8">
        <f ca="1">-MIN( IF(AB74&gt;AB69/ (1 - Inputs!$B$161), AB69/ (1 - Inputs!$B$161), AB74), AB74/ (1 - Inputs!$B$161) )</f>
        <v>0</v>
      </c>
      <c r="AC75" s="8">
        <f ca="1">-MIN( IF(AC74&gt;AC69/ (1 - Inputs!$B$161), AC69/ (1 - Inputs!$B$161), AC74), AC74/ (1 - Inputs!$B$161) )</f>
        <v>-24334.934061465388</v>
      </c>
      <c r="AD75" s="8">
        <f ca="1">-MIN( IF(AD74&gt;AD69/ (1 - Inputs!$B$161), AD69/ (1 - Inputs!$B$161), AD74), AD74/ (1 - Inputs!$B$161) )</f>
        <v>-56383.684740254837</v>
      </c>
      <c r="AE75" s="8">
        <f ca="1">-MIN( IF(AE74&gt;AE69/ (1 - Inputs!$B$161), AE69/ (1 - Inputs!$B$161), AE74), AE74/ (1 - Inputs!$B$161) )</f>
        <v>-47285.408338986424</v>
      </c>
      <c r="AF75" s="8">
        <f ca="1">-MIN( IF(AF74&gt;AF69/ (1 - Inputs!$B$161), AF69/ (1 - Inputs!$B$161), AF74), AF74/ (1 - Inputs!$B$161) )</f>
        <v>-48467.543547461086</v>
      </c>
      <c r="AG75" s="8">
        <f ca="1">-MIN( IF(AG74&gt;AG69/ (1 - Inputs!$B$161), AG69/ (1 - Inputs!$B$161), AG74), AG74/ (1 - Inputs!$B$161) )</f>
        <v>-49679.232136147606</v>
      </c>
      <c r="AH75" s="8">
        <f ca="1">-MIN( IF(AH74&gt;AH69/ (1 - Inputs!$B$161), AH69/ (1 - Inputs!$B$161), AH74), AH74/ (1 - Inputs!$B$161) )</f>
        <v>-50921.212939551304</v>
      </c>
      <c r="AI75" s="8">
        <f ca="1">-MIN( IF(AI74&gt;AI69/ (1 - Inputs!$B$161), AI69/ (1 - Inputs!$B$161), AI74), AI74/ (1 - Inputs!$B$161) )</f>
        <v>-52194.243263040094</v>
      </c>
      <c r="AJ75" s="8">
        <f ca="1">-MIN( IF(AJ74&gt;AJ69/ (1 - Inputs!$B$161), AJ69/ (1 - Inputs!$B$161), AJ74), AJ74/ (1 - Inputs!$B$161) )</f>
        <v>-53499.099344616072</v>
      </c>
      <c r="AK75" s="8">
        <f ca="1">-MIN( IF(AK74&gt;AK69/ (1 - Inputs!$B$161), AK69/ (1 - Inputs!$B$161), AK74), AK74/ (1 - Inputs!$B$161) )</f>
        <v>-54836.57682823146</v>
      </c>
      <c r="AL75" s="8">
        <f ca="1">-MIN( IF(AL74&gt;AL69/ (1 - Inputs!$B$161), AL69/ (1 - Inputs!$B$161), AL74), AL74/ (1 - Inputs!$B$161) )</f>
        <v>-56207.491248937229</v>
      </c>
      <c r="AM75" s="8">
        <f ca="1">-MIN( IF(AM74&gt;AM69/ (1 - Inputs!$B$161), AM69/ (1 - Inputs!$B$161), AM74), AM74/ (1 - Inputs!$B$161) )</f>
        <v>-45849.915905099457</v>
      </c>
      <c r="AN75" s="8">
        <f ca="1">-MIN( IF(AN74&gt;AN69/ (1 - Inputs!$B$161), AN69/ (1 - Inputs!$B$161), AN74), AN74/ (1 - Inputs!$B$161) )</f>
        <v>0</v>
      </c>
      <c r="AO75" s="8">
        <f ca="1">-MIN( IF(AO74&gt;AO69/ (1 - Inputs!$B$161), AO69/ (1 - Inputs!$B$161), AO74), AO74/ (1 - Inputs!$B$161) )</f>
        <v>0</v>
      </c>
      <c r="AP75" s="8">
        <f ca="1">-MIN( IF(AP74&gt;AP69/ (1 - Inputs!$B$161), AP69/ (1 - Inputs!$B$161), AP74), AP74/ (1 - Inputs!$B$161) )</f>
        <v>0</v>
      </c>
      <c r="AQ75" s="8">
        <f ca="1">-MIN( IF(AQ74&gt;AQ69/ (1 - Inputs!$B$161), AQ69/ (1 - Inputs!$B$161), AQ74), AQ74/ (1 - Inputs!$B$161) )</f>
        <v>0</v>
      </c>
      <c r="AR75" s="8">
        <f ca="1">-MIN( IF(AR74&gt;AR69/ (1 - Inputs!$B$161), AR69/ (1 - Inputs!$B$161), AR74), AR74/ (1 - Inputs!$B$161) )</f>
        <v>0</v>
      </c>
      <c r="AS75" s="8">
        <f ca="1">-MIN( IF(AS74&gt;AS69/ (1 - Inputs!$B$161), AS69/ (1 - Inputs!$B$161), AS74), AS74/ (1 - Inputs!$B$161) )</f>
        <v>0</v>
      </c>
      <c r="AT75" s="8">
        <f ca="1">-MIN( IF(AT74&gt;AT69/ (1 - Inputs!$B$161), AT69/ (1 - Inputs!$B$161), AT74), AT74/ (1 - Inputs!$B$161) )</f>
        <v>0</v>
      </c>
      <c r="AU75" s="8">
        <f ca="1">-MIN( IF(AU74&gt;AU69/ (1 - Inputs!$B$161), AU69/ (1 - Inputs!$B$161), AU74), AU74/ (1 - Inputs!$B$161) )</f>
        <v>0</v>
      </c>
      <c r="AV75" s="8">
        <f ca="1">-MIN( IF(AV74&gt;AV69/ (1 - Inputs!$B$161), AV69/ (1 - Inputs!$B$161), AV74), AV74/ (1 - Inputs!$B$161) )</f>
        <v>0</v>
      </c>
      <c r="AW75" s="8">
        <f ca="1">-MIN( IF(AW74&gt;AW69/ (1 - Inputs!$B$161), AW69/ (1 - Inputs!$B$161), AW74), AW74/ (1 - Inputs!$B$161) )</f>
        <v>0</v>
      </c>
    </row>
    <row r="76" spans="1:49" x14ac:dyDescent="0.2">
      <c r="A76" s="4" t="s">
        <v>25</v>
      </c>
      <c r="C76" s="8">
        <v>0</v>
      </c>
      <c r="D76" s="8">
        <f t="shared" ref="D76:G76" ca="1" si="102">SUM(D74:D75)*stinc</f>
        <v>4320</v>
      </c>
      <c r="E76" s="8">
        <f t="shared" ca="1" si="102"/>
        <v>4665.6000000000004</v>
      </c>
      <c r="F76" s="8">
        <f t="shared" ca="1" si="102"/>
        <v>5038.848</v>
      </c>
      <c r="G76" s="8">
        <f t="shared" ca="1" si="102"/>
        <v>5441.9558400000005</v>
      </c>
      <c r="H76" s="8">
        <f t="shared" ref="H76:AM76" ca="1" si="103">SUM(H74:H75)*stinc</f>
        <v>5877.3123071999999</v>
      </c>
      <c r="I76" s="8">
        <f t="shared" ca="1" si="103"/>
        <v>6347.4972917760006</v>
      </c>
      <c r="J76" s="8">
        <f t="shared" ca="1" si="103"/>
        <v>6855.2970751180801</v>
      </c>
      <c r="K76" s="8">
        <f t="shared" ca="1" si="103"/>
        <v>7403.7208411275269</v>
      </c>
      <c r="L76" s="8">
        <f t="shared" ca="1" si="103"/>
        <v>7996.0185084177292</v>
      </c>
      <c r="M76" s="8">
        <f t="shared" ca="1" si="103"/>
        <v>8635.6999890911484</v>
      </c>
      <c r="N76" s="8">
        <f t="shared" ca="1" si="103"/>
        <v>9326.5559882184407</v>
      </c>
      <c r="O76" s="8">
        <f t="shared" ca="1" si="103"/>
        <v>10072.680467275915</v>
      </c>
      <c r="P76" s="8">
        <f t="shared" ca="1" si="103"/>
        <v>10878.49490465799</v>
      </c>
      <c r="Q76" s="8">
        <f t="shared" ca="1" si="103"/>
        <v>11748.774497030628</v>
      </c>
      <c r="R76" s="8">
        <f t="shared" ca="1" si="103"/>
        <v>12688.676456793079</v>
      </c>
      <c r="S76" s="8">
        <f t="shared" ca="1" si="103"/>
        <v>13703.770573336524</v>
      </c>
      <c r="T76" s="8">
        <f t="shared" ca="1" si="103"/>
        <v>14800.072219203445</v>
      </c>
      <c r="U76" s="8">
        <f t="shared" ca="1" si="103"/>
        <v>15984.077996739723</v>
      </c>
      <c r="V76" s="8">
        <f t="shared" ca="1" si="103"/>
        <v>17262.8042364789</v>
      </c>
      <c r="W76" s="8">
        <f t="shared" ca="1" si="103"/>
        <v>18643.828575397212</v>
      </c>
      <c r="X76" s="8">
        <f t="shared" ca="1" si="103"/>
        <v>20135.334861428986</v>
      </c>
      <c r="Y76" s="8">
        <f t="shared" ca="1" si="103"/>
        <v>21746.161650343303</v>
      </c>
      <c r="Z76" s="8">
        <f t="shared" ca="1" si="103"/>
        <v>23485.854582370772</v>
      </c>
      <c r="AA76" s="8">
        <f t="shared" ca="1" si="103"/>
        <v>25364.722948960436</v>
      </c>
      <c r="AB76" s="8">
        <f t="shared" ca="1" si="103"/>
        <v>27393.900784877271</v>
      </c>
      <c r="AC76" s="8">
        <f t="shared" ca="1" si="103"/>
        <v>27638.61812275022</v>
      </c>
      <c r="AD76" s="8">
        <f t="shared" ca="1" si="103"/>
        <v>25339.012793349848</v>
      </c>
      <c r="AE76" s="8">
        <f t="shared" ca="1" si="103"/>
        <v>23583.301149698924</v>
      </c>
      <c r="AF76" s="8">
        <f t="shared" ca="1" si="103"/>
        <v>21592.561757877949</v>
      </c>
      <c r="AG76" s="8">
        <f t="shared" ca="1" si="103"/>
        <v>19345.628127616375</v>
      </c>
      <c r="AH76" s="8">
        <f t="shared" ca="1" si="103"/>
        <v>16819.581342661579</v>
      </c>
      <c r="AI76" s="8">
        <f t="shared" ca="1" si="103"/>
        <v>13989.608389031298</v>
      </c>
      <c r="AJ76" s="8">
        <f t="shared" ca="1" si="103"/>
        <v>10828.849112584516</v>
      </c>
      <c r="AK76" s="8">
        <f t="shared" ca="1" si="103"/>
        <v>7308.230895332762</v>
      </c>
      <c r="AL76" s="8">
        <f t="shared" ca="1" si="103"/>
        <v>3396.2900670444042</v>
      </c>
      <c r="AM76" s="8">
        <f t="shared" ca="1" si="103"/>
        <v>0</v>
      </c>
      <c r="AN76" s="8">
        <f t="shared" ref="AN76:AV76" ca="1" si="104">SUM(AN74:AN75)*stinc</f>
        <v>0</v>
      </c>
      <c r="AO76" s="8">
        <f t="shared" ca="1" si="104"/>
        <v>0</v>
      </c>
      <c r="AP76" s="8">
        <f t="shared" ca="1" si="104"/>
        <v>0</v>
      </c>
      <c r="AQ76" s="8">
        <f t="shared" ca="1" si="104"/>
        <v>0</v>
      </c>
      <c r="AR76" s="8">
        <f t="shared" ca="1" si="104"/>
        <v>0</v>
      </c>
      <c r="AS76" s="8">
        <f t="shared" ca="1" si="104"/>
        <v>0</v>
      </c>
      <c r="AT76" s="8">
        <f t="shared" ca="1" si="104"/>
        <v>0</v>
      </c>
      <c r="AU76" s="8">
        <f t="shared" ca="1" si="104"/>
        <v>0</v>
      </c>
      <c r="AV76" s="8">
        <f t="shared" ca="1" si="104"/>
        <v>0</v>
      </c>
      <c r="AW76" s="8">
        <f t="shared" ref="AW76" ca="1" si="105">SUM(AW74:AW75)*stinc</f>
        <v>0</v>
      </c>
    </row>
    <row r="77" spans="1:49" x14ac:dyDescent="0.2">
      <c r="A77" s="4" t="s">
        <v>26</v>
      </c>
      <c r="C77" s="8">
        <f ca="1">SUM(C74:C76)</f>
        <v>54000</v>
      </c>
      <c r="D77" s="8">
        <f ca="1">SUM(D74:D76)</f>
        <v>58320</v>
      </c>
      <c r="E77" s="8">
        <f t="shared" ref="E77:G77" ca="1" si="106">SUM(E74:E76)</f>
        <v>62985.599999999999</v>
      </c>
      <c r="F77" s="8">
        <f t="shared" ca="1" si="106"/>
        <v>68024.448000000004</v>
      </c>
      <c r="G77" s="8">
        <f t="shared" ca="1" si="106"/>
        <v>73466.403839999999</v>
      </c>
      <c r="H77" s="8">
        <f t="shared" ref="H77:AM77" ca="1" si="107">SUM(H74:H76)</f>
        <v>79343.716147200001</v>
      </c>
      <c r="I77" s="8">
        <f t="shared" ca="1" si="107"/>
        <v>85691.213438976003</v>
      </c>
      <c r="J77" s="8">
        <f t="shared" ca="1" si="107"/>
        <v>92546.510514094087</v>
      </c>
      <c r="K77" s="8">
        <f t="shared" ca="1" si="107"/>
        <v>99950.231355221607</v>
      </c>
      <c r="L77" s="8">
        <f t="shared" ca="1" si="107"/>
        <v>107946.24986363934</v>
      </c>
      <c r="M77" s="8">
        <f t="shared" ca="1" si="107"/>
        <v>116581.9498527305</v>
      </c>
      <c r="N77" s="8">
        <f t="shared" ca="1" si="107"/>
        <v>125908.50584094894</v>
      </c>
      <c r="O77" s="8">
        <f t="shared" ca="1" si="107"/>
        <v>135981.18630822486</v>
      </c>
      <c r="P77" s="8">
        <f t="shared" ca="1" si="107"/>
        <v>146859.68121288286</v>
      </c>
      <c r="Q77" s="8">
        <f t="shared" ca="1" si="107"/>
        <v>158608.45570991348</v>
      </c>
      <c r="R77" s="8">
        <f t="shared" ca="1" si="107"/>
        <v>171297.13216670655</v>
      </c>
      <c r="S77" s="8">
        <f t="shared" ca="1" si="107"/>
        <v>185000.90274004306</v>
      </c>
      <c r="T77" s="8">
        <f t="shared" ca="1" si="107"/>
        <v>199800.97495924652</v>
      </c>
      <c r="U77" s="8">
        <f t="shared" ca="1" si="107"/>
        <v>215785.05295598623</v>
      </c>
      <c r="V77" s="8">
        <f t="shared" ca="1" si="107"/>
        <v>233047.85719246513</v>
      </c>
      <c r="W77" s="8">
        <f t="shared" ca="1" si="107"/>
        <v>251691.68576786233</v>
      </c>
      <c r="X77" s="8">
        <f t="shared" ca="1" si="107"/>
        <v>271827.02062929131</v>
      </c>
      <c r="Y77" s="8">
        <f t="shared" ca="1" si="107"/>
        <v>293573.18227963464</v>
      </c>
      <c r="Z77" s="8">
        <f t="shared" ca="1" si="107"/>
        <v>317059.03686200542</v>
      </c>
      <c r="AA77" s="8">
        <f t="shared" ca="1" si="107"/>
        <v>342423.75981096586</v>
      </c>
      <c r="AB77" s="8">
        <f t="shared" ca="1" si="107"/>
        <v>369817.6605958431</v>
      </c>
      <c r="AC77" s="8">
        <f t="shared" ca="1" si="107"/>
        <v>373121.34465712792</v>
      </c>
      <c r="AD77" s="8">
        <f t="shared" ca="1" si="107"/>
        <v>342076.67271022295</v>
      </c>
      <c r="AE77" s="8">
        <f t="shared" ca="1" si="107"/>
        <v>318374.56552093546</v>
      </c>
      <c r="AF77" s="8">
        <f t="shared" ca="1" si="107"/>
        <v>291499.58373135229</v>
      </c>
      <c r="AG77" s="8">
        <f t="shared" ca="1" si="107"/>
        <v>261165.97972282104</v>
      </c>
      <c r="AH77" s="8">
        <f t="shared" ca="1" si="107"/>
        <v>227064.34812593131</v>
      </c>
      <c r="AI77" s="8">
        <f t="shared" ca="1" si="107"/>
        <v>188859.71325192251</v>
      </c>
      <c r="AJ77" s="8">
        <f t="shared" ca="1" si="107"/>
        <v>146189.46301989097</v>
      </c>
      <c r="AK77" s="8">
        <f t="shared" ca="1" si="107"/>
        <v>98661.117086992279</v>
      </c>
      <c r="AL77" s="8">
        <f t="shared" ca="1" si="107"/>
        <v>45849.915905099457</v>
      </c>
      <c r="AM77" s="8">
        <f t="shared" ca="1" si="107"/>
        <v>0</v>
      </c>
      <c r="AN77" s="8">
        <f t="shared" ref="AN77:AV77" ca="1" si="108">SUM(AN74:AN76)</f>
        <v>0</v>
      </c>
      <c r="AO77" s="8">
        <f t="shared" ca="1" si="108"/>
        <v>0</v>
      </c>
      <c r="AP77" s="8">
        <f t="shared" ca="1" si="108"/>
        <v>0</v>
      </c>
      <c r="AQ77" s="8">
        <f t="shared" ca="1" si="108"/>
        <v>0</v>
      </c>
      <c r="AR77" s="8">
        <f t="shared" ca="1" si="108"/>
        <v>0</v>
      </c>
      <c r="AS77" s="8">
        <f t="shared" ca="1" si="108"/>
        <v>0</v>
      </c>
      <c r="AT77" s="8">
        <f t="shared" ca="1" si="108"/>
        <v>0</v>
      </c>
      <c r="AU77" s="8">
        <f t="shared" ca="1" si="108"/>
        <v>0</v>
      </c>
      <c r="AV77" s="8">
        <f t="shared" ca="1" si="108"/>
        <v>0</v>
      </c>
      <c r="AW77" s="8">
        <f t="shared" ref="AW77" ca="1" si="109">SUM(AW74:AW76)</f>
        <v>0</v>
      </c>
    </row>
    <row r="78" spans="1:49" x14ac:dyDescent="0.2">
      <c r="A78" s="4" t="s">
        <v>27</v>
      </c>
      <c r="C78" s="8">
        <f ca="1">C75*Inputs!$B$161</f>
        <v>0</v>
      </c>
      <c r="D78" s="8">
        <f ca="1">D75*Inputs!$B$161</f>
        <v>0</v>
      </c>
      <c r="E78" s="8">
        <f ca="1">E75*Inputs!$B$161</f>
        <v>0</v>
      </c>
      <c r="F78" s="8">
        <f ca="1">F75*Inputs!$B$161</f>
        <v>0</v>
      </c>
      <c r="G78" s="8">
        <f ca="1">G75*Inputs!$B$161</f>
        <v>0</v>
      </c>
      <c r="H78" s="8">
        <f ca="1">H75*Inputs!$B$161</f>
        <v>0</v>
      </c>
      <c r="I78" s="8">
        <f ca="1">I75*Inputs!$B$161</f>
        <v>0</v>
      </c>
      <c r="J78" s="8">
        <f ca="1">J75*Inputs!$B$161</f>
        <v>0</v>
      </c>
      <c r="K78" s="8">
        <f ca="1">K75*Inputs!$B$161</f>
        <v>0</v>
      </c>
      <c r="L78" s="8">
        <f ca="1">L75*Inputs!$B$161</f>
        <v>0</v>
      </c>
      <c r="M78" s="8">
        <f ca="1">M75*Inputs!$B$161</f>
        <v>0</v>
      </c>
      <c r="N78" s="8">
        <f ca="1">N75*Inputs!$B$161</f>
        <v>0</v>
      </c>
      <c r="O78" s="8">
        <f ca="1">O75*Inputs!$B$161</f>
        <v>0</v>
      </c>
      <c r="P78" s="8">
        <f ca="1">P75*Inputs!$B$161</f>
        <v>0</v>
      </c>
      <c r="Q78" s="8">
        <f ca="1">Q75*Inputs!$B$161</f>
        <v>0</v>
      </c>
      <c r="R78" s="8">
        <f ca="1">R75*Inputs!$B$161</f>
        <v>0</v>
      </c>
      <c r="S78" s="8">
        <f ca="1">S75*Inputs!$B$161</f>
        <v>0</v>
      </c>
      <c r="T78" s="8">
        <f ca="1">T75*Inputs!$B$161</f>
        <v>0</v>
      </c>
      <c r="U78" s="8">
        <f ca="1">U75*Inputs!$B$161</f>
        <v>0</v>
      </c>
      <c r="V78" s="8">
        <f ca="1">V75*Inputs!$B$161</f>
        <v>0</v>
      </c>
      <c r="W78" s="8">
        <f ca="1">W75*Inputs!$B$161</f>
        <v>0</v>
      </c>
      <c r="X78" s="8">
        <f ca="1">X75*Inputs!$B$161</f>
        <v>0</v>
      </c>
      <c r="Y78" s="8">
        <f ca="1">Y75*Inputs!$B$161</f>
        <v>0</v>
      </c>
      <c r="Z78" s="8">
        <f ca="1">Z75*Inputs!$B$161</f>
        <v>0</v>
      </c>
      <c r="AA78" s="8">
        <f ca="1">AA75*Inputs!$B$161</f>
        <v>0</v>
      </c>
      <c r="AB78" s="8">
        <f ca="1">AB75*Inputs!$B$161</f>
        <v>0</v>
      </c>
      <c r="AC78" s="8">
        <f ca="1">AC75*Inputs!$B$161</f>
        <v>-1216.7467030732694</v>
      </c>
      <c r="AD78" s="8">
        <f ca="1">AD75*Inputs!$B$161</f>
        <v>-2819.184237012742</v>
      </c>
      <c r="AE78" s="8">
        <f ca="1">AE75*Inputs!$B$161</f>
        <v>-2364.2704169493213</v>
      </c>
      <c r="AF78" s="8">
        <f ca="1">AF75*Inputs!$B$161</f>
        <v>-2423.3771773730546</v>
      </c>
      <c r="AG78" s="8">
        <f ca="1">AG75*Inputs!$B$161</f>
        <v>-2483.9616068073806</v>
      </c>
      <c r="AH78" s="8">
        <f ca="1">AH75*Inputs!$B$161</f>
        <v>-2546.0606469775653</v>
      </c>
      <c r="AI78" s="8">
        <f ca="1">AI75*Inputs!$B$161</f>
        <v>-2609.7121631520049</v>
      </c>
      <c r="AJ78" s="8">
        <f ca="1">AJ75*Inputs!$B$161</f>
        <v>-2674.954967230804</v>
      </c>
      <c r="AK78" s="8">
        <f ca="1">AK75*Inputs!$B$161</f>
        <v>-2741.8288414115732</v>
      </c>
      <c r="AL78" s="8">
        <f ca="1">AL75*Inputs!$B$161</f>
        <v>-2810.3745624468615</v>
      </c>
      <c r="AM78" s="8">
        <f ca="1">AM75*Inputs!$B$161</f>
        <v>-2292.495795254973</v>
      </c>
      <c r="AN78" s="8">
        <f ca="1">AN75*Inputs!$B$161</f>
        <v>0</v>
      </c>
      <c r="AO78" s="8">
        <f ca="1">AO75*Inputs!$B$161</f>
        <v>0</v>
      </c>
      <c r="AP78" s="8">
        <f ca="1">AP75*Inputs!$B$161</f>
        <v>0</v>
      </c>
      <c r="AQ78" s="8">
        <f ca="1">AQ75*Inputs!$B$161</f>
        <v>0</v>
      </c>
      <c r="AR78" s="8">
        <f ca="1">AR75*Inputs!$B$161</f>
        <v>0</v>
      </c>
      <c r="AS78" s="8">
        <f ca="1">AS75*Inputs!$B$161</f>
        <v>0</v>
      </c>
      <c r="AT78" s="8">
        <f ca="1">AT75*Inputs!$B$161</f>
        <v>0</v>
      </c>
      <c r="AU78" s="8">
        <f ca="1">AU75*Inputs!$B$161</f>
        <v>0</v>
      </c>
      <c r="AV78" s="8">
        <f ca="1">AV75*Inputs!$B$161</f>
        <v>0</v>
      </c>
      <c r="AW78" s="8">
        <f ca="1">AW75*Inputs!$B$161</f>
        <v>0</v>
      </c>
    </row>
    <row r="79" spans="1:49" x14ac:dyDescent="0.2">
      <c r="A79" s="4" t="s">
        <v>41</v>
      </c>
      <c r="C79" s="8">
        <f ca="1">-C75+C78</f>
        <v>0</v>
      </c>
      <c r="D79" s="8">
        <f t="shared" ref="D79:G79" ca="1" si="110">-D75+D78</f>
        <v>0</v>
      </c>
      <c r="E79" s="8">
        <f t="shared" ca="1" si="110"/>
        <v>0</v>
      </c>
      <c r="F79" s="8">
        <f t="shared" ca="1" si="110"/>
        <v>0</v>
      </c>
      <c r="G79" s="8">
        <f t="shared" ca="1" si="110"/>
        <v>0</v>
      </c>
      <c r="H79" s="8">
        <f t="shared" ref="H79:AM79" ca="1" si="111">-H75+H78</f>
        <v>0</v>
      </c>
      <c r="I79" s="8">
        <f t="shared" ca="1" si="111"/>
        <v>0</v>
      </c>
      <c r="J79" s="8">
        <f t="shared" ca="1" si="111"/>
        <v>0</v>
      </c>
      <c r="K79" s="8">
        <f t="shared" ca="1" si="111"/>
        <v>0</v>
      </c>
      <c r="L79" s="8">
        <f t="shared" ca="1" si="111"/>
        <v>0</v>
      </c>
      <c r="M79" s="8">
        <f t="shared" ca="1" si="111"/>
        <v>0</v>
      </c>
      <c r="N79" s="8">
        <f t="shared" ca="1" si="111"/>
        <v>0</v>
      </c>
      <c r="O79" s="8">
        <f t="shared" ca="1" si="111"/>
        <v>0</v>
      </c>
      <c r="P79" s="8">
        <f t="shared" ca="1" si="111"/>
        <v>0</v>
      </c>
      <c r="Q79" s="8">
        <f t="shared" ca="1" si="111"/>
        <v>0</v>
      </c>
      <c r="R79" s="8">
        <f t="shared" ca="1" si="111"/>
        <v>0</v>
      </c>
      <c r="S79" s="8">
        <f t="shared" ca="1" si="111"/>
        <v>0</v>
      </c>
      <c r="T79" s="8">
        <f t="shared" ca="1" si="111"/>
        <v>0</v>
      </c>
      <c r="U79" s="8">
        <f t="shared" ca="1" si="111"/>
        <v>0</v>
      </c>
      <c r="V79" s="8">
        <f t="shared" ca="1" si="111"/>
        <v>0</v>
      </c>
      <c r="W79" s="8">
        <f t="shared" ca="1" si="111"/>
        <v>0</v>
      </c>
      <c r="X79" s="8">
        <f t="shared" ca="1" si="111"/>
        <v>0</v>
      </c>
      <c r="Y79" s="8">
        <f t="shared" ca="1" si="111"/>
        <v>0</v>
      </c>
      <c r="Z79" s="8">
        <f t="shared" ca="1" si="111"/>
        <v>0</v>
      </c>
      <c r="AA79" s="8">
        <f t="shared" ca="1" si="111"/>
        <v>0</v>
      </c>
      <c r="AB79" s="8">
        <f t="shared" ca="1" si="111"/>
        <v>0</v>
      </c>
      <c r="AC79" s="8">
        <f t="shared" ca="1" si="111"/>
        <v>23118.187358392119</v>
      </c>
      <c r="AD79" s="8">
        <f t="shared" ca="1" si="111"/>
        <v>53564.500503242096</v>
      </c>
      <c r="AE79" s="8">
        <f t="shared" ca="1" si="111"/>
        <v>44921.137922037102</v>
      </c>
      <c r="AF79" s="8">
        <f t="shared" ca="1" si="111"/>
        <v>46044.166370088031</v>
      </c>
      <c r="AG79" s="8">
        <f t="shared" ca="1" si="111"/>
        <v>47195.270529340225</v>
      </c>
      <c r="AH79" s="8">
        <f t="shared" ca="1" si="111"/>
        <v>48375.152292573737</v>
      </c>
      <c r="AI79" s="8">
        <f t="shared" ca="1" si="111"/>
        <v>49584.531099888089</v>
      </c>
      <c r="AJ79" s="8">
        <f t="shared" ca="1" si="111"/>
        <v>50824.144377385266</v>
      </c>
      <c r="AK79" s="8">
        <f t="shared" ca="1" si="111"/>
        <v>52094.747986819886</v>
      </c>
      <c r="AL79" s="8">
        <f t="shared" ca="1" si="111"/>
        <v>53397.116686490364</v>
      </c>
      <c r="AM79" s="8">
        <f t="shared" ca="1" si="111"/>
        <v>43557.420109844483</v>
      </c>
      <c r="AN79" s="8">
        <f t="shared" ref="AN79:AV79" ca="1" si="112">-AN75+AN78</f>
        <v>0</v>
      </c>
      <c r="AO79" s="8">
        <f t="shared" ca="1" si="112"/>
        <v>0</v>
      </c>
      <c r="AP79" s="8">
        <f t="shared" ca="1" si="112"/>
        <v>0</v>
      </c>
      <c r="AQ79" s="8">
        <f t="shared" ca="1" si="112"/>
        <v>0</v>
      </c>
      <c r="AR79" s="8">
        <f t="shared" ca="1" si="112"/>
        <v>0</v>
      </c>
      <c r="AS79" s="8">
        <f t="shared" ca="1" si="112"/>
        <v>0</v>
      </c>
      <c r="AT79" s="8">
        <f t="shared" ca="1" si="112"/>
        <v>0</v>
      </c>
      <c r="AU79" s="8">
        <f t="shared" ca="1" si="112"/>
        <v>0</v>
      </c>
      <c r="AV79" s="8">
        <f t="shared" ca="1" si="112"/>
        <v>0</v>
      </c>
      <c r="AW79" s="8">
        <f t="shared" ref="AW79" ca="1" si="113">-AW75+AW78</f>
        <v>0</v>
      </c>
    </row>
    <row r="80" spans="1:49" x14ac:dyDescent="0.2">
      <c r="A80" s="5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">
      <c r="A81" s="4" t="s">
        <v>87</v>
      </c>
      <c r="C81" s="8">
        <f ca="1">C68+SUM($C79:C79)</f>
        <v>184898.75</v>
      </c>
      <c r="D81" s="8">
        <f ca="1">D68+SUM($C79:D79)</f>
        <v>190464.1875</v>
      </c>
      <c r="E81" s="8">
        <f ca="1">E68+SUM($C79:E79)</f>
        <v>196735.69765625001</v>
      </c>
      <c r="F81" s="8">
        <f ca="1">F68+SUM($C79:F79)</f>
        <v>203754.49157812502</v>
      </c>
      <c r="G81" s="8">
        <f ca="1">G68+SUM($C79:G79)</f>
        <v>211563.68121130861</v>
      </c>
      <c r="H81" s="8">
        <f ca="1">H68+SUM($C79:H79)</f>
        <v>220208.35706995256</v>
      </c>
      <c r="I81" s="8">
        <f ca="1">I68+SUM($C79:I79)</f>
        <v>229735.66892084025</v>
      </c>
      <c r="J81" s="8">
        <f ca="1">J68+SUM($C79:J79)</f>
        <v>240194.90952617431</v>
      </c>
      <c r="K81" s="8">
        <f ca="1">K68+SUM($C79:K79)</f>
        <v>251637.60155532236</v>
      </c>
      <c r="L81" s="8">
        <f ca="1">L68+SUM($C79:L79)</f>
        <v>264117.58777969546</v>
      </c>
      <c r="M81" s="8">
        <f ca="1">M68+SUM($C79:M79)</f>
        <v>277691.1246689033</v>
      </c>
      <c r="N81" s="8">
        <f ca="1">N68+SUM($C79:N79)</f>
        <v>292416.97951043496</v>
      </c>
      <c r="O81" s="8">
        <f ca="1">O68+SUM($C79:O79)</f>
        <v>308356.53117935767</v>
      </c>
      <c r="P81" s="8">
        <f ca="1">P68+SUM($C79:P79)</f>
        <v>325573.87468891207</v>
      </c>
      <c r="Q81" s="8">
        <f ca="1">Q68+SUM($C79:Q79)</f>
        <v>344135.92965741799</v>
      </c>
      <c r="R81" s="8">
        <f ca="1">R68+SUM($C79:R79)</f>
        <v>367161.10470025497</v>
      </c>
      <c r="S81" s="8">
        <f ca="1">S68+SUM($C79:S79)</f>
        <v>398421.42047661229</v>
      </c>
      <c r="T81" s="8">
        <f ca="1">T68+SUM($C79:T79)</f>
        <v>358811.20508166938</v>
      </c>
      <c r="U81" s="8">
        <f ca="1">U68+SUM($C79:U79)</f>
        <v>324854.73778757063</v>
      </c>
      <c r="V81" s="8">
        <f ca="1">V68+SUM($C79:V79)</f>
        <v>288963.69012559089</v>
      </c>
      <c r="W81" s="8">
        <f ca="1">W68+SUM($C79:W79)</f>
        <v>251062.55586939497</v>
      </c>
      <c r="X81" s="8">
        <f ca="1">X68+SUM($C79:X79)</f>
        <v>211073.26259406074</v>
      </c>
      <c r="Y81" s="8">
        <f ca="1">Y68+SUM($C79:Y79)</f>
        <v>168915.09055754144</v>
      </c>
      <c r="Z81" s="8">
        <f ca="1">Z68+SUM($C79:Z79)</f>
        <v>124504.58913007489</v>
      </c>
      <c r="AA81" s="8">
        <f ca="1">AA68+SUM($C79:AA79)</f>
        <v>77755.490699636561</v>
      </c>
      <c r="AB81" s="8">
        <f ca="1">AB68+SUM($C79:AB79)</f>
        <v>28578.621979470016</v>
      </c>
      <c r="AC81" s="8">
        <f ca="1">AC68+SUM($C79:AC79)</f>
        <v>0</v>
      </c>
      <c r="AD81" s="8">
        <f ca="1">AD68+SUM($C79:AD79)</f>
        <v>0</v>
      </c>
      <c r="AE81" s="8">
        <f ca="1">AE68+SUM($C79:AE79)</f>
        <v>0</v>
      </c>
      <c r="AF81" s="8">
        <f ca="1">AF68+SUM($C79:AF79)</f>
        <v>0</v>
      </c>
      <c r="AG81" s="8">
        <f ca="1">AG68+SUM($C79:AG79)</f>
        <v>0</v>
      </c>
      <c r="AH81" s="8">
        <f ca="1">AH68+SUM($C79:AH79)</f>
        <v>0</v>
      </c>
      <c r="AI81" s="8">
        <f ca="1">AI68+SUM($C79:AI79)</f>
        <v>0</v>
      </c>
      <c r="AJ81" s="8">
        <f ca="1">AJ68+SUM($C79:AJ79)</f>
        <v>0</v>
      </c>
      <c r="AK81" s="8">
        <f ca="1">AK68+SUM($C79:AK79)</f>
        <v>0</v>
      </c>
      <c r="AL81" s="8">
        <f ca="1">AL68+SUM($C79:AL79)</f>
        <v>0</v>
      </c>
      <c r="AM81" s="8">
        <f ca="1">AM68+SUM($C79:AM79)</f>
        <v>-11174.624493808195</v>
      </c>
      <c r="AN81" s="8">
        <f ca="1">AN68+SUM($C79:AN79)</f>
        <v>-67274.970212552173</v>
      </c>
      <c r="AO81" s="8">
        <f ca="1">AO68+SUM($C79:AO79)</f>
        <v>-124777.82457426476</v>
      </c>
      <c r="AP81" s="8">
        <f ca="1">AP68+SUM($C79:AP79)</f>
        <v>-183718.25029502012</v>
      </c>
      <c r="AQ81" s="8">
        <f ca="1">AQ68+SUM($C79:AQ79)</f>
        <v>-244132.18665879435</v>
      </c>
      <c r="AR81" s="8">
        <f ca="1">AR68+SUM($C79:AR79)</f>
        <v>-306056.47143166297</v>
      </c>
      <c r="AS81" s="8">
        <f ca="1">AS68+SUM($C79:AS79)</f>
        <v>-369528.86332385329</v>
      </c>
      <c r="AT81" s="8">
        <f ca="1">AT68+SUM($C79:AT79)</f>
        <v>-434588.06501334842</v>
      </c>
      <c r="AU81" s="8">
        <f ca="1">AU68+SUM($C79:AU79)</f>
        <v>-501273.74674508086</v>
      </c>
      <c r="AV81" s="8">
        <f ca="1">AV68+SUM($C79:AV79)</f>
        <v>-569626.57052010647</v>
      </c>
      <c r="AW81" s="8">
        <f ca="1">AW68+SUM($C79:AW79)</f>
        <v>-639688.21488950797</v>
      </c>
    </row>
    <row r="82" spans="1:49" x14ac:dyDescent="0.2">
      <c r="A82" s="4" t="s">
        <v>21</v>
      </c>
      <c r="C82" s="8">
        <f ca="1">IF(C81&lt;0,C81,0)</f>
        <v>0</v>
      </c>
      <c r="D82" s="8">
        <f ca="1">IF(D81+SUM($C82:C82)&lt;0,-(D81+SUM($C82:C82)),0)</f>
        <v>0</v>
      </c>
      <c r="E82" s="8">
        <f ca="1">IF(E81+SUM($C82:D82)&lt;0,-(E81+SUM($C82:D82)),0)</f>
        <v>0</v>
      </c>
      <c r="F82" s="8">
        <f ca="1">IF(F81+SUM($C82:E82)&lt;0,-(F81+SUM($C82:E82)),0)</f>
        <v>0</v>
      </c>
      <c r="G82" s="8">
        <f ca="1">IF(G81+SUM($C82:F82)&lt;0,-(G81+SUM($C82:F82)),0)</f>
        <v>0</v>
      </c>
      <c r="H82" s="8">
        <f ca="1">IF(H81+SUM($C82:G82)&lt;0,-(H81+SUM($C82:G82)),0)</f>
        <v>0</v>
      </c>
      <c r="I82" s="8">
        <f ca="1">IF(I81+SUM($C82:H82)&lt;0,-(I81+SUM($C82:H82)),0)</f>
        <v>0</v>
      </c>
      <c r="J82" s="8">
        <f ca="1">IF(J81+SUM($C82:I82)&lt;0,-(J81+SUM($C82:I82)),0)</f>
        <v>0</v>
      </c>
      <c r="K82" s="8">
        <f ca="1">IF(K81+SUM($C82:J82)&lt;0,-(K81+SUM($C82:J82)),0)</f>
        <v>0</v>
      </c>
      <c r="L82" s="8">
        <f ca="1">IF(L81+SUM($C82:K82)&lt;0,-(L81+SUM($C82:K82)),0)</f>
        <v>0</v>
      </c>
      <c r="M82" s="8">
        <f ca="1">IF(M81+SUM($C82:L82)&lt;0,-(M81+SUM($C82:L82)),0)</f>
        <v>0</v>
      </c>
      <c r="N82" s="8">
        <f ca="1">IF(N81+SUM($C82:M82)&lt;0,-(N81+SUM($C82:M82)),0)</f>
        <v>0</v>
      </c>
      <c r="O82" s="8">
        <f ca="1">IF(O81+SUM($C82:N82)&lt;0,-(O81+SUM($C82:N82)),0)</f>
        <v>0</v>
      </c>
      <c r="P82" s="8">
        <f ca="1">IF(P81+SUM($C82:O82)&lt;0,-(P81+SUM($C82:O82)),0)</f>
        <v>0</v>
      </c>
      <c r="Q82" s="8">
        <f ca="1">IF(Q81+SUM($C82:P82)&lt;0,-(Q81+SUM($C82:P82)),0)</f>
        <v>0</v>
      </c>
      <c r="R82" s="8">
        <f ca="1">IF(R81+SUM($C82:Q82)&lt;0,-(R81+SUM($C82:Q82)),0)</f>
        <v>0</v>
      </c>
      <c r="S82" s="8">
        <f ca="1">IF(S81+SUM($C82:R82)&lt;0,-(S81+SUM($C82:R82)),0)</f>
        <v>0</v>
      </c>
      <c r="T82" s="8">
        <f ca="1">IF(T81+SUM($C82:S82)&lt;0,-(T81+SUM($C82:S82)),0)</f>
        <v>0</v>
      </c>
      <c r="U82" s="8">
        <f ca="1">IF(U81+SUM($C82:T82)&lt;0,-(U81+SUM($C82:T82)),0)</f>
        <v>0</v>
      </c>
      <c r="V82" s="8">
        <f ca="1">IF(V81+SUM($C82:U82)&lt;0,-(V81+SUM($C82:U82)),0)</f>
        <v>0</v>
      </c>
      <c r="W82" s="8">
        <f ca="1">IF(W81+SUM($C82:V82)&lt;0,-(W81+SUM($C82:V82)),0)</f>
        <v>0</v>
      </c>
      <c r="X82" s="8">
        <f ca="1">IF(X81+SUM($C82:W82)&lt;0,-(X81+SUM($C82:W82)),0)</f>
        <v>0</v>
      </c>
      <c r="Y82" s="8">
        <f ca="1">IF(Y81+SUM($C82:X82)&lt;0,-(Y81+SUM($C82:X82)),0)</f>
        <v>0</v>
      </c>
      <c r="Z82" s="8">
        <f ca="1">IF(Z81+SUM($C82:Y82)&lt;0,-(Z81+SUM($C82:Y82)),0)</f>
        <v>0</v>
      </c>
      <c r="AA82" s="8">
        <f ca="1">IF(AA81+SUM($C82:Z82)&lt;0,-(AA81+SUM($C82:Z82)),0)</f>
        <v>0</v>
      </c>
      <c r="AB82" s="8">
        <f ca="1">IF(AB81+SUM($C82:AA82)&lt;0,-(AB81+SUM($C82:AA82)),0)</f>
        <v>0</v>
      </c>
      <c r="AC82" s="8">
        <f ca="1">IF(AC81+SUM($C82:AB82)&lt;0,-(AC81+SUM($C82:AB82)),0)</f>
        <v>0</v>
      </c>
      <c r="AD82" s="8">
        <f ca="1">IF(AD81+SUM($C82:AC82)&lt;0,-(AD81+SUM($C82:AC82)),0)</f>
        <v>0</v>
      </c>
      <c r="AE82" s="8">
        <f ca="1">IF(AE81+SUM($C82:AD82)&lt;0,-(AE81+SUM($C82:AD82)),0)</f>
        <v>0</v>
      </c>
      <c r="AF82" s="8">
        <f ca="1">IF(AF81+SUM($C82:AE82)&lt;0,-(AF81+SUM($C82:AE82)),0)</f>
        <v>0</v>
      </c>
      <c r="AG82" s="8">
        <f ca="1">IF(AG81+SUM($C82:AF82)&lt;0,-(AG81+SUM($C82:AF82)),0)</f>
        <v>0</v>
      </c>
      <c r="AH82" s="8">
        <f ca="1">IF(AH81+SUM($C82:AG82)&lt;0,-(AH81+SUM($C82:AG82)),0)</f>
        <v>0</v>
      </c>
      <c r="AI82" s="8">
        <f ca="1">IF(AI81+SUM($C82:AH82)&lt;0,-(AI81+SUM($C82:AH82)),0)</f>
        <v>0</v>
      </c>
      <c r="AJ82" s="8">
        <f ca="1">IF(AJ81+SUM($C82:AI82)&lt;0,-(AJ81+SUM($C82:AI82)),0)</f>
        <v>0</v>
      </c>
      <c r="AK82" s="8">
        <f ca="1">IF(AK81+SUM($C82:AJ82)&lt;0,-(AK81+SUM($C82:AJ82)),0)</f>
        <v>0</v>
      </c>
      <c r="AL82" s="8">
        <f ca="1">IF(AL81+SUM($C82:AK82)&lt;0,-(AL81+SUM($C82:AK82)),0)</f>
        <v>0</v>
      </c>
      <c r="AM82" s="8">
        <f ca="1">IF(AM81+SUM($C82:AL82)&lt;0,-(AM81+SUM($C82:AL82)),0)</f>
        <v>11174.624493808195</v>
      </c>
      <c r="AN82" s="8">
        <f ca="1">IF(AN81+SUM($C82:AM82)&lt;0,-(AN81+SUM($C82:AM82)),0)</f>
        <v>56100.345718743978</v>
      </c>
      <c r="AO82" s="8">
        <f ca="1">IF(AO81+SUM($C82:AN82)&lt;0,-(AO81+SUM($C82:AN82)),0)</f>
        <v>57502.854361712583</v>
      </c>
      <c r="AP82" s="8">
        <f ca="1">IF(AP81+SUM($C82:AO82)&lt;0,-(AP81+SUM($C82:AO82)),0)</f>
        <v>58940.42572075536</v>
      </c>
      <c r="AQ82" s="8">
        <f ca="1">IF(AQ81+SUM($C82:AP82)&lt;0,-(AQ81+SUM($C82:AP82)),0)</f>
        <v>60413.936363774235</v>
      </c>
      <c r="AR82" s="8">
        <f ca="1">IF(AR81+SUM($C82:AQ82)&lt;0,-(AR81+SUM($C82:AQ82)),0)</f>
        <v>61924.284772868617</v>
      </c>
      <c r="AS82" s="8">
        <f ca="1">IF(AS81+SUM($C82:AR82)&lt;0,-(AS81+SUM($C82:AR82)),0)</f>
        <v>63472.391892190324</v>
      </c>
      <c r="AT82" s="8">
        <f ca="1">IF(AT81+SUM($C82:AS82)&lt;0,-(AT81+SUM($C82:AS82)),0)</f>
        <v>65059.201689495123</v>
      </c>
      <c r="AU82" s="8">
        <f ca="1">IF(AU81+SUM($C82:AT82)&lt;0,-(AU81+SUM($C82:AT82)),0)</f>
        <v>66685.681731732446</v>
      </c>
      <c r="AV82" s="8">
        <f ca="1">IF(AV81+SUM($C82:AU82)&lt;0,-(AV81+SUM($C82:AU82)),0)</f>
        <v>68352.823775025608</v>
      </c>
      <c r="AW82" s="8">
        <f ca="1">IF(AW81+SUM($C82:AV82)&lt;0,-(AW81+SUM($C82:AV82)),0)</f>
        <v>70061.644369401503</v>
      </c>
    </row>
    <row r="83" spans="1:49" x14ac:dyDescent="0.2">
      <c r="A83" s="4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">
      <c r="A84" s="29" t="str">
        <f>IF(Inputs!$B$165=6,IFERROR(_xlfn.XLOOKUP($B84,Inputs!$B$166:$B$168,Inputs!$A$166:$A$168,,0,1),""),IFERROR(_xlfn.XLOOKUP($B84,Inputs!$C$166:$C$168,Inputs!$A$166:$A$168,,0,1),""))</f>
        <v>Sliema</v>
      </c>
      <c r="B84" s="31">
        <v>1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">
      <c r="A85" s="4" t="s">
        <v>23</v>
      </c>
      <c r="C85" s="8">
        <f>IFERROR(VLOOKUP($A84,$A$52:$H$66,C$1+2,FALSE),0)</f>
        <v>309000</v>
      </c>
      <c r="D85" s="8">
        <f ca="1">C88</f>
        <v>309000</v>
      </c>
      <c r="E85" s="8">
        <f t="shared" ref="E85" ca="1" si="114">D88</f>
        <v>318270</v>
      </c>
      <c r="F85" s="8">
        <f t="shared" ref="F85" ca="1" si="115">E88</f>
        <v>327818.09999999998</v>
      </c>
      <c r="G85" s="8">
        <f t="shared" ref="G85:AM85" ca="1" si="116">F88</f>
        <v>337652.64299999998</v>
      </c>
      <c r="H85" s="8">
        <f t="shared" ca="1" si="116"/>
        <v>347782.22229000001</v>
      </c>
      <c r="I85" s="8">
        <f t="shared" ca="1" si="116"/>
        <v>358215.68895869999</v>
      </c>
      <c r="J85" s="8">
        <f t="shared" ca="1" si="116"/>
        <v>368962.15962746099</v>
      </c>
      <c r="K85" s="8">
        <f t="shared" ca="1" si="116"/>
        <v>380031.02441628481</v>
      </c>
      <c r="L85" s="8">
        <f t="shared" ca="1" si="116"/>
        <v>391431.95514877333</v>
      </c>
      <c r="M85" s="8">
        <f t="shared" ca="1" si="116"/>
        <v>403174.9138032365</v>
      </c>
      <c r="N85" s="8">
        <f t="shared" ca="1" si="116"/>
        <v>415270.16121733357</v>
      </c>
      <c r="O85" s="8">
        <f t="shared" ca="1" si="116"/>
        <v>427728.26605385356</v>
      </c>
      <c r="P85" s="8">
        <f t="shared" ca="1" si="116"/>
        <v>440560.11403546919</v>
      </c>
      <c r="Q85" s="8">
        <f t="shared" ca="1" si="116"/>
        <v>453776.91745653324</v>
      </c>
      <c r="R85" s="8">
        <f t="shared" ca="1" si="116"/>
        <v>467390.22498022922</v>
      </c>
      <c r="S85" s="8">
        <f t="shared" ca="1" si="116"/>
        <v>481411.9317296361</v>
      </c>
      <c r="T85" s="8">
        <f t="shared" ca="1" si="116"/>
        <v>495854.2896815252</v>
      </c>
      <c r="U85" s="8">
        <f t="shared" ca="1" si="116"/>
        <v>510729.91837197094</v>
      </c>
      <c r="V85" s="8">
        <f t="shared" ca="1" si="116"/>
        <v>526051.81592313002</v>
      </c>
      <c r="W85" s="8">
        <f t="shared" ca="1" si="116"/>
        <v>541833.37040082389</v>
      </c>
      <c r="X85" s="8">
        <f t="shared" ca="1" si="116"/>
        <v>558088.37151284865</v>
      </c>
      <c r="Y85" s="8">
        <f t="shared" ca="1" si="116"/>
        <v>574831.02265823411</v>
      </c>
      <c r="Z85" s="8">
        <f t="shared" ca="1" si="116"/>
        <v>592075.95333798113</v>
      </c>
      <c r="AA85" s="8">
        <f t="shared" ca="1" si="116"/>
        <v>609838.23193812056</v>
      </c>
      <c r="AB85" s="8">
        <f t="shared" ca="1" si="116"/>
        <v>628133.37889626413</v>
      </c>
      <c r="AC85" s="8">
        <f t="shared" ca="1" si="116"/>
        <v>646977.38026315207</v>
      </c>
      <c r="AD85" s="8">
        <f t="shared" ca="1" si="116"/>
        <v>666386.70167104667</v>
      </c>
      <c r="AE85" s="8">
        <f t="shared" ca="1" si="116"/>
        <v>686378.30272117804</v>
      </c>
      <c r="AF85" s="8">
        <f t="shared" ca="1" si="116"/>
        <v>706969.6518028134</v>
      </c>
      <c r="AG85" s="8">
        <f t="shared" ca="1" si="116"/>
        <v>728178.74135689775</v>
      </c>
      <c r="AH85" s="8">
        <f t="shared" ca="1" si="116"/>
        <v>750024.10359760467</v>
      </c>
      <c r="AI85" s="8">
        <f t="shared" ca="1" si="116"/>
        <v>772524.82670553285</v>
      </c>
      <c r="AJ85" s="8">
        <f t="shared" ca="1" si="116"/>
        <v>795700.57150669885</v>
      </c>
      <c r="AK85" s="8">
        <f t="shared" ca="1" si="116"/>
        <v>819571.58865189983</v>
      </c>
      <c r="AL85" s="8">
        <f t="shared" ca="1" si="116"/>
        <v>844158.73631145677</v>
      </c>
      <c r="AM85" s="8">
        <f t="shared" ca="1" si="116"/>
        <v>0</v>
      </c>
      <c r="AN85" s="8">
        <f t="shared" ref="AN85" ca="1" si="117">AM88</f>
        <v>0</v>
      </c>
      <c r="AO85" s="8">
        <f t="shared" ref="AO85" ca="1" si="118">AN88</f>
        <v>0</v>
      </c>
      <c r="AP85" s="8">
        <f t="shared" ref="AP85" ca="1" si="119">AO88</f>
        <v>0</v>
      </c>
      <c r="AQ85" s="8">
        <f t="shared" ref="AQ85" ca="1" si="120">AP88</f>
        <v>0</v>
      </c>
      <c r="AR85" s="8">
        <f t="shared" ref="AR85" ca="1" si="121">AQ88</f>
        <v>0</v>
      </c>
      <c r="AS85" s="8">
        <f t="shared" ref="AS85" ca="1" si="122">AR88</f>
        <v>0</v>
      </c>
      <c r="AT85" s="8">
        <f t="shared" ref="AT85" ca="1" si="123">AS88</f>
        <v>0</v>
      </c>
      <c r="AU85" s="8">
        <f t="shared" ref="AU85" ca="1" si="124">AT88</f>
        <v>0</v>
      </c>
      <c r="AV85" s="8">
        <f t="shared" ref="AV85:AW85" ca="1" si="125">AU88</f>
        <v>0</v>
      </c>
      <c r="AW85" s="8">
        <f t="shared" ca="1" si="125"/>
        <v>0</v>
      </c>
    </row>
    <row r="86" spans="1:49" x14ac:dyDescent="0.2">
      <c r="A86" s="4" t="s">
        <v>24</v>
      </c>
      <c r="C86" s="8">
        <f ca="1">-IF(SUM(C82:D82)&gt;0,C85,0)</f>
        <v>0</v>
      </c>
      <c r="D86" s="8">
        <f ca="1">-IF(E82&gt;0,D85,0)</f>
        <v>0</v>
      </c>
      <c r="E86" s="8">
        <f ca="1">-IF(F82&gt;0,E85,0)</f>
        <v>0</v>
      </c>
      <c r="F86" s="8">
        <f ca="1">-IF(G82&gt;0,F85,0)</f>
        <v>0</v>
      </c>
      <c r="G86" s="8">
        <f t="shared" ref="G86:AM86" ca="1" si="126">-IF(H82&gt;0,G85,0)</f>
        <v>0</v>
      </c>
      <c r="H86" s="8">
        <f t="shared" ca="1" si="126"/>
        <v>0</v>
      </c>
      <c r="I86" s="8">
        <f t="shared" ca="1" si="126"/>
        <v>0</v>
      </c>
      <c r="J86" s="8">
        <f t="shared" ca="1" si="126"/>
        <v>0</v>
      </c>
      <c r="K86" s="8">
        <f t="shared" ca="1" si="126"/>
        <v>0</v>
      </c>
      <c r="L86" s="8">
        <f t="shared" ca="1" si="126"/>
        <v>0</v>
      </c>
      <c r="M86" s="8">
        <f t="shared" ca="1" si="126"/>
        <v>0</v>
      </c>
      <c r="N86" s="8">
        <f t="shared" ca="1" si="126"/>
        <v>0</v>
      </c>
      <c r="O86" s="8">
        <f t="shared" ca="1" si="126"/>
        <v>0</v>
      </c>
      <c r="P86" s="8">
        <f t="shared" ca="1" si="126"/>
        <v>0</v>
      </c>
      <c r="Q86" s="8">
        <f t="shared" ca="1" si="126"/>
        <v>0</v>
      </c>
      <c r="R86" s="8">
        <f t="shared" ca="1" si="126"/>
        <v>0</v>
      </c>
      <c r="S86" s="8">
        <f t="shared" ca="1" si="126"/>
        <v>0</v>
      </c>
      <c r="T86" s="8">
        <f t="shared" ca="1" si="126"/>
        <v>0</v>
      </c>
      <c r="U86" s="8">
        <f t="shared" ca="1" si="126"/>
        <v>0</v>
      </c>
      <c r="V86" s="8">
        <f t="shared" ca="1" si="126"/>
        <v>0</v>
      </c>
      <c r="W86" s="8">
        <f t="shared" ca="1" si="126"/>
        <v>0</v>
      </c>
      <c r="X86" s="8">
        <f t="shared" ca="1" si="126"/>
        <v>0</v>
      </c>
      <c r="Y86" s="8">
        <f t="shared" ca="1" si="126"/>
        <v>0</v>
      </c>
      <c r="Z86" s="8">
        <f t="shared" ca="1" si="126"/>
        <v>0</v>
      </c>
      <c r="AA86" s="8">
        <f t="shared" ca="1" si="126"/>
        <v>0</v>
      </c>
      <c r="AB86" s="8">
        <f t="shared" ca="1" si="126"/>
        <v>0</v>
      </c>
      <c r="AC86" s="8">
        <f t="shared" ca="1" si="126"/>
        <v>0</v>
      </c>
      <c r="AD86" s="8">
        <f t="shared" ca="1" si="126"/>
        <v>0</v>
      </c>
      <c r="AE86" s="8">
        <f t="shared" ca="1" si="126"/>
        <v>0</v>
      </c>
      <c r="AF86" s="8">
        <f t="shared" ca="1" si="126"/>
        <v>0</v>
      </c>
      <c r="AG86" s="8">
        <f t="shared" ca="1" si="126"/>
        <v>0</v>
      </c>
      <c r="AH86" s="8">
        <f t="shared" ca="1" si="126"/>
        <v>0</v>
      </c>
      <c r="AI86" s="8">
        <f t="shared" ca="1" si="126"/>
        <v>0</v>
      </c>
      <c r="AJ86" s="8">
        <f t="shared" ca="1" si="126"/>
        <v>0</v>
      </c>
      <c r="AK86" s="8">
        <f t="shared" ca="1" si="126"/>
        <v>0</v>
      </c>
      <c r="AL86" s="8">
        <f t="shared" ca="1" si="126"/>
        <v>-844158.73631145677</v>
      </c>
      <c r="AM86" s="8">
        <f t="shared" ca="1" si="126"/>
        <v>0</v>
      </c>
      <c r="AN86" s="8">
        <f t="shared" ref="AN86" ca="1" si="127">-IF(AO82&gt;0,AN85,0)</f>
        <v>0</v>
      </c>
      <c r="AO86" s="8">
        <f t="shared" ref="AO86" ca="1" si="128">-IF(AP82&gt;0,AO85,0)</f>
        <v>0</v>
      </c>
      <c r="AP86" s="8">
        <f t="shared" ref="AP86" ca="1" si="129">-IF(AQ82&gt;0,AP85,0)</f>
        <v>0</v>
      </c>
      <c r="AQ86" s="8">
        <f t="shared" ref="AQ86" ca="1" si="130">-IF(AR82&gt;0,AQ85,0)</f>
        <v>0</v>
      </c>
      <c r="AR86" s="8">
        <f t="shared" ref="AR86" ca="1" si="131">-IF(AS82&gt;0,AR85,0)</f>
        <v>0</v>
      </c>
      <c r="AS86" s="8">
        <f t="shared" ref="AS86" ca="1" si="132">-IF(AT82&gt;0,AS85,0)</f>
        <v>0</v>
      </c>
      <c r="AT86" s="8">
        <f t="shared" ref="AT86" ca="1" si="133">-IF(AU82&gt;0,AT85,0)</f>
        <v>0</v>
      </c>
      <c r="AU86" s="8">
        <f t="shared" ref="AU86" ca="1" si="134">-IF(AV82&gt;0,AU85,0)</f>
        <v>0</v>
      </c>
      <c r="AV86" s="8">
        <f t="shared" ref="AV86:AW86" ca="1" si="135">-IF(AW82&gt;0,AV85,0)</f>
        <v>0</v>
      </c>
      <c r="AW86" s="8">
        <f t="shared" si="135"/>
        <v>0</v>
      </c>
    </row>
    <row r="87" spans="1:49" x14ac:dyDescent="0.2">
      <c r="A87" s="4" t="s">
        <v>25</v>
      </c>
      <c r="C87" s="8">
        <v>0</v>
      </c>
      <c r="D87" s="8">
        <f t="shared" ref="D87:G87" ca="1" si="136">SUM(D85:D86)*princ</f>
        <v>9270</v>
      </c>
      <c r="E87" s="8">
        <f t="shared" ca="1" si="136"/>
        <v>9548.1</v>
      </c>
      <c r="F87" s="8">
        <f t="shared" ca="1" si="136"/>
        <v>9834.5429999999997</v>
      </c>
      <c r="G87" s="8">
        <f t="shared" ca="1" si="136"/>
        <v>10129.57929</v>
      </c>
      <c r="H87" s="8">
        <f t="shared" ref="H87:AM87" ca="1" si="137">SUM(H85:H86)*princ</f>
        <v>10433.466668699999</v>
      </c>
      <c r="I87" s="8">
        <f t="shared" ca="1" si="137"/>
        <v>10746.470668761</v>
      </c>
      <c r="J87" s="8">
        <f t="shared" ca="1" si="137"/>
        <v>11068.86478882383</v>
      </c>
      <c r="K87" s="8">
        <f t="shared" ca="1" si="137"/>
        <v>11400.930732488543</v>
      </c>
      <c r="L87" s="8">
        <f t="shared" ca="1" si="137"/>
        <v>11742.9586544632</v>
      </c>
      <c r="M87" s="8">
        <f t="shared" ca="1" si="137"/>
        <v>12095.247414097095</v>
      </c>
      <c r="N87" s="8">
        <f t="shared" ca="1" si="137"/>
        <v>12458.104836520008</v>
      </c>
      <c r="O87" s="8">
        <f t="shared" ca="1" si="137"/>
        <v>12831.847981615607</v>
      </c>
      <c r="P87" s="8">
        <f t="shared" ca="1" si="137"/>
        <v>13216.803421064074</v>
      </c>
      <c r="Q87" s="8">
        <f t="shared" ca="1" si="137"/>
        <v>13613.307523695996</v>
      </c>
      <c r="R87" s="8">
        <f t="shared" ca="1" si="137"/>
        <v>14021.706749406876</v>
      </c>
      <c r="S87" s="8">
        <f t="shared" ca="1" si="137"/>
        <v>14442.357951889082</v>
      </c>
      <c r="T87" s="8">
        <f t="shared" ca="1" si="137"/>
        <v>14875.628690445756</v>
      </c>
      <c r="U87" s="8">
        <f t="shared" ca="1" si="137"/>
        <v>15321.897551159127</v>
      </c>
      <c r="V87" s="8">
        <f t="shared" ca="1" si="137"/>
        <v>15781.5544776939</v>
      </c>
      <c r="W87" s="8">
        <f t="shared" ca="1" si="137"/>
        <v>16255.001112024716</v>
      </c>
      <c r="X87" s="8">
        <f t="shared" ca="1" si="137"/>
        <v>16742.651145385458</v>
      </c>
      <c r="Y87" s="8">
        <f t="shared" ca="1" si="137"/>
        <v>17244.930679747024</v>
      </c>
      <c r="Z87" s="8">
        <f t="shared" ca="1" si="137"/>
        <v>17762.278600139434</v>
      </c>
      <c r="AA87" s="8">
        <f t="shared" ca="1" si="137"/>
        <v>18295.146958143618</v>
      </c>
      <c r="AB87" s="8">
        <f t="shared" ca="1" si="137"/>
        <v>18844.001366887922</v>
      </c>
      <c r="AC87" s="8">
        <f t="shared" ca="1" si="137"/>
        <v>19409.32140789456</v>
      </c>
      <c r="AD87" s="8">
        <f t="shared" ca="1" si="137"/>
        <v>19991.601050131398</v>
      </c>
      <c r="AE87" s="8">
        <f t="shared" ca="1" si="137"/>
        <v>20591.349081635341</v>
      </c>
      <c r="AF87" s="8">
        <f t="shared" ca="1" si="137"/>
        <v>21209.089554084403</v>
      </c>
      <c r="AG87" s="8">
        <f t="shared" ca="1" si="137"/>
        <v>21845.362240706931</v>
      </c>
      <c r="AH87" s="8">
        <f t="shared" ca="1" si="137"/>
        <v>22500.723107928141</v>
      </c>
      <c r="AI87" s="8">
        <f t="shared" ca="1" si="137"/>
        <v>23175.744801165984</v>
      </c>
      <c r="AJ87" s="8">
        <f t="shared" ca="1" si="137"/>
        <v>23871.017145200964</v>
      </c>
      <c r="AK87" s="8">
        <f t="shared" ca="1" si="137"/>
        <v>24587.147659556995</v>
      </c>
      <c r="AL87" s="8">
        <f t="shared" ca="1" si="137"/>
        <v>0</v>
      </c>
      <c r="AM87" s="8">
        <f t="shared" ca="1" si="137"/>
        <v>0</v>
      </c>
      <c r="AN87" s="8">
        <f t="shared" ref="AN87:AV87" ca="1" si="138">SUM(AN85:AN86)*princ</f>
        <v>0</v>
      </c>
      <c r="AO87" s="8">
        <f t="shared" ca="1" si="138"/>
        <v>0</v>
      </c>
      <c r="AP87" s="8">
        <f t="shared" ca="1" si="138"/>
        <v>0</v>
      </c>
      <c r="AQ87" s="8">
        <f t="shared" ca="1" si="138"/>
        <v>0</v>
      </c>
      <c r="AR87" s="8">
        <f t="shared" ca="1" si="138"/>
        <v>0</v>
      </c>
      <c r="AS87" s="8">
        <f t="shared" ca="1" si="138"/>
        <v>0</v>
      </c>
      <c r="AT87" s="8">
        <f t="shared" ca="1" si="138"/>
        <v>0</v>
      </c>
      <c r="AU87" s="8">
        <f t="shared" ca="1" si="138"/>
        <v>0</v>
      </c>
      <c r="AV87" s="8">
        <f t="shared" ca="1" si="138"/>
        <v>0</v>
      </c>
      <c r="AW87" s="8">
        <f t="shared" ref="AW87" ca="1" si="139">SUM(AW85:AW86)*princ</f>
        <v>0</v>
      </c>
    </row>
    <row r="88" spans="1:49" x14ac:dyDescent="0.2">
      <c r="A88" s="4" t="s">
        <v>26</v>
      </c>
      <c r="C88" s="8">
        <f ca="1">SUM(C85:C87)</f>
        <v>309000</v>
      </c>
      <c r="D88" s="8">
        <f t="shared" ref="D88" ca="1" si="140">SUM(D85:D87)</f>
        <v>318270</v>
      </c>
      <c r="E88" s="8">
        <f t="shared" ref="E88" ca="1" si="141">SUM(E85:E87)</f>
        <v>327818.09999999998</v>
      </c>
      <c r="F88" s="8">
        <f t="shared" ref="F88" ca="1" si="142">SUM(F85:F87)</f>
        <v>337652.64299999998</v>
      </c>
      <c r="G88" s="8">
        <f t="shared" ref="G88" ca="1" si="143">SUM(G85:G87)</f>
        <v>347782.22229000001</v>
      </c>
      <c r="H88" s="8">
        <f t="shared" ref="H88:AM88" ca="1" si="144">SUM(H85:H87)</f>
        <v>358215.68895869999</v>
      </c>
      <c r="I88" s="8">
        <f t="shared" ca="1" si="144"/>
        <v>368962.15962746099</v>
      </c>
      <c r="J88" s="8">
        <f t="shared" ca="1" si="144"/>
        <v>380031.02441628481</v>
      </c>
      <c r="K88" s="8">
        <f t="shared" ca="1" si="144"/>
        <v>391431.95514877333</v>
      </c>
      <c r="L88" s="8">
        <f t="shared" ca="1" si="144"/>
        <v>403174.9138032365</v>
      </c>
      <c r="M88" s="8">
        <f t="shared" ca="1" si="144"/>
        <v>415270.16121733357</v>
      </c>
      <c r="N88" s="8">
        <f t="shared" ca="1" si="144"/>
        <v>427728.26605385356</v>
      </c>
      <c r="O88" s="8">
        <f t="shared" ca="1" si="144"/>
        <v>440560.11403546919</v>
      </c>
      <c r="P88" s="8">
        <f t="shared" ca="1" si="144"/>
        <v>453776.91745653324</v>
      </c>
      <c r="Q88" s="8">
        <f t="shared" ca="1" si="144"/>
        <v>467390.22498022922</v>
      </c>
      <c r="R88" s="8">
        <f t="shared" ca="1" si="144"/>
        <v>481411.9317296361</v>
      </c>
      <c r="S88" s="8">
        <f t="shared" ca="1" si="144"/>
        <v>495854.2896815252</v>
      </c>
      <c r="T88" s="8">
        <f t="shared" ca="1" si="144"/>
        <v>510729.91837197094</v>
      </c>
      <c r="U88" s="8">
        <f t="shared" ca="1" si="144"/>
        <v>526051.81592313002</v>
      </c>
      <c r="V88" s="8">
        <f t="shared" ca="1" si="144"/>
        <v>541833.37040082389</v>
      </c>
      <c r="W88" s="8">
        <f t="shared" ca="1" si="144"/>
        <v>558088.37151284865</v>
      </c>
      <c r="X88" s="8">
        <f t="shared" ca="1" si="144"/>
        <v>574831.02265823411</v>
      </c>
      <c r="Y88" s="8">
        <f t="shared" ca="1" si="144"/>
        <v>592075.95333798113</v>
      </c>
      <c r="Z88" s="8">
        <f t="shared" ca="1" si="144"/>
        <v>609838.23193812056</v>
      </c>
      <c r="AA88" s="8">
        <f t="shared" ca="1" si="144"/>
        <v>628133.37889626413</v>
      </c>
      <c r="AB88" s="8">
        <f t="shared" ca="1" si="144"/>
        <v>646977.38026315207</v>
      </c>
      <c r="AC88" s="8">
        <f t="shared" ca="1" si="144"/>
        <v>666386.70167104667</v>
      </c>
      <c r="AD88" s="8">
        <f t="shared" ca="1" si="144"/>
        <v>686378.30272117804</v>
      </c>
      <c r="AE88" s="8">
        <f t="shared" ca="1" si="144"/>
        <v>706969.6518028134</v>
      </c>
      <c r="AF88" s="8">
        <f t="shared" ca="1" si="144"/>
        <v>728178.74135689775</v>
      </c>
      <c r="AG88" s="8">
        <f t="shared" ca="1" si="144"/>
        <v>750024.10359760467</v>
      </c>
      <c r="AH88" s="8">
        <f t="shared" ca="1" si="144"/>
        <v>772524.82670553285</v>
      </c>
      <c r="AI88" s="8">
        <f t="shared" ca="1" si="144"/>
        <v>795700.57150669885</v>
      </c>
      <c r="AJ88" s="8">
        <f t="shared" ca="1" si="144"/>
        <v>819571.58865189983</v>
      </c>
      <c r="AK88" s="8">
        <f t="shared" ca="1" si="144"/>
        <v>844158.73631145677</v>
      </c>
      <c r="AL88" s="8">
        <f t="shared" ca="1" si="144"/>
        <v>0</v>
      </c>
      <c r="AM88" s="8">
        <f t="shared" ca="1" si="144"/>
        <v>0</v>
      </c>
      <c r="AN88" s="8">
        <f t="shared" ref="AN88:AV88" ca="1" si="145">SUM(AN85:AN87)</f>
        <v>0</v>
      </c>
      <c r="AO88" s="8">
        <f t="shared" ca="1" si="145"/>
        <v>0</v>
      </c>
      <c r="AP88" s="8">
        <f t="shared" ca="1" si="145"/>
        <v>0</v>
      </c>
      <c r="AQ88" s="8">
        <f t="shared" ca="1" si="145"/>
        <v>0</v>
      </c>
      <c r="AR88" s="8">
        <f t="shared" ca="1" si="145"/>
        <v>0</v>
      </c>
      <c r="AS88" s="8">
        <f t="shared" ca="1" si="145"/>
        <v>0</v>
      </c>
      <c r="AT88" s="8">
        <f t="shared" ca="1" si="145"/>
        <v>0</v>
      </c>
      <c r="AU88" s="8">
        <f t="shared" ca="1" si="145"/>
        <v>0</v>
      </c>
      <c r="AV88" s="8">
        <f t="shared" ca="1" si="145"/>
        <v>0</v>
      </c>
      <c r="AW88" s="8">
        <f t="shared" ref="AW88" ca="1" si="146">SUM(AW85:AW87)</f>
        <v>0</v>
      </c>
    </row>
    <row r="89" spans="1:49" x14ac:dyDescent="0.2">
      <c r="A89" s="4" t="s">
        <v>27</v>
      </c>
      <c r="C89" s="8">
        <f ca="1">C86*Inputs!$B$163</f>
        <v>0</v>
      </c>
      <c r="D89" s="8">
        <f ca="1">D86*Inputs!$B$163</f>
        <v>0</v>
      </c>
      <c r="E89" s="8">
        <f ca="1">E86*Inputs!$B$163</f>
        <v>0</v>
      </c>
      <c r="F89" s="8">
        <f ca="1">F86*Inputs!$B$163</f>
        <v>0</v>
      </c>
      <c r="G89" s="8">
        <f ca="1">G86*Inputs!$B$163</f>
        <v>0</v>
      </c>
      <c r="H89" s="8">
        <f ca="1">H86*Inputs!$B$163</f>
        <v>0</v>
      </c>
      <c r="I89" s="8">
        <f ca="1">I86*Inputs!$B$163</f>
        <v>0</v>
      </c>
      <c r="J89" s="8">
        <f ca="1">J86*Inputs!$B$163</f>
        <v>0</v>
      </c>
      <c r="K89" s="8">
        <f ca="1">K86*Inputs!$B$163</f>
        <v>0</v>
      </c>
      <c r="L89" s="8">
        <f ca="1">L86*Inputs!$B$163</f>
        <v>0</v>
      </c>
      <c r="M89" s="8">
        <f ca="1">M86*Inputs!$B$163</f>
        <v>0</v>
      </c>
      <c r="N89" s="8">
        <f ca="1">N86*Inputs!$B$163</f>
        <v>0</v>
      </c>
      <c r="O89" s="8">
        <f ca="1">O86*Inputs!$B$163</f>
        <v>0</v>
      </c>
      <c r="P89" s="8">
        <f ca="1">P86*Inputs!$B$163</f>
        <v>0</v>
      </c>
      <c r="Q89" s="8">
        <f ca="1">Q86*Inputs!$B$163</f>
        <v>0</v>
      </c>
      <c r="R89" s="8">
        <f ca="1">R86*Inputs!$B$163</f>
        <v>0</v>
      </c>
      <c r="S89" s="8">
        <f ca="1">S86*Inputs!$B$163</f>
        <v>0</v>
      </c>
      <c r="T89" s="8">
        <f ca="1">T86*Inputs!$B$163</f>
        <v>0</v>
      </c>
      <c r="U89" s="8">
        <f ca="1">U86*Inputs!$B$163</f>
        <v>0</v>
      </c>
      <c r="V89" s="8">
        <f ca="1">V86*Inputs!$B$163</f>
        <v>0</v>
      </c>
      <c r="W89" s="8">
        <f ca="1">W86*Inputs!$B$163</f>
        <v>0</v>
      </c>
      <c r="X89" s="8">
        <f ca="1">X86*Inputs!$B$163</f>
        <v>0</v>
      </c>
      <c r="Y89" s="8">
        <f ca="1">Y86*Inputs!$B$163</f>
        <v>0</v>
      </c>
      <c r="Z89" s="8">
        <f ca="1">Z86*Inputs!$B$163</f>
        <v>0</v>
      </c>
      <c r="AA89" s="8">
        <f ca="1">AA86*Inputs!$B$163</f>
        <v>0</v>
      </c>
      <c r="AB89" s="8">
        <f ca="1">AB86*Inputs!$B$163</f>
        <v>0</v>
      </c>
      <c r="AC89" s="8">
        <f ca="1">AC86*Inputs!$B$163</f>
        <v>0</v>
      </c>
      <c r="AD89" s="8">
        <f ca="1">AD86*Inputs!$B$163</f>
        <v>0</v>
      </c>
      <c r="AE89" s="8">
        <f ca="1">AE86*Inputs!$B$163</f>
        <v>0</v>
      </c>
      <c r="AF89" s="8">
        <f ca="1">AF86*Inputs!$B$163</f>
        <v>0</v>
      </c>
      <c r="AG89" s="8">
        <f ca="1">AG86*Inputs!$B$163</f>
        <v>0</v>
      </c>
      <c r="AH89" s="8">
        <f ca="1">AH86*Inputs!$B$163</f>
        <v>0</v>
      </c>
      <c r="AI89" s="8">
        <f ca="1">AI86*Inputs!$B$163</f>
        <v>0</v>
      </c>
      <c r="AJ89" s="8">
        <f ca="1">AJ86*Inputs!$B$163</f>
        <v>0</v>
      </c>
      <c r="AK89" s="8">
        <f ca="1">AK86*Inputs!$B$163</f>
        <v>0</v>
      </c>
      <c r="AL89" s="8">
        <f ca="1">AL86*Inputs!$B$163</f>
        <v>-126623.8104467185</v>
      </c>
      <c r="AM89" s="8">
        <f ca="1">AM86*Inputs!$B$163</f>
        <v>0</v>
      </c>
      <c r="AN89" s="8">
        <f ca="1">AN86*Inputs!$B$163</f>
        <v>0</v>
      </c>
      <c r="AO89" s="8">
        <f ca="1">AO86*Inputs!$B$163</f>
        <v>0</v>
      </c>
      <c r="AP89" s="8">
        <f ca="1">AP86*Inputs!$B$163</f>
        <v>0</v>
      </c>
      <c r="AQ89" s="8">
        <f ca="1">AQ86*Inputs!$B$163</f>
        <v>0</v>
      </c>
      <c r="AR89" s="8">
        <f ca="1">AR86*Inputs!$B$163</f>
        <v>0</v>
      </c>
      <c r="AS89" s="8">
        <f ca="1">AS86*Inputs!$B$163</f>
        <v>0</v>
      </c>
      <c r="AT89" s="8">
        <f ca="1">AT86*Inputs!$B$163</f>
        <v>0</v>
      </c>
      <c r="AU89" s="8">
        <f ca="1">AU86*Inputs!$B$163</f>
        <v>0</v>
      </c>
      <c r="AV89" s="8">
        <f ca="1">AV86*Inputs!$B$163</f>
        <v>0</v>
      </c>
      <c r="AW89" s="8">
        <f>AW86*Inputs!$B$163</f>
        <v>0</v>
      </c>
    </row>
    <row r="90" spans="1:49" x14ac:dyDescent="0.2">
      <c r="A90" s="4" t="s">
        <v>34</v>
      </c>
      <c r="C90" s="8">
        <f>IFERROR(-IF(C85=0,VLOOKUP($A84,$7:$10,C$1+2,FALSE),0),0)</f>
        <v>0</v>
      </c>
      <c r="D90" s="8">
        <f t="shared" ref="D90:G90" ca="1" si="147">IFERROR(-IF(D85=0,VLOOKUP($A84,$7:$10,D$1+2,FALSE),0),0)</f>
        <v>0</v>
      </c>
      <c r="E90" s="8">
        <f t="shared" ca="1" si="147"/>
        <v>0</v>
      </c>
      <c r="F90" s="8">
        <f t="shared" ca="1" si="147"/>
        <v>0</v>
      </c>
      <c r="G90" s="8">
        <f t="shared" ca="1" si="147"/>
        <v>0</v>
      </c>
      <c r="H90" s="8">
        <f t="shared" ref="H90:AM90" ca="1" si="148">IFERROR(-IF(H85=0,VLOOKUP($A84,$7:$10,H$1+2,FALSE),0),0)</f>
        <v>0</v>
      </c>
      <c r="I90" s="8">
        <f t="shared" ca="1" si="148"/>
        <v>0</v>
      </c>
      <c r="J90" s="8">
        <f t="shared" ca="1" si="148"/>
        <v>0</v>
      </c>
      <c r="K90" s="8">
        <f t="shared" ca="1" si="148"/>
        <v>0</v>
      </c>
      <c r="L90" s="8">
        <f t="shared" ca="1" si="148"/>
        <v>0</v>
      </c>
      <c r="M90" s="8">
        <f t="shared" ca="1" si="148"/>
        <v>0</v>
      </c>
      <c r="N90" s="8">
        <f t="shared" ca="1" si="148"/>
        <v>0</v>
      </c>
      <c r="O90" s="8">
        <f t="shared" ca="1" si="148"/>
        <v>0</v>
      </c>
      <c r="P90" s="8">
        <f t="shared" ca="1" si="148"/>
        <v>0</v>
      </c>
      <c r="Q90" s="8">
        <f t="shared" ca="1" si="148"/>
        <v>0</v>
      </c>
      <c r="R90" s="8">
        <f t="shared" ca="1" si="148"/>
        <v>0</v>
      </c>
      <c r="S90" s="8">
        <f t="shared" ca="1" si="148"/>
        <v>0</v>
      </c>
      <c r="T90" s="8">
        <f t="shared" ca="1" si="148"/>
        <v>0</v>
      </c>
      <c r="U90" s="8">
        <f t="shared" ca="1" si="148"/>
        <v>0</v>
      </c>
      <c r="V90" s="8">
        <f t="shared" ca="1" si="148"/>
        <v>0</v>
      </c>
      <c r="W90" s="8">
        <f t="shared" ca="1" si="148"/>
        <v>0</v>
      </c>
      <c r="X90" s="8">
        <f t="shared" ca="1" si="148"/>
        <v>0</v>
      </c>
      <c r="Y90" s="8">
        <f t="shared" ca="1" si="148"/>
        <v>0</v>
      </c>
      <c r="Z90" s="8">
        <f t="shared" ca="1" si="148"/>
        <v>0</v>
      </c>
      <c r="AA90" s="8">
        <f t="shared" ca="1" si="148"/>
        <v>0</v>
      </c>
      <c r="AB90" s="8">
        <f t="shared" ca="1" si="148"/>
        <v>0</v>
      </c>
      <c r="AC90" s="8">
        <f t="shared" ca="1" si="148"/>
        <v>0</v>
      </c>
      <c r="AD90" s="8">
        <f t="shared" ca="1" si="148"/>
        <v>0</v>
      </c>
      <c r="AE90" s="8">
        <f t="shared" ca="1" si="148"/>
        <v>0</v>
      </c>
      <c r="AF90" s="8">
        <f t="shared" ca="1" si="148"/>
        <v>0</v>
      </c>
      <c r="AG90" s="8">
        <f t="shared" ca="1" si="148"/>
        <v>0</v>
      </c>
      <c r="AH90" s="8">
        <f t="shared" ca="1" si="148"/>
        <v>0</v>
      </c>
      <c r="AI90" s="8">
        <f t="shared" ca="1" si="148"/>
        <v>0</v>
      </c>
      <c r="AJ90" s="8">
        <f t="shared" ca="1" si="148"/>
        <v>0</v>
      </c>
      <c r="AK90" s="8">
        <f t="shared" ca="1" si="148"/>
        <v>0</v>
      </c>
      <c r="AL90" s="8">
        <f t="shared" ca="1" si="148"/>
        <v>0</v>
      </c>
      <c r="AM90" s="8">
        <f t="shared" ca="1" si="148"/>
        <v>0</v>
      </c>
      <c r="AN90" s="8">
        <f t="shared" ref="AN90:AV90" ca="1" si="149">IFERROR(-IF(AN85=0,VLOOKUP($A84,$7:$10,AN$1+2,FALSE),0),0)</f>
        <v>0</v>
      </c>
      <c r="AO90" s="8">
        <f t="shared" ca="1" si="149"/>
        <v>0</v>
      </c>
      <c r="AP90" s="8">
        <f t="shared" ca="1" si="149"/>
        <v>0</v>
      </c>
      <c r="AQ90" s="8">
        <f t="shared" ca="1" si="149"/>
        <v>0</v>
      </c>
      <c r="AR90" s="8">
        <f t="shared" ca="1" si="149"/>
        <v>0</v>
      </c>
      <c r="AS90" s="8">
        <f t="shared" ca="1" si="149"/>
        <v>0</v>
      </c>
      <c r="AT90" s="8">
        <f t="shared" ca="1" si="149"/>
        <v>0</v>
      </c>
      <c r="AU90" s="8">
        <f t="shared" ca="1" si="149"/>
        <v>0</v>
      </c>
      <c r="AV90" s="8">
        <f t="shared" ca="1" si="149"/>
        <v>0</v>
      </c>
      <c r="AW90" s="8">
        <f t="shared" ref="AW90" ca="1" si="150">IFERROR(-IF(AW85=0,VLOOKUP($A84,$7:$10,AW$1+2,FALSE),0),0)</f>
        <v>0</v>
      </c>
    </row>
    <row r="91" spans="1:49" x14ac:dyDescent="0.2">
      <c r="A91" s="4" t="s">
        <v>54</v>
      </c>
      <c r="C91" s="8">
        <f>IFERROR(IF(C85=0,VLOOKUP($A84,$33:$36,C$1+2,FALSE),0),0)</f>
        <v>0</v>
      </c>
      <c r="D91" s="8">
        <f t="shared" ref="D91:G91" ca="1" si="151">IFERROR(IF(D85=0,VLOOKUP($A84,$33:$36,D$1+2,FALSE),0),0)</f>
        <v>0</v>
      </c>
      <c r="E91" s="8">
        <f t="shared" ca="1" si="151"/>
        <v>0</v>
      </c>
      <c r="F91" s="8">
        <f t="shared" ca="1" si="151"/>
        <v>0</v>
      </c>
      <c r="G91" s="8">
        <f t="shared" ca="1" si="151"/>
        <v>0</v>
      </c>
      <c r="H91" s="8">
        <f t="shared" ref="H91:AM91" ca="1" si="152">IFERROR(IF(H85=0,VLOOKUP($A84,$33:$36,H$1+2,FALSE),0),0)</f>
        <v>0</v>
      </c>
      <c r="I91" s="8">
        <f t="shared" ca="1" si="152"/>
        <v>0</v>
      </c>
      <c r="J91" s="8">
        <f t="shared" ca="1" si="152"/>
        <v>0</v>
      </c>
      <c r="K91" s="8">
        <f t="shared" ca="1" si="152"/>
        <v>0</v>
      </c>
      <c r="L91" s="8">
        <f t="shared" ca="1" si="152"/>
        <v>0</v>
      </c>
      <c r="M91" s="8">
        <f t="shared" ca="1" si="152"/>
        <v>0</v>
      </c>
      <c r="N91" s="8">
        <f t="shared" ca="1" si="152"/>
        <v>0</v>
      </c>
      <c r="O91" s="8">
        <f t="shared" ca="1" si="152"/>
        <v>0</v>
      </c>
      <c r="P91" s="8">
        <f t="shared" ca="1" si="152"/>
        <v>0</v>
      </c>
      <c r="Q91" s="8">
        <f t="shared" ca="1" si="152"/>
        <v>0</v>
      </c>
      <c r="R91" s="8">
        <f t="shared" ca="1" si="152"/>
        <v>0</v>
      </c>
      <c r="S91" s="8">
        <f t="shared" ca="1" si="152"/>
        <v>0</v>
      </c>
      <c r="T91" s="8">
        <f t="shared" ca="1" si="152"/>
        <v>0</v>
      </c>
      <c r="U91" s="8">
        <f t="shared" ca="1" si="152"/>
        <v>0</v>
      </c>
      <c r="V91" s="8">
        <f t="shared" ca="1" si="152"/>
        <v>0</v>
      </c>
      <c r="W91" s="8">
        <f t="shared" ca="1" si="152"/>
        <v>0</v>
      </c>
      <c r="X91" s="8">
        <f t="shared" ca="1" si="152"/>
        <v>0</v>
      </c>
      <c r="Y91" s="8">
        <f t="shared" ca="1" si="152"/>
        <v>0</v>
      </c>
      <c r="Z91" s="8">
        <f t="shared" ca="1" si="152"/>
        <v>0</v>
      </c>
      <c r="AA91" s="8">
        <f t="shared" ca="1" si="152"/>
        <v>0</v>
      </c>
      <c r="AB91" s="8">
        <f t="shared" ca="1" si="152"/>
        <v>0</v>
      </c>
      <c r="AC91" s="8">
        <f t="shared" ca="1" si="152"/>
        <v>0</v>
      </c>
      <c r="AD91" s="8">
        <f t="shared" ca="1" si="152"/>
        <v>0</v>
      </c>
      <c r="AE91" s="8">
        <f t="shared" ca="1" si="152"/>
        <v>0</v>
      </c>
      <c r="AF91" s="8">
        <f t="shared" ca="1" si="152"/>
        <v>0</v>
      </c>
      <c r="AG91" s="8">
        <f t="shared" ca="1" si="152"/>
        <v>0</v>
      </c>
      <c r="AH91" s="8">
        <f t="shared" ca="1" si="152"/>
        <v>0</v>
      </c>
      <c r="AI91" s="8">
        <f t="shared" ca="1" si="152"/>
        <v>0</v>
      </c>
      <c r="AJ91" s="8">
        <f t="shared" ca="1" si="152"/>
        <v>0</v>
      </c>
      <c r="AK91" s="8">
        <f t="shared" ca="1" si="152"/>
        <v>0</v>
      </c>
      <c r="AL91" s="8">
        <f t="shared" ca="1" si="152"/>
        <v>0</v>
      </c>
      <c r="AM91" s="8">
        <f t="shared" ca="1" si="152"/>
        <v>1216.2676578589483</v>
      </c>
      <c r="AN91" s="8">
        <f t="shared" ref="AN91:AV91" ca="1" si="153">IFERROR(IF(AN85=0,VLOOKUP($A84,$33:$36,AN$1+2,FALSE),0),0)</f>
        <v>1246.6743493054219</v>
      </c>
      <c r="AO91" s="8">
        <f t="shared" ca="1" si="153"/>
        <v>1277.8412080380569</v>
      </c>
      <c r="AP91" s="8">
        <f t="shared" ca="1" si="153"/>
        <v>1309.7872382390085</v>
      </c>
      <c r="AQ91" s="8">
        <f t="shared" ca="1" si="153"/>
        <v>1342.5319191949836</v>
      </c>
      <c r="AR91" s="8">
        <f t="shared" ca="1" si="153"/>
        <v>1376.0952171748581</v>
      </c>
      <c r="AS91" s="8">
        <f t="shared" ca="1" si="153"/>
        <v>1410.4975976042294</v>
      </c>
      <c r="AT91" s="8">
        <f t="shared" ca="1" si="153"/>
        <v>1445.7600375443353</v>
      </c>
      <c r="AU91" s="8">
        <f t="shared" ca="1" si="153"/>
        <v>1481.9040384829434</v>
      </c>
      <c r="AV91" s="8">
        <f t="shared" ca="1" si="153"/>
        <v>1518.951639445017</v>
      </c>
      <c r="AW91" s="8">
        <f t="shared" ref="AW91" ca="1" si="154">IFERROR(IF(AW85=0,VLOOKUP($A84,$33:$36,AW$1+2,FALSE),0),0)</f>
        <v>1556.9254304311421</v>
      </c>
    </row>
    <row r="92" spans="1:49" x14ac:dyDescent="0.2">
      <c r="A92" s="4" t="s">
        <v>40</v>
      </c>
      <c r="B92" s="16" t="str">
        <f>A84</f>
        <v>Sliema</v>
      </c>
      <c r="C92" s="8">
        <f ca="1">IF(AND(C85&gt;0,C88=0),VLOOKUP($A84,$61:$64,C$1+2,FALSE),0)</f>
        <v>0</v>
      </c>
      <c r="D92" s="8">
        <f t="shared" ref="D92:G92" ca="1" si="155">IF(AND(D85&gt;0,D88=0),VLOOKUP($A84,$61:$64,D$1+2,FALSE),0)</f>
        <v>0</v>
      </c>
      <c r="E92" s="8">
        <f t="shared" ca="1" si="155"/>
        <v>0</v>
      </c>
      <c r="F92" s="8">
        <f t="shared" ca="1" si="155"/>
        <v>0</v>
      </c>
      <c r="G92" s="8">
        <f t="shared" ca="1" si="155"/>
        <v>0</v>
      </c>
      <c r="H92" s="8">
        <f t="shared" ref="H92:AM92" ca="1" si="156">IF(AND(H85&gt;0,H88=0),VLOOKUP($A84,$61:$64,H$1+2,FALSE),0)</f>
        <v>0</v>
      </c>
      <c r="I92" s="8">
        <f t="shared" ca="1" si="156"/>
        <v>0</v>
      </c>
      <c r="J92" s="8">
        <f t="shared" ca="1" si="156"/>
        <v>0</v>
      </c>
      <c r="K92" s="8">
        <f t="shared" ca="1" si="156"/>
        <v>0</v>
      </c>
      <c r="L92" s="8">
        <f t="shared" ca="1" si="156"/>
        <v>0</v>
      </c>
      <c r="M92" s="8">
        <f t="shared" ca="1" si="156"/>
        <v>0</v>
      </c>
      <c r="N92" s="8">
        <f t="shared" ca="1" si="156"/>
        <v>0</v>
      </c>
      <c r="O92" s="8">
        <f t="shared" ca="1" si="156"/>
        <v>0</v>
      </c>
      <c r="P92" s="8">
        <f t="shared" ca="1" si="156"/>
        <v>0</v>
      </c>
      <c r="Q92" s="8">
        <f t="shared" ca="1" si="156"/>
        <v>0</v>
      </c>
      <c r="R92" s="8">
        <f t="shared" ca="1" si="156"/>
        <v>0</v>
      </c>
      <c r="S92" s="8">
        <f t="shared" ca="1" si="156"/>
        <v>0</v>
      </c>
      <c r="T92" s="8">
        <f t="shared" ca="1" si="156"/>
        <v>0</v>
      </c>
      <c r="U92" s="8">
        <f t="shared" ca="1" si="156"/>
        <v>0</v>
      </c>
      <c r="V92" s="8">
        <f t="shared" ca="1" si="156"/>
        <v>0</v>
      </c>
      <c r="W92" s="8">
        <f t="shared" ca="1" si="156"/>
        <v>0</v>
      </c>
      <c r="X92" s="8">
        <f t="shared" ca="1" si="156"/>
        <v>0</v>
      </c>
      <c r="Y92" s="8">
        <f t="shared" ca="1" si="156"/>
        <v>0</v>
      </c>
      <c r="Z92" s="8">
        <f t="shared" ca="1" si="156"/>
        <v>0</v>
      </c>
      <c r="AA92" s="8">
        <f t="shared" ca="1" si="156"/>
        <v>0</v>
      </c>
      <c r="AB92" s="8">
        <f t="shared" ca="1" si="156"/>
        <v>0</v>
      </c>
      <c r="AC92" s="8">
        <f t="shared" ca="1" si="156"/>
        <v>0</v>
      </c>
      <c r="AD92" s="8">
        <f t="shared" ca="1" si="156"/>
        <v>0</v>
      </c>
      <c r="AE92" s="8">
        <f t="shared" ca="1" si="156"/>
        <v>0</v>
      </c>
      <c r="AF92" s="8">
        <f t="shared" ca="1" si="156"/>
        <v>0</v>
      </c>
      <c r="AG92" s="8">
        <f t="shared" ca="1" si="156"/>
        <v>0</v>
      </c>
      <c r="AH92" s="8">
        <f t="shared" ca="1" si="156"/>
        <v>0</v>
      </c>
      <c r="AI92" s="8">
        <f t="shared" ca="1" si="156"/>
        <v>0</v>
      </c>
      <c r="AJ92" s="8">
        <f t="shared" ca="1" si="156"/>
        <v>0</v>
      </c>
      <c r="AK92" s="8">
        <f t="shared" ca="1" si="156"/>
        <v>0</v>
      </c>
      <c r="AL92" s="8">
        <f t="shared" ca="1" si="156"/>
        <v>0</v>
      </c>
      <c r="AM92" s="8">
        <f t="shared" ca="1" si="156"/>
        <v>0</v>
      </c>
      <c r="AN92" s="8">
        <f t="shared" ref="AN92:AV92" ca="1" si="157">IF(AND(AN85&gt;0,AN88=0),VLOOKUP($A84,$61:$64,AN$1+2,FALSE),0)</f>
        <v>0</v>
      </c>
      <c r="AO92" s="8">
        <f t="shared" ca="1" si="157"/>
        <v>0</v>
      </c>
      <c r="AP92" s="8">
        <f t="shared" ca="1" si="157"/>
        <v>0</v>
      </c>
      <c r="AQ92" s="8">
        <f t="shared" ca="1" si="157"/>
        <v>0</v>
      </c>
      <c r="AR92" s="8">
        <f t="shared" ca="1" si="157"/>
        <v>0</v>
      </c>
      <c r="AS92" s="8">
        <f t="shared" ca="1" si="157"/>
        <v>0</v>
      </c>
      <c r="AT92" s="8">
        <f t="shared" ca="1" si="157"/>
        <v>0</v>
      </c>
      <c r="AU92" s="8">
        <f t="shared" ca="1" si="157"/>
        <v>0</v>
      </c>
      <c r="AV92" s="8">
        <f t="shared" ca="1" si="157"/>
        <v>0</v>
      </c>
      <c r="AW92" s="8">
        <f t="shared" ref="AW92" ca="1" si="158">IF(AND(AW85&gt;0,AW88=0),VLOOKUP($A84,$61:$64,AW$1+2,FALSE),0)</f>
        <v>0</v>
      </c>
    </row>
    <row r="93" spans="1:49" x14ac:dyDescent="0.2">
      <c r="A93" s="4" t="s">
        <v>41</v>
      </c>
      <c r="C93" s="8">
        <f ca="1">-C86+SUM(C89:C92)</f>
        <v>0</v>
      </c>
      <c r="D93" s="8">
        <f t="shared" ref="D93" ca="1" si="159">-D86+SUM(D89:D92)</f>
        <v>0</v>
      </c>
      <c r="E93" s="8">
        <f t="shared" ref="E93" ca="1" si="160">-E86+SUM(E89:E92)</f>
        <v>0</v>
      </c>
      <c r="F93" s="8">
        <f t="shared" ref="F93" ca="1" si="161">-F86+SUM(F89:F92)</f>
        <v>0</v>
      </c>
      <c r="G93" s="8">
        <f t="shared" ref="G93" ca="1" si="162">-G86+SUM(G89:G92)</f>
        <v>0</v>
      </c>
      <c r="H93" s="8">
        <f t="shared" ref="H93:AM93" ca="1" si="163">-H86+SUM(H89:H92)</f>
        <v>0</v>
      </c>
      <c r="I93" s="8">
        <f t="shared" ca="1" si="163"/>
        <v>0</v>
      </c>
      <c r="J93" s="8">
        <f t="shared" ca="1" si="163"/>
        <v>0</v>
      </c>
      <c r="K93" s="8">
        <f t="shared" ca="1" si="163"/>
        <v>0</v>
      </c>
      <c r="L93" s="8">
        <f t="shared" ca="1" si="163"/>
        <v>0</v>
      </c>
      <c r="M93" s="8">
        <f t="shared" ca="1" si="163"/>
        <v>0</v>
      </c>
      <c r="N93" s="8">
        <f t="shared" ca="1" si="163"/>
        <v>0</v>
      </c>
      <c r="O93" s="8">
        <f t="shared" ca="1" si="163"/>
        <v>0</v>
      </c>
      <c r="P93" s="8">
        <f t="shared" ca="1" si="163"/>
        <v>0</v>
      </c>
      <c r="Q93" s="8">
        <f t="shared" ca="1" si="163"/>
        <v>0</v>
      </c>
      <c r="R93" s="8">
        <f t="shared" ca="1" si="163"/>
        <v>0</v>
      </c>
      <c r="S93" s="8">
        <f t="shared" ca="1" si="163"/>
        <v>0</v>
      </c>
      <c r="T93" s="8">
        <f t="shared" ca="1" si="163"/>
        <v>0</v>
      </c>
      <c r="U93" s="8">
        <f t="shared" ca="1" si="163"/>
        <v>0</v>
      </c>
      <c r="V93" s="8">
        <f t="shared" ca="1" si="163"/>
        <v>0</v>
      </c>
      <c r="W93" s="8">
        <f t="shared" ca="1" si="163"/>
        <v>0</v>
      </c>
      <c r="X93" s="8">
        <f t="shared" ca="1" si="163"/>
        <v>0</v>
      </c>
      <c r="Y93" s="8">
        <f t="shared" ca="1" si="163"/>
        <v>0</v>
      </c>
      <c r="Z93" s="8">
        <f t="shared" ca="1" si="163"/>
        <v>0</v>
      </c>
      <c r="AA93" s="8">
        <f t="shared" ca="1" si="163"/>
        <v>0</v>
      </c>
      <c r="AB93" s="8">
        <f t="shared" ca="1" si="163"/>
        <v>0</v>
      </c>
      <c r="AC93" s="8">
        <f t="shared" ca="1" si="163"/>
        <v>0</v>
      </c>
      <c r="AD93" s="8">
        <f t="shared" ca="1" si="163"/>
        <v>0</v>
      </c>
      <c r="AE93" s="8">
        <f t="shared" ca="1" si="163"/>
        <v>0</v>
      </c>
      <c r="AF93" s="8">
        <f t="shared" ca="1" si="163"/>
        <v>0</v>
      </c>
      <c r="AG93" s="8">
        <f t="shared" ca="1" si="163"/>
        <v>0</v>
      </c>
      <c r="AH93" s="8">
        <f t="shared" ca="1" si="163"/>
        <v>0</v>
      </c>
      <c r="AI93" s="8">
        <f t="shared" ca="1" si="163"/>
        <v>0</v>
      </c>
      <c r="AJ93" s="8">
        <f t="shared" ca="1" si="163"/>
        <v>0</v>
      </c>
      <c r="AK93" s="8">
        <f t="shared" ca="1" si="163"/>
        <v>0</v>
      </c>
      <c r="AL93" s="8">
        <f t="shared" ca="1" si="163"/>
        <v>717534.9258647383</v>
      </c>
      <c r="AM93" s="8">
        <f t="shared" ca="1" si="163"/>
        <v>1216.2676578589483</v>
      </c>
      <c r="AN93" s="8">
        <f t="shared" ref="AN93:AV93" ca="1" si="164">-AN86+SUM(AN89:AN92)</f>
        <v>1246.6743493054219</v>
      </c>
      <c r="AO93" s="8">
        <f t="shared" ca="1" si="164"/>
        <v>1277.8412080380569</v>
      </c>
      <c r="AP93" s="8">
        <f t="shared" ca="1" si="164"/>
        <v>1309.7872382390085</v>
      </c>
      <c r="AQ93" s="8">
        <f t="shared" ca="1" si="164"/>
        <v>1342.5319191949836</v>
      </c>
      <c r="AR93" s="8">
        <f t="shared" ca="1" si="164"/>
        <v>1376.0952171748581</v>
      </c>
      <c r="AS93" s="8">
        <f t="shared" ca="1" si="164"/>
        <v>1410.4975976042294</v>
      </c>
      <c r="AT93" s="8">
        <f t="shared" ca="1" si="164"/>
        <v>1445.7600375443353</v>
      </c>
      <c r="AU93" s="8">
        <f t="shared" ca="1" si="164"/>
        <v>1481.9040384829434</v>
      </c>
      <c r="AV93" s="8">
        <f t="shared" ca="1" si="164"/>
        <v>1518.951639445017</v>
      </c>
      <c r="AW93" s="8">
        <f t="shared" ref="AW93" ca="1" si="165">-AW86+SUM(AW89:AW92)</f>
        <v>1556.9254304311421</v>
      </c>
    </row>
    <row r="94" spans="1:49" x14ac:dyDescent="0.2">
      <c r="A94" s="4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">
      <c r="A95" s="4" t="s">
        <v>87</v>
      </c>
      <c r="C95" s="8">
        <f ca="1">C81+SUM($C93:C93)</f>
        <v>184898.75</v>
      </c>
      <c r="D95" s="8">
        <f ca="1">D81+SUM($C93:D93)</f>
        <v>190464.1875</v>
      </c>
      <c r="E95" s="8">
        <f ca="1">E81+SUM($C93:E93)</f>
        <v>196735.69765625001</v>
      </c>
      <c r="F95" s="8">
        <f ca="1">F81+SUM($C93:F93)</f>
        <v>203754.49157812502</v>
      </c>
      <c r="G95" s="8">
        <f ca="1">G81+SUM($C93:G93)</f>
        <v>211563.68121130861</v>
      </c>
      <c r="H95" s="8">
        <f ca="1">H81+SUM($C93:H93)</f>
        <v>220208.35706995256</v>
      </c>
      <c r="I95" s="8">
        <f ca="1">I81+SUM($C93:I93)</f>
        <v>229735.66892084025</v>
      </c>
      <c r="J95" s="8">
        <f ca="1">J81+SUM($C93:J93)</f>
        <v>240194.90952617431</v>
      </c>
      <c r="K95" s="8">
        <f ca="1">K81+SUM($C93:K93)</f>
        <v>251637.60155532236</v>
      </c>
      <c r="L95" s="8">
        <f ca="1">L81+SUM($C93:L93)</f>
        <v>264117.58777969546</v>
      </c>
      <c r="M95" s="8">
        <f ca="1">M81+SUM($C93:M93)</f>
        <v>277691.1246689033</v>
      </c>
      <c r="N95" s="8">
        <f ca="1">N81+SUM($C93:N93)</f>
        <v>292416.97951043496</v>
      </c>
      <c r="O95" s="8">
        <f ca="1">O81+SUM($C93:O93)</f>
        <v>308356.53117935767</v>
      </c>
      <c r="P95" s="8">
        <f ca="1">P81+SUM($C93:P93)</f>
        <v>325573.87468891207</v>
      </c>
      <c r="Q95" s="8">
        <f ca="1">Q81+SUM($C93:Q93)</f>
        <v>344135.92965741799</v>
      </c>
      <c r="R95" s="8">
        <f ca="1">R81+SUM($C93:R93)</f>
        <v>367161.10470025497</v>
      </c>
      <c r="S95" s="8">
        <f ca="1">S81+SUM($C93:S93)</f>
        <v>398421.42047661229</v>
      </c>
      <c r="T95" s="8">
        <f ca="1">T81+SUM($C93:T93)</f>
        <v>358811.20508166938</v>
      </c>
      <c r="U95" s="8">
        <f ca="1">U81+SUM($C93:U93)</f>
        <v>324854.73778757063</v>
      </c>
      <c r="V95" s="8">
        <f ca="1">V81+SUM($C93:V93)</f>
        <v>288963.69012559089</v>
      </c>
      <c r="W95" s="8">
        <f ca="1">W81+SUM($C93:W93)</f>
        <v>251062.55586939497</v>
      </c>
      <c r="X95" s="8">
        <f ca="1">X81+SUM($C93:X93)</f>
        <v>211073.26259406074</v>
      </c>
      <c r="Y95" s="8">
        <f ca="1">Y81+SUM($C93:Y93)</f>
        <v>168915.09055754144</v>
      </c>
      <c r="Z95" s="8">
        <f ca="1">Z81+SUM($C93:Z93)</f>
        <v>124504.58913007489</v>
      </c>
      <c r="AA95" s="8">
        <f ca="1">AA81+SUM($C93:AA93)</f>
        <v>77755.490699636561</v>
      </c>
      <c r="AB95" s="8">
        <f ca="1">AB81+SUM($C93:AB93)</f>
        <v>28578.621979470016</v>
      </c>
      <c r="AC95" s="8">
        <f ca="1">AC81+SUM($C93:AC93)</f>
        <v>0</v>
      </c>
      <c r="AD95" s="8">
        <f ca="1">AD81+SUM($C93:AD93)</f>
        <v>0</v>
      </c>
      <c r="AE95" s="8">
        <f ca="1">AE81+SUM($C93:AE93)</f>
        <v>0</v>
      </c>
      <c r="AF95" s="8">
        <f ca="1">AF81+SUM($C93:AF93)</f>
        <v>0</v>
      </c>
      <c r="AG95" s="8">
        <f ca="1">AG81+SUM($C93:AG93)</f>
        <v>0</v>
      </c>
      <c r="AH95" s="8">
        <f ca="1">AH81+SUM($C93:AH93)</f>
        <v>0</v>
      </c>
      <c r="AI95" s="8">
        <f ca="1">AI81+SUM($C93:AI93)</f>
        <v>0</v>
      </c>
      <c r="AJ95" s="8">
        <f ca="1">AJ81+SUM($C93:AJ93)</f>
        <v>0</v>
      </c>
      <c r="AK95" s="8">
        <f ca="1">AK81+SUM($C93:AK93)</f>
        <v>0</v>
      </c>
      <c r="AL95" s="8">
        <f ca="1">AL81+SUM($C93:AL93)</f>
        <v>717534.9258647383</v>
      </c>
      <c r="AM95" s="8">
        <f ca="1">AM81+SUM($C93:AM93)</f>
        <v>707576.56902878894</v>
      </c>
      <c r="AN95" s="8">
        <f ca="1">AN81+SUM($C93:AN93)</f>
        <v>652722.89765935042</v>
      </c>
      <c r="AO95" s="8">
        <f ca="1">AO81+SUM($C93:AO93)</f>
        <v>596497.88450567587</v>
      </c>
      <c r="AP95" s="8">
        <f ca="1">AP81+SUM($C93:AP93)</f>
        <v>538867.24602315947</v>
      </c>
      <c r="AQ95" s="8">
        <f ca="1">AQ81+SUM($C93:AQ93)</f>
        <v>479795.84157858026</v>
      </c>
      <c r="AR95" s="8">
        <f ca="1">AR81+SUM($C93:AR93)</f>
        <v>419247.6520228865</v>
      </c>
      <c r="AS95" s="8">
        <f ca="1">AS81+SUM($C93:AS93)</f>
        <v>357185.75772830035</v>
      </c>
      <c r="AT95" s="8">
        <f ca="1">AT81+SUM($C93:AT93)</f>
        <v>293572.31607634953</v>
      </c>
      <c r="AU95" s="8">
        <f ca="1">AU81+SUM($C93:AU93)</f>
        <v>228368.53838310001</v>
      </c>
      <c r="AV95" s="8">
        <f ca="1">AV81+SUM($C93:AV93)</f>
        <v>161534.66624751943</v>
      </c>
      <c r="AW95" s="8">
        <f ca="1">AW81+SUM($C93:AW93)</f>
        <v>93029.947308549075</v>
      </c>
    </row>
    <row r="96" spans="1:49" x14ac:dyDescent="0.2">
      <c r="A96" s="4" t="s">
        <v>84</v>
      </c>
      <c r="C96" s="8">
        <f t="shared" ref="C96:AM96" ca="1" si="166">MAX(C95+buffer,0)-MAX(C$81+buffer,0)</f>
        <v>0</v>
      </c>
      <c r="D96" s="8">
        <f t="shared" ca="1" si="166"/>
        <v>0</v>
      </c>
      <c r="E96" s="8">
        <f t="shared" ca="1" si="166"/>
        <v>0</v>
      </c>
      <c r="F96" s="8">
        <f t="shared" ca="1" si="166"/>
        <v>0</v>
      </c>
      <c r="G96" s="8">
        <f t="shared" ca="1" si="166"/>
        <v>0</v>
      </c>
      <c r="H96" s="8">
        <f t="shared" ca="1" si="166"/>
        <v>0</v>
      </c>
      <c r="I96" s="8">
        <f t="shared" ca="1" si="166"/>
        <v>0</v>
      </c>
      <c r="J96" s="8">
        <f t="shared" ca="1" si="166"/>
        <v>0</v>
      </c>
      <c r="K96" s="8">
        <f t="shared" ca="1" si="166"/>
        <v>0</v>
      </c>
      <c r="L96" s="8">
        <f t="shared" ca="1" si="166"/>
        <v>0</v>
      </c>
      <c r="M96" s="8">
        <f t="shared" ca="1" si="166"/>
        <v>0</v>
      </c>
      <c r="N96" s="8">
        <f t="shared" ca="1" si="166"/>
        <v>0</v>
      </c>
      <c r="O96" s="8">
        <f t="shared" ca="1" si="166"/>
        <v>0</v>
      </c>
      <c r="P96" s="8">
        <f t="shared" ca="1" si="166"/>
        <v>0</v>
      </c>
      <c r="Q96" s="8">
        <f t="shared" ca="1" si="166"/>
        <v>0</v>
      </c>
      <c r="R96" s="8">
        <f t="shared" ca="1" si="166"/>
        <v>0</v>
      </c>
      <c r="S96" s="8">
        <f t="shared" ca="1" si="166"/>
        <v>0</v>
      </c>
      <c r="T96" s="8">
        <f t="shared" ca="1" si="166"/>
        <v>0</v>
      </c>
      <c r="U96" s="8">
        <f t="shared" ca="1" si="166"/>
        <v>0</v>
      </c>
      <c r="V96" s="8">
        <f t="shared" ca="1" si="166"/>
        <v>0</v>
      </c>
      <c r="W96" s="8">
        <f t="shared" ca="1" si="166"/>
        <v>0</v>
      </c>
      <c r="X96" s="8">
        <f t="shared" ca="1" si="166"/>
        <v>0</v>
      </c>
      <c r="Y96" s="8">
        <f t="shared" ca="1" si="166"/>
        <v>0</v>
      </c>
      <c r="Z96" s="8">
        <f t="shared" ca="1" si="166"/>
        <v>0</v>
      </c>
      <c r="AA96" s="8">
        <f t="shared" ca="1" si="166"/>
        <v>0</v>
      </c>
      <c r="AB96" s="8">
        <f t="shared" ca="1" si="166"/>
        <v>0</v>
      </c>
      <c r="AC96" s="8">
        <f t="shared" ca="1" si="166"/>
        <v>0</v>
      </c>
      <c r="AD96" s="8">
        <f t="shared" ca="1" si="166"/>
        <v>0</v>
      </c>
      <c r="AE96" s="8">
        <f t="shared" ca="1" si="166"/>
        <v>0</v>
      </c>
      <c r="AF96" s="8">
        <f t="shared" ca="1" si="166"/>
        <v>0</v>
      </c>
      <c r="AG96" s="8">
        <f t="shared" ca="1" si="166"/>
        <v>0</v>
      </c>
      <c r="AH96" s="8">
        <f t="shared" ca="1" si="166"/>
        <v>0</v>
      </c>
      <c r="AI96" s="8">
        <f t="shared" ca="1" si="166"/>
        <v>0</v>
      </c>
      <c r="AJ96" s="8">
        <f t="shared" ca="1" si="166"/>
        <v>0</v>
      </c>
      <c r="AK96" s="8">
        <f t="shared" ca="1" si="166"/>
        <v>0</v>
      </c>
      <c r="AL96" s="8">
        <f t="shared" ca="1" si="166"/>
        <v>717534.9258647383</v>
      </c>
      <c r="AM96" s="8">
        <f t="shared" ca="1" si="166"/>
        <v>718751.1935225972</v>
      </c>
      <c r="AN96" s="8">
        <f t="shared" ref="AN96:AV96" ca="1" si="167">MAX(AN95+buffer,0)-MAX(AN$81+buffer,0)</f>
        <v>672722.89765935042</v>
      </c>
      <c r="AO96" s="8">
        <f t="shared" ca="1" si="167"/>
        <v>616497.88450567587</v>
      </c>
      <c r="AP96" s="8">
        <f t="shared" ca="1" si="167"/>
        <v>558867.24602315947</v>
      </c>
      <c r="AQ96" s="8">
        <f t="shared" ca="1" si="167"/>
        <v>499795.84157858026</v>
      </c>
      <c r="AR96" s="8">
        <f t="shared" ca="1" si="167"/>
        <v>439247.6520228865</v>
      </c>
      <c r="AS96" s="8">
        <f t="shared" ca="1" si="167"/>
        <v>377185.75772830035</v>
      </c>
      <c r="AT96" s="8">
        <f t="shared" ca="1" si="167"/>
        <v>313572.31607634953</v>
      </c>
      <c r="AU96" s="8">
        <f t="shared" ca="1" si="167"/>
        <v>248368.53838310001</v>
      </c>
      <c r="AV96" s="8">
        <f t="shared" ca="1" si="167"/>
        <v>181534.66624751943</v>
      </c>
      <c r="AW96" s="8">
        <f t="shared" ref="AW96" ca="1" si="168">MAX(AW95+buffer,0)-MAX(AW$81+buffer,0)</f>
        <v>113029.94730854908</v>
      </c>
    </row>
    <row r="97" spans="1:49" x14ac:dyDescent="0.2">
      <c r="A97" s="4" t="s">
        <v>85</v>
      </c>
      <c r="C97" s="8">
        <f ca="1">C96*Inputs!$B$149</f>
        <v>0</v>
      </c>
      <c r="D97" s="8">
        <f ca="1">D96*Inputs!$B$149</f>
        <v>0</v>
      </c>
      <c r="E97" s="8">
        <f ca="1">E96*Inputs!$B$149</f>
        <v>0</v>
      </c>
      <c r="F97" s="8">
        <f ca="1">F96*Inputs!$B$149</f>
        <v>0</v>
      </c>
      <c r="G97" s="8">
        <f ca="1">G96*Inputs!$B$149</f>
        <v>0</v>
      </c>
      <c r="H97" s="8">
        <f ca="1">H96*Inputs!$B$149</f>
        <v>0</v>
      </c>
      <c r="I97" s="8">
        <f ca="1">I96*Inputs!$B$149</f>
        <v>0</v>
      </c>
      <c r="J97" s="8">
        <f ca="1">J96*Inputs!$B$149</f>
        <v>0</v>
      </c>
      <c r="K97" s="8">
        <f ca="1">K96*Inputs!$B$149</f>
        <v>0</v>
      </c>
      <c r="L97" s="8">
        <f ca="1">L96*Inputs!$B$149</f>
        <v>0</v>
      </c>
      <c r="M97" s="8">
        <f ca="1">M96*Inputs!$B$149</f>
        <v>0</v>
      </c>
      <c r="N97" s="8">
        <f ca="1">N96*Inputs!$B$149</f>
        <v>0</v>
      </c>
      <c r="O97" s="8">
        <f ca="1">O96*Inputs!$B$149</f>
        <v>0</v>
      </c>
      <c r="P97" s="8">
        <f ca="1">P96*Inputs!$B$149</f>
        <v>0</v>
      </c>
      <c r="Q97" s="8">
        <f ca="1">Q96*Inputs!$B$149</f>
        <v>0</v>
      </c>
      <c r="R97" s="8">
        <f ca="1">R96*Inputs!$B$149</f>
        <v>0</v>
      </c>
      <c r="S97" s="8">
        <f ca="1">S96*Inputs!$B$149</f>
        <v>0</v>
      </c>
      <c r="T97" s="8">
        <f ca="1">T96*Inputs!$B$149</f>
        <v>0</v>
      </c>
      <c r="U97" s="8">
        <f ca="1">U96*Inputs!$B$149</f>
        <v>0</v>
      </c>
      <c r="V97" s="8">
        <f ca="1">V96*Inputs!$B$149</f>
        <v>0</v>
      </c>
      <c r="W97" s="8">
        <f ca="1">W96*Inputs!$B$149</f>
        <v>0</v>
      </c>
      <c r="X97" s="8">
        <f ca="1">X96*Inputs!$B$149</f>
        <v>0</v>
      </c>
      <c r="Y97" s="8">
        <f ca="1">Y96*Inputs!$B$149</f>
        <v>0</v>
      </c>
      <c r="Z97" s="8">
        <f ca="1">Z96*Inputs!$B$149</f>
        <v>0</v>
      </c>
      <c r="AA97" s="8">
        <f ca="1">AA96*Inputs!$B$149</f>
        <v>0</v>
      </c>
      <c r="AB97" s="8">
        <f ca="1">AB96*Inputs!$B$149</f>
        <v>0</v>
      </c>
      <c r="AC97" s="8">
        <f ca="1">AC96*Inputs!$B$149</f>
        <v>0</v>
      </c>
      <c r="AD97" s="8">
        <f ca="1">AD96*Inputs!$B$149</f>
        <v>0</v>
      </c>
      <c r="AE97" s="8">
        <f ca="1">AE96*Inputs!$B$149</f>
        <v>0</v>
      </c>
      <c r="AF97" s="8">
        <f ca="1">AF96*Inputs!$B$149</f>
        <v>0</v>
      </c>
      <c r="AG97" s="8">
        <f ca="1">AG96*Inputs!$B$149</f>
        <v>0</v>
      </c>
      <c r="AH97" s="8">
        <f ca="1">AH96*Inputs!$B$149</f>
        <v>0</v>
      </c>
      <c r="AI97" s="8">
        <f ca="1">AI96*Inputs!$B$149</f>
        <v>0</v>
      </c>
      <c r="AJ97" s="8">
        <f ca="1">AJ96*Inputs!$B$149</f>
        <v>0</v>
      </c>
      <c r="AK97" s="8">
        <f ca="1">AK96*Inputs!$B$149</f>
        <v>0</v>
      </c>
      <c r="AL97" s="8">
        <f ca="1">AL96*Inputs!$B$149</f>
        <v>17938.373146618458</v>
      </c>
      <c r="AM97" s="8">
        <f ca="1">AM96*Inputs!$B$149</f>
        <v>17968.779838064929</v>
      </c>
      <c r="AN97" s="8">
        <f ca="1">AN96*Inputs!$B$149</f>
        <v>16818.07244148376</v>
      </c>
      <c r="AO97" s="8">
        <f ca="1">AO96*Inputs!$B$149</f>
        <v>15412.447112641898</v>
      </c>
      <c r="AP97" s="8">
        <f ca="1">AP96*Inputs!$B$149</f>
        <v>13971.681150578988</v>
      </c>
      <c r="AQ97" s="8">
        <f ca="1">AQ96*Inputs!$B$149</f>
        <v>12494.896039464507</v>
      </c>
      <c r="AR97" s="8">
        <f ca="1">AR96*Inputs!$B$149</f>
        <v>10981.191300572164</v>
      </c>
      <c r="AS97" s="8">
        <f ca="1">AS96*Inputs!$B$149</f>
        <v>9429.6439432075094</v>
      </c>
      <c r="AT97" s="8">
        <f ca="1">AT96*Inputs!$B$149</f>
        <v>7839.3079019087381</v>
      </c>
      <c r="AU97" s="8">
        <f ca="1">AU96*Inputs!$B$149</f>
        <v>6209.2134595775005</v>
      </c>
      <c r="AV97" s="8">
        <f ca="1">AV96*Inputs!$B$149</f>
        <v>4538.3666561879863</v>
      </c>
      <c r="AW97" s="8">
        <f ca="1">AW96*Inputs!$B$149</f>
        <v>2825.7486827137272</v>
      </c>
    </row>
    <row r="98" spans="1:49" x14ac:dyDescent="0.2">
      <c r="A98" s="4" t="s">
        <v>168</v>
      </c>
      <c r="C98" s="8">
        <f ca="1">C95+SUM($C97:C97)</f>
        <v>184898.75</v>
      </c>
      <c r="D98" s="8">
        <f ca="1">D95+SUM($C97:D97)</f>
        <v>190464.1875</v>
      </c>
      <c r="E98" s="8">
        <f ca="1">E95+SUM($C97:E97)</f>
        <v>196735.69765625001</v>
      </c>
      <c r="F98" s="8">
        <f ca="1">F95+SUM($C97:F97)</f>
        <v>203754.49157812502</v>
      </c>
      <c r="G98" s="8">
        <f ca="1">G95+SUM($C97:G97)</f>
        <v>211563.68121130861</v>
      </c>
      <c r="H98" s="8">
        <f ca="1">H95+SUM($C97:H97)</f>
        <v>220208.35706995256</v>
      </c>
      <c r="I98" s="8">
        <f ca="1">I95+SUM($C97:I97)</f>
        <v>229735.66892084025</v>
      </c>
      <c r="J98" s="8">
        <f ca="1">J95+SUM($C97:J97)</f>
        <v>240194.90952617431</v>
      </c>
      <c r="K98" s="8">
        <f ca="1">K95+SUM($C97:K97)</f>
        <v>251637.60155532236</v>
      </c>
      <c r="L98" s="8">
        <f ca="1">L95+SUM($C97:L97)</f>
        <v>264117.58777969546</v>
      </c>
      <c r="M98" s="8">
        <f ca="1">M95+SUM($C97:M97)</f>
        <v>277691.1246689033</v>
      </c>
      <c r="N98" s="8">
        <f ca="1">N95+SUM($C97:N97)</f>
        <v>292416.97951043496</v>
      </c>
      <c r="O98" s="8">
        <f ca="1">O95+SUM($C97:O97)</f>
        <v>308356.53117935767</v>
      </c>
      <c r="P98" s="8">
        <f ca="1">P95+SUM($C97:P97)</f>
        <v>325573.87468891207</v>
      </c>
      <c r="Q98" s="8">
        <f ca="1">Q95+SUM($C97:Q97)</f>
        <v>344135.92965741799</v>
      </c>
      <c r="R98" s="8">
        <f ca="1">R95+SUM($C97:R97)</f>
        <v>367161.10470025497</v>
      </c>
      <c r="S98" s="8">
        <f ca="1">S95+SUM($C97:S97)</f>
        <v>398421.42047661229</v>
      </c>
      <c r="T98" s="8">
        <f ca="1">T95+SUM($C97:T97)</f>
        <v>358811.20508166938</v>
      </c>
      <c r="U98" s="8">
        <f ca="1">U95+SUM($C97:U97)</f>
        <v>324854.73778757063</v>
      </c>
      <c r="V98" s="8">
        <f ca="1">V95+SUM($C97:V97)</f>
        <v>288963.69012559089</v>
      </c>
      <c r="W98" s="8">
        <f ca="1">W95+SUM($C97:W97)</f>
        <v>251062.55586939497</v>
      </c>
      <c r="X98" s="8">
        <f ca="1">X95+SUM($C97:X97)</f>
        <v>211073.26259406074</v>
      </c>
      <c r="Y98" s="8">
        <f ca="1">Y95+SUM($C97:Y97)</f>
        <v>168915.09055754144</v>
      </c>
      <c r="Z98" s="8">
        <f ca="1">Z95+SUM($C97:Z97)</f>
        <v>124504.58913007489</v>
      </c>
      <c r="AA98" s="8">
        <f ca="1">AA95+SUM($C97:AA97)</f>
        <v>77755.490699636561</v>
      </c>
      <c r="AB98" s="8">
        <f ca="1">AB95+SUM($C97:AB97)</f>
        <v>28578.621979470016</v>
      </c>
      <c r="AC98" s="8">
        <f ca="1">AC95+SUM($C97:AC97)</f>
        <v>0</v>
      </c>
      <c r="AD98" s="8">
        <f ca="1">AD95+SUM($C97:AD97)</f>
        <v>0</v>
      </c>
      <c r="AE98" s="8">
        <f ca="1">AE95+SUM($C97:AE97)</f>
        <v>0</v>
      </c>
      <c r="AF98" s="8">
        <f ca="1">AF95+SUM($C97:AF97)</f>
        <v>0</v>
      </c>
      <c r="AG98" s="8">
        <f ca="1">AG95+SUM($C97:AG97)</f>
        <v>0</v>
      </c>
      <c r="AH98" s="8">
        <f ca="1">AH95+SUM($C97:AH97)</f>
        <v>0</v>
      </c>
      <c r="AI98" s="8">
        <f ca="1">AI95+SUM($C97:AI97)</f>
        <v>0</v>
      </c>
      <c r="AJ98" s="8">
        <f ca="1">AJ95+SUM($C97:AJ97)</f>
        <v>0</v>
      </c>
      <c r="AK98" s="8">
        <f ca="1">AK95+SUM($C97:AK97)</f>
        <v>0</v>
      </c>
      <c r="AL98" s="8">
        <f ca="1">AL95+SUM($C97:AL97)</f>
        <v>735473.29901135678</v>
      </c>
      <c r="AM98" s="8">
        <f ca="1">AM95+SUM($C97:AM97)</f>
        <v>743483.72201347235</v>
      </c>
      <c r="AN98" s="8">
        <f ca="1">AN95+SUM($C97:AN97)</f>
        <v>705448.12308551755</v>
      </c>
      <c r="AO98" s="8">
        <f ca="1">AO95+SUM($C97:AO97)</f>
        <v>664635.55704448489</v>
      </c>
      <c r="AP98" s="8">
        <f ca="1">AP95+SUM($C97:AP97)</f>
        <v>620976.5997125475</v>
      </c>
      <c r="AQ98" s="8">
        <f ca="1">AQ95+SUM($C97:AQ97)</f>
        <v>574400.09130743286</v>
      </c>
      <c r="AR98" s="8">
        <f ca="1">AR95+SUM($C97:AR97)</f>
        <v>524833.09305231122</v>
      </c>
      <c r="AS98" s="8">
        <f ca="1">AS95+SUM($C97:AS97)</f>
        <v>472200.84270093252</v>
      </c>
      <c r="AT98" s="8">
        <f ca="1">AT95+SUM($C97:AT97)</f>
        <v>416426.70895089046</v>
      </c>
      <c r="AU98" s="8">
        <f ca="1">AU95+SUM($C97:AU97)</f>
        <v>357432.14471721847</v>
      </c>
      <c r="AV98" s="8">
        <f ca="1">AV95+SUM($C97:AV97)</f>
        <v>295136.63923782588</v>
      </c>
      <c r="AW98" s="8">
        <f ca="1">AW95+SUM($C97:AW97)</f>
        <v>229457.66898156921</v>
      </c>
    </row>
    <row r="99" spans="1:49" x14ac:dyDescent="0.2">
      <c r="A99" s="4" t="s">
        <v>21</v>
      </c>
      <c r="C99" s="8">
        <f ca="1">IF(C98&lt;0,C95,0)</f>
        <v>0</v>
      </c>
      <c r="D99" s="8">
        <f ca="1">IF(D98+SUM($C99:C99)&lt;0,-(D98+SUM($C99:C99)),0)</f>
        <v>0</v>
      </c>
      <c r="E99" s="8">
        <f ca="1">IF(E98+SUM($C99:D99)&lt;0,-(E98+SUM($C99:D99)),0)</f>
        <v>0</v>
      </c>
      <c r="F99" s="8">
        <f ca="1">IF(F98+SUM($C99:E99)&lt;0,-(F98+SUM($C99:E99)),0)</f>
        <v>0</v>
      </c>
      <c r="G99" s="8">
        <f ca="1">IF(G98+SUM($C99:F99)&lt;0,-(G98+SUM($C99:F99)),0)</f>
        <v>0</v>
      </c>
      <c r="H99" s="8">
        <f ca="1">IF(H98+SUM($C99:G99)&lt;0,-(H98+SUM($C99:G99)),0)</f>
        <v>0</v>
      </c>
      <c r="I99" s="8">
        <f ca="1">IF(I98+SUM($C99:H99)&lt;0,-(I98+SUM($C99:H99)),0)</f>
        <v>0</v>
      </c>
      <c r="J99" s="8">
        <f ca="1">IF(J98+SUM($C99:I99)&lt;0,-(J98+SUM($C99:I99)),0)</f>
        <v>0</v>
      </c>
      <c r="K99" s="8">
        <f ca="1">IF(K98+SUM($C99:J99)&lt;0,-(K98+SUM($C99:J99)),0)</f>
        <v>0</v>
      </c>
      <c r="L99" s="8">
        <f ca="1">IF(L98+SUM($C99:K99)&lt;0,-(L98+SUM($C99:K99)),0)</f>
        <v>0</v>
      </c>
      <c r="M99" s="8">
        <f ca="1">IF(M98+SUM($C99:L99)&lt;0,-(M98+SUM($C99:L99)),0)</f>
        <v>0</v>
      </c>
      <c r="N99" s="8">
        <f ca="1">IF(N98+SUM($C99:M99)&lt;0,-(N98+SUM($C99:M99)),0)</f>
        <v>0</v>
      </c>
      <c r="O99" s="8">
        <f ca="1">IF(O98+SUM($C99:N99)&lt;0,-(O98+SUM($C99:N99)),0)</f>
        <v>0</v>
      </c>
      <c r="P99" s="8">
        <f ca="1">IF(P98+SUM($C99:O99)&lt;0,-(P98+SUM($C99:O99)),0)</f>
        <v>0</v>
      </c>
      <c r="Q99" s="8">
        <f ca="1">IF(Q98+SUM($C99:P99)&lt;0,-(Q98+SUM($C99:P99)),0)</f>
        <v>0</v>
      </c>
      <c r="R99" s="8">
        <f ca="1">IF(R98+SUM($C99:Q99)&lt;0,-(R98+SUM($C99:Q99)),0)</f>
        <v>0</v>
      </c>
      <c r="S99" s="8">
        <f ca="1">IF(S98+SUM($C99:R99)&lt;0,-(S98+SUM($C99:R99)),0)</f>
        <v>0</v>
      </c>
      <c r="T99" s="8">
        <f ca="1">IF(T98+SUM($C99:S99)&lt;0,-(T98+SUM($C99:S99)),0)</f>
        <v>0</v>
      </c>
      <c r="U99" s="8">
        <f ca="1">IF(U98+SUM($C99:T99)&lt;0,-(U98+SUM($C99:T99)),0)</f>
        <v>0</v>
      </c>
      <c r="V99" s="8">
        <f ca="1">IF(V98+SUM($C99:U99)&lt;0,-(V98+SUM($C99:U99)),0)</f>
        <v>0</v>
      </c>
      <c r="W99" s="8">
        <f ca="1">IF(W98+SUM($C99:V99)&lt;0,-(W98+SUM($C99:V99)),0)</f>
        <v>0</v>
      </c>
      <c r="X99" s="8">
        <f ca="1">IF(X98+SUM($C99:W99)&lt;0,-(X98+SUM($C99:W99)),0)</f>
        <v>0</v>
      </c>
      <c r="Y99" s="8">
        <f ca="1">IF(Y98+SUM($C99:X99)&lt;0,-(Y98+SUM($C99:X99)),0)</f>
        <v>0</v>
      </c>
      <c r="Z99" s="8">
        <f ca="1">IF(Z98+SUM($C99:Y99)&lt;0,-(Z98+SUM($C99:Y99)),0)</f>
        <v>0</v>
      </c>
      <c r="AA99" s="8">
        <f ca="1">IF(AA98+SUM($C99:Z99)&lt;0,-(AA98+SUM($C99:Z99)),0)</f>
        <v>0</v>
      </c>
      <c r="AB99" s="8">
        <f ca="1">IF(AB98+SUM($C99:AA99)&lt;0,-(AB98+SUM($C99:AA99)),0)</f>
        <v>0</v>
      </c>
      <c r="AC99" s="8">
        <f ca="1">IF(AC98+SUM($C99:AB99)&lt;0,-(AC98+SUM($C99:AB99)),0)</f>
        <v>0</v>
      </c>
      <c r="AD99" s="8">
        <f ca="1">IF(AD98+SUM($C99:AC99)&lt;0,-(AD98+SUM($C99:AC99)),0)</f>
        <v>0</v>
      </c>
      <c r="AE99" s="8">
        <f ca="1">IF(AE98+SUM($C99:AD99)&lt;0,-(AE98+SUM($C99:AD99)),0)</f>
        <v>0</v>
      </c>
      <c r="AF99" s="8">
        <f ca="1">IF(AF98+SUM($C99:AE99)&lt;0,-(AF98+SUM($C99:AE99)),0)</f>
        <v>0</v>
      </c>
      <c r="AG99" s="8">
        <f ca="1">IF(AG98+SUM($C99:AF99)&lt;0,-(AG98+SUM($C99:AF99)),0)</f>
        <v>0</v>
      </c>
      <c r="AH99" s="8">
        <f ca="1">IF(AH98+SUM($C99:AG99)&lt;0,-(AH98+SUM($C99:AG99)),0)</f>
        <v>0</v>
      </c>
      <c r="AI99" s="8">
        <f ca="1">IF(AI98+SUM($C99:AH99)&lt;0,-(AI98+SUM($C99:AH99)),0)</f>
        <v>0</v>
      </c>
      <c r="AJ99" s="8">
        <f ca="1">IF(AJ98+SUM($C99:AI99)&lt;0,-(AJ98+SUM($C99:AI99)),0)</f>
        <v>0</v>
      </c>
      <c r="AK99" s="8">
        <f ca="1">IF(AK98+SUM($C99:AJ99)&lt;0,-(AK98+SUM($C99:AJ99)),0)</f>
        <v>0</v>
      </c>
      <c r="AL99" s="8">
        <f ca="1">IF(AL98+SUM($C99:AK99)&lt;0,-(AL98+SUM($C99:AK99)),0)</f>
        <v>0</v>
      </c>
      <c r="AM99" s="8">
        <f ca="1">IF(AM98+SUM($C99:AL99)&lt;0,-(AM98+SUM($C99:AL99)),0)</f>
        <v>0</v>
      </c>
      <c r="AN99" s="8">
        <f ca="1">IF(AN98+SUM($C99:AM99)&lt;0,-(AN98+SUM($C99:AM99)),0)</f>
        <v>0</v>
      </c>
      <c r="AO99" s="8">
        <f ca="1">IF(AO98+SUM($C99:AN99)&lt;0,-(AO98+SUM($C99:AN99)),0)</f>
        <v>0</v>
      </c>
      <c r="AP99" s="8">
        <f ca="1">IF(AP98+SUM($C99:AO99)&lt;0,-(AP98+SUM($C99:AO99)),0)</f>
        <v>0</v>
      </c>
      <c r="AQ99" s="8">
        <f ca="1">IF(AQ98+SUM($C99:AP99)&lt;0,-(AQ98+SUM($C99:AP99)),0)</f>
        <v>0</v>
      </c>
      <c r="AR99" s="8">
        <f ca="1">IF(AR98+SUM($C99:AQ99)&lt;0,-(AR98+SUM($C99:AQ99)),0)</f>
        <v>0</v>
      </c>
      <c r="AS99" s="8">
        <f ca="1">IF(AS98+SUM($C99:AR99)&lt;0,-(AS98+SUM($C99:AR99)),0)</f>
        <v>0</v>
      </c>
      <c r="AT99" s="8">
        <f ca="1">IF(AT98+SUM($C99:AS99)&lt;0,-(AT98+SUM($C99:AS99)),0)</f>
        <v>0</v>
      </c>
      <c r="AU99" s="8">
        <f ca="1">IF(AU98+SUM($C99:AT99)&lt;0,-(AU98+SUM($C99:AT99)),0)</f>
        <v>0</v>
      </c>
      <c r="AV99" s="8">
        <f ca="1">IF(AV98+SUM($C99:AU99)&lt;0,-(AV98+SUM($C99:AU99)),0)</f>
        <v>0</v>
      </c>
      <c r="AW99" s="8">
        <f ca="1">IF(AW98+SUM($C99:AV99)&lt;0,-(AW98+SUM($C99:AV99)),0)</f>
        <v>0</v>
      </c>
    </row>
    <row r="100" spans="1:49" x14ac:dyDescent="0.2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">
      <c r="A101" s="29" t="str">
        <f>IF(Inputs!$B$165=6,IFERROR(_xlfn.XLOOKUP($B101,Inputs!$B$166:$B$168,Inputs!$A$166:$A$168,,0,1),""),IFERROR(_xlfn.XLOOKUP($B101,Inputs!$C$166:$C$168,Inputs!$A$166:$A$168,,0,1),""))</f>
        <v/>
      </c>
      <c r="B101" s="31">
        <v>2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">
      <c r="A102" s="4" t="s">
        <v>23</v>
      </c>
      <c r="C102" s="8">
        <f>IFERROR(VLOOKUP($A101,$A$52:$H$66,C$1+2,FALSE),0)</f>
        <v>0</v>
      </c>
      <c r="D102" s="8">
        <f ca="1">C105</f>
        <v>0</v>
      </c>
      <c r="E102" s="8">
        <f t="shared" ref="E102" ca="1" si="169">D105</f>
        <v>0</v>
      </c>
      <c r="F102" s="8">
        <f t="shared" ref="F102" ca="1" si="170">E105</f>
        <v>0</v>
      </c>
      <c r="G102" s="8">
        <f t="shared" ref="G102:AM102" ca="1" si="171">F105</f>
        <v>0</v>
      </c>
      <c r="H102" s="8">
        <f t="shared" ca="1" si="171"/>
        <v>0</v>
      </c>
      <c r="I102" s="8">
        <f t="shared" ca="1" si="171"/>
        <v>0</v>
      </c>
      <c r="J102" s="8">
        <f t="shared" ca="1" si="171"/>
        <v>0</v>
      </c>
      <c r="K102" s="8">
        <f t="shared" ca="1" si="171"/>
        <v>0</v>
      </c>
      <c r="L102" s="8">
        <f t="shared" ca="1" si="171"/>
        <v>0</v>
      </c>
      <c r="M102" s="8">
        <f t="shared" ca="1" si="171"/>
        <v>0</v>
      </c>
      <c r="N102" s="8">
        <f t="shared" ca="1" si="171"/>
        <v>0</v>
      </c>
      <c r="O102" s="8">
        <f t="shared" ca="1" si="171"/>
        <v>0</v>
      </c>
      <c r="P102" s="8">
        <f t="shared" ca="1" si="171"/>
        <v>0</v>
      </c>
      <c r="Q102" s="8">
        <f t="shared" ca="1" si="171"/>
        <v>0</v>
      </c>
      <c r="R102" s="8">
        <f t="shared" ca="1" si="171"/>
        <v>0</v>
      </c>
      <c r="S102" s="8">
        <f t="shared" ca="1" si="171"/>
        <v>0</v>
      </c>
      <c r="T102" s="8">
        <f t="shared" ca="1" si="171"/>
        <v>0</v>
      </c>
      <c r="U102" s="8">
        <f t="shared" ca="1" si="171"/>
        <v>0</v>
      </c>
      <c r="V102" s="8">
        <f t="shared" ca="1" si="171"/>
        <v>0</v>
      </c>
      <c r="W102" s="8">
        <f t="shared" ca="1" si="171"/>
        <v>0</v>
      </c>
      <c r="X102" s="8">
        <f t="shared" ca="1" si="171"/>
        <v>0</v>
      </c>
      <c r="Y102" s="8">
        <f t="shared" ca="1" si="171"/>
        <v>0</v>
      </c>
      <c r="Z102" s="8">
        <f t="shared" ca="1" si="171"/>
        <v>0</v>
      </c>
      <c r="AA102" s="8">
        <f t="shared" ca="1" si="171"/>
        <v>0</v>
      </c>
      <c r="AB102" s="8">
        <f t="shared" ca="1" si="171"/>
        <v>0</v>
      </c>
      <c r="AC102" s="8">
        <f t="shared" ca="1" si="171"/>
        <v>0</v>
      </c>
      <c r="AD102" s="8">
        <f t="shared" ca="1" si="171"/>
        <v>0</v>
      </c>
      <c r="AE102" s="8">
        <f t="shared" ca="1" si="171"/>
        <v>0</v>
      </c>
      <c r="AF102" s="8">
        <f t="shared" ca="1" si="171"/>
        <v>0</v>
      </c>
      <c r="AG102" s="8">
        <f t="shared" ca="1" si="171"/>
        <v>0</v>
      </c>
      <c r="AH102" s="8">
        <f t="shared" ca="1" si="171"/>
        <v>0</v>
      </c>
      <c r="AI102" s="8">
        <f t="shared" ca="1" si="171"/>
        <v>0</v>
      </c>
      <c r="AJ102" s="8">
        <f t="shared" ca="1" si="171"/>
        <v>0</v>
      </c>
      <c r="AK102" s="8">
        <f t="shared" ca="1" si="171"/>
        <v>0</v>
      </c>
      <c r="AL102" s="8">
        <f t="shared" ca="1" si="171"/>
        <v>0</v>
      </c>
      <c r="AM102" s="8">
        <f t="shared" ca="1" si="171"/>
        <v>0</v>
      </c>
      <c r="AN102" s="8">
        <f t="shared" ref="AN102" ca="1" si="172">AM105</f>
        <v>0</v>
      </c>
      <c r="AO102" s="8">
        <f t="shared" ref="AO102" ca="1" si="173">AN105</f>
        <v>0</v>
      </c>
      <c r="AP102" s="8">
        <f t="shared" ref="AP102" ca="1" si="174">AO105</f>
        <v>0</v>
      </c>
      <c r="AQ102" s="8">
        <f t="shared" ref="AQ102" ca="1" si="175">AP105</f>
        <v>0</v>
      </c>
      <c r="AR102" s="8">
        <f t="shared" ref="AR102" ca="1" si="176">AQ105</f>
        <v>0</v>
      </c>
      <c r="AS102" s="8">
        <f t="shared" ref="AS102" ca="1" si="177">AR105</f>
        <v>0</v>
      </c>
      <c r="AT102" s="8">
        <f t="shared" ref="AT102" ca="1" si="178">AS105</f>
        <v>0</v>
      </c>
      <c r="AU102" s="8">
        <f t="shared" ref="AU102" ca="1" si="179">AT105</f>
        <v>0</v>
      </c>
      <c r="AV102" s="8">
        <f t="shared" ref="AV102:AW102" ca="1" si="180">AU105</f>
        <v>0</v>
      </c>
      <c r="AW102" s="8">
        <f t="shared" ca="1" si="180"/>
        <v>0</v>
      </c>
    </row>
    <row r="103" spans="1:49" x14ac:dyDescent="0.2">
      <c r="A103" s="4" t="s">
        <v>24</v>
      </c>
      <c r="C103" s="8">
        <f ca="1">-IF(SUM(C99:D99)&gt;0,C102,0)</f>
        <v>0</v>
      </c>
      <c r="D103" s="8">
        <f ca="1">-IF(E99&gt;0,D102,0)</f>
        <v>0</v>
      </c>
      <c r="E103" s="8">
        <f ca="1">-IF(F99&gt;0,E102,0)</f>
        <v>0</v>
      </c>
      <c r="F103" s="8">
        <f ca="1">-IF(G99&gt;0,F102,0)</f>
        <v>0</v>
      </c>
      <c r="G103" s="8">
        <f t="shared" ref="G103:AM103" ca="1" si="181">-IF(H99&gt;0,G102,0)</f>
        <v>0</v>
      </c>
      <c r="H103" s="8">
        <f t="shared" ca="1" si="181"/>
        <v>0</v>
      </c>
      <c r="I103" s="8">
        <f t="shared" ca="1" si="181"/>
        <v>0</v>
      </c>
      <c r="J103" s="8">
        <f t="shared" ca="1" si="181"/>
        <v>0</v>
      </c>
      <c r="K103" s="8">
        <f t="shared" ca="1" si="181"/>
        <v>0</v>
      </c>
      <c r="L103" s="8">
        <f t="shared" ca="1" si="181"/>
        <v>0</v>
      </c>
      <c r="M103" s="8">
        <f t="shared" ca="1" si="181"/>
        <v>0</v>
      </c>
      <c r="N103" s="8">
        <f t="shared" ca="1" si="181"/>
        <v>0</v>
      </c>
      <c r="O103" s="8">
        <f t="shared" ca="1" si="181"/>
        <v>0</v>
      </c>
      <c r="P103" s="8">
        <f t="shared" ca="1" si="181"/>
        <v>0</v>
      </c>
      <c r="Q103" s="8">
        <f t="shared" ca="1" si="181"/>
        <v>0</v>
      </c>
      <c r="R103" s="8">
        <f t="shared" ca="1" si="181"/>
        <v>0</v>
      </c>
      <c r="S103" s="8">
        <f t="shared" ca="1" si="181"/>
        <v>0</v>
      </c>
      <c r="T103" s="8">
        <f t="shared" ca="1" si="181"/>
        <v>0</v>
      </c>
      <c r="U103" s="8">
        <f t="shared" ca="1" si="181"/>
        <v>0</v>
      </c>
      <c r="V103" s="8">
        <f t="shared" ca="1" si="181"/>
        <v>0</v>
      </c>
      <c r="W103" s="8">
        <f t="shared" ca="1" si="181"/>
        <v>0</v>
      </c>
      <c r="X103" s="8">
        <f t="shared" ca="1" si="181"/>
        <v>0</v>
      </c>
      <c r="Y103" s="8">
        <f t="shared" ca="1" si="181"/>
        <v>0</v>
      </c>
      <c r="Z103" s="8">
        <f t="shared" ca="1" si="181"/>
        <v>0</v>
      </c>
      <c r="AA103" s="8">
        <f t="shared" ca="1" si="181"/>
        <v>0</v>
      </c>
      <c r="AB103" s="8">
        <f t="shared" ca="1" si="181"/>
        <v>0</v>
      </c>
      <c r="AC103" s="8">
        <f t="shared" ca="1" si="181"/>
        <v>0</v>
      </c>
      <c r="AD103" s="8">
        <f t="shared" ca="1" si="181"/>
        <v>0</v>
      </c>
      <c r="AE103" s="8">
        <f t="shared" ca="1" si="181"/>
        <v>0</v>
      </c>
      <c r="AF103" s="8">
        <f t="shared" ca="1" si="181"/>
        <v>0</v>
      </c>
      <c r="AG103" s="8">
        <f t="shared" ca="1" si="181"/>
        <v>0</v>
      </c>
      <c r="AH103" s="8">
        <f t="shared" ca="1" si="181"/>
        <v>0</v>
      </c>
      <c r="AI103" s="8">
        <f t="shared" ca="1" si="181"/>
        <v>0</v>
      </c>
      <c r="AJ103" s="8">
        <f t="shared" ca="1" si="181"/>
        <v>0</v>
      </c>
      <c r="AK103" s="8">
        <f t="shared" ca="1" si="181"/>
        <v>0</v>
      </c>
      <c r="AL103" s="8">
        <f t="shared" ca="1" si="181"/>
        <v>0</v>
      </c>
      <c r="AM103" s="8">
        <f t="shared" ca="1" si="181"/>
        <v>0</v>
      </c>
      <c r="AN103" s="8">
        <f t="shared" ref="AN103" ca="1" si="182">-IF(AO99&gt;0,AN102,0)</f>
        <v>0</v>
      </c>
      <c r="AO103" s="8">
        <f t="shared" ref="AO103" ca="1" si="183">-IF(AP99&gt;0,AO102,0)</f>
        <v>0</v>
      </c>
      <c r="AP103" s="8">
        <f t="shared" ref="AP103" ca="1" si="184">-IF(AQ99&gt;0,AP102,0)</f>
        <v>0</v>
      </c>
      <c r="AQ103" s="8">
        <f t="shared" ref="AQ103" ca="1" si="185">-IF(AR99&gt;0,AQ102,0)</f>
        <v>0</v>
      </c>
      <c r="AR103" s="8">
        <f t="shared" ref="AR103" ca="1" si="186">-IF(AS99&gt;0,AR102,0)</f>
        <v>0</v>
      </c>
      <c r="AS103" s="8">
        <f t="shared" ref="AS103" ca="1" si="187">-IF(AT99&gt;0,AS102,0)</f>
        <v>0</v>
      </c>
      <c r="AT103" s="8">
        <f t="shared" ref="AT103" ca="1" si="188">-IF(AU99&gt;0,AT102,0)</f>
        <v>0</v>
      </c>
      <c r="AU103" s="8">
        <f t="shared" ref="AU103" ca="1" si="189">-IF(AV99&gt;0,AU102,0)</f>
        <v>0</v>
      </c>
      <c r="AV103" s="8">
        <f t="shared" ref="AV103:AW103" ca="1" si="190">-IF(AW99&gt;0,AV102,0)</f>
        <v>0</v>
      </c>
      <c r="AW103" s="8">
        <f t="shared" si="190"/>
        <v>0</v>
      </c>
    </row>
    <row r="104" spans="1:49" x14ac:dyDescent="0.2">
      <c r="A104" s="4" t="s">
        <v>25</v>
      </c>
      <c r="C104" s="8">
        <v>0</v>
      </c>
      <c r="D104" s="8">
        <f t="shared" ref="D104:G104" ca="1" si="191">SUM(D102:D103)*princ</f>
        <v>0</v>
      </c>
      <c r="E104" s="8">
        <f t="shared" ca="1" si="191"/>
        <v>0</v>
      </c>
      <c r="F104" s="8">
        <f t="shared" ca="1" si="191"/>
        <v>0</v>
      </c>
      <c r="G104" s="8">
        <f t="shared" ca="1" si="191"/>
        <v>0</v>
      </c>
      <c r="H104" s="8">
        <f t="shared" ref="H104:AM104" ca="1" si="192">SUM(H102:H103)*princ</f>
        <v>0</v>
      </c>
      <c r="I104" s="8">
        <f t="shared" ca="1" si="192"/>
        <v>0</v>
      </c>
      <c r="J104" s="8">
        <f t="shared" ca="1" si="192"/>
        <v>0</v>
      </c>
      <c r="K104" s="8">
        <f t="shared" ca="1" si="192"/>
        <v>0</v>
      </c>
      <c r="L104" s="8">
        <f t="shared" ca="1" si="192"/>
        <v>0</v>
      </c>
      <c r="M104" s="8">
        <f t="shared" ca="1" si="192"/>
        <v>0</v>
      </c>
      <c r="N104" s="8">
        <f t="shared" ca="1" si="192"/>
        <v>0</v>
      </c>
      <c r="O104" s="8">
        <f t="shared" ca="1" si="192"/>
        <v>0</v>
      </c>
      <c r="P104" s="8">
        <f t="shared" ca="1" si="192"/>
        <v>0</v>
      </c>
      <c r="Q104" s="8">
        <f t="shared" ca="1" si="192"/>
        <v>0</v>
      </c>
      <c r="R104" s="8">
        <f t="shared" ca="1" si="192"/>
        <v>0</v>
      </c>
      <c r="S104" s="8">
        <f t="shared" ca="1" si="192"/>
        <v>0</v>
      </c>
      <c r="T104" s="8">
        <f t="shared" ca="1" si="192"/>
        <v>0</v>
      </c>
      <c r="U104" s="8">
        <f t="shared" ca="1" si="192"/>
        <v>0</v>
      </c>
      <c r="V104" s="8">
        <f t="shared" ca="1" si="192"/>
        <v>0</v>
      </c>
      <c r="W104" s="8">
        <f t="shared" ca="1" si="192"/>
        <v>0</v>
      </c>
      <c r="X104" s="8">
        <f t="shared" ca="1" si="192"/>
        <v>0</v>
      </c>
      <c r="Y104" s="8">
        <f t="shared" ca="1" si="192"/>
        <v>0</v>
      </c>
      <c r="Z104" s="8">
        <f t="shared" ca="1" si="192"/>
        <v>0</v>
      </c>
      <c r="AA104" s="8">
        <f t="shared" ca="1" si="192"/>
        <v>0</v>
      </c>
      <c r="AB104" s="8">
        <f t="shared" ca="1" si="192"/>
        <v>0</v>
      </c>
      <c r="AC104" s="8">
        <f t="shared" ca="1" si="192"/>
        <v>0</v>
      </c>
      <c r="AD104" s="8">
        <f t="shared" ca="1" si="192"/>
        <v>0</v>
      </c>
      <c r="AE104" s="8">
        <f t="shared" ca="1" si="192"/>
        <v>0</v>
      </c>
      <c r="AF104" s="8">
        <f t="shared" ca="1" si="192"/>
        <v>0</v>
      </c>
      <c r="AG104" s="8">
        <f t="shared" ca="1" si="192"/>
        <v>0</v>
      </c>
      <c r="AH104" s="8">
        <f t="shared" ca="1" si="192"/>
        <v>0</v>
      </c>
      <c r="AI104" s="8">
        <f t="shared" ca="1" si="192"/>
        <v>0</v>
      </c>
      <c r="AJ104" s="8">
        <f t="shared" ca="1" si="192"/>
        <v>0</v>
      </c>
      <c r="AK104" s="8">
        <f t="shared" ca="1" si="192"/>
        <v>0</v>
      </c>
      <c r="AL104" s="8">
        <f t="shared" ca="1" si="192"/>
        <v>0</v>
      </c>
      <c r="AM104" s="8">
        <f t="shared" ca="1" si="192"/>
        <v>0</v>
      </c>
      <c r="AN104" s="8">
        <f t="shared" ref="AN104:AV104" ca="1" si="193">SUM(AN102:AN103)*princ</f>
        <v>0</v>
      </c>
      <c r="AO104" s="8">
        <f t="shared" ca="1" si="193"/>
        <v>0</v>
      </c>
      <c r="AP104" s="8">
        <f t="shared" ca="1" si="193"/>
        <v>0</v>
      </c>
      <c r="AQ104" s="8">
        <f t="shared" ca="1" si="193"/>
        <v>0</v>
      </c>
      <c r="AR104" s="8">
        <f t="shared" ca="1" si="193"/>
        <v>0</v>
      </c>
      <c r="AS104" s="8">
        <f t="shared" ca="1" si="193"/>
        <v>0</v>
      </c>
      <c r="AT104" s="8">
        <f t="shared" ca="1" si="193"/>
        <v>0</v>
      </c>
      <c r="AU104" s="8">
        <f t="shared" ca="1" si="193"/>
        <v>0</v>
      </c>
      <c r="AV104" s="8">
        <f t="shared" ca="1" si="193"/>
        <v>0</v>
      </c>
      <c r="AW104" s="8">
        <f t="shared" ref="AW104" ca="1" si="194">SUM(AW102:AW103)*princ</f>
        <v>0</v>
      </c>
    </row>
    <row r="105" spans="1:49" x14ac:dyDescent="0.2">
      <c r="A105" s="4" t="s">
        <v>26</v>
      </c>
      <c r="C105" s="8">
        <f ca="1">SUM(C102:C104)</f>
        <v>0</v>
      </c>
      <c r="D105" s="8">
        <f t="shared" ref="D105:G105" ca="1" si="195">SUM(D102:D104)</f>
        <v>0</v>
      </c>
      <c r="E105" s="8">
        <f t="shared" ca="1" si="195"/>
        <v>0</v>
      </c>
      <c r="F105" s="8">
        <f t="shared" ca="1" si="195"/>
        <v>0</v>
      </c>
      <c r="G105" s="8">
        <f t="shared" ca="1" si="195"/>
        <v>0</v>
      </c>
      <c r="H105" s="8">
        <f t="shared" ref="H105:AM105" ca="1" si="196">SUM(H102:H104)</f>
        <v>0</v>
      </c>
      <c r="I105" s="8">
        <f t="shared" ca="1" si="196"/>
        <v>0</v>
      </c>
      <c r="J105" s="8">
        <f t="shared" ca="1" si="196"/>
        <v>0</v>
      </c>
      <c r="K105" s="8">
        <f t="shared" ca="1" si="196"/>
        <v>0</v>
      </c>
      <c r="L105" s="8">
        <f t="shared" ca="1" si="196"/>
        <v>0</v>
      </c>
      <c r="M105" s="8">
        <f t="shared" ca="1" si="196"/>
        <v>0</v>
      </c>
      <c r="N105" s="8">
        <f t="shared" ca="1" si="196"/>
        <v>0</v>
      </c>
      <c r="O105" s="8">
        <f t="shared" ca="1" si="196"/>
        <v>0</v>
      </c>
      <c r="P105" s="8">
        <f t="shared" ca="1" si="196"/>
        <v>0</v>
      </c>
      <c r="Q105" s="8">
        <f t="shared" ca="1" si="196"/>
        <v>0</v>
      </c>
      <c r="R105" s="8">
        <f t="shared" ca="1" si="196"/>
        <v>0</v>
      </c>
      <c r="S105" s="8">
        <f t="shared" ca="1" si="196"/>
        <v>0</v>
      </c>
      <c r="T105" s="8">
        <f t="shared" ca="1" si="196"/>
        <v>0</v>
      </c>
      <c r="U105" s="8">
        <f t="shared" ca="1" si="196"/>
        <v>0</v>
      </c>
      <c r="V105" s="8">
        <f t="shared" ca="1" si="196"/>
        <v>0</v>
      </c>
      <c r="W105" s="8">
        <f t="shared" ca="1" si="196"/>
        <v>0</v>
      </c>
      <c r="X105" s="8">
        <f t="shared" ca="1" si="196"/>
        <v>0</v>
      </c>
      <c r="Y105" s="8">
        <f t="shared" ca="1" si="196"/>
        <v>0</v>
      </c>
      <c r="Z105" s="8">
        <f t="shared" ca="1" si="196"/>
        <v>0</v>
      </c>
      <c r="AA105" s="8">
        <f t="shared" ca="1" si="196"/>
        <v>0</v>
      </c>
      <c r="AB105" s="8">
        <f t="shared" ca="1" si="196"/>
        <v>0</v>
      </c>
      <c r="AC105" s="8">
        <f t="shared" ca="1" si="196"/>
        <v>0</v>
      </c>
      <c r="AD105" s="8">
        <f t="shared" ca="1" si="196"/>
        <v>0</v>
      </c>
      <c r="AE105" s="8">
        <f t="shared" ca="1" si="196"/>
        <v>0</v>
      </c>
      <c r="AF105" s="8">
        <f t="shared" ca="1" si="196"/>
        <v>0</v>
      </c>
      <c r="AG105" s="8">
        <f t="shared" ca="1" si="196"/>
        <v>0</v>
      </c>
      <c r="AH105" s="8">
        <f t="shared" ca="1" si="196"/>
        <v>0</v>
      </c>
      <c r="AI105" s="8">
        <f t="shared" ca="1" si="196"/>
        <v>0</v>
      </c>
      <c r="AJ105" s="8">
        <f t="shared" ca="1" si="196"/>
        <v>0</v>
      </c>
      <c r="AK105" s="8">
        <f t="shared" ca="1" si="196"/>
        <v>0</v>
      </c>
      <c r="AL105" s="8">
        <f t="shared" ca="1" si="196"/>
        <v>0</v>
      </c>
      <c r="AM105" s="8">
        <f t="shared" ca="1" si="196"/>
        <v>0</v>
      </c>
      <c r="AN105" s="8">
        <f t="shared" ref="AN105:AV105" ca="1" si="197">SUM(AN102:AN104)</f>
        <v>0</v>
      </c>
      <c r="AO105" s="8">
        <f t="shared" ca="1" si="197"/>
        <v>0</v>
      </c>
      <c r="AP105" s="8">
        <f t="shared" ca="1" si="197"/>
        <v>0</v>
      </c>
      <c r="AQ105" s="8">
        <f t="shared" ca="1" si="197"/>
        <v>0</v>
      </c>
      <c r="AR105" s="8">
        <f t="shared" ca="1" si="197"/>
        <v>0</v>
      </c>
      <c r="AS105" s="8">
        <f t="shared" ca="1" si="197"/>
        <v>0</v>
      </c>
      <c r="AT105" s="8">
        <f t="shared" ca="1" si="197"/>
        <v>0</v>
      </c>
      <c r="AU105" s="8">
        <f t="shared" ca="1" si="197"/>
        <v>0</v>
      </c>
      <c r="AV105" s="8">
        <f t="shared" ca="1" si="197"/>
        <v>0</v>
      </c>
      <c r="AW105" s="8">
        <f t="shared" ref="AW105" ca="1" si="198">SUM(AW102:AW104)</f>
        <v>0</v>
      </c>
    </row>
    <row r="106" spans="1:49" x14ac:dyDescent="0.2">
      <c r="A106" s="4" t="s">
        <v>27</v>
      </c>
      <c r="C106" s="8">
        <f ca="1">C103*Inputs!$B$163</f>
        <v>0</v>
      </c>
      <c r="D106" s="8">
        <f ca="1">D103*Inputs!$B$163</f>
        <v>0</v>
      </c>
      <c r="E106" s="8">
        <f ca="1">E103*Inputs!$B$163</f>
        <v>0</v>
      </c>
      <c r="F106" s="8">
        <f ca="1">F103*Inputs!$B$163</f>
        <v>0</v>
      </c>
      <c r="G106" s="8">
        <f ca="1">G103*Inputs!$B$163</f>
        <v>0</v>
      </c>
      <c r="H106" s="8">
        <f ca="1">H103*Inputs!$B$163</f>
        <v>0</v>
      </c>
      <c r="I106" s="8">
        <f ca="1">I103*Inputs!$B$163</f>
        <v>0</v>
      </c>
      <c r="J106" s="8">
        <f ca="1">J103*Inputs!$B$163</f>
        <v>0</v>
      </c>
      <c r="K106" s="8">
        <f ca="1">K103*Inputs!$B$163</f>
        <v>0</v>
      </c>
      <c r="L106" s="8">
        <f ca="1">L103*Inputs!$B$163</f>
        <v>0</v>
      </c>
      <c r="M106" s="8">
        <f ca="1">M103*Inputs!$B$163</f>
        <v>0</v>
      </c>
      <c r="N106" s="8">
        <f ca="1">N103*Inputs!$B$163</f>
        <v>0</v>
      </c>
      <c r="O106" s="8">
        <f ca="1">O103*Inputs!$B$163</f>
        <v>0</v>
      </c>
      <c r="P106" s="8">
        <f ca="1">P103*Inputs!$B$163</f>
        <v>0</v>
      </c>
      <c r="Q106" s="8">
        <f ca="1">Q103*Inputs!$B$163</f>
        <v>0</v>
      </c>
      <c r="R106" s="8">
        <f ca="1">R103*Inputs!$B$163</f>
        <v>0</v>
      </c>
      <c r="S106" s="8">
        <f ca="1">S103*Inputs!$B$163</f>
        <v>0</v>
      </c>
      <c r="T106" s="8">
        <f ca="1">T103*Inputs!$B$163</f>
        <v>0</v>
      </c>
      <c r="U106" s="8">
        <f ca="1">U103*Inputs!$B$163</f>
        <v>0</v>
      </c>
      <c r="V106" s="8">
        <f ca="1">V103*Inputs!$B$163</f>
        <v>0</v>
      </c>
      <c r="W106" s="8">
        <f ca="1">W103*Inputs!$B$163</f>
        <v>0</v>
      </c>
      <c r="X106" s="8">
        <f ca="1">X103*Inputs!$B$163</f>
        <v>0</v>
      </c>
      <c r="Y106" s="8">
        <f ca="1">Y103*Inputs!$B$163</f>
        <v>0</v>
      </c>
      <c r="Z106" s="8">
        <f ca="1">Z103*Inputs!$B$163</f>
        <v>0</v>
      </c>
      <c r="AA106" s="8">
        <f ca="1">AA103*Inputs!$B$163</f>
        <v>0</v>
      </c>
      <c r="AB106" s="8">
        <f ca="1">AB103*Inputs!$B$163</f>
        <v>0</v>
      </c>
      <c r="AC106" s="8">
        <f ca="1">AC103*Inputs!$B$163</f>
        <v>0</v>
      </c>
      <c r="AD106" s="8">
        <f ca="1">AD103*Inputs!$B$163</f>
        <v>0</v>
      </c>
      <c r="AE106" s="8">
        <f ca="1">AE103*Inputs!$B$163</f>
        <v>0</v>
      </c>
      <c r="AF106" s="8">
        <f ca="1">AF103*Inputs!$B$163</f>
        <v>0</v>
      </c>
      <c r="AG106" s="8">
        <f ca="1">AG103*Inputs!$B$163</f>
        <v>0</v>
      </c>
      <c r="AH106" s="8">
        <f ca="1">AH103*Inputs!$B$163</f>
        <v>0</v>
      </c>
      <c r="AI106" s="8">
        <f ca="1">AI103*Inputs!$B$163</f>
        <v>0</v>
      </c>
      <c r="AJ106" s="8">
        <f ca="1">AJ103*Inputs!$B$163</f>
        <v>0</v>
      </c>
      <c r="AK106" s="8">
        <f ca="1">AK103*Inputs!$B$163</f>
        <v>0</v>
      </c>
      <c r="AL106" s="8">
        <f ca="1">AL103*Inputs!$B$163</f>
        <v>0</v>
      </c>
      <c r="AM106" s="8">
        <f ca="1">AM103*Inputs!$B$163</f>
        <v>0</v>
      </c>
      <c r="AN106" s="8">
        <f ca="1">AN103*Inputs!$B$163</f>
        <v>0</v>
      </c>
      <c r="AO106" s="8">
        <f ca="1">AO103*Inputs!$B$163</f>
        <v>0</v>
      </c>
      <c r="AP106" s="8">
        <f ca="1">AP103*Inputs!$B$163</f>
        <v>0</v>
      </c>
      <c r="AQ106" s="8">
        <f ca="1">AQ103*Inputs!$B$163</f>
        <v>0</v>
      </c>
      <c r="AR106" s="8">
        <f ca="1">AR103*Inputs!$B$163</f>
        <v>0</v>
      </c>
      <c r="AS106" s="8">
        <f ca="1">AS103*Inputs!$B$163</f>
        <v>0</v>
      </c>
      <c r="AT106" s="8">
        <f ca="1">AT103*Inputs!$B$163</f>
        <v>0</v>
      </c>
      <c r="AU106" s="8">
        <f ca="1">AU103*Inputs!$B$163</f>
        <v>0</v>
      </c>
      <c r="AV106" s="8">
        <f ca="1">AV103*Inputs!$B$163</f>
        <v>0</v>
      </c>
      <c r="AW106" s="8">
        <f>AW103*Inputs!$B$163</f>
        <v>0</v>
      </c>
    </row>
    <row r="107" spans="1:49" x14ac:dyDescent="0.2">
      <c r="A107" s="4" t="s">
        <v>34</v>
      </c>
      <c r="C107" s="8">
        <f>IFERROR(-IF(C102=0,VLOOKUP($A101,$7:$10,C$1+2,FALSE),0),0)</f>
        <v>0</v>
      </c>
      <c r="D107" s="8">
        <f t="shared" ref="D107:G107" ca="1" si="199">IFERROR(-IF(D102=0,VLOOKUP($A101,$7:$10,D$1+2,FALSE),0),0)</f>
        <v>0</v>
      </c>
      <c r="E107" s="8">
        <f t="shared" ca="1" si="199"/>
        <v>0</v>
      </c>
      <c r="F107" s="8">
        <f t="shared" ca="1" si="199"/>
        <v>0</v>
      </c>
      <c r="G107" s="8">
        <f t="shared" ca="1" si="199"/>
        <v>0</v>
      </c>
      <c r="H107" s="8">
        <f t="shared" ref="H107:AM107" ca="1" si="200">IFERROR(-IF(H102=0,VLOOKUP($A101,$7:$10,H$1+2,FALSE),0),0)</f>
        <v>0</v>
      </c>
      <c r="I107" s="8">
        <f t="shared" ca="1" si="200"/>
        <v>0</v>
      </c>
      <c r="J107" s="8">
        <f t="shared" ca="1" si="200"/>
        <v>0</v>
      </c>
      <c r="K107" s="8">
        <f t="shared" ca="1" si="200"/>
        <v>0</v>
      </c>
      <c r="L107" s="8">
        <f t="shared" ca="1" si="200"/>
        <v>0</v>
      </c>
      <c r="M107" s="8">
        <f t="shared" ca="1" si="200"/>
        <v>0</v>
      </c>
      <c r="N107" s="8">
        <f t="shared" ca="1" si="200"/>
        <v>0</v>
      </c>
      <c r="O107" s="8">
        <f t="shared" ca="1" si="200"/>
        <v>0</v>
      </c>
      <c r="P107" s="8">
        <f t="shared" ca="1" si="200"/>
        <v>0</v>
      </c>
      <c r="Q107" s="8">
        <f t="shared" ca="1" si="200"/>
        <v>0</v>
      </c>
      <c r="R107" s="8">
        <f t="shared" ca="1" si="200"/>
        <v>0</v>
      </c>
      <c r="S107" s="8">
        <f t="shared" ca="1" si="200"/>
        <v>0</v>
      </c>
      <c r="T107" s="8">
        <f t="shared" ca="1" si="200"/>
        <v>0</v>
      </c>
      <c r="U107" s="8">
        <f t="shared" ca="1" si="200"/>
        <v>0</v>
      </c>
      <c r="V107" s="8">
        <f t="shared" ca="1" si="200"/>
        <v>0</v>
      </c>
      <c r="W107" s="8">
        <f t="shared" ca="1" si="200"/>
        <v>0</v>
      </c>
      <c r="X107" s="8">
        <f t="shared" ca="1" si="200"/>
        <v>0</v>
      </c>
      <c r="Y107" s="8">
        <f t="shared" ca="1" si="200"/>
        <v>0</v>
      </c>
      <c r="Z107" s="8">
        <f t="shared" ca="1" si="200"/>
        <v>0</v>
      </c>
      <c r="AA107" s="8">
        <f t="shared" ca="1" si="200"/>
        <v>0</v>
      </c>
      <c r="AB107" s="8">
        <f t="shared" ca="1" si="200"/>
        <v>0</v>
      </c>
      <c r="AC107" s="8">
        <f t="shared" ca="1" si="200"/>
        <v>0</v>
      </c>
      <c r="AD107" s="8">
        <f t="shared" ca="1" si="200"/>
        <v>0</v>
      </c>
      <c r="AE107" s="8">
        <f t="shared" ca="1" si="200"/>
        <v>0</v>
      </c>
      <c r="AF107" s="8">
        <f t="shared" ca="1" si="200"/>
        <v>0</v>
      </c>
      <c r="AG107" s="8">
        <f t="shared" ca="1" si="200"/>
        <v>0</v>
      </c>
      <c r="AH107" s="8">
        <f t="shared" ca="1" si="200"/>
        <v>0</v>
      </c>
      <c r="AI107" s="8">
        <f t="shared" ca="1" si="200"/>
        <v>0</v>
      </c>
      <c r="AJ107" s="8">
        <f t="shared" ca="1" si="200"/>
        <v>0</v>
      </c>
      <c r="AK107" s="8">
        <f t="shared" ca="1" si="200"/>
        <v>0</v>
      </c>
      <c r="AL107" s="8">
        <f t="shared" ca="1" si="200"/>
        <v>0</v>
      </c>
      <c r="AM107" s="8">
        <f t="shared" ca="1" si="200"/>
        <v>0</v>
      </c>
      <c r="AN107" s="8">
        <f t="shared" ref="AN107:AV107" ca="1" si="201">IFERROR(-IF(AN102=0,VLOOKUP($A101,$7:$10,AN$1+2,FALSE),0),0)</f>
        <v>0</v>
      </c>
      <c r="AO107" s="8">
        <f t="shared" ca="1" si="201"/>
        <v>0</v>
      </c>
      <c r="AP107" s="8">
        <f t="shared" ca="1" si="201"/>
        <v>0</v>
      </c>
      <c r="AQ107" s="8">
        <f t="shared" ca="1" si="201"/>
        <v>0</v>
      </c>
      <c r="AR107" s="8">
        <f t="shared" ca="1" si="201"/>
        <v>0</v>
      </c>
      <c r="AS107" s="8">
        <f t="shared" ca="1" si="201"/>
        <v>0</v>
      </c>
      <c r="AT107" s="8">
        <f t="shared" ca="1" si="201"/>
        <v>0</v>
      </c>
      <c r="AU107" s="8">
        <f t="shared" ca="1" si="201"/>
        <v>0</v>
      </c>
      <c r="AV107" s="8">
        <f t="shared" ca="1" si="201"/>
        <v>0</v>
      </c>
      <c r="AW107" s="8">
        <f t="shared" ref="AW107" ca="1" si="202">IFERROR(-IF(AW102=0,VLOOKUP($A101,$7:$10,AW$1+2,FALSE),0),0)</f>
        <v>0</v>
      </c>
    </row>
    <row r="108" spans="1:49" x14ac:dyDescent="0.2">
      <c r="A108" s="4" t="s">
        <v>54</v>
      </c>
      <c r="C108" s="8">
        <f>IFERROR(IF(C102=0,VLOOKUP($A101,$33:$36,C$1+2,FALSE),0),0)</f>
        <v>0</v>
      </c>
      <c r="D108" s="8">
        <f t="shared" ref="D108:G108" ca="1" si="203">IFERROR(IF(D102=0,VLOOKUP($A101,$33:$36,D$1+2,FALSE),0),0)</f>
        <v>0</v>
      </c>
      <c r="E108" s="8">
        <f t="shared" ca="1" si="203"/>
        <v>0</v>
      </c>
      <c r="F108" s="8">
        <f t="shared" ca="1" si="203"/>
        <v>0</v>
      </c>
      <c r="G108" s="8">
        <f t="shared" ca="1" si="203"/>
        <v>0</v>
      </c>
      <c r="H108" s="8">
        <f t="shared" ref="H108:AM108" ca="1" si="204">IFERROR(IF(H102=0,VLOOKUP($A101,$33:$36,H$1+2,FALSE),0),0)</f>
        <v>0</v>
      </c>
      <c r="I108" s="8">
        <f t="shared" ca="1" si="204"/>
        <v>0</v>
      </c>
      <c r="J108" s="8">
        <f t="shared" ca="1" si="204"/>
        <v>0</v>
      </c>
      <c r="K108" s="8">
        <f t="shared" ca="1" si="204"/>
        <v>0</v>
      </c>
      <c r="L108" s="8">
        <f t="shared" ca="1" si="204"/>
        <v>0</v>
      </c>
      <c r="M108" s="8">
        <f t="shared" ca="1" si="204"/>
        <v>0</v>
      </c>
      <c r="N108" s="8">
        <f t="shared" ca="1" si="204"/>
        <v>0</v>
      </c>
      <c r="O108" s="8">
        <f t="shared" ca="1" si="204"/>
        <v>0</v>
      </c>
      <c r="P108" s="8">
        <f t="shared" ca="1" si="204"/>
        <v>0</v>
      </c>
      <c r="Q108" s="8">
        <f t="shared" ca="1" si="204"/>
        <v>0</v>
      </c>
      <c r="R108" s="8">
        <f t="shared" ca="1" si="204"/>
        <v>0</v>
      </c>
      <c r="S108" s="8">
        <f t="shared" ca="1" si="204"/>
        <v>0</v>
      </c>
      <c r="T108" s="8">
        <f t="shared" ca="1" si="204"/>
        <v>0</v>
      </c>
      <c r="U108" s="8">
        <f t="shared" ca="1" si="204"/>
        <v>0</v>
      </c>
      <c r="V108" s="8">
        <f t="shared" ca="1" si="204"/>
        <v>0</v>
      </c>
      <c r="W108" s="8">
        <f t="shared" ca="1" si="204"/>
        <v>0</v>
      </c>
      <c r="X108" s="8">
        <f t="shared" ca="1" si="204"/>
        <v>0</v>
      </c>
      <c r="Y108" s="8">
        <f t="shared" ca="1" si="204"/>
        <v>0</v>
      </c>
      <c r="Z108" s="8">
        <f t="shared" ca="1" si="204"/>
        <v>0</v>
      </c>
      <c r="AA108" s="8">
        <f t="shared" ca="1" si="204"/>
        <v>0</v>
      </c>
      <c r="AB108" s="8">
        <f t="shared" ca="1" si="204"/>
        <v>0</v>
      </c>
      <c r="AC108" s="8">
        <f t="shared" ca="1" si="204"/>
        <v>0</v>
      </c>
      <c r="AD108" s="8">
        <f t="shared" ca="1" si="204"/>
        <v>0</v>
      </c>
      <c r="AE108" s="8">
        <f t="shared" ca="1" si="204"/>
        <v>0</v>
      </c>
      <c r="AF108" s="8">
        <f t="shared" ca="1" si="204"/>
        <v>0</v>
      </c>
      <c r="AG108" s="8">
        <f t="shared" ca="1" si="204"/>
        <v>0</v>
      </c>
      <c r="AH108" s="8">
        <f t="shared" ca="1" si="204"/>
        <v>0</v>
      </c>
      <c r="AI108" s="8">
        <f t="shared" ca="1" si="204"/>
        <v>0</v>
      </c>
      <c r="AJ108" s="8">
        <f t="shared" ca="1" si="204"/>
        <v>0</v>
      </c>
      <c r="AK108" s="8">
        <f t="shared" ca="1" si="204"/>
        <v>0</v>
      </c>
      <c r="AL108" s="8">
        <f t="shared" ca="1" si="204"/>
        <v>0</v>
      </c>
      <c r="AM108" s="8">
        <f t="shared" ca="1" si="204"/>
        <v>0</v>
      </c>
      <c r="AN108" s="8">
        <f t="shared" ref="AN108:AV108" ca="1" si="205">IFERROR(IF(AN102=0,VLOOKUP($A101,$33:$36,AN$1+2,FALSE),0),0)</f>
        <v>0</v>
      </c>
      <c r="AO108" s="8">
        <f t="shared" ca="1" si="205"/>
        <v>0</v>
      </c>
      <c r="AP108" s="8">
        <f t="shared" ca="1" si="205"/>
        <v>0</v>
      </c>
      <c r="AQ108" s="8">
        <f t="shared" ca="1" si="205"/>
        <v>0</v>
      </c>
      <c r="AR108" s="8">
        <f t="shared" ca="1" si="205"/>
        <v>0</v>
      </c>
      <c r="AS108" s="8">
        <f t="shared" ca="1" si="205"/>
        <v>0</v>
      </c>
      <c r="AT108" s="8">
        <f t="shared" ca="1" si="205"/>
        <v>0</v>
      </c>
      <c r="AU108" s="8">
        <f t="shared" ca="1" si="205"/>
        <v>0</v>
      </c>
      <c r="AV108" s="8">
        <f t="shared" ca="1" si="205"/>
        <v>0</v>
      </c>
      <c r="AW108" s="8">
        <f t="shared" ref="AW108" ca="1" si="206">IFERROR(IF(AW102=0,VLOOKUP($A101,$33:$36,AW$1+2,FALSE),0),0)</f>
        <v>0</v>
      </c>
    </row>
    <row r="109" spans="1:49" x14ac:dyDescent="0.2">
      <c r="A109" s="4" t="s">
        <v>40</v>
      </c>
      <c r="B109" s="16" t="str">
        <f>A101</f>
        <v/>
      </c>
      <c r="C109" s="8">
        <f ca="1">IF(AND(C102&gt;0,C105=0),VLOOKUP($A101,$61:$64,C$1+2,FALSE),0)</f>
        <v>0</v>
      </c>
      <c r="D109" s="8">
        <f t="shared" ref="D109:G109" ca="1" si="207">IF(AND(D102&gt;0,D105=0),VLOOKUP($A101,$61:$64,D$1+2,FALSE),0)</f>
        <v>0</v>
      </c>
      <c r="E109" s="8">
        <f t="shared" ca="1" si="207"/>
        <v>0</v>
      </c>
      <c r="F109" s="8">
        <f t="shared" ca="1" si="207"/>
        <v>0</v>
      </c>
      <c r="G109" s="8">
        <f t="shared" ca="1" si="207"/>
        <v>0</v>
      </c>
      <c r="H109" s="8">
        <f t="shared" ref="H109:AM109" ca="1" si="208">IF(AND(H102&gt;0,H105=0),VLOOKUP($A101,$61:$64,H$1+2,FALSE),0)</f>
        <v>0</v>
      </c>
      <c r="I109" s="8">
        <f t="shared" ca="1" si="208"/>
        <v>0</v>
      </c>
      <c r="J109" s="8">
        <f t="shared" ca="1" si="208"/>
        <v>0</v>
      </c>
      <c r="K109" s="8">
        <f t="shared" ca="1" si="208"/>
        <v>0</v>
      </c>
      <c r="L109" s="8">
        <f t="shared" ca="1" si="208"/>
        <v>0</v>
      </c>
      <c r="M109" s="8">
        <f t="shared" ca="1" si="208"/>
        <v>0</v>
      </c>
      <c r="N109" s="8">
        <f t="shared" ca="1" si="208"/>
        <v>0</v>
      </c>
      <c r="O109" s="8">
        <f t="shared" ca="1" si="208"/>
        <v>0</v>
      </c>
      <c r="P109" s="8">
        <f t="shared" ca="1" si="208"/>
        <v>0</v>
      </c>
      <c r="Q109" s="8">
        <f t="shared" ca="1" si="208"/>
        <v>0</v>
      </c>
      <c r="R109" s="8">
        <f t="shared" ca="1" si="208"/>
        <v>0</v>
      </c>
      <c r="S109" s="8">
        <f t="shared" ca="1" si="208"/>
        <v>0</v>
      </c>
      <c r="T109" s="8">
        <f t="shared" ca="1" si="208"/>
        <v>0</v>
      </c>
      <c r="U109" s="8">
        <f t="shared" ca="1" si="208"/>
        <v>0</v>
      </c>
      <c r="V109" s="8">
        <f t="shared" ca="1" si="208"/>
        <v>0</v>
      </c>
      <c r="W109" s="8">
        <f t="shared" ca="1" si="208"/>
        <v>0</v>
      </c>
      <c r="X109" s="8">
        <f t="shared" ca="1" si="208"/>
        <v>0</v>
      </c>
      <c r="Y109" s="8">
        <f t="shared" ca="1" si="208"/>
        <v>0</v>
      </c>
      <c r="Z109" s="8">
        <f t="shared" ca="1" si="208"/>
        <v>0</v>
      </c>
      <c r="AA109" s="8">
        <f t="shared" ca="1" si="208"/>
        <v>0</v>
      </c>
      <c r="AB109" s="8">
        <f t="shared" ca="1" si="208"/>
        <v>0</v>
      </c>
      <c r="AC109" s="8">
        <f t="shared" ca="1" si="208"/>
        <v>0</v>
      </c>
      <c r="AD109" s="8">
        <f t="shared" ca="1" si="208"/>
        <v>0</v>
      </c>
      <c r="AE109" s="8">
        <f t="shared" ca="1" si="208"/>
        <v>0</v>
      </c>
      <c r="AF109" s="8">
        <f t="shared" ca="1" si="208"/>
        <v>0</v>
      </c>
      <c r="AG109" s="8">
        <f t="shared" ca="1" si="208"/>
        <v>0</v>
      </c>
      <c r="AH109" s="8">
        <f t="shared" ca="1" si="208"/>
        <v>0</v>
      </c>
      <c r="AI109" s="8">
        <f t="shared" ca="1" si="208"/>
        <v>0</v>
      </c>
      <c r="AJ109" s="8">
        <f t="shared" ca="1" si="208"/>
        <v>0</v>
      </c>
      <c r="AK109" s="8">
        <f t="shared" ca="1" si="208"/>
        <v>0</v>
      </c>
      <c r="AL109" s="8">
        <f t="shared" ca="1" si="208"/>
        <v>0</v>
      </c>
      <c r="AM109" s="8">
        <f t="shared" ca="1" si="208"/>
        <v>0</v>
      </c>
      <c r="AN109" s="8">
        <f t="shared" ref="AN109:AV109" ca="1" si="209">IF(AND(AN102&gt;0,AN105=0),VLOOKUP($A101,$61:$64,AN$1+2,FALSE),0)</f>
        <v>0</v>
      </c>
      <c r="AO109" s="8">
        <f t="shared" ca="1" si="209"/>
        <v>0</v>
      </c>
      <c r="AP109" s="8">
        <f t="shared" ca="1" si="209"/>
        <v>0</v>
      </c>
      <c r="AQ109" s="8">
        <f t="shared" ca="1" si="209"/>
        <v>0</v>
      </c>
      <c r="AR109" s="8">
        <f t="shared" ca="1" si="209"/>
        <v>0</v>
      </c>
      <c r="AS109" s="8">
        <f t="shared" ca="1" si="209"/>
        <v>0</v>
      </c>
      <c r="AT109" s="8">
        <f t="shared" ca="1" si="209"/>
        <v>0</v>
      </c>
      <c r="AU109" s="8">
        <f t="shared" ca="1" si="209"/>
        <v>0</v>
      </c>
      <c r="AV109" s="8">
        <f t="shared" ca="1" si="209"/>
        <v>0</v>
      </c>
      <c r="AW109" s="8">
        <f t="shared" ref="AW109" ca="1" si="210">IF(AND(AW102&gt;0,AW105=0),VLOOKUP($A101,$61:$64,AW$1+2,FALSE),0)</f>
        <v>0</v>
      </c>
    </row>
    <row r="110" spans="1:49" x14ac:dyDescent="0.2">
      <c r="A110" s="4" t="s">
        <v>41</v>
      </c>
      <c r="C110" s="8">
        <f ca="1">-C103+SUM(C106:C109)</f>
        <v>0</v>
      </c>
      <c r="D110" s="8">
        <f t="shared" ref="D110" ca="1" si="211">-D103+SUM(D106:D109)</f>
        <v>0</v>
      </c>
      <c r="E110" s="8">
        <f t="shared" ref="E110:G110" ca="1" si="212">-E103+SUM(E106:E109)</f>
        <v>0</v>
      </c>
      <c r="F110" s="8">
        <f t="shared" ca="1" si="212"/>
        <v>0</v>
      </c>
      <c r="G110" s="8">
        <f t="shared" ca="1" si="212"/>
        <v>0</v>
      </c>
      <c r="H110" s="8">
        <f t="shared" ref="H110:AM110" ca="1" si="213">-H103+SUM(H106:H109)</f>
        <v>0</v>
      </c>
      <c r="I110" s="8">
        <f t="shared" ca="1" si="213"/>
        <v>0</v>
      </c>
      <c r="J110" s="8">
        <f t="shared" ca="1" si="213"/>
        <v>0</v>
      </c>
      <c r="K110" s="8">
        <f t="shared" ca="1" si="213"/>
        <v>0</v>
      </c>
      <c r="L110" s="8">
        <f t="shared" ca="1" si="213"/>
        <v>0</v>
      </c>
      <c r="M110" s="8">
        <f t="shared" ca="1" si="213"/>
        <v>0</v>
      </c>
      <c r="N110" s="8">
        <f t="shared" ca="1" si="213"/>
        <v>0</v>
      </c>
      <c r="O110" s="8">
        <f t="shared" ca="1" si="213"/>
        <v>0</v>
      </c>
      <c r="P110" s="8">
        <f t="shared" ca="1" si="213"/>
        <v>0</v>
      </c>
      <c r="Q110" s="8">
        <f t="shared" ca="1" si="213"/>
        <v>0</v>
      </c>
      <c r="R110" s="8">
        <f t="shared" ca="1" si="213"/>
        <v>0</v>
      </c>
      <c r="S110" s="8">
        <f t="shared" ca="1" si="213"/>
        <v>0</v>
      </c>
      <c r="T110" s="8">
        <f t="shared" ca="1" si="213"/>
        <v>0</v>
      </c>
      <c r="U110" s="8">
        <f t="shared" ca="1" si="213"/>
        <v>0</v>
      </c>
      <c r="V110" s="8">
        <f t="shared" ca="1" si="213"/>
        <v>0</v>
      </c>
      <c r="W110" s="8">
        <f t="shared" ca="1" si="213"/>
        <v>0</v>
      </c>
      <c r="X110" s="8">
        <f t="shared" ca="1" si="213"/>
        <v>0</v>
      </c>
      <c r="Y110" s="8">
        <f t="shared" ca="1" si="213"/>
        <v>0</v>
      </c>
      <c r="Z110" s="8">
        <f t="shared" ca="1" si="213"/>
        <v>0</v>
      </c>
      <c r="AA110" s="8">
        <f t="shared" ca="1" si="213"/>
        <v>0</v>
      </c>
      <c r="AB110" s="8">
        <f t="shared" ca="1" si="213"/>
        <v>0</v>
      </c>
      <c r="AC110" s="8">
        <f t="shared" ca="1" si="213"/>
        <v>0</v>
      </c>
      <c r="AD110" s="8">
        <f t="shared" ca="1" si="213"/>
        <v>0</v>
      </c>
      <c r="AE110" s="8">
        <f t="shared" ca="1" si="213"/>
        <v>0</v>
      </c>
      <c r="AF110" s="8">
        <f t="shared" ca="1" si="213"/>
        <v>0</v>
      </c>
      <c r="AG110" s="8">
        <f t="shared" ca="1" si="213"/>
        <v>0</v>
      </c>
      <c r="AH110" s="8">
        <f t="shared" ca="1" si="213"/>
        <v>0</v>
      </c>
      <c r="AI110" s="8">
        <f t="shared" ca="1" si="213"/>
        <v>0</v>
      </c>
      <c r="AJ110" s="8">
        <f t="shared" ca="1" si="213"/>
        <v>0</v>
      </c>
      <c r="AK110" s="8">
        <f t="shared" ca="1" si="213"/>
        <v>0</v>
      </c>
      <c r="AL110" s="8">
        <f t="shared" ca="1" si="213"/>
        <v>0</v>
      </c>
      <c r="AM110" s="8">
        <f t="shared" ca="1" si="213"/>
        <v>0</v>
      </c>
      <c r="AN110" s="8">
        <f t="shared" ref="AN110:AV110" ca="1" si="214">-AN103+SUM(AN106:AN109)</f>
        <v>0</v>
      </c>
      <c r="AO110" s="8">
        <f t="shared" ca="1" si="214"/>
        <v>0</v>
      </c>
      <c r="AP110" s="8">
        <f t="shared" ca="1" si="214"/>
        <v>0</v>
      </c>
      <c r="AQ110" s="8">
        <f t="shared" ca="1" si="214"/>
        <v>0</v>
      </c>
      <c r="AR110" s="8">
        <f t="shared" ca="1" si="214"/>
        <v>0</v>
      </c>
      <c r="AS110" s="8">
        <f t="shared" ca="1" si="214"/>
        <v>0</v>
      </c>
      <c r="AT110" s="8">
        <f t="shared" ca="1" si="214"/>
        <v>0</v>
      </c>
      <c r="AU110" s="8">
        <f t="shared" ca="1" si="214"/>
        <v>0</v>
      </c>
      <c r="AV110" s="8">
        <f t="shared" ca="1" si="214"/>
        <v>0</v>
      </c>
      <c r="AW110" s="8">
        <f t="shared" ref="AW110" ca="1" si="215">-AW103+SUM(AW106:AW109)</f>
        <v>0</v>
      </c>
    </row>
    <row r="111" spans="1:49" x14ac:dyDescent="0.2">
      <c r="A111" s="4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">
      <c r="A112" s="4" t="s">
        <v>87</v>
      </c>
      <c r="C112" s="8">
        <f ca="1">C98+SUM($C110:C110)</f>
        <v>184898.75</v>
      </c>
      <c r="D112" s="8">
        <f ca="1">D98+SUM($C110:D110)</f>
        <v>190464.1875</v>
      </c>
      <c r="E112" s="8">
        <f ca="1">E98+SUM($C110:E110)</f>
        <v>196735.69765625001</v>
      </c>
      <c r="F112" s="8">
        <f ca="1">F98+SUM($C110:F110)</f>
        <v>203754.49157812502</v>
      </c>
      <c r="G112" s="8">
        <f ca="1">G98+SUM($C110:G110)</f>
        <v>211563.68121130861</v>
      </c>
      <c r="H112" s="8">
        <f ca="1">H98+SUM($C110:H110)</f>
        <v>220208.35706995256</v>
      </c>
      <c r="I112" s="8">
        <f ca="1">I98+SUM($C110:I110)</f>
        <v>229735.66892084025</v>
      </c>
      <c r="J112" s="8">
        <f ca="1">J98+SUM($C110:J110)</f>
        <v>240194.90952617431</v>
      </c>
      <c r="K112" s="8">
        <f ca="1">K98+SUM($C110:K110)</f>
        <v>251637.60155532236</v>
      </c>
      <c r="L112" s="8">
        <f ca="1">L98+SUM($C110:L110)</f>
        <v>264117.58777969546</v>
      </c>
      <c r="M112" s="8">
        <f ca="1">M98+SUM($C110:M110)</f>
        <v>277691.1246689033</v>
      </c>
      <c r="N112" s="8">
        <f ca="1">N98+SUM($C110:N110)</f>
        <v>292416.97951043496</v>
      </c>
      <c r="O112" s="8">
        <f ca="1">O98+SUM($C110:O110)</f>
        <v>308356.53117935767</v>
      </c>
      <c r="P112" s="8">
        <f ca="1">P98+SUM($C110:P110)</f>
        <v>325573.87468891207</v>
      </c>
      <c r="Q112" s="8">
        <f ca="1">Q98+SUM($C110:Q110)</f>
        <v>344135.92965741799</v>
      </c>
      <c r="R112" s="8">
        <f ca="1">R98+SUM($C110:R110)</f>
        <v>367161.10470025497</v>
      </c>
      <c r="S112" s="8">
        <f ca="1">S98+SUM($C110:S110)</f>
        <v>398421.42047661229</v>
      </c>
      <c r="T112" s="8">
        <f ca="1">T98+SUM($C110:T110)</f>
        <v>358811.20508166938</v>
      </c>
      <c r="U112" s="8">
        <f ca="1">U98+SUM($C110:U110)</f>
        <v>324854.73778757063</v>
      </c>
      <c r="V112" s="8">
        <f ca="1">V98+SUM($C110:V110)</f>
        <v>288963.69012559089</v>
      </c>
      <c r="W112" s="8">
        <f ca="1">W98+SUM($C110:W110)</f>
        <v>251062.55586939497</v>
      </c>
      <c r="X112" s="8">
        <f ca="1">X98+SUM($C110:X110)</f>
        <v>211073.26259406074</v>
      </c>
      <c r="Y112" s="8">
        <f ca="1">Y98+SUM($C110:Y110)</f>
        <v>168915.09055754144</v>
      </c>
      <c r="Z112" s="8">
        <f ca="1">Z98+SUM($C110:Z110)</f>
        <v>124504.58913007489</v>
      </c>
      <c r="AA112" s="8">
        <f ca="1">AA98+SUM($C110:AA110)</f>
        <v>77755.490699636561</v>
      </c>
      <c r="AB112" s="8">
        <f ca="1">AB98+SUM($C110:AB110)</f>
        <v>28578.621979470016</v>
      </c>
      <c r="AC112" s="8">
        <f ca="1">AC98+SUM($C110:AC110)</f>
        <v>0</v>
      </c>
      <c r="AD112" s="8">
        <f ca="1">AD98+SUM($C110:AD110)</f>
        <v>0</v>
      </c>
      <c r="AE112" s="8">
        <f ca="1">AE98+SUM($C110:AE110)</f>
        <v>0</v>
      </c>
      <c r="AF112" s="8">
        <f ca="1">AF98+SUM($C110:AF110)</f>
        <v>0</v>
      </c>
      <c r="AG112" s="8">
        <f ca="1">AG98+SUM($C110:AG110)</f>
        <v>0</v>
      </c>
      <c r="AH112" s="8">
        <f ca="1">AH98+SUM($C110:AH110)</f>
        <v>0</v>
      </c>
      <c r="AI112" s="8">
        <f ca="1">AI98+SUM($C110:AI110)</f>
        <v>0</v>
      </c>
      <c r="AJ112" s="8">
        <f ca="1">AJ98+SUM($C110:AJ110)</f>
        <v>0</v>
      </c>
      <c r="AK112" s="8">
        <f ca="1">AK98+SUM($C110:AK110)</f>
        <v>0</v>
      </c>
      <c r="AL112" s="8">
        <f ca="1">AL98+SUM($C110:AL110)</f>
        <v>735473.29901135678</v>
      </c>
      <c r="AM112" s="8">
        <f ca="1">AM98+SUM($C110:AM110)</f>
        <v>743483.72201347235</v>
      </c>
      <c r="AN112" s="8">
        <f ca="1">AN98+SUM($C110:AN110)</f>
        <v>705448.12308551755</v>
      </c>
      <c r="AO112" s="8">
        <f ca="1">AO98+SUM($C110:AO110)</f>
        <v>664635.55704448489</v>
      </c>
      <c r="AP112" s="8">
        <f ca="1">AP98+SUM($C110:AP110)</f>
        <v>620976.5997125475</v>
      </c>
      <c r="AQ112" s="8">
        <f ca="1">AQ98+SUM($C110:AQ110)</f>
        <v>574400.09130743286</v>
      </c>
      <c r="AR112" s="8">
        <f ca="1">AR98+SUM($C110:AR110)</f>
        <v>524833.09305231122</v>
      </c>
      <c r="AS112" s="8">
        <f ca="1">AS98+SUM($C110:AS110)</f>
        <v>472200.84270093252</v>
      </c>
      <c r="AT112" s="8">
        <f ca="1">AT98+SUM($C110:AT110)</f>
        <v>416426.70895089046</v>
      </c>
      <c r="AU112" s="8">
        <f ca="1">AU98+SUM($C110:AU110)</f>
        <v>357432.14471721847</v>
      </c>
      <c r="AV112" s="8">
        <f ca="1">AV98+SUM($C110:AV110)</f>
        <v>295136.63923782588</v>
      </c>
      <c r="AW112" s="8">
        <f ca="1">AW98+SUM($C110:AW110)</f>
        <v>229457.66898156921</v>
      </c>
    </row>
    <row r="113" spans="1:49" x14ac:dyDescent="0.2">
      <c r="A113" s="4" t="s">
        <v>84</v>
      </c>
      <c r="C113" s="8">
        <f t="shared" ref="C113:AM113" ca="1" si="216">MAX(C112+buffer,0)-MAX(C98+buffer,0)</f>
        <v>0</v>
      </c>
      <c r="D113" s="8">
        <f t="shared" ca="1" si="216"/>
        <v>0</v>
      </c>
      <c r="E113" s="8">
        <f t="shared" ca="1" si="216"/>
        <v>0</v>
      </c>
      <c r="F113" s="8">
        <f t="shared" ca="1" si="216"/>
        <v>0</v>
      </c>
      <c r="G113" s="8">
        <f t="shared" ca="1" si="216"/>
        <v>0</v>
      </c>
      <c r="H113" s="8">
        <f t="shared" ca="1" si="216"/>
        <v>0</v>
      </c>
      <c r="I113" s="8">
        <f t="shared" ca="1" si="216"/>
        <v>0</v>
      </c>
      <c r="J113" s="8">
        <f t="shared" ca="1" si="216"/>
        <v>0</v>
      </c>
      <c r="K113" s="8">
        <f t="shared" ca="1" si="216"/>
        <v>0</v>
      </c>
      <c r="L113" s="8">
        <f t="shared" ca="1" si="216"/>
        <v>0</v>
      </c>
      <c r="M113" s="8">
        <f t="shared" ca="1" si="216"/>
        <v>0</v>
      </c>
      <c r="N113" s="8">
        <f t="shared" ca="1" si="216"/>
        <v>0</v>
      </c>
      <c r="O113" s="8">
        <f t="shared" ca="1" si="216"/>
        <v>0</v>
      </c>
      <c r="P113" s="8">
        <f t="shared" ca="1" si="216"/>
        <v>0</v>
      </c>
      <c r="Q113" s="8">
        <f t="shared" ca="1" si="216"/>
        <v>0</v>
      </c>
      <c r="R113" s="8">
        <f t="shared" ca="1" si="216"/>
        <v>0</v>
      </c>
      <c r="S113" s="8">
        <f t="shared" ca="1" si="216"/>
        <v>0</v>
      </c>
      <c r="T113" s="8">
        <f t="shared" ca="1" si="216"/>
        <v>0</v>
      </c>
      <c r="U113" s="8">
        <f t="shared" ca="1" si="216"/>
        <v>0</v>
      </c>
      <c r="V113" s="8">
        <f t="shared" ca="1" si="216"/>
        <v>0</v>
      </c>
      <c r="W113" s="8">
        <f t="shared" ca="1" si="216"/>
        <v>0</v>
      </c>
      <c r="X113" s="8">
        <f t="shared" ca="1" si="216"/>
        <v>0</v>
      </c>
      <c r="Y113" s="8">
        <f t="shared" ca="1" si="216"/>
        <v>0</v>
      </c>
      <c r="Z113" s="8">
        <f t="shared" ca="1" si="216"/>
        <v>0</v>
      </c>
      <c r="AA113" s="8">
        <f t="shared" ca="1" si="216"/>
        <v>0</v>
      </c>
      <c r="AB113" s="8">
        <f t="shared" ca="1" si="216"/>
        <v>0</v>
      </c>
      <c r="AC113" s="8">
        <f t="shared" ca="1" si="216"/>
        <v>0</v>
      </c>
      <c r="AD113" s="8">
        <f t="shared" ca="1" si="216"/>
        <v>0</v>
      </c>
      <c r="AE113" s="8">
        <f t="shared" ca="1" si="216"/>
        <v>0</v>
      </c>
      <c r="AF113" s="8">
        <f t="shared" ca="1" si="216"/>
        <v>0</v>
      </c>
      <c r="AG113" s="8">
        <f t="shared" ca="1" si="216"/>
        <v>0</v>
      </c>
      <c r="AH113" s="8">
        <f t="shared" ca="1" si="216"/>
        <v>0</v>
      </c>
      <c r="AI113" s="8">
        <f t="shared" ca="1" si="216"/>
        <v>0</v>
      </c>
      <c r="AJ113" s="8">
        <f t="shared" ca="1" si="216"/>
        <v>0</v>
      </c>
      <c r="AK113" s="8">
        <f t="shared" ca="1" si="216"/>
        <v>0</v>
      </c>
      <c r="AL113" s="8">
        <f t="shared" ca="1" si="216"/>
        <v>0</v>
      </c>
      <c r="AM113" s="8">
        <f t="shared" ca="1" si="216"/>
        <v>0</v>
      </c>
      <c r="AN113" s="8">
        <f t="shared" ref="AN113:AV113" ca="1" si="217">MAX(AN112+buffer,0)-MAX(AN98+buffer,0)</f>
        <v>0</v>
      </c>
      <c r="AO113" s="8">
        <f t="shared" ca="1" si="217"/>
        <v>0</v>
      </c>
      <c r="AP113" s="8">
        <f t="shared" ca="1" si="217"/>
        <v>0</v>
      </c>
      <c r="AQ113" s="8">
        <f t="shared" ca="1" si="217"/>
        <v>0</v>
      </c>
      <c r="AR113" s="8">
        <f t="shared" ca="1" si="217"/>
        <v>0</v>
      </c>
      <c r="AS113" s="8">
        <f t="shared" ca="1" si="217"/>
        <v>0</v>
      </c>
      <c r="AT113" s="8">
        <f t="shared" ca="1" si="217"/>
        <v>0</v>
      </c>
      <c r="AU113" s="8">
        <f t="shared" ca="1" si="217"/>
        <v>0</v>
      </c>
      <c r="AV113" s="8">
        <f t="shared" ca="1" si="217"/>
        <v>0</v>
      </c>
      <c r="AW113" s="8">
        <f t="shared" ref="AW113" ca="1" si="218">MAX(AW112+buffer,0)-MAX(AW98+buffer,0)</f>
        <v>0</v>
      </c>
    </row>
    <row r="114" spans="1:49" x14ac:dyDescent="0.2">
      <c r="A114" s="4" t="s">
        <v>85</v>
      </c>
      <c r="C114" s="8">
        <f ca="1">C113*Inputs!$B$149</f>
        <v>0</v>
      </c>
      <c r="D114" s="8">
        <f ca="1">D113*Inputs!$B$149</f>
        <v>0</v>
      </c>
      <c r="E114" s="8">
        <f ca="1">E113*Inputs!$B$149</f>
        <v>0</v>
      </c>
      <c r="F114" s="8">
        <f ca="1">F113*Inputs!$B$149</f>
        <v>0</v>
      </c>
      <c r="G114" s="8">
        <f ca="1">G113*Inputs!$B$149</f>
        <v>0</v>
      </c>
      <c r="H114" s="8">
        <f ca="1">H113*Inputs!$B$149</f>
        <v>0</v>
      </c>
      <c r="I114" s="8">
        <f ca="1">I113*Inputs!$B$149</f>
        <v>0</v>
      </c>
      <c r="J114" s="8">
        <f ca="1">J113*Inputs!$B$149</f>
        <v>0</v>
      </c>
      <c r="K114" s="8">
        <f ca="1">K113*Inputs!$B$149</f>
        <v>0</v>
      </c>
      <c r="L114" s="8">
        <f ca="1">L113*Inputs!$B$149</f>
        <v>0</v>
      </c>
      <c r="M114" s="8">
        <f ca="1">M113*Inputs!$B$149</f>
        <v>0</v>
      </c>
      <c r="N114" s="8">
        <f ca="1">N113*Inputs!$B$149</f>
        <v>0</v>
      </c>
      <c r="O114" s="8">
        <f ca="1">O113*Inputs!$B$149</f>
        <v>0</v>
      </c>
      <c r="P114" s="8">
        <f ca="1">P113*Inputs!$B$149</f>
        <v>0</v>
      </c>
      <c r="Q114" s="8">
        <f ca="1">Q113*Inputs!$B$149</f>
        <v>0</v>
      </c>
      <c r="R114" s="8">
        <f ca="1">R113*Inputs!$B$149</f>
        <v>0</v>
      </c>
      <c r="S114" s="8">
        <f ca="1">S113*Inputs!$B$149</f>
        <v>0</v>
      </c>
      <c r="T114" s="8">
        <f ca="1">T113*Inputs!$B$149</f>
        <v>0</v>
      </c>
      <c r="U114" s="8">
        <f ca="1">U113*Inputs!$B$149</f>
        <v>0</v>
      </c>
      <c r="V114" s="8">
        <f ca="1">V113*Inputs!$B$149</f>
        <v>0</v>
      </c>
      <c r="W114" s="8">
        <f ca="1">W113*Inputs!$B$149</f>
        <v>0</v>
      </c>
      <c r="X114" s="8">
        <f ca="1">X113*Inputs!$B$149</f>
        <v>0</v>
      </c>
      <c r="Y114" s="8">
        <f ca="1">Y113*Inputs!$B$149</f>
        <v>0</v>
      </c>
      <c r="Z114" s="8">
        <f ca="1">Z113*Inputs!$B$149</f>
        <v>0</v>
      </c>
      <c r="AA114" s="8">
        <f ca="1">AA113*Inputs!$B$149</f>
        <v>0</v>
      </c>
      <c r="AB114" s="8">
        <f ca="1">AB113*Inputs!$B$149</f>
        <v>0</v>
      </c>
      <c r="AC114" s="8">
        <f ca="1">AC113*Inputs!$B$149</f>
        <v>0</v>
      </c>
      <c r="AD114" s="8">
        <f ca="1">AD113*Inputs!$B$149</f>
        <v>0</v>
      </c>
      <c r="AE114" s="8">
        <f ca="1">AE113*Inputs!$B$149</f>
        <v>0</v>
      </c>
      <c r="AF114" s="8">
        <f ca="1">AF113*Inputs!$B$149</f>
        <v>0</v>
      </c>
      <c r="AG114" s="8">
        <f ca="1">AG113*Inputs!$B$149</f>
        <v>0</v>
      </c>
      <c r="AH114" s="8">
        <f ca="1">AH113*Inputs!$B$149</f>
        <v>0</v>
      </c>
      <c r="AI114" s="8">
        <f ca="1">AI113*Inputs!$B$149</f>
        <v>0</v>
      </c>
      <c r="AJ114" s="8">
        <f ca="1">AJ113*Inputs!$B$149</f>
        <v>0</v>
      </c>
      <c r="AK114" s="8">
        <f ca="1">AK113*Inputs!$B$149</f>
        <v>0</v>
      </c>
      <c r="AL114" s="8">
        <f ca="1">AL113*Inputs!$B$149</f>
        <v>0</v>
      </c>
      <c r="AM114" s="8">
        <f ca="1">AM113*Inputs!$B$149</f>
        <v>0</v>
      </c>
      <c r="AN114" s="8">
        <f ca="1">AN113*Inputs!$B$149</f>
        <v>0</v>
      </c>
      <c r="AO114" s="8">
        <f ca="1">AO113*Inputs!$B$149</f>
        <v>0</v>
      </c>
      <c r="AP114" s="8">
        <f ca="1">AP113*Inputs!$B$149</f>
        <v>0</v>
      </c>
      <c r="AQ114" s="8">
        <f ca="1">AQ113*Inputs!$B$149</f>
        <v>0</v>
      </c>
      <c r="AR114" s="8">
        <f ca="1">AR113*Inputs!$B$149</f>
        <v>0</v>
      </c>
      <c r="AS114" s="8">
        <f ca="1">AS113*Inputs!$B$149</f>
        <v>0</v>
      </c>
      <c r="AT114" s="8">
        <f ca="1">AT113*Inputs!$B$149</f>
        <v>0</v>
      </c>
      <c r="AU114" s="8">
        <f ca="1">AU113*Inputs!$B$149</f>
        <v>0</v>
      </c>
      <c r="AV114" s="8">
        <f ca="1">AV113*Inputs!$B$149</f>
        <v>0</v>
      </c>
      <c r="AW114" s="8">
        <f ca="1">AW113*Inputs!$B$149</f>
        <v>0</v>
      </c>
    </row>
    <row r="115" spans="1:49" x14ac:dyDescent="0.2">
      <c r="A115" s="4" t="s">
        <v>168</v>
      </c>
      <c r="C115" s="8">
        <f ca="1">C112+SUM($C114:C114)</f>
        <v>184898.75</v>
      </c>
      <c r="D115" s="8">
        <f ca="1">D112+SUM($C114:D114)</f>
        <v>190464.1875</v>
      </c>
      <c r="E115" s="8">
        <f ca="1">E112+SUM($C114:E114)</f>
        <v>196735.69765625001</v>
      </c>
      <c r="F115" s="8">
        <f ca="1">F112+SUM($C114:F114)</f>
        <v>203754.49157812502</v>
      </c>
      <c r="G115" s="8">
        <f ca="1">G112+SUM($C114:G114)</f>
        <v>211563.68121130861</v>
      </c>
      <c r="H115" s="8">
        <f ca="1">H112+SUM($C114:H114)</f>
        <v>220208.35706995256</v>
      </c>
      <c r="I115" s="8">
        <f ca="1">I112+SUM($C114:I114)</f>
        <v>229735.66892084025</v>
      </c>
      <c r="J115" s="8">
        <f ca="1">J112+SUM($C114:J114)</f>
        <v>240194.90952617431</v>
      </c>
      <c r="K115" s="8">
        <f ca="1">K112+SUM($C114:K114)</f>
        <v>251637.60155532236</v>
      </c>
      <c r="L115" s="8">
        <f ca="1">L112+SUM($C114:L114)</f>
        <v>264117.58777969546</v>
      </c>
      <c r="M115" s="8">
        <f ca="1">M112+SUM($C114:M114)</f>
        <v>277691.1246689033</v>
      </c>
      <c r="N115" s="8">
        <f ca="1">N112+SUM($C114:N114)</f>
        <v>292416.97951043496</v>
      </c>
      <c r="O115" s="8">
        <f ca="1">O112+SUM($C114:O114)</f>
        <v>308356.53117935767</v>
      </c>
      <c r="P115" s="8">
        <f ca="1">P112+SUM($C114:P114)</f>
        <v>325573.87468891207</v>
      </c>
      <c r="Q115" s="8">
        <f ca="1">Q112+SUM($C114:Q114)</f>
        <v>344135.92965741799</v>
      </c>
      <c r="R115" s="8">
        <f ca="1">R112+SUM($C114:R114)</f>
        <v>367161.10470025497</v>
      </c>
      <c r="S115" s="8">
        <f ca="1">S112+SUM($C114:S114)</f>
        <v>398421.42047661229</v>
      </c>
      <c r="T115" s="8">
        <f ca="1">T112+SUM($C114:T114)</f>
        <v>358811.20508166938</v>
      </c>
      <c r="U115" s="8">
        <f ca="1">U112+SUM($C114:U114)</f>
        <v>324854.73778757063</v>
      </c>
      <c r="V115" s="8">
        <f ca="1">V112+SUM($C114:V114)</f>
        <v>288963.69012559089</v>
      </c>
      <c r="W115" s="8">
        <f ca="1">W112+SUM($C114:W114)</f>
        <v>251062.55586939497</v>
      </c>
      <c r="X115" s="8">
        <f ca="1">X112+SUM($C114:X114)</f>
        <v>211073.26259406074</v>
      </c>
      <c r="Y115" s="8">
        <f ca="1">Y112+SUM($C114:Y114)</f>
        <v>168915.09055754144</v>
      </c>
      <c r="Z115" s="8">
        <f ca="1">Z112+SUM($C114:Z114)</f>
        <v>124504.58913007489</v>
      </c>
      <c r="AA115" s="8">
        <f ca="1">AA112+SUM($C114:AA114)</f>
        <v>77755.490699636561</v>
      </c>
      <c r="AB115" s="8">
        <f ca="1">AB112+SUM($C114:AB114)</f>
        <v>28578.621979470016</v>
      </c>
      <c r="AC115" s="8">
        <f ca="1">AC112+SUM($C114:AC114)</f>
        <v>0</v>
      </c>
      <c r="AD115" s="8">
        <f ca="1">AD112+SUM($C114:AD114)</f>
        <v>0</v>
      </c>
      <c r="AE115" s="8">
        <f ca="1">AE112+SUM($C114:AE114)</f>
        <v>0</v>
      </c>
      <c r="AF115" s="8">
        <f ca="1">AF112+SUM($C114:AF114)</f>
        <v>0</v>
      </c>
      <c r="AG115" s="8">
        <f ca="1">AG112+SUM($C114:AG114)</f>
        <v>0</v>
      </c>
      <c r="AH115" s="8">
        <f ca="1">AH112+SUM($C114:AH114)</f>
        <v>0</v>
      </c>
      <c r="AI115" s="8">
        <f ca="1">AI112+SUM($C114:AI114)</f>
        <v>0</v>
      </c>
      <c r="AJ115" s="8">
        <f ca="1">AJ112+SUM($C114:AJ114)</f>
        <v>0</v>
      </c>
      <c r="AK115" s="8">
        <f ca="1">AK112+SUM($C114:AK114)</f>
        <v>0</v>
      </c>
      <c r="AL115" s="8">
        <f ca="1">AL112+SUM($C114:AL114)</f>
        <v>735473.29901135678</v>
      </c>
      <c r="AM115" s="8">
        <f ca="1">AM112+SUM($C114:AM114)</f>
        <v>743483.72201347235</v>
      </c>
      <c r="AN115" s="8">
        <f ca="1">AN112+SUM($C114:AN114)</f>
        <v>705448.12308551755</v>
      </c>
      <c r="AO115" s="8">
        <f ca="1">AO112+SUM($C114:AO114)</f>
        <v>664635.55704448489</v>
      </c>
      <c r="AP115" s="8">
        <f ca="1">AP112+SUM($C114:AP114)</f>
        <v>620976.5997125475</v>
      </c>
      <c r="AQ115" s="8">
        <f ca="1">AQ112+SUM($C114:AQ114)</f>
        <v>574400.09130743286</v>
      </c>
      <c r="AR115" s="8">
        <f ca="1">AR112+SUM($C114:AR114)</f>
        <v>524833.09305231122</v>
      </c>
      <c r="AS115" s="8">
        <f ca="1">AS112+SUM($C114:AS114)</f>
        <v>472200.84270093252</v>
      </c>
      <c r="AT115" s="8">
        <f ca="1">AT112+SUM($C114:AT114)</f>
        <v>416426.70895089046</v>
      </c>
      <c r="AU115" s="8">
        <f ca="1">AU112+SUM($C114:AU114)</f>
        <v>357432.14471721847</v>
      </c>
      <c r="AV115" s="8">
        <f ca="1">AV112+SUM($C114:AV114)</f>
        <v>295136.63923782588</v>
      </c>
      <c r="AW115" s="8">
        <f ca="1">AW112+SUM($C114:AW114)</f>
        <v>229457.66898156921</v>
      </c>
    </row>
    <row r="116" spans="1:49" x14ac:dyDescent="0.2">
      <c r="A116" s="4" t="s">
        <v>21</v>
      </c>
      <c r="C116" s="8">
        <f ca="1">IF(C115&lt;0,C115,0)</f>
        <v>0</v>
      </c>
      <c r="D116" s="8">
        <f ca="1">IF(D115+SUM($C116:C116)&lt;0,-(D115+SUM($C116:C116)),0)</f>
        <v>0</v>
      </c>
      <c r="E116" s="8">
        <f ca="1">IF(E115+SUM($C116:D116)&lt;0,-(E115+SUM($C116:D116)),0)</f>
        <v>0</v>
      </c>
      <c r="F116" s="8">
        <f ca="1">IF(F115+SUM($C116:E116)&lt;0,-(F115+SUM($C116:E116)),0)</f>
        <v>0</v>
      </c>
      <c r="G116" s="8">
        <f ca="1">IF(G115+SUM($C116:F116)&lt;0,-(G115+SUM($C116:F116)),0)</f>
        <v>0</v>
      </c>
      <c r="H116" s="8">
        <f ca="1">IF(H115+SUM($C116:G116)&lt;0,-(H115+SUM($C116:G116)),0)</f>
        <v>0</v>
      </c>
      <c r="I116" s="8">
        <f ca="1">IF(I115+SUM($C116:H116)&lt;0,-(I115+SUM($C116:H116)),0)</f>
        <v>0</v>
      </c>
      <c r="J116" s="8">
        <f ca="1">IF(J115+SUM($C116:I116)&lt;0,-(J115+SUM($C116:I116)),0)</f>
        <v>0</v>
      </c>
      <c r="K116" s="8">
        <f ca="1">IF(K115+SUM($C116:J116)&lt;0,-(K115+SUM($C116:J116)),0)</f>
        <v>0</v>
      </c>
      <c r="L116" s="8">
        <f ca="1">IF(L115+SUM($C116:K116)&lt;0,-(L115+SUM($C116:K116)),0)</f>
        <v>0</v>
      </c>
      <c r="M116" s="8">
        <f ca="1">IF(M115+SUM($C116:L116)&lt;0,-(M115+SUM($C116:L116)),0)</f>
        <v>0</v>
      </c>
      <c r="N116" s="8">
        <f ca="1">IF(N115+SUM($C116:M116)&lt;0,-(N115+SUM($C116:M116)),0)</f>
        <v>0</v>
      </c>
      <c r="O116" s="8">
        <f ca="1">IF(O115+SUM($C116:N116)&lt;0,-(O115+SUM($C116:N116)),0)</f>
        <v>0</v>
      </c>
      <c r="P116" s="8">
        <f ca="1">IF(P115+SUM($C116:O116)&lt;0,-(P115+SUM($C116:O116)),0)</f>
        <v>0</v>
      </c>
      <c r="Q116" s="8">
        <f ca="1">IF(Q115+SUM($C116:P116)&lt;0,-(Q115+SUM($C116:P116)),0)</f>
        <v>0</v>
      </c>
      <c r="R116" s="8">
        <f ca="1">IF(R115+SUM($C116:Q116)&lt;0,-(R115+SUM($C116:Q116)),0)</f>
        <v>0</v>
      </c>
      <c r="S116" s="8">
        <f ca="1">IF(S115+SUM($C116:R116)&lt;0,-(S115+SUM($C116:R116)),0)</f>
        <v>0</v>
      </c>
      <c r="T116" s="8">
        <f ca="1">IF(T115+SUM($C116:S116)&lt;0,-(T115+SUM($C116:S116)),0)</f>
        <v>0</v>
      </c>
      <c r="U116" s="8">
        <f ca="1">IF(U115+SUM($C116:T116)&lt;0,-(U115+SUM($C116:T116)),0)</f>
        <v>0</v>
      </c>
      <c r="V116" s="8">
        <f ca="1">IF(V115+SUM($C116:U116)&lt;0,-(V115+SUM($C116:U116)),0)</f>
        <v>0</v>
      </c>
      <c r="W116" s="8">
        <f ca="1">IF(W115+SUM($C116:V116)&lt;0,-(W115+SUM($C116:V116)),0)</f>
        <v>0</v>
      </c>
      <c r="X116" s="8">
        <f ca="1">IF(X115+SUM($C116:W116)&lt;0,-(X115+SUM($C116:W116)),0)</f>
        <v>0</v>
      </c>
      <c r="Y116" s="8">
        <f ca="1">IF(Y115+SUM($C116:X116)&lt;0,-(Y115+SUM($C116:X116)),0)</f>
        <v>0</v>
      </c>
      <c r="Z116" s="8">
        <f ca="1">IF(Z115+SUM($C116:Y116)&lt;0,-(Z115+SUM($C116:Y116)),0)</f>
        <v>0</v>
      </c>
      <c r="AA116" s="8">
        <f ca="1">IF(AA115+SUM($C116:Z116)&lt;0,-(AA115+SUM($C116:Z116)),0)</f>
        <v>0</v>
      </c>
      <c r="AB116" s="8">
        <f ca="1">IF(AB115+SUM($C116:AA116)&lt;0,-(AB115+SUM($C116:AA116)),0)</f>
        <v>0</v>
      </c>
      <c r="AC116" s="8">
        <f ca="1">IF(AC115+SUM($C116:AB116)&lt;0,-(AC115+SUM($C116:AB116)),0)</f>
        <v>0</v>
      </c>
      <c r="AD116" s="8">
        <f ca="1">IF(AD115+SUM($C116:AC116)&lt;0,-(AD115+SUM($C116:AC116)),0)</f>
        <v>0</v>
      </c>
      <c r="AE116" s="8">
        <f ca="1">IF(AE115+SUM($C116:AD116)&lt;0,-(AE115+SUM($C116:AD116)),0)</f>
        <v>0</v>
      </c>
      <c r="AF116" s="8">
        <f ca="1">IF(AF115+SUM($C116:AE116)&lt;0,-(AF115+SUM($C116:AE116)),0)</f>
        <v>0</v>
      </c>
      <c r="AG116" s="8">
        <f ca="1">IF(AG115+SUM($C116:AF116)&lt;0,-(AG115+SUM($C116:AF116)),0)</f>
        <v>0</v>
      </c>
      <c r="AH116" s="8">
        <f ca="1">IF(AH115+SUM($C116:AG116)&lt;0,-(AH115+SUM($C116:AG116)),0)</f>
        <v>0</v>
      </c>
      <c r="AI116" s="8">
        <f ca="1">IF(AI115+SUM($C116:AH116)&lt;0,-(AI115+SUM($C116:AH116)),0)</f>
        <v>0</v>
      </c>
      <c r="AJ116" s="8">
        <f ca="1">IF(AJ115+SUM($C116:AI116)&lt;0,-(AJ115+SUM($C116:AI116)),0)</f>
        <v>0</v>
      </c>
      <c r="AK116" s="8">
        <f ca="1">IF(AK115+SUM($C116:AJ116)&lt;0,-(AK115+SUM($C116:AJ116)),0)</f>
        <v>0</v>
      </c>
      <c r="AL116" s="8">
        <f ca="1">IF(AL115+SUM($C116:AK116)&lt;0,-(AL115+SUM($C116:AK116)),0)</f>
        <v>0</v>
      </c>
      <c r="AM116" s="8">
        <f ca="1">IF(AM115+SUM($C116:AL116)&lt;0,-(AM115+SUM($C116:AL116)),0)</f>
        <v>0</v>
      </c>
      <c r="AN116" s="8">
        <f ca="1">IF(AN115+SUM($C116:AM116)&lt;0,-(AN115+SUM($C116:AM116)),0)</f>
        <v>0</v>
      </c>
      <c r="AO116" s="8">
        <f ca="1">IF(AO115+SUM($C116:AN116)&lt;0,-(AO115+SUM($C116:AN116)),0)</f>
        <v>0</v>
      </c>
      <c r="AP116" s="8">
        <f ca="1">IF(AP115+SUM($C116:AO116)&lt;0,-(AP115+SUM($C116:AO116)),0)</f>
        <v>0</v>
      </c>
      <c r="AQ116" s="8">
        <f ca="1">IF(AQ115+SUM($C116:AP116)&lt;0,-(AQ115+SUM($C116:AP116)),0)</f>
        <v>0</v>
      </c>
      <c r="AR116" s="8">
        <f ca="1">IF(AR115+SUM($C116:AQ116)&lt;0,-(AR115+SUM($C116:AQ116)),0)</f>
        <v>0</v>
      </c>
      <c r="AS116" s="8">
        <f ca="1">IF(AS115+SUM($C116:AR116)&lt;0,-(AS115+SUM($C116:AR116)),0)</f>
        <v>0</v>
      </c>
      <c r="AT116" s="8">
        <f ca="1">IF(AT115+SUM($C116:AS116)&lt;0,-(AT115+SUM($C116:AS116)),0)</f>
        <v>0</v>
      </c>
      <c r="AU116" s="8">
        <f ca="1">IF(AU115+SUM($C116:AT116)&lt;0,-(AU115+SUM($C116:AT116)),0)</f>
        <v>0</v>
      </c>
      <c r="AV116" s="8">
        <f ca="1">IF(AV115+SUM($C116:AU116)&lt;0,-(AV115+SUM($C116:AU116)),0)</f>
        <v>0</v>
      </c>
      <c r="AW116" s="8">
        <f ca="1">IF(AW115+SUM($C116:AV116)&lt;0,-(AW115+SUM($C116:AV116)),0)</f>
        <v>0</v>
      </c>
    </row>
    <row r="117" spans="1:49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">
      <c r="A118" s="29" t="str">
        <f>IF(Inputs!$B$165=6,IFERROR(_xlfn.XLOOKUP($B118,Inputs!$B$166:$B$168,Inputs!$A$166:$A$168,,0,1),""),IFERROR(_xlfn.XLOOKUP($B118,Inputs!$C$166:$C$168,Inputs!$A$166:$A$168,,0,1),""))</f>
        <v/>
      </c>
      <c r="B118" s="31">
        <v>3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">
      <c r="A119" s="4" t="s">
        <v>23</v>
      </c>
      <c r="C119" s="8">
        <f>IFERROR(VLOOKUP($A118,$A$52:$H$66,C$1+2,FALSE),0)</f>
        <v>0</v>
      </c>
      <c r="D119" s="8">
        <f ca="1">C122</f>
        <v>0</v>
      </c>
      <c r="E119" s="8">
        <f t="shared" ref="E119" ca="1" si="219">D122</f>
        <v>0</v>
      </c>
      <c r="F119" s="8">
        <f t="shared" ref="F119" ca="1" si="220">E122</f>
        <v>0</v>
      </c>
      <c r="G119" s="8">
        <f t="shared" ref="G119:AM119" ca="1" si="221">F122</f>
        <v>0</v>
      </c>
      <c r="H119" s="8">
        <f t="shared" ca="1" si="221"/>
        <v>0</v>
      </c>
      <c r="I119" s="8">
        <f t="shared" ca="1" si="221"/>
        <v>0</v>
      </c>
      <c r="J119" s="8">
        <f t="shared" ca="1" si="221"/>
        <v>0</v>
      </c>
      <c r="K119" s="8">
        <f t="shared" ca="1" si="221"/>
        <v>0</v>
      </c>
      <c r="L119" s="8">
        <f t="shared" ca="1" si="221"/>
        <v>0</v>
      </c>
      <c r="M119" s="8">
        <f t="shared" ca="1" si="221"/>
        <v>0</v>
      </c>
      <c r="N119" s="8">
        <f t="shared" ca="1" si="221"/>
        <v>0</v>
      </c>
      <c r="O119" s="8">
        <f t="shared" ca="1" si="221"/>
        <v>0</v>
      </c>
      <c r="P119" s="8">
        <f t="shared" ca="1" si="221"/>
        <v>0</v>
      </c>
      <c r="Q119" s="8">
        <f t="shared" ca="1" si="221"/>
        <v>0</v>
      </c>
      <c r="R119" s="8">
        <f t="shared" ca="1" si="221"/>
        <v>0</v>
      </c>
      <c r="S119" s="8">
        <f t="shared" ca="1" si="221"/>
        <v>0</v>
      </c>
      <c r="T119" s="8">
        <f t="shared" ca="1" si="221"/>
        <v>0</v>
      </c>
      <c r="U119" s="8">
        <f t="shared" ca="1" si="221"/>
        <v>0</v>
      </c>
      <c r="V119" s="8">
        <f t="shared" ca="1" si="221"/>
        <v>0</v>
      </c>
      <c r="W119" s="8">
        <f t="shared" ca="1" si="221"/>
        <v>0</v>
      </c>
      <c r="X119" s="8">
        <f t="shared" ca="1" si="221"/>
        <v>0</v>
      </c>
      <c r="Y119" s="8">
        <f t="shared" ca="1" si="221"/>
        <v>0</v>
      </c>
      <c r="Z119" s="8">
        <f t="shared" ca="1" si="221"/>
        <v>0</v>
      </c>
      <c r="AA119" s="8">
        <f t="shared" ca="1" si="221"/>
        <v>0</v>
      </c>
      <c r="AB119" s="8">
        <f t="shared" ca="1" si="221"/>
        <v>0</v>
      </c>
      <c r="AC119" s="8">
        <f t="shared" ca="1" si="221"/>
        <v>0</v>
      </c>
      <c r="AD119" s="8">
        <f t="shared" ca="1" si="221"/>
        <v>0</v>
      </c>
      <c r="AE119" s="8">
        <f t="shared" ca="1" si="221"/>
        <v>0</v>
      </c>
      <c r="AF119" s="8">
        <f t="shared" ca="1" si="221"/>
        <v>0</v>
      </c>
      <c r="AG119" s="8">
        <f t="shared" ca="1" si="221"/>
        <v>0</v>
      </c>
      <c r="AH119" s="8">
        <f t="shared" ca="1" si="221"/>
        <v>0</v>
      </c>
      <c r="AI119" s="8">
        <f t="shared" ca="1" si="221"/>
        <v>0</v>
      </c>
      <c r="AJ119" s="8">
        <f t="shared" ca="1" si="221"/>
        <v>0</v>
      </c>
      <c r="AK119" s="8">
        <f t="shared" ca="1" si="221"/>
        <v>0</v>
      </c>
      <c r="AL119" s="8">
        <f t="shared" ca="1" si="221"/>
        <v>0</v>
      </c>
      <c r="AM119" s="8">
        <f t="shared" ca="1" si="221"/>
        <v>0</v>
      </c>
      <c r="AN119" s="8">
        <f t="shared" ref="AN119" ca="1" si="222">AM122</f>
        <v>0</v>
      </c>
      <c r="AO119" s="8">
        <f t="shared" ref="AO119" ca="1" si="223">AN122</f>
        <v>0</v>
      </c>
      <c r="AP119" s="8">
        <f t="shared" ref="AP119" ca="1" si="224">AO122</f>
        <v>0</v>
      </c>
      <c r="AQ119" s="8">
        <f t="shared" ref="AQ119" ca="1" si="225">AP122</f>
        <v>0</v>
      </c>
      <c r="AR119" s="8">
        <f t="shared" ref="AR119" ca="1" si="226">AQ122</f>
        <v>0</v>
      </c>
      <c r="AS119" s="8">
        <f t="shared" ref="AS119" ca="1" si="227">AR122</f>
        <v>0</v>
      </c>
      <c r="AT119" s="8">
        <f t="shared" ref="AT119" ca="1" si="228">AS122</f>
        <v>0</v>
      </c>
      <c r="AU119" s="8">
        <f t="shared" ref="AU119" ca="1" si="229">AT122</f>
        <v>0</v>
      </c>
      <c r="AV119" s="8">
        <f t="shared" ref="AV119:AW119" ca="1" si="230">AU122</f>
        <v>0</v>
      </c>
      <c r="AW119" s="8">
        <f t="shared" ca="1" si="230"/>
        <v>0</v>
      </c>
    </row>
    <row r="120" spans="1:49" x14ac:dyDescent="0.2">
      <c r="A120" s="4" t="s">
        <v>24</v>
      </c>
      <c r="C120" s="8">
        <f ca="1">-IF(SUM(C116:D116)&gt;0,C119,0)</f>
        <v>0</v>
      </c>
      <c r="D120" s="8">
        <f ca="1">-IF(E116&gt;0,D119,0)</f>
        <v>0</v>
      </c>
      <c r="E120" s="8">
        <f ca="1">-IF(F116&gt;0,E119,0)</f>
        <v>0</v>
      </c>
      <c r="F120" s="8">
        <f ca="1">-IF(G116&gt;0,F119,0)</f>
        <v>0</v>
      </c>
      <c r="G120" s="8">
        <f t="shared" ref="G120:AM120" ca="1" si="231">-IF(H116&gt;0,G119,0)</f>
        <v>0</v>
      </c>
      <c r="H120" s="8">
        <f t="shared" ca="1" si="231"/>
        <v>0</v>
      </c>
      <c r="I120" s="8">
        <f t="shared" ca="1" si="231"/>
        <v>0</v>
      </c>
      <c r="J120" s="8">
        <f t="shared" ca="1" si="231"/>
        <v>0</v>
      </c>
      <c r="K120" s="8">
        <f t="shared" ca="1" si="231"/>
        <v>0</v>
      </c>
      <c r="L120" s="8">
        <f t="shared" ca="1" si="231"/>
        <v>0</v>
      </c>
      <c r="M120" s="8">
        <f t="shared" ca="1" si="231"/>
        <v>0</v>
      </c>
      <c r="N120" s="8">
        <f t="shared" ca="1" si="231"/>
        <v>0</v>
      </c>
      <c r="O120" s="8">
        <f t="shared" ca="1" si="231"/>
        <v>0</v>
      </c>
      <c r="P120" s="8">
        <f t="shared" ca="1" si="231"/>
        <v>0</v>
      </c>
      <c r="Q120" s="8">
        <f t="shared" ca="1" si="231"/>
        <v>0</v>
      </c>
      <c r="R120" s="8">
        <f t="shared" ca="1" si="231"/>
        <v>0</v>
      </c>
      <c r="S120" s="8">
        <f t="shared" ca="1" si="231"/>
        <v>0</v>
      </c>
      <c r="T120" s="8">
        <f t="shared" ca="1" si="231"/>
        <v>0</v>
      </c>
      <c r="U120" s="8">
        <f t="shared" ca="1" si="231"/>
        <v>0</v>
      </c>
      <c r="V120" s="8">
        <f t="shared" ca="1" si="231"/>
        <v>0</v>
      </c>
      <c r="W120" s="8">
        <f t="shared" ca="1" si="231"/>
        <v>0</v>
      </c>
      <c r="X120" s="8">
        <f t="shared" ca="1" si="231"/>
        <v>0</v>
      </c>
      <c r="Y120" s="8">
        <f t="shared" ca="1" si="231"/>
        <v>0</v>
      </c>
      <c r="Z120" s="8">
        <f t="shared" ca="1" si="231"/>
        <v>0</v>
      </c>
      <c r="AA120" s="8">
        <f t="shared" ca="1" si="231"/>
        <v>0</v>
      </c>
      <c r="AB120" s="8">
        <f t="shared" ca="1" si="231"/>
        <v>0</v>
      </c>
      <c r="AC120" s="8">
        <f t="shared" ca="1" si="231"/>
        <v>0</v>
      </c>
      <c r="AD120" s="8">
        <f t="shared" ca="1" si="231"/>
        <v>0</v>
      </c>
      <c r="AE120" s="8">
        <f t="shared" ca="1" si="231"/>
        <v>0</v>
      </c>
      <c r="AF120" s="8">
        <f t="shared" ca="1" si="231"/>
        <v>0</v>
      </c>
      <c r="AG120" s="8">
        <f t="shared" ca="1" si="231"/>
        <v>0</v>
      </c>
      <c r="AH120" s="8">
        <f t="shared" ca="1" si="231"/>
        <v>0</v>
      </c>
      <c r="AI120" s="8">
        <f t="shared" ca="1" si="231"/>
        <v>0</v>
      </c>
      <c r="AJ120" s="8">
        <f t="shared" ca="1" si="231"/>
        <v>0</v>
      </c>
      <c r="AK120" s="8">
        <f t="shared" ca="1" si="231"/>
        <v>0</v>
      </c>
      <c r="AL120" s="8">
        <f t="shared" ca="1" si="231"/>
        <v>0</v>
      </c>
      <c r="AM120" s="8">
        <f t="shared" ca="1" si="231"/>
        <v>0</v>
      </c>
      <c r="AN120" s="8">
        <f t="shared" ref="AN120" ca="1" si="232">-IF(AO116&gt;0,AN119,0)</f>
        <v>0</v>
      </c>
      <c r="AO120" s="8">
        <f t="shared" ref="AO120" ca="1" si="233">-IF(AP116&gt;0,AO119,0)</f>
        <v>0</v>
      </c>
      <c r="AP120" s="8">
        <f t="shared" ref="AP120" ca="1" si="234">-IF(AQ116&gt;0,AP119,0)</f>
        <v>0</v>
      </c>
      <c r="AQ120" s="8">
        <f t="shared" ref="AQ120" ca="1" si="235">-IF(AR116&gt;0,AQ119,0)</f>
        <v>0</v>
      </c>
      <c r="AR120" s="8">
        <f t="shared" ref="AR120" ca="1" si="236">-IF(AS116&gt;0,AR119,0)</f>
        <v>0</v>
      </c>
      <c r="AS120" s="8">
        <f t="shared" ref="AS120" ca="1" si="237">-IF(AT116&gt;0,AS119,0)</f>
        <v>0</v>
      </c>
      <c r="AT120" s="8">
        <f t="shared" ref="AT120" ca="1" si="238">-IF(AU116&gt;0,AT119,0)</f>
        <v>0</v>
      </c>
      <c r="AU120" s="8">
        <f t="shared" ref="AU120" ca="1" si="239">-IF(AV116&gt;0,AU119,0)</f>
        <v>0</v>
      </c>
      <c r="AV120" s="8">
        <f t="shared" ref="AV120:AW120" ca="1" si="240">-IF(AW116&gt;0,AV119,0)</f>
        <v>0</v>
      </c>
      <c r="AW120" s="8">
        <f t="shared" si="240"/>
        <v>0</v>
      </c>
    </row>
    <row r="121" spans="1:49" x14ac:dyDescent="0.2">
      <c r="A121" s="4" t="s">
        <v>25</v>
      </c>
      <c r="C121" s="8">
        <v>0</v>
      </c>
      <c r="D121" s="8">
        <f t="shared" ref="D121:G121" ca="1" si="241">SUM(D119:D120)*princ</f>
        <v>0</v>
      </c>
      <c r="E121" s="8">
        <f t="shared" ca="1" si="241"/>
        <v>0</v>
      </c>
      <c r="F121" s="8">
        <f t="shared" ca="1" si="241"/>
        <v>0</v>
      </c>
      <c r="G121" s="8">
        <f t="shared" ca="1" si="241"/>
        <v>0</v>
      </c>
      <c r="H121" s="8">
        <f t="shared" ref="H121:AM121" ca="1" si="242">SUM(H119:H120)*princ</f>
        <v>0</v>
      </c>
      <c r="I121" s="8">
        <f t="shared" ca="1" si="242"/>
        <v>0</v>
      </c>
      <c r="J121" s="8">
        <f t="shared" ca="1" si="242"/>
        <v>0</v>
      </c>
      <c r="K121" s="8">
        <f t="shared" ca="1" si="242"/>
        <v>0</v>
      </c>
      <c r="L121" s="8">
        <f t="shared" ca="1" si="242"/>
        <v>0</v>
      </c>
      <c r="M121" s="8">
        <f t="shared" ca="1" si="242"/>
        <v>0</v>
      </c>
      <c r="N121" s="8">
        <f t="shared" ca="1" si="242"/>
        <v>0</v>
      </c>
      <c r="O121" s="8">
        <f t="shared" ca="1" si="242"/>
        <v>0</v>
      </c>
      <c r="P121" s="8">
        <f t="shared" ca="1" si="242"/>
        <v>0</v>
      </c>
      <c r="Q121" s="8">
        <f t="shared" ca="1" si="242"/>
        <v>0</v>
      </c>
      <c r="R121" s="8">
        <f t="shared" ca="1" si="242"/>
        <v>0</v>
      </c>
      <c r="S121" s="8">
        <f t="shared" ca="1" si="242"/>
        <v>0</v>
      </c>
      <c r="T121" s="8">
        <f t="shared" ca="1" si="242"/>
        <v>0</v>
      </c>
      <c r="U121" s="8">
        <f t="shared" ca="1" si="242"/>
        <v>0</v>
      </c>
      <c r="V121" s="8">
        <f t="shared" ca="1" si="242"/>
        <v>0</v>
      </c>
      <c r="W121" s="8">
        <f t="shared" ca="1" si="242"/>
        <v>0</v>
      </c>
      <c r="X121" s="8">
        <f t="shared" ca="1" si="242"/>
        <v>0</v>
      </c>
      <c r="Y121" s="8">
        <f t="shared" ca="1" si="242"/>
        <v>0</v>
      </c>
      <c r="Z121" s="8">
        <f t="shared" ca="1" si="242"/>
        <v>0</v>
      </c>
      <c r="AA121" s="8">
        <f t="shared" ca="1" si="242"/>
        <v>0</v>
      </c>
      <c r="AB121" s="8">
        <f t="shared" ca="1" si="242"/>
        <v>0</v>
      </c>
      <c r="AC121" s="8">
        <f t="shared" ca="1" si="242"/>
        <v>0</v>
      </c>
      <c r="AD121" s="8">
        <f t="shared" ca="1" si="242"/>
        <v>0</v>
      </c>
      <c r="AE121" s="8">
        <f t="shared" ca="1" si="242"/>
        <v>0</v>
      </c>
      <c r="AF121" s="8">
        <f t="shared" ca="1" si="242"/>
        <v>0</v>
      </c>
      <c r="AG121" s="8">
        <f t="shared" ca="1" si="242"/>
        <v>0</v>
      </c>
      <c r="AH121" s="8">
        <f t="shared" ca="1" si="242"/>
        <v>0</v>
      </c>
      <c r="AI121" s="8">
        <f t="shared" ca="1" si="242"/>
        <v>0</v>
      </c>
      <c r="AJ121" s="8">
        <f t="shared" ca="1" si="242"/>
        <v>0</v>
      </c>
      <c r="AK121" s="8">
        <f t="shared" ca="1" si="242"/>
        <v>0</v>
      </c>
      <c r="AL121" s="8">
        <f t="shared" ca="1" si="242"/>
        <v>0</v>
      </c>
      <c r="AM121" s="8">
        <f t="shared" ca="1" si="242"/>
        <v>0</v>
      </c>
      <c r="AN121" s="8">
        <f t="shared" ref="AN121:AV121" ca="1" si="243">SUM(AN119:AN120)*princ</f>
        <v>0</v>
      </c>
      <c r="AO121" s="8">
        <f t="shared" ca="1" si="243"/>
        <v>0</v>
      </c>
      <c r="AP121" s="8">
        <f t="shared" ca="1" si="243"/>
        <v>0</v>
      </c>
      <c r="AQ121" s="8">
        <f t="shared" ca="1" si="243"/>
        <v>0</v>
      </c>
      <c r="AR121" s="8">
        <f t="shared" ca="1" si="243"/>
        <v>0</v>
      </c>
      <c r="AS121" s="8">
        <f t="shared" ca="1" si="243"/>
        <v>0</v>
      </c>
      <c r="AT121" s="8">
        <f t="shared" ca="1" si="243"/>
        <v>0</v>
      </c>
      <c r="AU121" s="8">
        <f t="shared" ca="1" si="243"/>
        <v>0</v>
      </c>
      <c r="AV121" s="8">
        <f t="shared" ca="1" si="243"/>
        <v>0</v>
      </c>
      <c r="AW121" s="8">
        <f t="shared" ref="AW121" ca="1" si="244">SUM(AW119:AW120)*princ</f>
        <v>0</v>
      </c>
    </row>
    <row r="122" spans="1:49" x14ac:dyDescent="0.2">
      <c r="A122" s="4" t="s">
        <v>26</v>
      </c>
      <c r="C122" s="8">
        <f ca="1">SUM(C119:C121)</f>
        <v>0</v>
      </c>
      <c r="D122" s="8">
        <f t="shared" ref="D122:G122" ca="1" si="245">SUM(D119:D121)</f>
        <v>0</v>
      </c>
      <c r="E122" s="8">
        <f t="shared" ca="1" si="245"/>
        <v>0</v>
      </c>
      <c r="F122" s="8">
        <f t="shared" ca="1" si="245"/>
        <v>0</v>
      </c>
      <c r="G122" s="8">
        <f t="shared" ca="1" si="245"/>
        <v>0</v>
      </c>
      <c r="H122" s="8">
        <f t="shared" ref="H122:AM122" ca="1" si="246">SUM(H119:H121)</f>
        <v>0</v>
      </c>
      <c r="I122" s="8">
        <f t="shared" ca="1" si="246"/>
        <v>0</v>
      </c>
      <c r="J122" s="8">
        <f t="shared" ca="1" si="246"/>
        <v>0</v>
      </c>
      <c r="K122" s="8">
        <f t="shared" ca="1" si="246"/>
        <v>0</v>
      </c>
      <c r="L122" s="8">
        <f t="shared" ca="1" si="246"/>
        <v>0</v>
      </c>
      <c r="M122" s="8">
        <f t="shared" ca="1" si="246"/>
        <v>0</v>
      </c>
      <c r="N122" s="8">
        <f t="shared" ca="1" si="246"/>
        <v>0</v>
      </c>
      <c r="O122" s="8">
        <f t="shared" ca="1" si="246"/>
        <v>0</v>
      </c>
      <c r="P122" s="8">
        <f t="shared" ca="1" si="246"/>
        <v>0</v>
      </c>
      <c r="Q122" s="8">
        <f t="shared" ca="1" si="246"/>
        <v>0</v>
      </c>
      <c r="R122" s="8">
        <f t="shared" ca="1" si="246"/>
        <v>0</v>
      </c>
      <c r="S122" s="8">
        <f t="shared" ca="1" si="246"/>
        <v>0</v>
      </c>
      <c r="T122" s="8">
        <f t="shared" ca="1" si="246"/>
        <v>0</v>
      </c>
      <c r="U122" s="8">
        <f t="shared" ca="1" si="246"/>
        <v>0</v>
      </c>
      <c r="V122" s="8">
        <f t="shared" ca="1" si="246"/>
        <v>0</v>
      </c>
      <c r="W122" s="8">
        <f t="shared" ca="1" si="246"/>
        <v>0</v>
      </c>
      <c r="X122" s="8">
        <f t="shared" ca="1" si="246"/>
        <v>0</v>
      </c>
      <c r="Y122" s="8">
        <f t="shared" ca="1" si="246"/>
        <v>0</v>
      </c>
      <c r="Z122" s="8">
        <f t="shared" ca="1" si="246"/>
        <v>0</v>
      </c>
      <c r="AA122" s="8">
        <f t="shared" ca="1" si="246"/>
        <v>0</v>
      </c>
      <c r="AB122" s="8">
        <f t="shared" ca="1" si="246"/>
        <v>0</v>
      </c>
      <c r="AC122" s="8">
        <f t="shared" ca="1" si="246"/>
        <v>0</v>
      </c>
      <c r="AD122" s="8">
        <f t="shared" ca="1" si="246"/>
        <v>0</v>
      </c>
      <c r="AE122" s="8">
        <f t="shared" ca="1" si="246"/>
        <v>0</v>
      </c>
      <c r="AF122" s="8">
        <f t="shared" ca="1" si="246"/>
        <v>0</v>
      </c>
      <c r="AG122" s="8">
        <f t="shared" ca="1" si="246"/>
        <v>0</v>
      </c>
      <c r="AH122" s="8">
        <f t="shared" ca="1" si="246"/>
        <v>0</v>
      </c>
      <c r="AI122" s="8">
        <f t="shared" ca="1" si="246"/>
        <v>0</v>
      </c>
      <c r="AJ122" s="8">
        <f t="shared" ca="1" si="246"/>
        <v>0</v>
      </c>
      <c r="AK122" s="8">
        <f t="shared" ca="1" si="246"/>
        <v>0</v>
      </c>
      <c r="AL122" s="8">
        <f t="shared" ca="1" si="246"/>
        <v>0</v>
      </c>
      <c r="AM122" s="8">
        <f t="shared" ca="1" si="246"/>
        <v>0</v>
      </c>
      <c r="AN122" s="8">
        <f t="shared" ref="AN122:AV122" ca="1" si="247">SUM(AN119:AN121)</f>
        <v>0</v>
      </c>
      <c r="AO122" s="8">
        <f t="shared" ca="1" si="247"/>
        <v>0</v>
      </c>
      <c r="AP122" s="8">
        <f t="shared" ca="1" si="247"/>
        <v>0</v>
      </c>
      <c r="AQ122" s="8">
        <f t="shared" ca="1" si="247"/>
        <v>0</v>
      </c>
      <c r="AR122" s="8">
        <f t="shared" ca="1" si="247"/>
        <v>0</v>
      </c>
      <c r="AS122" s="8">
        <f t="shared" ca="1" si="247"/>
        <v>0</v>
      </c>
      <c r="AT122" s="8">
        <f t="shared" ca="1" si="247"/>
        <v>0</v>
      </c>
      <c r="AU122" s="8">
        <f t="shared" ca="1" si="247"/>
        <v>0</v>
      </c>
      <c r="AV122" s="8">
        <f t="shared" ca="1" si="247"/>
        <v>0</v>
      </c>
      <c r="AW122" s="8">
        <f t="shared" ref="AW122" ca="1" si="248">SUM(AW119:AW121)</f>
        <v>0</v>
      </c>
    </row>
    <row r="123" spans="1:49" x14ac:dyDescent="0.2">
      <c r="A123" s="4" t="s">
        <v>27</v>
      </c>
      <c r="C123" s="8">
        <f ca="1">C120*Inputs!$B$163</f>
        <v>0</v>
      </c>
      <c r="D123" s="8">
        <f ca="1">D120*Inputs!$B$163</f>
        <v>0</v>
      </c>
      <c r="E123" s="8">
        <f ca="1">E120*Inputs!$B$163</f>
        <v>0</v>
      </c>
      <c r="F123" s="8">
        <f ca="1">F120*Inputs!$B$163</f>
        <v>0</v>
      </c>
      <c r="G123" s="8">
        <f ca="1">G120*Inputs!$B$163</f>
        <v>0</v>
      </c>
      <c r="H123" s="8">
        <f ca="1">H120*Inputs!$B$163</f>
        <v>0</v>
      </c>
      <c r="I123" s="8">
        <f ca="1">I120*Inputs!$B$163</f>
        <v>0</v>
      </c>
      <c r="J123" s="8">
        <f ca="1">J120*Inputs!$B$163</f>
        <v>0</v>
      </c>
      <c r="K123" s="8">
        <f ca="1">K120*Inputs!$B$163</f>
        <v>0</v>
      </c>
      <c r="L123" s="8">
        <f ca="1">L120*Inputs!$B$163</f>
        <v>0</v>
      </c>
      <c r="M123" s="8">
        <f ca="1">M120*Inputs!$B$163</f>
        <v>0</v>
      </c>
      <c r="N123" s="8">
        <f ca="1">N120*Inputs!$B$163</f>
        <v>0</v>
      </c>
      <c r="O123" s="8">
        <f ca="1">O120*Inputs!$B$163</f>
        <v>0</v>
      </c>
      <c r="P123" s="8">
        <f ca="1">P120*Inputs!$B$163</f>
        <v>0</v>
      </c>
      <c r="Q123" s="8">
        <f ca="1">Q120*Inputs!$B$163</f>
        <v>0</v>
      </c>
      <c r="R123" s="8">
        <f ca="1">R120*Inputs!$B$163</f>
        <v>0</v>
      </c>
      <c r="S123" s="8">
        <f ca="1">S120*Inputs!$B$163</f>
        <v>0</v>
      </c>
      <c r="T123" s="8">
        <f ca="1">T120*Inputs!$B$163</f>
        <v>0</v>
      </c>
      <c r="U123" s="8">
        <f ca="1">U120*Inputs!$B$163</f>
        <v>0</v>
      </c>
      <c r="V123" s="8">
        <f ca="1">V120*Inputs!$B$163</f>
        <v>0</v>
      </c>
      <c r="W123" s="8">
        <f ca="1">W120*Inputs!$B$163</f>
        <v>0</v>
      </c>
      <c r="X123" s="8">
        <f ca="1">X120*Inputs!$B$163</f>
        <v>0</v>
      </c>
      <c r="Y123" s="8">
        <f ca="1">Y120*Inputs!$B$163</f>
        <v>0</v>
      </c>
      <c r="Z123" s="8">
        <f ca="1">Z120*Inputs!$B$163</f>
        <v>0</v>
      </c>
      <c r="AA123" s="8">
        <f ca="1">AA120*Inputs!$B$163</f>
        <v>0</v>
      </c>
      <c r="AB123" s="8">
        <f ca="1">AB120*Inputs!$B$163</f>
        <v>0</v>
      </c>
      <c r="AC123" s="8">
        <f ca="1">AC120*Inputs!$B$163</f>
        <v>0</v>
      </c>
      <c r="AD123" s="8">
        <f ca="1">AD120*Inputs!$B$163</f>
        <v>0</v>
      </c>
      <c r="AE123" s="8">
        <f ca="1">AE120*Inputs!$B$163</f>
        <v>0</v>
      </c>
      <c r="AF123" s="8">
        <f ca="1">AF120*Inputs!$B$163</f>
        <v>0</v>
      </c>
      <c r="AG123" s="8">
        <f ca="1">AG120*Inputs!$B$163</f>
        <v>0</v>
      </c>
      <c r="AH123" s="8">
        <f ca="1">AH120*Inputs!$B$163</f>
        <v>0</v>
      </c>
      <c r="AI123" s="8">
        <f ca="1">AI120*Inputs!$B$163</f>
        <v>0</v>
      </c>
      <c r="AJ123" s="8">
        <f ca="1">AJ120*Inputs!$B$163</f>
        <v>0</v>
      </c>
      <c r="AK123" s="8">
        <f ca="1">AK120*Inputs!$B$163</f>
        <v>0</v>
      </c>
      <c r="AL123" s="8">
        <f ca="1">AL120*Inputs!$B$163</f>
        <v>0</v>
      </c>
      <c r="AM123" s="8">
        <f ca="1">AM120*Inputs!$B$163</f>
        <v>0</v>
      </c>
      <c r="AN123" s="8">
        <f ca="1">AN120*Inputs!$B$163</f>
        <v>0</v>
      </c>
      <c r="AO123" s="8">
        <f ca="1">AO120*Inputs!$B$163</f>
        <v>0</v>
      </c>
      <c r="AP123" s="8">
        <f ca="1">AP120*Inputs!$B$163</f>
        <v>0</v>
      </c>
      <c r="AQ123" s="8">
        <f ca="1">AQ120*Inputs!$B$163</f>
        <v>0</v>
      </c>
      <c r="AR123" s="8">
        <f ca="1">AR120*Inputs!$B$163</f>
        <v>0</v>
      </c>
      <c r="AS123" s="8">
        <f ca="1">AS120*Inputs!$B$163</f>
        <v>0</v>
      </c>
      <c r="AT123" s="8">
        <f ca="1">AT120*Inputs!$B$163</f>
        <v>0</v>
      </c>
      <c r="AU123" s="8">
        <f ca="1">AU120*Inputs!$B$163</f>
        <v>0</v>
      </c>
      <c r="AV123" s="8">
        <f ca="1">AV120*Inputs!$B$163</f>
        <v>0</v>
      </c>
      <c r="AW123" s="8">
        <f>AW120*Inputs!$B$163</f>
        <v>0</v>
      </c>
    </row>
    <row r="124" spans="1:49" x14ac:dyDescent="0.2">
      <c r="A124" s="4" t="s">
        <v>34</v>
      </c>
      <c r="C124" s="8">
        <f>IFERROR(-IF(C119=0,VLOOKUP($A118,$7:$10,C$1+2,FALSE),0),0)</f>
        <v>0</v>
      </c>
      <c r="D124" s="8">
        <f t="shared" ref="D124:G124" ca="1" si="249">IFERROR(-IF(D119=0,VLOOKUP($A118,$7:$10,D$1+2,FALSE),0),0)</f>
        <v>0</v>
      </c>
      <c r="E124" s="8">
        <f t="shared" ca="1" si="249"/>
        <v>0</v>
      </c>
      <c r="F124" s="8">
        <f t="shared" ca="1" si="249"/>
        <v>0</v>
      </c>
      <c r="G124" s="8">
        <f t="shared" ca="1" si="249"/>
        <v>0</v>
      </c>
      <c r="H124" s="8">
        <f t="shared" ref="H124:AM124" ca="1" si="250">IFERROR(-IF(H119=0,VLOOKUP($A118,$7:$10,H$1+2,FALSE),0),0)</f>
        <v>0</v>
      </c>
      <c r="I124" s="8">
        <f t="shared" ca="1" si="250"/>
        <v>0</v>
      </c>
      <c r="J124" s="8">
        <f t="shared" ca="1" si="250"/>
        <v>0</v>
      </c>
      <c r="K124" s="8">
        <f t="shared" ca="1" si="250"/>
        <v>0</v>
      </c>
      <c r="L124" s="8">
        <f t="shared" ca="1" si="250"/>
        <v>0</v>
      </c>
      <c r="M124" s="8">
        <f t="shared" ca="1" si="250"/>
        <v>0</v>
      </c>
      <c r="N124" s="8">
        <f t="shared" ca="1" si="250"/>
        <v>0</v>
      </c>
      <c r="O124" s="8">
        <f t="shared" ca="1" si="250"/>
        <v>0</v>
      </c>
      <c r="P124" s="8">
        <f t="shared" ca="1" si="250"/>
        <v>0</v>
      </c>
      <c r="Q124" s="8">
        <f t="shared" ca="1" si="250"/>
        <v>0</v>
      </c>
      <c r="R124" s="8">
        <f t="shared" ca="1" si="250"/>
        <v>0</v>
      </c>
      <c r="S124" s="8">
        <f t="shared" ca="1" si="250"/>
        <v>0</v>
      </c>
      <c r="T124" s="8">
        <f t="shared" ca="1" si="250"/>
        <v>0</v>
      </c>
      <c r="U124" s="8">
        <f t="shared" ca="1" si="250"/>
        <v>0</v>
      </c>
      <c r="V124" s="8">
        <f t="shared" ca="1" si="250"/>
        <v>0</v>
      </c>
      <c r="W124" s="8">
        <f t="shared" ca="1" si="250"/>
        <v>0</v>
      </c>
      <c r="X124" s="8">
        <f t="shared" ca="1" si="250"/>
        <v>0</v>
      </c>
      <c r="Y124" s="8">
        <f t="shared" ca="1" si="250"/>
        <v>0</v>
      </c>
      <c r="Z124" s="8">
        <f t="shared" ca="1" si="250"/>
        <v>0</v>
      </c>
      <c r="AA124" s="8">
        <f t="shared" ca="1" si="250"/>
        <v>0</v>
      </c>
      <c r="AB124" s="8">
        <f t="shared" ca="1" si="250"/>
        <v>0</v>
      </c>
      <c r="AC124" s="8">
        <f t="shared" ca="1" si="250"/>
        <v>0</v>
      </c>
      <c r="AD124" s="8">
        <f t="shared" ca="1" si="250"/>
        <v>0</v>
      </c>
      <c r="AE124" s="8">
        <f t="shared" ca="1" si="250"/>
        <v>0</v>
      </c>
      <c r="AF124" s="8">
        <f t="shared" ca="1" si="250"/>
        <v>0</v>
      </c>
      <c r="AG124" s="8">
        <f t="shared" ca="1" si="250"/>
        <v>0</v>
      </c>
      <c r="AH124" s="8">
        <f t="shared" ca="1" si="250"/>
        <v>0</v>
      </c>
      <c r="AI124" s="8">
        <f t="shared" ca="1" si="250"/>
        <v>0</v>
      </c>
      <c r="AJ124" s="8">
        <f t="shared" ca="1" si="250"/>
        <v>0</v>
      </c>
      <c r="AK124" s="8">
        <f t="shared" ca="1" si="250"/>
        <v>0</v>
      </c>
      <c r="AL124" s="8">
        <f t="shared" ca="1" si="250"/>
        <v>0</v>
      </c>
      <c r="AM124" s="8">
        <f t="shared" ca="1" si="250"/>
        <v>0</v>
      </c>
      <c r="AN124" s="8">
        <f t="shared" ref="AN124:AV124" ca="1" si="251">IFERROR(-IF(AN119=0,VLOOKUP($A118,$7:$10,AN$1+2,FALSE),0),0)</f>
        <v>0</v>
      </c>
      <c r="AO124" s="8">
        <f t="shared" ca="1" si="251"/>
        <v>0</v>
      </c>
      <c r="AP124" s="8">
        <f t="shared" ca="1" si="251"/>
        <v>0</v>
      </c>
      <c r="AQ124" s="8">
        <f t="shared" ca="1" si="251"/>
        <v>0</v>
      </c>
      <c r="AR124" s="8">
        <f t="shared" ca="1" si="251"/>
        <v>0</v>
      </c>
      <c r="AS124" s="8">
        <f t="shared" ca="1" si="251"/>
        <v>0</v>
      </c>
      <c r="AT124" s="8">
        <f t="shared" ca="1" si="251"/>
        <v>0</v>
      </c>
      <c r="AU124" s="8">
        <f t="shared" ca="1" si="251"/>
        <v>0</v>
      </c>
      <c r="AV124" s="8">
        <f t="shared" ca="1" si="251"/>
        <v>0</v>
      </c>
      <c r="AW124" s="8">
        <f t="shared" ref="AW124" ca="1" si="252">IFERROR(-IF(AW119=0,VLOOKUP($A118,$7:$10,AW$1+2,FALSE),0),0)</f>
        <v>0</v>
      </c>
    </row>
    <row r="125" spans="1:49" x14ac:dyDescent="0.2">
      <c r="A125" s="4" t="s">
        <v>54</v>
      </c>
      <c r="C125" s="8">
        <f>IFERROR(IF(C119=0,VLOOKUP($A118,$33:$36,C$1+2,FALSE),0),0)</f>
        <v>0</v>
      </c>
      <c r="D125" s="8">
        <f t="shared" ref="D125:G125" ca="1" si="253">IFERROR(IF(D119=0,VLOOKUP($A118,$33:$36,D$1+2,FALSE),0),0)</f>
        <v>0</v>
      </c>
      <c r="E125" s="8">
        <f t="shared" ca="1" si="253"/>
        <v>0</v>
      </c>
      <c r="F125" s="8">
        <f t="shared" ca="1" si="253"/>
        <v>0</v>
      </c>
      <c r="G125" s="8">
        <f t="shared" ca="1" si="253"/>
        <v>0</v>
      </c>
      <c r="H125" s="8">
        <f t="shared" ref="H125:AM125" ca="1" si="254">IFERROR(IF(H119=0,VLOOKUP($A118,$33:$36,H$1+2,FALSE),0),0)</f>
        <v>0</v>
      </c>
      <c r="I125" s="8">
        <f t="shared" ca="1" si="254"/>
        <v>0</v>
      </c>
      <c r="J125" s="8">
        <f t="shared" ca="1" si="254"/>
        <v>0</v>
      </c>
      <c r="K125" s="8">
        <f t="shared" ca="1" si="254"/>
        <v>0</v>
      </c>
      <c r="L125" s="8">
        <f t="shared" ca="1" si="254"/>
        <v>0</v>
      </c>
      <c r="M125" s="8">
        <f t="shared" ca="1" si="254"/>
        <v>0</v>
      </c>
      <c r="N125" s="8">
        <f t="shared" ca="1" si="254"/>
        <v>0</v>
      </c>
      <c r="O125" s="8">
        <f t="shared" ca="1" si="254"/>
        <v>0</v>
      </c>
      <c r="P125" s="8">
        <f t="shared" ca="1" si="254"/>
        <v>0</v>
      </c>
      <c r="Q125" s="8">
        <f t="shared" ca="1" si="254"/>
        <v>0</v>
      </c>
      <c r="R125" s="8">
        <f t="shared" ca="1" si="254"/>
        <v>0</v>
      </c>
      <c r="S125" s="8">
        <f t="shared" ca="1" si="254"/>
        <v>0</v>
      </c>
      <c r="T125" s="8">
        <f t="shared" ca="1" si="254"/>
        <v>0</v>
      </c>
      <c r="U125" s="8">
        <f t="shared" ca="1" si="254"/>
        <v>0</v>
      </c>
      <c r="V125" s="8">
        <f t="shared" ca="1" si="254"/>
        <v>0</v>
      </c>
      <c r="W125" s="8">
        <f t="shared" ca="1" si="254"/>
        <v>0</v>
      </c>
      <c r="X125" s="8">
        <f t="shared" ca="1" si="254"/>
        <v>0</v>
      </c>
      <c r="Y125" s="8">
        <f t="shared" ca="1" si="254"/>
        <v>0</v>
      </c>
      <c r="Z125" s="8">
        <f t="shared" ca="1" si="254"/>
        <v>0</v>
      </c>
      <c r="AA125" s="8">
        <f t="shared" ca="1" si="254"/>
        <v>0</v>
      </c>
      <c r="AB125" s="8">
        <f t="shared" ca="1" si="254"/>
        <v>0</v>
      </c>
      <c r="AC125" s="8">
        <f t="shared" ca="1" si="254"/>
        <v>0</v>
      </c>
      <c r="AD125" s="8">
        <f t="shared" ca="1" si="254"/>
        <v>0</v>
      </c>
      <c r="AE125" s="8">
        <f t="shared" ca="1" si="254"/>
        <v>0</v>
      </c>
      <c r="AF125" s="8">
        <f t="shared" ca="1" si="254"/>
        <v>0</v>
      </c>
      <c r="AG125" s="8">
        <f t="shared" ca="1" si="254"/>
        <v>0</v>
      </c>
      <c r="AH125" s="8">
        <f t="shared" ca="1" si="254"/>
        <v>0</v>
      </c>
      <c r="AI125" s="8">
        <f t="shared" ca="1" si="254"/>
        <v>0</v>
      </c>
      <c r="AJ125" s="8">
        <f t="shared" ca="1" si="254"/>
        <v>0</v>
      </c>
      <c r="AK125" s="8">
        <f t="shared" ca="1" si="254"/>
        <v>0</v>
      </c>
      <c r="AL125" s="8">
        <f t="shared" ca="1" si="254"/>
        <v>0</v>
      </c>
      <c r="AM125" s="8">
        <f t="shared" ca="1" si="254"/>
        <v>0</v>
      </c>
      <c r="AN125" s="8">
        <f t="shared" ref="AN125:AV125" ca="1" si="255">IFERROR(IF(AN119=0,VLOOKUP($A118,$33:$36,AN$1+2,FALSE),0),0)</f>
        <v>0</v>
      </c>
      <c r="AO125" s="8">
        <f t="shared" ca="1" si="255"/>
        <v>0</v>
      </c>
      <c r="AP125" s="8">
        <f t="shared" ca="1" si="255"/>
        <v>0</v>
      </c>
      <c r="AQ125" s="8">
        <f t="shared" ca="1" si="255"/>
        <v>0</v>
      </c>
      <c r="AR125" s="8">
        <f t="shared" ca="1" si="255"/>
        <v>0</v>
      </c>
      <c r="AS125" s="8">
        <f t="shared" ca="1" si="255"/>
        <v>0</v>
      </c>
      <c r="AT125" s="8">
        <f t="shared" ca="1" si="255"/>
        <v>0</v>
      </c>
      <c r="AU125" s="8">
        <f t="shared" ca="1" si="255"/>
        <v>0</v>
      </c>
      <c r="AV125" s="8">
        <f t="shared" ca="1" si="255"/>
        <v>0</v>
      </c>
      <c r="AW125" s="8">
        <f t="shared" ref="AW125" ca="1" si="256">IFERROR(IF(AW119=0,VLOOKUP($A118,$33:$36,AW$1+2,FALSE),0),0)</f>
        <v>0</v>
      </c>
    </row>
    <row r="126" spans="1:49" x14ac:dyDescent="0.2">
      <c r="A126" s="4" t="s">
        <v>40</v>
      </c>
      <c r="B126" s="16" t="str">
        <f>A118</f>
        <v/>
      </c>
      <c r="C126" s="8">
        <f ca="1">IF(AND(C119&gt;0,C122=0),VLOOKUP($A118,$61:$64,C$1+2,FALSE),0)</f>
        <v>0</v>
      </c>
      <c r="D126" s="8">
        <f t="shared" ref="D126:G126" ca="1" si="257">IF(AND(D119&gt;0,D122=0),VLOOKUP($A118,$61:$64,D$1+2,FALSE),0)</f>
        <v>0</v>
      </c>
      <c r="E126" s="8">
        <f t="shared" ca="1" si="257"/>
        <v>0</v>
      </c>
      <c r="F126" s="8">
        <f t="shared" ca="1" si="257"/>
        <v>0</v>
      </c>
      <c r="G126" s="8">
        <f t="shared" ca="1" si="257"/>
        <v>0</v>
      </c>
      <c r="H126" s="8">
        <f t="shared" ref="H126:AM126" ca="1" si="258">IF(AND(H119&gt;0,H122=0),VLOOKUP($A118,$61:$64,H$1+2,FALSE),0)</f>
        <v>0</v>
      </c>
      <c r="I126" s="8">
        <f t="shared" ca="1" si="258"/>
        <v>0</v>
      </c>
      <c r="J126" s="8">
        <f t="shared" ca="1" si="258"/>
        <v>0</v>
      </c>
      <c r="K126" s="8">
        <f t="shared" ca="1" si="258"/>
        <v>0</v>
      </c>
      <c r="L126" s="8">
        <f t="shared" ca="1" si="258"/>
        <v>0</v>
      </c>
      <c r="M126" s="8">
        <f t="shared" ca="1" si="258"/>
        <v>0</v>
      </c>
      <c r="N126" s="8">
        <f t="shared" ca="1" si="258"/>
        <v>0</v>
      </c>
      <c r="O126" s="8">
        <f t="shared" ca="1" si="258"/>
        <v>0</v>
      </c>
      <c r="P126" s="8">
        <f t="shared" ca="1" si="258"/>
        <v>0</v>
      </c>
      <c r="Q126" s="8">
        <f t="shared" ca="1" si="258"/>
        <v>0</v>
      </c>
      <c r="R126" s="8">
        <f t="shared" ca="1" si="258"/>
        <v>0</v>
      </c>
      <c r="S126" s="8">
        <f t="shared" ca="1" si="258"/>
        <v>0</v>
      </c>
      <c r="T126" s="8">
        <f t="shared" ca="1" si="258"/>
        <v>0</v>
      </c>
      <c r="U126" s="8">
        <f t="shared" ca="1" si="258"/>
        <v>0</v>
      </c>
      <c r="V126" s="8">
        <f t="shared" ca="1" si="258"/>
        <v>0</v>
      </c>
      <c r="W126" s="8">
        <f t="shared" ca="1" si="258"/>
        <v>0</v>
      </c>
      <c r="X126" s="8">
        <f t="shared" ca="1" si="258"/>
        <v>0</v>
      </c>
      <c r="Y126" s="8">
        <f t="shared" ca="1" si="258"/>
        <v>0</v>
      </c>
      <c r="Z126" s="8">
        <f t="shared" ca="1" si="258"/>
        <v>0</v>
      </c>
      <c r="AA126" s="8">
        <f t="shared" ca="1" si="258"/>
        <v>0</v>
      </c>
      <c r="AB126" s="8">
        <f t="shared" ca="1" si="258"/>
        <v>0</v>
      </c>
      <c r="AC126" s="8">
        <f t="shared" ca="1" si="258"/>
        <v>0</v>
      </c>
      <c r="AD126" s="8">
        <f t="shared" ca="1" si="258"/>
        <v>0</v>
      </c>
      <c r="AE126" s="8">
        <f t="shared" ca="1" si="258"/>
        <v>0</v>
      </c>
      <c r="AF126" s="8">
        <f t="shared" ca="1" si="258"/>
        <v>0</v>
      </c>
      <c r="AG126" s="8">
        <f t="shared" ca="1" si="258"/>
        <v>0</v>
      </c>
      <c r="AH126" s="8">
        <f t="shared" ca="1" si="258"/>
        <v>0</v>
      </c>
      <c r="AI126" s="8">
        <f t="shared" ca="1" si="258"/>
        <v>0</v>
      </c>
      <c r="AJ126" s="8">
        <f t="shared" ca="1" si="258"/>
        <v>0</v>
      </c>
      <c r="AK126" s="8">
        <f t="shared" ca="1" si="258"/>
        <v>0</v>
      </c>
      <c r="AL126" s="8">
        <f t="shared" ca="1" si="258"/>
        <v>0</v>
      </c>
      <c r="AM126" s="8">
        <f t="shared" ca="1" si="258"/>
        <v>0</v>
      </c>
      <c r="AN126" s="8">
        <f t="shared" ref="AN126:AV126" ca="1" si="259">IF(AND(AN119&gt;0,AN122=0),VLOOKUP($A118,$61:$64,AN$1+2,FALSE),0)</f>
        <v>0</v>
      </c>
      <c r="AO126" s="8">
        <f t="shared" ca="1" si="259"/>
        <v>0</v>
      </c>
      <c r="AP126" s="8">
        <f t="shared" ca="1" si="259"/>
        <v>0</v>
      </c>
      <c r="AQ126" s="8">
        <f t="shared" ca="1" si="259"/>
        <v>0</v>
      </c>
      <c r="AR126" s="8">
        <f t="shared" ca="1" si="259"/>
        <v>0</v>
      </c>
      <c r="AS126" s="8">
        <f t="shared" ca="1" si="259"/>
        <v>0</v>
      </c>
      <c r="AT126" s="8">
        <f t="shared" ca="1" si="259"/>
        <v>0</v>
      </c>
      <c r="AU126" s="8">
        <f t="shared" ca="1" si="259"/>
        <v>0</v>
      </c>
      <c r="AV126" s="8">
        <f t="shared" ca="1" si="259"/>
        <v>0</v>
      </c>
      <c r="AW126" s="8">
        <f t="shared" ref="AW126" ca="1" si="260">IF(AND(AW119&gt;0,AW122=0),VLOOKUP($A118,$61:$64,AW$1+2,FALSE),0)</f>
        <v>0</v>
      </c>
    </row>
    <row r="127" spans="1:49" x14ac:dyDescent="0.2">
      <c r="A127" s="4" t="s">
        <v>41</v>
      </c>
      <c r="C127" s="8">
        <f ca="1">-C120+SUM(C123:C126)</f>
        <v>0</v>
      </c>
      <c r="D127" s="8">
        <f t="shared" ref="D127" ca="1" si="261">-D120+SUM(D123:D126)</f>
        <v>0</v>
      </c>
      <c r="E127" s="8">
        <f t="shared" ref="E127:G127" ca="1" si="262">-E120+SUM(E123:E126)</f>
        <v>0</v>
      </c>
      <c r="F127" s="8">
        <f t="shared" ca="1" si="262"/>
        <v>0</v>
      </c>
      <c r="G127" s="8">
        <f t="shared" ca="1" si="262"/>
        <v>0</v>
      </c>
      <c r="H127" s="8">
        <f t="shared" ref="H127:AM127" ca="1" si="263">-H120+SUM(H123:H126)</f>
        <v>0</v>
      </c>
      <c r="I127" s="8">
        <f t="shared" ca="1" si="263"/>
        <v>0</v>
      </c>
      <c r="J127" s="8">
        <f t="shared" ca="1" si="263"/>
        <v>0</v>
      </c>
      <c r="K127" s="8">
        <f t="shared" ca="1" si="263"/>
        <v>0</v>
      </c>
      <c r="L127" s="8">
        <f t="shared" ca="1" si="263"/>
        <v>0</v>
      </c>
      <c r="M127" s="8">
        <f t="shared" ca="1" si="263"/>
        <v>0</v>
      </c>
      <c r="N127" s="8">
        <f t="shared" ca="1" si="263"/>
        <v>0</v>
      </c>
      <c r="O127" s="8">
        <f t="shared" ca="1" si="263"/>
        <v>0</v>
      </c>
      <c r="P127" s="8">
        <f t="shared" ca="1" si="263"/>
        <v>0</v>
      </c>
      <c r="Q127" s="8">
        <f t="shared" ca="1" si="263"/>
        <v>0</v>
      </c>
      <c r="R127" s="8">
        <f t="shared" ca="1" si="263"/>
        <v>0</v>
      </c>
      <c r="S127" s="8">
        <f t="shared" ca="1" si="263"/>
        <v>0</v>
      </c>
      <c r="T127" s="8">
        <f t="shared" ca="1" si="263"/>
        <v>0</v>
      </c>
      <c r="U127" s="8">
        <f t="shared" ca="1" si="263"/>
        <v>0</v>
      </c>
      <c r="V127" s="8">
        <f t="shared" ca="1" si="263"/>
        <v>0</v>
      </c>
      <c r="W127" s="8">
        <f t="shared" ca="1" si="263"/>
        <v>0</v>
      </c>
      <c r="X127" s="8">
        <f t="shared" ca="1" si="263"/>
        <v>0</v>
      </c>
      <c r="Y127" s="8">
        <f t="shared" ca="1" si="263"/>
        <v>0</v>
      </c>
      <c r="Z127" s="8">
        <f t="shared" ca="1" si="263"/>
        <v>0</v>
      </c>
      <c r="AA127" s="8">
        <f t="shared" ca="1" si="263"/>
        <v>0</v>
      </c>
      <c r="AB127" s="8">
        <f t="shared" ca="1" si="263"/>
        <v>0</v>
      </c>
      <c r="AC127" s="8">
        <f t="shared" ca="1" si="263"/>
        <v>0</v>
      </c>
      <c r="AD127" s="8">
        <f t="shared" ca="1" si="263"/>
        <v>0</v>
      </c>
      <c r="AE127" s="8">
        <f t="shared" ca="1" si="263"/>
        <v>0</v>
      </c>
      <c r="AF127" s="8">
        <f t="shared" ca="1" si="263"/>
        <v>0</v>
      </c>
      <c r="AG127" s="8">
        <f t="shared" ca="1" si="263"/>
        <v>0</v>
      </c>
      <c r="AH127" s="8">
        <f t="shared" ca="1" si="263"/>
        <v>0</v>
      </c>
      <c r="AI127" s="8">
        <f t="shared" ca="1" si="263"/>
        <v>0</v>
      </c>
      <c r="AJ127" s="8">
        <f t="shared" ca="1" si="263"/>
        <v>0</v>
      </c>
      <c r="AK127" s="8">
        <f t="shared" ca="1" si="263"/>
        <v>0</v>
      </c>
      <c r="AL127" s="8">
        <f t="shared" ca="1" si="263"/>
        <v>0</v>
      </c>
      <c r="AM127" s="8">
        <f t="shared" ca="1" si="263"/>
        <v>0</v>
      </c>
      <c r="AN127" s="8">
        <f t="shared" ref="AN127:AV127" ca="1" si="264">-AN120+SUM(AN123:AN126)</f>
        <v>0</v>
      </c>
      <c r="AO127" s="8">
        <f t="shared" ca="1" si="264"/>
        <v>0</v>
      </c>
      <c r="AP127" s="8">
        <f t="shared" ca="1" si="264"/>
        <v>0</v>
      </c>
      <c r="AQ127" s="8">
        <f t="shared" ca="1" si="264"/>
        <v>0</v>
      </c>
      <c r="AR127" s="8">
        <f t="shared" ca="1" si="264"/>
        <v>0</v>
      </c>
      <c r="AS127" s="8">
        <f t="shared" ca="1" si="264"/>
        <v>0</v>
      </c>
      <c r="AT127" s="8">
        <f t="shared" ca="1" si="264"/>
        <v>0</v>
      </c>
      <c r="AU127" s="8">
        <f t="shared" ca="1" si="264"/>
        <v>0</v>
      </c>
      <c r="AV127" s="8">
        <f t="shared" ca="1" si="264"/>
        <v>0</v>
      </c>
      <c r="AW127" s="8">
        <f t="shared" ref="AW127" ca="1" si="265">-AW120+SUM(AW123:AW126)</f>
        <v>0</v>
      </c>
    </row>
    <row r="128" spans="1:49" x14ac:dyDescent="0.2">
      <c r="A128" s="4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">
      <c r="A129" s="4" t="s">
        <v>87</v>
      </c>
      <c r="C129" s="8">
        <f ca="1">C115+SUM($C127:C127)</f>
        <v>184898.75</v>
      </c>
      <c r="D129" s="8">
        <f ca="1">D115+SUM($C127:D127)</f>
        <v>190464.1875</v>
      </c>
      <c r="E129" s="8">
        <f ca="1">E115+SUM($C127:E127)</f>
        <v>196735.69765625001</v>
      </c>
      <c r="F129" s="8">
        <f ca="1">F115+SUM($C127:F127)</f>
        <v>203754.49157812502</v>
      </c>
      <c r="G129" s="8">
        <f ca="1">G115+SUM($C127:G127)</f>
        <v>211563.68121130861</v>
      </c>
      <c r="H129" s="8">
        <f ca="1">H115+SUM($C127:H127)</f>
        <v>220208.35706995256</v>
      </c>
      <c r="I129" s="8">
        <f ca="1">I115+SUM($C127:I127)</f>
        <v>229735.66892084025</v>
      </c>
      <c r="J129" s="8">
        <f ca="1">J115+SUM($C127:J127)</f>
        <v>240194.90952617431</v>
      </c>
      <c r="K129" s="8">
        <f ca="1">K115+SUM($C127:K127)</f>
        <v>251637.60155532236</v>
      </c>
      <c r="L129" s="8">
        <f ca="1">L115+SUM($C127:L127)</f>
        <v>264117.58777969546</v>
      </c>
      <c r="M129" s="8">
        <f ca="1">M115+SUM($C127:M127)</f>
        <v>277691.1246689033</v>
      </c>
      <c r="N129" s="8">
        <f ca="1">N115+SUM($C127:N127)</f>
        <v>292416.97951043496</v>
      </c>
      <c r="O129" s="8">
        <f ca="1">O115+SUM($C127:O127)</f>
        <v>308356.53117935767</v>
      </c>
      <c r="P129" s="8">
        <f ca="1">P115+SUM($C127:P127)</f>
        <v>325573.87468891207</v>
      </c>
      <c r="Q129" s="8">
        <f ca="1">Q115+SUM($C127:Q127)</f>
        <v>344135.92965741799</v>
      </c>
      <c r="R129" s="8">
        <f ca="1">R115+SUM($C127:R127)</f>
        <v>367161.10470025497</v>
      </c>
      <c r="S129" s="8">
        <f ca="1">S115+SUM($C127:S127)</f>
        <v>398421.42047661229</v>
      </c>
      <c r="T129" s="8">
        <f ca="1">T115+SUM($C127:T127)</f>
        <v>358811.20508166938</v>
      </c>
      <c r="U129" s="8">
        <f ca="1">U115+SUM($C127:U127)</f>
        <v>324854.73778757063</v>
      </c>
      <c r="V129" s="8">
        <f ca="1">V115+SUM($C127:V127)</f>
        <v>288963.69012559089</v>
      </c>
      <c r="W129" s="8">
        <f ca="1">W115+SUM($C127:W127)</f>
        <v>251062.55586939497</v>
      </c>
      <c r="X129" s="8">
        <f ca="1">X115+SUM($C127:X127)</f>
        <v>211073.26259406074</v>
      </c>
      <c r="Y129" s="8">
        <f ca="1">Y115+SUM($C127:Y127)</f>
        <v>168915.09055754144</v>
      </c>
      <c r="Z129" s="8">
        <f ca="1">Z115+SUM($C127:Z127)</f>
        <v>124504.58913007489</v>
      </c>
      <c r="AA129" s="8">
        <f ca="1">AA115+SUM($C127:AA127)</f>
        <v>77755.490699636561</v>
      </c>
      <c r="AB129" s="8">
        <f ca="1">AB115+SUM($C127:AB127)</f>
        <v>28578.621979470016</v>
      </c>
      <c r="AC129" s="8">
        <f ca="1">AC115+SUM($C127:AC127)</f>
        <v>0</v>
      </c>
      <c r="AD129" s="8">
        <f ca="1">AD115+SUM($C127:AD127)</f>
        <v>0</v>
      </c>
      <c r="AE129" s="8">
        <f ca="1">AE115+SUM($C127:AE127)</f>
        <v>0</v>
      </c>
      <c r="AF129" s="8">
        <f ca="1">AF115+SUM($C127:AF127)</f>
        <v>0</v>
      </c>
      <c r="AG129" s="8">
        <f ca="1">AG115+SUM($C127:AG127)</f>
        <v>0</v>
      </c>
      <c r="AH129" s="8">
        <f ca="1">AH115+SUM($C127:AH127)</f>
        <v>0</v>
      </c>
      <c r="AI129" s="8">
        <f ca="1">AI115+SUM($C127:AI127)</f>
        <v>0</v>
      </c>
      <c r="AJ129" s="8">
        <f ca="1">AJ115+SUM($C127:AJ127)</f>
        <v>0</v>
      </c>
      <c r="AK129" s="8">
        <f ca="1">AK115+SUM($C127:AK127)</f>
        <v>0</v>
      </c>
      <c r="AL129" s="8">
        <f ca="1">AL115+SUM($C127:AL127)</f>
        <v>735473.29901135678</v>
      </c>
      <c r="AM129" s="8">
        <f ca="1">AM115+SUM($C127:AM127)</f>
        <v>743483.72201347235</v>
      </c>
      <c r="AN129" s="8">
        <f ca="1">AN115+SUM($C127:AN127)</f>
        <v>705448.12308551755</v>
      </c>
      <c r="AO129" s="8">
        <f ca="1">AO115+SUM($C127:AO127)</f>
        <v>664635.55704448489</v>
      </c>
      <c r="AP129" s="8">
        <f ca="1">AP115+SUM($C127:AP127)</f>
        <v>620976.5997125475</v>
      </c>
      <c r="AQ129" s="8">
        <f ca="1">AQ115+SUM($C127:AQ127)</f>
        <v>574400.09130743286</v>
      </c>
      <c r="AR129" s="8">
        <f ca="1">AR115+SUM($C127:AR127)</f>
        <v>524833.09305231122</v>
      </c>
      <c r="AS129" s="8">
        <f ca="1">AS115+SUM($C127:AS127)</f>
        <v>472200.84270093252</v>
      </c>
      <c r="AT129" s="8">
        <f ca="1">AT115+SUM($C127:AT127)</f>
        <v>416426.70895089046</v>
      </c>
      <c r="AU129" s="8">
        <f ca="1">AU115+SUM($C127:AU127)</f>
        <v>357432.14471721847</v>
      </c>
      <c r="AV129" s="8">
        <f ca="1">AV115+SUM($C127:AV127)</f>
        <v>295136.63923782588</v>
      </c>
      <c r="AW129" s="8">
        <f ca="1">AW115+SUM($C127:AW127)</f>
        <v>229457.66898156921</v>
      </c>
    </row>
    <row r="130" spans="1:49" x14ac:dyDescent="0.2">
      <c r="A130" s="4" t="s">
        <v>84</v>
      </c>
      <c r="C130" s="8">
        <f t="shared" ref="C130:AM130" ca="1" si="266">MAX(C129+buffer,0)-MAX(C115+buffer,0)</f>
        <v>0</v>
      </c>
      <c r="D130" s="8">
        <f t="shared" ca="1" si="266"/>
        <v>0</v>
      </c>
      <c r="E130" s="8">
        <f t="shared" ca="1" si="266"/>
        <v>0</v>
      </c>
      <c r="F130" s="8">
        <f t="shared" ca="1" si="266"/>
        <v>0</v>
      </c>
      <c r="G130" s="8">
        <f t="shared" ca="1" si="266"/>
        <v>0</v>
      </c>
      <c r="H130" s="8">
        <f t="shared" ca="1" si="266"/>
        <v>0</v>
      </c>
      <c r="I130" s="8">
        <f t="shared" ca="1" si="266"/>
        <v>0</v>
      </c>
      <c r="J130" s="8">
        <f t="shared" ca="1" si="266"/>
        <v>0</v>
      </c>
      <c r="K130" s="8">
        <f t="shared" ca="1" si="266"/>
        <v>0</v>
      </c>
      <c r="L130" s="8">
        <f t="shared" ca="1" si="266"/>
        <v>0</v>
      </c>
      <c r="M130" s="8">
        <f t="shared" ca="1" si="266"/>
        <v>0</v>
      </c>
      <c r="N130" s="8">
        <f t="shared" ca="1" si="266"/>
        <v>0</v>
      </c>
      <c r="O130" s="8">
        <f t="shared" ca="1" si="266"/>
        <v>0</v>
      </c>
      <c r="P130" s="8">
        <f t="shared" ca="1" si="266"/>
        <v>0</v>
      </c>
      <c r="Q130" s="8">
        <f t="shared" ca="1" si="266"/>
        <v>0</v>
      </c>
      <c r="R130" s="8">
        <f t="shared" ca="1" si="266"/>
        <v>0</v>
      </c>
      <c r="S130" s="8">
        <f t="shared" ca="1" si="266"/>
        <v>0</v>
      </c>
      <c r="T130" s="8">
        <f t="shared" ca="1" si="266"/>
        <v>0</v>
      </c>
      <c r="U130" s="8">
        <f t="shared" ca="1" si="266"/>
        <v>0</v>
      </c>
      <c r="V130" s="8">
        <f t="shared" ca="1" si="266"/>
        <v>0</v>
      </c>
      <c r="W130" s="8">
        <f t="shared" ca="1" si="266"/>
        <v>0</v>
      </c>
      <c r="X130" s="8">
        <f t="shared" ca="1" si="266"/>
        <v>0</v>
      </c>
      <c r="Y130" s="8">
        <f t="shared" ca="1" si="266"/>
        <v>0</v>
      </c>
      <c r="Z130" s="8">
        <f t="shared" ca="1" si="266"/>
        <v>0</v>
      </c>
      <c r="AA130" s="8">
        <f t="shared" ca="1" si="266"/>
        <v>0</v>
      </c>
      <c r="AB130" s="8">
        <f t="shared" ca="1" si="266"/>
        <v>0</v>
      </c>
      <c r="AC130" s="8">
        <f t="shared" ca="1" si="266"/>
        <v>0</v>
      </c>
      <c r="AD130" s="8">
        <f t="shared" ca="1" si="266"/>
        <v>0</v>
      </c>
      <c r="AE130" s="8">
        <f t="shared" ca="1" si="266"/>
        <v>0</v>
      </c>
      <c r="AF130" s="8">
        <f t="shared" ca="1" si="266"/>
        <v>0</v>
      </c>
      <c r="AG130" s="8">
        <f t="shared" ca="1" si="266"/>
        <v>0</v>
      </c>
      <c r="AH130" s="8">
        <f t="shared" ca="1" si="266"/>
        <v>0</v>
      </c>
      <c r="AI130" s="8">
        <f t="shared" ca="1" si="266"/>
        <v>0</v>
      </c>
      <c r="AJ130" s="8">
        <f t="shared" ca="1" si="266"/>
        <v>0</v>
      </c>
      <c r="AK130" s="8">
        <f t="shared" ca="1" si="266"/>
        <v>0</v>
      </c>
      <c r="AL130" s="8">
        <f t="shared" ca="1" si="266"/>
        <v>0</v>
      </c>
      <c r="AM130" s="8">
        <f t="shared" ca="1" si="266"/>
        <v>0</v>
      </c>
      <c r="AN130" s="8">
        <f t="shared" ref="AN130:AV130" ca="1" si="267">MAX(AN129+buffer,0)-MAX(AN115+buffer,0)</f>
        <v>0</v>
      </c>
      <c r="AO130" s="8">
        <f t="shared" ca="1" si="267"/>
        <v>0</v>
      </c>
      <c r="AP130" s="8">
        <f t="shared" ca="1" si="267"/>
        <v>0</v>
      </c>
      <c r="AQ130" s="8">
        <f t="shared" ca="1" si="267"/>
        <v>0</v>
      </c>
      <c r="AR130" s="8">
        <f t="shared" ca="1" si="267"/>
        <v>0</v>
      </c>
      <c r="AS130" s="8">
        <f t="shared" ca="1" si="267"/>
        <v>0</v>
      </c>
      <c r="AT130" s="8">
        <f t="shared" ca="1" si="267"/>
        <v>0</v>
      </c>
      <c r="AU130" s="8">
        <f t="shared" ca="1" si="267"/>
        <v>0</v>
      </c>
      <c r="AV130" s="8">
        <f t="shared" ca="1" si="267"/>
        <v>0</v>
      </c>
      <c r="AW130" s="8">
        <f t="shared" ref="AW130" ca="1" si="268">MAX(AW129+buffer,0)-MAX(AW115+buffer,0)</f>
        <v>0</v>
      </c>
    </row>
    <row r="131" spans="1:49" x14ac:dyDescent="0.2">
      <c r="A131" s="4" t="s">
        <v>85</v>
      </c>
      <c r="C131" s="8">
        <f ca="1">C130*Inputs!$B$149</f>
        <v>0</v>
      </c>
      <c r="D131" s="8">
        <f ca="1">D130*Inputs!$B$149</f>
        <v>0</v>
      </c>
      <c r="E131" s="8">
        <f ca="1">E130*Inputs!$B$149</f>
        <v>0</v>
      </c>
      <c r="F131" s="8">
        <f ca="1">F130*Inputs!$B$149</f>
        <v>0</v>
      </c>
      <c r="G131" s="8">
        <f ca="1">G130*Inputs!$B$149</f>
        <v>0</v>
      </c>
      <c r="H131" s="8">
        <f ca="1">H130*Inputs!$B$149</f>
        <v>0</v>
      </c>
      <c r="I131" s="8">
        <f ca="1">I130*Inputs!$B$149</f>
        <v>0</v>
      </c>
      <c r="J131" s="8">
        <f ca="1">J130*Inputs!$B$149</f>
        <v>0</v>
      </c>
      <c r="K131" s="8">
        <f ca="1">K130*Inputs!$B$149</f>
        <v>0</v>
      </c>
      <c r="L131" s="8">
        <f ca="1">L130*Inputs!$B$149</f>
        <v>0</v>
      </c>
      <c r="M131" s="8">
        <f ca="1">M130*Inputs!$B$149</f>
        <v>0</v>
      </c>
      <c r="N131" s="8">
        <f ca="1">N130*Inputs!$B$149</f>
        <v>0</v>
      </c>
      <c r="O131" s="8">
        <f ca="1">O130*Inputs!$B$149</f>
        <v>0</v>
      </c>
      <c r="P131" s="8">
        <f ca="1">P130*Inputs!$B$149</f>
        <v>0</v>
      </c>
      <c r="Q131" s="8">
        <f ca="1">Q130*Inputs!$B$149</f>
        <v>0</v>
      </c>
      <c r="R131" s="8">
        <f ca="1">R130*Inputs!$B$149</f>
        <v>0</v>
      </c>
      <c r="S131" s="8">
        <f ca="1">S130*Inputs!$B$149</f>
        <v>0</v>
      </c>
      <c r="T131" s="8">
        <f ca="1">T130*Inputs!$B$149</f>
        <v>0</v>
      </c>
      <c r="U131" s="8">
        <f ca="1">U130*Inputs!$B$149</f>
        <v>0</v>
      </c>
      <c r="V131" s="8">
        <f ca="1">V130*Inputs!$B$149</f>
        <v>0</v>
      </c>
      <c r="W131" s="8">
        <f ca="1">W130*Inputs!$B$149</f>
        <v>0</v>
      </c>
      <c r="X131" s="8">
        <f ca="1">X130*Inputs!$B$149</f>
        <v>0</v>
      </c>
      <c r="Y131" s="8">
        <f ca="1">Y130*Inputs!$B$149</f>
        <v>0</v>
      </c>
      <c r="Z131" s="8">
        <f ca="1">Z130*Inputs!$B$149</f>
        <v>0</v>
      </c>
      <c r="AA131" s="8">
        <f ca="1">AA130*Inputs!$B$149</f>
        <v>0</v>
      </c>
      <c r="AB131" s="8">
        <f ca="1">AB130*Inputs!$B$149</f>
        <v>0</v>
      </c>
      <c r="AC131" s="8">
        <f ca="1">AC130*Inputs!$B$149</f>
        <v>0</v>
      </c>
      <c r="AD131" s="8">
        <f ca="1">AD130*Inputs!$B$149</f>
        <v>0</v>
      </c>
      <c r="AE131" s="8">
        <f ca="1">AE130*Inputs!$B$149</f>
        <v>0</v>
      </c>
      <c r="AF131" s="8">
        <f ca="1">AF130*Inputs!$B$149</f>
        <v>0</v>
      </c>
      <c r="AG131" s="8">
        <f ca="1">AG130*Inputs!$B$149</f>
        <v>0</v>
      </c>
      <c r="AH131" s="8">
        <f ca="1">AH130*Inputs!$B$149</f>
        <v>0</v>
      </c>
      <c r="AI131" s="8">
        <f ca="1">AI130*Inputs!$B$149</f>
        <v>0</v>
      </c>
      <c r="AJ131" s="8">
        <f ca="1">AJ130*Inputs!$B$149</f>
        <v>0</v>
      </c>
      <c r="AK131" s="8">
        <f ca="1">AK130*Inputs!$B$149</f>
        <v>0</v>
      </c>
      <c r="AL131" s="8">
        <f ca="1">AL130*Inputs!$B$149</f>
        <v>0</v>
      </c>
      <c r="AM131" s="8">
        <f ca="1">AM130*Inputs!$B$149</f>
        <v>0</v>
      </c>
      <c r="AN131" s="8">
        <f ca="1">AN130*Inputs!$B$149</f>
        <v>0</v>
      </c>
      <c r="AO131" s="8">
        <f ca="1">AO130*Inputs!$B$149</f>
        <v>0</v>
      </c>
      <c r="AP131" s="8">
        <f ca="1">AP130*Inputs!$B$149</f>
        <v>0</v>
      </c>
      <c r="AQ131" s="8">
        <f ca="1">AQ130*Inputs!$B$149</f>
        <v>0</v>
      </c>
      <c r="AR131" s="8">
        <f ca="1">AR130*Inputs!$B$149</f>
        <v>0</v>
      </c>
      <c r="AS131" s="8">
        <f ca="1">AS130*Inputs!$B$149</f>
        <v>0</v>
      </c>
      <c r="AT131" s="8">
        <f ca="1">AT130*Inputs!$B$149</f>
        <v>0</v>
      </c>
      <c r="AU131" s="8">
        <f ca="1">AU130*Inputs!$B$149</f>
        <v>0</v>
      </c>
      <c r="AV131" s="8">
        <f ca="1">AV130*Inputs!$B$149</f>
        <v>0</v>
      </c>
      <c r="AW131" s="8">
        <f ca="1">AW130*Inputs!$B$149</f>
        <v>0</v>
      </c>
    </row>
    <row r="132" spans="1:49" x14ac:dyDescent="0.2">
      <c r="A132" s="4" t="s">
        <v>168</v>
      </c>
      <c r="C132" s="8">
        <f ca="1">C129+SUM($C131:C131)</f>
        <v>184898.75</v>
      </c>
      <c r="D132" s="8">
        <f ca="1">D129+SUM($C131:D131)</f>
        <v>190464.1875</v>
      </c>
      <c r="E132" s="8">
        <f ca="1">E129+SUM($C131:E131)</f>
        <v>196735.69765625001</v>
      </c>
      <c r="F132" s="8">
        <f ca="1">F129+SUM($C131:F131)</f>
        <v>203754.49157812502</v>
      </c>
      <c r="G132" s="8">
        <f ca="1">G129+SUM($C131:G131)</f>
        <v>211563.68121130861</v>
      </c>
      <c r="H132" s="8">
        <f ca="1">H129+SUM($C131:H131)</f>
        <v>220208.35706995256</v>
      </c>
      <c r="I132" s="8">
        <f ca="1">I129+SUM($C131:I131)</f>
        <v>229735.66892084025</v>
      </c>
      <c r="J132" s="8">
        <f ca="1">J129+SUM($C131:J131)</f>
        <v>240194.90952617431</v>
      </c>
      <c r="K132" s="8">
        <f ca="1">K129+SUM($C131:K131)</f>
        <v>251637.60155532236</v>
      </c>
      <c r="L132" s="8">
        <f ca="1">L129+SUM($C131:L131)</f>
        <v>264117.58777969546</v>
      </c>
      <c r="M132" s="8">
        <f ca="1">M129+SUM($C131:M131)</f>
        <v>277691.1246689033</v>
      </c>
      <c r="N132" s="8">
        <f ca="1">N129+SUM($C131:N131)</f>
        <v>292416.97951043496</v>
      </c>
      <c r="O132" s="8">
        <f ca="1">O129+SUM($C131:O131)</f>
        <v>308356.53117935767</v>
      </c>
      <c r="P132" s="8">
        <f ca="1">P129+SUM($C131:P131)</f>
        <v>325573.87468891207</v>
      </c>
      <c r="Q132" s="8">
        <f ca="1">Q129+SUM($C131:Q131)</f>
        <v>344135.92965741799</v>
      </c>
      <c r="R132" s="8">
        <f ca="1">R129+SUM($C131:R131)</f>
        <v>367161.10470025497</v>
      </c>
      <c r="S132" s="8">
        <f ca="1">S129+SUM($C131:S131)</f>
        <v>398421.42047661229</v>
      </c>
      <c r="T132" s="8">
        <f ca="1">T129+SUM($C131:T131)</f>
        <v>358811.20508166938</v>
      </c>
      <c r="U132" s="8">
        <f ca="1">U129+SUM($C131:U131)</f>
        <v>324854.73778757063</v>
      </c>
      <c r="V132" s="8">
        <f ca="1">V129+SUM($C131:V131)</f>
        <v>288963.69012559089</v>
      </c>
      <c r="W132" s="8">
        <f ca="1">W129+SUM($C131:W131)</f>
        <v>251062.55586939497</v>
      </c>
      <c r="X132" s="8">
        <f ca="1">X129+SUM($C131:X131)</f>
        <v>211073.26259406074</v>
      </c>
      <c r="Y132" s="8">
        <f ca="1">Y129+SUM($C131:Y131)</f>
        <v>168915.09055754144</v>
      </c>
      <c r="Z132" s="8">
        <f ca="1">Z129+SUM($C131:Z131)</f>
        <v>124504.58913007489</v>
      </c>
      <c r="AA132" s="8">
        <f ca="1">AA129+SUM($C131:AA131)</f>
        <v>77755.490699636561</v>
      </c>
      <c r="AB132" s="8">
        <f ca="1">AB129+SUM($C131:AB131)</f>
        <v>28578.621979470016</v>
      </c>
      <c r="AC132" s="8">
        <f ca="1">AC129+SUM($C131:AC131)</f>
        <v>0</v>
      </c>
      <c r="AD132" s="8">
        <f ca="1">AD129+SUM($C131:AD131)</f>
        <v>0</v>
      </c>
      <c r="AE132" s="8">
        <f ca="1">AE129+SUM($C131:AE131)</f>
        <v>0</v>
      </c>
      <c r="AF132" s="8">
        <f ca="1">AF129+SUM($C131:AF131)</f>
        <v>0</v>
      </c>
      <c r="AG132" s="8">
        <f ca="1">AG129+SUM($C131:AG131)</f>
        <v>0</v>
      </c>
      <c r="AH132" s="8">
        <f ca="1">AH129+SUM($C131:AH131)</f>
        <v>0</v>
      </c>
      <c r="AI132" s="8">
        <f ca="1">AI129+SUM($C131:AI131)</f>
        <v>0</v>
      </c>
      <c r="AJ132" s="8">
        <f ca="1">AJ129+SUM($C131:AJ131)</f>
        <v>0</v>
      </c>
      <c r="AK132" s="8">
        <f ca="1">AK129+SUM($C131:AK131)</f>
        <v>0</v>
      </c>
      <c r="AL132" s="8">
        <f ca="1">AL129+SUM($C131:AL131)</f>
        <v>735473.29901135678</v>
      </c>
      <c r="AM132" s="8">
        <f ca="1">AM129+SUM($C131:AM131)</f>
        <v>743483.72201347235</v>
      </c>
      <c r="AN132" s="8">
        <f ca="1">AN129+SUM($C131:AN131)</f>
        <v>705448.12308551755</v>
      </c>
      <c r="AO132" s="8">
        <f ca="1">AO129+SUM($C131:AO131)</f>
        <v>664635.55704448489</v>
      </c>
      <c r="AP132" s="8">
        <f ca="1">AP129+SUM($C131:AP131)</f>
        <v>620976.5997125475</v>
      </c>
      <c r="AQ132" s="8">
        <f ca="1">AQ129+SUM($C131:AQ131)</f>
        <v>574400.09130743286</v>
      </c>
      <c r="AR132" s="8">
        <f ca="1">AR129+SUM($C131:AR131)</f>
        <v>524833.09305231122</v>
      </c>
      <c r="AS132" s="8">
        <f ca="1">AS129+SUM($C131:AS131)</f>
        <v>472200.84270093252</v>
      </c>
      <c r="AT132" s="8">
        <f ca="1">AT129+SUM($C131:AT131)</f>
        <v>416426.70895089046</v>
      </c>
      <c r="AU132" s="8">
        <f ca="1">AU129+SUM($C131:AU131)</f>
        <v>357432.14471721847</v>
      </c>
      <c r="AV132" s="8">
        <f ca="1">AV129+SUM($C131:AV131)</f>
        <v>295136.63923782588</v>
      </c>
      <c r="AW132" s="8">
        <f ca="1">AW129+SUM($C131:AW131)</f>
        <v>229457.66898156921</v>
      </c>
    </row>
    <row r="133" spans="1:49" x14ac:dyDescent="0.2">
      <c r="A133" s="4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">
      <c r="A134" s="4" t="s">
        <v>166</v>
      </c>
      <c r="C134" s="8">
        <f t="shared" ref="C134:AM134" ca="1" si="269">C132+buffer</f>
        <v>204898.75</v>
      </c>
      <c r="D134" s="8">
        <f t="shared" ca="1" si="269"/>
        <v>210464.1875</v>
      </c>
      <c r="E134" s="8">
        <f t="shared" ca="1" si="269"/>
        <v>216735.69765625001</v>
      </c>
      <c r="F134" s="8">
        <f t="shared" ca="1" si="269"/>
        <v>223754.49157812502</v>
      </c>
      <c r="G134" s="8">
        <f t="shared" ca="1" si="269"/>
        <v>231563.68121130861</v>
      </c>
      <c r="H134" s="8">
        <f t="shared" ca="1" si="269"/>
        <v>240208.35706995256</v>
      </c>
      <c r="I134" s="8">
        <f t="shared" ca="1" si="269"/>
        <v>249735.66892084025</v>
      </c>
      <c r="J134" s="8">
        <f t="shared" ca="1" si="269"/>
        <v>260194.90952617431</v>
      </c>
      <c r="K134" s="8">
        <f t="shared" ca="1" si="269"/>
        <v>271637.60155532236</v>
      </c>
      <c r="L134" s="8">
        <f t="shared" ca="1" si="269"/>
        <v>284117.58777969546</v>
      </c>
      <c r="M134" s="8">
        <f t="shared" ca="1" si="269"/>
        <v>297691.1246689033</v>
      </c>
      <c r="N134" s="8">
        <f t="shared" ca="1" si="269"/>
        <v>312416.97951043496</v>
      </c>
      <c r="O134" s="8">
        <f t="shared" ca="1" si="269"/>
        <v>328356.53117935767</v>
      </c>
      <c r="P134" s="8">
        <f t="shared" ca="1" si="269"/>
        <v>345573.87468891207</v>
      </c>
      <c r="Q134" s="8">
        <f t="shared" ca="1" si="269"/>
        <v>364135.92965741799</v>
      </c>
      <c r="R134" s="8">
        <f t="shared" ca="1" si="269"/>
        <v>387161.10470025497</v>
      </c>
      <c r="S134" s="8">
        <f t="shared" ca="1" si="269"/>
        <v>418421.42047661229</v>
      </c>
      <c r="T134" s="8">
        <f t="shared" ca="1" si="269"/>
        <v>378811.20508166938</v>
      </c>
      <c r="U134" s="8">
        <f t="shared" ca="1" si="269"/>
        <v>344854.73778757063</v>
      </c>
      <c r="V134" s="8">
        <f t="shared" ca="1" si="269"/>
        <v>308963.69012559089</v>
      </c>
      <c r="W134" s="8">
        <f t="shared" ca="1" si="269"/>
        <v>271062.55586939497</v>
      </c>
      <c r="X134" s="8">
        <f t="shared" ca="1" si="269"/>
        <v>231073.26259406074</v>
      </c>
      <c r="Y134" s="8">
        <f t="shared" ca="1" si="269"/>
        <v>188915.09055754144</v>
      </c>
      <c r="Z134" s="8">
        <f t="shared" ca="1" si="269"/>
        <v>144504.58913007489</v>
      </c>
      <c r="AA134" s="8">
        <f t="shared" ca="1" si="269"/>
        <v>97755.490699636561</v>
      </c>
      <c r="AB134" s="8">
        <f t="shared" ca="1" si="269"/>
        <v>48578.621979470016</v>
      </c>
      <c r="AC134" s="8">
        <f t="shared" ca="1" si="269"/>
        <v>20000</v>
      </c>
      <c r="AD134" s="8">
        <f t="shared" ca="1" si="269"/>
        <v>20000</v>
      </c>
      <c r="AE134" s="8">
        <f t="shared" ca="1" si="269"/>
        <v>20000</v>
      </c>
      <c r="AF134" s="8">
        <f t="shared" ca="1" si="269"/>
        <v>20000</v>
      </c>
      <c r="AG134" s="8">
        <f t="shared" ca="1" si="269"/>
        <v>20000</v>
      </c>
      <c r="AH134" s="8">
        <f t="shared" ca="1" si="269"/>
        <v>20000</v>
      </c>
      <c r="AI134" s="8">
        <f t="shared" ca="1" si="269"/>
        <v>20000</v>
      </c>
      <c r="AJ134" s="8">
        <f t="shared" ca="1" si="269"/>
        <v>20000</v>
      </c>
      <c r="AK134" s="8">
        <f t="shared" ca="1" si="269"/>
        <v>20000</v>
      </c>
      <c r="AL134" s="8">
        <f t="shared" ca="1" si="269"/>
        <v>755473.29901135678</v>
      </c>
      <c r="AM134" s="8">
        <f t="shared" ca="1" si="269"/>
        <v>763483.72201347235</v>
      </c>
      <c r="AN134" s="8">
        <f t="shared" ref="AN134:AV134" ca="1" si="270">AN132+buffer</f>
        <v>725448.12308551755</v>
      </c>
      <c r="AO134" s="8">
        <f t="shared" ca="1" si="270"/>
        <v>684635.55704448489</v>
      </c>
      <c r="AP134" s="8">
        <f t="shared" ca="1" si="270"/>
        <v>640976.5997125475</v>
      </c>
      <c r="AQ134" s="8">
        <f t="shared" ca="1" si="270"/>
        <v>594400.09130743286</v>
      </c>
      <c r="AR134" s="8">
        <f t="shared" ca="1" si="270"/>
        <v>544833.09305231122</v>
      </c>
      <c r="AS134" s="8">
        <f t="shared" ca="1" si="270"/>
        <v>492200.84270093252</v>
      </c>
      <c r="AT134" s="8">
        <f t="shared" ca="1" si="270"/>
        <v>436426.70895089046</v>
      </c>
      <c r="AU134" s="8">
        <f t="shared" ca="1" si="270"/>
        <v>377432.14471721847</v>
      </c>
      <c r="AV134" s="8">
        <f t="shared" ca="1" si="270"/>
        <v>315136.63923782588</v>
      </c>
      <c r="AW134" s="8">
        <f t="shared" ref="AW134" ca="1" si="271">AW132+buffer</f>
        <v>249457.66898156921</v>
      </c>
    </row>
    <row r="135" spans="1:49" x14ac:dyDescent="0.2">
      <c r="A135" s="5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">
      <c r="A136" s="34" t="s">
        <v>66</v>
      </c>
      <c r="B136" s="31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">
      <c r="A137" s="4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">
      <c r="A138" s="20" t="s">
        <v>69</v>
      </c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</row>
    <row r="139" spans="1:49" x14ac:dyDescent="0.2">
      <c r="A139" s="24" t="str">
        <f>B$92</f>
        <v>Sliema</v>
      </c>
      <c r="B139" s="21"/>
      <c r="C139" s="22">
        <f ca="1">SUM($C86:C86)</f>
        <v>0</v>
      </c>
      <c r="D139" s="22">
        <f ca="1">SUM($C86:D86)</f>
        <v>0</v>
      </c>
      <c r="E139" s="22">
        <f ca="1">SUM($C86:E86)</f>
        <v>0</v>
      </c>
      <c r="F139" s="22">
        <f ca="1">SUM($C86:F86)</f>
        <v>0</v>
      </c>
      <c r="G139" s="22">
        <f ca="1">SUM($C86:G86)</f>
        <v>0</v>
      </c>
      <c r="H139" s="22">
        <f ca="1">SUM($C86:H86)</f>
        <v>0</v>
      </c>
      <c r="I139" s="22">
        <f ca="1">SUM($C86:I86)</f>
        <v>0</v>
      </c>
      <c r="J139" s="22">
        <f ca="1">SUM($C86:J86)</f>
        <v>0</v>
      </c>
      <c r="K139" s="22">
        <f ca="1">SUM($C86:K86)</f>
        <v>0</v>
      </c>
      <c r="L139" s="22">
        <f ca="1">SUM($C86:L86)</f>
        <v>0</v>
      </c>
      <c r="M139" s="22">
        <f ca="1">SUM($C86:M86)</f>
        <v>0</v>
      </c>
      <c r="N139" s="22">
        <f ca="1">SUM($C86:N86)</f>
        <v>0</v>
      </c>
      <c r="O139" s="22">
        <f ca="1">SUM($C86:O86)</f>
        <v>0</v>
      </c>
      <c r="P139" s="22">
        <f ca="1">SUM($C86:P86)</f>
        <v>0</v>
      </c>
      <c r="Q139" s="22">
        <f ca="1">SUM($C86:Q86)</f>
        <v>0</v>
      </c>
      <c r="R139" s="22">
        <f ca="1">SUM($C86:R86)</f>
        <v>0</v>
      </c>
      <c r="S139" s="22">
        <f ca="1">SUM($C86:S86)</f>
        <v>0</v>
      </c>
      <c r="T139" s="22">
        <f ca="1">SUM($C86:T86)</f>
        <v>0</v>
      </c>
      <c r="U139" s="22">
        <f ca="1">SUM($C86:U86)</f>
        <v>0</v>
      </c>
      <c r="V139" s="22">
        <f ca="1">SUM($C86:V86)</f>
        <v>0</v>
      </c>
      <c r="W139" s="22">
        <f ca="1">SUM($C86:W86)</f>
        <v>0</v>
      </c>
      <c r="X139" s="22">
        <f ca="1">SUM($C86:X86)</f>
        <v>0</v>
      </c>
      <c r="Y139" s="22">
        <f ca="1">SUM($C86:Y86)</f>
        <v>0</v>
      </c>
      <c r="Z139" s="22">
        <f ca="1">SUM($C86:Z86)</f>
        <v>0</v>
      </c>
      <c r="AA139" s="22">
        <f ca="1">SUM($C86:AA86)</f>
        <v>0</v>
      </c>
      <c r="AB139" s="22">
        <f ca="1">SUM($C86:AB86)</f>
        <v>0</v>
      </c>
      <c r="AC139" s="22">
        <f ca="1">SUM($C86:AC86)</f>
        <v>0</v>
      </c>
      <c r="AD139" s="22">
        <f ca="1">SUM($C86:AD86)</f>
        <v>0</v>
      </c>
      <c r="AE139" s="22">
        <f ca="1">SUM($C86:AE86)</f>
        <v>0</v>
      </c>
      <c r="AF139" s="22">
        <f ca="1">SUM($C86:AF86)</f>
        <v>0</v>
      </c>
      <c r="AG139" s="22">
        <f ca="1">SUM($C86:AG86)</f>
        <v>0</v>
      </c>
      <c r="AH139" s="22">
        <f ca="1">SUM($C86:AH86)</f>
        <v>0</v>
      </c>
      <c r="AI139" s="22">
        <f ca="1">SUM($C86:AI86)</f>
        <v>0</v>
      </c>
      <c r="AJ139" s="22">
        <f ca="1">SUM($C86:AJ86)</f>
        <v>0</v>
      </c>
      <c r="AK139" s="22">
        <f ca="1">SUM($C86:AK86)</f>
        <v>0</v>
      </c>
      <c r="AL139" s="22">
        <f ca="1">SUM($C86:AL86)</f>
        <v>-844158.73631145677</v>
      </c>
      <c r="AM139" s="22">
        <f ca="1">SUM($C86:AM86)</f>
        <v>-844158.73631145677</v>
      </c>
      <c r="AN139" s="22">
        <f ca="1">SUM($C86:AN86)</f>
        <v>-844158.73631145677</v>
      </c>
      <c r="AO139" s="22">
        <f ca="1">SUM($C86:AO86)</f>
        <v>-844158.73631145677</v>
      </c>
      <c r="AP139" s="22">
        <f ca="1">SUM($C86:AP86)</f>
        <v>-844158.73631145677</v>
      </c>
      <c r="AQ139" s="22">
        <f ca="1">SUM($C86:AQ86)</f>
        <v>-844158.73631145677</v>
      </c>
      <c r="AR139" s="22">
        <f ca="1">SUM($C86:AR86)</f>
        <v>-844158.73631145677</v>
      </c>
      <c r="AS139" s="22">
        <f ca="1">SUM($C86:AS86)</f>
        <v>-844158.73631145677</v>
      </c>
      <c r="AT139" s="22">
        <f ca="1">SUM($C86:AT86)</f>
        <v>-844158.73631145677</v>
      </c>
      <c r="AU139" s="22">
        <f ca="1">SUM($C86:AU86)</f>
        <v>-844158.73631145677</v>
      </c>
      <c r="AV139" s="22">
        <f ca="1">SUM($C86:AV86)</f>
        <v>-844158.73631145677</v>
      </c>
      <c r="AW139" s="22">
        <f ca="1">SUM($C86:AW86)</f>
        <v>-844158.73631145677</v>
      </c>
    </row>
    <row r="140" spans="1:49" x14ac:dyDescent="0.2">
      <c r="A140" s="24" t="str">
        <f>B$109</f>
        <v/>
      </c>
      <c r="B140" s="21"/>
      <c r="C140" s="22">
        <f ca="1">SUM($C103:C103)</f>
        <v>0</v>
      </c>
      <c r="D140" s="22">
        <f ca="1">SUM($C103:D103)</f>
        <v>0</v>
      </c>
      <c r="E140" s="22">
        <f ca="1">SUM($C103:E103)</f>
        <v>0</v>
      </c>
      <c r="F140" s="22">
        <f ca="1">SUM($C103:F103)</f>
        <v>0</v>
      </c>
      <c r="G140" s="22">
        <f ca="1">SUM($C103:G103)</f>
        <v>0</v>
      </c>
      <c r="H140" s="22">
        <f ca="1">SUM($C103:H103)</f>
        <v>0</v>
      </c>
      <c r="I140" s="22">
        <f ca="1">SUM($C103:I103)</f>
        <v>0</v>
      </c>
      <c r="J140" s="22">
        <f ca="1">SUM($C103:J103)</f>
        <v>0</v>
      </c>
      <c r="K140" s="22">
        <f ca="1">SUM($C103:K103)</f>
        <v>0</v>
      </c>
      <c r="L140" s="22">
        <f ca="1">SUM($C103:L103)</f>
        <v>0</v>
      </c>
      <c r="M140" s="22">
        <f ca="1">SUM($C103:M103)</f>
        <v>0</v>
      </c>
      <c r="N140" s="22">
        <f ca="1">SUM($C103:N103)</f>
        <v>0</v>
      </c>
      <c r="O140" s="22">
        <f ca="1">SUM($C103:O103)</f>
        <v>0</v>
      </c>
      <c r="P140" s="22">
        <f ca="1">SUM($C103:P103)</f>
        <v>0</v>
      </c>
      <c r="Q140" s="22">
        <f ca="1">SUM($C103:Q103)</f>
        <v>0</v>
      </c>
      <c r="R140" s="22">
        <f ca="1">SUM($C103:R103)</f>
        <v>0</v>
      </c>
      <c r="S140" s="22">
        <f ca="1">SUM($C103:S103)</f>
        <v>0</v>
      </c>
      <c r="T140" s="22">
        <f ca="1">SUM($C103:T103)</f>
        <v>0</v>
      </c>
      <c r="U140" s="22">
        <f ca="1">SUM($C103:U103)</f>
        <v>0</v>
      </c>
      <c r="V140" s="22">
        <f ca="1">SUM($C103:V103)</f>
        <v>0</v>
      </c>
      <c r="W140" s="22">
        <f ca="1">SUM($C103:W103)</f>
        <v>0</v>
      </c>
      <c r="X140" s="22">
        <f ca="1">SUM($C103:X103)</f>
        <v>0</v>
      </c>
      <c r="Y140" s="22">
        <f ca="1">SUM($C103:Y103)</f>
        <v>0</v>
      </c>
      <c r="Z140" s="22">
        <f ca="1">SUM($C103:Z103)</f>
        <v>0</v>
      </c>
      <c r="AA140" s="22">
        <f ca="1">SUM($C103:AA103)</f>
        <v>0</v>
      </c>
      <c r="AB140" s="22">
        <f ca="1">SUM($C103:AB103)</f>
        <v>0</v>
      </c>
      <c r="AC140" s="22">
        <f ca="1">SUM($C103:AC103)</f>
        <v>0</v>
      </c>
      <c r="AD140" s="22">
        <f ca="1">SUM($C103:AD103)</f>
        <v>0</v>
      </c>
      <c r="AE140" s="22">
        <f ca="1">SUM($C103:AE103)</f>
        <v>0</v>
      </c>
      <c r="AF140" s="22">
        <f ca="1">SUM($C103:AF103)</f>
        <v>0</v>
      </c>
      <c r="AG140" s="22">
        <f ca="1">SUM($C103:AG103)</f>
        <v>0</v>
      </c>
      <c r="AH140" s="22">
        <f ca="1">SUM($C103:AH103)</f>
        <v>0</v>
      </c>
      <c r="AI140" s="22">
        <f ca="1">SUM($C103:AI103)</f>
        <v>0</v>
      </c>
      <c r="AJ140" s="22">
        <f ca="1">SUM($C103:AJ103)</f>
        <v>0</v>
      </c>
      <c r="AK140" s="22">
        <f ca="1">SUM($C103:AK103)</f>
        <v>0</v>
      </c>
      <c r="AL140" s="22">
        <f ca="1">SUM($C103:AL103)</f>
        <v>0</v>
      </c>
      <c r="AM140" s="22">
        <f ca="1">SUM($C103:AM103)</f>
        <v>0</v>
      </c>
      <c r="AN140" s="22">
        <f ca="1">SUM($C103:AN103)</f>
        <v>0</v>
      </c>
      <c r="AO140" s="22">
        <f ca="1">SUM($C103:AO103)</f>
        <v>0</v>
      </c>
      <c r="AP140" s="22">
        <f ca="1">SUM($C103:AP103)</f>
        <v>0</v>
      </c>
      <c r="AQ140" s="22">
        <f ca="1">SUM($C103:AQ103)</f>
        <v>0</v>
      </c>
      <c r="AR140" s="22">
        <f ca="1">SUM($C103:AR103)</f>
        <v>0</v>
      </c>
      <c r="AS140" s="22">
        <f ca="1">SUM($C103:AS103)</f>
        <v>0</v>
      </c>
      <c r="AT140" s="22">
        <f ca="1">SUM($C103:AT103)</f>
        <v>0</v>
      </c>
      <c r="AU140" s="22">
        <f ca="1">SUM($C103:AU103)</f>
        <v>0</v>
      </c>
      <c r="AV140" s="22">
        <f ca="1">SUM($C103:AV103)</f>
        <v>0</v>
      </c>
      <c r="AW140" s="22">
        <f ca="1">SUM($C103:AW103)</f>
        <v>0</v>
      </c>
    </row>
    <row r="141" spans="1:49" x14ac:dyDescent="0.2">
      <c r="A141" s="24" t="str">
        <f>B$126</f>
        <v/>
      </c>
      <c r="B141" s="21"/>
      <c r="C141" s="22">
        <f ca="1">SUM($C120:C120)</f>
        <v>0</v>
      </c>
      <c r="D141" s="22">
        <f ca="1">SUM($C120:D120)</f>
        <v>0</v>
      </c>
      <c r="E141" s="22">
        <f ca="1">SUM($C120:E120)</f>
        <v>0</v>
      </c>
      <c r="F141" s="22">
        <f ca="1">SUM($C120:F120)</f>
        <v>0</v>
      </c>
      <c r="G141" s="22">
        <f ca="1">SUM($C120:G120)</f>
        <v>0</v>
      </c>
      <c r="H141" s="22">
        <f ca="1">SUM($C120:H120)</f>
        <v>0</v>
      </c>
      <c r="I141" s="22">
        <f ca="1">SUM($C120:I120)</f>
        <v>0</v>
      </c>
      <c r="J141" s="22">
        <f ca="1">SUM($C120:J120)</f>
        <v>0</v>
      </c>
      <c r="K141" s="22">
        <f ca="1">SUM($C120:K120)</f>
        <v>0</v>
      </c>
      <c r="L141" s="22">
        <f ca="1">SUM($C120:L120)</f>
        <v>0</v>
      </c>
      <c r="M141" s="22">
        <f ca="1">SUM($C120:M120)</f>
        <v>0</v>
      </c>
      <c r="N141" s="22">
        <f ca="1">SUM($C120:N120)</f>
        <v>0</v>
      </c>
      <c r="O141" s="22">
        <f ca="1">SUM($C120:O120)</f>
        <v>0</v>
      </c>
      <c r="P141" s="22">
        <f ca="1">SUM($C120:P120)</f>
        <v>0</v>
      </c>
      <c r="Q141" s="22">
        <f ca="1">SUM($C120:Q120)</f>
        <v>0</v>
      </c>
      <c r="R141" s="22">
        <f ca="1">SUM($C120:R120)</f>
        <v>0</v>
      </c>
      <c r="S141" s="22">
        <f ca="1">SUM($C120:S120)</f>
        <v>0</v>
      </c>
      <c r="T141" s="22">
        <f ca="1">SUM($C120:T120)</f>
        <v>0</v>
      </c>
      <c r="U141" s="22">
        <f ca="1">SUM($C120:U120)</f>
        <v>0</v>
      </c>
      <c r="V141" s="22">
        <f ca="1">SUM($C120:V120)</f>
        <v>0</v>
      </c>
      <c r="W141" s="22">
        <f ca="1">SUM($C120:W120)</f>
        <v>0</v>
      </c>
      <c r="X141" s="22">
        <f ca="1">SUM($C120:X120)</f>
        <v>0</v>
      </c>
      <c r="Y141" s="22">
        <f ca="1">SUM($C120:Y120)</f>
        <v>0</v>
      </c>
      <c r="Z141" s="22">
        <f ca="1">SUM($C120:Z120)</f>
        <v>0</v>
      </c>
      <c r="AA141" s="22">
        <f ca="1">SUM($C120:AA120)</f>
        <v>0</v>
      </c>
      <c r="AB141" s="22">
        <f ca="1">SUM($C120:AB120)</f>
        <v>0</v>
      </c>
      <c r="AC141" s="22">
        <f ca="1">SUM($C120:AC120)</f>
        <v>0</v>
      </c>
      <c r="AD141" s="22">
        <f ca="1">SUM($C120:AD120)</f>
        <v>0</v>
      </c>
      <c r="AE141" s="22">
        <f ca="1">SUM($C120:AE120)</f>
        <v>0</v>
      </c>
      <c r="AF141" s="22">
        <f ca="1">SUM($C120:AF120)</f>
        <v>0</v>
      </c>
      <c r="AG141" s="22">
        <f ca="1">SUM($C120:AG120)</f>
        <v>0</v>
      </c>
      <c r="AH141" s="22">
        <f ca="1">SUM($C120:AH120)</f>
        <v>0</v>
      </c>
      <c r="AI141" s="22">
        <f ca="1">SUM($C120:AI120)</f>
        <v>0</v>
      </c>
      <c r="AJ141" s="22">
        <f ca="1">SUM($C120:AJ120)</f>
        <v>0</v>
      </c>
      <c r="AK141" s="22">
        <f ca="1">SUM($C120:AK120)</f>
        <v>0</v>
      </c>
      <c r="AL141" s="22">
        <f ca="1">SUM($C120:AL120)</f>
        <v>0</v>
      </c>
      <c r="AM141" s="22">
        <f ca="1">SUM($C120:AM120)</f>
        <v>0</v>
      </c>
      <c r="AN141" s="22">
        <f ca="1">SUM($C120:AN120)</f>
        <v>0</v>
      </c>
      <c r="AO141" s="22">
        <f ca="1">SUM($C120:AO120)</f>
        <v>0</v>
      </c>
      <c r="AP141" s="22">
        <f ca="1">SUM($C120:AP120)</f>
        <v>0</v>
      </c>
      <c r="AQ141" s="22">
        <f ca="1">SUM($C120:AQ120)</f>
        <v>0</v>
      </c>
      <c r="AR141" s="22">
        <f ca="1">SUM($C120:AR120)</f>
        <v>0</v>
      </c>
      <c r="AS141" s="22">
        <f ca="1">SUM($C120:AS120)</f>
        <v>0</v>
      </c>
      <c r="AT141" s="22">
        <f ca="1">SUM($C120:AT120)</f>
        <v>0</v>
      </c>
      <c r="AU141" s="22">
        <f ca="1">SUM($C120:AU120)</f>
        <v>0</v>
      </c>
      <c r="AV141" s="22">
        <f ca="1">SUM($C120:AV120)</f>
        <v>0</v>
      </c>
      <c r="AW141" s="22">
        <f ca="1">SUM($C120:AW120)</f>
        <v>0</v>
      </c>
    </row>
    <row r="142" spans="1:49" x14ac:dyDescent="0.2">
      <c r="A142" s="23"/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</row>
    <row r="143" spans="1:49" x14ac:dyDescent="0.2">
      <c r="A143" s="20" t="s">
        <v>70</v>
      </c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</row>
    <row r="144" spans="1:49" x14ac:dyDescent="0.2">
      <c r="A144" s="24" t="str">
        <f>$A$56</f>
        <v>Sliema</v>
      </c>
      <c r="B144" s="21"/>
      <c r="C144" s="22">
        <f t="shared" ref="C144:AM144" ca="1" si="272">IFERROR(IF(VLOOKUP($A144,$138:$141,C$1+2,FALSE)=0,C56,0),C56)</f>
        <v>309000</v>
      </c>
      <c r="D144" s="22">
        <f t="shared" ca="1" si="272"/>
        <v>318270</v>
      </c>
      <c r="E144" s="22">
        <f t="shared" ca="1" si="272"/>
        <v>327818.10000000003</v>
      </c>
      <c r="F144" s="22">
        <f t="shared" ca="1" si="272"/>
        <v>337652.64300000004</v>
      </c>
      <c r="G144" s="22">
        <f t="shared" ca="1" si="272"/>
        <v>347782.22229000006</v>
      </c>
      <c r="H144" s="22">
        <f t="shared" ca="1" si="272"/>
        <v>358215.68895870005</v>
      </c>
      <c r="I144" s="22">
        <f t="shared" ca="1" si="272"/>
        <v>368962.15962746105</v>
      </c>
      <c r="J144" s="22">
        <f t="shared" ca="1" si="272"/>
        <v>380031.02441628487</v>
      </c>
      <c r="K144" s="22">
        <f t="shared" ca="1" si="272"/>
        <v>391431.95514877344</v>
      </c>
      <c r="L144" s="22">
        <f t="shared" ca="1" si="272"/>
        <v>403174.91380323668</v>
      </c>
      <c r="M144" s="22">
        <f t="shared" ca="1" si="272"/>
        <v>415270.16121733381</v>
      </c>
      <c r="N144" s="22">
        <f t="shared" ca="1" si="272"/>
        <v>427728.26605385385</v>
      </c>
      <c r="O144" s="22">
        <f t="shared" ca="1" si="272"/>
        <v>440560.11403546948</v>
      </c>
      <c r="P144" s="22">
        <f t="shared" ca="1" si="272"/>
        <v>453776.91745653359</v>
      </c>
      <c r="Q144" s="22">
        <f t="shared" ca="1" si="272"/>
        <v>467390.22498022963</v>
      </c>
      <c r="R144" s="22">
        <f t="shared" ca="1" si="272"/>
        <v>481411.9317296365</v>
      </c>
      <c r="S144" s="22">
        <f t="shared" ca="1" si="272"/>
        <v>495854.28968152561</v>
      </c>
      <c r="T144" s="22">
        <f t="shared" ca="1" si="272"/>
        <v>510729.91837197141</v>
      </c>
      <c r="U144" s="22">
        <f t="shared" ca="1" si="272"/>
        <v>526051.81592313061</v>
      </c>
      <c r="V144" s="22">
        <f t="shared" ca="1" si="272"/>
        <v>541833.37040082458</v>
      </c>
      <c r="W144" s="22">
        <f t="shared" ca="1" si="272"/>
        <v>558088.37151284935</v>
      </c>
      <c r="X144" s="22">
        <f t="shared" ca="1" si="272"/>
        <v>574831.02265823481</v>
      </c>
      <c r="Y144" s="22">
        <f t="shared" ca="1" si="272"/>
        <v>592075.95333798183</v>
      </c>
      <c r="Z144" s="22">
        <f t="shared" ca="1" si="272"/>
        <v>609838.23193812126</v>
      </c>
      <c r="AA144" s="22">
        <f t="shared" ca="1" si="272"/>
        <v>628133.37889626494</v>
      </c>
      <c r="AB144" s="22">
        <f t="shared" ca="1" si="272"/>
        <v>646977.38026315288</v>
      </c>
      <c r="AC144" s="22">
        <f t="shared" ca="1" si="272"/>
        <v>666386.70167104749</v>
      </c>
      <c r="AD144" s="22">
        <f t="shared" ca="1" si="272"/>
        <v>686378.30272117897</v>
      </c>
      <c r="AE144" s="22">
        <f t="shared" ca="1" si="272"/>
        <v>706969.65180281433</v>
      </c>
      <c r="AF144" s="22">
        <f t="shared" ca="1" si="272"/>
        <v>728178.7413568988</v>
      </c>
      <c r="AG144" s="22">
        <f t="shared" ca="1" si="272"/>
        <v>750024.10359760583</v>
      </c>
      <c r="AH144" s="22">
        <f t="shared" ca="1" si="272"/>
        <v>772524.82670553401</v>
      </c>
      <c r="AI144" s="22">
        <f t="shared" ca="1" si="272"/>
        <v>795700.57150670001</v>
      </c>
      <c r="AJ144" s="22">
        <f t="shared" ca="1" si="272"/>
        <v>819571.58865190099</v>
      </c>
      <c r="AK144" s="22">
        <f t="shared" ca="1" si="272"/>
        <v>844158.73631145805</v>
      </c>
      <c r="AL144" s="22">
        <f t="shared" ca="1" si="272"/>
        <v>0</v>
      </c>
      <c r="AM144" s="22">
        <f t="shared" ca="1" si="272"/>
        <v>0</v>
      </c>
      <c r="AN144" s="22">
        <f t="shared" ref="AN144:AV144" ca="1" si="273">IFERROR(IF(VLOOKUP($A144,$138:$141,AN$1+2,FALSE)=0,AN56,0),AN56)</f>
        <v>0</v>
      </c>
      <c r="AO144" s="22">
        <f t="shared" ca="1" si="273"/>
        <v>0</v>
      </c>
      <c r="AP144" s="22">
        <f t="shared" ca="1" si="273"/>
        <v>0</v>
      </c>
      <c r="AQ144" s="22">
        <f t="shared" ca="1" si="273"/>
        <v>0</v>
      </c>
      <c r="AR144" s="22">
        <f t="shared" ca="1" si="273"/>
        <v>0</v>
      </c>
      <c r="AS144" s="22">
        <f t="shared" ca="1" si="273"/>
        <v>0</v>
      </c>
      <c r="AT144" s="22">
        <f t="shared" ca="1" si="273"/>
        <v>0</v>
      </c>
      <c r="AU144" s="22">
        <f t="shared" ca="1" si="273"/>
        <v>0</v>
      </c>
      <c r="AV144" s="22">
        <f t="shared" ca="1" si="273"/>
        <v>0</v>
      </c>
      <c r="AW144" s="22">
        <f t="shared" ref="AW144" ca="1" si="274">IFERROR(IF(VLOOKUP($A144,$138:$141,AW$1+2,FALSE)=0,AW56,0),AW56)</f>
        <v>0</v>
      </c>
    </row>
    <row r="145" spans="1:49" x14ac:dyDescent="0.2">
      <c r="A145" s="24" t="str">
        <f>$A$57</f>
        <v/>
      </c>
      <c r="B145" s="21"/>
      <c r="C145" s="22">
        <f t="shared" ref="C145:AM145" ca="1" si="275">IFERROR(IF(VLOOKUP($A145,$138:$141,C$1+2,FALSE)=0,C57,0),C57)</f>
        <v>0</v>
      </c>
      <c r="D145" s="22">
        <f t="shared" ca="1" si="275"/>
        <v>0</v>
      </c>
      <c r="E145" s="22">
        <f t="shared" ca="1" si="275"/>
        <v>0</v>
      </c>
      <c r="F145" s="22">
        <f t="shared" ca="1" si="275"/>
        <v>0</v>
      </c>
      <c r="G145" s="22">
        <f t="shared" ca="1" si="275"/>
        <v>0</v>
      </c>
      <c r="H145" s="22">
        <f t="shared" ca="1" si="275"/>
        <v>0</v>
      </c>
      <c r="I145" s="22">
        <f t="shared" ca="1" si="275"/>
        <v>0</v>
      </c>
      <c r="J145" s="22">
        <f t="shared" ca="1" si="275"/>
        <v>0</v>
      </c>
      <c r="K145" s="22">
        <f t="shared" ca="1" si="275"/>
        <v>0</v>
      </c>
      <c r="L145" s="22">
        <f t="shared" ca="1" si="275"/>
        <v>0</v>
      </c>
      <c r="M145" s="22">
        <f t="shared" ca="1" si="275"/>
        <v>0</v>
      </c>
      <c r="N145" s="22">
        <f t="shared" ca="1" si="275"/>
        <v>0</v>
      </c>
      <c r="O145" s="22">
        <f t="shared" ca="1" si="275"/>
        <v>0</v>
      </c>
      <c r="P145" s="22">
        <f t="shared" ca="1" si="275"/>
        <v>0</v>
      </c>
      <c r="Q145" s="22">
        <f t="shared" ca="1" si="275"/>
        <v>0</v>
      </c>
      <c r="R145" s="22">
        <f t="shared" ca="1" si="275"/>
        <v>0</v>
      </c>
      <c r="S145" s="22">
        <f t="shared" ca="1" si="275"/>
        <v>0</v>
      </c>
      <c r="T145" s="22">
        <f t="shared" ca="1" si="275"/>
        <v>0</v>
      </c>
      <c r="U145" s="22">
        <f t="shared" ca="1" si="275"/>
        <v>0</v>
      </c>
      <c r="V145" s="22">
        <f t="shared" ca="1" si="275"/>
        <v>0</v>
      </c>
      <c r="W145" s="22">
        <f t="shared" ca="1" si="275"/>
        <v>0</v>
      </c>
      <c r="X145" s="22">
        <f t="shared" ca="1" si="275"/>
        <v>0</v>
      </c>
      <c r="Y145" s="22">
        <f t="shared" ca="1" si="275"/>
        <v>0</v>
      </c>
      <c r="Z145" s="22">
        <f t="shared" ca="1" si="275"/>
        <v>0</v>
      </c>
      <c r="AA145" s="22">
        <f t="shared" ca="1" si="275"/>
        <v>0</v>
      </c>
      <c r="AB145" s="22">
        <f t="shared" ca="1" si="275"/>
        <v>0</v>
      </c>
      <c r="AC145" s="22">
        <f t="shared" ca="1" si="275"/>
        <v>0</v>
      </c>
      <c r="AD145" s="22">
        <f t="shared" ca="1" si="275"/>
        <v>0</v>
      </c>
      <c r="AE145" s="22">
        <f t="shared" ca="1" si="275"/>
        <v>0</v>
      </c>
      <c r="AF145" s="22">
        <f t="shared" ca="1" si="275"/>
        <v>0</v>
      </c>
      <c r="AG145" s="22">
        <f t="shared" ca="1" si="275"/>
        <v>0</v>
      </c>
      <c r="AH145" s="22">
        <f t="shared" ca="1" si="275"/>
        <v>0</v>
      </c>
      <c r="AI145" s="22">
        <f t="shared" ca="1" si="275"/>
        <v>0</v>
      </c>
      <c r="AJ145" s="22">
        <f t="shared" ca="1" si="275"/>
        <v>0</v>
      </c>
      <c r="AK145" s="22">
        <f t="shared" ca="1" si="275"/>
        <v>0</v>
      </c>
      <c r="AL145" s="22">
        <f t="shared" ca="1" si="275"/>
        <v>0</v>
      </c>
      <c r="AM145" s="22">
        <f t="shared" ca="1" si="275"/>
        <v>0</v>
      </c>
      <c r="AN145" s="22">
        <f t="shared" ref="AN145:AV145" ca="1" si="276">IFERROR(IF(VLOOKUP($A145,$138:$141,AN$1+2,FALSE)=0,AN57,0),AN57)</f>
        <v>0</v>
      </c>
      <c r="AO145" s="22">
        <f t="shared" ca="1" si="276"/>
        <v>0</v>
      </c>
      <c r="AP145" s="22">
        <f t="shared" ca="1" si="276"/>
        <v>0</v>
      </c>
      <c r="AQ145" s="22">
        <f t="shared" ca="1" si="276"/>
        <v>0</v>
      </c>
      <c r="AR145" s="22">
        <f t="shared" ca="1" si="276"/>
        <v>0</v>
      </c>
      <c r="AS145" s="22">
        <f t="shared" ca="1" si="276"/>
        <v>0</v>
      </c>
      <c r="AT145" s="22">
        <f t="shared" ca="1" si="276"/>
        <v>0</v>
      </c>
      <c r="AU145" s="22">
        <f t="shared" ca="1" si="276"/>
        <v>0</v>
      </c>
      <c r="AV145" s="22">
        <f t="shared" ca="1" si="276"/>
        <v>0</v>
      </c>
      <c r="AW145" s="22">
        <f t="shared" ref="AW145" ca="1" si="277">IFERROR(IF(VLOOKUP($A145,$138:$141,AW$1+2,FALSE)=0,AW57,0),AW57)</f>
        <v>0</v>
      </c>
    </row>
    <row r="146" spans="1:49" x14ac:dyDescent="0.2">
      <c r="A146" s="24" t="str">
        <f>$A$58</f>
        <v/>
      </c>
      <c r="B146" s="21"/>
      <c r="C146" s="22">
        <f t="shared" ref="C146:AM146" ca="1" si="278">IFERROR(IF(VLOOKUP($A146,$138:$141,C$1+2,FALSE)=0,C58,0),C58)</f>
        <v>0</v>
      </c>
      <c r="D146" s="22">
        <f t="shared" ca="1" si="278"/>
        <v>0</v>
      </c>
      <c r="E146" s="22">
        <f t="shared" ca="1" si="278"/>
        <v>0</v>
      </c>
      <c r="F146" s="22">
        <f t="shared" ca="1" si="278"/>
        <v>0</v>
      </c>
      <c r="G146" s="22">
        <f t="shared" ca="1" si="278"/>
        <v>0</v>
      </c>
      <c r="H146" s="22">
        <f t="shared" ca="1" si="278"/>
        <v>0</v>
      </c>
      <c r="I146" s="22">
        <f t="shared" ca="1" si="278"/>
        <v>0</v>
      </c>
      <c r="J146" s="22">
        <f t="shared" ca="1" si="278"/>
        <v>0</v>
      </c>
      <c r="K146" s="22">
        <f t="shared" ca="1" si="278"/>
        <v>0</v>
      </c>
      <c r="L146" s="22">
        <f t="shared" ca="1" si="278"/>
        <v>0</v>
      </c>
      <c r="M146" s="22">
        <f t="shared" ca="1" si="278"/>
        <v>0</v>
      </c>
      <c r="N146" s="22">
        <f t="shared" ca="1" si="278"/>
        <v>0</v>
      </c>
      <c r="O146" s="22">
        <f t="shared" ca="1" si="278"/>
        <v>0</v>
      </c>
      <c r="P146" s="22">
        <f t="shared" ca="1" si="278"/>
        <v>0</v>
      </c>
      <c r="Q146" s="22">
        <f t="shared" ca="1" si="278"/>
        <v>0</v>
      </c>
      <c r="R146" s="22">
        <f t="shared" ca="1" si="278"/>
        <v>0</v>
      </c>
      <c r="S146" s="22">
        <f t="shared" ca="1" si="278"/>
        <v>0</v>
      </c>
      <c r="T146" s="22">
        <f t="shared" ca="1" si="278"/>
        <v>0</v>
      </c>
      <c r="U146" s="22">
        <f t="shared" ca="1" si="278"/>
        <v>0</v>
      </c>
      <c r="V146" s="22">
        <f t="shared" ca="1" si="278"/>
        <v>0</v>
      </c>
      <c r="W146" s="22">
        <f t="shared" ca="1" si="278"/>
        <v>0</v>
      </c>
      <c r="X146" s="22">
        <f t="shared" ca="1" si="278"/>
        <v>0</v>
      </c>
      <c r="Y146" s="22">
        <f t="shared" ca="1" si="278"/>
        <v>0</v>
      </c>
      <c r="Z146" s="22">
        <f t="shared" ca="1" si="278"/>
        <v>0</v>
      </c>
      <c r="AA146" s="22">
        <f t="shared" ca="1" si="278"/>
        <v>0</v>
      </c>
      <c r="AB146" s="22">
        <f t="shared" ca="1" si="278"/>
        <v>0</v>
      </c>
      <c r="AC146" s="22">
        <f t="shared" ca="1" si="278"/>
        <v>0</v>
      </c>
      <c r="AD146" s="22">
        <f t="shared" ca="1" si="278"/>
        <v>0</v>
      </c>
      <c r="AE146" s="22">
        <f t="shared" ca="1" si="278"/>
        <v>0</v>
      </c>
      <c r="AF146" s="22">
        <f t="shared" ca="1" si="278"/>
        <v>0</v>
      </c>
      <c r="AG146" s="22">
        <f t="shared" ca="1" si="278"/>
        <v>0</v>
      </c>
      <c r="AH146" s="22">
        <f t="shared" ca="1" si="278"/>
        <v>0</v>
      </c>
      <c r="AI146" s="22">
        <f t="shared" ca="1" si="278"/>
        <v>0</v>
      </c>
      <c r="AJ146" s="22">
        <f t="shared" ca="1" si="278"/>
        <v>0</v>
      </c>
      <c r="AK146" s="22">
        <f t="shared" ca="1" si="278"/>
        <v>0</v>
      </c>
      <c r="AL146" s="22">
        <f t="shared" ca="1" si="278"/>
        <v>0</v>
      </c>
      <c r="AM146" s="22">
        <f t="shared" ca="1" si="278"/>
        <v>0</v>
      </c>
      <c r="AN146" s="22">
        <f t="shared" ref="AN146:AV146" ca="1" si="279">IFERROR(IF(VLOOKUP($A146,$138:$141,AN$1+2,FALSE)=0,AN58,0),AN58)</f>
        <v>0</v>
      </c>
      <c r="AO146" s="22">
        <f t="shared" ca="1" si="279"/>
        <v>0</v>
      </c>
      <c r="AP146" s="22">
        <f t="shared" ca="1" si="279"/>
        <v>0</v>
      </c>
      <c r="AQ146" s="22">
        <f t="shared" ca="1" si="279"/>
        <v>0</v>
      </c>
      <c r="AR146" s="22">
        <f t="shared" ca="1" si="279"/>
        <v>0</v>
      </c>
      <c r="AS146" s="22">
        <f t="shared" ca="1" si="279"/>
        <v>0</v>
      </c>
      <c r="AT146" s="22">
        <f t="shared" ca="1" si="279"/>
        <v>0</v>
      </c>
      <c r="AU146" s="22">
        <f t="shared" ca="1" si="279"/>
        <v>0</v>
      </c>
      <c r="AV146" s="22">
        <f t="shared" ca="1" si="279"/>
        <v>0</v>
      </c>
      <c r="AW146" s="22">
        <f t="shared" ref="AW146" ca="1" si="280">IFERROR(IF(VLOOKUP($A146,$138:$141,AW$1+2,FALSE)=0,AW58,0),AW58)</f>
        <v>0</v>
      </c>
    </row>
    <row r="147" spans="1:49" x14ac:dyDescent="0.2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">
      <c r="A148" s="20" t="s">
        <v>67</v>
      </c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</row>
    <row r="149" spans="1:49" x14ac:dyDescent="0.2">
      <c r="A149" s="24" t="str">
        <f>B$92</f>
        <v>Sliema</v>
      </c>
      <c r="B149" s="21"/>
      <c r="C149" s="22">
        <f ca="1">SUM($C92:C92)</f>
        <v>0</v>
      </c>
      <c r="D149" s="22">
        <f ca="1">SUM($C92:D92)</f>
        <v>0</v>
      </c>
      <c r="E149" s="22">
        <f ca="1">SUM($C92:E92)</f>
        <v>0</v>
      </c>
      <c r="F149" s="22">
        <f ca="1">SUM($C92:F92)</f>
        <v>0</v>
      </c>
      <c r="G149" s="22">
        <f ca="1">SUM($C92:G92)</f>
        <v>0</v>
      </c>
      <c r="H149" s="22">
        <f ca="1">SUM($C92:H92)</f>
        <v>0</v>
      </c>
      <c r="I149" s="22">
        <f ca="1">SUM($C92:I92)</f>
        <v>0</v>
      </c>
      <c r="J149" s="22">
        <f ca="1">SUM($C92:J92)</f>
        <v>0</v>
      </c>
      <c r="K149" s="22">
        <f ca="1">SUM($C92:K92)</f>
        <v>0</v>
      </c>
      <c r="L149" s="22">
        <f ca="1">SUM($C92:L92)</f>
        <v>0</v>
      </c>
      <c r="M149" s="22">
        <f ca="1">SUM($C92:M92)</f>
        <v>0</v>
      </c>
      <c r="N149" s="22">
        <f ca="1">SUM($C92:N92)</f>
        <v>0</v>
      </c>
      <c r="O149" s="22">
        <f ca="1">SUM($C92:O92)</f>
        <v>0</v>
      </c>
      <c r="P149" s="22">
        <f ca="1">SUM($C92:P92)</f>
        <v>0</v>
      </c>
      <c r="Q149" s="22">
        <f ca="1">SUM($C92:Q92)</f>
        <v>0</v>
      </c>
      <c r="R149" s="22">
        <f ca="1">SUM($C92:R92)</f>
        <v>0</v>
      </c>
      <c r="S149" s="22">
        <f ca="1">SUM($C92:S92)</f>
        <v>0</v>
      </c>
      <c r="T149" s="22">
        <f ca="1">SUM($C92:T92)</f>
        <v>0</v>
      </c>
      <c r="U149" s="22">
        <f ca="1">SUM($C92:U92)</f>
        <v>0</v>
      </c>
      <c r="V149" s="22">
        <f ca="1">SUM($C92:V92)</f>
        <v>0</v>
      </c>
      <c r="W149" s="22">
        <f ca="1">SUM($C92:W92)</f>
        <v>0</v>
      </c>
      <c r="X149" s="22">
        <f ca="1">SUM($C92:X92)</f>
        <v>0</v>
      </c>
      <c r="Y149" s="22">
        <f ca="1">SUM($C92:Y92)</f>
        <v>0</v>
      </c>
      <c r="Z149" s="22">
        <f ca="1">SUM($C92:Z92)</f>
        <v>0</v>
      </c>
      <c r="AA149" s="22">
        <f ca="1">SUM($C92:AA92)</f>
        <v>0</v>
      </c>
      <c r="AB149" s="22">
        <f ca="1">SUM($C92:AB92)</f>
        <v>0</v>
      </c>
      <c r="AC149" s="22">
        <f ca="1">SUM($C92:AC92)</f>
        <v>0</v>
      </c>
      <c r="AD149" s="22">
        <f ca="1">SUM($C92:AD92)</f>
        <v>0</v>
      </c>
      <c r="AE149" s="22">
        <f ca="1">SUM($C92:AE92)</f>
        <v>0</v>
      </c>
      <c r="AF149" s="22">
        <f ca="1">SUM($C92:AF92)</f>
        <v>0</v>
      </c>
      <c r="AG149" s="22">
        <f ca="1">SUM($C92:AG92)</f>
        <v>0</v>
      </c>
      <c r="AH149" s="22">
        <f ca="1">SUM($C92:AH92)</f>
        <v>0</v>
      </c>
      <c r="AI149" s="22">
        <f ca="1">SUM($C92:AI92)</f>
        <v>0</v>
      </c>
      <c r="AJ149" s="22">
        <f ca="1">SUM($C92:AJ92)</f>
        <v>0</v>
      </c>
      <c r="AK149" s="22">
        <f ca="1">SUM($C92:AK92)</f>
        <v>0</v>
      </c>
      <c r="AL149" s="22">
        <f ca="1">SUM($C92:AL92)</f>
        <v>0</v>
      </c>
      <c r="AM149" s="22">
        <f ca="1">SUM($C92:AM92)</f>
        <v>0</v>
      </c>
      <c r="AN149" s="22">
        <f ca="1">SUM($C92:AN92)</f>
        <v>0</v>
      </c>
      <c r="AO149" s="22">
        <f ca="1">SUM($C92:AO92)</f>
        <v>0</v>
      </c>
      <c r="AP149" s="22">
        <f ca="1">SUM($C92:AP92)</f>
        <v>0</v>
      </c>
      <c r="AQ149" s="22">
        <f ca="1">SUM($C92:AQ92)</f>
        <v>0</v>
      </c>
      <c r="AR149" s="22">
        <f ca="1">SUM($C92:AR92)</f>
        <v>0</v>
      </c>
      <c r="AS149" s="22">
        <f ca="1">SUM($C92:AS92)</f>
        <v>0</v>
      </c>
      <c r="AT149" s="22">
        <f ca="1">SUM($C92:AT92)</f>
        <v>0</v>
      </c>
      <c r="AU149" s="22">
        <f ca="1">SUM($C92:AU92)</f>
        <v>0</v>
      </c>
      <c r="AV149" s="22">
        <f ca="1">SUM($C92:AV92)</f>
        <v>0</v>
      </c>
      <c r="AW149" s="22">
        <f ca="1">SUM($C92:AW92)</f>
        <v>0</v>
      </c>
    </row>
    <row r="150" spans="1:49" x14ac:dyDescent="0.2">
      <c r="A150" s="24" t="str">
        <f>B$109</f>
        <v/>
      </c>
      <c r="B150" s="21"/>
      <c r="C150" s="22">
        <f ca="1">SUM($C109:C109)</f>
        <v>0</v>
      </c>
      <c r="D150" s="22">
        <f ca="1">SUM($C109:D109)</f>
        <v>0</v>
      </c>
      <c r="E150" s="22">
        <f ca="1">SUM($C109:E109)</f>
        <v>0</v>
      </c>
      <c r="F150" s="22">
        <f ca="1">SUM($C109:F109)</f>
        <v>0</v>
      </c>
      <c r="G150" s="22">
        <f ca="1">SUM($C109:G109)</f>
        <v>0</v>
      </c>
      <c r="H150" s="22">
        <f ca="1">SUM($C109:H109)</f>
        <v>0</v>
      </c>
      <c r="I150" s="22">
        <f ca="1">SUM($C109:I109)</f>
        <v>0</v>
      </c>
      <c r="J150" s="22">
        <f ca="1">SUM($C109:J109)</f>
        <v>0</v>
      </c>
      <c r="K150" s="22">
        <f ca="1">SUM($C109:K109)</f>
        <v>0</v>
      </c>
      <c r="L150" s="22">
        <f ca="1">SUM($C109:L109)</f>
        <v>0</v>
      </c>
      <c r="M150" s="22">
        <f ca="1">SUM($C109:M109)</f>
        <v>0</v>
      </c>
      <c r="N150" s="22">
        <f ca="1">SUM($C109:N109)</f>
        <v>0</v>
      </c>
      <c r="O150" s="22">
        <f ca="1">SUM($C109:O109)</f>
        <v>0</v>
      </c>
      <c r="P150" s="22">
        <f ca="1">SUM($C109:P109)</f>
        <v>0</v>
      </c>
      <c r="Q150" s="22">
        <f ca="1">SUM($C109:Q109)</f>
        <v>0</v>
      </c>
      <c r="R150" s="22">
        <f ca="1">SUM($C109:R109)</f>
        <v>0</v>
      </c>
      <c r="S150" s="22">
        <f ca="1">SUM($C109:S109)</f>
        <v>0</v>
      </c>
      <c r="T150" s="22">
        <f ca="1">SUM($C109:T109)</f>
        <v>0</v>
      </c>
      <c r="U150" s="22">
        <f ca="1">SUM($C109:U109)</f>
        <v>0</v>
      </c>
      <c r="V150" s="22">
        <f ca="1">SUM($C109:V109)</f>
        <v>0</v>
      </c>
      <c r="W150" s="22">
        <f ca="1">SUM($C109:W109)</f>
        <v>0</v>
      </c>
      <c r="X150" s="22">
        <f ca="1">SUM($C109:X109)</f>
        <v>0</v>
      </c>
      <c r="Y150" s="22">
        <f ca="1">SUM($C109:Y109)</f>
        <v>0</v>
      </c>
      <c r="Z150" s="22">
        <f ca="1">SUM($C109:Z109)</f>
        <v>0</v>
      </c>
      <c r="AA150" s="22">
        <f ca="1">SUM($C109:AA109)</f>
        <v>0</v>
      </c>
      <c r="AB150" s="22">
        <f ca="1">SUM($C109:AB109)</f>
        <v>0</v>
      </c>
      <c r="AC150" s="22">
        <f ca="1">SUM($C109:AC109)</f>
        <v>0</v>
      </c>
      <c r="AD150" s="22">
        <f ca="1">SUM($C109:AD109)</f>
        <v>0</v>
      </c>
      <c r="AE150" s="22">
        <f ca="1">SUM($C109:AE109)</f>
        <v>0</v>
      </c>
      <c r="AF150" s="22">
        <f ca="1">SUM($C109:AF109)</f>
        <v>0</v>
      </c>
      <c r="AG150" s="22">
        <f ca="1">SUM($C109:AG109)</f>
        <v>0</v>
      </c>
      <c r="AH150" s="22">
        <f ca="1">SUM($C109:AH109)</f>
        <v>0</v>
      </c>
      <c r="AI150" s="22">
        <f ca="1">SUM($C109:AI109)</f>
        <v>0</v>
      </c>
      <c r="AJ150" s="22">
        <f ca="1">SUM($C109:AJ109)</f>
        <v>0</v>
      </c>
      <c r="AK150" s="22">
        <f ca="1">SUM($C109:AK109)</f>
        <v>0</v>
      </c>
      <c r="AL150" s="22">
        <f ca="1">SUM($C109:AL109)</f>
        <v>0</v>
      </c>
      <c r="AM150" s="22">
        <f ca="1">SUM($C109:AM109)</f>
        <v>0</v>
      </c>
      <c r="AN150" s="22">
        <f ca="1">SUM($C109:AN109)</f>
        <v>0</v>
      </c>
      <c r="AO150" s="22">
        <f ca="1">SUM($C109:AO109)</f>
        <v>0</v>
      </c>
      <c r="AP150" s="22">
        <f ca="1">SUM($C109:AP109)</f>
        <v>0</v>
      </c>
      <c r="AQ150" s="22">
        <f ca="1">SUM($C109:AQ109)</f>
        <v>0</v>
      </c>
      <c r="AR150" s="22">
        <f ca="1">SUM($C109:AR109)</f>
        <v>0</v>
      </c>
      <c r="AS150" s="22">
        <f ca="1">SUM($C109:AS109)</f>
        <v>0</v>
      </c>
      <c r="AT150" s="22">
        <f ca="1">SUM($C109:AT109)</f>
        <v>0</v>
      </c>
      <c r="AU150" s="22">
        <f ca="1">SUM($C109:AU109)</f>
        <v>0</v>
      </c>
      <c r="AV150" s="22">
        <f ca="1">SUM($C109:AV109)</f>
        <v>0</v>
      </c>
      <c r="AW150" s="22">
        <f ca="1">SUM($C109:AW109)</f>
        <v>0</v>
      </c>
    </row>
    <row r="151" spans="1:49" x14ac:dyDescent="0.2">
      <c r="A151" s="24" t="str">
        <f>B$126</f>
        <v/>
      </c>
      <c r="B151" s="21"/>
      <c r="C151" s="22">
        <f ca="1">SUM($C126:C126)</f>
        <v>0</v>
      </c>
      <c r="D151" s="22">
        <f ca="1">SUM($C126:D126)</f>
        <v>0</v>
      </c>
      <c r="E151" s="22">
        <f ca="1">SUM($C126:E126)</f>
        <v>0</v>
      </c>
      <c r="F151" s="22">
        <f ca="1">SUM($C126:F126)</f>
        <v>0</v>
      </c>
      <c r="G151" s="22">
        <f ca="1">SUM($C126:G126)</f>
        <v>0</v>
      </c>
      <c r="H151" s="22">
        <f ca="1">SUM($C126:H126)</f>
        <v>0</v>
      </c>
      <c r="I151" s="22">
        <f ca="1">SUM($C126:I126)</f>
        <v>0</v>
      </c>
      <c r="J151" s="22">
        <f ca="1">SUM($C126:J126)</f>
        <v>0</v>
      </c>
      <c r="K151" s="22">
        <f ca="1">SUM($C126:K126)</f>
        <v>0</v>
      </c>
      <c r="L151" s="22">
        <f ca="1">SUM($C126:L126)</f>
        <v>0</v>
      </c>
      <c r="M151" s="22">
        <f ca="1">SUM($C126:M126)</f>
        <v>0</v>
      </c>
      <c r="N151" s="22">
        <f ca="1">SUM($C126:N126)</f>
        <v>0</v>
      </c>
      <c r="O151" s="22">
        <f ca="1">SUM($C126:O126)</f>
        <v>0</v>
      </c>
      <c r="P151" s="22">
        <f ca="1">SUM($C126:P126)</f>
        <v>0</v>
      </c>
      <c r="Q151" s="22">
        <f ca="1">SUM($C126:Q126)</f>
        <v>0</v>
      </c>
      <c r="R151" s="22">
        <f ca="1">SUM($C126:R126)</f>
        <v>0</v>
      </c>
      <c r="S151" s="22">
        <f ca="1">SUM($C126:S126)</f>
        <v>0</v>
      </c>
      <c r="T151" s="22">
        <f ca="1">SUM($C126:T126)</f>
        <v>0</v>
      </c>
      <c r="U151" s="22">
        <f ca="1">SUM($C126:U126)</f>
        <v>0</v>
      </c>
      <c r="V151" s="22">
        <f ca="1">SUM($C126:V126)</f>
        <v>0</v>
      </c>
      <c r="W151" s="22">
        <f ca="1">SUM($C126:W126)</f>
        <v>0</v>
      </c>
      <c r="X151" s="22">
        <f ca="1">SUM($C126:X126)</f>
        <v>0</v>
      </c>
      <c r="Y151" s="22">
        <f ca="1">SUM($C126:Y126)</f>
        <v>0</v>
      </c>
      <c r="Z151" s="22">
        <f ca="1">SUM($C126:Z126)</f>
        <v>0</v>
      </c>
      <c r="AA151" s="22">
        <f ca="1">SUM($C126:AA126)</f>
        <v>0</v>
      </c>
      <c r="AB151" s="22">
        <f ca="1">SUM($C126:AB126)</f>
        <v>0</v>
      </c>
      <c r="AC151" s="22">
        <f ca="1">SUM($C126:AC126)</f>
        <v>0</v>
      </c>
      <c r="AD151" s="22">
        <f ca="1">SUM($C126:AD126)</f>
        <v>0</v>
      </c>
      <c r="AE151" s="22">
        <f ca="1">SUM($C126:AE126)</f>
        <v>0</v>
      </c>
      <c r="AF151" s="22">
        <f ca="1">SUM($C126:AF126)</f>
        <v>0</v>
      </c>
      <c r="AG151" s="22">
        <f ca="1">SUM($C126:AG126)</f>
        <v>0</v>
      </c>
      <c r="AH151" s="22">
        <f ca="1">SUM($C126:AH126)</f>
        <v>0</v>
      </c>
      <c r="AI151" s="22">
        <f ca="1">SUM($C126:AI126)</f>
        <v>0</v>
      </c>
      <c r="AJ151" s="22">
        <f ca="1">SUM($C126:AJ126)</f>
        <v>0</v>
      </c>
      <c r="AK151" s="22">
        <f ca="1">SUM($C126:AK126)</f>
        <v>0</v>
      </c>
      <c r="AL151" s="22">
        <f ca="1">SUM($C126:AL126)</f>
        <v>0</v>
      </c>
      <c r="AM151" s="22">
        <f ca="1">SUM($C126:AM126)</f>
        <v>0</v>
      </c>
      <c r="AN151" s="22">
        <f ca="1">SUM($C126:AN126)</f>
        <v>0</v>
      </c>
      <c r="AO151" s="22">
        <f ca="1">SUM($C126:AO126)</f>
        <v>0</v>
      </c>
      <c r="AP151" s="22">
        <f ca="1">SUM($C126:AP126)</f>
        <v>0</v>
      </c>
      <c r="AQ151" s="22">
        <f ca="1">SUM($C126:AQ126)</f>
        <v>0</v>
      </c>
      <c r="AR151" s="22">
        <f ca="1">SUM($C126:AR126)</f>
        <v>0</v>
      </c>
      <c r="AS151" s="22">
        <f ca="1">SUM($C126:AS126)</f>
        <v>0</v>
      </c>
      <c r="AT151" s="22">
        <f ca="1">SUM($C126:AT126)</f>
        <v>0</v>
      </c>
      <c r="AU151" s="22">
        <f ca="1">SUM($C126:AU126)</f>
        <v>0</v>
      </c>
      <c r="AV151" s="22">
        <f ca="1">SUM($C126:AV126)</f>
        <v>0</v>
      </c>
      <c r="AW151" s="22">
        <f ca="1">SUM($C126:AW126)</f>
        <v>0</v>
      </c>
    </row>
    <row r="152" spans="1:49" x14ac:dyDescent="0.2">
      <c r="A152" s="23"/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</row>
    <row r="153" spans="1:49" x14ac:dyDescent="0.2">
      <c r="A153" s="4" t="s">
        <v>55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">
      <c r="A154" s="18" t="str">
        <f>$A$56</f>
        <v>Sliema</v>
      </c>
      <c r="C154" s="8">
        <f t="shared" ref="C154:AM154" ca="1" si="281">IFERROR(IF(VLOOKUP($A154,$148:$151,C$1+2,FALSE)=0,C62,0),C62)</f>
        <v>0</v>
      </c>
      <c r="D154" s="8">
        <f t="shared" ca="1" si="281"/>
        <v>0</v>
      </c>
      <c r="E154" s="8">
        <f t="shared" ca="1" si="281"/>
        <v>0</v>
      </c>
      <c r="F154" s="8">
        <f t="shared" ca="1" si="281"/>
        <v>0</v>
      </c>
      <c r="G154" s="8">
        <f t="shared" ca="1" si="281"/>
        <v>0</v>
      </c>
      <c r="H154" s="8">
        <f t="shared" ca="1" si="281"/>
        <v>0</v>
      </c>
      <c r="I154" s="8">
        <f t="shared" ca="1" si="281"/>
        <v>0</v>
      </c>
      <c r="J154" s="8">
        <f t="shared" ca="1" si="281"/>
        <v>0</v>
      </c>
      <c r="K154" s="8">
        <f t="shared" ca="1" si="281"/>
        <v>0</v>
      </c>
      <c r="L154" s="8">
        <f t="shared" ca="1" si="281"/>
        <v>0</v>
      </c>
      <c r="M154" s="8">
        <f t="shared" ca="1" si="281"/>
        <v>0</v>
      </c>
      <c r="N154" s="8">
        <f t="shared" ca="1" si="281"/>
        <v>0</v>
      </c>
      <c r="O154" s="8">
        <f t="shared" ca="1" si="281"/>
        <v>0</v>
      </c>
      <c r="P154" s="8">
        <f t="shared" ca="1" si="281"/>
        <v>0</v>
      </c>
      <c r="Q154" s="8">
        <f t="shared" ca="1" si="281"/>
        <v>0</v>
      </c>
      <c r="R154" s="8">
        <f t="shared" ca="1" si="281"/>
        <v>0</v>
      </c>
      <c r="S154" s="8">
        <f t="shared" ca="1" si="281"/>
        <v>0</v>
      </c>
      <c r="T154" s="8">
        <f t="shared" ca="1" si="281"/>
        <v>0</v>
      </c>
      <c r="U154" s="8">
        <f t="shared" ca="1" si="281"/>
        <v>0</v>
      </c>
      <c r="V154" s="8">
        <f t="shared" ca="1" si="281"/>
        <v>0</v>
      </c>
      <c r="W154" s="8">
        <f t="shared" ca="1" si="281"/>
        <v>0</v>
      </c>
      <c r="X154" s="8">
        <f t="shared" ca="1" si="281"/>
        <v>0</v>
      </c>
      <c r="Y154" s="8">
        <f t="shared" ca="1" si="281"/>
        <v>0</v>
      </c>
      <c r="Z154" s="8">
        <f t="shared" ca="1" si="281"/>
        <v>0</v>
      </c>
      <c r="AA154" s="8">
        <f t="shared" ca="1" si="281"/>
        <v>0</v>
      </c>
      <c r="AB154" s="8">
        <f t="shared" ca="1" si="281"/>
        <v>0</v>
      </c>
      <c r="AC154" s="8">
        <f t="shared" ca="1" si="281"/>
        <v>0</v>
      </c>
      <c r="AD154" s="8">
        <f t="shared" ca="1" si="281"/>
        <v>0</v>
      </c>
      <c r="AE154" s="8">
        <f t="shared" ca="1" si="281"/>
        <v>0</v>
      </c>
      <c r="AF154" s="8">
        <f t="shared" ca="1" si="281"/>
        <v>0</v>
      </c>
      <c r="AG154" s="8">
        <f t="shared" ca="1" si="281"/>
        <v>0</v>
      </c>
      <c r="AH154" s="8">
        <f t="shared" ca="1" si="281"/>
        <v>0</v>
      </c>
      <c r="AI154" s="8">
        <f t="shared" ca="1" si="281"/>
        <v>0</v>
      </c>
      <c r="AJ154" s="8">
        <f t="shared" ca="1" si="281"/>
        <v>0</v>
      </c>
      <c r="AK154" s="8">
        <f t="shared" ca="1" si="281"/>
        <v>0</v>
      </c>
      <c r="AL154" s="8">
        <f t="shared" ca="1" si="281"/>
        <v>0</v>
      </c>
      <c r="AM154" s="8">
        <f t="shared" ca="1" si="281"/>
        <v>0</v>
      </c>
      <c r="AN154" s="8">
        <f t="shared" ref="AN154:AV154" ca="1" si="282">IFERROR(IF(VLOOKUP($A154,$148:$151,AN$1+2,FALSE)=0,AN62,0),AN62)</f>
        <v>0</v>
      </c>
      <c r="AO154" s="8">
        <f t="shared" ca="1" si="282"/>
        <v>0</v>
      </c>
      <c r="AP154" s="8">
        <f t="shared" ca="1" si="282"/>
        <v>0</v>
      </c>
      <c r="AQ154" s="8">
        <f t="shared" ca="1" si="282"/>
        <v>0</v>
      </c>
      <c r="AR154" s="8">
        <f t="shared" ca="1" si="282"/>
        <v>0</v>
      </c>
      <c r="AS154" s="8">
        <f t="shared" ca="1" si="282"/>
        <v>0</v>
      </c>
      <c r="AT154" s="8">
        <f t="shared" ca="1" si="282"/>
        <v>0</v>
      </c>
      <c r="AU154" s="8">
        <f t="shared" ca="1" si="282"/>
        <v>0</v>
      </c>
      <c r="AV154" s="8">
        <f t="shared" ca="1" si="282"/>
        <v>0</v>
      </c>
      <c r="AW154" s="8">
        <f t="shared" ref="AW154" ca="1" si="283">IFERROR(IF(VLOOKUP($A154,$148:$151,AW$1+2,FALSE)=0,AW62,0),AW62)</f>
        <v>0</v>
      </c>
    </row>
    <row r="155" spans="1:49" x14ac:dyDescent="0.2">
      <c r="A155" s="18" t="str">
        <f>$A$57</f>
        <v/>
      </c>
      <c r="C155" s="8">
        <f t="shared" ref="C155:AM155" ca="1" si="284">IFERROR(IF(VLOOKUP($A155,$148:$151,C$1+2,FALSE)=0,C63,0),C63)</f>
        <v>0</v>
      </c>
      <c r="D155" s="8">
        <f t="shared" ca="1" si="284"/>
        <v>0</v>
      </c>
      <c r="E155" s="8">
        <f t="shared" ca="1" si="284"/>
        <v>0</v>
      </c>
      <c r="F155" s="8">
        <f t="shared" ca="1" si="284"/>
        <v>0</v>
      </c>
      <c r="G155" s="8">
        <f t="shared" ca="1" si="284"/>
        <v>0</v>
      </c>
      <c r="H155" s="8">
        <f t="shared" ca="1" si="284"/>
        <v>0</v>
      </c>
      <c r="I155" s="8">
        <f t="shared" ca="1" si="284"/>
        <v>0</v>
      </c>
      <c r="J155" s="8">
        <f t="shared" ca="1" si="284"/>
        <v>0</v>
      </c>
      <c r="K155" s="8">
        <f t="shared" ca="1" si="284"/>
        <v>0</v>
      </c>
      <c r="L155" s="8">
        <f t="shared" ca="1" si="284"/>
        <v>0</v>
      </c>
      <c r="M155" s="8">
        <f t="shared" ca="1" si="284"/>
        <v>0</v>
      </c>
      <c r="N155" s="8">
        <f t="shared" ca="1" si="284"/>
        <v>0</v>
      </c>
      <c r="O155" s="8">
        <f t="shared" ca="1" si="284"/>
        <v>0</v>
      </c>
      <c r="P155" s="8">
        <f t="shared" ca="1" si="284"/>
        <v>0</v>
      </c>
      <c r="Q155" s="8">
        <f t="shared" ca="1" si="284"/>
        <v>0</v>
      </c>
      <c r="R155" s="8">
        <f t="shared" ca="1" si="284"/>
        <v>0</v>
      </c>
      <c r="S155" s="8">
        <f t="shared" ca="1" si="284"/>
        <v>0</v>
      </c>
      <c r="T155" s="8">
        <f t="shared" ca="1" si="284"/>
        <v>0</v>
      </c>
      <c r="U155" s="8">
        <f t="shared" ca="1" si="284"/>
        <v>0</v>
      </c>
      <c r="V155" s="8">
        <f t="shared" ca="1" si="284"/>
        <v>0</v>
      </c>
      <c r="W155" s="8">
        <f t="shared" ca="1" si="284"/>
        <v>0</v>
      </c>
      <c r="X155" s="8">
        <f t="shared" ca="1" si="284"/>
        <v>0</v>
      </c>
      <c r="Y155" s="8">
        <f t="shared" ca="1" si="284"/>
        <v>0</v>
      </c>
      <c r="Z155" s="8">
        <f t="shared" ca="1" si="284"/>
        <v>0</v>
      </c>
      <c r="AA155" s="8">
        <f t="shared" ca="1" si="284"/>
        <v>0</v>
      </c>
      <c r="AB155" s="8">
        <f t="shared" ca="1" si="284"/>
        <v>0</v>
      </c>
      <c r="AC155" s="8">
        <f t="shared" ca="1" si="284"/>
        <v>0</v>
      </c>
      <c r="AD155" s="8">
        <f t="shared" ca="1" si="284"/>
        <v>0</v>
      </c>
      <c r="AE155" s="8">
        <f t="shared" ca="1" si="284"/>
        <v>0</v>
      </c>
      <c r="AF155" s="8">
        <f t="shared" ca="1" si="284"/>
        <v>0</v>
      </c>
      <c r="AG155" s="8">
        <f t="shared" ca="1" si="284"/>
        <v>0</v>
      </c>
      <c r="AH155" s="8">
        <f t="shared" ca="1" si="284"/>
        <v>0</v>
      </c>
      <c r="AI155" s="8">
        <f t="shared" ca="1" si="284"/>
        <v>0</v>
      </c>
      <c r="AJ155" s="8">
        <f t="shared" ca="1" si="284"/>
        <v>0</v>
      </c>
      <c r="AK155" s="8">
        <f t="shared" ca="1" si="284"/>
        <v>0</v>
      </c>
      <c r="AL155" s="8">
        <f t="shared" ca="1" si="284"/>
        <v>0</v>
      </c>
      <c r="AM155" s="8">
        <f t="shared" ca="1" si="284"/>
        <v>0</v>
      </c>
      <c r="AN155" s="8">
        <f t="shared" ref="AN155:AV155" ca="1" si="285">IFERROR(IF(VLOOKUP($A155,$148:$151,AN$1+2,FALSE)=0,AN63,0),AN63)</f>
        <v>0</v>
      </c>
      <c r="AO155" s="8">
        <f t="shared" ca="1" si="285"/>
        <v>0</v>
      </c>
      <c r="AP155" s="8">
        <f t="shared" ca="1" si="285"/>
        <v>0</v>
      </c>
      <c r="AQ155" s="8">
        <f t="shared" ca="1" si="285"/>
        <v>0</v>
      </c>
      <c r="AR155" s="8">
        <f t="shared" ca="1" si="285"/>
        <v>0</v>
      </c>
      <c r="AS155" s="8">
        <f t="shared" ca="1" si="285"/>
        <v>0</v>
      </c>
      <c r="AT155" s="8">
        <f t="shared" ca="1" si="285"/>
        <v>0</v>
      </c>
      <c r="AU155" s="8">
        <f t="shared" ca="1" si="285"/>
        <v>0</v>
      </c>
      <c r="AV155" s="8">
        <f t="shared" ca="1" si="285"/>
        <v>0</v>
      </c>
      <c r="AW155" s="8">
        <f t="shared" ref="AW155" ca="1" si="286">IFERROR(IF(VLOOKUP($A155,$148:$151,AW$1+2,FALSE)=0,AW63,0),AW63)</f>
        <v>0</v>
      </c>
    </row>
    <row r="156" spans="1:49" x14ac:dyDescent="0.2">
      <c r="A156" s="18" t="str">
        <f>$A$58</f>
        <v/>
      </c>
      <c r="C156" s="8">
        <f t="shared" ref="C156:AM156" ca="1" si="287">IFERROR(IF(VLOOKUP($A156,$148:$151,C$1+2,FALSE)=0,C64,0),C64)</f>
        <v>0</v>
      </c>
      <c r="D156" s="8">
        <f t="shared" ca="1" si="287"/>
        <v>0</v>
      </c>
      <c r="E156" s="8">
        <f t="shared" ca="1" si="287"/>
        <v>0</v>
      </c>
      <c r="F156" s="8">
        <f t="shared" ca="1" si="287"/>
        <v>0</v>
      </c>
      <c r="G156" s="8">
        <f t="shared" ca="1" si="287"/>
        <v>0</v>
      </c>
      <c r="H156" s="8">
        <f t="shared" ca="1" si="287"/>
        <v>0</v>
      </c>
      <c r="I156" s="8">
        <f t="shared" ca="1" si="287"/>
        <v>0</v>
      </c>
      <c r="J156" s="8">
        <f t="shared" ca="1" si="287"/>
        <v>0</v>
      </c>
      <c r="K156" s="8">
        <f t="shared" ca="1" si="287"/>
        <v>0</v>
      </c>
      <c r="L156" s="8">
        <f t="shared" ca="1" si="287"/>
        <v>0</v>
      </c>
      <c r="M156" s="8">
        <f t="shared" ca="1" si="287"/>
        <v>0</v>
      </c>
      <c r="N156" s="8">
        <f t="shared" ca="1" si="287"/>
        <v>0</v>
      </c>
      <c r="O156" s="8">
        <f t="shared" ca="1" si="287"/>
        <v>0</v>
      </c>
      <c r="P156" s="8">
        <f t="shared" ca="1" si="287"/>
        <v>0</v>
      </c>
      <c r="Q156" s="8">
        <f t="shared" ca="1" si="287"/>
        <v>0</v>
      </c>
      <c r="R156" s="8">
        <f t="shared" ca="1" si="287"/>
        <v>0</v>
      </c>
      <c r="S156" s="8">
        <f t="shared" ca="1" si="287"/>
        <v>0</v>
      </c>
      <c r="T156" s="8">
        <f t="shared" ca="1" si="287"/>
        <v>0</v>
      </c>
      <c r="U156" s="8">
        <f t="shared" ca="1" si="287"/>
        <v>0</v>
      </c>
      <c r="V156" s="8">
        <f t="shared" ca="1" si="287"/>
        <v>0</v>
      </c>
      <c r="W156" s="8">
        <f t="shared" ca="1" si="287"/>
        <v>0</v>
      </c>
      <c r="X156" s="8">
        <f t="shared" ca="1" si="287"/>
        <v>0</v>
      </c>
      <c r="Y156" s="8">
        <f t="shared" ca="1" si="287"/>
        <v>0</v>
      </c>
      <c r="Z156" s="8">
        <f t="shared" ca="1" si="287"/>
        <v>0</v>
      </c>
      <c r="AA156" s="8">
        <f t="shared" ca="1" si="287"/>
        <v>0</v>
      </c>
      <c r="AB156" s="8">
        <f t="shared" ca="1" si="287"/>
        <v>0</v>
      </c>
      <c r="AC156" s="8">
        <f t="shared" ca="1" si="287"/>
        <v>0</v>
      </c>
      <c r="AD156" s="8">
        <f t="shared" ca="1" si="287"/>
        <v>0</v>
      </c>
      <c r="AE156" s="8">
        <f t="shared" ca="1" si="287"/>
        <v>0</v>
      </c>
      <c r="AF156" s="8">
        <f t="shared" ca="1" si="287"/>
        <v>0</v>
      </c>
      <c r="AG156" s="8">
        <f t="shared" ca="1" si="287"/>
        <v>0</v>
      </c>
      <c r="AH156" s="8">
        <f t="shared" ca="1" si="287"/>
        <v>0</v>
      </c>
      <c r="AI156" s="8">
        <f t="shared" ca="1" si="287"/>
        <v>0</v>
      </c>
      <c r="AJ156" s="8">
        <f t="shared" ca="1" si="287"/>
        <v>0</v>
      </c>
      <c r="AK156" s="8">
        <f t="shared" ca="1" si="287"/>
        <v>0</v>
      </c>
      <c r="AL156" s="8">
        <f t="shared" ca="1" si="287"/>
        <v>0</v>
      </c>
      <c r="AM156" s="8">
        <f t="shared" ca="1" si="287"/>
        <v>0</v>
      </c>
      <c r="AN156" s="8">
        <f t="shared" ref="AN156:AV156" ca="1" si="288">IFERROR(IF(VLOOKUP($A156,$148:$151,AN$1+2,FALSE)=0,AN64,0),AN64)</f>
        <v>0</v>
      </c>
      <c r="AO156" s="8">
        <f t="shared" ca="1" si="288"/>
        <v>0</v>
      </c>
      <c r="AP156" s="8">
        <f t="shared" ca="1" si="288"/>
        <v>0</v>
      </c>
      <c r="AQ156" s="8">
        <f t="shared" ca="1" si="288"/>
        <v>0</v>
      </c>
      <c r="AR156" s="8">
        <f t="shared" ca="1" si="288"/>
        <v>0</v>
      </c>
      <c r="AS156" s="8">
        <f t="shared" ca="1" si="288"/>
        <v>0</v>
      </c>
      <c r="AT156" s="8">
        <f t="shared" ca="1" si="288"/>
        <v>0</v>
      </c>
      <c r="AU156" s="8">
        <f t="shared" ca="1" si="288"/>
        <v>0</v>
      </c>
      <c r="AV156" s="8">
        <f t="shared" ca="1" si="288"/>
        <v>0</v>
      </c>
      <c r="AW156" s="8">
        <f t="shared" ref="AW156" ca="1" si="289">IFERROR(IF(VLOOKUP($A156,$148:$151,AW$1+2,FALSE)=0,AW64,0),AW64)</f>
        <v>0</v>
      </c>
    </row>
    <row r="157" spans="1:49" x14ac:dyDescent="0.2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">
      <c r="A158" s="4" t="s">
        <v>68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">
      <c r="A159" s="18" t="str">
        <f t="shared" ref="A159:A171" si="290">A53</f>
        <v>Cash</v>
      </c>
      <c r="C159" s="8">
        <f ca="1">C134</f>
        <v>204898.75</v>
      </c>
      <c r="D159" s="8">
        <f t="shared" ref="D159:G159" ca="1" si="291">D134</f>
        <v>210464.1875</v>
      </c>
      <c r="E159" s="8">
        <f t="shared" ca="1" si="291"/>
        <v>216735.69765625001</v>
      </c>
      <c r="F159" s="8">
        <f t="shared" ca="1" si="291"/>
        <v>223754.49157812502</v>
      </c>
      <c r="G159" s="8">
        <f t="shared" ca="1" si="291"/>
        <v>231563.68121130861</v>
      </c>
      <c r="H159" s="8">
        <f t="shared" ref="H159:AM159" ca="1" si="292">H134</f>
        <v>240208.35706995256</v>
      </c>
      <c r="I159" s="8">
        <f t="shared" ca="1" si="292"/>
        <v>249735.66892084025</v>
      </c>
      <c r="J159" s="8">
        <f t="shared" ca="1" si="292"/>
        <v>260194.90952617431</v>
      </c>
      <c r="K159" s="8">
        <f t="shared" ca="1" si="292"/>
        <v>271637.60155532236</v>
      </c>
      <c r="L159" s="8">
        <f t="shared" ca="1" si="292"/>
        <v>284117.58777969546</v>
      </c>
      <c r="M159" s="8">
        <f t="shared" ca="1" si="292"/>
        <v>297691.1246689033</v>
      </c>
      <c r="N159" s="8">
        <f t="shared" ca="1" si="292"/>
        <v>312416.97951043496</v>
      </c>
      <c r="O159" s="8">
        <f t="shared" ca="1" si="292"/>
        <v>328356.53117935767</v>
      </c>
      <c r="P159" s="8">
        <f t="shared" ca="1" si="292"/>
        <v>345573.87468891207</v>
      </c>
      <c r="Q159" s="8">
        <f t="shared" ca="1" si="292"/>
        <v>364135.92965741799</v>
      </c>
      <c r="R159" s="8">
        <f t="shared" ca="1" si="292"/>
        <v>387161.10470025497</v>
      </c>
      <c r="S159" s="8">
        <f t="shared" ca="1" si="292"/>
        <v>418421.42047661229</v>
      </c>
      <c r="T159" s="8">
        <f t="shared" ca="1" si="292"/>
        <v>378811.20508166938</v>
      </c>
      <c r="U159" s="8">
        <f t="shared" ca="1" si="292"/>
        <v>344854.73778757063</v>
      </c>
      <c r="V159" s="8">
        <f t="shared" ca="1" si="292"/>
        <v>308963.69012559089</v>
      </c>
      <c r="W159" s="8">
        <f t="shared" ca="1" si="292"/>
        <v>271062.55586939497</v>
      </c>
      <c r="X159" s="8">
        <f t="shared" ca="1" si="292"/>
        <v>231073.26259406074</v>
      </c>
      <c r="Y159" s="8">
        <f t="shared" ca="1" si="292"/>
        <v>188915.09055754144</v>
      </c>
      <c r="Z159" s="8">
        <f t="shared" ca="1" si="292"/>
        <v>144504.58913007489</v>
      </c>
      <c r="AA159" s="8">
        <f t="shared" ca="1" si="292"/>
        <v>97755.490699636561</v>
      </c>
      <c r="AB159" s="8">
        <f t="shared" ca="1" si="292"/>
        <v>48578.621979470016</v>
      </c>
      <c r="AC159" s="8">
        <f t="shared" ca="1" si="292"/>
        <v>20000</v>
      </c>
      <c r="AD159" s="8">
        <f t="shared" ca="1" si="292"/>
        <v>20000</v>
      </c>
      <c r="AE159" s="8">
        <f t="shared" ca="1" si="292"/>
        <v>20000</v>
      </c>
      <c r="AF159" s="8">
        <f t="shared" ca="1" si="292"/>
        <v>20000</v>
      </c>
      <c r="AG159" s="8">
        <f t="shared" ca="1" si="292"/>
        <v>20000</v>
      </c>
      <c r="AH159" s="8">
        <f t="shared" ca="1" si="292"/>
        <v>20000</v>
      </c>
      <c r="AI159" s="8">
        <f t="shared" ca="1" si="292"/>
        <v>20000</v>
      </c>
      <c r="AJ159" s="8">
        <f t="shared" ca="1" si="292"/>
        <v>20000</v>
      </c>
      <c r="AK159" s="8">
        <f t="shared" ca="1" si="292"/>
        <v>20000</v>
      </c>
      <c r="AL159" s="8">
        <f t="shared" ca="1" si="292"/>
        <v>755473.29901135678</v>
      </c>
      <c r="AM159" s="8">
        <f t="shared" ca="1" si="292"/>
        <v>763483.72201347235</v>
      </c>
      <c r="AN159" s="8">
        <f t="shared" ref="AN159:AV159" ca="1" si="293">AN134</f>
        <v>725448.12308551755</v>
      </c>
      <c r="AO159" s="8">
        <f t="shared" ca="1" si="293"/>
        <v>684635.55704448489</v>
      </c>
      <c r="AP159" s="8">
        <f t="shared" ca="1" si="293"/>
        <v>640976.5997125475</v>
      </c>
      <c r="AQ159" s="8">
        <f t="shared" ca="1" si="293"/>
        <v>594400.09130743286</v>
      </c>
      <c r="AR159" s="8">
        <f t="shared" ca="1" si="293"/>
        <v>544833.09305231122</v>
      </c>
      <c r="AS159" s="8">
        <f t="shared" ca="1" si="293"/>
        <v>492200.84270093252</v>
      </c>
      <c r="AT159" s="8">
        <f t="shared" ca="1" si="293"/>
        <v>436426.70895089046</v>
      </c>
      <c r="AU159" s="8">
        <f t="shared" ca="1" si="293"/>
        <v>377432.14471721847</v>
      </c>
      <c r="AV159" s="8">
        <f t="shared" ca="1" si="293"/>
        <v>315136.63923782588</v>
      </c>
      <c r="AW159" s="8">
        <f t="shared" ref="AW159" ca="1" si="294">AW134</f>
        <v>249457.66898156921</v>
      </c>
    </row>
    <row r="160" spans="1:49" x14ac:dyDescent="0.2">
      <c r="A160" s="18" t="str">
        <f t="shared" si="290"/>
        <v>Home</v>
      </c>
      <c r="C160" s="8">
        <f t="shared" ref="C160:AM160" si="295">C54</f>
        <v>515000</v>
      </c>
      <c r="D160" s="8">
        <f t="shared" si="295"/>
        <v>530450</v>
      </c>
      <c r="E160" s="8">
        <f t="shared" si="295"/>
        <v>546363.5</v>
      </c>
      <c r="F160" s="8">
        <f t="shared" si="295"/>
        <v>562754.40500000003</v>
      </c>
      <c r="G160" s="8">
        <f t="shared" si="295"/>
        <v>579637.03714999999</v>
      </c>
      <c r="H160" s="8">
        <f t="shared" si="295"/>
        <v>597026.14826449996</v>
      </c>
      <c r="I160" s="8">
        <f t="shared" si="295"/>
        <v>614936.93271243502</v>
      </c>
      <c r="J160" s="8">
        <f t="shared" si="295"/>
        <v>633385.04069380811</v>
      </c>
      <c r="K160" s="8">
        <f t="shared" si="295"/>
        <v>652386.59191462235</v>
      </c>
      <c r="L160" s="8">
        <f t="shared" si="295"/>
        <v>671958.18967206101</v>
      </c>
      <c r="M160" s="8">
        <f t="shared" si="295"/>
        <v>692116.93536222284</v>
      </c>
      <c r="N160" s="8">
        <f t="shared" si="295"/>
        <v>712880.44342308957</v>
      </c>
      <c r="O160" s="8">
        <f t="shared" si="295"/>
        <v>734266.85672578227</v>
      </c>
      <c r="P160" s="8">
        <f t="shared" si="295"/>
        <v>756294.86242755572</v>
      </c>
      <c r="Q160" s="8">
        <f t="shared" si="295"/>
        <v>778983.70830038236</v>
      </c>
      <c r="R160" s="8">
        <f t="shared" si="295"/>
        <v>802353.21954939386</v>
      </c>
      <c r="S160" s="8">
        <f t="shared" si="295"/>
        <v>826423.81613587565</v>
      </c>
      <c r="T160" s="8">
        <f t="shared" si="295"/>
        <v>851216.5306199519</v>
      </c>
      <c r="U160" s="8">
        <f t="shared" si="295"/>
        <v>876753.0265385505</v>
      </c>
      <c r="V160" s="8">
        <f t="shared" si="295"/>
        <v>903055.61733470706</v>
      </c>
      <c r="W160" s="8">
        <f t="shared" si="295"/>
        <v>930147.28585474833</v>
      </c>
      <c r="X160" s="8">
        <f t="shared" si="295"/>
        <v>958051.70443039085</v>
      </c>
      <c r="Y160" s="8">
        <f t="shared" si="295"/>
        <v>986793.25556330255</v>
      </c>
      <c r="Z160" s="8">
        <f t="shared" si="295"/>
        <v>1016397.0532302016</v>
      </c>
      <c r="AA160" s="8">
        <f t="shared" si="295"/>
        <v>1046888.9648271076</v>
      </c>
      <c r="AB160" s="8">
        <f t="shared" si="295"/>
        <v>1078295.6337719208</v>
      </c>
      <c r="AC160" s="8">
        <f t="shared" si="295"/>
        <v>1110644.5027850785</v>
      </c>
      <c r="AD160" s="8">
        <f t="shared" si="295"/>
        <v>1143963.8378686309</v>
      </c>
      <c r="AE160" s="8">
        <f t="shared" si="295"/>
        <v>1178282.7530046899</v>
      </c>
      <c r="AF160" s="8">
        <f t="shared" si="295"/>
        <v>1213631.2355948307</v>
      </c>
      <c r="AG160" s="8">
        <f t="shared" si="295"/>
        <v>1250040.1726626756</v>
      </c>
      <c r="AH160" s="8">
        <f t="shared" si="295"/>
        <v>1287541.377842556</v>
      </c>
      <c r="AI160" s="8">
        <f t="shared" si="295"/>
        <v>1326167.6191778327</v>
      </c>
      <c r="AJ160" s="8">
        <f t="shared" si="295"/>
        <v>1365952.6477531677</v>
      </c>
      <c r="AK160" s="8">
        <f t="shared" si="295"/>
        <v>1406931.2271857627</v>
      </c>
      <c r="AL160" s="8">
        <f t="shared" si="295"/>
        <v>1449139.1640013356</v>
      </c>
      <c r="AM160" s="8">
        <f t="shared" si="295"/>
        <v>1492613.3389213758</v>
      </c>
      <c r="AN160" s="8">
        <f t="shared" ref="AN160:AV160" si="296">AN54</f>
        <v>1537391.739089017</v>
      </c>
      <c r="AO160" s="8">
        <f t="shared" si="296"/>
        <v>1583513.4912616876</v>
      </c>
      <c r="AP160" s="8">
        <f t="shared" si="296"/>
        <v>1631018.8959995382</v>
      </c>
      <c r="AQ160" s="8">
        <f t="shared" si="296"/>
        <v>1679949.4628795243</v>
      </c>
      <c r="AR160" s="8">
        <f t="shared" si="296"/>
        <v>1730347.9467659101</v>
      </c>
      <c r="AS160" s="8">
        <f t="shared" si="296"/>
        <v>1782258.3851688874</v>
      </c>
      <c r="AT160" s="8">
        <f t="shared" si="296"/>
        <v>1835726.136723954</v>
      </c>
      <c r="AU160" s="8">
        <f t="shared" si="296"/>
        <v>1890797.9208256726</v>
      </c>
      <c r="AV160" s="8">
        <f t="shared" si="296"/>
        <v>1947521.8584504428</v>
      </c>
      <c r="AW160" s="8">
        <f t="shared" ref="AW160" si="297">AW54</f>
        <v>2005947.5142039561</v>
      </c>
    </row>
    <row r="161" spans="1:49" x14ac:dyDescent="0.2">
      <c r="A161" s="18" t="str">
        <f t="shared" si="290"/>
        <v>Other property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">
      <c r="A162" s="19" t="str">
        <f t="shared" si="290"/>
        <v>Sliema</v>
      </c>
      <c r="C162" s="8">
        <f t="shared" ref="C162:G162" ca="1" si="298">C144</f>
        <v>309000</v>
      </c>
      <c r="D162" s="8">
        <f t="shared" ca="1" si="298"/>
        <v>318270</v>
      </c>
      <c r="E162" s="8">
        <f t="shared" ca="1" si="298"/>
        <v>327818.10000000003</v>
      </c>
      <c r="F162" s="8">
        <f t="shared" ca="1" si="298"/>
        <v>337652.64300000004</v>
      </c>
      <c r="G162" s="8">
        <f t="shared" ca="1" si="298"/>
        <v>347782.22229000006</v>
      </c>
      <c r="H162" s="8">
        <f t="shared" ref="H162:AM162" ca="1" si="299">H144</f>
        <v>358215.68895870005</v>
      </c>
      <c r="I162" s="8">
        <f t="shared" ca="1" si="299"/>
        <v>368962.15962746105</v>
      </c>
      <c r="J162" s="8">
        <f t="shared" ca="1" si="299"/>
        <v>380031.02441628487</v>
      </c>
      <c r="K162" s="8">
        <f t="shared" ca="1" si="299"/>
        <v>391431.95514877344</v>
      </c>
      <c r="L162" s="8">
        <f t="shared" ca="1" si="299"/>
        <v>403174.91380323668</v>
      </c>
      <c r="M162" s="8">
        <f t="shared" ca="1" si="299"/>
        <v>415270.16121733381</v>
      </c>
      <c r="N162" s="8">
        <f t="shared" ca="1" si="299"/>
        <v>427728.26605385385</v>
      </c>
      <c r="O162" s="8">
        <f t="shared" ca="1" si="299"/>
        <v>440560.11403546948</v>
      </c>
      <c r="P162" s="8">
        <f t="shared" ca="1" si="299"/>
        <v>453776.91745653359</v>
      </c>
      <c r="Q162" s="8">
        <f t="shared" ca="1" si="299"/>
        <v>467390.22498022963</v>
      </c>
      <c r="R162" s="8">
        <f t="shared" ca="1" si="299"/>
        <v>481411.9317296365</v>
      </c>
      <c r="S162" s="8">
        <f t="shared" ca="1" si="299"/>
        <v>495854.28968152561</v>
      </c>
      <c r="T162" s="8">
        <f t="shared" ca="1" si="299"/>
        <v>510729.91837197141</v>
      </c>
      <c r="U162" s="8">
        <f t="shared" ca="1" si="299"/>
        <v>526051.81592313061</v>
      </c>
      <c r="V162" s="8">
        <f t="shared" ca="1" si="299"/>
        <v>541833.37040082458</v>
      </c>
      <c r="W162" s="8">
        <f t="shared" ca="1" si="299"/>
        <v>558088.37151284935</v>
      </c>
      <c r="X162" s="8">
        <f t="shared" ca="1" si="299"/>
        <v>574831.02265823481</v>
      </c>
      <c r="Y162" s="8">
        <f t="shared" ca="1" si="299"/>
        <v>592075.95333798183</v>
      </c>
      <c r="Z162" s="8">
        <f t="shared" ca="1" si="299"/>
        <v>609838.23193812126</v>
      </c>
      <c r="AA162" s="8">
        <f t="shared" ca="1" si="299"/>
        <v>628133.37889626494</v>
      </c>
      <c r="AB162" s="8">
        <f t="shared" ca="1" si="299"/>
        <v>646977.38026315288</v>
      </c>
      <c r="AC162" s="8">
        <f t="shared" ca="1" si="299"/>
        <v>666386.70167104749</v>
      </c>
      <c r="AD162" s="8">
        <f t="shared" ca="1" si="299"/>
        <v>686378.30272117897</v>
      </c>
      <c r="AE162" s="8">
        <f t="shared" ca="1" si="299"/>
        <v>706969.65180281433</v>
      </c>
      <c r="AF162" s="8">
        <f t="shared" ca="1" si="299"/>
        <v>728178.7413568988</v>
      </c>
      <c r="AG162" s="8">
        <f t="shared" ca="1" si="299"/>
        <v>750024.10359760583</v>
      </c>
      <c r="AH162" s="8">
        <f t="shared" ca="1" si="299"/>
        <v>772524.82670553401</v>
      </c>
      <c r="AI162" s="8">
        <f t="shared" ca="1" si="299"/>
        <v>795700.57150670001</v>
      </c>
      <c r="AJ162" s="8">
        <f t="shared" ca="1" si="299"/>
        <v>819571.58865190099</v>
      </c>
      <c r="AK162" s="8">
        <f t="shared" ca="1" si="299"/>
        <v>844158.73631145805</v>
      </c>
      <c r="AL162" s="8">
        <f t="shared" ca="1" si="299"/>
        <v>0</v>
      </c>
      <c r="AM162" s="8">
        <f t="shared" ca="1" si="299"/>
        <v>0</v>
      </c>
      <c r="AN162" s="8">
        <f t="shared" ref="AN162:AV162" ca="1" si="300">AN144</f>
        <v>0</v>
      </c>
      <c r="AO162" s="8">
        <f t="shared" ca="1" si="300"/>
        <v>0</v>
      </c>
      <c r="AP162" s="8">
        <f t="shared" ca="1" si="300"/>
        <v>0</v>
      </c>
      <c r="AQ162" s="8">
        <f t="shared" ca="1" si="300"/>
        <v>0</v>
      </c>
      <c r="AR162" s="8">
        <f t="shared" ca="1" si="300"/>
        <v>0</v>
      </c>
      <c r="AS162" s="8">
        <f t="shared" ca="1" si="300"/>
        <v>0</v>
      </c>
      <c r="AT162" s="8">
        <f t="shared" ca="1" si="300"/>
        <v>0</v>
      </c>
      <c r="AU162" s="8">
        <f t="shared" ca="1" si="300"/>
        <v>0</v>
      </c>
      <c r="AV162" s="8">
        <f t="shared" ca="1" si="300"/>
        <v>0</v>
      </c>
      <c r="AW162" s="8">
        <f t="shared" ref="AW162" ca="1" si="301">AW144</f>
        <v>0</v>
      </c>
    </row>
    <row r="163" spans="1:49" x14ac:dyDescent="0.2">
      <c r="A163" s="19" t="str">
        <f t="shared" si="290"/>
        <v/>
      </c>
      <c r="C163" s="8">
        <f t="shared" ref="C163:G163" ca="1" si="302">C145</f>
        <v>0</v>
      </c>
      <c r="D163" s="8">
        <f t="shared" ca="1" si="302"/>
        <v>0</v>
      </c>
      <c r="E163" s="8">
        <f t="shared" ca="1" si="302"/>
        <v>0</v>
      </c>
      <c r="F163" s="8">
        <f t="shared" ca="1" si="302"/>
        <v>0</v>
      </c>
      <c r="G163" s="8">
        <f t="shared" ca="1" si="302"/>
        <v>0</v>
      </c>
      <c r="H163" s="8">
        <f t="shared" ref="H163:AM163" ca="1" si="303">H145</f>
        <v>0</v>
      </c>
      <c r="I163" s="8">
        <f t="shared" ca="1" si="303"/>
        <v>0</v>
      </c>
      <c r="J163" s="8">
        <f t="shared" ca="1" si="303"/>
        <v>0</v>
      </c>
      <c r="K163" s="8">
        <f t="shared" ca="1" si="303"/>
        <v>0</v>
      </c>
      <c r="L163" s="8">
        <f t="shared" ca="1" si="303"/>
        <v>0</v>
      </c>
      <c r="M163" s="8">
        <f t="shared" ca="1" si="303"/>
        <v>0</v>
      </c>
      <c r="N163" s="8">
        <f t="shared" ca="1" si="303"/>
        <v>0</v>
      </c>
      <c r="O163" s="8">
        <f t="shared" ca="1" si="303"/>
        <v>0</v>
      </c>
      <c r="P163" s="8">
        <f t="shared" ca="1" si="303"/>
        <v>0</v>
      </c>
      <c r="Q163" s="8">
        <f t="shared" ca="1" si="303"/>
        <v>0</v>
      </c>
      <c r="R163" s="8">
        <f t="shared" ca="1" si="303"/>
        <v>0</v>
      </c>
      <c r="S163" s="8">
        <f t="shared" ca="1" si="303"/>
        <v>0</v>
      </c>
      <c r="T163" s="8">
        <f t="shared" ca="1" si="303"/>
        <v>0</v>
      </c>
      <c r="U163" s="8">
        <f t="shared" ca="1" si="303"/>
        <v>0</v>
      </c>
      <c r="V163" s="8">
        <f t="shared" ca="1" si="303"/>
        <v>0</v>
      </c>
      <c r="W163" s="8">
        <f t="shared" ca="1" si="303"/>
        <v>0</v>
      </c>
      <c r="X163" s="8">
        <f t="shared" ca="1" si="303"/>
        <v>0</v>
      </c>
      <c r="Y163" s="8">
        <f t="shared" ca="1" si="303"/>
        <v>0</v>
      </c>
      <c r="Z163" s="8">
        <f t="shared" ca="1" si="303"/>
        <v>0</v>
      </c>
      <c r="AA163" s="8">
        <f t="shared" ca="1" si="303"/>
        <v>0</v>
      </c>
      <c r="AB163" s="8">
        <f t="shared" ca="1" si="303"/>
        <v>0</v>
      </c>
      <c r="AC163" s="8">
        <f t="shared" ca="1" si="303"/>
        <v>0</v>
      </c>
      <c r="AD163" s="8">
        <f t="shared" ca="1" si="303"/>
        <v>0</v>
      </c>
      <c r="AE163" s="8">
        <f t="shared" ca="1" si="303"/>
        <v>0</v>
      </c>
      <c r="AF163" s="8">
        <f t="shared" ca="1" si="303"/>
        <v>0</v>
      </c>
      <c r="AG163" s="8">
        <f t="shared" ca="1" si="303"/>
        <v>0</v>
      </c>
      <c r="AH163" s="8">
        <f t="shared" ca="1" si="303"/>
        <v>0</v>
      </c>
      <c r="AI163" s="8">
        <f t="shared" ca="1" si="303"/>
        <v>0</v>
      </c>
      <c r="AJ163" s="8">
        <f t="shared" ca="1" si="303"/>
        <v>0</v>
      </c>
      <c r="AK163" s="8">
        <f t="shared" ca="1" si="303"/>
        <v>0</v>
      </c>
      <c r="AL163" s="8">
        <f t="shared" ca="1" si="303"/>
        <v>0</v>
      </c>
      <c r="AM163" s="8">
        <f t="shared" ca="1" si="303"/>
        <v>0</v>
      </c>
      <c r="AN163" s="8">
        <f t="shared" ref="AN163:AV163" ca="1" si="304">AN145</f>
        <v>0</v>
      </c>
      <c r="AO163" s="8">
        <f t="shared" ca="1" si="304"/>
        <v>0</v>
      </c>
      <c r="AP163" s="8">
        <f t="shared" ca="1" si="304"/>
        <v>0</v>
      </c>
      <c r="AQ163" s="8">
        <f t="shared" ca="1" si="304"/>
        <v>0</v>
      </c>
      <c r="AR163" s="8">
        <f t="shared" ca="1" si="304"/>
        <v>0</v>
      </c>
      <c r="AS163" s="8">
        <f t="shared" ca="1" si="304"/>
        <v>0</v>
      </c>
      <c r="AT163" s="8">
        <f t="shared" ca="1" si="304"/>
        <v>0</v>
      </c>
      <c r="AU163" s="8">
        <f t="shared" ca="1" si="304"/>
        <v>0</v>
      </c>
      <c r="AV163" s="8">
        <f t="shared" ca="1" si="304"/>
        <v>0</v>
      </c>
      <c r="AW163" s="8">
        <f t="shared" ref="AW163" ca="1" si="305">AW145</f>
        <v>0</v>
      </c>
    </row>
    <row r="164" spans="1:49" x14ac:dyDescent="0.2">
      <c r="A164" s="19" t="str">
        <f t="shared" si="290"/>
        <v/>
      </c>
      <c r="C164" s="8">
        <f t="shared" ref="C164:G164" ca="1" si="306">C146</f>
        <v>0</v>
      </c>
      <c r="D164" s="8">
        <f t="shared" ca="1" si="306"/>
        <v>0</v>
      </c>
      <c r="E164" s="8">
        <f t="shared" ca="1" si="306"/>
        <v>0</v>
      </c>
      <c r="F164" s="8">
        <f t="shared" ca="1" si="306"/>
        <v>0</v>
      </c>
      <c r="G164" s="8">
        <f t="shared" ca="1" si="306"/>
        <v>0</v>
      </c>
      <c r="H164" s="8">
        <f t="shared" ref="H164:AM164" ca="1" si="307">H146</f>
        <v>0</v>
      </c>
      <c r="I164" s="8">
        <f t="shared" ca="1" si="307"/>
        <v>0</v>
      </c>
      <c r="J164" s="8">
        <f t="shared" ca="1" si="307"/>
        <v>0</v>
      </c>
      <c r="K164" s="8">
        <f t="shared" ca="1" si="307"/>
        <v>0</v>
      </c>
      <c r="L164" s="8">
        <f t="shared" ca="1" si="307"/>
        <v>0</v>
      </c>
      <c r="M164" s="8">
        <f t="shared" ca="1" si="307"/>
        <v>0</v>
      </c>
      <c r="N164" s="8">
        <f t="shared" ca="1" si="307"/>
        <v>0</v>
      </c>
      <c r="O164" s="8">
        <f t="shared" ca="1" si="307"/>
        <v>0</v>
      </c>
      <c r="P164" s="8">
        <f t="shared" ca="1" si="307"/>
        <v>0</v>
      </c>
      <c r="Q164" s="8">
        <f t="shared" ca="1" si="307"/>
        <v>0</v>
      </c>
      <c r="R164" s="8">
        <f t="shared" ca="1" si="307"/>
        <v>0</v>
      </c>
      <c r="S164" s="8">
        <f t="shared" ca="1" si="307"/>
        <v>0</v>
      </c>
      <c r="T164" s="8">
        <f t="shared" ca="1" si="307"/>
        <v>0</v>
      </c>
      <c r="U164" s="8">
        <f t="shared" ca="1" si="307"/>
        <v>0</v>
      </c>
      <c r="V164" s="8">
        <f t="shared" ca="1" si="307"/>
        <v>0</v>
      </c>
      <c r="W164" s="8">
        <f t="shared" ca="1" si="307"/>
        <v>0</v>
      </c>
      <c r="X164" s="8">
        <f t="shared" ca="1" si="307"/>
        <v>0</v>
      </c>
      <c r="Y164" s="8">
        <f t="shared" ca="1" si="307"/>
        <v>0</v>
      </c>
      <c r="Z164" s="8">
        <f t="shared" ca="1" si="307"/>
        <v>0</v>
      </c>
      <c r="AA164" s="8">
        <f t="shared" ca="1" si="307"/>
        <v>0</v>
      </c>
      <c r="AB164" s="8">
        <f t="shared" ca="1" si="307"/>
        <v>0</v>
      </c>
      <c r="AC164" s="8">
        <f t="shared" ca="1" si="307"/>
        <v>0</v>
      </c>
      <c r="AD164" s="8">
        <f t="shared" ca="1" si="307"/>
        <v>0</v>
      </c>
      <c r="AE164" s="8">
        <f t="shared" ca="1" si="307"/>
        <v>0</v>
      </c>
      <c r="AF164" s="8">
        <f t="shared" ca="1" si="307"/>
        <v>0</v>
      </c>
      <c r="AG164" s="8">
        <f t="shared" ca="1" si="307"/>
        <v>0</v>
      </c>
      <c r="AH164" s="8">
        <f t="shared" ca="1" si="307"/>
        <v>0</v>
      </c>
      <c r="AI164" s="8">
        <f t="shared" ca="1" si="307"/>
        <v>0</v>
      </c>
      <c r="AJ164" s="8">
        <f t="shared" ca="1" si="307"/>
        <v>0</v>
      </c>
      <c r="AK164" s="8">
        <f t="shared" ca="1" si="307"/>
        <v>0</v>
      </c>
      <c r="AL164" s="8">
        <f t="shared" ca="1" si="307"/>
        <v>0</v>
      </c>
      <c r="AM164" s="8">
        <f t="shared" ca="1" si="307"/>
        <v>0</v>
      </c>
      <c r="AN164" s="8">
        <f t="shared" ref="AN164:AV164" ca="1" si="308">AN146</f>
        <v>0</v>
      </c>
      <c r="AO164" s="8">
        <f t="shared" ca="1" si="308"/>
        <v>0</v>
      </c>
      <c r="AP164" s="8">
        <f t="shared" ca="1" si="308"/>
        <v>0</v>
      </c>
      <c r="AQ164" s="8">
        <f t="shared" ca="1" si="308"/>
        <v>0</v>
      </c>
      <c r="AR164" s="8">
        <f t="shared" ca="1" si="308"/>
        <v>0</v>
      </c>
      <c r="AS164" s="8">
        <f t="shared" ca="1" si="308"/>
        <v>0</v>
      </c>
      <c r="AT164" s="8">
        <f t="shared" ca="1" si="308"/>
        <v>0</v>
      </c>
      <c r="AU164" s="8">
        <f t="shared" ca="1" si="308"/>
        <v>0</v>
      </c>
      <c r="AV164" s="8">
        <f t="shared" ca="1" si="308"/>
        <v>0</v>
      </c>
      <c r="AW164" s="8">
        <f t="shared" ref="AW164" ca="1" si="309">AW146</f>
        <v>0</v>
      </c>
    </row>
    <row r="165" spans="1:49" x14ac:dyDescent="0.2">
      <c r="A165" s="18" t="str">
        <f t="shared" si="290"/>
        <v>Stock market equity investments</v>
      </c>
      <c r="C165" s="8">
        <f t="shared" ref="C165:AM165" ca="1" si="310">C77</f>
        <v>54000</v>
      </c>
      <c r="D165" s="8">
        <f t="shared" ca="1" si="310"/>
        <v>58320</v>
      </c>
      <c r="E165" s="8">
        <f t="shared" ca="1" si="310"/>
        <v>62985.599999999999</v>
      </c>
      <c r="F165" s="8">
        <f t="shared" ca="1" si="310"/>
        <v>68024.448000000004</v>
      </c>
      <c r="G165" s="8">
        <f t="shared" ca="1" si="310"/>
        <v>73466.403839999999</v>
      </c>
      <c r="H165" s="8">
        <f t="shared" ca="1" si="310"/>
        <v>79343.716147200001</v>
      </c>
      <c r="I165" s="8">
        <f t="shared" ca="1" si="310"/>
        <v>85691.213438976003</v>
      </c>
      <c r="J165" s="8">
        <f t="shared" ca="1" si="310"/>
        <v>92546.510514094087</v>
      </c>
      <c r="K165" s="8">
        <f t="shared" ca="1" si="310"/>
        <v>99950.231355221607</v>
      </c>
      <c r="L165" s="8">
        <f t="shared" ca="1" si="310"/>
        <v>107946.24986363934</v>
      </c>
      <c r="M165" s="8">
        <f t="shared" ca="1" si="310"/>
        <v>116581.9498527305</v>
      </c>
      <c r="N165" s="8">
        <f t="shared" ca="1" si="310"/>
        <v>125908.50584094894</v>
      </c>
      <c r="O165" s="8">
        <f t="shared" ca="1" si="310"/>
        <v>135981.18630822486</v>
      </c>
      <c r="P165" s="8">
        <f t="shared" ca="1" si="310"/>
        <v>146859.68121288286</v>
      </c>
      <c r="Q165" s="8">
        <f t="shared" ca="1" si="310"/>
        <v>158608.45570991348</v>
      </c>
      <c r="R165" s="8">
        <f t="shared" ca="1" si="310"/>
        <v>171297.13216670655</v>
      </c>
      <c r="S165" s="8">
        <f t="shared" ca="1" si="310"/>
        <v>185000.90274004306</v>
      </c>
      <c r="T165" s="8">
        <f t="shared" ca="1" si="310"/>
        <v>199800.97495924652</v>
      </c>
      <c r="U165" s="8">
        <f t="shared" ca="1" si="310"/>
        <v>215785.05295598623</v>
      </c>
      <c r="V165" s="8">
        <f t="shared" ca="1" si="310"/>
        <v>233047.85719246513</v>
      </c>
      <c r="W165" s="8">
        <f t="shared" ca="1" si="310"/>
        <v>251691.68576786233</v>
      </c>
      <c r="X165" s="8">
        <f t="shared" ca="1" si="310"/>
        <v>271827.02062929131</v>
      </c>
      <c r="Y165" s="8">
        <f t="shared" ca="1" si="310"/>
        <v>293573.18227963464</v>
      </c>
      <c r="Z165" s="8">
        <f t="shared" ca="1" si="310"/>
        <v>317059.03686200542</v>
      </c>
      <c r="AA165" s="8">
        <f t="shared" ca="1" si="310"/>
        <v>342423.75981096586</v>
      </c>
      <c r="AB165" s="8">
        <f t="shared" ca="1" si="310"/>
        <v>369817.6605958431</v>
      </c>
      <c r="AC165" s="8">
        <f t="shared" ca="1" si="310"/>
        <v>373121.34465712792</v>
      </c>
      <c r="AD165" s="8">
        <f t="shared" ca="1" si="310"/>
        <v>342076.67271022295</v>
      </c>
      <c r="AE165" s="8">
        <f t="shared" ca="1" si="310"/>
        <v>318374.56552093546</v>
      </c>
      <c r="AF165" s="8">
        <f t="shared" ca="1" si="310"/>
        <v>291499.58373135229</v>
      </c>
      <c r="AG165" s="8">
        <f t="shared" ca="1" si="310"/>
        <v>261165.97972282104</v>
      </c>
      <c r="AH165" s="8">
        <f t="shared" ca="1" si="310"/>
        <v>227064.34812593131</v>
      </c>
      <c r="AI165" s="8">
        <f t="shared" ca="1" si="310"/>
        <v>188859.71325192251</v>
      </c>
      <c r="AJ165" s="8">
        <f t="shared" ca="1" si="310"/>
        <v>146189.46301989097</v>
      </c>
      <c r="AK165" s="8">
        <f t="shared" ca="1" si="310"/>
        <v>98661.117086992279</v>
      </c>
      <c r="AL165" s="8">
        <f t="shared" ca="1" si="310"/>
        <v>45849.915905099457</v>
      </c>
      <c r="AM165" s="8">
        <f t="shared" ca="1" si="310"/>
        <v>0</v>
      </c>
      <c r="AN165" s="8">
        <f t="shared" ref="AN165:AV165" ca="1" si="311">AN77</f>
        <v>0</v>
      </c>
      <c r="AO165" s="8">
        <f t="shared" ca="1" si="311"/>
        <v>0</v>
      </c>
      <c r="AP165" s="8">
        <f t="shared" ca="1" si="311"/>
        <v>0</v>
      </c>
      <c r="AQ165" s="8">
        <f t="shared" ca="1" si="311"/>
        <v>0</v>
      </c>
      <c r="AR165" s="8">
        <f t="shared" ca="1" si="311"/>
        <v>0</v>
      </c>
      <c r="AS165" s="8">
        <f t="shared" ca="1" si="311"/>
        <v>0</v>
      </c>
      <c r="AT165" s="8">
        <f t="shared" ca="1" si="311"/>
        <v>0</v>
      </c>
      <c r="AU165" s="8">
        <f t="shared" ca="1" si="311"/>
        <v>0</v>
      </c>
      <c r="AV165" s="8">
        <f t="shared" ca="1" si="311"/>
        <v>0</v>
      </c>
      <c r="AW165" s="8">
        <f t="shared" ref="AW165" ca="1" si="312">AW77</f>
        <v>0</v>
      </c>
    </row>
    <row r="166" spans="1:49" x14ac:dyDescent="0.2">
      <c r="A166" s="18" t="str">
        <f t="shared" si="290"/>
        <v>Home loan</v>
      </c>
      <c r="C166" s="8">
        <f t="shared" ref="C166:AM166" si="313">C60</f>
        <v>-113916.80861729867</v>
      </c>
      <c r="D166" s="8">
        <f t="shared" si="313"/>
        <v>-107648.59114760446</v>
      </c>
      <c r="E166" s="8">
        <f t="shared" si="313"/>
        <v>-101189.71984542748</v>
      </c>
      <c r="F166" s="8">
        <f t="shared" si="313"/>
        <v>-94534.39579201366</v>
      </c>
      <c r="G166" s="8">
        <f t="shared" si="313"/>
        <v>-87676.643688945813</v>
      </c>
      <c r="H166" s="8">
        <f t="shared" si="313"/>
        <v>-80610.306493387528</v>
      </c>
      <c r="I166" s="8">
        <f t="shared" si="313"/>
        <v>-73329.039890152781</v>
      </c>
      <c r="J166" s="8">
        <f t="shared" si="313"/>
        <v>-65826.306595638322</v>
      </c>
      <c r="K166" s="8">
        <f t="shared" si="313"/>
        <v>-58095.370488504399</v>
      </c>
      <c r="L166" s="8">
        <f t="shared" si="313"/>
        <v>-50129.29056183486</v>
      </c>
      <c r="M166" s="8">
        <f t="shared" si="313"/>
        <v>-41920.914691346072</v>
      </c>
      <c r="N166" s="8">
        <f t="shared" si="313"/>
        <v>-33462.873214050662</v>
      </c>
      <c r="O166" s="8">
        <f t="shared" si="313"/>
        <v>-24747.572311609256</v>
      </c>
      <c r="P166" s="8">
        <f t="shared" si="313"/>
        <v>-15767.187192430836</v>
      </c>
      <c r="Q166" s="8">
        <f t="shared" si="313"/>
        <v>-6513.6550664008246</v>
      </c>
      <c r="R166" s="8">
        <f t="shared" si="313"/>
        <v>0</v>
      </c>
      <c r="S166" s="8">
        <f t="shared" si="313"/>
        <v>0</v>
      </c>
      <c r="T166" s="8">
        <f t="shared" si="313"/>
        <v>0</v>
      </c>
      <c r="U166" s="8">
        <f t="shared" si="313"/>
        <v>0</v>
      </c>
      <c r="V166" s="8">
        <f t="shared" si="313"/>
        <v>0</v>
      </c>
      <c r="W166" s="8">
        <f t="shared" si="313"/>
        <v>0</v>
      </c>
      <c r="X166" s="8">
        <f t="shared" si="313"/>
        <v>0</v>
      </c>
      <c r="Y166" s="8">
        <f t="shared" si="313"/>
        <v>0</v>
      </c>
      <c r="Z166" s="8">
        <f t="shared" si="313"/>
        <v>0</v>
      </c>
      <c r="AA166" s="8">
        <f t="shared" si="313"/>
        <v>0</v>
      </c>
      <c r="AB166" s="8">
        <f t="shared" si="313"/>
        <v>0</v>
      </c>
      <c r="AC166" s="8">
        <f t="shared" si="313"/>
        <v>0</v>
      </c>
      <c r="AD166" s="8">
        <f t="shared" si="313"/>
        <v>0</v>
      </c>
      <c r="AE166" s="8">
        <f t="shared" si="313"/>
        <v>0</v>
      </c>
      <c r="AF166" s="8">
        <f t="shared" si="313"/>
        <v>0</v>
      </c>
      <c r="AG166" s="8">
        <f t="shared" si="313"/>
        <v>0</v>
      </c>
      <c r="AH166" s="8">
        <f t="shared" si="313"/>
        <v>0</v>
      </c>
      <c r="AI166" s="8">
        <f t="shared" si="313"/>
        <v>0</v>
      </c>
      <c r="AJ166" s="8">
        <f t="shared" si="313"/>
        <v>0</v>
      </c>
      <c r="AK166" s="8">
        <f t="shared" si="313"/>
        <v>0</v>
      </c>
      <c r="AL166" s="8">
        <f t="shared" si="313"/>
        <v>0</v>
      </c>
      <c r="AM166" s="8">
        <f t="shared" si="313"/>
        <v>0</v>
      </c>
      <c r="AN166" s="8">
        <f t="shared" ref="AN166:AV166" si="314">AN60</f>
        <v>0</v>
      </c>
      <c r="AO166" s="8">
        <f t="shared" si="314"/>
        <v>0</v>
      </c>
      <c r="AP166" s="8">
        <f t="shared" si="314"/>
        <v>0</v>
      </c>
      <c r="AQ166" s="8">
        <f t="shared" si="314"/>
        <v>0</v>
      </c>
      <c r="AR166" s="8">
        <f t="shared" si="314"/>
        <v>0</v>
      </c>
      <c r="AS166" s="8">
        <f t="shared" si="314"/>
        <v>0</v>
      </c>
      <c r="AT166" s="8">
        <f t="shared" si="314"/>
        <v>0</v>
      </c>
      <c r="AU166" s="8">
        <f t="shared" si="314"/>
        <v>0</v>
      </c>
      <c r="AV166" s="8">
        <f t="shared" si="314"/>
        <v>0</v>
      </c>
      <c r="AW166" s="8">
        <f t="shared" ref="AW166" si="315">AW60</f>
        <v>0</v>
      </c>
    </row>
    <row r="167" spans="1:49" x14ac:dyDescent="0.2">
      <c r="A167" s="18" t="str">
        <f t="shared" si="290"/>
        <v>Other property loans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">
      <c r="A168" s="19" t="str">
        <f t="shared" si="290"/>
        <v>Sliema</v>
      </c>
      <c r="C168" s="8">
        <f ca="1">C154</f>
        <v>0</v>
      </c>
      <c r="D168" s="8">
        <f t="shared" ref="D168:G168" ca="1" si="316">D154</f>
        <v>0</v>
      </c>
      <c r="E168" s="8">
        <f t="shared" ca="1" si="316"/>
        <v>0</v>
      </c>
      <c r="F168" s="8">
        <f t="shared" ca="1" si="316"/>
        <v>0</v>
      </c>
      <c r="G168" s="8">
        <f t="shared" ca="1" si="316"/>
        <v>0</v>
      </c>
      <c r="H168" s="8">
        <f t="shared" ref="H168:AM168" ca="1" si="317">H154</f>
        <v>0</v>
      </c>
      <c r="I168" s="8">
        <f t="shared" ca="1" si="317"/>
        <v>0</v>
      </c>
      <c r="J168" s="8">
        <f t="shared" ca="1" si="317"/>
        <v>0</v>
      </c>
      <c r="K168" s="8">
        <f t="shared" ca="1" si="317"/>
        <v>0</v>
      </c>
      <c r="L168" s="8">
        <f t="shared" ca="1" si="317"/>
        <v>0</v>
      </c>
      <c r="M168" s="8">
        <f t="shared" ca="1" si="317"/>
        <v>0</v>
      </c>
      <c r="N168" s="8">
        <f t="shared" ca="1" si="317"/>
        <v>0</v>
      </c>
      <c r="O168" s="8">
        <f t="shared" ca="1" si="317"/>
        <v>0</v>
      </c>
      <c r="P168" s="8">
        <f t="shared" ca="1" si="317"/>
        <v>0</v>
      </c>
      <c r="Q168" s="8">
        <f t="shared" ca="1" si="317"/>
        <v>0</v>
      </c>
      <c r="R168" s="8">
        <f t="shared" ca="1" si="317"/>
        <v>0</v>
      </c>
      <c r="S168" s="8">
        <f t="shared" ca="1" si="317"/>
        <v>0</v>
      </c>
      <c r="T168" s="8">
        <f t="shared" ca="1" si="317"/>
        <v>0</v>
      </c>
      <c r="U168" s="8">
        <f t="shared" ca="1" si="317"/>
        <v>0</v>
      </c>
      <c r="V168" s="8">
        <f t="shared" ca="1" si="317"/>
        <v>0</v>
      </c>
      <c r="W168" s="8">
        <f t="shared" ca="1" si="317"/>
        <v>0</v>
      </c>
      <c r="X168" s="8">
        <f t="shared" ca="1" si="317"/>
        <v>0</v>
      </c>
      <c r="Y168" s="8">
        <f t="shared" ca="1" si="317"/>
        <v>0</v>
      </c>
      <c r="Z168" s="8">
        <f t="shared" ca="1" si="317"/>
        <v>0</v>
      </c>
      <c r="AA168" s="8">
        <f t="shared" ca="1" si="317"/>
        <v>0</v>
      </c>
      <c r="AB168" s="8">
        <f t="shared" ca="1" si="317"/>
        <v>0</v>
      </c>
      <c r="AC168" s="8">
        <f t="shared" ca="1" si="317"/>
        <v>0</v>
      </c>
      <c r="AD168" s="8">
        <f t="shared" ca="1" si="317"/>
        <v>0</v>
      </c>
      <c r="AE168" s="8">
        <f t="shared" ca="1" si="317"/>
        <v>0</v>
      </c>
      <c r="AF168" s="8">
        <f t="shared" ca="1" si="317"/>
        <v>0</v>
      </c>
      <c r="AG168" s="8">
        <f t="shared" ca="1" si="317"/>
        <v>0</v>
      </c>
      <c r="AH168" s="8">
        <f t="shared" ca="1" si="317"/>
        <v>0</v>
      </c>
      <c r="AI168" s="8">
        <f t="shared" ca="1" si="317"/>
        <v>0</v>
      </c>
      <c r="AJ168" s="8">
        <f t="shared" ca="1" si="317"/>
        <v>0</v>
      </c>
      <c r="AK168" s="8">
        <f t="shared" ca="1" si="317"/>
        <v>0</v>
      </c>
      <c r="AL168" s="8">
        <f t="shared" ca="1" si="317"/>
        <v>0</v>
      </c>
      <c r="AM168" s="8">
        <f t="shared" ca="1" si="317"/>
        <v>0</v>
      </c>
      <c r="AN168" s="8">
        <f t="shared" ref="AN168:AV168" ca="1" si="318">AN154</f>
        <v>0</v>
      </c>
      <c r="AO168" s="8">
        <f t="shared" ca="1" si="318"/>
        <v>0</v>
      </c>
      <c r="AP168" s="8">
        <f t="shared" ca="1" si="318"/>
        <v>0</v>
      </c>
      <c r="AQ168" s="8">
        <f t="shared" ca="1" si="318"/>
        <v>0</v>
      </c>
      <c r="AR168" s="8">
        <f t="shared" ca="1" si="318"/>
        <v>0</v>
      </c>
      <c r="AS168" s="8">
        <f t="shared" ca="1" si="318"/>
        <v>0</v>
      </c>
      <c r="AT168" s="8">
        <f t="shared" ca="1" si="318"/>
        <v>0</v>
      </c>
      <c r="AU168" s="8">
        <f t="shared" ca="1" si="318"/>
        <v>0</v>
      </c>
      <c r="AV168" s="8">
        <f t="shared" ca="1" si="318"/>
        <v>0</v>
      </c>
      <c r="AW168" s="8">
        <f t="shared" ref="AW168" ca="1" si="319">AW154</f>
        <v>0</v>
      </c>
    </row>
    <row r="169" spans="1:49" x14ac:dyDescent="0.2">
      <c r="A169" s="19" t="str">
        <f t="shared" si="290"/>
        <v/>
      </c>
      <c r="C169" s="8">
        <f ca="1">C155</f>
        <v>0</v>
      </c>
      <c r="D169" s="8">
        <f t="shared" ref="D169:G169" ca="1" si="320">D155</f>
        <v>0</v>
      </c>
      <c r="E169" s="8">
        <f t="shared" ca="1" si="320"/>
        <v>0</v>
      </c>
      <c r="F169" s="8">
        <f t="shared" ca="1" si="320"/>
        <v>0</v>
      </c>
      <c r="G169" s="8">
        <f t="shared" ca="1" si="320"/>
        <v>0</v>
      </c>
      <c r="H169" s="8">
        <f t="shared" ref="H169:AM169" ca="1" si="321">H155</f>
        <v>0</v>
      </c>
      <c r="I169" s="8">
        <f t="shared" ca="1" si="321"/>
        <v>0</v>
      </c>
      <c r="J169" s="8">
        <f t="shared" ca="1" si="321"/>
        <v>0</v>
      </c>
      <c r="K169" s="8">
        <f t="shared" ca="1" si="321"/>
        <v>0</v>
      </c>
      <c r="L169" s="8">
        <f t="shared" ca="1" si="321"/>
        <v>0</v>
      </c>
      <c r="M169" s="8">
        <f t="shared" ca="1" si="321"/>
        <v>0</v>
      </c>
      <c r="N169" s="8">
        <f t="shared" ca="1" si="321"/>
        <v>0</v>
      </c>
      <c r="O169" s="8">
        <f t="shared" ca="1" si="321"/>
        <v>0</v>
      </c>
      <c r="P169" s="8">
        <f t="shared" ca="1" si="321"/>
        <v>0</v>
      </c>
      <c r="Q169" s="8">
        <f t="shared" ca="1" si="321"/>
        <v>0</v>
      </c>
      <c r="R169" s="8">
        <f t="shared" ca="1" si="321"/>
        <v>0</v>
      </c>
      <c r="S169" s="8">
        <f t="shared" ca="1" si="321"/>
        <v>0</v>
      </c>
      <c r="T169" s="8">
        <f t="shared" ca="1" si="321"/>
        <v>0</v>
      </c>
      <c r="U169" s="8">
        <f t="shared" ca="1" si="321"/>
        <v>0</v>
      </c>
      <c r="V169" s="8">
        <f t="shared" ca="1" si="321"/>
        <v>0</v>
      </c>
      <c r="W169" s="8">
        <f t="shared" ca="1" si="321"/>
        <v>0</v>
      </c>
      <c r="X169" s="8">
        <f t="shared" ca="1" si="321"/>
        <v>0</v>
      </c>
      <c r="Y169" s="8">
        <f t="shared" ca="1" si="321"/>
        <v>0</v>
      </c>
      <c r="Z169" s="8">
        <f t="shared" ca="1" si="321"/>
        <v>0</v>
      </c>
      <c r="AA169" s="8">
        <f t="shared" ca="1" si="321"/>
        <v>0</v>
      </c>
      <c r="AB169" s="8">
        <f t="shared" ca="1" si="321"/>
        <v>0</v>
      </c>
      <c r="AC169" s="8">
        <f t="shared" ca="1" si="321"/>
        <v>0</v>
      </c>
      <c r="AD169" s="8">
        <f t="shared" ca="1" si="321"/>
        <v>0</v>
      </c>
      <c r="AE169" s="8">
        <f t="shared" ca="1" si="321"/>
        <v>0</v>
      </c>
      <c r="AF169" s="8">
        <f t="shared" ca="1" si="321"/>
        <v>0</v>
      </c>
      <c r="AG169" s="8">
        <f t="shared" ca="1" si="321"/>
        <v>0</v>
      </c>
      <c r="AH169" s="8">
        <f t="shared" ca="1" si="321"/>
        <v>0</v>
      </c>
      <c r="AI169" s="8">
        <f t="shared" ca="1" si="321"/>
        <v>0</v>
      </c>
      <c r="AJ169" s="8">
        <f t="shared" ca="1" si="321"/>
        <v>0</v>
      </c>
      <c r="AK169" s="8">
        <f t="shared" ca="1" si="321"/>
        <v>0</v>
      </c>
      <c r="AL169" s="8">
        <f t="shared" ca="1" si="321"/>
        <v>0</v>
      </c>
      <c r="AM169" s="8">
        <f t="shared" ca="1" si="321"/>
        <v>0</v>
      </c>
      <c r="AN169" s="8">
        <f t="shared" ref="AN169:AV169" ca="1" si="322">AN155</f>
        <v>0</v>
      </c>
      <c r="AO169" s="8">
        <f t="shared" ca="1" si="322"/>
        <v>0</v>
      </c>
      <c r="AP169" s="8">
        <f t="shared" ca="1" si="322"/>
        <v>0</v>
      </c>
      <c r="AQ169" s="8">
        <f t="shared" ca="1" si="322"/>
        <v>0</v>
      </c>
      <c r="AR169" s="8">
        <f t="shared" ca="1" si="322"/>
        <v>0</v>
      </c>
      <c r="AS169" s="8">
        <f t="shared" ca="1" si="322"/>
        <v>0</v>
      </c>
      <c r="AT169" s="8">
        <f t="shared" ca="1" si="322"/>
        <v>0</v>
      </c>
      <c r="AU169" s="8">
        <f t="shared" ca="1" si="322"/>
        <v>0</v>
      </c>
      <c r="AV169" s="8">
        <f t="shared" ca="1" si="322"/>
        <v>0</v>
      </c>
      <c r="AW169" s="8">
        <f t="shared" ref="AW169" ca="1" si="323">AW155</f>
        <v>0</v>
      </c>
    </row>
    <row r="170" spans="1:49" x14ac:dyDescent="0.2">
      <c r="A170" s="19" t="str">
        <f t="shared" si="290"/>
        <v/>
      </c>
      <c r="C170" s="8">
        <f ca="1">C156</f>
        <v>0</v>
      </c>
      <c r="D170" s="8">
        <f t="shared" ref="D170:G170" ca="1" si="324">D156</f>
        <v>0</v>
      </c>
      <c r="E170" s="8">
        <f t="shared" ca="1" si="324"/>
        <v>0</v>
      </c>
      <c r="F170" s="8">
        <f t="shared" ca="1" si="324"/>
        <v>0</v>
      </c>
      <c r="G170" s="8">
        <f t="shared" ca="1" si="324"/>
        <v>0</v>
      </c>
      <c r="H170" s="8">
        <f t="shared" ref="H170:AM170" ca="1" si="325">H156</f>
        <v>0</v>
      </c>
      <c r="I170" s="8">
        <f t="shared" ca="1" si="325"/>
        <v>0</v>
      </c>
      <c r="J170" s="8">
        <f t="shared" ca="1" si="325"/>
        <v>0</v>
      </c>
      <c r="K170" s="8">
        <f t="shared" ca="1" si="325"/>
        <v>0</v>
      </c>
      <c r="L170" s="8">
        <f t="shared" ca="1" si="325"/>
        <v>0</v>
      </c>
      <c r="M170" s="8">
        <f t="shared" ca="1" si="325"/>
        <v>0</v>
      </c>
      <c r="N170" s="8">
        <f t="shared" ca="1" si="325"/>
        <v>0</v>
      </c>
      <c r="O170" s="8">
        <f t="shared" ca="1" si="325"/>
        <v>0</v>
      </c>
      <c r="P170" s="8">
        <f t="shared" ca="1" si="325"/>
        <v>0</v>
      </c>
      <c r="Q170" s="8">
        <f t="shared" ca="1" si="325"/>
        <v>0</v>
      </c>
      <c r="R170" s="8">
        <f t="shared" ca="1" si="325"/>
        <v>0</v>
      </c>
      <c r="S170" s="8">
        <f t="shared" ca="1" si="325"/>
        <v>0</v>
      </c>
      <c r="T170" s="8">
        <f t="shared" ca="1" si="325"/>
        <v>0</v>
      </c>
      <c r="U170" s="8">
        <f t="shared" ca="1" si="325"/>
        <v>0</v>
      </c>
      <c r="V170" s="8">
        <f t="shared" ca="1" si="325"/>
        <v>0</v>
      </c>
      <c r="W170" s="8">
        <f t="shared" ca="1" si="325"/>
        <v>0</v>
      </c>
      <c r="X170" s="8">
        <f t="shared" ca="1" si="325"/>
        <v>0</v>
      </c>
      <c r="Y170" s="8">
        <f t="shared" ca="1" si="325"/>
        <v>0</v>
      </c>
      <c r="Z170" s="8">
        <f t="shared" ca="1" si="325"/>
        <v>0</v>
      </c>
      <c r="AA170" s="8">
        <f t="shared" ca="1" si="325"/>
        <v>0</v>
      </c>
      <c r="AB170" s="8">
        <f t="shared" ca="1" si="325"/>
        <v>0</v>
      </c>
      <c r="AC170" s="8">
        <f t="shared" ca="1" si="325"/>
        <v>0</v>
      </c>
      <c r="AD170" s="8">
        <f t="shared" ca="1" si="325"/>
        <v>0</v>
      </c>
      <c r="AE170" s="8">
        <f t="shared" ca="1" si="325"/>
        <v>0</v>
      </c>
      <c r="AF170" s="8">
        <f t="shared" ca="1" si="325"/>
        <v>0</v>
      </c>
      <c r="AG170" s="8">
        <f t="shared" ca="1" si="325"/>
        <v>0</v>
      </c>
      <c r="AH170" s="8">
        <f t="shared" ca="1" si="325"/>
        <v>0</v>
      </c>
      <c r="AI170" s="8">
        <f t="shared" ca="1" si="325"/>
        <v>0</v>
      </c>
      <c r="AJ170" s="8">
        <f t="shared" ca="1" si="325"/>
        <v>0</v>
      </c>
      <c r="AK170" s="8">
        <f t="shared" ca="1" si="325"/>
        <v>0</v>
      </c>
      <c r="AL170" s="8">
        <f t="shared" ca="1" si="325"/>
        <v>0</v>
      </c>
      <c r="AM170" s="8">
        <f t="shared" ca="1" si="325"/>
        <v>0</v>
      </c>
      <c r="AN170" s="8">
        <f t="shared" ref="AN170:AV170" ca="1" si="326">AN156</f>
        <v>0</v>
      </c>
      <c r="AO170" s="8">
        <f t="shared" ca="1" si="326"/>
        <v>0</v>
      </c>
      <c r="AP170" s="8">
        <f t="shared" ca="1" si="326"/>
        <v>0</v>
      </c>
      <c r="AQ170" s="8">
        <f t="shared" ca="1" si="326"/>
        <v>0</v>
      </c>
      <c r="AR170" s="8">
        <f t="shared" ca="1" si="326"/>
        <v>0</v>
      </c>
      <c r="AS170" s="8">
        <f t="shared" ca="1" si="326"/>
        <v>0</v>
      </c>
      <c r="AT170" s="8">
        <f t="shared" ca="1" si="326"/>
        <v>0</v>
      </c>
      <c r="AU170" s="8">
        <f t="shared" ca="1" si="326"/>
        <v>0</v>
      </c>
      <c r="AV170" s="8">
        <f t="shared" ca="1" si="326"/>
        <v>0</v>
      </c>
      <c r="AW170" s="8">
        <f t="shared" ref="AW170" ca="1" si="327">AW156</f>
        <v>0</v>
      </c>
    </row>
    <row r="171" spans="1:49" x14ac:dyDescent="0.2">
      <c r="A171" s="18" t="str">
        <f t="shared" si="290"/>
        <v>Other loan</v>
      </c>
      <c r="C171" s="8">
        <f t="shared" ref="C171:AM171" si="328">C65</f>
        <v>0</v>
      </c>
      <c r="D171" s="8">
        <f t="shared" si="328"/>
        <v>0</v>
      </c>
      <c r="E171" s="8">
        <f t="shared" si="328"/>
        <v>0</v>
      </c>
      <c r="F171" s="8">
        <f t="shared" si="328"/>
        <v>0</v>
      </c>
      <c r="G171" s="8">
        <f t="shared" si="328"/>
        <v>0</v>
      </c>
      <c r="H171" s="8">
        <f t="shared" si="328"/>
        <v>0</v>
      </c>
      <c r="I171" s="8">
        <f t="shared" si="328"/>
        <v>0</v>
      </c>
      <c r="J171" s="8">
        <f t="shared" si="328"/>
        <v>0</v>
      </c>
      <c r="K171" s="8">
        <f t="shared" si="328"/>
        <v>0</v>
      </c>
      <c r="L171" s="8">
        <f t="shared" si="328"/>
        <v>0</v>
      </c>
      <c r="M171" s="8">
        <f t="shared" si="328"/>
        <v>0</v>
      </c>
      <c r="N171" s="8">
        <f t="shared" si="328"/>
        <v>0</v>
      </c>
      <c r="O171" s="8">
        <f t="shared" si="328"/>
        <v>0</v>
      </c>
      <c r="P171" s="8">
        <f t="shared" si="328"/>
        <v>0</v>
      </c>
      <c r="Q171" s="8">
        <f t="shared" si="328"/>
        <v>0</v>
      </c>
      <c r="R171" s="8">
        <f t="shared" si="328"/>
        <v>0</v>
      </c>
      <c r="S171" s="8">
        <f t="shared" si="328"/>
        <v>0</v>
      </c>
      <c r="T171" s="8">
        <f t="shared" si="328"/>
        <v>0</v>
      </c>
      <c r="U171" s="8">
        <f t="shared" si="328"/>
        <v>0</v>
      </c>
      <c r="V171" s="8">
        <f t="shared" si="328"/>
        <v>0</v>
      </c>
      <c r="W171" s="8">
        <f t="shared" si="328"/>
        <v>0</v>
      </c>
      <c r="X171" s="8">
        <f t="shared" si="328"/>
        <v>0</v>
      </c>
      <c r="Y171" s="8">
        <f t="shared" si="328"/>
        <v>0</v>
      </c>
      <c r="Z171" s="8">
        <f t="shared" si="328"/>
        <v>0</v>
      </c>
      <c r="AA171" s="8">
        <f t="shared" si="328"/>
        <v>0</v>
      </c>
      <c r="AB171" s="8">
        <f t="shared" si="328"/>
        <v>0</v>
      </c>
      <c r="AC171" s="8">
        <f t="shared" si="328"/>
        <v>0</v>
      </c>
      <c r="AD171" s="8">
        <f t="shared" si="328"/>
        <v>0</v>
      </c>
      <c r="AE171" s="8">
        <f t="shared" si="328"/>
        <v>0</v>
      </c>
      <c r="AF171" s="8">
        <f t="shared" si="328"/>
        <v>0</v>
      </c>
      <c r="AG171" s="8">
        <f t="shared" si="328"/>
        <v>0</v>
      </c>
      <c r="AH171" s="8">
        <f t="shared" si="328"/>
        <v>0</v>
      </c>
      <c r="AI171" s="8">
        <f t="shared" si="328"/>
        <v>0</v>
      </c>
      <c r="AJ171" s="8">
        <f t="shared" si="328"/>
        <v>0</v>
      </c>
      <c r="AK171" s="8">
        <f t="shared" si="328"/>
        <v>0</v>
      </c>
      <c r="AL171" s="8">
        <f t="shared" si="328"/>
        <v>0</v>
      </c>
      <c r="AM171" s="8">
        <f t="shared" si="328"/>
        <v>0</v>
      </c>
      <c r="AN171" s="8">
        <f t="shared" ref="AN171:AV171" si="329">AN65</f>
        <v>0</v>
      </c>
      <c r="AO171" s="8">
        <f t="shared" si="329"/>
        <v>0</v>
      </c>
      <c r="AP171" s="8">
        <f t="shared" si="329"/>
        <v>0</v>
      </c>
      <c r="AQ171" s="8">
        <f t="shared" si="329"/>
        <v>0</v>
      </c>
      <c r="AR171" s="8">
        <f t="shared" si="329"/>
        <v>0</v>
      </c>
      <c r="AS171" s="8">
        <f t="shared" si="329"/>
        <v>0</v>
      </c>
      <c r="AT171" s="8">
        <f t="shared" si="329"/>
        <v>0</v>
      </c>
      <c r="AU171" s="8">
        <f t="shared" si="329"/>
        <v>0</v>
      </c>
      <c r="AV171" s="8">
        <f t="shared" si="329"/>
        <v>0</v>
      </c>
      <c r="AW171" s="8">
        <f t="shared" ref="AW171" si="330">AW65</f>
        <v>0</v>
      </c>
    </row>
    <row r="172" spans="1:49" x14ac:dyDescent="0.2">
      <c r="A172" s="5"/>
      <c r="C172" s="10">
        <f ca="1">SUM(C158:C171)</f>
        <v>968981.94138270128</v>
      </c>
      <c r="D172" s="10">
        <f t="shared" ref="D172:G172" ca="1" si="331">SUM(D158:D171)</f>
        <v>1009855.5963523956</v>
      </c>
      <c r="E172" s="10">
        <f t="shared" ca="1" si="331"/>
        <v>1052713.1778108226</v>
      </c>
      <c r="F172" s="10">
        <f t="shared" ca="1" si="331"/>
        <v>1097651.5917861115</v>
      </c>
      <c r="G172" s="10">
        <f t="shared" ca="1" si="331"/>
        <v>1144772.700802363</v>
      </c>
      <c r="H172" s="10">
        <f t="shared" ref="H172:AM172" ca="1" si="332">SUM(H158:H171)</f>
        <v>1194183.603946965</v>
      </c>
      <c r="I172" s="10">
        <f t="shared" ca="1" si="332"/>
        <v>1245996.9348095595</v>
      </c>
      <c r="J172" s="10">
        <f t="shared" ca="1" si="332"/>
        <v>1300331.178554723</v>
      </c>
      <c r="K172" s="10">
        <f t="shared" ca="1" si="332"/>
        <v>1357311.0094854354</v>
      </c>
      <c r="L172" s="10">
        <f t="shared" ca="1" si="332"/>
        <v>1417067.6505567974</v>
      </c>
      <c r="M172" s="10">
        <f t="shared" ca="1" si="332"/>
        <v>1479739.2564098446</v>
      </c>
      <c r="N172" s="10">
        <f t="shared" ca="1" si="332"/>
        <v>1545471.3216142766</v>
      </c>
      <c r="O172" s="10">
        <f t="shared" ca="1" si="332"/>
        <v>1614417.1159372251</v>
      </c>
      <c r="P172" s="10">
        <f t="shared" ca="1" si="332"/>
        <v>1686738.1485934532</v>
      </c>
      <c r="Q172" s="10">
        <f t="shared" ca="1" si="332"/>
        <v>1762604.6635815429</v>
      </c>
      <c r="R172" s="10">
        <f t="shared" ca="1" si="332"/>
        <v>1842223.3881459921</v>
      </c>
      <c r="S172" s="10">
        <f t="shared" ca="1" si="332"/>
        <v>1925700.4290340568</v>
      </c>
      <c r="T172" s="10">
        <f t="shared" ca="1" si="332"/>
        <v>1940558.6290328393</v>
      </c>
      <c r="U172" s="10">
        <f t="shared" ca="1" si="332"/>
        <v>1963444.633205238</v>
      </c>
      <c r="V172" s="10">
        <f t="shared" ca="1" si="332"/>
        <v>1986900.5350535875</v>
      </c>
      <c r="W172" s="10">
        <f t="shared" ca="1" si="332"/>
        <v>2010989.899004855</v>
      </c>
      <c r="X172" s="10">
        <f t="shared" ca="1" si="332"/>
        <v>2035783.0103119779</v>
      </c>
      <c r="Y172" s="10">
        <f t="shared" ca="1" si="332"/>
        <v>2061357.4817384603</v>
      </c>
      <c r="Z172" s="10">
        <f t="shared" ca="1" si="332"/>
        <v>2087798.9111604034</v>
      </c>
      <c r="AA172" s="10">
        <f t="shared" ca="1" si="332"/>
        <v>2115201.5942339753</v>
      </c>
      <c r="AB172" s="10">
        <f t="shared" ca="1" si="332"/>
        <v>2143669.296610387</v>
      </c>
      <c r="AC172" s="10">
        <f t="shared" ca="1" si="332"/>
        <v>2170152.5491132536</v>
      </c>
      <c r="AD172" s="10">
        <f t="shared" ca="1" si="332"/>
        <v>2192418.8133000331</v>
      </c>
      <c r="AE172" s="10">
        <f t="shared" ca="1" si="332"/>
        <v>2223626.97032844</v>
      </c>
      <c r="AF172" s="10">
        <f t="shared" ca="1" si="332"/>
        <v>2253309.5606830819</v>
      </c>
      <c r="AG172" s="10">
        <f t="shared" ca="1" si="332"/>
        <v>2281230.2559831026</v>
      </c>
      <c r="AH172" s="10">
        <f t="shared" ca="1" si="332"/>
        <v>2307130.5526740211</v>
      </c>
      <c r="AI172" s="10">
        <f t="shared" ca="1" si="332"/>
        <v>2330727.903936455</v>
      </c>
      <c r="AJ172" s="10">
        <f t="shared" ca="1" si="332"/>
        <v>2351713.6994249597</v>
      </c>
      <c r="AK172" s="10">
        <f t="shared" ca="1" si="332"/>
        <v>2369751.0805842127</v>
      </c>
      <c r="AL172" s="10">
        <f t="shared" ca="1" si="332"/>
        <v>2250462.3789177919</v>
      </c>
      <c r="AM172" s="10">
        <f t="shared" ca="1" si="332"/>
        <v>2256097.0609348482</v>
      </c>
      <c r="AN172" s="10">
        <f t="shared" ref="AN172:AV172" ca="1" si="333">SUM(AN158:AN171)</f>
        <v>2262839.8621745347</v>
      </c>
      <c r="AO172" s="10">
        <f t="shared" ca="1" si="333"/>
        <v>2268149.0483061727</v>
      </c>
      <c r="AP172" s="10">
        <f t="shared" ca="1" si="333"/>
        <v>2271995.4957120856</v>
      </c>
      <c r="AQ172" s="10">
        <f t="shared" ca="1" si="333"/>
        <v>2274349.554186957</v>
      </c>
      <c r="AR172" s="10">
        <f t="shared" ca="1" si="333"/>
        <v>2275181.0398182212</v>
      </c>
      <c r="AS172" s="10">
        <f t="shared" ca="1" si="333"/>
        <v>2274459.2278698198</v>
      </c>
      <c r="AT172" s="10">
        <f t="shared" ca="1" si="333"/>
        <v>2272152.8456748445</v>
      </c>
      <c r="AU172" s="10">
        <f t="shared" ca="1" si="333"/>
        <v>2268230.0655428912</v>
      </c>
      <c r="AV172" s="10">
        <f t="shared" ca="1" si="333"/>
        <v>2262658.4976882688</v>
      </c>
      <c r="AW172" s="10">
        <f t="shared" ref="AW172" ca="1" si="334">SUM(AW158:AW171)</f>
        <v>2255405.1831855252</v>
      </c>
    </row>
    <row r="173" spans="1:49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ht="19" x14ac:dyDescent="0.25">
      <c r="A174" s="30" t="s">
        <v>88</v>
      </c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</row>
    <row r="175" spans="1:49" x14ac:dyDescent="0.2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">
      <c r="A176" s="17" t="s">
        <v>72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">
      <c r="A177" s="4" t="s">
        <v>9</v>
      </c>
      <c r="C177" s="8">
        <f t="shared" ref="C177:AM177" ca="1" si="335">C53</f>
        <v>204898.75</v>
      </c>
      <c r="D177" s="8">
        <f t="shared" ca="1" si="335"/>
        <v>210464.1875</v>
      </c>
      <c r="E177" s="8">
        <f t="shared" ca="1" si="335"/>
        <v>216735.69765625001</v>
      </c>
      <c r="F177" s="8">
        <f t="shared" ca="1" si="335"/>
        <v>223754.49157812502</v>
      </c>
      <c r="G177" s="8">
        <f t="shared" ca="1" si="335"/>
        <v>231563.68121130861</v>
      </c>
      <c r="H177" s="8">
        <f t="shared" ca="1" si="335"/>
        <v>240208.35706995256</v>
      </c>
      <c r="I177" s="8">
        <f t="shared" ca="1" si="335"/>
        <v>249735.66892084025</v>
      </c>
      <c r="J177" s="8">
        <f t="shared" ca="1" si="335"/>
        <v>260194.90952617431</v>
      </c>
      <c r="K177" s="8">
        <f t="shared" ca="1" si="335"/>
        <v>271637.60155532236</v>
      </c>
      <c r="L177" s="8">
        <f t="shared" ca="1" si="335"/>
        <v>284117.58777969546</v>
      </c>
      <c r="M177" s="8">
        <f t="shared" ca="1" si="335"/>
        <v>297691.1246689033</v>
      </c>
      <c r="N177" s="8">
        <f t="shared" ca="1" si="335"/>
        <v>312416.97951043496</v>
      </c>
      <c r="O177" s="8">
        <f t="shared" ca="1" si="335"/>
        <v>328356.53117935767</v>
      </c>
      <c r="P177" s="8">
        <f t="shared" ca="1" si="335"/>
        <v>345573.87468891207</v>
      </c>
      <c r="Q177" s="8">
        <f t="shared" ca="1" si="335"/>
        <v>364135.92965741799</v>
      </c>
      <c r="R177" s="8">
        <f t="shared" ca="1" si="335"/>
        <v>387161.10470025497</v>
      </c>
      <c r="S177" s="8">
        <f t="shared" ca="1" si="335"/>
        <v>418421.42047661229</v>
      </c>
      <c r="T177" s="8">
        <f t="shared" ca="1" si="335"/>
        <v>378811.20508166938</v>
      </c>
      <c r="U177" s="8">
        <f t="shared" ca="1" si="335"/>
        <v>344854.73778757063</v>
      </c>
      <c r="V177" s="8">
        <f t="shared" ca="1" si="335"/>
        <v>308963.69012559089</v>
      </c>
      <c r="W177" s="8">
        <f t="shared" ca="1" si="335"/>
        <v>271062.55586939497</v>
      </c>
      <c r="X177" s="8">
        <f t="shared" ca="1" si="335"/>
        <v>231073.26259406074</v>
      </c>
      <c r="Y177" s="8">
        <f t="shared" ca="1" si="335"/>
        <v>188915.09055754144</v>
      </c>
      <c r="Z177" s="8">
        <f t="shared" ca="1" si="335"/>
        <v>144504.58913007489</v>
      </c>
      <c r="AA177" s="8">
        <f t="shared" ca="1" si="335"/>
        <v>97755.490699636561</v>
      </c>
      <c r="AB177" s="8">
        <f t="shared" ca="1" si="335"/>
        <v>48578.621979470016</v>
      </c>
      <c r="AC177" s="8">
        <f t="shared" ca="1" si="335"/>
        <v>-3118.1873583921188</v>
      </c>
      <c r="AD177" s="8">
        <f t="shared" ca="1" si="335"/>
        <v>-56682.687861634207</v>
      </c>
      <c r="AE177" s="8">
        <f t="shared" ca="1" si="335"/>
        <v>-101603.82578367132</v>
      </c>
      <c r="AF177" s="8">
        <f t="shared" ca="1" si="335"/>
        <v>-147647.99215375935</v>
      </c>
      <c r="AG177" s="8">
        <f t="shared" ca="1" si="335"/>
        <v>-194843.26268309957</v>
      </c>
      <c r="AH177" s="8">
        <f t="shared" ca="1" si="335"/>
        <v>-243218.41497567331</v>
      </c>
      <c r="AI177" s="8">
        <f t="shared" ca="1" si="335"/>
        <v>-292802.9460755614</v>
      </c>
      <c r="AJ177" s="8">
        <f t="shared" ca="1" si="335"/>
        <v>-343627.09045294666</v>
      </c>
      <c r="AK177" s="8">
        <f t="shared" ca="1" si="335"/>
        <v>-395721.83843976655</v>
      </c>
      <c r="AL177" s="8">
        <f t="shared" ca="1" si="335"/>
        <v>-449118.95512625691</v>
      </c>
      <c r="AM177" s="8">
        <f t="shared" ca="1" si="335"/>
        <v>-503850.99972990958</v>
      </c>
      <c r="AN177" s="8">
        <f t="shared" ref="AN177:AV177" ca="1" si="336">AN53</f>
        <v>-559951.34544865356</v>
      </c>
      <c r="AO177" s="8">
        <f t="shared" ca="1" si="336"/>
        <v>-617454.19981036615</v>
      </c>
      <c r="AP177" s="8">
        <f t="shared" ca="1" si="336"/>
        <v>-676394.62553112151</v>
      </c>
      <c r="AQ177" s="8">
        <f t="shared" ca="1" si="336"/>
        <v>-736808.56189489574</v>
      </c>
      <c r="AR177" s="8">
        <f t="shared" ca="1" si="336"/>
        <v>-798732.84666776436</v>
      </c>
      <c r="AS177" s="8">
        <f t="shared" ca="1" si="336"/>
        <v>-862205.23855995468</v>
      </c>
      <c r="AT177" s="8">
        <f t="shared" ca="1" si="336"/>
        <v>-927264.44024944981</v>
      </c>
      <c r="AU177" s="8">
        <f t="shared" ca="1" si="336"/>
        <v>-993950.12198118225</v>
      </c>
      <c r="AV177" s="8">
        <f t="shared" ca="1" si="336"/>
        <v>-1062302.9457562079</v>
      </c>
      <c r="AW177" s="8">
        <f t="shared" ref="AW177" ca="1" si="337">AW53</f>
        <v>-1132364.5901256094</v>
      </c>
    </row>
    <row r="178" spans="1:49" x14ac:dyDescent="0.2">
      <c r="A178" s="4" t="s">
        <v>29</v>
      </c>
      <c r="C178" s="8">
        <f t="shared" ref="C178:AM178" ca="1" si="338">C66</f>
        <v>968981.94138270128</v>
      </c>
      <c r="D178" s="8">
        <f t="shared" ca="1" si="338"/>
        <v>1009855.5963523956</v>
      </c>
      <c r="E178" s="8">
        <f t="shared" ca="1" si="338"/>
        <v>1052713.1778108226</v>
      </c>
      <c r="F178" s="8">
        <f t="shared" ca="1" si="338"/>
        <v>1097651.5917861115</v>
      </c>
      <c r="G178" s="8">
        <f t="shared" ca="1" si="338"/>
        <v>1144772.700802363</v>
      </c>
      <c r="H178" s="8">
        <f t="shared" ca="1" si="338"/>
        <v>1194183.603946965</v>
      </c>
      <c r="I178" s="8">
        <f t="shared" ca="1" si="338"/>
        <v>1245996.9348095595</v>
      </c>
      <c r="J178" s="8">
        <f t="shared" ca="1" si="338"/>
        <v>1300331.178554723</v>
      </c>
      <c r="K178" s="8">
        <f t="shared" ca="1" si="338"/>
        <v>1357311.0094854354</v>
      </c>
      <c r="L178" s="8">
        <f t="shared" ca="1" si="338"/>
        <v>1417067.6505567976</v>
      </c>
      <c r="M178" s="8">
        <f t="shared" ca="1" si="338"/>
        <v>1479739.2564098446</v>
      </c>
      <c r="N178" s="8">
        <f t="shared" ca="1" si="338"/>
        <v>1545471.3216142766</v>
      </c>
      <c r="O178" s="8">
        <f t="shared" ca="1" si="338"/>
        <v>1614417.1159372251</v>
      </c>
      <c r="P178" s="8">
        <f t="shared" ca="1" si="338"/>
        <v>1686738.1485934532</v>
      </c>
      <c r="Q178" s="8">
        <f t="shared" ca="1" si="338"/>
        <v>1762604.6635815429</v>
      </c>
      <c r="R178" s="8">
        <f t="shared" ca="1" si="338"/>
        <v>1842223.3881459923</v>
      </c>
      <c r="S178" s="8">
        <f t="shared" ca="1" si="338"/>
        <v>1925700.4290340568</v>
      </c>
      <c r="T178" s="8">
        <f t="shared" ca="1" si="338"/>
        <v>1940558.6290328393</v>
      </c>
      <c r="U178" s="8">
        <f t="shared" ca="1" si="338"/>
        <v>1963444.6332052383</v>
      </c>
      <c r="V178" s="8">
        <f t="shared" ca="1" si="338"/>
        <v>1986900.5350535878</v>
      </c>
      <c r="W178" s="8">
        <f t="shared" ca="1" si="338"/>
        <v>2010989.8990048552</v>
      </c>
      <c r="X178" s="8">
        <f t="shared" ca="1" si="338"/>
        <v>2035783.0103119782</v>
      </c>
      <c r="Y178" s="8">
        <f t="shared" ca="1" si="338"/>
        <v>2061357.4817384607</v>
      </c>
      <c r="Z178" s="8">
        <f t="shared" ca="1" si="338"/>
        <v>2087798.9111604036</v>
      </c>
      <c r="AA178" s="8">
        <f t="shared" ca="1" si="338"/>
        <v>2115201.5942339757</v>
      </c>
      <c r="AB178" s="8">
        <f t="shared" ca="1" si="338"/>
        <v>2143669.2966103875</v>
      </c>
      <c r="AC178" s="8">
        <f t="shared" ca="1" si="338"/>
        <v>2173316.090541245</v>
      </c>
      <c r="AD178" s="8">
        <f t="shared" ca="1" si="338"/>
        <v>2205014.7720471676</v>
      </c>
      <c r="AE178" s="8">
        <f t="shared" ca="1" si="338"/>
        <v>2249512.3238883442</v>
      </c>
      <c r="AF178" s="8">
        <f t="shared" ca="1" si="338"/>
        <v>2297294.8292516423</v>
      </c>
      <c r="AG178" s="8">
        <f t="shared" ca="1" si="338"/>
        <v>2348604.485587148</v>
      </c>
      <c r="AH178" s="8">
        <f t="shared" ca="1" si="338"/>
        <v>2403701.9393431805</v>
      </c>
      <c r="AI178" s="8">
        <f t="shared" ca="1" si="338"/>
        <v>2462867.7263613958</v>
      </c>
      <c r="AJ178" s="8">
        <f t="shared" ca="1" si="338"/>
        <v>2526403.8262447403</v>
      </c>
      <c r="AK178" s="8">
        <f t="shared" ca="1" si="338"/>
        <v>2594635.3397734822</v>
      </c>
      <c r="AL178" s="8">
        <f t="shared" ca="1" si="338"/>
        <v>2667912.2991691912</v>
      </c>
      <c r="AM178" s="8">
        <f t="shared" ca="1" si="338"/>
        <v>2746611.6217890675</v>
      </c>
      <c r="AN178" s="8">
        <f t="shared" ref="AN178:AV178" ca="1" si="339">AN66</f>
        <v>2831139.2186781317</v>
      </c>
      <c r="AO178" s="8">
        <f t="shared" ca="1" si="339"/>
        <v>2921932.2703194404</v>
      </c>
      <c r="AP178" s="8">
        <f t="shared" ca="1" si="339"/>
        <v>3019461.6829081345</v>
      </c>
      <c r="AQ178" s="8">
        <f t="shared" ca="1" si="339"/>
        <v>3124234.7395395376</v>
      </c>
      <c r="AR178" s="8">
        <f t="shared" ca="1" si="339"/>
        <v>3236797.9618510623</v>
      </c>
      <c r="AS178" s="8">
        <f t="shared" ca="1" si="339"/>
        <v>3357740.1988991052</v>
      </c>
      <c r="AT178" s="8">
        <f t="shared" ca="1" si="339"/>
        <v>3487695.9613928241</v>
      </c>
      <c r="AU178" s="8">
        <f t="shared" ca="1" si="339"/>
        <v>3627349.0208545574</v>
      </c>
      <c r="AV178" s="8">
        <f t="shared" ca="1" si="339"/>
        <v>3777436.2948403368</v>
      </c>
      <c r="AW178" s="8">
        <f t="shared" ref="AW178" ca="1" si="340">AW66</f>
        <v>3938752.041042624</v>
      </c>
    </row>
    <row r="179" spans="1:49" x14ac:dyDescent="0.2">
      <c r="A179" s="4" t="s">
        <v>81</v>
      </c>
      <c r="C179" s="12" t="str">
        <f ca="1">IF(COUNTIF(177:177,"&lt;0")&gt;0,"NO","YES!")</f>
        <v>NO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">
      <c r="A180" s="4" t="s">
        <v>35</v>
      </c>
      <c r="C180" s="12" cm="1">
        <f t="array" aca="1" ref="C180" ca="1">IFERROR(INDEX($3:$3, MATCH(TRUE, INDEX(177:177&lt;0,0), 0)), "")</f>
        <v>74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">
      <c r="A181" s="4"/>
      <c r="C181" s="1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">
      <c r="A182" s="17" t="s">
        <v>73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">
      <c r="A183" s="4" t="s">
        <v>9</v>
      </c>
      <c r="C183" s="8">
        <f t="shared" ref="C183" ca="1" si="341">C159</f>
        <v>204898.75</v>
      </c>
      <c r="D183" s="8">
        <f t="shared" ref="D183:G183" ca="1" si="342">D159</f>
        <v>210464.1875</v>
      </c>
      <c r="E183" s="8">
        <f t="shared" ca="1" si="342"/>
        <v>216735.69765625001</v>
      </c>
      <c r="F183" s="8">
        <f t="shared" ca="1" si="342"/>
        <v>223754.49157812502</v>
      </c>
      <c r="G183" s="8">
        <f t="shared" ca="1" si="342"/>
        <v>231563.68121130861</v>
      </c>
      <c r="H183" s="8">
        <f t="shared" ref="H183:AM183" ca="1" si="343">H159</f>
        <v>240208.35706995256</v>
      </c>
      <c r="I183" s="8">
        <f t="shared" ca="1" si="343"/>
        <v>249735.66892084025</v>
      </c>
      <c r="J183" s="8">
        <f t="shared" ca="1" si="343"/>
        <v>260194.90952617431</v>
      </c>
      <c r="K183" s="8">
        <f t="shared" ca="1" si="343"/>
        <v>271637.60155532236</v>
      </c>
      <c r="L183" s="8">
        <f t="shared" ca="1" si="343"/>
        <v>284117.58777969546</v>
      </c>
      <c r="M183" s="8">
        <f t="shared" ca="1" si="343"/>
        <v>297691.1246689033</v>
      </c>
      <c r="N183" s="8">
        <f t="shared" ca="1" si="343"/>
        <v>312416.97951043496</v>
      </c>
      <c r="O183" s="8">
        <f t="shared" ca="1" si="343"/>
        <v>328356.53117935767</v>
      </c>
      <c r="P183" s="8">
        <f t="shared" ca="1" si="343"/>
        <v>345573.87468891207</v>
      </c>
      <c r="Q183" s="8">
        <f t="shared" ca="1" si="343"/>
        <v>364135.92965741799</v>
      </c>
      <c r="R183" s="8">
        <f t="shared" ca="1" si="343"/>
        <v>387161.10470025497</v>
      </c>
      <c r="S183" s="8">
        <f t="shared" ca="1" si="343"/>
        <v>418421.42047661229</v>
      </c>
      <c r="T183" s="8">
        <f t="shared" ca="1" si="343"/>
        <v>378811.20508166938</v>
      </c>
      <c r="U183" s="8">
        <f t="shared" ca="1" si="343"/>
        <v>344854.73778757063</v>
      </c>
      <c r="V183" s="8">
        <f t="shared" ca="1" si="343"/>
        <v>308963.69012559089</v>
      </c>
      <c r="W183" s="8">
        <f t="shared" ca="1" si="343"/>
        <v>271062.55586939497</v>
      </c>
      <c r="X183" s="8">
        <f t="shared" ca="1" si="343"/>
        <v>231073.26259406074</v>
      </c>
      <c r="Y183" s="8">
        <f t="shared" ca="1" si="343"/>
        <v>188915.09055754144</v>
      </c>
      <c r="Z183" s="8">
        <f t="shared" ca="1" si="343"/>
        <v>144504.58913007489</v>
      </c>
      <c r="AA183" s="8">
        <f t="shared" ca="1" si="343"/>
        <v>97755.490699636561</v>
      </c>
      <c r="AB183" s="8">
        <f t="shared" ca="1" si="343"/>
        <v>48578.621979470016</v>
      </c>
      <c r="AC183" s="8">
        <f t="shared" ca="1" si="343"/>
        <v>20000</v>
      </c>
      <c r="AD183" s="8">
        <f t="shared" ca="1" si="343"/>
        <v>20000</v>
      </c>
      <c r="AE183" s="8">
        <f t="shared" ca="1" si="343"/>
        <v>20000</v>
      </c>
      <c r="AF183" s="8">
        <f t="shared" ca="1" si="343"/>
        <v>20000</v>
      </c>
      <c r="AG183" s="8">
        <f t="shared" ca="1" si="343"/>
        <v>20000</v>
      </c>
      <c r="AH183" s="8">
        <f t="shared" ca="1" si="343"/>
        <v>20000</v>
      </c>
      <c r="AI183" s="8">
        <f t="shared" ca="1" si="343"/>
        <v>20000</v>
      </c>
      <c r="AJ183" s="8">
        <f t="shared" ca="1" si="343"/>
        <v>20000</v>
      </c>
      <c r="AK183" s="8">
        <f t="shared" ca="1" si="343"/>
        <v>20000</v>
      </c>
      <c r="AL183" s="8">
        <f t="shared" ca="1" si="343"/>
        <v>755473.29901135678</v>
      </c>
      <c r="AM183" s="8">
        <f t="shared" ca="1" si="343"/>
        <v>763483.72201347235</v>
      </c>
      <c r="AN183" s="8">
        <f t="shared" ref="AN183:AV183" ca="1" si="344">AN159</f>
        <v>725448.12308551755</v>
      </c>
      <c r="AO183" s="8">
        <f t="shared" ca="1" si="344"/>
        <v>684635.55704448489</v>
      </c>
      <c r="AP183" s="8">
        <f t="shared" ca="1" si="344"/>
        <v>640976.5997125475</v>
      </c>
      <c r="AQ183" s="8">
        <f t="shared" ca="1" si="344"/>
        <v>594400.09130743286</v>
      </c>
      <c r="AR183" s="8">
        <f t="shared" ca="1" si="344"/>
        <v>544833.09305231122</v>
      </c>
      <c r="AS183" s="8">
        <f t="shared" ca="1" si="344"/>
        <v>492200.84270093252</v>
      </c>
      <c r="AT183" s="8">
        <f t="shared" ca="1" si="344"/>
        <v>436426.70895089046</v>
      </c>
      <c r="AU183" s="8">
        <f t="shared" ca="1" si="344"/>
        <v>377432.14471721847</v>
      </c>
      <c r="AV183" s="8">
        <f t="shared" ca="1" si="344"/>
        <v>315136.63923782588</v>
      </c>
      <c r="AW183" s="8">
        <f t="shared" ref="AW183" ca="1" si="345">AW159</f>
        <v>249457.66898156921</v>
      </c>
    </row>
    <row r="184" spans="1:49" x14ac:dyDescent="0.2">
      <c r="A184" s="4" t="s">
        <v>29</v>
      </c>
      <c r="C184" s="8">
        <f t="shared" ref="C184" ca="1" si="346">C172</f>
        <v>968981.94138270128</v>
      </c>
      <c r="D184" s="8">
        <f t="shared" ref="D184:G184" ca="1" si="347">D172</f>
        <v>1009855.5963523956</v>
      </c>
      <c r="E184" s="8">
        <f t="shared" ca="1" si="347"/>
        <v>1052713.1778108226</v>
      </c>
      <c r="F184" s="8">
        <f t="shared" ca="1" si="347"/>
        <v>1097651.5917861115</v>
      </c>
      <c r="G184" s="8">
        <f t="shared" ca="1" si="347"/>
        <v>1144772.700802363</v>
      </c>
      <c r="H184" s="8">
        <f t="shared" ref="H184:AM184" ca="1" si="348">H172</f>
        <v>1194183.603946965</v>
      </c>
      <c r="I184" s="8">
        <f t="shared" ca="1" si="348"/>
        <v>1245996.9348095595</v>
      </c>
      <c r="J184" s="8">
        <f t="shared" ca="1" si="348"/>
        <v>1300331.178554723</v>
      </c>
      <c r="K184" s="8">
        <f t="shared" ca="1" si="348"/>
        <v>1357311.0094854354</v>
      </c>
      <c r="L184" s="8">
        <f t="shared" ca="1" si="348"/>
        <v>1417067.6505567974</v>
      </c>
      <c r="M184" s="8">
        <f t="shared" ca="1" si="348"/>
        <v>1479739.2564098446</v>
      </c>
      <c r="N184" s="8">
        <f t="shared" ca="1" si="348"/>
        <v>1545471.3216142766</v>
      </c>
      <c r="O184" s="8">
        <f t="shared" ca="1" si="348"/>
        <v>1614417.1159372251</v>
      </c>
      <c r="P184" s="8">
        <f t="shared" ca="1" si="348"/>
        <v>1686738.1485934532</v>
      </c>
      <c r="Q184" s="8">
        <f t="shared" ca="1" si="348"/>
        <v>1762604.6635815429</v>
      </c>
      <c r="R184" s="8">
        <f t="shared" ca="1" si="348"/>
        <v>1842223.3881459921</v>
      </c>
      <c r="S184" s="8">
        <f t="shared" ca="1" si="348"/>
        <v>1925700.4290340568</v>
      </c>
      <c r="T184" s="8">
        <f t="shared" ca="1" si="348"/>
        <v>1940558.6290328393</v>
      </c>
      <c r="U184" s="8">
        <f t="shared" ca="1" si="348"/>
        <v>1963444.633205238</v>
      </c>
      <c r="V184" s="8">
        <f t="shared" ca="1" si="348"/>
        <v>1986900.5350535875</v>
      </c>
      <c r="W184" s="8">
        <f t="shared" ca="1" si="348"/>
        <v>2010989.899004855</v>
      </c>
      <c r="X184" s="8">
        <f t="shared" ca="1" si="348"/>
        <v>2035783.0103119779</v>
      </c>
      <c r="Y184" s="8">
        <f t="shared" ca="1" si="348"/>
        <v>2061357.4817384603</v>
      </c>
      <c r="Z184" s="8">
        <f t="shared" ca="1" si="348"/>
        <v>2087798.9111604034</v>
      </c>
      <c r="AA184" s="8">
        <f t="shared" ca="1" si="348"/>
        <v>2115201.5942339753</v>
      </c>
      <c r="AB184" s="8">
        <f t="shared" ca="1" si="348"/>
        <v>2143669.296610387</v>
      </c>
      <c r="AC184" s="8">
        <f t="shared" ca="1" si="348"/>
        <v>2170152.5491132536</v>
      </c>
      <c r="AD184" s="8">
        <f t="shared" ca="1" si="348"/>
        <v>2192418.8133000331</v>
      </c>
      <c r="AE184" s="8">
        <f t="shared" ca="1" si="348"/>
        <v>2223626.97032844</v>
      </c>
      <c r="AF184" s="8">
        <f t="shared" ca="1" si="348"/>
        <v>2253309.5606830819</v>
      </c>
      <c r="AG184" s="8">
        <f t="shared" ca="1" si="348"/>
        <v>2281230.2559831026</v>
      </c>
      <c r="AH184" s="8">
        <f t="shared" ca="1" si="348"/>
        <v>2307130.5526740211</v>
      </c>
      <c r="AI184" s="8">
        <f t="shared" ca="1" si="348"/>
        <v>2330727.903936455</v>
      </c>
      <c r="AJ184" s="8">
        <f t="shared" ca="1" si="348"/>
        <v>2351713.6994249597</v>
      </c>
      <c r="AK184" s="8">
        <f t="shared" ca="1" si="348"/>
        <v>2369751.0805842127</v>
      </c>
      <c r="AL184" s="8">
        <f t="shared" ca="1" si="348"/>
        <v>2250462.3789177919</v>
      </c>
      <c r="AM184" s="8">
        <f t="shared" ca="1" si="348"/>
        <v>2256097.0609348482</v>
      </c>
      <c r="AN184" s="8">
        <f t="shared" ref="AN184:AV184" ca="1" si="349">AN172</f>
        <v>2262839.8621745347</v>
      </c>
      <c r="AO184" s="8">
        <f t="shared" ca="1" si="349"/>
        <v>2268149.0483061727</v>
      </c>
      <c r="AP184" s="8">
        <f t="shared" ca="1" si="349"/>
        <v>2271995.4957120856</v>
      </c>
      <c r="AQ184" s="8">
        <f t="shared" ca="1" si="349"/>
        <v>2274349.554186957</v>
      </c>
      <c r="AR184" s="8">
        <f t="shared" ca="1" si="349"/>
        <v>2275181.0398182212</v>
      </c>
      <c r="AS184" s="8">
        <f t="shared" ca="1" si="349"/>
        <v>2274459.2278698198</v>
      </c>
      <c r="AT184" s="8">
        <f t="shared" ca="1" si="349"/>
        <v>2272152.8456748445</v>
      </c>
      <c r="AU184" s="8">
        <f t="shared" ca="1" si="349"/>
        <v>2268230.0655428912</v>
      </c>
      <c r="AV184" s="8">
        <f t="shared" ca="1" si="349"/>
        <v>2262658.4976882688</v>
      </c>
      <c r="AW184" s="8">
        <f t="shared" ref="AW184" ca="1" si="350">AW172</f>
        <v>2255405.1831855252</v>
      </c>
    </row>
    <row r="185" spans="1:49" x14ac:dyDescent="0.2">
      <c r="A185" s="4" t="s">
        <v>74</v>
      </c>
      <c r="C185" s="12" t="str">
        <f ca="1">IF(COUNTIF(183:183,"&lt;0")&gt;0,"NO","YES!")</f>
        <v>YES!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">
      <c r="A186" s="4" t="s">
        <v>35</v>
      </c>
      <c r="C186" s="12" t="str" cm="1">
        <f t="array" aca="1" ref="C186" ca="1">IFERROR(INDEX($3:$3, MATCH(TRUE, INDEX(183:183&lt;0,0), 0)), "Never")</f>
        <v>Never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">
      <c r="A187" s="4"/>
      <c r="C187" s="8"/>
      <c r="D187" s="8"/>
      <c r="E187" s="27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">
      <c r="A188" s="4" t="s">
        <v>31</v>
      </c>
      <c r="C188" s="11" t="s">
        <v>30</v>
      </c>
      <c r="D188" s="25" t="s">
        <v>76</v>
      </c>
      <c r="E188" s="25" t="s">
        <v>75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">
      <c r="A189" s="18" t="s">
        <v>28</v>
      </c>
      <c r="C189" s="8">
        <f ca="1">-SUM(75:75)</f>
        <v>539659.34235379088</v>
      </c>
      <c r="D189" s="25" t="str" cm="1">
        <f t="array" aca="1" ref="D189" ca="1">IFERROR(TEXT(INDEX(2:2, MATCH(TRUE, INDEX(75:75&lt;0,0), 0)), "0000"), "")</f>
        <v>2053</v>
      </c>
      <c r="E189" s="26" cm="1">
        <f t="array" aca="1" ref="E189" ca="1">IFERROR(INDEX(3:3, MATCH(TRUE, INDEX(75:75&lt;0,0), 0)),"")</f>
        <v>74</v>
      </c>
      <c r="F189" s="28" t="s">
        <v>77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">
      <c r="A190" s="18" t="s">
        <v>71</v>
      </c>
      <c r="C190" s="7"/>
      <c r="D190" s="27"/>
      <c r="E190" s="2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">
      <c r="A191" s="19" t="str">
        <f>$A$56</f>
        <v>Sliema</v>
      </c>
      <c r="C191" s="8">
        <f ca="1">-IFERROR(MIN(INDEX($139:$141, MATCH(A191, $A$139:$A$141, 0), 0)),0)</f>
        <v>844158.73631145677</v>
      </c>
      <c r="D191" s="25" t="str" cm="1">
        <f t="array" aca="1" ref="D191" ca="1">IFERROR(TEXT(INDEX($2:$2,MATCH(0, $C144:$XFD144, 0) + COLUMN($C144) - 1),"0000"),"")</f>
        <v>2062</v>
      </c>
      <c r="E191" s="26" cm="1">
        <f t="array" aca="1" ref="E191" ca="1">IFERROR(INDEX($3:$3,MATCH(0, $C144:$XFD144, 0) + COLUMN($C144) - 1),"")</f>
        <v>83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">
      <c r="A192" s="19" t="str">
        <f>$A$57</f>
        <v/>
      </c>
      <c r="C192" s="8">
        <f ca="1">-IFERROR(MIN(INDEX($139:$141, MATCH(A192, $A$139:$A$141, 0), 0)),0)</f>
        <v>0</v>
      </c>
      <c r="D192" s="25" t="str" cm="1">
        <f t="array" aca="1" ref="D192" ca="1">IFERROR(TEXT(INDEX($2:$2,MATCH(0, $C145:$XFD145, 0) + COLUMN($C145) - 1),"0000"),"")</f>
        <v>2027</v>
      </c>
      <c r="E192" s="26" cm="1">
        <f t="array" aca="1" ref="E192" ca="1">IFERROR(INDEX($3:$3,MATCH(0, $C145:$XFD145, 0) + COLUMN($C145) - 1),"")</f>
        <v>48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">
      <c r="A193" s="19" t="str">
        <f>$A$58</f>
        <v/>
      </c>
      <c r="C193" s="8">
        <f ca="1">-IFERROR(MIN(INDEX($139:$141, MATCH(A193, $A$139:$A$141, 0), 0)),0)</f>
        <v>0</v>
      </c>
      <c r="D193" s="25" t="str" cm="1">
        <f t="array" aca="1" ref="D193" ca="1">IFERROR(TEXT(INDEX($2:$2,MATCH(0, $C146:$XFD146, 0) + COLUMN($C146) - 1),"0000"),"")</f>
        <v>2027</v>
      </c>
      <c r="E193" s="26" cm="1">
        <f t="array" aca="1" ref="E193" ca="1">IFERROR(INDEX($3:$3,MATCH(0, $C146:$XFD146, 0) + COLUMN($C146) - 1),"")</f>
        <v>48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">
      <c r="A194" s="7"/>
      <c r="C194" s="10">
        <f ca="1">SUM(C191:C193)</f>
        <v>844158.73631145677</v>
      </c>
      <c r="D194" s="27"/>
      <c r="E194" s="27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">
      <c r="C195" s="8"/>
      <c r="E195" s="8"/>
      <c r="F195" s="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</row>
    <row r="196" spans="1:49" x14ac:dyDescent="0.2">
      <c r="A196" s="17" t="s">
        <v>78</v>
      </c>
      <c r="B196" s="2" t="s">
        <v>1</v>
      </c>
      <c r="C196" s="8">
        <f t="shared" ref="C196:AM196" si="351">C3</f>
        <v>48</v>
      </c>
      <c r="D196" s="8">
        <f t="shared" si="351"/>
        <v>49</v>
      </c>
      <c r="E196" s="8">
        <f t="shared" si="351"/>
        <v>50</v>
      </c>
      <c r="F196" s="8">
        <f t="shared" si="351"/>
        <v>51</v>
      </c>
      <c r="G196" s="8">
        <f t="shared" si="351"/>
        <v>52</v>
      </c>
      <c r="H196" s="8">
        <f t="shared" si="351"/>
        <v>53</v>
      </c>
      <c r="I196" s="8">
        <f t="shared" si="351"/>
        <v>54</v>
      </c>
      <c r="J196" s="8">
        <f t="shared" si="351"/>
        <v>55</v>
      </c>
      <c r="K196" s="8">
        <f t="shared" si="351"/>
        <v>56</v>
      </c>
      <c r="L196" s="8">
        <f t="shared" si="351"/>
        <v>57</v>
      </c>
      <c r="M196" s="8">
        <f t="shared" si="351"/>
        <v>58</v>
      </c>
      <c r="N196" s="8">
        <f t="shared" si="351"/>
        <v>59</v>
      </c>
      <c r="O196" s="8">
        <f t="shared" si="351"/>
        <v>60</v>
      </c>
      <c r="P196" s="8">
        <f t="shared" si="351"/>
        <v>61</v>
      </c>
      <c r="Q196" s="8">
        <f t="shared" si="351"/>
        <v>62</v>
      </c>
      <c r="R196" s="8">
        <f t="shared" si="351"/>
        <v>63</v>
      </c>
      <c r="S196" s="8">
        <f t="shared" si="351"/>
        <v>64</v>
      </c>
      <c r="T196" s="8">
        <f t="shared" si="351"/>
        <v>65</v>
      </c>
      <c r="U196" s="8">
        <f t="shared" si="351"/>
        <v>66</v>
      </c>
      <c r="V196" s="8">
        <f t="shared" si="351"/>
        <v>67</v>
      </c>
      <c r="W196" s="8">
        <f t="shared" si="351"/>
        <v>68</v>
      </c>
      <c r="X196" s="8">
        <f t="shared" si="351"/>
        <v>69</v>
      </c>
      <c r="Y196" s="8">
        <f t="shared" si="351"/>
        <v>70</v>
      </c>
      <c r="Z196" s="8">
        <f t="shared" si="351"/>
        <v>71</v>
      </c>
      <c r="AA196" s="8">
        <f t="shared" si="351"/>
        <v>72</v>
      </c>
      <c r="AB196" s="8">
        <f t="shared" si="351"/>
        <v>73</v>
      </c>
      <c r="AC196" s="8">
        <f t="shared" si="351"/>
        <v>74</v>
      </c>
      <c r="AD196" s="8">
        <f t="shared" si="351"/>
        <v>75</v>
      </c>
      <c r="AE196" s="8">
        <f t="shared" si="351"/>
        <v>76</v>
      </c>
      <c r="AF196" s="8">
        <f t="shared" si="351"/>
        <v>77</v>
      </c>
      <c r="AG196" s="8">
        <f t="shared" si="351"/>
        <v>78</v>
      </c>
      <c r="AH196" s="8">
        <f t="shared" si="351"/>
        <v>79</v>
      </c>
      <c r="AI196" s="8">
        <f t="shared" si="351"/>
        <v>80</v>
      </c>
      <c r="AJ196" s="8">
        <f t="shared" si="351"/>
        <v>81</v>
      </c>
      <c r="AK196" s="8">
        <f t="shared" si="351"/>
        <v>82</v>
      </c>
      <c r="AL196" s="8">
        <f t="shared" si="351"/>
        <v>83</v>
      </c>
      <c r="AM196" s="8">
        <f t="shared" si="351"/>
        <v>84</v>
      </c>
      <c r="AN196" s="8">
        <f t="shared" ref="AN196:AV196" si="352">AN3</f>
        <v>85</v>
      </c>
      <c r="AO196" s="8">
        <f t="shared" si="352"/>
        <v>86</v>
      </c>
      <c r="AP196" s="8">
        <f t="shared" si="352"/>
        <v>87</v>
      </c>
      <c r="AQ196" s="8">
        <f t="shared" si="352"/>
        <v>88</v>
      </c>
      <c r="AR196" s="8">
        <f t="shared" si="352"/>
        <v>89</v>
      </c>
      <c r="AS196" s="8">
        <f t="shared" si="352"/>
        <v>90</v>
      </c>
      <c r="AT196" s="8">
        <f t="shared" si="352"/>
        <v>91</v>
      </c>
      <c r="AU196" s="8">
        <f t="shared" si="352"/>
        <v>92</v>
      </c>
      <c r="AV196" s="8">
        <f t="shared" si="352"/>
        <v>93</v>
      </c>
      <c r="AW196" s="8">
        <f t="shared" ref="AW196" si="353">AW3</f>
        <v>94</v>
      </c>
    </row>
    <row r="197" spans="1:49" x14ac:dyDescent="0.2">
      <c r="A197" s="4" t="s">
        <v>72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">
      <c r="A198" s="4" t="s">
        <v>9</v>
      </c>
      <c r="C198" s="8">
        <f ca="1">C177</f>
        <v>204898.75</v>
      </c>
      <c r="D198" s="8">
        <f t="shared" ref="D198:G198" ca="1" si="354">D177</f>
        <v>210464.1875</v>
      </c>
      <c r="E198" s="8">
        <f t="shared" ca="1" si="354"/>
        <v>216735.69765625001</v>
      </c>
      <c r="F198" s="8">
        <f t="shared" ca="1" si="354"/>
        <v>223754.49157812502</v>
      </c>
      <c r="G198" s="8">
        <f t="shared" ca="1" si="354"/>
        <v>231563.68121130861</v>
      </c>
      <c r="H198" s="8">
        <f t="shared" ref="H198:AM198" ca="1" si="355">H177</f>
        <v>240208.35706995256</v>
      </c>
      <c r="I198" s="8">
        <f t="shared" ca="1" si="355"/>
        <v>249735.66892084025</v>
      </c>
      <c r="J198" s="8">
        <f t="shared" ca="1" si="355"/>
        <v>260194.90952617431</v>
      </c>
      <c r="K198" s="8">
        <f t="shared" ca="1" si="355"/>
        <v>271637.60155532236</v>
      </c>
      <c r="L198" s="8">
        <f t="shared" ca="1" si="355"/>
        <v>284117.58777969546</v>
      </c>
      <c r="M198" s="8">
        <f t="shared" ca="1" si="355"/>
        <v>297691.1246689033</v>
      </c>
      <c r="N198" s="8">
        <f t="shared" ca="1" si="355"/>
        <v>312416.97951043496</v>
      </c>
      <c r="O198" s="8">
        <f t="shared" ca="1" si="355"/>
        <v>328356.53117935767</v>
      </c>
      <c r="P198" s="8">
        <f t="shared" ca="1" si="355"/>
        <v>345573.87468891207</v>
      </c>
      <c r="Q198" s="8">
        <f t="shared" ca="1" si="355"/>
        <v>364135.92965741799</v>
      </c>
      <c r="R198" s="8">
        <f t="shared" ca="1" si="355"/>
        <v>387161.10470025497</v>
      </c>
      <c r="S198" s="8">
        <f t="shared" ca="1" si="355"/>
        <v>418421.42047661229</v>
      </c>
      <c r="T198" s="8">
        <f t="shared" ca="1" si="355"/>
        <v>378811.20508166938</v>
      </c>
      <c r="U198" s="8">
        <f t="shared" ca="1" si="355"/>
        <v>344854.73778757063</v>
      </c>
      <c r="V198" s="8">
        <f t="shared" ca="1" si="355"/>
        <v>308963.69012559089</v>
      </c>
      <c r="W198" s="8">
        <f t="shared" ca="1" si="355"/>
        <v>271062.55586939497</v>
      </c>
      <c r="X198" s="8">
        <f t="shared" ca="1" si="355"/>
        <v>231073.26259406074</v>
      </c>
      <c r="Y198" s="8">
        <f t="shared" ca="1" si="355"/>
        <v>188915.09055754144</v>
      </c>
      <c r="Z198" s="8">
        <f t="shared" ca="1" si="355"/>
        <v>144504.58913007489</v>
      </c>
      <c r="AA198" s="8">
        <f t="shared" ca="1" si="355"/>
        <v>97755.490699636561</v>
      </c>
      <c r="AB198" s="8">
        <f t="shared" ca="1" si="355"/>
        <v>48578.621979470016</v>
      </c>
      <c r="AC198" s="8">
        <f t="shared" ca="1" si="355"/>
        <v>-3118.1873583921188</v>
      </c>
      <c r="AD198" s="8">
        <f t="shared" ca="1" si="355"/>
        <v>-56682.687861634207</v>
      </c>
      <c r="AE198" s="8">
        <f t="shared" ca="1" si="355"/>
        <v>-101603.82578367132</v>
      </c>
      <c r="AF198" s="8">
        <f t="shared" ca="1" si="355"/>
        <v>-147647.99215375935</v>
      </c>
      <c r="AG198" s="8">
        <f t="shared" ca="1" si="355"/>
        <v>-194843.26268309957</v>
      </c>
      <c r="AH198" s="8">
        <f t="shared" ca="1" si="355"/>
        <v>-243218.41497567331</v>
      </c>
      <c r="AI198" s="8">
        <f t="shared" ca="1" si="355"/>
        <v>-292802.9460755614</v>
      </c>
      <c r="AJ198" s="8">
        <f t="shared" ca="1" si="355"/>
        <v>-343627.09045294666</v>
      </c>
      <c r="AK198" s="8">
        <f t="shared" ca="1" si="355"/>
        <v>-395721.83843976655</v>
      </c>
      <c r="AL198" s="8">
        <f t="shared" ca="1" si="355"/>
        <v>-449118.95512625691</v>
      </c>
      <c r="AM198" s="8">
        <f t="shared" ca="1" si="355"/>
        <v>-503850.99972990958</v>
      </c>
      <c r="AN198" s="8">
        <f t="shared" ref="AN198:AV198" ca="1" si="356">AN177</f>
        <v>-559951.34544865356</v>
      </c>
      <c r="AO198" s="8">
        <f t="shared" ca="1" si="356"/>
        <v>-617454.19981036615</v>
      </c>
      <c r="AP198" s="8">
        <f t="shared" ca="1" si="356"/>
        <v>-676394.62553112151</v>
      </c>
      <c r="AQ198" s="8">
        <f t="shared" ca="1" si="356"/>
        <v>-736808.56189489574</v>
      </c>
      <c r="AR198" s="8">
        <f t="shared" ca="1" si="356"/>
        <v>-798732.84666776436</v>
      </c>
      <c r="AS198" s="8">
        <f t="shared" ca="1" si="356"/>
        <v>-862205.23855995468</v>
      </c>
      <c r="AT198" s="8">
        <f t="shared" ca="1" si="356"/>
        <v>-927264.44024944981</v>
      </c>
      <c r="AU198" s="8">
        <f t="shared" ca="1" si="356"/>
        <v>-993950.12198118225</v>
      </c>
      <c r="AV198" s="8">
        <f t="shared" ca="1" si="356"/>
        <v>-1062302.9457562079</v>
      </c>
      <c r="AW198" s="8">
        <f t="shared" ref="AW198" ca="1" si="357">AW177</f>
        <v>-1132364.5901256094</v>
      </c>
    </row>
    <row r="199" spans="1:49" x14ac:dyDescent="0.2">
      <c r="A199" s="4" t="s">
        <v>29</v>
      </c>
      <c r="C199" s="8">
        <f ca="1">C178</f>
        <v>968981.94138270128</v>
      </c>
      <c r="D199" s="8">
        <f t="shared" ref="D199:G199" ca="1" si="358">D178</f>
        <v>1009855.5963523956</v>
      </c>
      <c r="E199" s="8">
        <f t="shared" ca="1" si="358"/>
        <v>1052713.1778108226</v>
      </c>
      <c r="F199" s="8">
        <f t="shared" ca="1" si="358"/>
        <v>1097651.5917861115</v>
      </c>
      <c r="G199" s="8">
        <f t="shared" ca="1" si="358"/>
        <v>1144772.700802363</v>
      </c>
      <c r="H199" s="8">
        <f t="shared" ref="H199:AM199" ca="1" si="359">H178</f>
        <v>1194183.603946965</v>
      </c>
      <c r="I199" s="8">
        <f t="shared" ca="1" si="359"/>
        <v>1245996.9348095595</v>
      </c>
      <c r="J199" s="8">
        <f t="shared" ca="1" si="359"/>
        <v>1300331.178554723</v>
      </c>
      <c r="K199" s="8">
        <f t="shared" ca="1" si="359"/>
        <v>1357311.0094854354</v>
      </c>
      <c r="L199" s="8">
        <f t="shared" ca="1" si="359"/>
        <v>1417067.6505567976</v>
      </c>
      <c r="M199" s="8">
        <f t="shared" ca="1" si="359"/>
        <v>1479739.2564098446</v>
      </c>
      <c r="N199" s="8">
        <f t="shared" ca="1" si="359"/>
        <v>1545471.3216142766</v>
      </c>
      <c r="O199" s="8">
        <f t="shared" ca="1" si="359"/>
        <v>1614417.1159372251</v>
      </c>
      <c r="P199" s="8">
        <f t="shared" ca="1" si="359"/>
        <v>1686738.1485934532</v>
      </c>
      <c r="Q199" s="8">
        <f t="shared" ca="1" si="359"/>
        <v>1762604.6635815429</v>
      </c>
      <c r="R199" s="8">
        <f t="shared" ca="1" si="359"/>
        <v>1842223.3881459923</v>
      </c>
      <c r="S199" s="8">
        <f t="shared" ca="1" si="359"/>
        <v>1925700.4290340568</v>
      </c>
      <c r="T199" s="8">
        <f t="shared" ca="1" si="359"/>
        <v>1940558.6290328393</v>
      </c>
      <c r="U199" s="8">
        <f t="shared" ca="1" si="359"/>
        <v>1963444.6332052383</v>
      </c>
      <c r="V199" s="8">
        <f t="shared" ca="1" si="359"/>
        <v>1986900.5350535878</v>
      </c>
      <c r="W199" s="8">
        <f t="shared" ca="1" si="359"/>
        <v>2010989.8990048552</v>
      </c>
      <c r="X199" s="8">
        <f t="shared" ca="1" si="359"/>
        <v>2035783.0103119782</v>
      </c>
      <c r="Y199" s="8">
        <f t="shared" ca="1" si="359"/>
        <v>2061357.4817384607</v>
      </c>
      <c r="Z199" s="8">
        <f t="shared" ca="1" si="359"/>
        <v>2087798.9111604036</v>
      </c>
      <c r="AA199" s="8">
        <f t="shared" ca="1" si="359"/>
        <v>2115201.5942339757</v>
      </c>
      <c r="AB199" s="8">
        <f t="shared" ca="1" si="359"/>
        <v>2143669.2966103875</v>
      </c>
      <c r="AC199" s="8">
        <f t="shared" ca="1" si="359"/>
        <v>2173316.090541245</v>
      </c>
      <c r="AD199" s="8">
        <f t="shared" ca="1" si="359"/>
        <v>2205014.7720471676</v>
      </c>
      <c r="AE199" s="8">
        <f t="shared" ca="1" si="359"/>
        <v>2249512.3238883442</v>
      </c>
      <c r="AF199" s="8">
        <f t="shared" ca="1" si="359"/>
        <v>2297294.8292516423</v>
      </c>
      <c r="AG199" s="8">
        <f t="shared" ca="1" si="359"/>
        <v>2348604.485587148</v>
      </c>
      <c r="AH199" s="8">
        <f t="shared" ca="1" si="359"/>
        <v>2403701.9393431805</v>
      </c>
      <c r="AI199" s="8">
        <f t="shared" ca="1" si="359"/>
        <v>2462867.7263613958</v>
      </c>
      <c r="AJ199" s="8">
        <f t="shared" ca="1" si="359"/>
        <v>2526403.8262447403</v>
      </c>
      <c r="AK199" s="8">
        <f t="shared" ca="1" si="359"/>
        <v>2594635.3397734822</v>
      </c>
      <c r="AL199" s="8">
        <f t="shared" ca="1" si="359"/>
        <v>2667912.2991691912</v>
      </c>
      <c r="AM199" s="8">
        <f t="shared" ca="1" si="359"/>
        <v>2746611.6217890675</v>
      </c>
      <c r="AN199" s="8">
        <f t="shared" ref="AN199:AV199" ca="1" si="360">AN178</f>
        <v>2831139.2186781317</v>
      </c>
      <c r="AO199" s="8">
        <f t="shared" ca="1" si="360"/>
        <v>2921932.2703194404</v>
      </c>
      <c r="AP199" s="8">
        <f t="shared" ca="1" si="360"/>
        <v>3019461.6829081345</v>
      </c>
      <c r="AQ199" s="8">
        <f t="shared" ca="1" si="360"/>
        <v>3124234.7395395376</v>
      </c>
      <c r="AR199" s="8">
        <f t="shared" ca="1" si="360"/>
        <v>3236797.9618510623</v>
      </c>
      <c r="AS199" s="8">
        <f t="shared" ca="1" si="360"/>
        <v>3357740.1988991052</v>
      </c>
      <c r="AT199" s="8">
        <f t="shared" ca="1" si="360"/>
        <v>3487695.9613928241</v>
      </c>
      <c r="AU199" s="8">
        <f t="shared" ca="1" si="360"/>
        <v>3627349.0208545574</v>
      </c>
      <c r="AV199" s="8">
        <f t="shared" ca="1" si="360"/>
        <v>3777436.2948403368</v>
      </c>
      <c r="AW199" s="8">
        <f t="shared" ref="AW199" ca="1" si="361">AW178</f>
        <v>3938752.041042624</v>
      </c>
    </row>
    <row r="200" spans="1:49" x14ac:dyDescent="0.2">
      <c r="A200" s="4" t="s">
        <v>73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">
      <c r="A201" s="18" t="s">
        <v>9</v>
      </c>
      <c r="C201" s="8">
        <f ca="1">C183</f>
        <v>204898.75</v>
      </c>
      <c r="D201" s="8">
        <f t="shared" ref="D201:G201" ca="1" si="362">D183</f>
        <v>210464.1875</v>
      </c>
      <c r="E201" s="8">
        <f t="shared" ca="1" si="362"/>
        <v>216735.69765625001</v>
      </c>
      <c r="F201" s="8">
        <f t="shared" ca="1" si="362"/>
        <v>223754.49157812502</v>
      </c>
      <c r="G201" s="8">
        <f t="shared" ca="1" si="362"/>
        <v>231563.68121130861</v>
      </c>
      <c r="H201" s="8">
        <f t="shared" ref="H201:AM201" ca="1" si="363">H183</f>
        <v>240208.35706995256</v>
      </c>
      <c r="I201" s="8">
        <f t="shared" ca="1" si="363"/>
        <v>249735.66892084025</v>
      </c>
      <c r="J201" s="8">
        <f t="shared" ca="1" si="363"/>
        <v>260194.90952617431</v>
      </c>
      <c r="K201" s="8">
        <f t="shared" ca="1" si="363"/>
        <v>271637.60155532236</v>
      </c>
      <c r="L201" s="8">
        <f t="shared" ca="1" si="363"/>
        <v>284117.58777969546</v>
      </c>
      <c r="M201" s="8">
        <f t="shared" ca="1" si="363"/>
        <v>297691.1246689033</v>
      </c>
      <c r="N201" s="8">
        <f t="shared" ca="1" si="363"/>
        <v>312416.97951043496</v>
      </c>
      <c r="O201" s="8">
        <f t="shared" ca="1" si="363"/>
        <v>328356.53117935767</v>
      </c>
      <c r="P201" s="8">
        <f t="shared" ca="1" si="363"/>
        <v>345573.87468891207</v>
      </c>
      <c r="Q201" s="8">
        <f t="shared" ca="1" si="363"/>
        <v>364135.92965741799</v>
      </c>
      <c r="R201" s="8">
        <f t="shared" ca="1" si="363"/>
        <v>387161.10470025497</v>
      </c>
      <c r="S201" s="8">
        <f t="shared" ca="1" si="363"/>
        <v>418421.42047661229</v>
      </c>
      <c r="T201" s="8">
        <f t="shared" ca="1" si="363"/>
        <v>378811.20508166938</v>
      </c>
      <c r="U201" s="8">
        <f t="shared" ca="1" si="363"/>
        <v>344854.73778757063</v>
      </c>
      <c r="V201" s="8">
        <f t="shared" ca="1" si="363"/>
        <v>308963.69012559089</v>
      </c>
      <c r="W201" s="8">
        <f t="shared" ca="1" si="363"/>
        <v>271062.55586939497</v>
      </c>
      <c r="X201" s="8">
        <f t="shared" ca="1" si="363"/>
        <v>231073.26259406074</v>
      </c>
      <c r="Y201" s="8">
        <f t="shared" ca="1" si="363"/>
        <v>188915.09055754144</v>
      </c>
      <c r="Z201" s="8">
        <f t="shared" ca="1" si="363"/>
        <v>144504.58913007489</v>
      </c>
      <c r="AA201" s="8">
        <f t="shared" ca="1" si="363"/>
        <v>97755.490699636561</v>
      </c>
      <c r="AB201" s="8">
        <f t="shared" ca="1" si="363"/>
        <v>48578.621979470016</v>
      </c>
      <c r="AC201" s="8">
        <f t="shared" ca="1" si="363"/>
        <v>20000</v>
      </c>
      <c r="AD201" s="8">
        <f t="shared" ca="1" si="363"/>
        <v>20000</v>
      </c>
      <c r="AE201" s="8">
        <f t="shared" ca="1" si="363"/>
        <v>20000</v>
      </c>
      <c r="AF201" s="8">
        <f t="shared" ca="1" si="363"/>
        <v>20000</v>
      </c>
      <c r="AG201" s="8">
        <f t="shared" ca="1" si="363"/>
        <v>20000</v>
      </c>
      <c r="AH201" s="8">
        <f t="shared" ca="1" si="363"/>
        <v>20000</v>
      </c>
      <c r="AI201" s="8">
        <f t="shared" ca="1" si="363"/>
        <v>20000</v>
      </c>
      <c r="AJ201" s="8">
        <f t="shared" ca="1" si="363"/>
        <v>20000</v>
      </c>
      <c r="AK201" s="8">
        <f t="shared" ca="1" si="363"/>
        <v>20000</v>
      </c>
      <c r="AL201" s="8">
        <f t="shared" ca="1" si="363"/>
        <v>755473.29901135678</v>
      </c>
      <c r="AM201" s="8">
        <f t="shared" ca="1" si="363"/>
        <v>763483.72201347235</v>
      </c>
      <c r="AN201" s="8">
        <f t="shared" ref="AN201:AV201" ca="1" si="364">AN183</f>
        <v>725448.12308551755</v>
      </c>
      <c r="AO201" s="8">
        <f t="shared" ca="1" si="364"/>
        <v>684635.55704448489</v>
      </c>
      <c r="AP201" s="8">
        <f t="shared" ca="1" si="364"/>
        <v>640976.5997125475</v>
      </c>
      <c r="AQ201" s="8">
        <f t="shared" ca="1" si="364"/>
        <v>594400.09130743286</v>
      </c>
      <c r="AR201" s="8">
        <f t="shared" ca="1" si="364"/>
        <v>544833.09305231122</v>
      </c>
      <c r="AS201" s="8">
        <f t="shared" ca="1" si="364"/>
        <v>492200.84270093252</v>
      </c>
      <c r="AT201" s="8">
        <f t="shared" ca="1" si="364"/>
        <v>436426.70895089046</v>
      </c>
      <c r="AU201" s="8">
        <f t="shared" ca="1" si="364"/>
        <v>377432.14471721847</v>
      </c>
      <c r="AV201" s="8">
        <f t="shared" ca="1" si="364"/>
        <v>315136.63923782588</v>
      </c>
      <c r="AW201" s="8">
        <f t="shared" ref="AW201" ca="1" si="365">AW183</f>
        <v>249457.66898156921</v>
      </c>
    </row>
    <row r="202" spans="1:49" x14ac:dyDescent="0.2">
      <c r="A202" s="18" t="s">
        <v>29</v>
      </c>
      <c r="C202" s="8">
        <f ca="1">C184</f>
        <v>968981.94138270128</v>
      </c>
      <c r="D202" s="8">
        <f t="shared" ref="D202:G202" ca="1" si="366">D184</f>
        <v>1009855.5963523956</v>
      </c>
      <c r="E202" s="8">
        <f t="shared" ca="1" si="366"/>
        <v>1052713.1778108226</v>
      </c>
      <c r="F202" s="8">
        <f t="shared" ca="1" si="366"/>
        <v>1097651.5917861115</v>
      </c>
      <c r="G202" s="8">
        <f t="shared" ca="1" si="366"/>
        <v>1144772.700802363</v>
      </c>
      <c r="H202" s="8">
        <f t="shared" ref="H202:AM202" ca="1" si="367">H184</f>
        <v>1194183.603946965</v>
      </c>
      <c r="I202" s="8">
        <f t="shared" ca="1" si="367"/>
        <v>1245996.9348095595</v>
      </c>
      <c r="J202" s="8">
        <f t="shared" ca="1" si="367"/>
        <v>1300331.178554723</v>
      </c>
      <c r="K202" s="8">
        <f t="shared" ca="1" si="367"/>
        <v>1357311.0094854354</v>
      </c>
      <c r="L202" s="8">
        <f t="shared" ca="1" si="367"/>
        <v>1417067.6505567974</v>
      </c>
      <c r="M202" s="8">
        <f t="shared" ca="1" si="367"/>
        <v>1479739.2564098446</v>
      </c>
      <c r="N202" s="8">
        <f t="shared" ca="1" si="367"/>
        <v>1545471.3216142766</v>
      </c>
      <c r="O202" s="8">
        <f t="shared" ca="1" si="367"/>
        <v>1614417.1159372251</v>
      </c>
      <c r="P202" s="8">
        <f t="shared" ca="1" si="367"/>
        <v>1686738.1485934532</v>
      </c>
      <c r="Q202" s="8">
        <f t="shared" ca="1" si="367"/>
        <v>1762604.6635815429</v>
      </c>
      <c r="R202" s="8">
        <f t="shared" ca="1" si="367"/>
        <v>1842223.3881459921</v>
      </c>
      <c r="S202" s="8">
        <f t="shared" ca="1" si="367"/>
        <v>1925700.4290340568</v>
      </c>
      <c r="T202" s="8">
        <f t="shared" ca="1" si="367"/>
        <v>1940558.6290328393</v>
      </c>
      <c r="U202" s="8">
        <f t="shared" ca="1" si="367"/>
        <v>1963444.633205238</v>
      </c>
      <c r="V202" s="8">
        <f t="shared" ca="1" si="367"/>
        <v>1986900.5350535875</v>
      </c>
      <c r="W202" s="8">
        <f t="shared" ca="1" si="367"/>
        <v>2010989.899004855</v>
      </c>
      <c r="X202" s="8">
        <f t="shared" ca="1" si="367"/>
        <v>2035783.0103119779</v>
      </c>
      <c r="Y202" s="8">
        <f t="shared" ca="1" si="367"/>
        <v>2061357.4817384603</v>
      </c>
      <c r="Z202" s="8">
        <f t="shared" ca="1" si="367"/>
        <v>2087798.9111604034</v>
      </c>
      <c r="AA202" s="8">
        <f t="shared" ca="1" si="367"/>
        <v>2115201.5942339753</v>
      </c>
      <c r="AB202" s="8">
        <f t="shared" ca="1" si="367"/>
        <v>2143669.296610387</v>
      </c>
      <c r="AC202" s="8">
        <f t="shared" ca="1" si="367"/>
        <v>2170152.5491132536</v>
      </c>
      <c r="AD202" s="8">
        <f t="shared" ca="1" si="367"/>
        <v>2192418.8133000331</v>
      </c>
      <c r="AE202" s="8">
        <f t="shared" ca="1" si="367"/>
        <v>2223626.97032844</v>
      </c>
      <c r="AF202" s="8">
        <f t="shared" ca="1" si="367"/>
        <v>2253309.5606830819</v>
      </c>
      <c r="AG202" s="8">
        <f t="shared" ca="1" si="367"/>
        <v>2281230.2559831026</v>
      </c>
      <c r="AH202" s="8">
        <f t="shared" ca="1" si="367"/>
        <v>2307130.5526740211</v>
      </c>
      <c r="AI202" s="8">
        <f t="shared" ca="1" si="367"/>
        <v>2330727.903936455</v>
      </c>
      <c r="AJ202" s="8">
        <f t="shared" ca="1" si="367"/>
        <v>2351713.6994249597</v>
      </c>
      <c r="AK202" s="8">
        <f t="shared" ca="1" si="367"/>
        <v>2369751.0805842127</v>
      </c>
      <c r="AL202" s="8">
        <f t="shared" ca="1" si="367"/>
        <v>2250462.3789177919</v>
      </c>
      <c r="AM202" s="8">
        <f t="shared" ca="1" si="367"/>
        <v>2256097.0609348482</v>
      </c>
      <c r="AN202" s="8">
        <f t="shared" ref="AN202:AV202" ca="1" si="368">AN184</f>
        <v>2262839.8621745347</v>
      </c>
      <c r="AO202" s="8">
        <f t="shared" ca="1" si="368"/>
        <v>2268149.0483061727</v>
      </c>
      <c r="AP202" s="8">
        <f t="shared" ca="1" si="368"/>
        <v>2271995.4957120856</v>
      </c>
      <c r="AQ202" s="8">
        <f t="shared" ca="1" si="368"/>
        <v>2274349.554186957</v>
      </c>
      <c r="AR202" s="8">
        <f t="shared" ca="1" si="368"/>
        <v>2275181.0398182212</v>
      </c>
      <c r="AS202" s="8">
        <f t="shared" ca="1" si="368"/>
        <v>2274459.2278698198</v>
      </c>
      <c r="AT202" s="8">
        <f t="shared" ca="1" si="368"/>
        <v>2272152.8456748445</v>
      </c>
      <c r="AU202" s="8">
        <f t="shared" ca="1" si="368"/>
        <v>2268230.0655428912</v>
      </c>
      <c r="AV202" s="8">
        <f t="shared" ca="1" si="368"/>
        <v>2262658.4976882688</v>
      </c>
      <c r="AW202" s="8">
        <f t="shared" ref="AW202" ca="1" si="369">AW184</f>
        <v>2255405.1831855252</v>
      </c>
    </row>
    <row r="203" spans="1:49" x14ac:dyDescent="0.2">
      <c r="A203" s="5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3:49" x14ac:dyDescent="0.2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3:49" x14ac:dyDescent="0.2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3:49" x14ac:dyDescent="0.2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3:49" x14ac:dyDescent="0.2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3:49" x14ac:dyDescent="0.2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3:49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3:49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3:49" x14ac:dyDescent="0.2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3:49" x14ac:dyDescent="0.2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3:49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3:49" x14ac:dyDescent="0.2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3:49" x14ac:dyDescent="0.2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3:49" x14ac:dyDescent="0.2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3:49" x14ac:dyDescent="0.2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3:49" x14ac:dyDescent="0.2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3:49" x14ac:dyDescent="0.2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3:49" x14ac:dyDescent="0.2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3:49" x14ac:dyDescent="0.2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3:49" x14ac:dyDescent="0.2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3:49" x14ac:dyDescent="0.2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3:49" x14ac:dyDescent="0.2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3:49" x14ac:dyDescent="0.2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3:49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3:49" x14ac:dyDescent="0.2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3:49" x14ac:dyDescent="0.2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3:49" x14ac:dyDescent="0.2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3:49" x14ac:dyDescent="0.2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3:49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3:49" x14ac:dyDescent="0.2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3:49" x14ac:dyDescent="0.2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3:49" x14ac:dyDescent="0.2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3:49" x14ac:dyDescent="0.2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3:49" x14ac:dyDescent="0.2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3:49" x14ac:dyDescent="0.2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3:49" x14ac:dyDescent="0.2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3:49" x14ac:dyDescent="0.2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3:49" x14ac:dyDescent="0.2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3:49" x14ac:dyDescent="0.2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3:49" x14ac:dyDescent="0.2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3:49" x14ac:dyDescent="0.2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3:49" x14ac:dyDescent="0.2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3:49" x14ac:dyDescent="0.2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3:49" x14ac:dyDescent="0.2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3:49" x14ac:dyDescent="0.2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3:49" x14ac:dyDescent="0.2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3:49" x14ac:dyDescent="0.2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3:49" x14ac:dyDescent="0.2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3:49" x14ac:dyDescent="0.2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3:49" x14ac:dyDescent="0.2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3:49" x14ac:dyDescent="0.2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3:49" x14ac:dyDescent="0.2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3:49" x14ac:dyDescent="0.2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3:49" x14ac:dyDescent="0.2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3:49" x14ac:dyDescent="0.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3:49" x14ac:dyDescent="0.2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3:49" x14ac:dyDescent="0.2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3:49" x14ac:dyDescent="0.2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3:49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3:49" x14ac:dyDescent="0.2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3:49" x14ac:dyDescent="0.2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3:49" x14ac:dyDescent="0.2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3:49" x14ac:dyDescent="0.2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3:49" x14ac:dyDescent="0.2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3:49" x14ac:dyDescent="0.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3:49" x14ac:dyDescent="0.2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3:49" x14ac:dyDescent="0.2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3:49" x14ac:dyDescent="0.2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3:49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3:49" x14ac:dyDescent="0.2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3:49" x14ac:dyDescent="0.2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3:49" x14ac:dyDescent="0.2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3:49" x14ac:dyDescent="0.2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3:49" x14ac:dyDescent="0.2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3:49" x14ac:dyDescent="0.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3:49" x14ac:dyDescent="0.2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3:49" x14ac:dyDescent="0.2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3:49" x14ac:dyDescent="0.2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3:49" x14ac:dyDescent="0.2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3:49" x14ac:dyDescent="0.2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3:49" x14ac:dyDescent="0.2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3:49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3:49" x14ac:dyDescent="0.2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3:49" x14ac:dyDescent="0.2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3:49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3:49" x14ac:dyDescent="0.2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3:49" x14ac:dyDescent="0.2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3:49" x14ac:dyDescent="0.2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3:49" x14ac:dyDescent="0.2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3:49" x14ac:dyDescent="0.2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3:49" x14ac:dyDescent="0.2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3:49" x14ac:dyDescent="0.2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3:49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3:49" x14ac:dyDescent="0.2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3:49" x14ac:dyDescent="0.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3:49" x14ac:dyDescent="0.2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3:49" x14ac:dyDescent="0.2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3:49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3:49" x14ac:dyDescent="0.2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3:49" x14ac:dyDescent="0.2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3:49" x14ac:dyDescent="0.2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3:49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3:49" x14ac:dyDescent="0.2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3:49" x14ac:dyDescent="0.2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3:49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3:49" x14ac:dyDescent="0.2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3:49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3:49" x14ac:dyDescent="0.2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3:49" x14ac:dyDescent="0.2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3:49" x14ac:dyDescent="0.2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3:49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3:49" x14ac:dyDescent="0.2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3:49" x14ac:dyDescent="0.2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3:49" x14ac:dyDescent="0.2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3:49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3:49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3:49" x14ac:dyDescent="0.2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3:49" x14ac:dyDescent="0.2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3:49" x14ac:dyDescent="0.2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3:49" x14ac:dyDescent="0.2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3:49" x14ac:dyDescent="0.2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3:49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3:49" x14ac:dyDescent="0.2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3:49" x14ac:dyDescent="0.2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3:49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3:49" x14ac:dyDescent="0.2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3:49" x14ac:dyDescent="0.2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3:49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3:49" x14ac:dyDescent="0.2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3:49" x14ac:dyDescent="0.2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3:49" x14ac:dyDescent="0.2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3:49" x14ac:dyDescent="0.2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3:49" x14ac:dyDescent="0.2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3:49" x14ac:dyDescent="0.2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3:49" x14ac:dyDescent="0.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3:49" x14ac:dyDescent="0.2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3:49" x14ac:dyDescent="0.2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3:49" x14ac:dyDescent="0.2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3:49" x14ac:dyDescent="0.2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3:49" x14ac:dyDescent="0.2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3:49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4D0C-8E54-FD49-9F91-8069ED82671C}">
  <sheetPr codeName="Sheet5"/>
  <dimension ref="A1:AW348"/>
  <sheetViews>
    <sheetView tabSelected="1" zoomScale="110" zoomScaleNormal="110" workbookViewId="0">
      <pane xSplit="1" ySplit="3" topLeftCell="F65" activePane="bottomRight" state="frozen"/>
      <selection activeCell="AV5" sqref="AV5"/>
      <selection pane="topRight" activeCell="AV5" sqref="AV5"/>
      <selection pane="bottomLeft" activeCell="AV5" sqref="AV5"/>
      <selection pane="bottomRight" activeCell="AS221" sqref="AS221"/>
    </sheetView>
  </sheetViews>
  <sheetFormatPr baseColWidth="10" defaultRowHeight="16" x14ac:dyDescent="0.2"/>
  <cols>
    <col min="1" max="1" width="39.33203125" style="2" customWidth="1"/>
    <col min="2" max="2" width="4.33203125" style="7" customWidth="1"/>
    <col min="3" max="47" width="11.83203125" style="2" customWidth="1"/>
    <col min="48" max="49" width="9.5" style="2" bestFit="1" customWidth="1"/>
    <col min="50" max="88" width="11.83203125" customWidth="1"/>
  </cols>
  <sheetData>
    <row r="1" spans="1:49" x14ac:dyDescent="0.2">
      <c r="B1" s="6">
        <v>0</v>
      </c>
      <c r="C1" s="2">
        <v>1</v>
      </c>
      <c r="D1" s="2">
        <f>C1+1</f>
        <v>2</v>
      </c>
      <c r="E1" s="2">
        <f t="shared" ref="E1:AM3" si="0">D1+1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si="0"/>
        <v>8</v>
      </c>
      <c r="K1" s="2">
        <f t="shared" si="0"/>
        <v>9</v>
      </c>
      <c r="L1" s="2">
        <f t="shared" si="0"/>
        <v>10</v>
      </c>
      <c r="M1" s="2">
        <f t="shared" si="0"/>
        <v>11</v>
      </c>
      <c r="N1" s="2">
        <f t="shared" si="0"/>
        <v>12</v>
      </c>
      <c r="O1" s="2">
        <f t="shared" si="0"/>
        <v>13</v>
      </c>
      <c r="P1" s="2">
        <f t="shared" si="0"/>
        <v>14</v>
      </c>
      <c r="Q1" s="2">
        <f t="shared" si="0"/>
        <v>15</v>
      </c>
      <c r="R1" s="2">
        <f t="shared" si="0"/>
        <v>16</v>
      </c>
      <c r="S1" s="2">
        <f t="shared" si="0"/>
        <v>17</v>
      </c>
      <c r="T1" s="2">
        <f t="shared" si="0"/>
        <v>18</v>
      </c>
      <c r="U1" s="2">
        <f t="shared" si="0"/>
        <v>19</v>
      </c>
      <c r="V1" s="2">
        <f t="shared" si="0"/>
        <v>20</v>
      </c>
      <c r="W1" s="2">
        <f t="shared" si="0"/>
        <v>21</v>
      </c>
      <c r="X1" s="2">
        <f t="shared" si="0"/>
        <v>22</v>
      </c>
      <c r="Y1" s="2">
        <f t="shared" si="0"/>
        <v>23</v>
      </c>
      <c r="Z1" s="2">
        <f t="shared" si="0"/>
        <v>24</v>
      </c>
      <c r="AA1" s="2">
        <f t="shared" si="0"/>
        <v>25</v>
      </c>
      <c r="AB1" s="2">
        <f t="shared" si="0"/>
        <v>26</v>
      </c>
      <c r="AC1" s="2">
        <f t="shared" si="0"/>
        <v>27</v>
      </c>
      <c r="AD1" s="2">
        <f t="shared" si="0"/>
        <v>28</v>
      </c>
      <c r="AE1" s="2">
        <f t="shared" si="0"/>
        <v>29</v>
      </c>
      <c r="AF1" s="2">
        <f t="shared" si="0"/>
        <v>30</v>
      </c>
      <c r="AG1" s="2">
        <f t="shared" si="0"/>
        <v>31</v>
      </c>
      <c r="AH1" s="2">
        <f t="shared" si="0"/>
        <v>32</v>
      </c>
      <c r="AI1" s="2">
        <f t="shared" si="0"/>
        <v>33</v>
      </c>
      <c r="AJ1" s="2">
        <f t="shared" si="0"/>
        <v>34</v>
      </c>
      <c r="AK1" s="2">
        <f t="shared" si="0"/>
        <v>35</v>
      </c>
      <c r="AL1" s="2">
        <f t="shared" si="0"/>
        <v>36</v>
      </c>
      <c r="AM1" s="2">
        <f t="shared" si="0"/>
        <v>37</v>
      </c>
      <c r="AN1" s="2">
        <f t="shared" ref="AN1:AN3" si="1">AM1+1</f>
        <v>38</v>
      </c>
      <c r="AO1" s="2">
        <f t="shared" ref="AO1:AO3" si="2">AN1+1</f>
        <v>39</v>
      </c>
      <c r="AP1" s="2">
        <f t="shared" ref="AP1:AP3" si="3">AO1+1</f>
        <v>40</v>
      </c>
      <c r="AQ1" s="2">
        <f t="shared" ref="AQ1:AQ3" si="4">AP1+1</f>
        <v>41</v>
      </c>
      <c r="AR1" s="2">
        <f t="shared" ref="AR1:AR3" si="5">AQ1+1</f>
        <v>42</v>
      </c>
      <c r="AS1" s="2">
        <f t="shared" ref="AS1:AS3" si="6">AR1+1</f>
        <v>43</v>
      </c>
      <c r="AT1" s="2">
        <f t="shared" ref="AT1:AT3" si="7">AS1+1</f>
        <v>44</v>
      </c>
      <c r="AU1" s="2">
        <f t="shared" ref="AU1:AU3" si="8">AT1+1</f>
        <v>45</v>
      </c>
      <c r="AV1" s="2">
        <f t="shared" ref="AV1:AW3" si="9">AU1+1</f>
        <v>46</v>
      </c>
      <c r="AW1" s="2">
        <f t="shared" si="9"/>
        <v>47</v>
      </c>
    </row>
    <row r="2" spans="1:49" x14ac:dyDescent="0.2">
      <c r="A2" s="12"/>
      <c r="B2" s="6" t="s">
        <v>6</v>
      </c>
      <c r="C2" s="2">
        <f ca="1">YEAR(TODAY())+1</f>
        <v>2027</v>
      </c>
      <c r="D2" s="2">
        <f ca="1">C2+1</f>
        <v>2028</v>
      </c>
      <c r="E2" s="2">
        <f t="shared" ca="1" si="0"/>
        <v>2029</v>
      </c>
      <c r="F2" s="2">
        <f t="shared" ca="1" si="0"/>
        <v>2030</v>
      </c>
      <c r="G2" s="2">
        <f t="shared" ca="1" si="0"/>
        <v>2031</v>
      </c>
      <c r="H2" s="2">
        <f t="shared" ca="1" si="0"/>
        <v>2032</v>
      </c>
      <c r="I2" s="2">
        <f t="shared" ca="1" si="0"/>
        <v>2033</v>
      </c>
      <c r="J2" s="2">
        <f t="shared" ca="1" si="0"/>
        <v>2034</v>
      </c>
      <c r="K2" s="2">
        <f t="shared" ca="1" si="0"/>
        <v>2035</v>
      </c>
      <c r="L2" s="2">
        <f t="shared" ca="1" si="0"/>
        <v>2036</v>
      </c>
      <c r="M2" s="2">
        <f t="shared" ca="1" si="0"/>
        <v>2037</v>
      </c>
      <c r="N2" s="2">
        <f t="shared" ca="1" si="0"/>
        <v>2038</v>
      </c>
      <c r="O2" s="2">
        <f t="shared" ca="1" si="0"/>
        <v>2039</v>
      </c>
      <c r="P2" s="2">
        <f t="shared" ca="1" si="0"/>
        <v>2040</v>
      </c>
      <c r="Q2" s="2">
        <f t="shared" ca="1" si="0"/>
        <v>2041</v>
      </c>
      <c r="R2" s="2">
        <f t="shared" ca="1" si="0"/>
        <v>2042</v>
      </c>
      <c r="S2" s="2">
        <f t="shared" ca="1" si="0"/>
        <v>2043</v>
      </c>
      <c r="T2" s="2">
        <f t="shared" ca="1" si="0"/>
        <v>2044</v>
      </c>
      <c r="U2" s="2">
        <f t="shared" ca="1" si="0"/>
        <v>2045</v>
      </c>
      <c r="V2" s="2">
        <f t="shared" ca="1" si="0"/>
        <v>2046</v>
      </c>
      <c r="W2" s="2">
        <f t="shared" ca="1" si="0"/>
        <v>2047</v>
      </c>
      <c r="X2" s="2">
        <f t="shared" ca="1" si="0"/>
        <v>2048</v>
      </c>
      <c r="Y2" s="2">
        <f t="shared" ca="1" si="0"/>
        <v>2049</v>
      </c>
      <c r="Z2" s="2">
        <f t="shared" ca="1" si="0"/>
        <v>2050</v>
      </c>
      <c r="AA2" s="2">
        <f t="shared" ca="1" si="0"/>
        <v>2051</v>
      </c>
      <c r="AB2" s="2">
        <f t="shared" ca="1" si="0"/>
        <v>2052</v>
      </c>
      <c r="AC2" s="2">
        <f t="shared" ca="1" si="0"/>
        <v>2053</v>
      </c>
      <c r="AD2" s="2">
        <f t="shared" ca="1" si="0"/>
        <v>2054</v>
      </c>
      <c r="AE2" s="2">
        <f t="shared" ca="1" si="0"/>
        <v>2055</v>
      </c>
      <c r="AF2" s="2">
        <f t="shared" ca="1" si="0"/>
        <v>2056</v>
      </c>
      <c r="AG2" s="2">
        <f t="shared" ca="1" si="0"/>
        <v>2057</v>
      </c>
      <c r="AH2" s="2">
        <f t="shared" ca="1" si="0"/>
        <v>2058</v>
      </c>
      <c r="AI2" s="2">
        <f t="shared" ca="1" si="0"/>
        <v>2059</v>
      </c>
      <c r="AJ2" s="2">
        <f t="shared" ca="1" si="0"/>
        <v>2060</v>
      </c>
      <c r="AK2" s="2">
        <f t="shared" ca="1" si="0"/>
        <v>2061</v>
      </c>
      <c r="AL2" s="2">
        <f t="shared" ca="1" si="0"/>
        <v>2062</v>
      </c>
      <c r="AM2" s="2">
        <f t="shared" ca="1" si="0"/>
        <v>2063</v>
      </c>
      <c r="AN2" s="2">
        <f t="shared" ca="1" si="1"/>
        <v>2064</v>
      </c>
      <c r="AO2" s="2">
        <f t="shared" ca="1" si="2"/>
        <v>2065</v>
      </c>
      <c r="AP2" s="2">
        <f t="shared" ca="1" si="3"/>
        <v>2066</v>
      </c>
      <c r="AQ2" s="2">
        <f t="shared" ca="1" si="4"/>
        <v>2067</v>
      </c>
      <c r="AR2" s="2">
        <f t="shared" ca="1" si="5"/>
        <v>2068</v>
      </c>
      <c r="AS2" s="2">
        <f t="shared" ca="1" si="6"/>
        <v>2069</v>
      </c>
      <c r="AT2" s="2">
        <f t="shared" ca="1" si="7"/>
        <v>2070</v>
      </c>
      <c r="AU2" s="2">
        <f t="shared" ca="1" si="8"/>
        <v>2071</v>
      </c>
      <c r="AV2" s="2">
        <f t="shared" ca="1" si="9"/>
        <v>2072</v>
      </c>
      <c r="AW2" s="2">
        <f t="shared" ca="1" si="9"/>
        <v>2073</v>
      </c>
    </row>
    <row r="3" spans="1:49" x14ac:dyDescent="0.2">
      <c r="A3" s="36"/>
      <c r="B3" s="37">
        <v>59</v>
      </c>
      <c r="C3" s="2">
        <f>Inputs!B4+1</f>
        <v>48</v>
      </c>
      <c r="D3" s="2">
        <f>C3+1</f>
        <v>49</v>
      </c>
      <c r="E3" s="2">
        <f t="shared" si="0"/>
        <v>50</v>
      </c>
      <c r="F3" s="2">
        <f t="shared" si="0"/>
        <v>51</v>
      </c>
      <c r="G3" s="2">
        <f t="shared" si="0"/>
        <v>52</v>
      </c>
      <c r="H3" s="2">
        <f t="shared" si="0"/>
        <v>53</v>
      </c>
      <c r="I3" s="2">
        <f t="shared" si="0"/>
        <v>54</v>
      </c>
      <c r="J3" s="2">
        <f t="shared" si="0"/>
        <v>55</v>
      </c>
      <c r="K3" s="2">
        <f t="shared" si="0"/>
        <v>56</v>
      </c>
      <c r="L3" s="2">
        <f t="shared" si="0"/>
        <v>57</v>
      </c>
      <c r="M3" s="2">
        <f t="shared" si="0"/>
        <v>58</v>
      </c>
      <c r="N3" s="2">
        <f t="shared" si="0"/>
        <v>59</v>
      </c>
      <c r="O3" s="2">
        <f t="shared" si="0"/>
        <v>60</v>
      </c>
      <c r="P3" s="2">
        <f t="shared" si="0"/>
        <v>61</v>
      </c>
      <c r="Q3" s="2">
        <f t="shared" si="0"/>
        <v>62</v>
      </c>
      <c r="R3" s="2">
        <f t="shared" si="0"/>
        <v>63</v>
      </c>
      <c r="S3" s="2">
        <f t="shared" si="0"/>
        <v>64</v>
      </c>
      <c r="T3" s="2">
        <f t="shared" si="0"/>
        <v>65</v>
      </c>
      <c r="U3" s="2">
        <f t="shared" si="0"/>
        <v>66</v>
      </c>
      <c r="V3" s="2">
        <f t="shared" si="0"/>
        <v>67</v>
      </c>
      <c r="W3" s="2">
        <f t="shared" si="0"/>
        <v>68</v>
      </c>
      <c r="X3" s="2">
        <f t="shared" si="0"/>
        <v>69</v>
      </c>
      <c r="Y3" s="2">
        <f t="shared" si="0"/>
        <v>70</v>
      </c>
      <c r="Z3" s="2">
        <f t="shared" si="0"/>
        <v>71</v>
      </c>
      <c r="AA3" s="2">
        <f t="shared" si="0"/>
        <v>72</v>
      </c>
      <c r="AB3" s="2">
        <f t="shared" si="0"/>
        <v>73</v>
      </c>
      <c r="AC3" s="2">
        <f t="shared" si="0"/>
        <v>74</v>
      </c>
      <c r="AD3" s="2">
        <f t="shared" si="0"/>
        <v>75</v>
      </c>
      <c r="AE3" s="2">
        <f t="shared" si="0"/>
        <v>76</v>
      </c>
      <c r="AF3" s="2">
        <f t="shared" si="0"/>
        <v>77</v>
      </c>
      <c r="AG3" s="2">
        <f t="shared" si="0"/>
        <v>78</v>
      </c>
      <c r="AH3" s="2">
        <f t="shared" si="0"/>
        <v>79</v>
      </c>
      <c r="AI3" s="2">
        <f t="shared" si="0"/>
        <v>80</v>
      </c>
      <c r="AJ3" s="2">
        <f t="shared" si="0"/>
        <v>81</v>
      </c>
      <c r="AK3" s="2">
        <f t="shared" si="0"/>
        <v>82</v>
      </c>
      <c r="AL3" s="2">
        <f t="shared" si="0"/>
        <v>83</v>
      </c>
      <c r="AM3" s="2">
        <f t="shared" si="0"/>
        <v>84</v>
      </c>
      <c r="AN3" s="2">
        <f t="shared" si="1"/>
        <v>85</v>
      </c>
      <c r="AO3" s="2">
        <f t="shared" si="2"/>
        <v>86</v>
      </c>
      <c r="AP3" s="2">
        <f t="shared" si="3"/>
        <v>87</v>
      </c>
      <c r="AQ3" s="2">
        <f t="shared" si="4"/>
        <v>88</v>
      </c>
      <c r="AR3" s="2">
        <f t="shared" si="5"/>
        <v>89</v>
      </c>
      <c r="AS3" s="2">
        <f t="shared" si="6"/>
        <v>90</v>
      </c>
      <c r="AT3" s="2">
        <f t="shared" si="7"/>
        <v>91</v>
      </c>
      <c r="AU3" s="2">
        <f t="shared" si="8"/>
        <v>92</v>
      </c>
      <c r="AV3" s="2">
        <f t="shared" si="9"/>
        <v>93</v>
      </c>
      <c r="AW3" s="2">
        <f t="shared" si="9"/>
        <v>94</v>
      </c>
    </row>
    <row r="4" spans="1:49" ht="19" x14ac:dyDescent="0.25">
      <c r="A4" s="14" t="s">
        <v>17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">
      <c r="A5" s="5" t="s">
        <v>51</v>
      </c>
      <c r="B5" s="9"/>
      <c r="C5" s="8">
        <f>IF(AND(Inputs!$B$19&gt;C3,$B$3&gt;C3),Inputs!$B$6*(1+sincr)^B1,0)</f>
        <v>60000</v>
      </c>
      <c r="D5" s="8">
        <f>IF(AND(Inputs!$B$19&gt;D3,$B$3&gt;D3),Inputs!$B$6*(1+sincr)^C1,0)</f>
        <v>61800</v>
      </c>
      <c r="E5" s="8">
        <f>IF(AND(Inputs!$B$19&gt;E3,$B$3&gt;E3),Inputs!$B$6*(1+sincr)^D1,0)</f>
        <v>63654</v>
      </c>
      <c r="F5" s="8">
        <f>IF(AND(Inputs!$B$19&gt;F3,$B$3&gt;F3),Inputs!$B$6*(1+sincr)^E1,0)</f>
        <v>65563.62</v>
      </c>
      <c r="G5" s="8">
        <f>IF(AND(Inputs!$B$19&gt;G3,$B$3&gt;G3),Inputs!$B$6*(1+sincr)^F1,0)</f>
        <v>67530.528599999991</v>
      </c>
      <c r="H5" s="8">
        <f>IF(AND(Inputs!$B$19&gt;H3,$B$3&gt;H3),Inputs!$B$6*(1+sincr)^G1,0)</f>
        <v>69556.444457999984</v>
      </c>
      <c r="I5" s="8">
        <f>IF(AND(Inputs!$B$19&gt;I3,$B$3&gt;I3),Inputs!$B$6*(1+sincr)^H1,0)</f>
        <v>71643.137791739995</v>
      </c>
      <c r="J5" s="8">
        <f>IF(AND(Inputs!$B$19&gt;J3,$B$3&gt;J3),Inputs!$B$6*(1+sincr)^I1,0)</f>
        <v>73792.431925492201</v>
      </c>
      <c r="K5" s="8">
        <f>IF(AND(Inputs!$B$19&gt;K3,$B$3&gt;K3),Inputs!$B$6*(1+sincr)^J1,0)</f>
        <v>76006.204883256956</v>
      </c>
      <c r="L5" s="8">
        <f>IF(AND(Inputs!$B$19&gt;L3,$B$3&gt;L3),Inputs!$B$6*(1+sincr)^K1,0)</f>
        <v>78286.391029754668</v>
      </c>
      <c r="M5" s="8">
        <f>IF(AND(Inputs!$B$19&gt;M3,$B$3&gt;M3),Inputs!$B$6*(1+sincr)^L1,0)</f>
        <v>80634.982760647312</v>
      </c>
      <c r="N5" s="8">
        <f>IF(AND(Inputs!$B$19&gt;N3,$B$3&gt;N3),Inputs!$B$6*(1+sincr)^M1,0)</f>
        <v>0</v>
      </c>
      <c r="O5" s="8">
        <f>IF(AND(Inputs!$B$19&gt;O3,$B$3&gt;O3),Inputs!$B$6*(1+sincr)^N1,0)</f>
        <v>0</v>
      </c>
      <c r="P5" s="8">
        <f>IF(AND(Inputs!$B$19&gt;P3,$B$3&gt;P3),Inputs!$B$6*(1+sincr)^O1,0)</f>
        <v>0</v>
      </c>
      <c r="Q5" s="8">
        <f>IF(AND(Inputs!$B$19&gt;Q3,$B$3&gt;Q3),Inputs!$B$6*(1+sincr)^P1,0)</f>
        <v>0</v>
      </c>
      <c r="R5" s="8">
        <f>IF(AND(Inputs!$B$19&gt;R3,$B$3&gt;R3),Inputs!$B$6*(1+sincr)^Q1,0)</f>
        <v>0</v>
      </c>
      <c r="S5" s="8">
        <f>IF(AND(Inputs!$B$19&gt;S3,$B$3&gt;S3),Inputs!$B$6*(1+sincr)^R1,0)</f>
        <v>0</v>
      </c>
      <c r="T5" s="8">
        <f>IF(AND(Inputs!$B$19&gt;T3,$B$3&gt;T3),Inputs!$B$6*(1+sincr)^S1,0)</f>
        <v>0</v>
      </c>
      <c r="U5" s="8">
        <f>IF(AND(Inputs!$B$19&gt;U3,$B$3&gt;U3),Inputs!$B$6*(1+sincr)^T1,0)</f>
        <v>0</v>
      </c>
      <c r="V5" s="8">
        <f>IF(AND(Inputs!$B$19&gt;V3,$B$3&gt;V3),Inputs!$B$6*(1+sincr)^U1,0)</f>
        <v>0</v>
      </c>
      <c r="W5" s="8">
        <f>IF(AND(Inputs!$B$19&gt;W3,$B$3&gt;W3),Inputs!$B$6*(1+sincr)^V1,0)</f>
        <v>0</v>
      </c>
      <c r="X5" s="8">
        <f>IF(AND(Inputs!$B$19&gt;X3,$B$3&gt;X3),Inputs!$B$6*(1+sincr)^W1,0)</f>
        <v>0</v>
      </c>
      <c r="Y5" s="8">
        <f>IF(AND(Inputs!$B$19&gt;Y3,$B$3&gt;Y3),Inputs!$B$6*(1+sincr)^X1,0)</f>
        <v>0</v>
      </c>
      <c r="Z5" s="8">
        <f>IF(AND(Inputs!$B$19&gt;Z3,$B$3&gt;Z3),Inputs!$B$6*(1+sincr)^Y1,0)</f>
        <v>0</v>
      </c>
      <c r="AA5" s="8">
        <f>IF(AND(Inputs!$B$19&gt;AA3,$B$3&gt;AA3),Inputs!$B$6*(1+sincr)^Z1,0)</f>
        <v>0</v>
      </c>
      <c r="AB5" s="8">
        <f>IF(AND(Inputs!$B$19&gt;AB3,$B$3&gt;AB3),Inputs!$B$6*(1+sincr)^AA1,0)</f>
        <v>0</v>
      </c>
      <c r="AC5" s="8">
        <f>IF(AND(Inputs!$B$19&gt;AC3,$B$3&gt;AC3),Inputs!$B$6*(1+sincr)^AB1,0)</f>
        <v>0</v>
      </c>
      <c r="AD5" s="8">
        <f>IF(AND(Inputs!$B$19&gt;AD3,$B$3&gt;AD3),Inputs!$B$6*(1+sincr)^AC1,0)</f>
        <v>0</v>
      </c>
      <c r="AE5" s="8">
        <f>IF(AND(Inputs!$B$19&gt;AE3,$B$3&gt;AE3),Inputs!$B$6*(1+sincr)^AD1,0)</f>
        <v>0</v>
      </c>
      <c r="AF5" s="8">
        <f>IF(AND(Inputs!$B$19&gt;AF3,$B$3&gt;AF3),Inputs!$B$6*(1+sincr)^AE1,0)</f>
        <v>0</v>
      </c>
      <c r="AG5" s="8">
        <f>IF(AND(Inputs!$B$19&gt;AG3,$B$3&gt;AG3),Inputs!$B$6*(1+sincr)^AF1,0)</f>
        <v>0</v>
      </c>
      <c r="AH5" s="8">
        <f>IF(AND(Inputs!$B$19&gt;AH3,$B$3&gt;AH3),Inputs!$B$6*(1+sincr)^AG1,0)</f>
        <v>0</v>
      </c>
      <c r="AI5" s="8">
        <f>IF(AND(Inputs!$B$19&gt;AI3,$B$3&gt;AI3),Inputs!$B$6*(1+sincr)^AH1,0)</f>
        <v>0</v>
      </c>
      <c r="AJ5" s="8">
        <f>IF(AND(Inputs!$B$19&gt;AJ3,$B$3&gt;AJ3),Inputs!$B$6*(1+sincr)^AI1,0)</f>
        <v>0</v>
      </c>
      <c r="AK5" s="8">
        <f>IF(AND(Inputs!$B$19&gt;AK3,$B$3&gt;AK3),Inputs!$B$6*(1+sincr)^AJ1,0)</f>
        <v>0</v>
      </c>
      <c r="AL5" s="8">
        <f>IF(AND(Inputs!$B$19&gt;AL3,$B$3&gt;AL3),Inputs!$B$6*(1+sincr)^AK1,0)</f>
        <v>0</v>
      </c>
      <c r="AM5" s="8">
        <f>IF(AND(Inputs!$B$19&gt;AM3,$B$3&gt;AM3),Inputs!$B$6*(1+sincr)^AL1,0)</f>
        <v>0</v>
      </c>
      <c r="AN5" s="8">
        <f>IF(AND(Inputs!$B$19&gt;AN3,$B$3&gt;AN3),Inputs!$B$6*(1+sincr)^AM1,0)</f>
        <v>0</v>
      </c>
      <c r="AO5" s="8">
        <f>IF(AND(Inputs!$B$19&gt;AO3,$B$3&gt;AO3),Inputs!$B$6*(1+sincr)^AN1,0)</f>
        <v>0</v>
      </c>
      <c r="AP5" s="8">
        <f>IF(AND(Inputs!$B$19&gt;AP3,$B$3&gt;AP3),Inputs!$B$6*(1+sincr)^AO1,0)</f>
        <v>0</v>
      </c>
      <c r="AQ5" s="8">
        <f>IF(AND(Inputs!$B$19&gt;AQ3,$B$3&gt;AQ3),Inputs!$B$6*(1+sincr)^AP1,0)</f>
        <v>0</v>
      </c>
      <c r="AR5" s="8">
        <f>IF(AND(Inputs!$B$19&gt;AR3,$B$3&gt;AR3),Inputs!$B$6*(1+sincr)^AQ1,0)</f>
        <v>0</v>
      </c>
      <c r="AS5" s="8">
        <f>IF(AND(Inputs!$B$19&gt;AS3,$B$3&gt;AS3),Inputs!$B$6*(1+sincr)^AR1,0)</f>
        <v>0</v>
      </c>
      <c r="AT5" s="8">
        <f>IF(AND(Inputs!$B$19&gt;AT3,$B$3&gt;AT3),Inputs!$B$6*(1+sincr)^AS1,0)</f>
        <v>0</v>
      </c>
      <c r="AU5" s="8">
        <f>IF(AND(Inputs!$B$19&gt;AU3,$B$3&gt;AU3),Inputs!$B$6*(1+sincr)^AT1,0)</f>
        <v>0</v>
      </c>
      <c r="AV5" s="8">
        <f>IF(AND(Inputs!$B$19&gt;AV3,$B$3&gt;AV3),Inputs!$B$6*(1+sincr)^AU1,0)</f>
        <v>0</v>
      </c>
      <c r="AW5" s="8">
        <f>IF(AND(Inputs!$B$19&gt;AW3,$B$3&gt;AW3),Inputs!$B$6*(1+sincr)^AV1,0)</f>
        <v>0</v>
      </c>
    </row>
    <row r="6" spans="1:49" x14ac:dyDescent="0.2">
      <c r="A6" s="5" t="s">
        <v>14</v>
      </c>
      <c r="B6" s="9"/>
      <c r="C6" s="8">
        <f>IF(C$3&lt;=Inputs!$B$71,Inputs!$B$70,0)*(1+inf)^B$1</f>
        <v>0</v>
      </c>
      <c r="D6" s="8">
        <f>IF(D$3&lt;=Inputs!$B$71,Inputs!$B$70,0)*(1+inf)^C$1</f>
        <v>0</v>
      </c>
      <c r="E6" s="8">
        <f>IF(E$3&lt;=Inputs!$B$71,Inputs!$B$70,0)*(1+inf)^D$1</f>
        <v>0</v>
      </c>
      <c r="F6" s="8">
        <f>IF(F$3&lt;=Inputs!$B$71,Inputs!$B$70,0)*(1+inf)^E$1</f>
        <v>0</v>
      </c>
      <c r="G6" s="8">
        <f>IF(G$3&lt;=Inputs!$B$71,Inputs!$B$70,0)*(1+inf)^F$1</f>
        <v>0</v>
      </c>
      <c r="H6" s="8">
        <f>IF(H$3&lt;=Inputs!$B$71,Inputs!$B$70,0)*(1+inf)^G$1</f>
        <v>0</v>
      </c>
      <c r="I6" s="8">
        <f>IF(I$3&lt;=Inputs!$B$71,Inputs!$B$70,0)*(1+inf)^H$1</f>
        <v>0</v>
      </c>
      <c r="J6" s="8">
        <f>IF(J$3&lt;=Inputs!$B$71,Inputs!$B$70,0)*(1+inf)^I$1</f>
        <v>0</v>
      </c>
      <c r="K6" s="8">
        <f>IF(K$3&lt;=Inputs!$B$71,Inputs!$B$70,0)*(1+inf)^J$1</f>
        <v>0</v>
      </c>
      <c r="L6" s="8">
        <f>IF(L$3&lt;=Inputs!$B$71,Inputs!$B$70,0)*(1+inf)^K$1</f>
        <v>0</v>
      </c>
      <c r="M6" s="8">
        <f>IF(M$3&lt;=Inputs!$B$71,Inputs!$B$70,0)*(1+inf)^L$1</f>
        <v>0</v>
      </c>
      <c r="N6" s="8">
        <f>IF(N$3&lt;=Inputs!$B$71,Inputs!$B$70,0)*(1+inf)^M$1</f>
        <v>0</v>
      </c>
      <c r="O6" s="8">
        <f>IF(O$3&lt;=Inputs!$B$71,Inputs!$B$70,0)*(1+inf)^N$1</f>
        <v>0</v>
      </c>
      <c r="P6" s="8">
        <f>IF(P$3&lt;=Inputs!$B$71,Inputs!$B$70,0)*(1+inf)^O$1</f>
        <v>0</v>
      </c>
      <c r="Q6" s="8">
        <f>IF(Q$3&lt;=Inputs!$B$71,Inputs!$B$70,0)*(1+inf)^P$1</f>
        <v>0</v>
      </c>
      <c r="R6" s="8">
        <f>IF(R$3&lt;=Inputs!$B$71,Inputs!$B$70,0)*(1+inf)^Q$1</f>
        <v>0</v>
      </c>
      <c r="S6" s="8">
        <f>IF(S$3&lt;=Inputs!$B$71,Inputs!$B$70,0)*(1+inf)^R$1</f>
        <v>0</v>
      </c>
      <c r="T6" s="8">
        <f>IF(T$3&lt;=Inputs!$B$71,Inputs!$B$70,0)*(1+inf)^S$1</f>
        <v>0</v>
      </c>
      <c r="U6" s="8">
        <f>IF(U$3&lt;=Inputs!$B$71,Inputs!$B$70,0)*(1+inf)^T$1</f>
        <v>0</v>
      </c>
      <c r="V6" s="8">
        <f>IF(V$3&lt;=Inputs!$B$71,Inputs!$B$70,0)*(1+inf)^U$1</f>
        <v>0</v>
      </c>
      <c r="W6" s="8">
        <f>IF(W$3&lt;=Inputs!$B$71,Inputs!$B$70,0)*(1+inf)^V$1</f>
        <v>0</v>
      </c>
      <c r="X6" s="8">
        <f>IF(X$3&lt;=Inputs!$B$71,Inputs!$B$70,0)*(1+inf)^W$1</f>
        <v>0</v>
      </c>
      <c r="Y6" s="8">
        <f>IF(Y$3&lt;=Inputs!$B$71,Inputs!$B$70,0)*(1+inf)^X$1</f>
        <v>0</v>
      </c>
      <c r="Z6" s="8">
        <f>IF(Z$3&lt;=Inputs!$B$71,Inputs!$B$70,0)*(1+inf)^Y$1</f>
        <v>0</v>
      </c>
      <c r="AA6" s="8">
        <f>IF(AA$3&lt;=Inputs!$B$71,Inputs!$B$70,0)*(1+inf)^Z$1</f>
        <v>0</v>
      </c>
      <c r="AB6" s="8">
        <f>IF(AB$3&lt;=Inputs!$B$71,Inputs!$B$70,0)*(1+inf)^AA$1</f>
        <v>0</v>
      </c>
      <c r="AC6" s="8">
        <f>IF(AC$3&lt;=Inputs!$B$71,Inputs!$B$70,0)*(1+inf)^AB$1</f>
        <v>0</v>
      </c>
      <c r="AD6" s="8">
        <f>IF(AD$3&lt;=Inputs!$B$71,Inputs!$B$70,0)*(1+inf)^AC$1</f>
        <v>0</v>
      </c>
      <c r="AE6" s="8">
        <f>IF(AE$3&lt;=Inputs!$B$71,Inputs!$B$70,0)*(1+inf)^AD$1</f>
        <v>0</v>
      </c>
      <c r="AF6" s="8">
        <f>IF(AF$3&lt;=Inputs!$B$71,Inputs!$B$70,0)*(1+inf)^AE$1</f>
        <v>0</v>
      </c>
      <c r="AG6" s="8">
        <f>IF(AG$3&lt;=Inputs!$B$71,Inputs!$B$70,0)*(1+inf)^AF$1</f>
        <v>0</v>
      </c>
      <c r="AH6" s="8">
        <f>IF(AH$3&lt;=Inputs!$B$71,Inputs!$B$70,0)*(1+inf)^AG$1</f>
        <v>0</v>
      </c>
      <c r="AI6" s="8">
        <f>IF(AI$3&lt;=Inputs!$B$71,Inputs!$B$70,0)*(1+inf)^AH$1</f>
        <v>0</v>
      </c>
      <c r="AJ6" s="8">
        <f>IF(AJ$3&lt;=Inputs!$B$71,Inputs!$B$70,0)*(1+inf)^AI$1</f>
        <v>0</v>
      </c>
      <c r="AK6" s="8">
        <f>IF(AK$3&lt;=Inputs!$B$71,Inputs!$B$70,0)*(1+inf)^AJ$1</f>
        <v>0</v>
      </c>
      <c r="AL6" s="8">
        <f>IF(AL$3&lt;=Inputs!$B$71,Inputs!$B$70,0)*(1+inf)^AK$1</f>
        <v>0</v>
      </c>
      <c r="AM6" s="8">
        <f>IF(AM$3&lt;=Inputs!$B$71,Inputs!$B$70,0)*(1+inf)^AL$1</f>
        <v>0</v>
      </c>
      <c r="AN6" s="8">
        <f>IF(AN$3&lt;=Inputs!$B$71,Inputs!$B$70,0)*(1+inf)^AM$1</f>
        <v>0</v>
      </c>
      <c r="AO6" s="8">
        <f>IF(AO$3&lt;=Inputs!$B$71,Inputs!$B$70,0)*(1+inf)^AN$1</f>
        <v>0</v>
      </c>
      <c r="AP6" s="8">
        <f>IF(AP$3&lt;=Inputs!$B$71,Inputs!$B$70,0)*(1+inf)^AO$1</f>
        <v>0</v>
      </c>
      <c r="AQ6" s="8">
        <f>IF(AQ$3&lt;=Inputs!$B$71,Inputs!$B$70,0)*(1+inf)^AP$1</f>
        <v>0</v>
      </c>
      <c r="AR6" s="8">
        <f>IF(AR$3&lt;=Inputs!$B$71,Inputs!$B$70,0)*(1+inf)^AQ$1</f>
        <v>0</v>
      </c>
      <c r="AS6" s="8">
        <f>IF(AS$3&lt;=Inputs!$B$71,Inputs!$B$70,0)*(1+inf)^AR$1</f>
        <v>0</v>
      </c>
      <c r="AT6" s="8">
        <f>IF(AT$3&lt;=Inputs!$B$71,Inputs!$B$70,0)*(1+inf)^AS$1</f>
        <v>0</v>
      </c>
      <c r="AU6" s="8">
        <f>IF(AU$3&lt;=Inputs!$B$71,Inputs!$B$70,0)*(1+inf)^AT$1</f>
        <v>0</v>
      </c>
      <c r="AV6" s="8">
        <f>IF(AV$3&lt;=Inputs!$B$71,Inputs!$B$70,0)*(1+inf)^AU$1</f>
        <v>0</v>
      </c>
      <c r="AW6" s="8">
        <f>IF(AW$3&lt;=Inputs!$B$71,Inputs!$B$70,0)*(1+inf)^AV$1</f>
        <v>0</v>
      </c>
    </row>
    <row r="7" spans="1:49" x14ac:dyDescent="0.2">
      <c r="A7" s="5" t="s">
        <v>79</v>
      </c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">
      <c r="A8" s="4" t="str">
        <f>TEXT(Inputs!$B$50,"")</f>
        <v>Sliema</v>
      </c>
      <c r="C8" s="8">
        <f>Inputs!B66</f>
        <v>0</v>
      </c>
      <c r="D8" s="8">
        <f t="shared" ref="D8:AM10" si="10">C8*(1+rinc)</f>
        <v>0</v>
      </c>
      <c r="E8" s="8">
        <f t="shared" si="10"/>
        <v>0</v>
      </c>
      <c r="F8" s="8">
        <f t="shared" si="10"/>
        <v>0</v>
      </c>
      <c r="G8" s="8">
        <f t="shared" si="10"/>
        <v>0</v>
      </c>
      <c r="H8" s="8">
        <f t="shared" si="10"/>
        <v>0</v>
      </c>
      <c r="I8" s="8">
        <f t="shared" si="10"/>
        <v>0</v>
      </c>
      <c r="J8" s="8">
        <f t="shared" si="10"/>
        <v>0</v>
      </c>
      <c r="K8" s="8">
        <f t="shared" si="10"/>
        <v>0</v>
      </c>
      <c r="L8" s="8">
        <f t="shared" si="10"/>
        <v>0</v>
      </c>
      <c r="M8" s="8">
        <f t="shared" si="10"/>
        <v>0</v>
      </c>
      <c r="N8" s="8">
        <f t="shared" si="10"/>
        <v>0</v>
      </c>
      <c r="O8" s="8">
        <f t="shared" si="10"/>
        <v>0</v>
      </c>
      <c r="P8" s="8">
        <f t="shared" si="10"/>
        <v>0</v>
      </c>
      <c r="Q8" s="8">
        <f t="shared" si="10"/>
        <v>0</v>
      </c>
      <c r="R8" s="8">
        <f t="shared" si="10"/>
        <v>0</v>
      </c>
      <c r="S8" s="8">
        <f t="shared" si="10"/>
        <v>0</v>
      </c>
      <c r="T8" s="8">
        <f t="shared" si="10"/>
        <v>0</v>
      </c>
      <c r="U8" s="8">
        <f t="shared" si="10"/>
        <v>0</v>
      </c>
      <c r="V8" s="8">
        <f t="shared" si="10"/>
        <v>0</v>
      </c>
      <c r="W8" s="8">
        <f t="shared" si="10"/>
        <v>0</v>
      </c>
      <c r="X8" s="8">
        <f t="shared" si="10"/>
        <v>0</v>
      </c>
      <c r="Y8" s="8">
        <f t="shared" si="10"/>
        <v>0</v>
      </c>
      <c r="Z8" s="8">
        <f t="shared" si="10"/>
        <v>0</v>
      </c>
      <c r="AA8" s="8">
        <f t="shared" si="10"/>
        <v>0</v>
      </c>
      <c r="AB8" s="8">
        <f t="shared" si="10"/>
        <v>0</v>
      </c>
      <c r="AC8" s="8">
        <f t="shared" si="10"/>
        <v>0</v>
      </c>
      <c r="AD8" s="8">
        <f t="shared" si="10"/>
        <v>0</v>
      </c>
      <c r="AE8" s="8">
        <f t="shared" si="10"/>
        <v>0</v>
      </c>
      <c r="AF8" s="8">
        <f t="shared" si="10"/>
        <v>0</v>
      </c>
      <c r="AG8" s="8">
        <f t="shared" si="10"/>
        <v>0</v>
      </c>
      <c r="AH8" s="8">
        <f t="shared" si="10"/>
        <v>0</v>
      </c>
      <c r="AI8" s="8">
        <f t="shared" si="10"/>
        <v>0</v>
      </c>
      <c r="AJ8" s="8">
        <f t="shared" si="10"/>
        <v>0</v>
      </c>
      <c r="AK8" s="8">
        <f t="shared" si="10"/>
        <v>0</v>
      </c>
      <c r="AL8" s="8">
        <f t="shared" si="10"/>
        <v>0</v>
      </c>
      <c r="AM8" s="8">
        <f t="shared" si="10"/>
        <v>0</v>
      </c>
      <c r="AN8" s="8">
        <f t="shared" ref="AN8:AN10" si="11">AM8*(1+rinc)</f>
        <v>0</v>
      </c>
      <c r="AO8" s="8">
        <f t="shared" ref="AO8:AO10" si="12">AN8*(1+rinc)</f>
        <v>0</v>
      </c>
      <c r="AP8" s="8">
        <f t="shared" ref="AP8:AP10" si="13">AO8*(1+rinc)</f>
        <v>0</v>
      </c>
      <c r="AQ8" s="8">
        <f t="shared" ref="AQ8:AQ10" si="14">AP8*(1+rinc)</f>
        <v>0</v>
      </c>
      <c r="AR8" s="8">
        <f t="shared" ref="AR8:AR10" si="15">AQ8*(1+rinc)</f>
        <v>0</v>
      </c>
      <c r="AS8" s="8">
        <f t="shared" ref="AS8:AS10" si="16">AR8*(1+rinc)</f>
        <v>0</v>
      </c>
      <c r="AT8" s="8">
        <f t="shared" ref="AT8:AT10" si="17">AS8*(1+rinc)</f>
        <v>0</v>
      </c>
      <c r="AU8" s="8">
        <f t="shared" ref="AU8:AU10" si="18">AT8*(1+rinc)</f>
        <v>0</v>
      </c>
      <c r="AV8" s="8">
        <f t="shared" ref="AV8:AW10" si="19">AU8*(1+rinc)</f>
        <v>0</v>
      </c>
      <c r="AW8" s="8">
        <f t="shared" si="19"/>
        <v>0</v>
      </c>
    </row>
    <row r="9" spans="1:49" x14ac:dyDescent="0.2">
      <c r="A9" s="4" t="str">
        <f>TEXT(Inputs!$B$55,"")</f>
        <v/>
      </c>
      <c r="C9" s="8">
        <f>Inputs!B67</f>
        <v>0</v>
      </c>
      <c r="D9" s="8">
        <f t="shared" si="10"/>
        <v>0</v>
      </c>
      <c r="E9" s="8">
        <f t="shared" si="10"/>
        <v>0</v>
      </c>
      <c r="F9" s="8">
        <f t="shared" si="10"/>
        <v>0</v>
      </c>
      <c r="G9" s="8">
        <f t="shared" si="10"/>
        <v>0</v>
      </c>
      <c r="H9" s="8">
        <f t="shared" si="10"/>
        <v>0</v>
      </c>
      <c r="I9" s="8">
        <f t="shared" si="10"/>
        <v>0</v>
      </c>
      <c r="J9" s="8">
        <f t="shared" si="10"/>
        <v>0</v>
      </c>
      <c r="K9" s="8">
        <f t="shared" si="10"/>
        <v>0</v>
      </c>
      <c r="L9" s="8">
        <f t="shared" si="10"/>
        <v>0</v>
      </c>
      <c r="M9" s="8">
        <f t="shared" si="10"/>
        <v>0</v>
      </c>
      <c r="N9" s="8">
        <f t="shared" si="10"/>
        <v>0</v>
      </c>
      <c r="O9" s="8">
        <f t="shared" si="10"/>
        <v>0</v>
      </c>
      <c r="P9" s="8">
        <f t="shared" si="10"/>
        <v>0</v>
      </c>
      <c r="Q9" s="8">
        <f t="shared" si="10"/>
        <v>0</v>
      </c>
      <c r="R9" s="8">
        <f t="shared" si="10"/>
        <v>0</v>
      </c>
      <c r="S9" s="8">
        <f t="shared" si="10"/>
        <v>0</v>
      </c>
      <c r="T9" s="8">
        <f t="shared" si="10"/>
        <v>0</v>
      </c>
      <c r="U9" s="8">
        <f t="shared" si="10"/>
        <v>0</v>
      </c>
      <c r="V9" s="8">
        <f t="shared" si="10"/>
        <v>0</v>
      </c>
      <c r="W9" s="8">
        <f t="shared" si="10"/>
        <v>0</v>
      </c>
      <c r="X9" s="8">
        <f t="shared" si="10"/>
        <v>0</v>
      </c>
      <c r="Y9" s="8">
        <f t="shared" si="10"/>
        <v>0</v>
      </c>
      <c r="Z9" s="8">
        <f t="shared" si="10"/>
        <v>0</v>
      </c>
      <c r="AA9" s="8">
        <f t="shared" si="10"/>
        <v>0</v>
      </c>
      <c r="AB9" s="8">
        <f t="shared" si="10"/>
        <v>0</v>
      </c>
      <c r="AC9" s="8">
        <f t="shared" si="10"/>
        <v>0</v>
      </c>
      <c r="AD9" s="8">
        <f t="shared" si="10"/>
        <v>0</v>
      </c>
      <c r="AE9" s="8">
        <f t="shared" si="10"/>
        <v>0</v>
      </c>
      <c r="AF9" s="8">
        <f t="shared" si="10"/>
        <v>0</v>
      </c>
      <c r="AG9" s="8">
        <f t="shared" si="10"/>
        <v>0</v>
      </c>
      <c r="AH9" s="8">
        <f t="shared" si="10"/>
        <v>0</v>
      </c>
      <c r="AI9" s="8">
        <f t="shared" si="10"/>
        <v>0</v>
      </c>
      <c r="AJ9" s="8">
        <f t="shared" si="10"/>
        <v>0</v>
      </c>
      <c r="AK9" s="8">
        <f t="shared" si="10"/>
        <v>0</v>
      </c>
      <c r="AL9" s="8">
        <f t="shared" si="10"/>
        <v>0</v>
      </c>
      <c r="AM9" s="8">
        <f t="shared" si="10"/>
        <v>0</v>
      </c>
      <c r="AN9" s="8">
        <f t="shared" si="11"/>
        <v>0</v>
      </c>
      <c r="AO9" s="8">
        <f t="shared" si="12"/>
        <v>0</v>
      </c>
      <c r="AP9" s="8">
        <f t="shared" si="13"/>
        <v>0</v>
      </c>
      <c r="AQ9" s="8">
        <f t="shared" si="14"/>
        <v>0</v>
      </c>
      <c r="AR9" s="8">
        <f t="shared" si="15"/>
        <v>0</v>
      </c>
      <c r="AS9" s="8">
        <f t="shared" si="16"/>
        <v>0</v>
      </c>
      <c r="AT9" s="8">
        <f t="shared" si="17"/>
        <v>0</v>
      </c>
      <c r="AU9" s="8">
        <f t="shared" si="18"/>
        <v>0</v>
      </c>
      <c r="AV9" s="8">
        <f t="shared" si="19"/>
        <v>0</v>
      </c>
      <c r="AW9" s="8">
        <f t="shared" si="19"/>
        <v>0</v>
      </c>
    </row>
    <row r="10" spans="1:49" x14ac:dyDescent="0.2">
      <c r="A10" s="4" t="str">
        <f>TEXT(Inputs!$B$60,"")</f>
        <v/>
      </c>
      <c r="C10" s="8">
        <f>Inputs!B68</f>
        <v>0</v>
      </c>
      <c r="D10" s="8">
        <f t="shared" si="10"/>
        <v>0</v>
      </c>
      <c r="E10" s="8">
        <f t="shared" si="10"/>
        <v>0</v>
      </c>
      <c r="F10" s="8">
        <f t="shared" si="10"/>
        <v>0</v>
      </c>
      <c r="G10" s="8">
        <f t="shared" si="10"/>
        <v>0</v>
      </c>
      <c r="H10" s="8">
        <f t="shared" si="10"/>
        <v>0</v>
      </c>
      <c r="I10" s="8">
        <f t="shared" si="10"/>
        <v>0</v>
      </c>
      <c r="J10" s="8">
        <f t="shared" si="10"/>
        <v>0</v>
      </c>
      <c r="K10" s="8">
        <f t="shared" si="10"/>
        <v>0</v>
      </c>
      <c r="L10" s="8">
        <f t="shared" si="10"/>
        <v>0</v>
      </c>
      <c r="M10" s="8">
        <f t="shared" si="10"/>
        <v>0</v>
      </c>
      <c r="N10" s="8">
        <f t="shared" si="10"/>
        <v>0</v>
      </c>
      <c r="O10" s="8">
        <f t="shared" si="10"/>
        <v>0</v>
      </c>
      <c r="P10" s="8">
        <f t="shared" si="10"/>
        <v>0</v>
      </c>
      <c r="Q10" s="8">
        <f t="shared" si="10"/>
        <v>0</v>
      </c>
      <c r="R10" s="8">
        <f t="shared" si="10"/>
        <v>0</v>
      </c>
      <c r="S10" s="8">
        <f t="shared" si="10"/>
        <v>0</v>
      </c>
      <c r="T10" s="8">
        <f t="shared" si="10"/>
        <v>0</v>
      </c>
      <c r="U10" s="8">
        <f t="shared" si="10"/>
        <v>0</v>
      </c>
      <c r="V10" s="8">
        <f t="shared" si="10"/>
        <v>0</v>
      </c>
      <c r="W10" s="8">
        <f t="shared" si="10"/>
        <v>0</v>
      </c>
      <c r="X10" s="8">
        <f t="shared" si="10"/>
        <v>0</v>
      </c>
      <c r="Y10" s="8">
        <f t="shared" si="10"/>
        <v>0</v>
      </c>
      <c r="Z10" s="8">
        <f t="shared" si="10"/>
        <v>0</v>
      </c>
      <c r="AA10" s="8">
        <f t="shared" si="10"/>
        <v>0</v>
      </c>
      <c r="AB10" s="8">
        <f t="shared" si="10"/>
        <v>0</v>
      </c>
      <c r="AC10" s="8">
        <f t="shared" si="10"/>
        <v>0</v>
      </c>
      <c r="AD10" s="8">
        <f t="shared" si="10"/>
        <v>0</v>
      </c>
      <c r="AE10" s="8">
        <f t="shared" si="10"/>
        <v>0</v>
      </c>
      <c r="AF10" s="8">
        <f t="shared" si="10"/>
        <v>0</v>
      </c>
      <c r="AG10" s="8">
        <f t="shared" si="10"/>
        <v>0</v>
      </c>
      <c r="AH10" s="8">
        <f t="shared" si="10"/>
        <v>0</v>
      </c>
      <c r="AI10" s="8">
        <f t="shared" si="10"/>
        <v>0</v>
      </c>
      <c r="AJ10" s="8">
        <f t="shared" si="10"/>
        <v>0</v>
      </c>
      <c r="AK10" s="8">
        <f t="shared" si="10"/>
        <v>0</v>
      </c>
      <c r="AL10" s="8">
        <f t="shared" si="10"/>
        <v>0</v>
      </c>
      <c r="AM10" s="8">
        <f t="shared" si="10"/>
        <v>0</v>
      </c>
      <c r="AN10" s="8">
        <f t="shared" si="11"/>
        <v>0</v>
      </c>
      <c r="AO10" s="8">
        <f t="shared" si="12"/>
        <v>0</v>
      </c>
      <c r="AP10" s="8">
        <f t="shared" si="13"/>
        <v>0</v>
      </c>
      <c r="AQ10" s="8">
        <f t="shared" si="14"/>
        <v>0</v>
      </c>
      <c r="AR10" s="8">
        <f t="shared" si="15"/>
        <v>0</v>
      </c>
      <c r="AS10" s="8">
        <f t="shared" si="16"/>
        <v>0</v>
      </c>
      <c r="AT10" s="8">
        <f t="shared" si="17"/>
        <v>0</v>
      </c>
      <c r="AU10" s="8">
        <f t="shared" si="18"/>
        <v>0</v>
      </c>
      <c r="AV10" s="8">
        <f t="shared" si="19"/>
        <v>0</v>
      </c>
      <c r="AW10" s="8">
        <f t="shared" si="19"/>
        <v>0</v>
      </c>
    </row>
    <row r="11" spans="1:49" x14ac:dyDescent="0.2">
      <c r="A11" s="5" t="s">
        <v>89</v>
      </c>
      <c r="B11" s="9"/>
      <c r="C11" s="8">
        <f>IF(C$3&lt;Inputs!$B$19,0,Inputs!$B$21)*(1+inf)^B$1</f>
        <v>0</v>
      </c>
      <c r="D11" s="8">
        <f>IF(D$3&lt;Inputs!$B$19,0,Inputs!$B$21)*(1+inf)^C$1</f>
        <v>0</v>
      </c>
      <c r="E11" s="8">
        <f>IF(E$3&lt;Inputs!$B$19,0,Inputs!$B$21)*(1+inf)^D$1</f>
        <v>0</v>
      </c>
      <c r="F11" s="8">
        <f>IF(F$3&lt;Inputs!$B$19,0,Inputs!$B$21)*(1+inf)^E$1</f>
        <v>0</v>
      </c>
      <c r="G11" s="8">
        <f>IF(G$3&lt;Inputs!$B$19,0,Inputs!$B$21)*(1+inf)^F$1</f>
        <v>0</v>
      </c>
      <c r="H11" s="8">
        <f>IF(H$3&lt;Inputs!$B$19,0,Inputs!$B$21)*(1+inf)^G$1</f>
        <v>0</v>
      </c>
      <c r="I11" s="8">
        <f>IF(I$3&lt;Inputs!$B$19,0,Inputs!$B$21)*(1+inf)^H$1</f>
        <v>0</v>
      </c>
      <c r="J11" s="8">
        <f>IF(J$3&lt;Inputs!$B$19,0,Inputs!$B$21)*(1+inf)^I$1</f>
        <v>0</v>
      </c>
      <c r="K11" s="8">
        <f>IF(K$3&lt;Inputs!$B$19,0,Inputs!$B$21)*(1+inf)^J$1</f>
        <v>0</v>
      </c>
      <c r="L11" s="8">
        <f>IF(L$3&lt;Inputs!$B$19,0,Inputs!$B$21)*(1+inf)^K$1</f>
        <v>0</v>
      </c>
      <c r="M11" s="8">
        <f>IF(M$3&lt;Inputs!$B$19,0,Inputs!$B$21)*(1+inf)^L$1</f>
        <v>0</v>
      </c>
      <c r="N11" s="8">
        <f>IF(N$3&lt;Inputs!$B$19,0,Inputs!$B$21)*(1+inf)^M$1</f>
        <v>0</v>
      </c>
      <c r="O11" s="8">
        <f>IF(O$3&lt;Inputs!$B$19,0,Inputs!$B$21)*(1+inf)^N$1</f>
        <v>0</v>
      </c>
      <c r="P11" s="8">
        <f>IF(P$3&lt;Inputs!$B$19,0,Inputs!$B$21)*(1+inf)^O$1</f>
        <v>0</v>
      </c>
      <c r="Q11" s="8">
        <f>IF(Q$3&lt;Inputs!$B$19,0,Inputs!$B$21)*(1+inf)^P$1</f>
        <v>0</v>
      </c>
      <c r="R11" s="8">
        <f>IF(R$3&lt;Inputs!$B$19,0,Inputs!$B$21)*(1+inf)^Q$1</f>
        <v>0</v>
      </c>
      <c r="S11" s="8">
        <f>IF(S$3&lt;Inputs!$B$19,0,Inputs!$B$21)*(1+inf)^R$1</f>
        <v>0</v>
      </c>
      <c r="T11" s="8">
        <f>IF(T$3&lt;Inputs!$B$19,0,Inputs!$B$21)*(1+inf)^S$1</f>
        <v>27389.128701187386</v>
      </c>
      <c r="U11" s="8">
        <f>IF(U$3&lt;Inputs!$B$19,0,Inputs!$B$21)*(1+inf)^T$1</f>
        <v>28073.856918717072</v>
      </c>
      <c r="V11" s="8">
        <f>IF(V$3&lt;Inputs!$B$19,0,Inputs!$B$21)*(1+inf)^U$1</f>
        <v>28775.703341684999</v>
      </c>
      <c r="W11" s="8">
        <f>IF(W$3&lt;Inputs!$B$19,0,Inputs!$B$21)*(1+inf)^V$1</f>
        <v>29495.09592522712</v>
      </c>
      <c r="X11" s="8">
        <f>IF(X$3&lt;Inputs!$B$19,0,Inputs!$B$21)*(1+inf)^W$1</f>
        <v>30232.473323357794</v>
      </c>
      <c r="Y11" s="8">
        <f>IF(Y$3&lt;Inputs!$B$19,0,Inputs!$B$21)*(1+inf)^X$1</f>
        <v>30988.28515644174</v>
      </c>
      <c r="Z11" s="8">
        <f>IF(Z$3&lt;Inputs!$B$19,0,Inputs!$B$21)*(1+inf)^Y$1</f>
        <v>31762.992285352782</v>
      </c>
      <c r="AA11" s="8">
        <f>IF(AA$3&lt;Inputs!$B$19,0,Inputs!$B$21)*(1+inf)^Z$1</f>
        <v>32557.067092486599</v>
      </c>
      <c r="AB11" s="8">
        <f>IF(AB$3&lt;Inputs!$B$19,0,Inputs!$B$21)*(1+inf)^AA$1</f>
        <v>33370.993769798763</v>
      </c>
      <c r="AC11" s="8">
        <f>IF(AC$3&lt;Inputs!$B$19,0,Inputs!$B$21)*(1+inf)^AB$1</f>
        <v>34205.268614043729</v>
      </c>
      <c r="AD11" s="8">
        <f>IF(AD$3&lt;Inputs!$B$19,0,Inputs!$B$21)*(1+inf)^AC$1</f>
        <v>35060.400329394819</v>
      </c>
      <c r="AE11" s="8">
        <f>IF(AE$3&lt;Inputs!$B$19,0,Inputs!$B$21)*(1+inf)^AD$1</f>
        <v>35936.910337629684</v>
      </c>
      <c r="AF11" s="8">
        <f>IF(AF$3&lt;Inputs!$B$19,0,Inputs!$B$21)*(1+inf)^AE$1</f>
        <v>36835.333096070433</v>
      </c>
      <c r="AG11" s="8">
        <f>IF(AG$3&lt;Inputs!$B$19,0,Inputs!$B$21)*(1+inf)^AF$1</f>
        <v>37756.216423472186</v>
      </c>
      <c r="AH11" s="8">
        <f>IF(AH$3&lt;Inputs!$B$19,0,Inputs!$B$21)*(1+inf)^AG$1</f>
        <v>38700.121834058999</v>
      </c>
      <c r="AI11" s="8">
        <f>IF(AI$3&lt;Inputs!$B$19,0,Inputs!$B$21)*(1+inf)^AH$1</f>
        <v>39667.624879910465</v>
      </c>
      <c r="AJ11" s="8">
        <f>IF(AJ$3&lt;Inputs!$B$19,0,Inputs!$B$21)*(1+inf)^AI$1</f>
        <v>40659.315501908226</v>
      </c>
      <c r="AK11" s="8">
        <f>IF(AK$3&lt;Inputs!$B$19,0,Inputs!$B$21)*(1+inf)^AJ$1</f>
        <v>41675.798389455929</v>
      </c>
      <c r="AL11" s="8">
        <f>IF(AL$3&lt;Inputs!$B$19,0,Inputs!$B$21)*(1+inf)^AK$1</f>
        <v>42717.693349192326</v>
      </c>
      <c r="AM11" s="8">
        <f>IF(AM$3&lt;Inputs!$B$19,0,Inputs!$B$21)*(1+inf)^AL$1</f>
        <v>43785.635682922133</v>
      </c>
      <c r="AN11" s="8">
        <f>IF(AN$3&lt;Inputs!$B$19,0,Inputs!$B$21)*(1+inf)^AM$1</f>
        <v>44880.276574995187</v>
      </c>
      <c r="AO11" s="8">
        <f>IF(AO$3&lt;Inputs!$B$19,0,Inputs!$B$21)*(1+inf)^AN$1</f>
        <v>46002.283489370049</v>
      </c>
      <c r="AP11" s="8">
        <f>IF(AP$3&lt;Inputs!$B$19,0,Inputs!$B$21)*(1+inf)^AO$1</f>
        <v>47152.340576604307</v>
      </c>
      <c r="AQ11" s="8">
        <f>IF(AQ$3&lt;Inputs!$B$19,0,Inputs!$B$21)*(1+inf)^AP$1</f>
        <v>48331.149091019412</v>
      </c>
      <c r="AR11" s="8">
        <f>IF(AR$3&lt;Inputs!$B$19,0,Inputs!$B$21)*(1+inf)^AQ$1</f>
        <v>49539.427818294891</v>
      </c>
      <c r="AS11" s="8">
        <f>IF(AS$3&lt;Inputs!$B$19,0,Inputs!$B$21)*(1+inf)^AR$1</f>
        <v>50777.913513752261</v>
      </c>
      <c r="AT11" s="8">
        <f>IF(AT$3&lt;Inputs!$B$19,0,Inputs!$B$21)*(1+inf)^AS$1</f>
        <v>52047.361351596075</v>
      </c>
      <c r="AU11" s="8">
        <f>IF(AU$3&lt;Inputs!$B$19,0,Inputs!$B$21)*(1+inf)^AT$1</f>
        <v>53348.545385385965</v>
      </c>
      <c r="AV11" s="8">
        <f>IF(AV$3&lt;Inputs!$B$19,0,Inputs!$B$21)*(1+inf)^AU$1</f>
        <v>54682.259020020618</v>
      </c>
      <c r="AW11" s="8">
        <f>IF(AW$3&lt;Inputs!$B$19,0,Inputs!$B$21)*(1+inf)^AV$1</f>
        <v>56049.315495521121</v>
      </c>
    </row>
    <row r="12" spans="1:49" x14ac:dyDescent="0.2">
      <c r="A12" s="5" t="s">
        <v>90</v>
      </c>
      <c r="B12" s="9"/>
      <c r="C12" s="8">
        <f>MIN(0,MAX(-IF(C11=0,0,(Inputs!$B$19-INDEX(3:3,MATCH(0,5:5,0))))*Inputs!$B$157*(1+inf)^B$1,-C11))</f>
        <v>0</v>
      </c>
      <c r="D12" s="8">
        <f>MIN(0,MAX(-IF(D11=0,0,(Inputs!$B$19-INDEX(3:3,MATCH(0,5:5,0))))*Inputs!$B$157*(1+inf)^C$1,-D11))</f>
        <v>0</v>
      </c>
      <c r="E12" s="8">
        <f>MIN(0,MAX(-IF(E11=0,0,(Inputs!$B$19-INDEX(3:3,MATCH(0,5:5,0))))*Inputs!$B$157*(1+inf)^D$1,-E11))</f>
        <v>0</v>
      </c>
      <c r="F12" s="8">
        <f>MIN(0,MAX(-IF(F11=0,0,(Inputs!$B$19-INDEX(3:3,MATCH(0,5:5,0))))*Inputs!$B$157*(1+inf)^E$1,-F11))</f>
        <v>0</v>
      </c>
      <c r="G12" s="8">
        <f>MIN(0,MAX(-IF(G11=0,0,(Inputs!$B$19-INDEX(3:3,MATCH(0,5:5,0))))*Inputs!$B$157*(1+inf)^F$1,-G11))</f>
        <v>0</v>
      </c>
      <c r="H12" s="8">
        <f>MIN(0,MAX(-IF(H11=0,0,(Inputs!$B$19-INDEX(3:3,MATCH(0,5:5,0))))*Inputs!$B$157*(1+inf)^G$1,-H11))</f>
        <v>0</v>
      </c>
      <c r="I12" s="8">
        <f>MIN(0,MAX(-IF(I11=0,0,(Inputs!$B$19-INDEX(3:3,MATCH(0,5:5,0))))*Inputs!$B$157*(1+inf)^H$1,-I11))</f>
        <v>0</v>
      </c>
      <c r="J12" s="8">
        <f>MIN(0,MAX(-IF(J11=0,0,(Inputs!$B$19-INDEX(3:3,MATCH(0,5:5,0))))*Inputs!$B$157*(1+inf)^I$1,-J11))</f>
        <v>0</v>
      </c>
      <c r="K12" s="8">
        <f>MIN(0,MAX(-IF(K11=0,0,(Inputs!$B$19-INDEX(3:3,MATCH(0,5:5,0))))*Inputs!$B$157*(1+inf)^J$1,-K11))</f>
        <v>0</v>
      </c>
      <c r="L12" s="8">
        <f>MIN(0,MAX(-IF(L11=0,0,(Inputs!$B$19-INDEX(3:3,MATCH(0,5:5,0))))*Inputs!$B$157*(1+inf)^K$1,-L11))</f>
        <v>0</v>
      </c>
      <c r="M12" s="8">
        <f>MIN(0,MAX(-IF(M11=0,0,(Inputs!$B$19-INDEX(3:3,MATCH(0,5:5,0))))*Inputs!$B$157*(1+inf)^L$1,-M11))</f>
        <v>0</v>
      </c>
      <c r="N12" s="8">
        <f>MIN(0,MAX(-IF(N11=0,0,(Inputs!$B$19-INDEX(3:3,MATCH(0,5:5,0))))*Inputs!$B$157*(1+inf)^M$1,-N11))</f>
        <v>0</v>
      </c>
      <c r="O12" s="8">
        <f>MIN(0,MAX(-IF(O11=0,0,(Inputs!$B$19-INDEX(3:3,MATCH(0,5:5,0))))*Inputs!$B$157*(1+inf)^N$1,-O11))</f>
        <v>0</v>
      </c>
      <c r="P12" s="8">
        <f>MIN(0,MAX(-IF(P11=0,0,(Inputs!$B$19-INDEX(3:3,MATCH(0,5:5,0))))*Inputs!$B$157*(1+inf)^O$1,-P11))</f>
        <v>0</v>
      </c>
      <c r="Q12" s="8">
        <f>MIN(0,MAX(-IF(Q11=0,0,(Inputs!$B$19-INDEX(3:3,MATCH(0,5:5,0))))*Inputs!$B$157*(1+inf)^P$1,-Q11))</f>
        <v>0</v>
      </c>
      <c r="R12" s="8">
        <f>MIN(0,MAX(-IF(R11=0,0,(Inputs!$B$19-INDEX(3:3,MATCH(0,5:5,0))))*Inputs!$B$157*(1+inf)^Q$1,-R11))</f>
        <v>0</v>
      </c>
      <c r="S12" s="8">
        <f>MIN(0,MAX(-IF(S11=0,0,(Inputs!$B$19-INDEX(3:3,MATCH(0,5:5,0))))*Inputs!$B$157*(1+inf)^R$1,-S11))</f>
        <v>0</v>
      </c>
      <c r="T12" s="8">
        <f>MIN(0,MAX(-IF(T11=0,0,(Inputs!$B$19-INDEX(3:3,MATCH(0,5:5,0))))*Inputs!$B$157*(1+inf)^S$1,-T11))</f>
        <v>-2738.9128701187387</v>
      </c>
      <c r="U12" s="8">
        <f>MIN(0,MAX(-IF(U11=0,0,(Inputs!$B$19-INDEX(3:3,MATCH(0,5:5,0))))*Inputs!$B$157*(1+inf)^T$1,-U11))</f>
        <v>-2807.385691871707</v>
      </c>
      <c r="V12" s="8">
        <f>MIN(0,MAX(-IF(V11=0,0,(Inputs!$B$19-INDEX(3:3,MATCH(0,5:5,0))))*Inputs!$B$157*(1+inf)^U$1,-V11))</f>
        <v>-2877.5703341684998</v>
      </c>
      <c r="W12" s="8">
        <f>MIN(0,MAX(-IF(W11=0,0,(Inputs!$B$19-INDEX(3:3,MATCH(0,5:5,0))))*Inputs!$B$157*(1+inf)^V$1,-W11))</f>
        <v>-2949.509592522712</v>
      </c>
      <c r="X12" s="8">
        <f>MIN(0,MAX(-IF(X11=0,0,(Inputs!$B$19-INDEX(3:3,MATCH(0,5:5,0))))*Inputs!$B$157*(1+inf)^W$1,-X11))</f>
        <v>-3023.2473323357794</v>
      </c>
      <c r="Y12" s="8">
        <f>MIN(0,MAX(-IF(Y11=0,0,(Inputs!$B$19-INDEX(3:3,MATCH(0,5:5,0))))*Inputs!$B$157*(1+inf)^X$1,-Y11))</f>
        <v>-3098.8285156441739</v>
      </c>
      <c r="Z12" s="8">
        <f>MIN(0,MAX(-IF(Z11=0,0,(Inputs!$B$19-INDEX(3:3,MATCH(0,5:5,0))))*Inputs!$B$157*(1+inf)^Y$1,-Z11))</f>
        <v>-3176.2992285352784</v>
      </c>
      <c r="AA12" s="8">
        <f>MIN(0,MAX(-IF(AA11=0,0,(Inputs!$B$19-INDEX(3:3,MATCH(0,5:5,0))))*Inputs!$B$157*(1+inf)^Z$1,-AA11))</f>
        <v>-3255.70670924866</v>
      </c>
      <c r="AB12" s="8">
        <f>MIN(0,MAX(-IF(AB11=0,0,(Inputs!$B$19-INDEX(3:3,MATCH(0,5:5,0))))*Inputs!$B$157*(1+inf)^AA$1,-AB11))</f>
        <v>-3337.0993769798761</v>
      </c>
      <c r="AC12" s="8">
        <f>MIN(0,MAX(-IF(AC11=0,0,(Inputs!$B$19-INDEX(3:3,MATCH(0,5:5,0))))*Inputs!$B$157*(1+inf)^AB$1,-AC11))</f>
        <v>-3420.5268614043725</v>
      </c>
      <c r="AD12" s="8">
        <f>MIN(0,MAX(-IF(AD11=0,0,(Inputs!$B$19-INDEX(3:3,MATCH(0,5:5,0))))*Inputs!$B$157*(1+inf)^AC$1,-AD11))</f>
        <v>-3506.040032939482</v>
      </c>
      <c r="AE12" s="8">
        <f>MIN(0,MAX(-IF(AE11=0,0,(Inputs!$B$19-INDEX(3:3,MATCH(0,5:5,0))))*Inputs!$B$157*(1+inf)^AD$1,-AE11))</f>
        <v>-3593.6910337629688</v>
      </c>
      <c r="AF12" s="8">
        <f>MIN(0,MAX(-IF(AF11=0,0,(Inputs!$B$19-INDEX(3:3,MATCH(0,5:5,0))))*Inputs!$B$157*(1+inf)^AE$1,-AF11))</f>
        <v>-3683.5333096070431</v>
      </c>
      <c r="AG12" s="8">
        <f>MIN(0,MAX(-IF(AG11=0,0,(Inputs!$B$19-INDEX(3:3,MATCH(0,5:5,0))))*Inputs!$B$157*(1+inf)^AF$1,-AG11))</f>
        <v>-3775.6216423472183</v>
      </c>
      <c r="AH12" s="8">
        <f>MIN(0,MAX(-IF(AH11=0,0,(Inputs!$B$19-INDEX(3:3,MATCH(0,5:5,0))))*Inputs!$B$157*(1+inf)^AG$1,-AH11))</f>
        <v>-3870.0121834059</v>
      </c>
      <c r="AI12" s="8">
        <f>MIN(0,MAX(-IF(AI11=0,0,(Inputs!$B$19-INDEX(3:3,MATCH(0,5:5,0))))*Inputs!$B$157*(1+inf)^AH$1,-AI11))</f>
        <v>-3966.7624879910468</v>
      </c>
      <c r="AJ12" s="8">
        <f>MIN(0,MAX(-IF(AJ11=0,0,(Inputs!$B$19-INDEX(3:3,MATCH(0,5:5,0))))*Inputs!$B$157*(1+inf)^AI$1,-AJ11))</f>
        <v>-4065.9315501908227</v>
      </c>
      <c r="AK12" s="8">
        <f>MIN(0,MAX(-IF(AK11=0,0,(Inputs!$B$19-INDEX(3:3,MATCH(0,5:5,0))))*Inputs!$B$157*(1+inf)^AJ$1,-AK11))</f>
        <v>-4167.5798389455931</v>
      </c>
      <c r="AL12" s="8">
        <f>MIN(0,MAX(-IF(AL11=0,0,(Inputs!$B$19-INDEX(3:3,MATCH(0,5:5,0))))*Inputs!$B$157*(1+inf)^AK$1,-AL11))</f>
        <v>-4271.7693349192323</v>
      </c>
      <c r="AM12" s="8">
        <f>MIN(0,MAX(-IF(AM11=0,0,(Inputs!$B$19-INDEX(3:3,MATCH(0,5:5,0))))*Inputs!$B$157*(1+inf)^AL$1,-AM11))</f>
        <v>-4378.5635682922139</v>
      </c>
      <c r="AN12" s="8">
        <f>MIN(0,MAX(-IF(AN11=0,0,(Inputs!$B$19-INDEX(3:3,MATCH(0,5:5,0))))*Inputs!$B$157*(1+inf)^AM$1,-AN11))</f>
        <v>-4488.0276574995187</v>
      </c>
      <c r="AO12" s="8">
        <f>MIN(0,MAX(-IF(AO11=0,0,(Inputs!$B$19-INDEX(3:3,MATCH(0,5:5,0))))*Inputs!$B$157*(1+inf)^AN$1,-AO11))</f>
        <v>-4600.2283489370056</v>
      </c>
      <c r="AP12" s="8">
        <f>MIN(0,MAX(-IF(AP11=0,0,(Inputs!$B$19-INDEX(3:3,MATCH(0,5:5,0))))*Inputs!$B$157*(1+inf)^AO$1,-AP11))</f>
        <v>-4715.2340576604311</v>
      </c>
      <c r="AQ12" s="8">
        <f>MIN(0,MAX(-IF(AQ11=0,0,(Inputs!$B$19-INDEX(3:3,MATCH(0,5:5,0))))*Inputs!$B$157*(1+inf)^AP$1,-AQ11))</f>
        <v>-4833.1149091019406</v>
      </c>
      <c r="AR12" s="8">
        <f>MIN(0,MAX(-IF(AR11=0,0,(Inputs!$B$19-INDEX(3:3,MATCH(0,5:5,0))))*Inputs!$B$157*(1+inf)^AQ$1,-AR11))</f>
        <v>-4953.9427818294898</v>
      </c>
      <c r="AS12" s="8">
        <f>MIN(0,MAX(-IF(AS11=0,0,(Inputs!$B$19-INDEX(3:3,MATCH(0,5:5,0))))*Inputs!$B$157*(1+inf)^AR$1,-AS11))</f>
        <v>-5077.7913513752264</v>
      </c>
      <c r="AT12" s="8">
        <f>MIN(0,MAX(-IF(AT11=0,0,(Inputs!$B$19-INDEX(3:3,MATCH(0,5:5,0))))*Inputs!$B$157*(1+inf)^AS$1,-AT11))</f>
        <v>-5204.7361351596073</v>
      </c>
      <c r="AU12" s="8">
        <f>MIN(0,MAX(-IF(AU11=0,0,(Inputs!$B$19-INDEX(3:3,MATCH(0,5:5,0))))*Inputs!$B$157*(1+inf)^AT$1,-AU11))</f>
        <v>-5334.854538538596</v>
      </c>
      <c r="AV12" s="8">
        <f>MIN(0,MAX(-IF(AV11=0,0,(Inputs!$B$19-INDEX(3:3,MATCH(0,5:5,0))))*Inputs!$B$157*(1+inf)^AU$1,-AV11))</f>
        <v>-5468.225902002062</v>
      </c>
      <c r="AW12" s="8">
        <f>MIN(0,MAX(-IF(AW11=0,0,(Inputs!$B$19-INDEX(3:3,MATCH(0,5:5,0))))*Inputs!$B$157*(1+inf)^AV$1,-AW11))</f>
        <v>-5604.9315495521114</v>
      </c>
    </row>
    <row r="13" spans="1:49" x14ac:dyDescent="0.2">
      <c r="A13" s="5" t="s">
        <v>52</v>
      </c>
      <c r="B13" s="9"/>
      <c r="C13" s="8">
        <f>IF(AND(C$3&gt;=Inputs!$B$142,C$3&lt;=Inputs!$B$143),Inputs!$B$141*(1+inf)^B$1,0)</f>
        <v>0</v>
      </c>
      <c r="D13" s="8">
        <f>IF(AND(D$3&gt;=Inputs!$B$142,D$3&lt;=Inputs!$B$143),Inputs!$B$141*(1+inf)^C$1,0)</f>
        <v>0</v>
      </c>
      <c r="E13" s="8">
        <f>IF(AND(E$3&gt;=Inputs!$B$142,E$3&lt;=Inputs!$B$143),Inputs!$B$141*(1+inf)^D$1,0)</f>
        <v>0</v>
      </c>
      <c r="F13" s="8">
        <f>IF(AND(F$3&gt;=Inputs!$B$142,F$3&lt;=Inputs!$B$143),Inputs!$B$141*(1+inf)^E$1,0)</f>
        <v>0</v>
      </c>
      <c r="G13" s="8">
        <f>IF(AND(G$3&gt;=Inputs!$B$142,G$3&lt;=Inputs!$B$143),Inputs!$B$141*(1+inf)^F$1,0)</f>
        <v>0</v>
      </c>
      <c r="H13" s="8">
        <f>IF(AND(H$3&gt;=Inputs!$B$142,H$3&lt;=Inputs!$B$143),Inputs!$B$141*(1+inf)^G$1,0)</f>
        <v>0</v>
      </c>
      <c r="I13" s="8">
        <f>IF(AND(I$3&gt;=Inputs!$B$142,I$3&lt;=Inputs!$B$143),Inputs!$B$141*(1+inf)^H$1,0)</f>
        <v>0</v>
      </c>
      <c r="J13" s="8">
        <f>IF(AND(J$3&gt;=Inputs!$B$142,J$3&lt;=Inputs!$B$143),Inputs!$B$141*(1+inf)^I$1,0)</f>
        <v>0</v>
      </c>
      <c r="K13" s="8">
        <f>IF(AND(K$3&gt;=Inputs!$B$142,K$3&lt;=Inputs!$B$143),Inputs!$B$141*(1+inf)^J$1,0)</f>
        <v>0</v>
      </c>
      <c r="L13" s="8">
        <f>IF(AND(L$3&gt;=Inputs!$B$142,L$3&lt;=Inputs!$B$143),Inputs!$B$141*(1+inf)^K$1,0)</f>
        <v>0</v>
      </c>
      <c r="M13" s="8">
        <f>IF(AND(M$3&gt;=Inputs!$B$142,M$3&lt;=Inputs!$B$143),Inputs!$B$141*(1+inf)^L$1,0)</f>
        <v>0</v>
      </c>
      <c r="N13" s="8">
        <f>IF(AND(N$3&gt;=Inputs!$B$142,N$3&lt;=Inputs!$B$143),Inputs!$B$141*(1+inf)^M$1,0)</f>
        <v>0</v>
      </c>
      <c r="O13" s="8">
        <f>IF(AND(O$3&gt;=Inputs!$B$142,O$3&lt;=Inputs!$B$143),Inputs!$B$141*(1+inf)^N$1,0)</f>
        <v>0</v>
      </c>
      <c r="P13" s="8">
        <f>IF(AND(P$3&gt;=Inputs!$B$142,P$3&lt;=Inputs!$B$143),Inputs!$B$141*(1+inf)^O$1,0)</f>
        <v>0</v>
      </c>
      <c r="Q13" s="8">
        <f>IF(AND(Q$3&gt;=Inputs!$B$142,Q$3&lt;=Inputs!$B$143),Inputs!$B$141*(1+inf)^P$1,0)</f>
        <v>0</v>
      </c>
      <c r="R13" s="8">
        <f>IF(AND(R$3&gt;=Inputs!$B$142,R$3&lt;=Inputs!$B$143),Inputs!$B$141*(1+inf)^Q$1,0)</f>
        <v>0</v>
      </c>
      <c r="S13" s="8">
        <f>IF(AND(S$3&gt;=Inputs!$B$142,S$3&lt;=Inputs!$B$143),Inputs!$B$141*(1+inf)^R$1,0)</f>
        <v>0</v>
      </c>
      <c r="T13" s="8">
        <f>IF(AND(T$3&gt;=Inputs!$B$142,T$3&lt;=Inputs!$B$143),Inputs!$B$141*(1+inf)^S$1,0)</f>
        <v>0</v>
      </c>
      <c r="U13" s="8">
        <f>IF(AND(U$3&gt;=Inputs!$B$142,U$3&lt;=Inputs!$B$143),Inputs!$B$141*(1+inf)^T$1,0)</f>
        <v>0</v>
      </c>
      <c r="V13" s="8">
        <f>IF(AND(V$3&gt;=Inputs!$B$142,V$3&lt;=Inputs!$B$143),Inputs!$B$141*(1+inf)^U$1,0)</f>
        <v>0</v>
      </c>
      <c r="W13" s="8">
        <f>IF(AND(W$3&gt;=Inputs!$B$142,W$3&lt;=Inputs!$B$143),Inputs!$B$141*(1+inf)^V$1,0)</f>
        <v>0</v>
      </c>
      <c r="X13" s="8">
        <f>IF(AND(X$3&gt;=Inputs!$B$142,X$3&lt;=Inputs!$B$143),Inputs!$B$141*(1+inf)^W$1,0)</f>
        <v>0</v>
      </c>
      <c r="Y13" s="8">
        <f>IF(AND(Y$3&gt;=Inputs!$B$142,Y$3&lt;=Inputs!$B$143),Inputs!$B$141*(1+inf)^X$1,0)</f>
        <v>0</v>
      </c>
      <c r="Z13" s="8">
        <f>IF(AND(Z$3&gt;=Inputs!$B$142,Z$3&lt;=Inputs!$B$143),Inputs!$B$141*(1+inf)^Y$1,0)</f>
        <v>0</v>
      </c>
      <c r="AA13" s="8">
        <f>IF(AND(AA$3&gt;=Inputs!$B$142,AA$3&lt;=Inputs!$B$143),Inputs!$B$141*(1+inf)^Z$1,0)</f>
        <v>0</v>
      </c>
      <c r="AB13" s="8">
        <f>IF(AND(AB$3&gt;=Inputs!$B$142,AB$3&lt;=Inputs!$B$143),Inputs!$B$141*(1+inf)^AA$1,0)</f>
        <v>0</v>
      </c>
      <c r="AC13" s="8">
        <f>IF(AND(AC$3&gt;=Inputs!$B$142,AC$3&lt;=Inputs!$B$143),Inputs!$B$141*(1+inf)^AB$1,0)</f>
        <v>0</v>
      </c>
      <c r="AD13" s="8">
        <f>IF(AND(AD$3&gt;=Inputs!$B$142,AD$3&lt;=Inputs!$B$143),Inputs!$B$141*(1+inf)^AC$1,0)</f>
        <v>0</v>
      </c>
      <c r="AE13" s="8">
        <f>IF(AND(AE$3&gt;=Inputs!$B$142,AE$3&lt;=Inputs!$B$143),Inputs!$B$141*(1+inf)^AD$1,0)</f>
        <v>0</v>
      </c>
      <c r="AF13" s="8">
        <f>IF(AND(AF$3&gt;=Inputs!$B$142,AF$3&lt;=Inputs!$B$143),Inputs!$B$141*(1+inf)^AE$1,0)</f>
        <v>0</v>
      </c>
      <c r="AG13" s="8">
        <f>IF(AND(AG$3&gt;=Inputs!$B$142,AG$3&lt;=Inputs!$B$143),Inputs!$B$141*(1+inf)^AF$1,0)</f>
        <v>0</v>
      </c>
      <c r="AH13" s="8">
        <f>IF(AND(AH$3&gt;=Inputs!$B$142,AH$3&lt;=Inputs!$B$143),Inputs!$B$141*(1+inf)^AG$1,0)</f>
        <v>0</v>
      </c>
      <c r="AI13" s="8">
        <f>IF(AND(AI$3&gt;=Inputs!$B$142,AI$3&lt;=Inputs!$B$143),Inputs!$B$141*(1+inf)^AH$1,0)</f>
        <v>0</v>
      </c>
      <c r="AJ13" s="8">
        <f>IF(AND(AJ$3&gt;=Inputs!$B$142,AJ$3&lt;=Inputs!$B$143),Inputs!$B$141*(1+inf)^AI$1,0)</f>
        <v>0</v>
      </c>
      <c r="AK13" s="8">
        <f>IF(AND(AK$3&gt;=Inputs!$B$142,AK$3&lt;=Inputs!$B$143),Inputs!$B$141*(1+inf)^AJ$1,0)</f>
        <v>0</v>
      </c>
      <c r="AL13" s="8">
        <f>IF(AND(AL$3&gt;=Inputs!$B$142,AL$3&lt;=Inputs!$B$143),Inputs!$B$141*(1+inf)^AK$1,0)</f>
        <v>0</v>
      </c>
      <c r="AM13" s="8">
        <f>IF(AND(AM$3&gt;=Inputs!$B$142,AM$3&lt;=Inputs!$B$143),Inputs!$B$141*(1+inf)^AL$1,0)</f>
        <v>0</v>
      </c>
      <c r="AN13" s="8">
        <f>IF(AND(AN$3&gt;=Inputs!$B$142,AN$3&lt;=Inputs!$B$143),Inputs!$B$141*(1+inf)^AM$1,0)</f>
        <v>0</v>
      </c>
      <c r="AO13" s="8">
        <f>IF(AND(AO$3&gt;=Inputs!$B$142,AO$3&lt;=Inputs!$B$143),Inputs!$B$141*(1+inf)^AN$1,0)</f>
        <v>0</v>
      </c>
      <c r="AP13" s="8">
        <f>IF(AND(AP$3&gt;=Inputs!$B$142,AP$3&lt;=Inputs!$B$143),Inputs!$B$141*(1+inf)^AO$1,0)</f>
        <v>0</v>
      </c>
      <c r="AQ13" s="8">
        <f>IF(AND(AQ$3&gt;=Inputs!$B$142,AQ$3&lt;=Inputs!$B$143),Inputs!$B$141*(1+inf)^AP$1,0)</f>
        <v>0</v>
      </c>
      <c r="AR13" s="8">
        <f>IF(AND(AR$3&gt;=Inputs!$B$142,AR$3&lt;=Inputs!$B$143),Inputs!$B$141*(1+inf)^AQ$1,0)</f>
        <v>0</v>
      </c>
      <c r="AS13" s="8">
        <f>IF(AND(AS$3&gt;=Inputs!$B$142,AS$3&lt;=Inputs!$B$143),Inputs!$B$141*(1+inf)^AR$1,0)</f>
        <v>0</v>
      </c>
      <c r="AT13" s="8">
        <f>IF(AND(AT$3&gt;=Inputs!$B$142,AT$3&lt;=Inputs!$B$143),Inputs!$B$141*(1+inf)^AS$1,0)</f>
        <v>0</v>
      </c>
      <c r="AU13" s="8">
        <f>IF(AND(AU$3&gt;=Inputs!$B$142,AU$3&lt;=Inputs!$B$143),Inputs!$B$141*(1+inf)^AT$1,0)</f>
        <v>0</v>
      </c>
      <c r="AV13" s="8">
        <f>IF(AND(AV$3&gt;=Inputs!$B$142,AV$3&lt;=Inputs!$B$143),Inputs!$B$141*(1+inf)^AU$1,0)</f>
        <v>0</v>
      </c>
      <c r="AW13" s="8">
        <f>IF(AND(AW$3&gt;=Inputs!$B$142,AW$3&lt;=Inputs!$B$143),Inputs!$B$141*(1+inf)^AV$1,0)</f>
        <v>0</v>
      </c>
    </row>
    <row r="14" spans="1:49" x14ac:dyDescent="0.2">
      <c r="A14" s="5" t="s">
        <v>149</v>
      </c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">
      <c r="A15" s="4" t="str">
        <f>TEXT(Inputs!B100,"")</f>
        <v/>
      </c>
      <c r="B15" s="9"/>
      <c r="C15" s="8">
        <f ca="1">IF(C$2=Inputs!$B102,Inputs!$B101,0)*(1+inf)^B$1</f>
        <v>0</v>
      </c>
      <c r="D15" s="8">
        <f ca="1">IF(D$2=Inputs!$B102,Inputs!$B101,0)*(1+inf)^C$1</f>
        <v>0</v>
      </c>
      <c r="E15" s="8">
        <f ca="1">IF(E$2=Inputs!$B102,Inputs!$B101,0)*(1+inf)^D$1</f>
        <v>0</v>
      </c>
      <c r="F15" s="8">
        <f ca="1">IF(F$2=Inputs!$B102,Inputs!$B101,0)*(1+inf)^E$1</f>
        <v>0</v>
      </c>
      <c r="G15" s="8">
        <f ca="1">IF(G$2=Inputs!$B102,Inputs!$B101,0)*(1+inf)^F$1</f>
        <v>0</v>
      </c>
      <c r="H15" s="8">
        <f ca="1">IF(H$2=Inputs!$B102,Inputs!$B101,0)*(1+inf)^G$1</f>
        <v>0</v>
      </c>
      <c r="I15" s="8">
        <f ca="1">IF(I$2=Inputs!$B102,Inputs!$B101,0)*(1+inf)^H$1</f>
        <v>0</v>
      </c>
      <c r="J15" s="8">
        <f ca="1">IF(J$2=Inputs!$B102,Inputs!$B101,0)*(1+inf)^I$1</f>
        <v>0</v>
      </c>
      <c r="K15" s="8">
        <f ca="1">IF(K$2=Inputs!$B102,Inputs!$B101,0)*(1+inf)^J$1</f>
        <v>0</v>
      </c>
      <c r="L15" s="8">
        <f ca="1">IF(L$2=Inputs!$B102,Inputs!$B101,0)*(1+inf)^K$1</f>
        <v>0</v>
      </c>
      <c r="M15" s="8">
        <f ca="1">IF(M$2=Inputs!$B102,Inputs!$B101,0)*(1+inf)^L$1</f>
        <v>0</v>
      </c>
      <c r="N15" s="8">
        <f ca="1">IF(N$2=Inputs!$B102,Inputs!$B101,0)*(1+inf)^M$1</f>
        <v>0</v>
      </c>
      <c r="O15" s="8">
        <f ca="1">IF(O$2=Inputs!$B102,Inputs!$B101,0)*(1+inf)^N$1</f>
        <v>0</v>
      </c>
      <c r="P15" s="8">
        <f ca="1">IF(P$2=Inputs!$B102,Inputs!$B101,0)*(1+inf)^O$1</f>
        <v>0</v>
      </c>
      <c r="Q15" s="8">
        <f ca="1">IF(Q$2=Inputs!$B102,Inputs!$B101,0)*(1+inf)^P$1</f>
        <v>0</v>
      </c>
      <c r="R15" s="8">
        <f ca="1">IF(R$2=Inputs!$B102,Inputs!$B101,0)*(1+inf)^Q$1</f>
        <v>0</v>
      </c>
      <c r="S15" s="8">
        <f ca="1">IF(S$2=Inputs!$B102,Inputs!$B101,0)*(1+inf)^R$1</f>
        <v>0</v>
      </c>
      <c r="T15" s="8">
        <f ca="1">IF(T$2=Inputs!$B102,Inputs!$B101,0)*(1+inf)^S$1</f>
        <v>0</v>
      </c>
      <c r="U15" s="8">
        <f ca="1">IF(U$2=Inputs!$B102,Inputs!$B101,0)*(1+inf)^T$1</f>
        <v>0</v>
      </c>
      <c r="V15" s="8">
        <f ca="1">IF(V$2=Inputs!$B102,Inputs!$B101,0)*(1+inf)^U$1</f>
        <v>0</v>
      </c>
      <c r="W15" s="8">
        <f ca="1">IF(W$2=Inputs!$B102,Inputs!$B101,0)*(1+inf)^V$1</f>
        <v>0</v>
      </c>
      <c r="X15" s="8">
        <f ca="1">IF(X$2=Inputs!$B102,Inputs!$B101,0)*(1+inf)^W$1</f>
        <v>0</v>
      </c>
      <c r="Y15" s="8">
        <f ca="1">IF(Y$2=Inputs!$B102,Inputs!$B101,0)*(1+inf)^X$1</f>
        <v>0</v>
      </c>
      <c r="Z15" s="8">
        <f ca="1">IF(Z$2=Inputs!$B102,Inputs!$B101,0)*(1+inf)^Y$1</f>
        <v>0</v>
      </c>
      <c r="AA15" s="8">
        <f ca="1">IF(AA$2=Inputs!$B102,Inputs!$B101,0)*(1+inf)^Z$1</f>
        <v>0</v>
      </c>
      <c r="AB15" s="8">
        <f ca="1">IF(AB$2=Inputs!$B102,Inputs!$B101,0)*(1+inf)^AA$1</f>
        <v>0</v>
      </c>
      <c r="AC15" s="8">
        <f ca="1">IF(AC$2=Inputs!$B102,Inputs!$B101,0)*(1+inf)^AB$1</f>
        <v>0</v>
      </c>
      <c r="AD15" s="8">
        <f ca="1">IF(AD$2=Inputs!$B102,Inputs!$B101,0)*(1+inf)^AC$1</f>
        <v>0</v>
      </c>
      <c r="AE15" s="8">
        <f ca="1">IF(AE$2=Inputs!$B102,Inputs!$B101,0)*(1+inf)^AD$1</f>
        <v>0</v>
      </c>
      <c r="AF15" s="8">
        <f ca="1">IF(AF$2=Inputs!$B102,Inputs!$B101,0)*(1+inf)^AE$1</f>
        <v>0</v>
      </c>
      <c r="AG15" s="8">
        <f ca="1">IF(AG$2=Inputs!$B102,Inputs!$B101,0)*(1+inf)^AF$1</f>
        <v>0</v>
      </c>
      <c r="AH15" s="8">
        <f ca="1">IF(AH$2=Inputs!$B102,Inputs!$B101,0)*(1+inf)^AG$1</f>
        <v>0</v>
      </c>
      <c r="AI15" s="8">
        <f ca="1">IF(AI$2=Inputs!$B102,Inputs!$B101,0)*(1+inf)^AH$1</f>
        <v>0</v>
      </c>
      <c r="AJ15" s="8">
        <f ca="1">IF(AJ$2=Inputs!$B102,Inputs!$B101,0)*(1+inf)^AI$1</f>
        <v>0</v>
      </c>
      <c r="AK15" s="8">
        <f ca="1">IF(AK$2=Inputs!$B102,Inputs!$B101,0)*(1+inf)^AJ$1</f>
        <v>0</v>
      </c>
      <c r="AL15" s="8">
        <f ca="1">IF(AL$2=Inputs!$B102,Inputs!$B101,0)*(1+inf)^AK$1</f>
        <v>0</v>
      </c>
      <c r="AM15" s="8">
        <f ca="1">IF(AM$2=Inputs!$B102,Inputs!$B101,0)*(1+inf)^AL$1</f>
        <v>0</v>
      </c>
      <c r="AN15" s="8">
        <f ca="1">IF(AN$2=Inputs!$B102,Inputs!$B101,0)*(1+inf)^AM$1</f>
        <v>0</v>
      </c>
      <c r="AO15" s="8">
        <f ca="1">IF(AO$2=Inputs!$B102,Inputs!$B101,0)*(1+inf)^AN$1</f>
        <v>0</v>
      </c>
      <c r="AP15" s="8">
        <f ca="1">IF(AP$2=Inputs!$B102,Inputs!$B101,0)*(1+inf)^AO$1</f>
        <v>0</v>
      </c>
      <c r="AQ15" s="8">
        <f ca="1">IF(AQ$2=Inputs!$B102,Inputs!$B101,0)*(1+inf)^AP$1</f>
        <v>0</v>
      </c>
      <c r="AR15" s="8">
        <f ca="1">IF(AR$2=Inputs!$B102,Inputs!$B101,0)*(1+inf)^AQ$1</f>
        <v>0</v>
      </c>
      <c r="AS15" s="8">
        <f ca="1">IF(AS$2=Inputs!$B102,Inputs!$B101,0)*(1+inf)^AR$1</f>
        <v>0</v>
      </c>
      <c r="AT15" s="8">
        <f ca="1">IF(AT$2=Inputs!$B102,Inputs!$B101,0)*(1+inf)^AS$1</f>
        <v>0</v>
      </c>
      <c r="AU15" s="8">
        <f ca="1">IF(AU$2=Inputs!$B102,Inputs!$B101,0)*(1+inf)^AT$1</f>
        <v>0</v>
      </c>
      <c r="AV15" s="8">
        <f ca="1">IF(AV$2=Inputs!$B102,Inputs!$B101,0)*(1+inf)^AU$1</f>
        <v>0</v>
      </c>
      <c r="AW15" s="8">
        <f ca="1">IF(AW$2=Inputs!$B102,Inputs!$B101,0)*(1+inf)^AV$1</f>
        <v>0</v>
      </c>
    </row>
    <row r="16" spans="1:49" x14ac:dyDescent="0.2">
      <c r="A16" s="4" t="str">
        <f>TEXT(Inputs!B105,"")</f>
        <v/>
      </c>
      <c r="B16" s="9"/>
      <c r="C16" s="8">
        <f ca="1">IF(C$2=Inputs!$B107,Inputs!$B106,0)*(1+inf)^B$1</f>
        <v>0</v>
      </c>
      <c r="D16" s="8">
        <f ca="1">IF(D$2=Inputs!$B107,Inputs!$B106,0)*(1+inf)^C$1</f>
        <v>0</v>
      </c>
      <c r="E16" s="8">
        <f ca="1">IF(E$2=Inputs!$B107,Inputs!$B106,0)*(1+inf)^D$1</f>
        <v>0</v>
      </c>
      <c r="F16" s="8">
        <f ca="1">IF(F$2=Inputs!$B107,Inputs!$B106,0)*(1+inf)^E$1</f>
        <v>0</v>
      </c>
      <c r="G16" s="8">
        <f ca="1">IF(G$2=Inputs!$B107,Inputs!$B106,0)*(1+inf)^F$1</f>
        <v>0</v>
      </c>
      <c r="H16" s="8">
        <f ca="1">IF(H$2=Inputs!$B107,Inputs!$B106,0)*(1+inf)^G$1</f>
        <v>0</v>
      </c>
      <c r="I16" s="8">
        <f ca="1">IF(I$2=Inputs!$B107,Inputs!$B106,0)*(1+inf)^H$1</f>
        <v>0</v>
      </c>
      <c r="J16" s="8">
        <f ca="1">IF(J$2=Inputs!$B107,Inputs!$B106,0)*(1+inf)^I$1</f>
        <v>0</v>
      </c>
      <c r="K16" s="8">
        <f ca="1">IF(K$2=Inputs!$B107,Inputs!$B106,0)*(1+inf)^J$1</f>
        <v>0</v>
      </c>
      <c r="L16" s="8">
        <f ca="1">IF(L$2=Inputs!$B107,Inputs!$B106,0)*(1+inf)^K$1</f>
        <v>0</v>
      </c>
      <c r="M16" s="8">
        <f ca="1">IF(M$2=Inputs!$B107,Inputs!$B106,0)*(1+inf)^L$1</f>
        <v>0</v>
      </c>
      <c r="N16" s="8">
        <f ca="1">IF(N$2=Inputs!$B107,Inputs!$B106,0)*(1+inf)^M$1</f>
        <v>0</v>
      </c>
      <c r="O16" s="8">
        <f ca="1">IF(O$2=Inputs!$B107,Inputs!$B106,0)*(1+inf)^N$1</f>
        <v>0</v>
      </c>
      <c r="P16" s="8">
        <f ca="1">IF(P$2=Inputs!$B107,Inputs!$B106,0)*(1+inf)^O$1</f>
        <v>0</v>
      </c>
      <c r="Q16" s="8">
        <f ca="1">IF(Q$2=Inputs!$B107,Inputs!$B106,0)*(1+inf)^P$1</f>
        <v>0</v>
      </c>
      <c r="R16" s="8">
        <f ca="1">IF(R$2=Inputs!$B107,Inputs!$B106,0)*(1+inf)^Q$1</f>
        <v>0</v>
      </c>
      <c r="S16" s="8">
        <f ca="1">IF(S$2=Inputs!$B107,Inputs!$B106,0)*(1+inf)^R$1</f>
        <v>0</v>
      </c>
      <c r="T16" s="8">
        <f ca="1">IF(T$2=Inputs!$B107,Inputs!$B106,0)*(1+inf)^S$1</f>
        <v>0</v>
      </c>
      <c r="U16" s="8">
        <f ca="1">IF(U$2=Inputs!$B107,Inputs!$B106,0)*(1+inf)^T$1</f>
        <v>0</v>
      </c>
      <c r="V16" s="8">
        <f ca="1">IF(V$2=Inputs!$B107,Inputs!$B106,0)*(1+inf)^U$1</f>
        <v>0</v>
      </c>
      <c r="W16" s="8">
        <f ca="1">IF(W$2=Inputs!$B107,Inputs!$B106,0)*(1+inf)^V$1</f>
        <v>0</v>
      </c>
      <c r="X16" s="8">
        <f ca="1">IF(X$2=Inputs!$B107,Inputs!$B106,0)*(1+inf)^W$1</f>
        <v>0</v>
      </c>
      <c r="Y16" s="8">
        <f ca="1">IF(Y$2=Inputs!$B107,Inputs!$B106,0)*(1+inf)^X$1</f>
        <v>0</v>
      </c>
      <c r="Z16" s="8">
        <f ca="1">IF(Z$2=Inputs!$B107,Inputs!$B106,0)*(1+inf)^Y$1</f>
        <v>0</v>
      </c>
      <c r="AA16" s="8">
        <f ca="1">IF(AA$2=Inputs!$B107,Inputs!$B106,0)*(1+inf)^Z$1</f>
        <v>0</v>
      </c>
      <c r="AB16" s="8">
        <f ca="1">IF(AB$2=Inputs!$B107,Inputs!$B106,0)*(1+inf)^AA$1</f>
        <v>0</v>
      </c>
      <c r="AC16" s="8">
        <f ca="1">IF(AC$2=Inputs!$B107,Inputs!$B106,0)*(1+inf)^AB$1</f>
        <v>0</v>
      </c>
      <c r="AD16" s="8">
        <f ca="1">IF(AD$2=Inputs!$B107,Inputs!$B106,0)*(1+inf)^AC$1</f>
        <v>0</v>
      </c>
      <c r="AE16" s="8">
        <f ca="1">IF(AE$2=Inputs!$B107,Inputs!$B106,0)*(1+inf)^AD$1</f>
        <v>0</v>
      </c>
      <c r="AF16" s="8">
        <f ca="1">IF(AF$2=Inputs!$B107,Inputs!$B106,0)*(1+inf)^AE$1</f>
        <v>0</v>
      </c>
      <c r="AG16" s="8">
        <f ca="1">IF(AG$2=Inputs!$B107,Inputs!$B106,0)*(1+inf)^AF$1</f>
        <v>0</v>
      </c>
      <c r="AH16" s="8">
        <f ca="1">IF(AH$2=Inputs!$B107,Inputs!$B106,0)*(1+inf)^AG$1</f>
        <v>0</v>
      </c>
      <c r="AI16" s="8">
        <f ca="1">IF(AI$2=Inputs!$B107,Inputs!$B106,0)*(1+inf)^AH$1</f>
        <v>0</v>
      </c>
      <c r="AJ16" s="8">
        <f ca="1">IF(AJ$2=Inputs!$B107,Inputs!$B106,0)*(1+inf)^AI$1</f>
        <v>0</v>
      </c>
      <c r="AK16" s="8">
        <f ca="1">IF(AK$2=Inputs!$B107,Inputs!$B106,0)*(1+inf)^AJ$1</f>
        <v>0</v>
      </c>
      <c r="AL16" s="8">
        <f ca="1">IF(AL$2=Inputs!$B107,Inputs!$B106,0)*(1+inf)^AK$1</f>
        <v>0</v>
      </c>
      <c r="AM16" s="8">
        <f ca="1">IF(AM$2=Inputs!$B107,Inputs!$B106,0)*(1+inf)^AL$1</f>
        <v>0</v>
      </c>
      <c r="AN16" s="8">
        <f ca="1">IF(AN$2=Inputs!$B107,Inputs!$B106,0)*(1+inf)^AM$1</f>
        <v>0</v>
      </c>
      <c r="AO16" s="8">
        <f ca="1">IF(AO$2=Inputs!$B107,Inputs!$B106,0)*(1+inf)^AN$1</f>
        <v>0</v>
      </c>
      <c r="AP16" s="8">
        <f ca="1">IF(AP$2=Inputs!$B107,Inputs!$B106,0)*(1+inf)^AO$1</f>
        <v>0</v>
      </c>
      <c r="AQ16" s="8">
        <f ca="1">IF(AQ$2=Inputs!$B107,Inputs!$B106,0)*(1+inf)^AP$1</f>
        <v>0</v>
      </c>
      <c r="AR16" s="8">
        <f ca="1">IF(AR$2=Inputs!$B107,Inputs!$B106,0)*(1+inf)^AQ$1</f>
        <v>0</v>
      </c>
      <c r="AS16" s="8">
        <f ca="1">IF(AS$2=Inputs!$B107,Inputs!$B106,0)*(1+inf)^AR$1</f>
        <v>0</v>
      </c>
      <c r="AT16" s="8">
        <f ca="1">IF(AT$2=Inputs!$B107,Inputs!$B106,0)*(1+inf)^AS$1</f>
        <v>0</v>
      </c>
      <c r="AU16" s="8">
        <f ca="1">IF(AU$2=Inputs!$B107,Inputs!$B106,0)*(1+inf)^AT$1</f>
        <v>0</v>
      </c>
      <c r="AV16" s="8">
        <f ca="1">IF(AV$2=Inputs!$B107,Inputs!$B106,0)*(1+inf)^AU$1</f>
        <v>0</v>
      </c>
      <c r="AW16" s="8">
        <f ca="1">IF(AW$2=Inputs!$B107,Inputs!$B106,0)*(1+inf)^AV$1</f>
        <v>0</v>
      </c>
    </row>
    <row r="17" spans="1:49" x14ac:dyDescent="0.2">
      <c r="A17" s="4" t="str">
        <f>TEXT(Inputs!B110,"")</f>
        <v/>
      </c>
      <c r="B17" s="9"/>
      <c r="C17" s="8">
        <f ca="1">IF(C$2=Inputs!$B112,Inputs!$B111,0)*(1+inf)^B$1</f>
        <v>0</v>
      </c>
      <c r="D17" s="8">
        <f ca="1">IF(D$2=Inputs!$B112,Inputs!$B111,0)*(1+inf)^C$1</f>
        <v>0</v>
      </c>
      <c r="E17" s="8">
        <f ca="1">IF(E$2=Inputs!$B112,Inputs!$B111,0)*(1+inf)^D$1</f>
        <v>0</v>
      </c>
      <c r="F17" s="8">
        <f ca="1">IF(F$2=Inputs!$B112,Inputs!$B111,0)*(1+inf)^E$1</f>
        <v>0</v>
      </c>
      <c r="G17" s="8">
        <f ca="1">IF(G$2=Inputs!$B112,Inputs!$B111,0)*(1+inf)^F$1</f>
        <v>0</v>
      </c>
      <c r="H17" s="8">
        <f ca="1">IF(H$2=Inputs!$B112,Inputs!$B111,0)*(1+inf)^G$1</f>
        <v>0</v>
      </c>
      <c r="I17" s="8">
        <f ca="1">IF(I$2=Inputs!$B112,Inputs!$B111,0)*(1+inf)^H$1</f>
        <v>0</v>
      </c>
      <c r="J17" s="8">
        <f ca="1">IF(J$2=Inputs!$B112,Inputs!$B111,0)*(1+inf)^I$1</f>
        <v>0</v>
      </c>
      <c r="K17" s="8">
        <f ca="1">IF(K$2=Inputs!$B112,Inputs!$B111,0)*(1+inf)^J$1</f>
        <v>0</v>
      </c>
      <c r="L17" s="8">
        <f ca="1">IF(L$2=Inputs!$B112,Inputs!$B111,0)*(1+inf)^K$1</f>
        <v>0</v>
      </c>
      <c r="M17" s="8">
        <f ca="1">IF(M$2=Inputs!$B112,Inputs!$B111,0)*(1+inf)^L$1</f>
        <v>0</v>
      </c>
      <c r="N17" s="8">
        <f ca="1">IF(N$2=Inputs!$B112,Inputs!$B111,0)*(1+inf)^M$1</f>
        <v>0</v>
      </c>
      <c r="O17" s="8">
        <f ca="1">IF(O$2=Inputs!$B112,Inputs!$B111,0)*(1+inf)^N$1</f>
        <v>0</v>
      </c>
      <c r="P17" s="8">
        <f ca="1">IF(P$2=Inputs!$B112,Inputs!$B111,0)*(1+inf)^O$1</f>
        <v>0</v>
      </c>
      <c r="Q17" s="8">
        <f ca="1">IF(Q$2=Inputs!$B112,Inputs!$B111,0)*(1+inf)^P$1</f>
        <v>0</v>
      </c>
      <c r="R17" s="8">
        <f ca="1">IF(R$2=Inputs!$B112,Inputs!$B111,0)*(1+inf)^Q$1</f>
        <v>0</v>
      </c>
      <c r="S17" s="8">
        <f ca="1">IF(S$2=Inputs!$B112,Inputs!$B111,0)*(1+inf)^R$1</f>
        <v>0</v>
      </c>
      <c r="T17" s="8">
        <f ca="1">IF(T$2=Inputs!$B112,Inputs!$B111,0)*(1+inf)^S$1</f>
        <v>0</v>
      </c>
      <c r="U17" s="8">
        <f ca="1">IF(U$2=Inputs!$B112,Inputs!$B111,0)*(1+inf)^T$1</f>
        <v>0</v>
      </c>
      <c r="V17" s="8">
        <f ca="1">IF(V$2=Inputs!$B112,Inputs!$B111,0)*(1+inf)^U$1</f>
        <v>0</v>
      </c>
      <c r="W17" s="8">
        <f ca="1">IF(W$2=Inputs!$B112,Inputs!$B111,0)*(1+inf)^V$1</f>
        <v>0</v>
      </c>
      <c r="X17" s="8">
        <f ca="1">IF(X$2=Inputs!$B112,Inputs!$B111,0)*(1+inf)^W$1</f>
        <v>0</v>
      </c>
      <c r="Y17" s="8">
        <f ca="1">IF(Y$2=Inputs!$B112,Inputs!$B111,0)*(1+inf)^X$1</f>
        <v>0</v>
      </c>
      <c r="Z17" s="8">
        <f ca="1">IF(Z$2=Inputs!$B112,Inputs!$B111,0)*(1+inf)^Y$1</f>
        <v>0</v>
      </c>
      <c r="AA17" s="8">
        <f ca="1">IF(AA$2=Inputs!$B112,Inputs!$B111,0)*(1+inf)^Z$1</f>
        <v>0</v>
      </c>
      <c r="AB17" s="8">
        <f ca="1">IF(AB$2=Inputs!$B112,Inputs!$B111,0)*(1+inf)^AA$1</f>
        <v>0</v>
      </c>
      <c r="AC17" s="8">
        <f ca="1">IF(AC$2=Inputs!$B112,Inputs!$B111,0)*(1+inf)^AB$1</f>
        <v>0</v>
      </c>
      <c r="AD17" s="8">
        <f ca="1">IF(AD$2=Inputs!$B112,Inputs!$B111,0)*(1+inf)^AC$1</f>
        <v>0</v>
      </c>
      <c r="AE17" s="8">
        <f ca="1">IF(AE$2=Inputs!$B112,Inputs!$B111,0)*(1+inf)^AD$1</f>
        <v>0</v>
      </c>
      <c r="AF17" s="8">
        <f ca="1">IF(AF$2=Inputs!$B112,Inputs!$B111,0)*(1+inf)^AE$1</f>
        <v>0</v>
      </c>
      <c r="AG17" s="8">
        <f ca="1">IF(AG$2=Inputs!$B112,Inputs!$B111,0)*(1+inf)^AF$1</f>
        <v>0</v>
      </c>
      <c r="AH17" s="8">
        <f ca="1">IF(AH$2=Inputs!$B112,Inputs!$B111,0)*(1+inf)^AG$1</f>
        <v>0</v>
      </c>
      <c r="AI17" s="8">
        <f ca="1">IF(AI$2=Inputs!$B112,Inputs!$B111,0)*(1+inf)^AH$1</f>
        <v>0</v>
      </c>
      <c r="AJ17" s="8">
        <f ca="1">IF(AJ$2=Inputs!$B112,Inputs!$B111,0)*(1+inf)^AI$1</f>
        <v>0</v>
      </c>
      <c r="AK17" s="8">
        <f ca="1">IF(AK$2=Inputs!$B112,Inputs!$B111,0)*(1+inf)^AJ$1</f>
        <v>0</v>
      </c>
      <c r="AL17" s="8">
        <f ca="1">IF(AL$2=Inputs!$B112,Inputs!$B111,0)*(1+inf)^AK$1</f>
        <v>0</v>
      </c>
      <c r="AM17" s="8">
        <f ca="1">IF(AM$2=Inputs!$B112,Inputs!$B111,0)*(1+inf)^AL$1</f>
        <v>0</v>
      </c>
      <c r="AN17" s="8">
        <f ca="1">IF(AN$2=Inputs!$B112,Inputs!$B111,0)*(1+inf)^AM$1</f>
        <v>0</v>
      </c>
      <c r="AO17" s="8">
        <f ca="1">IF(AO$2=Inputs!$B112,Inputs!$B111,0)*(1+inf)^AN$1</f>
        <v>0</v>
      </c>
      <c r="AP17" s="8">
        <f ca="1">IF(AP$2=Inputs!$B112,Inputs!$B111,0)*(1+inf)^AO$1</f>
        <v>0</v>
      </c>
      <c r="AQ17" s="8">
        <f ca="1">IF(AQ$2=Inputs!$B112,Inputs!$B111,0)*(1+inf)^AP$1</f>
        <v>0</v>
      </c>
      <c r="AR17" s="8">
        <f ca="1">IF(AR$2=Inputs!$B112,Inputs!$B111,0)*(1+inf)^AQ$1</f>
        <v>0</v>
      </c>
      <c r="AS17" s="8">
        <f ca="1">IF(AS$2=Inputs!$B112,Inputs!$B111,0)*(1+inf)^AR$1</f>
        <v>0</v>
      </c>
      <c r="AT17" s="8">
        <f ca="1">IF(AT$2=Inputs!$B112,Inputs!$B111,0)*(1+inf)^AS$1</f>
        <v>0</v>
      </c>
      <c r="AU17" s="8">
        <f ca="1">IF(AU$2=Inputs!$B112,Inputs!$B111,0)*(1+inf)^AT$1</f>
        <v>0</v>
      </c>
      <c r="AV17" s="8">
        <f ca="1">IF(AV$2=Inputs!$B112,Inputs!$B111,0)*(1+inf)^AU$1</f>
        <v>0</v>
      </c>
      <c r="AW17" s="8">
        <f ca="1">IF(AW$2=Inputs!$B112,Inputs!$B111,0)*(1+inf)^AV$1</f>
        <v>0</v>
      </c>
    </row>
    <row r="18" spans="1:49" x14ac:dyDescent="0.2">
      <c r="A18" s="5" t="s">
        <v>8</v>
      </c>
      <c r="C18" s="8">
        <f ca="1">MAX(AVERAGE(C49,C49+SUM(C5:C17)-C46)*Inputs!$B$149,0)</f>
        <v>4998.75</v>
      </c>
      <c r="D18" s="8">
        <f ca="1">MAX(AVERAGE(D49,D49+SUM(D5:D17)-D46)*Inputs!$B$149,0)</f>
        <v>5127.9375</v>
      </c>
      <c r="E18" s="8">
        <f ca="1">MAX(AVERAGE(E49,E49+SUM(E5:E17)-E46)*Inputs!$B$149,0)</f>
        <v>5274.0726562500004</v>
      </c>
      <c r="F18" s="8">
        <f ca="1">MAX(AVERAGE(F49,F49+SUM(F5:F17)-F46)*Inputs!$B$149,0)</f>
        <v>5438.1504843749999</v>
      </c>
      <c r="G18" s="8">
        <f ca="1">MAX(AVERAGE(G49,G49+SUM(G5:G17)-G46)*Inputs!$B$149,0)</f>
        <v>5621.2120097460938</v>
      </c>
      <c r="H18" s="8">
        <f ca="1">MAX(AVERAGE(H49,H49+SUM(H5:H17)-H46)*Inputs!$B$149,0)</f>
        <v>5824.346151620508</v>
      </c>
      <c r="I18" s="8">
        <f ca="1">MAX(AVERAGE(I49,I49+SUM(I5:I17)-I46)*Inputs!$B$149,0)</f>
        <v>6048.6916788986773</v>
      </c>
      <c r="J18" s="8">
        <f ca="1">MAX(AVERAGE(J49,J49+SUM(J5:J17)-J46)*Inputs!$B$149,0)</f>
        <v>6295.4392400866</v>
      </c>
      <c r="K18" s="8">
        <f ca="1">MAX(AVERAGE(K49,K49+SUM(K5:K17)-K46)*Inputs!$B$149,0)</f>
        <v>6565.8334701419344</v>
      </c>
      <c r="L18" s="8">
        <f ca="1">MAX(AVERAGE(L49,L49+SUM(L5:L17)-L46)*Inputs!$B$149,0)</f>
        <v>6861.1751769755283</v>
      </c>
      <c r="M18" s="8">
        <f ca="1">MAX(AVERAGE(M49,M49+SUM(M5:M17)-M46)*Inputs!$B$149,0)</f>
        <v>7182.8236104765274</v>
      </c>
      <c r="N18" s="8">
        <f ca="1">MAX(AVERAGE(N49,N49+SUM(N5:N17)-N46)*Inputs!$B$149,0)</f>
        <v>6494.0234139855338</v>
      </c>
      <c r="O18" s="8">
        <f ca="1">MAX(AVERAGE(O49,O49+SUM(O5:O17)-O46)*Inputs!$B$149,0)</f>
        <v>4739.1582262926477</v>
      </c>
      <c r="P18" s="8">
        <f ca="1">MAX(AVERAGE(P49,P49+SUM(P5:P17)-P46)*Inputs!$B$149,0)</f>
        <v>2898.4910145813756</v>
      </c>
      <c r="Q18" s="8">
        <f ca="1">MAX(AVERAGE(Q49,Q49+SUM(Q5:Q17)-Q46)*Inputs!$B$149,0)</f>
        <v>968.82846839310787</v>
      </c>
      <c r="R18" s="8">
        <f ca="1">MAX(AVERAGE(R49,R49+SUM(R5:R17)-R46)*Inputs!$B$149,0)</f>
        <v>0</v>
      </c>
      <c r="S18" s="8">
        <f ca="1">MAX(AVERAGE(S49,S49+SUM(S5:S17)-S46)*Inputs!$B$149,0)</f>
        <v>0</v>
      </c>
      <c r="T18" s="8">
        <f ca="1">MAX(AVERAGE(T49,T49+SUM(T5:T17)-T46)*Inputs!$B$149,0)</f>
        <v>0</v>
      </c>
      <c r="U18" s="8">
        <f ca="1">MAX(AVERAGE(U49,U49+SUM(U5:U17)-U46)*Inputs!$B$149,0)</f>
        <v>0</v>
      </c>
      <c r="V18" s="8">
        <f ca="1">MAX(AVERAGE(V49,V49+SUM(V5:V17)-V46)*Inputs!$B$149,0)</f>
        <v>0</v>
      </c>
      <c r="W18" s="8">
        <f ca="1">MAX(AVERAGE(W49,W49+SUM(W5:W17)-W46)*Inputs!$B$149,0)</f>
        <v>0</v>
      </c>
      <c r="X18" s="8">
        <f ca="1">MAX(AVERAGE(X49,X49+SUM(X5:X17)-X46)*Inputs!$B$149,0)</f>
        <v>0</v>
      </c>
      <c r="Y18" s="8">
        <f ca="1">MAX(AVERAGE(Y49,Y49+SUM(Y5:Y17)-Y46)*Inputs!$B$149,0)</f>
        <v>0</v>
      </c>
      <c r="Z18" s="8">
        <f ca="1">MAX(AVERAGE(Z49,Z49+SUM(Z5:Z17)-Z46)*Inputs!$B$149,0)</f>
        <v>0</v>
      </c>
      <c r="AA18" s="8">
        <f ca="1">MAX(AVERAGE(AA49,AA49+SUM(AA5:AA17)-AA46)*Inputs!$B$149,0)</f>
        <v>0</v>
      </c>
      <c r="AB18" s="8">
        <f ca="1">MAX(AVERAGE(AB49,AB49+SUM(AB5:AB17)-AB46)*Inputs!$B$149,0)</f>
        <v>0</v>
      </c>
      <c r="AC18" s="8">
        <f ca="1">MAX(AVERAGE(AC49,AC49+SUM(AC5:AC17)-AC46)*Inputs!$B$149,0)</f>
        <v>0</v>
      </c>
      <c r="AD18" s="8">
        <f ca="1">MAX(AVERAGE(AD49,AD49+SUM(AD5:AD17)-AD46)*Inputs!$B$149,0)</f>
        <v>0</v>
      </c>
      <c r="AE18" s="8">
        <f ca="1">MAX(AVERAGE(AE49,AE49+SUM(AE5:AE17)-AE46)*Inputs!$B$149,0)</f>
        <v>0</v>
      </c>
      <c r="AF18" s="8">
        <f ca="1">MAX(AVERAGE(AF49,AF49+SUM(AF5:AF17)-AF46)*Inputs!$B$149,0)</f>
        <v>0</v>
      </c>
      <c r="AG18" s="8">
        <f ca="1">MAX(AVERAGE(AG49,AG49+SUM(AG5:AG17)-AG46)*Inputs!$B$149,0)</f>
        <v>0</v>
      </c>
      <c r="AH18" s="8">
        <f ca="1">MAX(AVERAGE(AH49,AH49+SUM(AH5:AH17)-AH46)*Inputs!$B$149,0)</f>
        <v>0</v>
      </c>
      <c r="AI18" s="8">
        <f ca="1">MAX(AVERAGE(AI49,AI49+SUM(AI5:AI17)-AI46)*Inputs!$B$149,0)</f>
        <v>0</v>
      </c>
      <c r="AJ18" s="8">
        <f ca="1">MAX(AVERAGE(AJ49,AJ49+SUM(AJ5:AJ17)-AJ46)*Inputs!$B$149,0)</f>
        <v>0</v>
      </c>
      <c r="AK18" s="8">
        <f ca="1">MAX(AVERAGE(AK49,AK49+SUM(AK5:AK17)-AK46)*Inputs!$B$149,0)</f>
        <v>0</v>
      </c>
      <c r="AL18" s="8">
        <f ca="1">MAX(AVERAGE(AL49,AL49+SUM(AL5:AL17)-AL46)*Inputs!$B$149,0)</f>
        <v>0</v>
      </c>
      <c r="AM18" s="8">
        <f ca="1">MAX(AVERAGE(AM49,AM49+SUM(AM5:AM17)-AM46)*Inputs!$B$149,0)</f>
        <v>0</v>
      </c>
      <c r="AN18" s="8">
        <f ca="1">MAX(AVERAGE(AN49,AN49+SUM(AN5:AN17)-AN46)*Inputs!$B$149,0)</f>
        <v>0</v>
      </c>
      <c r="AO18" s="8">
        <f ca="1">MAX(AVERAGE(AO49,AO49+SUM(AO5:AO17)-AO46)*Inputs!$B$149,0)</f>
        <v>0</v>
      </c>
      <c r="AP18" s="8">
        <f ca="1">MAX(AVERAGE(AP49,AP49+SUM(AP5:AP17)-AP46)*Inputs!$B$149,0)</f>
        <v>0</v>
      </c>
      <c r="AQ18" s="8">
        <f ca="1">MAX(AVERAGE(AQ49,AQ49+SUM(AQ5:AQ17)-AQ46)*Inputs!$B$149,0)</f>
        <v>0</v>
      </c>
      <c r="AR18" s="8">
        <f ca="1">MAX(AVERAGE(AR49,AR49+SUM(AR5:AR17)-AR46)*Inputs!$B$149,0)</f>
        <v>0</v>
      </c>
      <c r="AS18" s="8">
        <f ca="1">MAX(AVERAGE(AS49,AS49+SUM(AS5:AS17)-AS46)*Inputs!$B$149,0)</f>
        <v>0</v>
      </c>
      <c r="AT18" s="8">
        <f ca="1">MAX(AVERAGE(AT49,AT49+SUM(AT5:AT17)-AT46)*Inputs!$B$149,0)</f>
        <v>0</v>
      </c>
      <c r="AU18" s="8">
        <f ca="1">MAX(AVERAGE(AU49,AU49+SUM(AU5:AU17)-AU46)*Inputs!$B$149,0)</f>
        <v>0</v>
      </c>
      <c r="AV18" s="8">
        <f ca="1">MAX(AVERAGE(AV49,AV49+SUM(AV5:AV17)-AV46)*Inputs!$B$149,0)</f>
        <v>0</v>
      </c>
      <c r="AW18" s="8">
        <f ca="1">MAX(AVERAGE(AW49,AW49+SUM(AW5:AW17)-AW46)*Inputs!$B$149,0)</f>
        <v>0</v>
      </c>
    </row>
    <row r="19" spans="1:49" x14ac:dyDescent="0.2">
      <c r="C19" s="10">
        <f ca="1">SUM(C4:C18)</f>
        <v>64998.75</v>
      </c>
      <c r="D19" s="10">
        <f t="shared" ref="D19:G19" ca="1" si="20">SUM(D4:D18)</f>
        <v>66927.9375</v>
      </c>
      <c r="E19" s="10">
        <f t="shared" ca="1" si="20"/>
        <v>68928.072656250006</v>
      </c>
      <c r="F19" s="10">
        <f t="shared" ca="1" si="20"/>
        <v>71001.770484374996</v>
      </c>
      <c r="G19" s="10">
        <f t="shared" ca="1" si="20"/>
        <v>73151.740609746077</v>
      </c>
      <c r="H19" s="10">
        <f t="shared" ref="H19:AM19" ca="1" si="21">SUM(H4:H18)</f>
        <v>75380.790609620497</v>
      </c>
      <c r="I19" s="10">
        <f t="shared" ca="1" si="21"/>
        <v>77691.829470638666</v>
      </c>
      <c r="J19" s="10">
        <f t="shared" ca="1" si="21"/>
        <v>80087.871165578807</v>
      </c>
      <c r="K19" s="10">
        <f t="shared" ca="1" si="21"/>
        <v>82572.038353398893</v>
      </c>
      <c r="L19" s="10">
        <f t="shared" ca="1" si="21"/>
        <v>85147.566206730204</v>
      </c>
      <c r="M19" s="10">
        <f t="shared" ca="1" si="21"/>
        <v>87817.806371123836</v>
      </c>
      <c r="N19" s="10">
        <f t="shared" ca="1" si="21"/>
        <v>6494.0234139855338</v>
      </c>
      <c r="O19" s="10">
        <f t="shared" ca="1" si="21"/>
        <v>4739.1582262926477</v>
      </c>
      <c r="P19" s="10">
        <f t="shared" ca="1" si="21"/>
        <v>2898.4910145813756</v>
      </c>
      <c r="Q19" s="10">
        <f t="shared" ca="1" si="21"/>
        <v>968.82846839310787</v>
      </c>
      <c r="R19" s="10">
        <f t="shared" ca="1" si="21"/>
        <v>0</v>
      </c>
      <c r="S19" s="10">
        <f t="shared" ca="1" si="21"/>
        <v>0</v>
      </c>
      <c r="T19" s="10">
        <f t="shared" ca="1" si="21"/>
        <v>24650.215831068646</v>
      </c>
      <c r="U19" s="10">
        <f t="shared" ca="1" si="21"/>
        <v>25266.471226845366</v>
      </c>
      <c r="V19" s="10">
        <f t="shared" ca="1" si="21"/>
        <v>25898.133007516499</v>
      </c>
      <c r="W19" s="10">
        <f t="shared" ca="1" si="21"/>
        <v>26545.58633270441</v>
      </c>
      <c r="X19" s="10">
        <f t="shared" ca="1" si="21"/>
        <v>27209.225991022013</v>
      </c>
      <c r="Y19" s="10">
        <f t="shared" ca="1" si="21"/>
        <v>27889.456640797565</v>
      </c>
      <c r="Z19" s="10">
        <f t="shared" ca="1" si="21"/>
        <v>28586.693056817505</v>
      </c>
      <c r="AA19" s="10">
        <f t="shared" ca="1" si="21"/>
        <v>29301.360383237938</v>
      </c>
      <c r="AB19" s="10">
        <f t="shared" ca="1" si="21"/>
        <v>30033.894392818886</v>
      </c>
      <c r="AC19" s="10">
        <f t="shared" ca="1" si="21"/>
        <v>30784.741752639355</v>
      </c>
      <c r="AD19" s="10">
        <f t="shared" ca="1" si="21"/>
        <v>31554.360296455336</v>
      </c>
      <c r="AE19" s="10">
        <f t="shared" ca="1" si="21"/>
        <v>32343.219303866717</v>
      </c>
      <c r="AF19" s="10">
        <f t="shared" ca="1" si="21"/>
        <v>33151.799786463387</v>
      </c>
      <c r="AG19" s="10">
        <f t="shared" ca="1" si="21"/>
        <v>33980.594781124964</v>
      </c>
      <c r="AH19" s="10">
        <f t="shared" ca="1" si="21"/>
        <v>34830.109650653096</v>
      </c>
      <c r="AI19" s="10">
        <f t="shared" ca="1" si="21"/>
        <v>35700.862391919421</v>
      </c>
      <c r="AJ19" s="10">
        <f t="shared" ca="1" si="21"/>
        <v>36593.383951717406</v>
      </c>
      <c r="AK19" s="10">
        <f t="shared" ca="1" si="21"/>
        <v>37508.218550510333</v>
      </c>
      <c r="AL19" s="10">
        <f t="shared" ca="1" si="21"/>
        <v>38445.924014273092</v>
      </c>
      <c r="AM19" s="10">
        <f t="shared" ca="1" si="21"/>
        <v>39407.072114629918</v>
      </c>
      <c r="AN19" s="10">
        <f t="shared" ref="AN19:AV19" ca="1" si="22">SUM(AN4:AN18)</f>
        <v>40392.248917495672</v>
      </c>
      <c r="AO19" s="10">
        <f t="shared" ca="1" si="22"/>
        <v>41402.055140433047</v>
      </c>
      <c r="AP19" s="10">
        <f t="shared" ca="1" si="22"/>
        <v>42437.106518943874</v>
      </c>
      <c r="AQ19" s="10">
        <f t="shared" ca="1" si="22"/>
        <v>43498.034181917472</v>
      </c>
      <c r="AR19" s="10">
        <f t="shared" ca="1" si="22"/>
        <v>44585.485036465398</v>
      </c>
      <c r="AS19" s="10">
        <f t="shared" ca="1" si="22"/>
        <v>45700.122162377033</v>
      </c>
      <c r="AT19" s="10">
        <f t="shared" ca="1" si="22"/>
        <v>46842.625216436471</v>
      </c>
      <c r="AU19" s="10">
        <f t="shared" ca="1" si="22"/>
        <v>48013.69084684737</v>
      </c>
      <c r="AV19" s="10">
        <f t="shared" ca="1" si="22"/>
        <v>49214.033118018553</v>
      </c>
      <c r="AW19" s="10">
        <f t="shared" ref="AW19" ca="1" si="23">SUM(AW4:AW18)</f>
        <v>50444.383945969006</v>
      </c>
    </row>
    <row r="20" spans="1:49" ht="19" x14ac:dyDescent="0.25">
      <c r="A20" s="14" t="s">
        <v>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">
      <c r="A21" s="5" t="s">
        <v>80</v>
      </c>
      <c r="C21" s="8">
        <f>Inputs!B75</f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</row>
    <row r="22" spans="1:49" x14ac:dyDescent="0.2">
      <c r="A22" s="5" t="s">
        <v>13</v>
      </c>
      <c r="C22" s="8">
        <f>MAX(IF(C$1*12&lt;=Inputs!$G$15,12,(Inputs!$G$15-B$1*12)),0)*Inputs!$B$17</f>
        <v>9600</v>
      </c>
      <c r="D22" s="8">
        <f>MAX(IF(D$1*12&lt;=Inputs!$G$15,12,(Inputs!$G$15-C$1*12)),0)*Inputs!$B$17</f>
        <v>9600</v>
      </c>
      <c r="E22" s="8">
        <f>MAX(IF(E$1*12&lt;=Inputs!$G$15,12,(Inputs!$G$15-D$1*12)),0)*Inputs!$B$17</f>
        <v>9600</v>
      </c>
      <c r="F22" s="8">
        <f>MAX(IF(F$1*12&lt;=Inputs!$G$15,12,(Inputs!$G$15-E$1*12)),0)*Inputs!$B$17</f>
        <v>9600</v>
      </c>
      <c r="G22" s="8">
        <f>MAX(IF(G$1*12&lt;=Inputs!$G$15,12,(Inputs!$G$15-F$1*12)),0)*Inputs!$B$17</f>
        <v>9600</v>
      </c>
      <c r="H22" s="8">
        <f>MAX(IF(H$1*12&lt;=Inputs!$G$15,12,(Inputs!$G$15-G$1*12)),0)*Inputs!$B$17</f>
        <v>9600</v>
      </c>
      <c r="I22" s="8">
        <f>MAX(IF(I$1*12&lt;=Inputs!$G$15,12,(Inputs!$G$15-H$1*12)),0)*Inputs!$B$17</f>
        <v>9600</v>
      </c>
      <c r="J22" s="8">
        <f>MAX(IF(J$1*12&lt;=Inputs!$G$15,12,(Inputs!$G$15-I$1*12)),0)*Inputs!$B$17</f>
        <v>9600</v>
      </c>
      <c r="K22" s="8">
        <f>MAX(IF(K$1*12&lt;=Inputs!$G$15,12,(Inputs!$G$15-J$1*12)),0)*Inputs!$B$17</f>
        <v>9600</v>
      </c>
      <c r="L22" s="8">
        <f>MAX(IF(L$1*12&lt;=Inputs!$G$15,12,(Inputs!$G$15-K$1*12)),0)*Inputs!$B$17</f>
        <v>9600</v>
      </c>
      <c r="M22" s="8">
        <f>MAX(IF(M$1*12&lt;=Inputs!$G$15,12,(Inputs!$G$15-L$1*12)),0)*Inputs!$B$17</f>
        <v>9600</v>
      </c>
      <c r="N22" s="8">
        <f>MAX(IF(N$1*12&lt;=Inputs!$G$15,12,(Inputs!$G$15-M$1*12)),0)*Inputs!$B$17</f>
        <v>9600</v>
      </c>
      <c r="O22" s="8">
        <f>MAX(IF(O$1*12&lt;=Inputs!$G$15,12,(Inputs!$G$15-N$1*12)),0)*Inputs!$B$17</f>
        <v>9600</v>
      </c>
      <c r="P22" s="8">
        <f>MAX(IF(P$1*12&lt;=Inputs!$G$15,12,(Inputs!$G$15-O$1*12)),0)*Inputs!$B$17</f>
        <v>9600</v>
      </c>
      <c r="Q22" s="8">
        <f>MAX(IF(Q$1*12&lt;=Inputs!$G$15,12,(Inputs!$G$15-P$1*12)),0)*Inputs!$B$17</f>
        <v>9600</v>
      </c>
      <c r="R22" s="8">
        <f>MAX(IF(R$1*12&lt;=Inputs!$G$15,12,(Inputs!$G$15-Q$1*12)),0)*Inputs!$B$17</f>
        <v>6589.0845741613475</v>
      </c>
      <c r="S22" s="8">
        <f>MAX(IF(S$1*12&lt;=Inputs!$G$15,12,(Inputs!$G$15-R$1*12)),0)*Inputs!$B$17</f>
        <v>0</v>
      </c>
      <c r="T22" s="8">
        <f>MAX(IF(T$1*12&lt;=Inputs!$G$15,12,(Inputs!$G$15-S$1*12)),0)*Inputs!$B$17</f>
        <v>0</v>
      </c>
      <c r="U22" s="8">
        <f>MAX(IF(U$1*12&lt;=Inputs!$G$15,12,(Inputs!$G$15-T$1*12)),0)*Inputs!$B$17</f>
        <v>0</v>
      </c>
      <c r="V22" s="8">
        <f>MAX(IF(V$1*12&lt;=Inputs!$G$15,12,(Inputs!$G$15-U$1*12)),0)*Inputs!$B$17</f>
        <v>0</v>
      </c>
      <c r="W22" s="8">
        <f>MAX(IF(W$1*12&lt;=Inputs!$G$15,12,(Inputs!$G$15-V$1*12)),0)*Inputs!$B$17</f>
        <v>0</v>
      </c>
      <c r="X22" s="8">
        <f>MAX(IF(X$1*12&lt;=Inputs!$G$15,12,(Inputs!$G$15-W$1*12)),0)*Inputs!$B$17</f>
        <v>0</v>
      </c>
      <c r="Y22" s="8">
        <f>MAX(IF(Y$1*12&lt;=Inputs!$G$15,12,(Inputs!$G$15-X$1*12)),0)*Inputs!$B$17</f>
        <v>0</v>
      </c>
      <c r="Z22" s="8">
        <f>MAX(IF(Z$1*12&lt;=Inputs!$G$15,12,(Inputs!$G$15-Y$1*12)),0)*Inputs!$B$17</f>
        <v>0</v>
      </c>
      <c r="AA22" s="8">
        <f>MAX(IF(AA$1*12&lt;=Inputs!$G$15,12,(Inputs!$G$15-Z$1*12)),0)*Inputs!$B$17</f>
        <v>0</v>
      </c>
      <c r="AB22" s="8">
        <f>MAX(IF(AB$1*12&lt;=Inputs!$G$15,12,(Inputs!$G$15-AA$1*12)),0)*Inputs!$B$17</f>
        <v>0</v>
      </c>
      <c r="AC22" s="8">
        <f>MAX(IF(AC$1*12&lt;=Inputs!$G$15,12,(Inputs!$G$15-AB$1*12)),0)*Inputs!$B$17</f>
        <v>0</v>
      </c>
      <c r="AD22" s="8">
        <f>MAX(IF(AD$1*12&lt;=Inputs!$G$15,12,(Inputs!$G$15-AC$1*12)),0)*Inputs!$B$17</f>
        <v>0</v>
      </c>
      <c r="AE22" s="8">
        <f>MAX(IF(AE$1*12&lt;=Inputs!$G$15,12,(Inputs!$G$15-AD$1*12)),0)*Inputs!$B$17</f>
        <v>0</v>
      </c>
      <c r="AF22" s="8">
        <f>MAX(IF(AF$1*12&lt;=Inputs!$G$15,12,(Inputs!$G$15-AE$1*12)),0)*Inputs!$B$17</f>
        <v>0</v>
      </c>
      <c r="AG22" s="8">
        <f>MAX(IF(AG$1*12&lt;=Inputs!$G$15,12,(Inputs!$G$15-AF$1*12)),0)*Inputs!$B$17</f>
        <v>0</v>
      </c>
      <c r="AH22" s="8">
        <f>MAX(IF(AH$1*12&lt;=Inputs!$G$15,12,(Inputs!$G$15-AG$1*12)),0)*Inputs!$B$17</f>
        <v>0</v>
      </c>
      <c r="AI22" s="8">
        <f>MAX(IF(AI$1*12&lt;=Inputs!$G$15,12,(Inputs!$G$15-AH$1*12)),0)*Inputs!$B$17</f>
        <v>0</v>
      </c>
      <c r="AJ22" s="8">
        <f>MAX(IF(AJ$1*12&lt;=Inputs!$G$15,12,(Inputs!$G$15-AI$1*12)),0)*Inputs!$B$17</f>
        <v>0</v>
      </c>
      <c r="AK22" s="8">
        <f>MAX(IF(AK$1*12&lt;=Inputs!$G$15,12,(Inputs!$G$15-AJ$1*12)),0)*Inputs!$B$17</f>
        <v>0</v>
      </c>
      <c r="AL22" s="8">
        <f>MAX(IF(AL$1*12&lt;=Inputs!$G$15,12,(Inputs!$G$15-AK$1*12)),0)*Inputs!$B$17</f>
        <v>0</v>
      </c>
      <c r="AM22" s="8">
        <f>MAX(IF(AM$1*12&lt;=Inputs!$G$15,12,(Inputs!$G$15-AL$1*12)),0)*Inputs!$B$17</f>
        <v>0</v>
      </c>
      <c r="AN22" s="8">
        <f>MAX(IF(AN$1*12&lt;=Inputs!$G$15,12,(Inputs!$G$15-AM$1*12)),0)*Inputs!$B$17</f>
        <v>0</v>
      </c>
      <c r="AO22" s="8">
        <f>MAX(IF(AO$1*12&lt;=Inputs!$G$15,12,(Inputs!$G$15-AN$1*12)),0)*Inputs!$B$17</f>
        <v>0</v>
      </c>
      <c r="AP22" s="8">
        <f>MAX(IF(AP$1*12&lt;=Inputs!$G$15,12,(Inputs!$G$15-AO$1*12)),0)*Inputs!$B$17</f>
        <v>0</v>
      </c>
      <c r="AQ22" s="8">
        <f>MAX(IF(AQ$1*12&lt;=Inputs!$G$15,12,(Inputs!$G$15-AP$1*12)),0)*Inputs!$B$17</f>
        <v>0</v>
      </c>
      <c r="AR22" s="8">
        <f>MAX(IF(AR$1*12&lt;=Inputs!$G$15,12,(Inputs!$G$15-AQ$1*12)),0)*Inputs!$B$17</f>
        <v>0</v>
      </c>
      <c r="AS22" s="8">
        <f>MAX(IF(AS$1*12&lt;=Inputs!$G$15,12,(Inputs!$G$15-AR$1*12)),0)*Inputs!$B$17</f>
        <v>0</v>
      </c>
      <c r="AT22" s="8">
        <f>MAX(IF(AT$1*12&lt;=Inputs!$G$15,12,(Inputs!$G$15-AS$1*12)),0)*Inputs!$B$17</f>
        <v>0</v>
      </c>
      <c r="AU22" s="8">
        <f>MAX(IF(AU$1*12&lt;=Inputs!$G$15,12,(Inputs!$G$15-AT$1*12)),0)*Inputs!$B$17</f>
        <v>0</v>
      </c>
      <c r="AV22" s="8">
        <f>MAX(IF(AV$1*12&lt;=Inputs!$G$15,12,(Inputs!$G$15-AU$1*12)),0)*Inputs!$B$17</f>
        <v>0</v>
      </c>
      <c r="AW22" s="8">
        <f>MAX(IF(AW$1*12&lt;=Inputs!$G$15,12,(Inputs!$G$15-AV$1*12)),0)*Inputs!$B$17</f>
        <v>0</v>
      </c>
    </row>
    <row r="23" spans="1:49" x14ac:dyDescent="0.2">
      <c r="A23" s="5" t="s">
        <v>57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">
      <c r="A24" s="4" t="str">
        <f>TEXT(Inputs!$B$50,"")</f>
        <v>Sliema</v>
      </c>
      <c r="C24" s="8">
        <f>MAX(IF(C$1*12&lt;=Inputs!$G$78,12,(Inputs!$G$78-B$1*12)),0)*Inputs!$B$80</f>
        <v>0</v>
      </c>
      <c r="D24" s="8">
        <f>MAX(IF(D$1*12&lt;=Inputs!$G$78,12,(Inputs!$G$78-C$1*12)),0)*Inputs!$B$80</f>
        <v>0</v>
      </c>
      <c r="E24" s="8">
        <f>MAX(IF(E$1*12&lt;=Inputs!$G$78,12,(Inputs!$G$78-D$1*12)),0)*Inputs!$B$80</f>
        <v>0</v>
      </c>
      <c r="F24" s="8">
        <f>MAX(IF(F$1*12&lt;=Inputs!$G$78,12,(Inputs!$G$78-E$1*12)),0)*Inputs!$B$80</f>
        <v>0</v>
      </c>
      <c r="G24" s="8">
        <f>MAX(IF(G$1*12&lt;=Inputs!$G$78,12,(Inputs!$G$78-F$1*12)),0)*Inputs!$B$80</f>
        <v>0</v>
      </c>
      <c r="H24" s="8">
        <f>MAX(IF(H$1*12&lt;=Inputs!$G$78,12,(Inputs!$G$78-G$1*12)),0)*Inputs!$B$80</f>
        <v>0</v>
      </c>
      <c r="I24" s="8">
        <f>MAX(IF(I$1*12&lt;=Inputs!$G$78,12,(Inputs!$G$78-H$1*12)),0)*Inputs!$B$80</f>
        <v>0</v>
      </c>
      <c r="J24" s="8">
        <f>MAX(IF(J$1*12&lt;=Inputs!$G$78,12,(Inputs!$G$78-I$1*12)),0)*Inputs!$B$80</f>
        <v>0</v>
      </c>
      <c r="K24" s="8">
        <f>MAX(IF(K$1*12&lt;=Inputs!$G$78,12,(Inputs!$G$78-J$1*12)),0)*Inputs!$B$80</f>
        <v>0</v>
      </c>
      <c r="L24" s="8">
        <f>MAX(IF(L$1*12&lt;=Inputs!$G$78,12,(Inputs!$G$78-K$1*12)),0)*Inputs!$B$80</f>
        <v>0</v>
      </c>
      <c r="M24" s="8">
        <f>MAX(IF(M$1*12&lt;=Inputs!$G$78,12,(Inputs!$G$78-L$1*12)),0)*Inputs!$B$80</f>
        <v>0</v>
      </c>
      <c r="N24" s="8">
        <f>MAX(IF(N$1*12&lt;=Inputs!$G$78,12,(Inputs!$G$78-M$1*12)),0)*Inputs!$B$80</f>
        <v>0</v>
      </c>
      <c r="O24" s="8">
        <f>MAX(IF(O$1*12&lt;=Inputs!$G$78,12,(Inputs!$G$78-N$1*12)),0)*Inputs!$B$80</f>
        <v>0</v>
      </c>
      <c r="P24" s="8">
        <f>MAX(IF(P$1*12&lt;=Inputs!$G$78,12,(Inputs!$G$78-O$1*12)),0)*Inputs!$B$80</f>
        <v>0</v>
      </c>
      <c r="Q24" s="8">
        <f>MAX(IF(Q$1*12&lt;=Inputs!$G$78,12,(Inputs!$G$78-P$1*12)),0)*Inputs!$B$80</f>
        <v>0</v>
      </c>
      <c r="R24" s="8">
        <f>MAX(IF(R$1*12&lt;=Inputs!$G$78,12,(Inputs!$G$78-Q$1*12)),0)*Inputs!$B$80</f>
        <v>0</v>
      </c>
      <c r="S24" s="8">
        <f>MAX(IF(S$1*12&lt;=Inputs!$G$78,12,(Inputs!$G$78-R$1*12)),0)*Inputs!$B$80</f>
        <v>0</v>
      </c>
      <c r="T24" s="8">
        <f>MAX(IF(T$1*12&lt;=Inputs!$G$78,12,(Inputs!$G$78-S$1*12)),0)*Inputs!$B$80</f>
        <v>0</v>
      </c>
      <c r="U24" s="8">
        <f>MAX(IF(U$1*12&lt;=Inputs!$G$78,12,(Inputs!$G$78-T$1*12)),0)*Inputs!$B$80</f>
        <v>0</v>
      </c>
      <c r="V24" s="8">
        <f>MAX(IF(V$1*12&lt;=Inputs!$G$78,12,(Inputs!$G$78-U$1*12)),0)*Inputs!$B$80</f>
        <v>0</v>
      </c>
      <c r="W24" s="8">
        <f>MAX(IF(W$1*12&lt;=Inputs!$G$78,12,(Inputs!$G$78-V$1*12)),0)*Inputs!$B$80</f>
        <v>0</v>
      </c>
      <c r="X24" s="8">
        <f>MAX(IF(X$1*12&lt;=Inputs!$G$78,12,(Inputs!$G$78-W$1*12)),0)*Inputs!$B$80</f>
        <v>0</v>
      </c>
      <c r="Y24" s="8">
        <f>MAX(IF(Y$1*12&lt;=Inputs!$G$78,12,(Inputs!$G$78-X$1*12)),0)*Inputs!$B$80</f>
        <v>0</v>
      </c>
      <c r="Z24" s="8">
        <f>MAX(IF(Z$1*12&lt;=Inputs!$G$78,12,(Inputs!$G$78-Y$1*12)),0)*Inputs!$B$80</f>
        <v>0</v>
      </c>
      <c r="AA24" s="8">
        <f>MAX(IF(AA$1*12&lt;=Inputs!$G$78,12,(Inputs!$G$78-Z$1*12)),0)*Inputs!$B$80</f>
        <v>0</v>
      </c>
      <c r="AB24" s="8">
        <f>MAX(IF(AB$1*12&lt;=Inputs!$G$78,12,(Inputs!$G$78-AA$1*12)),0)*Inputs!$B$80</f>
        <v>0</v>
      </c>
      <c r="AC24" s="8">
        <f>MAX(IF(AC$1*12&lt;=Inputs!$G$78,12,(Inputs!$G$78-AB$1*12)),0)*Inputs!$B$80</f>
        <v>0</v>
      </c>
      <c r="AD24" s="8">
        <f>MAX(IF(AD$1*12&lt;=Inputs!$G$78,12,(Inputs!$G$78-AC$1*12)),0)*Inputs!$B$80</f>
        <v>0</v>
      </c>
      <c r="AE24" s="8">
        <f>MAX(IF(AE$1*12&lt;=Inputs!$G$78,12,(Inputs!$G$78-AD$1*12)),0)*Inputs!$B$80</f>
        <v>0</v>
      </c>
      <c r="AF24" s="8">
        <f>MAX(IF(AF$1*12&lt;=Inputs!$G$78,12,(Inputs!$G$78-AE$1*12)),0)*Inputs!$B$80</f>
        <v>0</v>
      </c>
      <c r="AG24" s="8">
        <f>MAX(IF(AG$1*12&lt;=Inputs!$G$78,12,(Inputs!$G$78-AF$1*12)),0)*Inputs!$B$80</f>
        <v>0</v>
      </c>
      <c r="AH24" s="8">
        <f>MAX(IF(AH$1*12&lt;=Inputs!$G$78,12,(Inputs!$G$78-AG$1*12)),0)*Inputs!$B$80</f>
        <v>0</v>
      </c>
      <c r="AI24" s="8">
        <f>MAX(IF(AI$1*12&lt;=Inputs!$G$78,12,(Inputs!$G$78-AH$1*12)),0)*Inputs!$B$80</f>
        <v>0</v>
      </c>
      <c r="AJ24" s="8">
        <f>MAX(IF(AJ$1*12&lt;=Inputs!$G$78,12,(Inputs!$G$78-AI$1*12)),0)*Inputs!$B$80</f>
        <v>0</v>
      </c>
      <c r="AK24" s="8">
        <f>MAX(IF(AK$1*12&lt;=Inputs!$G$78,12,(Inputs!$G$78-AJ$1*12)),0)*Inputs!$B$80</f>
        <v>0</v>
      </c>
      <c r="AL24" s="8">
        <f>MAX(IF(AL$1*12&lt;=Inputs!$G$78,12,(Inputs!$G$78-AK$1*12)),0)*Inputs!$B$80</f>
        <v>0</v>
      </c>
      <c r="AM24" s="8">
        <f>MAX(IF(AM$1*12&lt;=Inputs!$G$78,12,(Inputs!$G$78-AL$1*12)),0)*Inputs!$B$80</f>
        <v>0</v>
      </c>
      <c r="AN24" s="8">
        <f>MAX(IF(AN$1*12&lt;=Inputs!$G$78,12,(Inputs!$G$78-AM$1*12)),0)*Inputs!$B$80</f>
        <v>0</v>
      </c>
      <c r="AO24" s="8">
        <f>MAX(IF(AO$1*12&lt;=Inputs!$G$78,12,(Inputs!$G$78-AN$1*12)),0)*Inputs!$B$80</f>
        <v>0</v>
      </c>
      <c r="AP24" s="8">
        <f>MAX(IF(AP$1*12&lt;=Inputs!$G$78,12,(Inputs!$G$78-AO$1*12)),0)*Inputs!$B$80</f>
        <v>0</v>
      </c>
      <c r="AQ24" s="8">
        <f>MAX(IF(AQ$1*12&lt;=Inputs!$G$78,12,(Inputs!$G$78-AP$1*12)),0)*Inputs!$B$80</f>
        <v>0</v>
      </c>
      <c r="AR24" s="8">
        <f>MAX(IF(AR$1*12&lt;=Inputs!$G$78,12,(Inputs!$G$78-AQ$1*12)),0)*Inputs!$B$80</f>
        <v>0</v>
      </c>
      <c r="AS24" s="8">
        <f>MAX(IF(AS$1*12&lt;=Inputs!$G$78,12,(Inputs!$G$78-AR$1*12)),0)*Inputs!$B$80</f>
        <v>0</v>
      </c>
      <c r="AT24" s="8">
        <f>MAX(IF(AT$1*12&lt;=Inputs!$G$78,12,(Inputs!$G$78-AS$1*12)),0)*Inputs!$B$80</f>
        <v>0</v>
      </c>
      <c r="AU24" s="8">
        <f>MAX(IF(AU$1*12&lt;=Inputs!$G$78,12,(Inputs!$G$78-AT$1*12)),0)*Inputs!$B$80</f>
        <v>0</v>
      </c>
      <c r="AV24" s="8">
        <f>MAX(IF(AV$1*12&lt;=Inputs!$G$78,12,(Inputs!$G$78-AU$1*12)),0)*Inputs!$B$80</f>
        <v>0</v>
      </c>
      <c r="AW24" s="8">
        <f>MAX(IF(AW$1*12&lt;=Inputs!$G$78,12,(Inputs!$G$78-AV$1*12)),0)*Inputs!$B$80</f>
        <v>0</v>
      </c>
    </row>
    <row r="25" spans="1:49" x14ac:dyDescent="0.2">
      <c r="A25" s="4" t="str">
        <f>TEXT(Inputs!$B$55,"")</f>
        <v/>
      </c>
      <c r="C25" s="8">
        <f>MAX(IF(C$1*12&lt;=Inputs!$G$83,12,(Inputs!$G$83-B$1*12)),0)*Inputs!$B$85</f>
        <v>0</v>
      </c>
      <c r="D25" s="8">
        <f>MAX(IF(D$1*12&lt;=Inputs!$G$83,12,(Inputs!$G$83-C$1*12)),0)*Inputs!$B$85</f>
        <v>0</v>
      </c>
      <c r="E25" s="8">
        <f>MAX(IF(E$1*12&lt;=Inputs!$G$83,12,(Inputs!$G$83-D$1*12)),0)*Inputs!$B$85</f>
        <v>0</v>
      </c>
      <c r="F25" s="8">
        <f>MAX(IF(F$1*12&lt;=Inputs!$G$83,12,(Inputs!$G$83-E$1*12)),0)*Inputs!$B$85</f>
        <v>0</v>
      </c>
      <c r="G25" s="8">
        <f>MAX(IF(G$1*12&lt;=Inputs!$G$83,12,(Inputs!$G$83-F$1*12)),0)*Inputs!$B$85</f>
        <v>0</v>
      </c>
      <c r="H25" s="8">
        <f>MAX(IF(H$1*12&lt;=Inputs!$G$83,12,(Inputs!$G$83-G$1*12)),0)*Inputs!$B$85</f>
        <v>0</v>
      </c>
      <c r="I25" s="8">
        <f>MAX(IF(I$1*12&lt;=Inputs!$G$83,12,(Inputs!$G$83-H$1*12)),0)*Inputs!$B$85</f>
        <v>0</v>
      </c>
      <c r="J25" s="8">
        <f>MAX(IF(J$1*12&lt;=Inputs!$G$83,12,(Inputs!$G$83-I$1*12)),0)*Inputs!$B$85</f>
        <v>0</v>
      </c>
      <c r="K25" s="8">
        <f>MAX(IF(K$1*12&lt;=Inputs!$G$83,12,(Inputs!$G$83-J$1*12)),0)*Inputs!$B$85</f>
        <v>0</v>
      </c>
      <c r="L25" s="8">
        <f>MAX(IF(L$1*12&lt;=Inputs!$G$83,12,(Inputs!$G$83-K$1*12)),0)*Inputs!$B$85</f>
        <v>0</v>
      </c>
      <c r="M25" s="8">
        <f>MAX(IF(M$1*12&lt;=Inputs!$G$83,12,(Inputs!$G$83-L$1*12)),0)*Inputs!$B$85</f>
        <v>0</v>
      </c>
      <c r="N25" s="8">
        <f>MAX(IF(N$1*12&lt;=Inputs!$G$83,12,(Inputs!$G$83-M$1*12)),0)*Inputs!$B$85</f>
        <v>0</v>
      </c>
      <c r="O25" s="8">
        <f>MAX(IF(O$1*12&lt;=Inputs!$G$83,12,(Inputs!$G$83-N$1*12)),0)*Inputs!$B$85</f>
        <v>0</v>
      </c>
      <c r="P25" s="8">
        <f>MAX(IF(P$1*12&lt;=Inputs!$G$83,12,(Inputs!$G$83-O$1*12)),0)*Inputs!$B$85</f>
        <v>0</v>
      </c>
      <c r="Q25" s="8">
        <f>MAX(IF(Q$1*12&lt;=Inputs!$G$83,12,(Inputs!$G$83-P$1*12)),0)*Inputs!$B$85</f>
        <v>0</v>
      </c>
      <c r="R25" s="8">
        <f>MAX(IF(R$1*12&lt;=Inputs!$G$83,12,(Inputs!$G$83-Q$1*12)),0)*Inputs!$B$85</f>
        <v>0</v>
      </c>
      <c r="S25" s="8">
        <f>MAX(IF(S$1*12&lt;=Inputs!$G$83,12,(Inputs!$G$83-R$1*12)),0)*Inputs!$B$85</f>
        <v>0</v>
      </c>
      <c r="T25" s="8">
        <f>MAX(IF(T$1*12&lt;=Inputs!$G$83,12,(Inputs!$G$83-S$1*12)),0)*Inputs!$B$85</f>
        <v>0</v>
      </c>
      <c r="U25" s="8">
        <f>MAX(IF(U$1*12&lt;=Inputs!$G$83,12,(Inputs!$G$83-T$1*12)),0)*Inputs!$B$85</f>
        <v>0</v>
      </c>
      <c r="V25" s="8">
        <f>MAX(IF(V$1*12&lt;=Inputs!$G$83,12,(Inputs!$G$83-U$1*12)),0)*Inputs!$B$85</f>
        <v>0</v>
      </c>
      <c r="W25" s="8">
        <f>MAX(IF(W$1*12&lt;=Inputs!$G$83,12,(Inputs!$G$83-V$1*12)),0)*Inputs!$B$85</f>
        <v>0</v>
      </c>
      <c r="X25" s="8">
        <f>MAX(IF(X$1*12&lt;=Inputs!$G$83,12,(Inputs!$G$83-W$1*12)),0)*Inputs!$B$85</f>
        <v>0</v>
      </c>
      <c r="Y25" s="8">
        <f>MAX(IF(Y$1*12&lt;=Inputs!$G$83,12,(Inputs!$G$83-X$1*12)),0)*Inputs!$B$85</f>
        <v>0</v>
      </c>
      <c r="Z25" s="8">
        <f>MAX(IF(Z$1*12&lt;=Inputs!$G$83,12,(Inputs!$G$83-Y$1*12)),0)*Inputs!$B$85</f>
        <v>0</v>
      </c>
      <c r="AA25" s="8">
        <f>MAX(IF(AA$1*12&lt;=Inputs!$G$83,12,(Inputs!$G$83-Z$1*12)),0)*Inputs!$B$85</f>
        <v>0</v>
      </c>
      <c r="AB25" s="8">
        <f>MAX(IF(AB$1*12&lt;=Inputs!$G$83,12,(Inputs!$G$83-AA$1*12)),0)*Inputs!$B$85</f>
        <v>0</v>
      </c>
      <c r="AC25" s="8">
        <f>MAX(IF(AC$1*12&lt;=Inputs!$G$83,12,(Inputs!$G$83-AB$1*12)),0)*Inputs!$B$85</f>
        <v>0</v>
      </c>
      <c r="AD25" s="8">
        <f>MAX(IF(AD$1*12&lt;=Inputs!$G$83,12,(Inputs!$G$83-AC$1*12)),0)*Inputs!$B$85</f>
        <v>0</v>
      </c>
      <c r="AE25" s="8">
        <f>MAX(IF(AE$1*12&lt;=Inputs!$G$83,12,(Inputs!$G$83-AD$1*12)),0)*Inputs!$B$85</f>
        <v>0</v>
      </c>
      <c r="AF25" s="8">
        <f>MAX(IF(AF$1*12&lt;=Inputs!$G$83,12,(Inputs!$G$83-AE$1*12)),0)*Inputs!$B$85</f>
        <v>0</v>
      </c>
      <c r="AG25" s="8">
        <f>MAX(IF(AG$1*12&lt;=Inputs!$G$83,12,(Inputs!$G$83-AF$1*12)),0)*Inputs!$B$85</f>
        <v>0</v>
      </c>
      <c r="AH25" s="8">
        <f>MAX(IF(AH$1*12&lt;=Inputs!$G$83,12,(Inputs!$G$83-AG$1*12)),0)*Inputs!$B$85</f>
        <v>0</v>
      </c>
      <c r="AI25" s="8">
        <f>MAX(IF(AI$1*12&lt;=Inputs!$G$83,12,(Inputs!$G$83-AH$1*12)),0)*Inputs!$B$85</f>
        <v>0</v>
      </c>
      <c r="AJ25" s="8">
        <f>MAX(IF(AJ$1*12&lt;=Inputs!$G$83,12,(Inputs!$G$83-AI$1*12)),0)*Inputs!$B$85</f>
        <v>0</v>
      </c>
      <c r="AK25" s="8">
        <f>MAX(IF(AK$1*12&lt;=Inputs!$G$83,12,(Inputs!$G$83-AJ$1*12)),0)*Inputs!$B$85</f>
        <v>0</v>
      </c>
      <c r="AL25" s="8">
        <f>MAX(IF(AL$1*12&lt;=Inputs!$G$83,12,(Inputs!$G$83-AK$1*12)),0)*Inputs!$B$85</f>
        <v>0</v>
      </c>
      <c r="AM25" s="8">
        <f>MAX(IF(AM$1*12&lt;=Inputs!$G$83,12,(Inputs!$G$83-AL$1*12)),0)*Inputs!$B$85</f>
        <v>0</v>
      </c>
      <c r="AN25" s="8">
        <f>MAX(IF(AN$1*12&lt;=Inputs!$G$83,12,(Inputs!$G$83-AM$1*12)),0)*Inputs!$B$85</f>
        <v>0</v>
      </c>
      <c r="AO25" s="8">
        <f>MAX(IF(AO$1*12&lt;=Inputs!$G$83,12,(Inputs!$G$83-AN$1*12)),0)*Inputs!$B$85</f>
        <v>0</v>
      </c>
      <c r="AP25" s="8">
        <f>MAX(IF(AP$1*12&lt;=Inputs!$G$83,12,(Inputs!$G$83-AO$1*12)),0)*Inputs!$B$85</f>
        <v>0</v>
      </c>
      <c r="AQ25" s="8">
        <f>MAX(IF(AQ$1*12&lt;=Inputs!$G$83,12,(Inputs!$G$83-AP$1*12)),0)*Inputs!$B$85</f>
        <v>0</v>
      </c>
      <c r="AR25" s="8">
        <f>MAX(IF(AR$1*12&lt;=Inputs!$G$83,12,(Inputs!$G$83-AQ$1*12)),0)*Inputs!$B$85</f>
        <v>0</v>
      </c>
      <c r="AS25" s="8">
        <f>MAX(IF(AS$1*12&lt;=Inputs!$G$83,12,(Inputs!$G$83-AR$1*12)),0)*Inputs!$B$85</f>
        <v>0</v>
      </c>
      <c r="AT25" s="8">
        <f>MAX(IF(AT$1*12&lt;=Inputs!$G$83,12,(Inputs!$G$83-AS$1*12)),0)*Inputs!$B$85</f>
        <v>0</v>
      </c>
      <c r="AU25" s="8">
        <f>MAX(IF(AU$1*12&lt;=Inputs!$G$83,12,(Inputs!$G$83-AT$1*12)),0)*Inputs!$B$85</f>
        <v>0</v>
      </c>
      <c r="AV25" s="8">
        <f>MAX(IF(AV$1*12&lt;=Inputs!$G$83,12,(Inputs!$G$83-AU$1*12)),0)*Inputs!$B$85</f>
        <v>0</v>
      </c>
      <c r="AW25" s="8">
        <f>MAX(IF(AW$1*12&lt;=Inputs!$G$83,12,(Inputs!$G$83-AV$1*12)),0)*Inputs!$B$85</f>
        <v>0</v>
      </c>
    </row>
    <row r="26" spans="1:49" x14ac:dyDescent="0.2">
      <c r="A26" s="4" t="str">
        <f>TEXT(Inputs!$B$60,"")</f>
        <v/>
      </c>
      <c r="C26" s="8">
        <f>MAX(IF(C$1*12&lt;=Inputs!$G$88,12,(Inputs!$G$88-B$1*12)),0)*Inputs!$B$90</f>
        <v>0</v>
      </c>
      <c r="D26" s="8">
        <f>MAX(IF(D$1*12&lt;=Inputs!$G$88,12,(Inputs!$G$88-C$1*12)),0)*Inputs!$B$90</f>
        <v>0</v>
      </c>
      <c r="E26" s="8">
        <f>MAX(IF(E$1*12&lt;=Inputs!$G$88,12,(Inputs!$G$88-D$1*12)),0)*Inputs!$B$90</f>
        <v>0</v>
      </c>
      <c r="F26" s="8">
        <f>MAX(IF(F$1*12&lt;=Inputs!$G$88,12,(Inputs!$G$88-E$1*12)),0)*Inputs!$B$90</f>
        <v>0</v>
      </c>
      <c r="G26" s="8">
        <f>MAX(IF(G$1*12&lt;=Inputs!$G$88,12,(Inputs!$G$88-F$1*12)),0)*Inputs!$B$90</f>
        <v>0</v>
      </c>
      <c r="H26" s="8">
        <f>MAX(IF(H$1*12&lt;=Inputs!$G$88,12,(Inputs!$G$88-G$1*12)),0)*Inputs!$B$90</f>
        <v>0</v>
      </c>
      <c r="I26" s="8">
        <f>MAX(IF(I$1*12&lt;=Inputs!$G$88,12,(Inputs!$G$88-H$1*12)),0)*Inputs!$B$90</f>
        <v>0</v>
      </c>
      <c r="J26" s="8">
        <f>MAX(IF(J$1*12&lt;=Inputs!$G$88,12,(Inputs!$G$88-I$1*12)),0)*Inputs!$B$90</f>
        <v>0</v>
      </c>
      <c r="K26" s="8">
        <f>MAX(IF(K$1*12&lt;=Inputs!$G$88,12,(Inputs!$G$88-J$1*12)),0)*Inputs!$B$90</f>
        <v>0</v>
      </c>
      <c r="L26" s="8">
        <f>MAX(IF(L$1*12&lt;=Inputs!$G$88,12,(Inputs!$G$88-K$1*12)),0)*Inputs!$B$90</f>
        <v>0</v>
      </c>
      <c r="M26" s="8">
        <f>MAX(IF(M$1*12&lt;=Inputs!$G$88,12,(Inputs!$G$88-L$1*12)),0)*Inputs!$B$90</f>
        <v>0</v>
      </c>
      <c r="N26" s="8">
        <f>MAX(IF(N$1*12&lt;=Inputs!$G$88,12,(Inputs!$G$88-M$1*12)),0)*Inputs!$B$90</f>
        <v>0</v>
      </c>
      <c r="O26" s="8">
        <f>MAX(IF(O$1*12&lt;=Inputs!$G$88,12,(Inputs!$G$88-N$1*12)),0)*Inputs!$B$90</f>
        <v>0</v>
      </c>
      <c r="P26" s="8">
        <f>MAX(IF(P$1*12&lt;=Inputs!$G$88,12,(Inputs!$G$88-O$1*12)),0)*Inputs!$B$90</f>
        <v>0</v>
      </c>
      <c r="Q26" s="8">
        <f>MAX(IF(Q$1*12&lt;=Inputs!$G$88,12,(Inputs!$G$88-P$1*12)),0)*Inputs!$B$90</f>
        <v>0</v>
      </c>
      <c r="R26" s="8">
        <f>MAX(IF(R$1*12&lt;=Inputs!$G$88,12,(Inputs!$G$88-Q$1*12)),0)*Inputs!$B$90</f>
        <v>0</v>
      </c>
      <c r="S26" s="8">
        <f>MAX(IF(S$1*12&lt;=Inputs!$G$88,12,(Inputs!$G$88-R$1*12)),0)*Inputs!$B$90</f>
        <v>0</v>
      </c>
      <c r="T26" s="8">
        <f>MAX(IF(T$1*12&lt;=Inputs!$G$88,12,(Inputs!$G$88-S$1*12)),0)*Inputs!$B$90</f>
        <v>0</v>
      </c>
      <c r="U26" s="8">
        <f>MAX(IF(U$1*12&lt;=Inputs!$G$88,12,(Inputs!$G$88-T$1*12)),0)*Inputs!$B$90</f>
        <v>0</v>
      </c>
      <c r="V26" s="8">
        <f>MAX(IF(V$1*12&lt;=Inputs!$G$88,12,(Inputs!$G$88-U$1*12)),0)*Inputs!$B$90</f>
        <v>0</v>
      </c>
      <c r="W26" s="8">
        <f>MAX(IF(W$1*12&lt;=Inputs!$G$88,12,(Inputs!$G$88-V$1*12)),0)*Inputs!$B$90</f>
        <v>0</v>
      </c>
      <c r="X26" s="8">
        <f>MAX(IF(X$1*12&lt;=Inputs!$G$88,12,(Inputs!$G$88-W$1*12)),0)*Inputs!$B$90</f>
        <v>0</v>
      </c>
      <c r="Y26" s="8">
        <f>MAX(IF(Y$1*12&lt;=Inputs!$G$88,12,(Inputs!$G$88-X$1*12)),0)*Inputs!$B$90</f>
        <v>0</v>
      </c>
      <c r="Z26" s="8">
        <f>MAX(IF(Z$1*12&lt;=Inputs!$G$88,12,(Inputs!$G$88-Y$1*12)),0)*Inputs!$B$90</f>
        <v>0</v>
      </c>
      <c r="AA26" s="8">
        <f>MAX(IF(AA$1*12&lt;=Inputs!$G$88,12,(Inputs!$G$88-Z$1*12)),0)*Inputs!$B$90</f>
        <v>0</v>
      </c>
      <c r="AB26" s="8">
        <f>MAX(IF(AB$1*12&lt;=Inputs!$G$88,12,(Inputs!$G$88-AA$1*12)),0)*Inputs!$B$90</f>
        <v>0</v>
      </c>
      <c r="AC26" s="8">
        <f>MAX(IF(AC$1*12&lt;=Inputs!$G$88,12,(Inputs!$G$88-AB$1*12)),0)*Inputs!$B$90</f>
        <v>0</v>
      </c>
      <c r="AD26" s="8">
        <f>MAX(IF(AD$1*12&lt;=Inputs!$G$88,12,(Inputs!$G$88-AC$1*12)),0)*Inputs!$B$90</f>
        <v>0</v>
      </c>
      <c r="AE26" s="8">
        <f>MAX(IF(AE$1*12&lt;=Inputs!$G$88,12,(Inputs!$G$88-AD$1*12)),0)*Inputs!$B$90</f>
        <v>0</v>
      </c>
      <c r="AF26" s="8">
        <f>MAX(IF(AF$1*12&lt;=Inputs!$G$88,12,(Inputs!$G$88-AE$1*12)),0)*Inputs!$B$90</f>
        <v>0</v>
      </c>
      <c r="AG26" s="8">
        <f>MAX(IF(AG$1*12&lt;=Inputs!$G$88,12,(Inputs!$G$88-AF$1*12)),0)*Inputs!$B$90</f>
        <v>0</v>
      </c>
      <c r="AH26" s="8">
        <f>MAX(IF(AH$1*12&lt;=Inputs!$G$88,12,(Inputs!$G$88-AG$1*12)),0)*Inputs!$B$90</f>
        <v>0</v>
      </c>
      <c r="AI26" s="8">
        <f>MAX(IF(AI$1*12&lt;=Inputs!$G$88,12,(Inputs!$G$88-AH$1*12)),0)*Inputs!$B$90</f>
        <v>0</v>
      </c>
      <c r="AJ26" s="8">
        <f>MAX(IF(AJ$1*12&lt;=Inputs!$G$88,12,(Inputs!$G$88-AI$1*12)),0)*Inputs!$B$90</f>
        <v>0</v>
      </c>
      <c r="AK26" s="8">
        <f>MAX(IF(AK$1*12&lt;=Inputs!$G$88,12,(Inputs!$G$88-AJ$1*12)),0)*Inputs!$B$90</f>
        <v>0</v>
      </c>
      <c r="AL26" s="8">
        <f>MAX(IF(AL$1*12&lt;=Inputs!$G$88,12,(Inputs!$G$88-AK$1*12)),0)*Inputs!$B$90</f>
        <v>0</v>
      </c>
      <c r="AM26" s="8">
        <f>MAX(IF(AM$1*12&lt;=Inputs!$G$88,12,(Inputs!$G$88-AL$1*12)),0)*Inputs!$B$90</f>
        <v>0</v>
      </c>
      <c r="AN26" s="8">
        <f>MAX(IF(AN$1*12&lt;=Inputs!$G$88,12,(Inputs!$G$88-AM$1*12)),0)*Inputs!$B$90</f>
        <v>0</v>
      </c>
      <c r="AO26" s="8">
        <f>MAX(IF(AO$1*12&lt;=Inputs!$G$88,12,(Inputs!$G$88-AN$1*12)),0)*Inputs!$B$90</f>
        <v>0</v>
      </c>
      <c r="AP26" s="8">
        <f>MAX(IF(AP$1*12&lt;=Inputs!$G$88,12,(Inputs!$G$88-AO$1*12)),0)*Inputs!$B$90</f>
        <v>0</v>
      </c>
      <c r="AQ26" s="8">
        <f>MAX(IF(AQ$1*12&lt;=Inputs!$G$88,12,(Inputs!$G$88-AP$1*12)),0)*Inputs!$B$90</f>
        <v>0</v>
      </c>
      <c r="AR26" s="8">
        <f>MAX(IF(AR$1*12&lt;=Inputs!$G$88,12,(Inputs!$G$88-AQ$1*12)),0)*Inputs!$B$90</f>
        <v>0</v>
      </c>
      <c r="AS26" s="8">
        <f>MAX(IF(AS$1*12&lt;=Inputs!$G$88,12,(Inputs!$G$88-AR$1*12)),0)*Inputs!$B$90</f>
        <v>0</v>
      </c>
      <c r="AT26" s="8">
        <f>MAX(IF(AT$1*12&lt;=Inputs!$G$88,12,(Inputs!$G$88-AS$1*12)),0)*Inputs!$B$90</f>
        <v>0</v>
      </c>
      <c r="AU26" s="8">
        <f>MAX(IF(AU$1*12&lt;=Inputs!$G$88,12,(Inputs!$G$88-AT$1*12)),0)*Inputs!$B$90</f>
        <v>0</v>
      </c>
      <c r="AV26" s="8">
        <f>MAX(IF(AV$1*12&lt;=Inputs!$G$88,12,(Inputs!$G$88-AU$1*12)),0)*Inputs!$B$90</f>
        <v>0</v>
      </c>
      <c r="AW26" s="8">
        <f>MAX(IF(AW$1*12&lt;=Inputs!$G$88,12,(Inputs!$G$88-AV$1*12)),0)*Inputs!$B$90</f>
        <v>0</v>
      </c>
    </row>
    <row r="27" spans="1:49" x14ac:dyDescent="0.2">
      <c r="A27" s="5" t="s">
        <v>39</v>
      </c>
      <c r="C27" s="8">
        <f>MAX(IF(C$1*12&lt;=Inputs!$G$93,12,(Inputs!$G$93-B$1*12)),0)*Inputs!$B$95</f>
        <v>0</v>
      </c>
      <c r="D27" s="8">
        <f>MAX(IF(D$1*12&lt;=Inputs!$G$93,12,(Inputs!$G$93-C$1*12)),0)*Inputs!$B$95</f>
        <v>0</v>
      </c>
      <c r="E27" s="8">
        <f>MAX(IF(E$1*12&lt;=Inputs!$G$93,12,(Inputs!$G$93-D$1*12)),0)*Inputs!$B$95</f>
        <v>0</v>
      </c>
      <c r="F27" s="8">
        <f>MAX(IF(F$1*12&lt;=Inputs!$G$93,12,(Inputs!$G$93-E$1*12)),0)*Inputs!$B$95</f>
        <v>0</v>
      </c>
      <c r="G27" s="8">
        <f>MAX(IF(G$1*12&lt;=Inputs!$G$93,12,(Inputs!$G$93-F$1*12)),0)*Inputs!$B$95</f>
        <v>0</v>
      </c>
      <c r="H27" s="8">
        <f>MAX(IF(H$1*12&lt;=Inputs!$G$93,12,(Inputs!$G$93-G$1*12)),0)*Inputs!$B$95</f>
        <v>0</v>
      </c>
      <c r="I27" s="8">
        <f>MAX(IF(I$1*12&lt;=Inputs!$G$93,12,(Inputs!$G$93-H$1*12)),0)*Inputs!$B$95</f>
        <v>0</v>
      </c>
      <c r="J27" s="8">
        <f>MAX(IF(J$1*12&lt;=Inputs!$G$93,12,(Inputs!$G$93-I$1*12)),0)*Inputs!$B$95</f>
        <v>0</v>
      </c>
      <c r="K27" s="8">
        <f>MAX(IF(K$1*12&lt;=Inputs!$G$93,12,(Inputs!$G$93-J$1*12)),0)*Inputs!$B$95</f>
        <v>0</v>
      </c>
      <c r="L27" s="8">
        <f>MAX(IF(L$1*12&lt;=Inputs!$G$93,12,(Inputs!$G$93-K$1*12)),0)*Inputs!$B$95</f>
        <v>0</v>
      </c>
      <c r="M27" s="8">
        <f>MAX(IF(M$1*12&lt;=Inputs!$G$93,12,(Inputs!$G$93-L$1*12)),0)*Inputs!$B$95</f>
        <v>0</v>
      </c>
      <c r="N27" s="8">
        <f>MAX(IF(N$1*12&lt;=Inputs!$G$93,12,(Inputs!$G$93-M$1*12)),0)*Inputs!$B$95</f>
        <v>0</v>
      </c>
      <c r="O27" s="8">
        <f>MAX(IF(O$1*12&lt;=Inputs!$G$93,12,(Inputs!$G$93-N$1*12)),0)*Inputs!$B$95</f>
        <v>0</v>
      </c>
      <c r="P27" s="8">
        <f>MAX(IF(P$1*12&lt;=Inputs!$G$93,12,(Inputs!$G$93-O$1*12)),0)*Inputs!$B$95</f>
        <v>0</v>
      </c>
      <c r="Q27" s="8">
        <f>MAX(IF(Q$1*12&lt;=Inputs!$G$93,12,(Inputs!$G$93-P$1*12)),0)*Inputs!$B$95</f>
        <v>0</v>
      </c>
      <c r="R27" s="8">
        <f>MAX(IF(R$1*12&lt;=Inputs!$G$93,12,(Inputs!$G$93-Q$1*12)),0)*Inputs!$B$95</f>
        <v>0</v>
      </c>
      <c r="S27" s="8">
        <f>MAX(IF(S$1*12&lt;=Inputs!$G$93,12,(Inputs!$G$93-R$1*12)),0)*Inputs!$B$95</f>
        <v>0</v>
      </c>
      <c r="T27" s="8">
        <f>MAX(IF(T$1*12&lt;=Inputs!$G$93,12,(Inputs!$G$93-S$1*12)),0)*Inputs!$B$95</f>
        <v>0</v>
      </c>
      <c r="U27" s="8">
        <f>MAX(IF(U$1*12&lt;=Inputs!$G$93,12,(Inputs!$G$93-T$1*12)),0)*Inputs!$B$95</f>
        <v>0</v>
      </c>
      <c r="V27" s="8">
        <f>MAX(IF(V$1*12&lt;=Inputs!$G$93,12,(Inputs!$G$93-U$1*12)),0)*Inputs!$B$95</f>
        <v>0</v>
      </c>
      <c r="W27" s="8">
        <f>MAX(IF(W$1*12&lt;=Inputs!$G$93,12,(Inputs!$G$93-V$1*12)),0)*Inputs!$B$95</f>
        <v>0</v>
      </c>
      <c r="X27" s="8">
        <f>MAX(IF(X$1*12&lt;=Inputs!$G$93,12,(Inputs!$G$93-W$1*12)),0)*Inputs!$B$95</f>
        <v>0</v>
      </c>
      <c r="Y27" s="8">
        <f>MAX(IF(Y$1*12&lt;=Inputs!$G$93,12,(Inputs!$G$93-X$1*12)),0)*Inputs!$B$95</f>
        <v>0</v>
      </c>
      <c r="Z27" s="8">
        <f>MAX(IF(Z$1*12&lt;=Inputs!$G$93,12,(Inputs!$G$93-Y$1*12)),0)*Inputs!$B$95</f>
        <v>0</v>
      </c>
      <c r="AA27" s="8">
        <f>MAX(IF(AA$1*12&lt;=Inputs!$G$93,12,(Inputs!$G$93-Z$1*12)),0)*Inputs!$B$95</f>
        <v>0</v>
      </c>
      <c r="AB27" s="8">
        <f>MAX(IF(AB$1*12&lt;=Inputs!$G$93,12,(Inputs!$G$93-AA$1*12)),0)*Inputs!$B$95</f>
        <v>0</v>
      </c>
      <c r="AC27" s="8">
        <f>MAX(IF(AC$1*12&lt;=Inputs!$G$93,12,(Inputs!$G$93-AB$1*12)),0)*Inputs!$B$95</f>
        <v>0</v>
      </c>
      <c r="AD27" s="8">
        <f>MAX(IF(AD$1*12&lt;=Inputs!$G$93,12,(Inputs!$G$93-AC$1*12)),0)*Inputs!$B$95</f>
        <v>0</v>
      </c>
      <c r="AE27" s="8">
        <f>MAX(IF(AE$1*12&lt;=Inputs!$G$93,12,(Inputs!$G$93-AD$1*12)),0)*Inputs!$B$95</f>
        <v>0</v>
      </c>
      <c r="AF27" s="8">
        <f>MAX(IF(AF$1*12&lt;=Inputs!$G$93,12,(Inputs!$G$93-AE$1*12)),0)*Inputs!$B$95</f>
        <v>0</v>
      </c>
      <c r="AG27" s="8">
        <f>MAX(IF(AG$1*12&lt;=Inputs!$G$93,12,(Inputs!$G$93-AF$1*12)),0)*Inputs!$B$95</f>
        <v>0</v>
      </c>
      <c r="AH27" s="8">
        <f>MAX(IF(AH$1*12&lt;=Inputs!$G$93,12,(Inputs!$G$93-AG$1*12)),0)*Inputs!$B$95</f>
        <v>0</v>
      </c>
      <c r="AI27" s="8">
        <f>MAX(IF(AI$1*12&lt;=Inputs!$G$93,12,(Inputs!$G$93-AH$1*12)),0)*Inputs!$B$95</f>
        <v>0</v>
      </c>
      <c r="AJ27" s="8">
        <f>MAX(IF(AJ$1*12&lt;=Inputs!$G$93,12,(Inputs!$G$93-AI$1*12)),0)*Inputs!$B$95</f>
        <v>0</v>
      </c>
      <c r="AK27" s="8">
        <f>MAX(IF(AK$1*12&lt;=Inputs!$G$93,12,(Inputs!$G$93-AJ$1*12)),0)*Inputs!$B$95</f>
        <v>0</v>
      </c>
      <c r="AL27" s="8">
        <f>MAX(IF(AL$1*12&lt;=Inputs!$G$93,12,(Inputs!$G$93-AK$1*12)),0)*Inputs!$B$95</f>
        <v>0</v>
      </c>
      <c r="AM27" s="8">
        <f>MAX(IF(AM$1*12&lt;=Inputs!$G$93,12,(Inputs!$G$93-AL$1*12)),0)*Inputs!$B$95</f>
        <v>0</v>
      </c>
      <c r="AN27" s="8">
        <f>MAX(IF(AN$1*12&lt;=Inputs!$G$93,12,(Inputs!$G$93-AM$1*12)),0)*Inputs!$B$95</f>
        <v>0</v>
      </c>
      <c r="AO27" s="8">
        <f>MAX(IF(AO$1*12&lt;=Inputs!$G$93,12,(Inputs!$G$93-AN$1*12)),0)*Inputs!$B$95</f>
        <v>0</v>
      </c>
      <c r="AP27" s="8">
        <f>MAX(IF(AP$1*12&lt;=Inputs!$G$93,12,(Inputs!$G$93-AO$1*12)),0)*Inputs!$B$95</f>
        <v>0</v>
      </c>
      <c r="AQ27" s="8">
        <f>MAX(IF(AQ$1*12&lt;=Inputs!$G$93,12,(Inputs!$G$93-AP$1*12)),0)*Inputs!$B$95</f>
        <v>0</v>
      </c>
      <c r="AR27" s="8">
        <f>MAX(IF(AR$1*12&lt;=Inputs!$G$93,12,(Inputs!$G$93-AQ$1*12)),0)*Inputs!$B$95</f>
        <v>0</v>
      </c>
      <c r="AS27" s="8">
        <f>MAX(IF(AS$1*12&lt;=Inputs!$G$93,12,(Inputs!$G$93-AR$1*12)),0)*Inputs!$B$95</f>
        <v>0</v>
      </c>
      <c r="AT27" s="8">
        <f>MAX(IF(AT$1*12&lt;=Inputs!$G$93,12,(Inputs!$G$93-AS$1*12)),0)*Inputs!$B$95</f>
        <v>0</v>
      </c>
      <c r="AU27" s="8">
        <f>MAX(IF(AU$1*12&lt;=Inputs!$G$93,12,(Inputs!$G$93-AT$1*12)),0)*Inputs!$B$95</f>
        <v>0</v>
      </c>
      <c r="AV27" s="8">
        <f>MAX(IF(AV$1*12&lt;=Inputs!$G$93,12,(Inputs!$G$93-AU$1*12)),0)*Inputs!$B$95</f>
        <v>0</v>
      </c>
      <c r="AW27" s="8">
        <f>MAX(IF(AW$1*12&lt;=Inputs!$G$93,12,(Inputs!$G$93-AV$1*12)),0)*Inputs!$B$95</f>
        <v>0</v>
      </c>
    </row>
    <row r="28" spans="1:49" x14ac:dyDescent="0.2">
      <c r="A28" s="5" t="s">
        <v>58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">
      <c r="A29" s="4" t="str">
        <f>TEXT(Inputs!B33,"")</f>
        <v/>
      </c>
      <c r="B29" s="9"/>
      <c r="C29" s="8">
        <f>IF(Inputs!$B$35&gt;=C$1,Inputs!$B$34,0)*(1+inf)^B$1</f>
        <v>0</v>
      </c>
      <c r="D29" s="8">
        <f>IF(Inputs!$B$35&gt;=D$1,Inputs!$B$34,0)*(1+inf)^C$1</f>
        <v>0</v>
      </c>
      <c r="E29" s="8">
        <f>IF(Inputs!$B$35&gt;=E$1,Inputs!$B$34,0)*(1+inf)^D$1</f>
        <v>0</v>
      </c>
      <c r="F29" s="8">
        <f>IF(Inputs!$B$35&gt;=F$1,Inputs!$B$34,0)*(1+inf)^E$1</f>
        <v>0</v>
      </c>
      <c r="G29" s="8">
        <f>IF(Inputs!$B$35&gt;=G$1,Inputs!$B$34,0)*(1+inf)^F$1</f>
        <v>0</v>
      </c>
      <c r="H29" s="8">
        <f>IF(Inputs!$B$35&gt;=H$1,Inputs!$B$34,0)*(1+inf)^G$1</f>
        <v>0</v>
      </c>
      <c r="I29" s="8">
        <f>IF(Inputs!$B$35&gt;=I$1,Inputs!$B$34,0)*(1+inf)^H$1</f>
        <v>0</v>
      </c>
      <c r="J29" s="8">
        <f>IF(Inputs!$B$35&gt;=J$1,Inputs!$B$34,0)*(1+inf)^I$1</f>
        <v>0</v>
      </c>
      <c r="K29" s="8">
        <f>IF(Inputs!$B$35&gt;=K$1,Inputs!$B$34,0)*(1+inf)^J$1</f>
        <v>0</v>
      </c>
      <c r="L29" s="8">
        <f>IF(Inputs!$B$35&gt;=L$1,Inputs!$B$34,0)*(1+inf)^K$1</f>
        <v>0</v>
      </c>
      <c r="M29" s="8">
        <f>IF(Inputs!$B$35&gt;=M$1,Inputs!$B$34,0)*(1+inf)^L$1</f>
        <v>0</v>
      </c>
      <c r="N29" s="8">
        <f>IF(Inputs!$B$35&gt;=N$1,Inputs!$B$34,0)*(1+inf)^M$1</f>
        <v>0</v>
      </c>
      <c r="O29" s="8">
        <f>IF(Inputs!$B$35&gt;=O$1,Inputs!$B$34,0)*(1+inf)^N$1</f>
        <v>0</v>
      </c>
      <c r="P29" s="8">
        <f>IF(Inputs!$B$35&gt;=P$1,Inputs!$B$34,0)*(1+inf)^O$1</f>
        <v>0</v>
      </c>
      <c r="Q29" s="8">
        <f>IF(Inputs!$B$35&gt;=Q$1,Inputs!$B$34,0)*(1+inf)^P$1</f>
        <v>0</v>
      </c>
      <c r="R29" s="8">
        <f>IF(Inputs!$B$35&gt;=R$1,Inputs!$B$34,0)*(1+inf)^Q$1</f>
        <v>0</v>
      </c>
      <c r="S29" s="8">
        <f>IF(Inputs!$B$35&gt;=S$1,Inputs!$B$34,0)*(1+inf)^R$1</f>
        <v>0</v>
      </c>
      <c r="T29" s="8">
        <f>IF(Inputs!$B$35&gt;=T$1,Inputs!$B$34,0)*(1+inf)^S$1</f>
        <v>0</v>
      </c>
      <c r="U29" s="8">
        <f>IF(Inputs!$B$35&gt;=U$1,Inputs!$B$34,0)*(1+inf)^T$1</f>
        <v>0</v>
      </c>
      <c r="V29" s="8">
        <f>IF(Inputs!$B$35&gt;=V$1,Inputs!$B$34,0)*(1+inf)^U$1</f>
        <v>0</v>
      </c>
      <c r="W29" s="8">
        <f>IF(Inputs!$B$35&gt;=W$1,Inputs!$B$34,0)*(1+inf)^V$1</f>
        <v>0</v>
      </c>
      <c r="X29" s="8">
        <f>IF(Inputs!$B$35&gt;=X$1,Inputs!$B$34,0)*(1+inf)^W$1</f>
        <v>0</v>
      </c>
      <c r="Y29" s="8">
        <f>IF(Inputs!$B$35&gt;=Y$1,Inputs!$B$34,0)*(1+inf)^X$1</f>
        <v>0</v>
      </c>
      <c r="Z29" s="8">
        <f>IF(Inputs!$B$35&gt;=Z$1,Inputs!$B$34,0)*(1+inf)^Y$1</f>
        <v>0</v>
      </c>
      <c r="AA29" s="8">
        <f>IF(Inputs!$B$35&gt;=AA$1,Inputs!$B$34,0)*(1+inf)^Z$1</f>
        <v>0</v>
      </c>
      <c r="AB29" s="8">
        <f>IF(Inputs!$B$35&gt;=AB$1,Inputs!$B$34,0)*(1+inf)^AA$1</f>
        <v>0</v>
      </c>
      <c r="AC29" s="8">
        <f>IF(Inputs!$B$35&gt;=AC$1,Inputs!$B$34,0)*(1+inf)^AB$1</f>
        <v>0</v>
      </c>
      <c r="AD29" s="8">
        <f>IF(Inputs!$B$35&gt;=AD$1,Inputs!$B$34,0)*(1+inf)^AC$1</f>
        <v>0</v>
      </c>
      <c r="AE29" s="8">
        <f>IF(Inputs!$B$35&gt;=AE$1,Inputs!$B$34,0)*(1+inf)^AD$1</f>
        <v>0</v>
      </c>
      <c r="AF29" s="8">
        <f>IF(Inputs!$B$35&gt;=AF$1,Inputs!$B$34,0)*(1+inf)^AE$1</f>
        <v>0</v>
      </c>
      <c r="AG29" s="8">
        <f>IF(Inputs!$B$35&gt;=AG$1,Inputs!$B$34,0)*(1+inf)^AF$1</f>
        <v>0</v>
      </c>
      <c r="AH29" s="8">
        <f>IF(Inputs!$B$35&gt;=AH$1,Inputs!$B$34,0)*(1+inf)^AG$1</f>
        <v>0</v>
      </c>
      <c r="AI29" s="8">
        <f>IF(Inputs!$B$35&gt;=AI$1,Inputs!$B$34,0)*(1+inf)^AH$1</f>
        <v>0</v>
      </c>
      <c r="AJ29" s="8">
        <f>IF(Inputs!$B$35&gt;=AJ$1,Inputs!$B$34,0)*(1+inf)^AI$1</f>
        <v>0</v>
      </c>
      <c r="AK29" s="8">
        <f>IF(Inputs!$B$35&gt;=AK$1,Inputs!$B$34,0)*(1+inf)^AJ$1</f>
        <v>0</v>
      </c>
      <c r="AL29" s="8">
        <f>IF(Inputs!$B$35&gt;=AL$1,Inputs!$B$34,0)*(1+inf)^AK$1</f>
        <v>0</v>
      </c>
      <c r="AM29" s="8">
        <f>IF(Inputs!$B$35&gt;=AM$1,Inputs!$B$34,0)*(1+inf)^AL$1</f>
        <v>0</v>
      </c>
      <c r="AN29" s="8">
        <f>IF(Inputs!$B$35&gt;=AN$1,Inputs!$B$34,0)*(1+inf)^AM$1</f>
        <v>0</v>
      </c>
      <c r="AO29" s="8">
        <f>IF(Inputs!$B$35&gt;=AO$1,Inputs!$B$34,0)*(1+inf)^AN$1</f>
        <v>0</v>
      </c>
      <c r="AP29" s="8">
        <f>IF(Inputs!$B$35&gt;=AP$1,Inputs!$B$34,0)*(1+inf)^AO$1</f>
        <v>0</v>
      </c>
      <c r="AQ29" s="8">
        <f>IF(Inputs!$B$35&gt;=AQ$1,Inputs!$B$34,0)*(1+inf)^AP$1</f>
        <v>0</v>
      </c>
      <c r="AR29" s="8">
        <f>IF(Inputs!$B$35&gt;=AR$1,Inputs!$B$34,0)*(1+inf)^AQ$1</f>
        <v>0</v>
      </c>
      <c r="AS29" s="8">
        <f>IF(Inputs!$B$35&gt;=AS$1,Inputs!$B$34,0)*(1+inf)^AR$1</f>
        <v>0</v>
      </c>
      <c r="AT29" s="8">
        <f>IF(Inputs!$B$35&gt;=AT$1,Inputs!$B$34,0)*(1+inf)^AS$1</f>
        <v>0</v>
      </c>
      <c r="AU29" s="8">
        <f>IF(Inputs!$B$35&gt;=AU$1,Inputs!$B$34,0)*(1+inf)^AT$1</f>
        <v>0</v>
      </c>
      <c r="AV29" s="8">
        <f>IF(Inputs!$B$35&gt;=AV$1,Inputs!$B$34,0)*(1+inf)^AU$1</f>
        <v>0</v>
      </c>
      <c r="AW29" s="8">
        <f>IF(Inputs!$B$35&gt;=AW$1,Inputs!$B$34,0)*(1+inf)^AV$1</f>
        <v>0</v>
      </c>
    </row>
    <row r="30" spans="1:49" x14ac:dyDescent="0.2">
      <c r="A30" s="4" t="str">
        <f>TEXT(Inputs!B38,"")</f>
        <v/>
      </c>
      <c r="B30" s="9"/>
      <c r="C30" s="8">
        <f>IF(Inputs!$B$40&gt;=C$1,Inputs!$B$39,0)*(1+inf)^B$1</f>
        <v>0</v>
      </c>
      <c r="D30" s="8">
        <f>IF(Inputs!$B$40&gt;=D$1,Inputs!$B$39,0)*(1+inf)^C$1</f>
        <v>0</v>
      </c>
      <c r="E30" s="8">
        <f>IF(Inputs!$B$40&gt;=E$1,Inputs!$B$39,0)*(1+inf)^D$1</f>
        <v>0</v>
      </c>
      <c r="F30" s="8">
        <f>IF(Inputs!$B$40&gt;=F$1,Inputs!$B$39,0)*(1+inf)^E$1</f>
        <v>0</v>
      </c>
      <c r="G30" s="8">
        <f>IF(Inputs!$B$40&gt;=G$1,Inputs!$B$39,0)*(1+inf)^F$1</f>
        <v>0</v>
      </c>
      <c r="H30" s="8">
        <f>IF(Inputs!$B$40&gt;=H$1,Inputs!$B$39,0)*(1+inf)^G$1</f>
        <v>0</v>
      </c>
      <c r="I30" s="8">
        <f>IF(Inputs!$B$40&gt;=I$1,Inputs!$B$39,0)*(1+inf)^H$1</f>
        <v>0</v>
      </c>
      <c r="J30" s="8">
        <f>IF(Inputs!$B$40&gt;=J$1,Inputs!$B$39,0)*(1+inf)^I$1</f>
        <v>0</v>
      </c>
      <c r="K30" s="8">
        <f>IF(Inputs!$B$40&gt;=K$1,Inputs!$B$39,0)*(1+inf)^J$1</f>
        <v>0</v>
      </c>
      <c r="L30" s="8">
        <f>IF(Inputs!$B$40&gt;=L$1,Inputs!$B$39,0)*(1+inf)^K$1</f>
        <v>0</v>
      </c>
      <c r="M30" s="8">
        <f>IF(Inputs!$B$40&gt;=M$1,Inputs!$B$39,0)*(1+inf)^L$1</f>
        <v>0</v>
      </c>
      <c r="N30" s="8">
        <f>IF(Inputs!$B$40&gt;=N$1,Inputs!$B$39,0)*(1+inf)^M$1</f>
        <v>0</v>
      </c>
      <c r="O30" s="8">
        <f>IF(Inputs!$B$40&gt;=O$1,Inputs!$B$39,0)*(1+inf)^N$1</f>
        <v>0</v>
      </c>
      <c r="P30" s="8">
        <f>IF(Inputs!$B$40&gt;=P$1,Inputs!$B$39,0)*(1+inf)^O$1</f>
        <v>0</v>
      </c>
      <c r="Q30" s="8">
        <f>IF(Inputs!$B$40&gt;=Q$1,Inputs!$B$39,0)*(1+inf)^P$1</f>
        <v>0</v>
      </c>
      <c r="R30" s="8">
        <f>IF(Inputs!$B$40&gt;=R$1,Inputs!$B$39,0)*(1+inf)^Q$1</f>
        <v>0</v>
      </c>
      <c r="S30" s="8">
        <f>IF(Inputs!$B$40&gt;=S$1,Inputs!$B$39,0)*(1+inf)^R$1</f>
        <v>0</v>
      </c>
      <c r="T30" s="8">
        <f>IF(Inputs!$B$40&gt;=T$1,Inputs!$B$39,0)*(1+inf)^S$1</f>
        <v>0</v>
      </c>
      <c r="U30" s="8">
        <f>IF(Inputs!$B$40&gt;=U$1,Inputs!$B$39,0)*(1+inf)^T$1</f>
        <v>0</v>
      </c>
      <c r="V30" s="8">
        <f>IF(Inputs!$B$40&gt;=V$1,Inputs!$B$39,0)*(1+inf)^U$1</f>
        <v>0</v>
      </c>
      <c r="W30" s="8">
        <f>IF(Inputs!$B$40&gt;=W$1,Inputs!$B$39,0)*(1+inf)^V$1</f>
        <v>0</v>
      </c>
      <c r="X30" s="8">
        <f>IF(Inputs!$B$40&gt;=X$1,Inputs!$B$39,0)*(1+inf)^W$1</f>
        <v>0</v>
      </c>
      <c r="Y30" s="8">
        <f>IF(Inputs!$B$40&gt;=Y$1,Inputs!$B$39,0)*(1+inf)^X$1</f>
        <v>0</v>
      </c>
      <c r="Z30" s="8">
        <f>IF(Inputs!$B$40&gt;=Z$1,Inputs!$B$39,0)*(1+inf)^Y$1</f>
        <v>0</v>
      </c>
      <c r="AA30" s="8">
        <f>IF(Inputs!$B$40&gt;=AA$1,Inputs!$B$39,0)*(1+inf)^Z$1</f>
        <v>0</v>
      </c>
      <c r="AB30" s="8">
        <f>IF(Inputs!$B$40&gt;=AB$1,Inputs!$B$39,0)*(1+inf)^AA$1</f>
        <v>0</v>
      </c>
      <c r="AC30" s="8">
        <f>IF(Inputs!$B$40&gt;=AC$1,Inputs!$B$39,0)*(1+inf)^AB$1</f>
        <v>0</v>
      </c>
      <c r="AD30" s="8">
        <f>IF(Inputs!$B$40&gt;=AD$1,Inputs!$B$39,0)*(1+inf)^AC$1</f>
        <v>0</v>
      </c>
      <c r="AE30" s="8">
        <f>IF(Inputs!$B$40&gt;=AE$1,Inputs!$B$39,0)*(1+inf)^AD$1</f>
        <v>0</v>
      </c>
      <c r="AF30" s="8">
        <f>IF(Inputs!$B$40&gt;=AF$1,Inputs!$B$39,0)*(1+inf)^AE$1</f>
        <v>0</v>
      </c>
      <c r="AG30" s="8">
        <f>IF(Inputs!$B$40&gt;=AG$1,Inputs!$B$39,0)*(1+inf)^AF$1</f>
        <v>0</v>
      </c>
      <c r="AH30" s="8">
        <f>IF(Inputs!$B$40&gt;=AH$1,Inputs!$B$39,0)*(1+inf)^AG$1</f>
        <v>0</v>
      </c>
      <c r="AI30" s="8">
        <f>IF(Inputs!$B$40&gt;=AI$1,Inputs!$B$39,0)*(1+inf)^AH$1</f>
        <v>0</v>
      </c>
      <c r="AJ30" s="8">
        <f>IF(Inputs!$B$40&gt;=AJ$1,Inputs!$B$39,0)*(1+inf)^AI$1</f>
        <v>0</v>
      </c>
      <c r="AK30" s="8">
        <f>IF(Inputs!$B$40&gt;=AK$1,Inputs!$B$39,0)*(1+inf)^AJ$1</f>
        <v>0</v>
      </c>
      <c r="AL30" s="8">
        <f>IF(Inputs!$B$40&gt;=AL$1,Inputs!$B$39,0)*(1+inf)^AK$1</f>
        <v>0</v>
      </c>
      <c r="AM30" s="8">
        <f>IF(Inputs!$B$40&gt;=AM$1,Inputs!$B$39,0)*(1+inf)^AL$1</f>
        <v>0</v>
      </c>
      <c r="AN30" s="8">
        <f>IF(Inputs!$B$40&gt;=AN$1,Inputs!$B$39,0)*(1+inf)^AM$1</f>
        <v>0</v>
      </c>
      <c r="AO30" s="8">
        <f>IF(Inputs!$B$40&gt;=AO$1,Inputs!$B$39,0)*(1+inf)^AN$1</f>
        <v>0</v>
      </c>
      <c r="AP30" s="8">
        <f>IF(Inputs!$B$40&gt;=AP$1,Inputs!$B$39,0)*(1+inf)^AO$1</f>
        <v>0</v>
      </c>
      <c r="AQ30" s="8">
        <f>IF(Inputs!$B$40&gt;=AQ$1,Inputs!$B$39,0)*(1+inf)^AP$1</f>
        <v>0</v>
      </c>
      <c r="AR30" s="8">
        <f>IF(Inputs!$B$40&gt;=AR$1,Inputs!$B$39,0)*(1+inf)^AQ$1</f>
        <v>0</v>
      </c>
      <c r="AS30" s="8">
        <f>IF(Inputs!$B$40&gt;=AS$1,Inputs!$B$39,0)*(1+inf)^AR$1</f>
        <v>0</v>
      </c>
      <c r="AT30" s="8">
        <f>IF(Inputs!$B$40&gt;=AT$1,Inputs!$B$39,0)*(1+inf)^AS$1</f>
        <v>0</v>
      </c>
      <c r="AU30" s="8">
        <f>IF(Inputs!$B$40&gt;=AU$1,Inputs!$B$39,0)*(1+inf)^AT$1</f>
        <v>0</v>
      </c>
      <c r="AV30" s="8">
        <f>IF(Inputs!$B$40&gt;=AV$1,Inputs!$B$39,0)*(1+inf)^AU$1</f>
        <v>0</v>
      </c>
      <c r="AW30" s="8">
        <f>IF(Inputs!$B$40&gt;=AW$1,Inputs!$B$39,0)*(1+inf)^AV$1</f>
        <v>0</v>
      </c>
    </row>
    <row r="31" spans="1:49" x14ac:dyDescent="0.2">
      <c r="A31" s="4" t="str">
        <f>TEXT(Inputs!B43,"")</f>
        <v/>
      </c>
      <c r="B31" s="9"/>
      <c r="C31" s="8">
        <f>IF(Inputs!$B$45&gt;=C$1,Inputs!$B$44,0)*(1+inf)^B$1</f>
        <v>0</v>
      </c>
      <c r="D31" s="8">
        <f>IF(Inputs!$B$45&gt;=D$1,Inputs!$B$44,0)*(1+inf)^C$1</f>
        <v>0</v>
      </c>
      <c r="E31" s="8">
        <f>IF(Inputs!$B$45&gt;=E$1,Inputs!$B$44,0)*(1+inf)^D$1</f>
        <v>0</v>
      </c>
      <c r="F31" s="8">
        <f>IF(Inputs!$B$45&gt;=F$1,Inputs!$B$44,0)*(1+inf)^E$1</f>
        <v>0</v>
      </c>
      <c r="G31" s="8">
        <f>IF(Inputs!$B$45&gt;=G$1,Inputs!$B$44,0)*(1+inf)^F$1</f>
        <v>0</v>
      </c>
      <c r="H31" s="8">
        <f>IF(Inputs!$B$45&gt;=H$1,Inputs!$B$44,0)*(1+inf)^G$1</f>
        <v>0</v>
      </c>
      <c r="I31" s="8">
        <f>IF(Inputs!$B$45&gt;=I$1,Inputs!$B$44,0)*(1+inf)^H$1</f>
        <v>0</v>
      </c>
      <c r="J31" s="8">
        <f>IF(Inputs!$B$45&gt;=J$1,Inputs!$B$44,0)*(1+inf)^I$1</f>
        <v>0</v>
      </c>
      <c r="K31" s="8">
        <f>IF(Inputs!$B$45&gt;=K$1,Inputs!$B$44,0)*(1+inf)^J$1</f>
        <v>0</v>
      </c>
      <c r="L31" s="8">
        <f>IF(Inputs!$B$45&gt;=L$1,Inputs!$B$44,0)*(1+inf)^K$1</f>
        <v>0</v>
      </c>
      <c r="M31" s="8">
        <f>IF(Inputs!$B$45&gt;=M$1,Inputs!$B$44,0)*(1+inf)^L$1</f>
        <v>0</v>
      </c>
      <c r="N31" s="8">
        <f>IF(Inputs!$B$45&gt;=N$1,Inputs!$B$44,0)*(1+inf)^M$1</f>
        <v>0</v>
      </c>
      <c r="O31" s="8">
        <f>IF(Inputs!$B$45&gt;=O$1,Inputs!$B$44,0)*(1+inf)^N$1</f>
        <v>0</v>
      </c>
      <c r="P31" s="8">
        <f>IF(Inputs!$B$45&gt;=P$1,Inputs!$B$44,0)*(1+inf)^O$1</f>
        <v>0</v>
      </c>
      <c r="Q31" s="8">
        <f>IF(Inputs!$B$45&gt;=Q$1,Inputs!$B$44,0)*(1+inf)^P$1</f>
        <v>0</v>
      </c>
      <c r="R31" s="8">
        <f>IF(Inputs!$B$45&gt;=R$1,Inputs!$B$44,0)*(1+inf)^Q$1</f>
        <v>0</v>
      </c>
      <c r="S31" s="8">
        <f>IF(Inputs!$B$45&gt;=S$1,Inputs!$B$44,0)*(1+inf)^R$1</f>
        <v>0</v>
      </c>
      <c r="T31" s="8">
        <f>IF(Inputs!$B$45&gt;=T$1,Inputs!$B$44,0)*(1+inf)^S$1</f>
        <v>0</v>
      </c>
      <c r="U31" s="8">
        <f>IF(Inputs!$B$45&gt;=U$1,Inputs!$B$44,0)*(1+inf)^T$1</f>
        <v>0</v>
      </c>
      <c r="V31" s="8">
        <f>IF(Inputs!$B$45&gt;=V$1,Inputs!$B$44,0)*(1+inf)^U$1</f>
        <v>0</v>
      </c>
      <c r="W31" s="8">
        <f>IF(Inputs!$B$45&gt;=W$1,Inputs!$B$44,0)*(1+inf)^V$1</f>
        <v>0</v>
      </c>
      <c r="X31" s="8">
        <f>IF(Inputs!$B$45&gt;=X$1,Inputs!$B$44,0)*(1+inf)^W$1</f>
        <v>0</v>
      </c>
      <c r="Y31" s="8">
        <f>IF(Inputs!$B$45&gt;=Y$1,Inputs!$B$44,0)*(1+inf)^X$1</f>
        <v>0</v>
      </c>
      <c r="Z31" s="8">
        <f>IF(Inputs!$B$45&gt;=Z$1,Inputs!$B$44,0)*(1+inf)^Y$1</f>
        <v>0</v>
      </c>
      <c r="AA31" s="8">
        <f>IF(Inputs!$B$45&gt;=AA$1,Inputs!$B$44,0)*(1+inf)^Z$1</f>
        <v>0</v>
      </c>
      <c r="AB31" s="8">
        <f>IF(Inputs!$B$45&gt;=AB$1,Inputs!$B$44,0)*(1+inf)^AA$1</f>
        <v>0</v>
      </c>
      <c r="AC31" s="8">
        <f>IF(Inputs!$B$45&gt;=AC$1,Inputs!$B$44,0)*(1+inf)^AB$1</f>
        <v>0</v>
      </c>
      <c r="AD31" s="8">
        <f>IF(Inputs!$B$45&gt;=AD$1,Inputs!$B$44,0)*(1+inf)^AC$1</f>
        <v>0</v>
      </c>
      <c r="AE31" s="8">
        <f>IF(Inputs!$B$45&gt;=AE$1,Inputs!$B$44,0)*(1+inf)^AD$1</f>
        <v>0</v>
      </c>
      <c r="AF31" s="8">
        <f>IF(Inputs!$B$45&gt;=AF$1,Inputs!$B$44,0)*(1+inf)^AE$1</f>
        <v>0</v>
      </c>
      <c r="AG31" s="8">
        <f>IF(Inputs!$B$45&gt;=AG$1,Inputs!$B$44,0)*(1+inf)^AF$1</f>
        <v>0</v>
      </c>
      <c r="AH31" s="8">
        <f>IF(Inputs!$B$45&gt;=AH$1,Inputs!$B$44,0)*(1+inf)^AG$1</f>
        <v>0</v>
      </c>
      <c r="AI31" s="8">
        <f>IF(Inputs!$B$45&gt;=AI$1,Inputs!$B$44,0)*(1+inf)^AH$1</f>
        <v>0</v>
      </c>
      <c r="AJ31" s="8">
        <f>IF(Inputs!$B$45&gt;=AJ$1,Inputs!$B$44,0)*(1+inf)^AI$1</f>
        <v>0</v>
      </c>
      <c r="AK31" s="8">
        <f>IF(Inputs!$B$45&gt;=AK$1,Inputs!$B$44,0)*(1+inf)^AJ$1</f>
        <v>0</v>
      </c>
      <c r="AL31" s="8">
        <f>IF(Inputs!$B$45&gt;=AL$1,Inputs!$B$44,0)*(1+inf)^AK$1</f>
        <v>0</v>
      </c>
      <c r="AM31" s="8">
        <f>IF(Inputs!$B$45&gt;=AM$1,Inputs!$B$44,0)*(1+inf)^AL$1</f>
        <v>0</v>
      </c>
      <c r="AN31" s="8">
        <f>IF(Inputs!$B$45&gt;=AN$1,Inputs!$B$44,0)*(1+inf)^AM$1</f>
        <v>0</v>
      </c>
      <c r="AO31" s="8">
        <f>IF(Inputs!$B$45&gt;=AO$1,Inputs!$B$44,0)*(1+inf)^AN$1</f>
        <v>0</v>
      </c>
      <c r="AP31" s="8">
        <f>IF(Inputs!$B$45&gt;=AP$1,Inputs!$B$44,0)*(1+inf)^AO$1</f>
        <v>0</v>
      </c>
      <c r="AQ31" s="8">
        <f>IF(Inputs!$B$45&gt;=AQ$1,Inputs!$B$44,0)*(1+inf)^AP$1</f>
        <v>0</v>
      </c>
      <c r="AR31" s="8">
        <f>IF(Inputs!$B$45&gt;=AR$1,Inputs!$B$44,0)*(1+inf)^AQ$1</f>
        <v>0</v>
      </c>
      <c r="AS31" s="8">
        <f>IF(Inputs!$B$45&gt;=AS$1,Inputs!$B$44,0)*(1+inf)^AR$1</f>
        <v>0</v>
      </c>
      <c r="AT31" s="8">
        <f>IF(Inputs!$B$45&gt;=AT$1,Inputs!$B$44,0)*(1+inf)^AS$1</f>
        <v>0</v>
      </c>
      <c r="AU31" s="8">
        <f>IF(Inputs!$B$45&gt;=AU$1,Inputs!$B$44,0)*(1+inf)^AT$1</f>
        <v>0</v>
      </c>
      <c r="AV31" s="8">
        <f>IF(Inputs!$B$45&gt;=AV$1,Inputs!$B$44,0)*(1+inf)^AU$1</f>
        <v>0</v>
      </c>
      <c r="AW31" s="8">
        <f>IF(Inputs!$B$45&gt;=AW$1,Inputs!$B$44,0)*(1+inf)^AV$1</f>
        <v>0</v>
      </c>
    </row>
    <row r="32" spans="1:49" x14ac:dyDescent="0.2">
      <c r="A32" s="5" t="s">
        <v>5</v>
      </c>
      <c r="B32" s="9"/>
      <c r="C32" s="8">
        <f>Inputs!$B$23*(1+inf)^B$1</f>
        <v>0</v>
      </c>
      <c r="D32" s="8">
        <f>Inputs!$B$23*(1+inf)^C$1</f>
        <v>0</v>
      </c>
      <c r="E32" s="8">
        <f>Inputs!$B$23*(1+inf)^D$1</f>
        <v>0</v>
      </c>
      <c r="F32" s="8">
        <f>Inputs!$B$23*(1+inf)^E$1</f>
        <v>0</v>
      </c>
      <c r="G32" s="8">
        <f>Inputs!$B$23*(1+inf)^F$1</f>
        <v>0</v>
      </c>
      <c r="H32" s="8">
        <f>Inputs!$B$23*(1+inf)^G$1</f>
        <v>0</v>
      </c>
      <c r="I32" s="8">
        <f>Inputs!$B$23*(1+inf)^H$1</f>
        <v>0</v>
      </c>
      <c r="J32" s="8">
        <f>Inputs!$B$23*(1+inf)^I$1</f>
        <v>0</v>
      </c>
      <c r="K32" s="8">
        <f>Inputs!$B$23*(1+inf)^J$1</f>
        <v>0</v>
      </c>
      <c r="L32" s="8">
        <f>Inputs!$B$23*(1+inf)^K$1</f>
        <v>0</v>
      </c>
      <c r="M32" s="8">
        <f>Inputs!$B$23*(1+inf)^L$1</f>
        <v>0</v>
      </c>
      <c r="N32" s="8">
        <f>Inputs!$B$23*(1+inf)^M$1</f>
        <v>0</v>
      </c>
      <c r="O32" s="8">
        <f>Inputs!$B$23*(1+inf)^N$1</f>
        <v>0</v>
      </c>
      <c r="P32" s="8">
        <f>Inputs!$B$23*(1+inf)^O$1</f>
        <v>0</v>
      </c>
      <c r="Q32" s="8">
        <f>Inputs!$B$23*(1+inf)^P$1</f>
        <v>0</v>
      </c>
      <c r="R32" s="8">
        <f>Inputs!$B$23*(1+inf)^Q$1</f>
        <v>0</v>
      </c>
      <c r="S32" s="8">
        <f>Inputs!$B$23*(1+inf)^R$1</f>
        <v>0</v>
      </c>
      <c r="T32" s="8">
        <f>Inputs!$B$23*(1+inf)^S$1</f>
        <v>0</v>
      </c>
      <c r="U32" s="8">
        <f>Inputs!$B$23*(1+inf)^T$1</f>
        <v>0</v>
      </c>
      <c r="V32" s="8">
        <f>Inputs!$B$23*(1+inf)^U$1</f>
        <v>0</v>
      </c>
      <c r="W32" s="8">
        <f>Inputs!$B$23*(1+inf)^V$1</f>
        <v>0</v>
      </c>
      <c r="X32" s="8">
        <f>Inputs!$B$23*(1+inf)^W$1</f>
        <v>0</v>
      </c>
      <c r="Y32" s="8">
        <f>Inputs!$B$23*(1+inf)^X$1</f>
        <v>0</v>
      </c>
      <c r="Z32" s="8">
        <f>Inputs!$B$23*(1+inf)^Y$1</f>
        <v>0</v>
      </c>
      <c r="AA32" s="8">
        <f>Inputs!$B$23*(1+inf)^Z$1</f>
        <v>0</v>
      </c>
      <c r="AB32" s="8">
        <f>Inputs!$B$23*(1+inf)^AA$1</f>
        <v>0</v>
      </c>
      <c r="AC32" s="8">
        <f>Inputs!$B$23*(1+inf)^AB$1</f>
        <v>0</v>
      </c>
      <c r="AD32" s="8">
        <f>Inputs!$B$23*(1+inf)^AC$1</f>
        <v>0</v>
      </c>
      <c r="AE32" s="8">
        <f>Inputs!$B$23*(1+inf)^AD$1</f>
        <v>0</v>
      </c>
      <c r="AF32" s="8">
        <f>Inputs!$B$23*(1+inf)^AE$1</f>
        <v>0</v>
      </c>
      <c r="AG32" s="8">
        <f>Inputs!$B$23*(1+inf)^AF$1</f>
        <v>0</v>
      </c>
      <c r="AH32" s="8">
        <f>Inputs!$B$23*(1+inf)^AG$1</f>
        <v>0</v>
      </c>
      <c r="AI32" s="8">
        <f>Inputs!$B$23*(1+inf)^AH$1</f>
        <v>0</v>
      </c>
      <c r="AJ32" s="8">
        <f>Inputs!$B$23*(1+inf)^AI$1</f>
        <v>0</v>
      </c>
      <c r="AK32" s="8">
        <f>Inputs!$B$23*(1+inf)^AJ$1</f>
        <v>0</v>
      </c>
      <c r="AL32" s="8">
        <f>Inputs!$B$23*(1+inf)^AK$1</f>
        <v>0</v>
      </c>
      <c r="AM32" s="8">
        <f>Inputs!$B$23*(1+inf)^AL$1</f>
        <v>0</v>
      </c>
      <c r="AN32" s="8">
        <f>Inputs!$B$23*(1+inf)^AM$1</f>
        <v>0</v>
      </c>
      <c r="AO32" s="8">
        <f>Inputs!$B$23*(1+inf)^AN$1</f>
        <v>0</v>
      </c>
      <c r="AP32" s="8">
        <f>Inputs!$B$23*(1+inf)^AO$1</f>
        <v>0</v>
      </c>
      <c r="AQ32" s="8">
        <f>Inputs!$B$23*(1+inf)^AP$1</f>
        <v>0</v>
      </c>
      <c r="AR32" s="8">
        <f>Inputs!$B$23*(1+inf)^AQ$1</f>
        <v>0</v>
      </c>
      <c r="AS32" s="8">
        <f>Inputs!$B$23*(1+inf)^AR$1</f>
        <v>0</v>
      </c>
      <c r="AT32" s="8">
        <f>Inputs!$B$23*(1+inf)^AS$1</f>
        <v>0</v>
      </c>
      <c r="AU32" s="8">
        <f>Inputs!$B$23*(1+inf)^AT$1</f>
        <v>0</v>
      </c>
      <c r="AV32" s="8">
        <f>Inputs!$B$23*(1+inf)^AU$1</f>
        <v>0</v>
      </c>
      <c r="AW32" s="8">
        <f>Inputs!$B$23*(1+inf)^AV$1</f>
        <v>0</v>
      </c>
    </row>
    <row r="33" spans="1:49" x14ac:dyDescent="0.2">
      <c r="A33" s="5" t="s">
        <v>59</v>
      </c>
      <c r="B33" s="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">
      <c r="A34" s="4" t="str">
        <f>TEXT(Inputs!$B$50,"")</f>
        <v>Sliema</v>
      </c>
      <c r="B34" s="9"/>
      <c r="C34" s="8">
        <f>Inputs!$B52*(1+inf)^B$1</f>
        <v>500</v>
      </c>
      <c r="D34" s="8">
        <f>Inputs!$B52*(1+inf)^C$1</f>
        <v>512.5</v>
      </c>
      <c r="E34" s="8">
        <f>Inputs!$B52*(1+inf)^D$1</f>
        <v>525.3125</v>
      </c>
      <c r="F34" s="8">
        <f>Inputs!$B52*(1+inf)^E$1</f>
        <v>538.44531249999989</v>
      </c>
      <c r="G34" s="8">
        <f>Inputs!$B52*(1+inf)^F$1</f>
        <v>551.90644531249984</v>
      </c>
      <c r="H34" s="8">
        <f>Inputs!$B52*(1+inf)^G$1</f>
        <v>565.70410644531228</v>
      </c>
      <c r="I34" s="8">
        <f>Inputs!$B52*(1+inf)^H$1</f>
        <v>579.84670910644513</v>
      </c>
      <c r="J34" s="8">
        <f>Inputs!$B52*(1+inf)^I$1</f>
        <v>594.34287683410628</v>
      </c>
      <c r="K34" s="8">
        <f>Inputs!$B52*(1+inf)^J$1</f>
        <v>609.20144875495885</v>
      </c>
      <c r="L34" s="8">
        <f>Inputs!$B52*(1+inf)^K$1</f>
        <v>624.43148497383277</v>
      </c>
      <c r="M34" s="8">
        <f>Inputs!$B52*(1+inf)^L$1</f>
        <v>640.0422720981785</v>
      </c>
      <c r="N34" s="8">
        <f>Inputs!$B52*(1+inf)^M$1</f>
        <v>656.04332890063301</v>
      </c>
      <c r="O34" s="8">
        <f>Inputs!$B52*(1+inf)^N$1</f>
        <v>672.44441212314871</v>
      </c>
      <c r="P34" s="8">
        <f>Inputs!$B52*(1+inf)^O$1</f>
        <v>689.25552242622746</v>
      </c>
      <c r="Q34" s="8">
        <f>Inputs!$B52*(1+inf)^P$1</f>
        <v>706.48691048688306</v>
      </c>
      <c r="R34" s="8">
        <f>Inputs!$B52*(1+inf)^Q$1</f>
        <v>724.14908324905525</v>
      </c>
      <c r="S34" s="8">
        <f>Inputs!$B52*(1+inf)^R$1</f>
        <v>742.25281033028159</v>
      </c>
      <c r="T34" s="8">
        <f>Inputs!$B52*(1+inf)^S$1</f>
        <v>760.80913058853855</v>
      </c>
      <c r="U34" s="8">
        <f>Inputs!$B52*(1+inf)^T$1</f>
        <v>779.82935885325196</v>
      </c>
      <c r="V34" s="8">
        <f>Inputs!$B52*(1+inf)^U$1</f>
        <v>799.32509282458329</v>
      </c>
      <c r="W34" s="8">
        <f>Inputs!$B52*(1+inf)^V$1</f>
        <v>819.30822014519777</v>
      </c>
      <c r="X34" s="8">
        <f>Inputs!$B52*(1+inf)^W$1</f>
        <v>839.79092564882762</v>
      </c>
      <c r="Y34" s="8">
        <f>Inputs!$B52*(1+inf)^X$1</f>
        <v>860.78569879004829</v>
      </c>
      <c r="Z34" s="8">
        <f>Inputs!$B52*(1+inf)^Y$1</f>
        <v>882.30534125979955</v>
      </c>
      <c r="AA34" s="8">
        <f>Inputs!$B52*(1+inf)^Z$1</f>
        <v>904.3629747912945</v>
      </c>
      <c r="AB34" s="8">
        <f>Inputs!$B52*(1+inf)^AA$1</f>
        <v>926.97204916107671</v>
      </c>
      <c r="AC34" s="8">
        <f>Inputs!$B52*(1+inf)^AB$1</f>
        <v>950.14635039010352</v>
      </c>
      <c r="AD34" s="8">
        <f>Inputs!$B52*(1+inf)^AC$1</f>
        <v>973.90000914985603</v>
      </c>
      <c r="AE34" s="8">
        <f>Inputs!$B52*(1+inf)^AD$1</f>
        <v>998.24750937860244</v>
      </c>
      <c r="AF34" s="8">
        <f>Inputs!$B52*(1+inf)^AE$1</f>
        <v>1023.2036971130676</v>
      </c>
      <c r="AG34" s="8">
        <f>Inputs!$B52*(1+inf)^AF$1</f>
        <v>1048.7837895408941</v>
      </c>
      <c r="AH34" s="8">
        <f>Inputs!$B52*(1+inf)^AG$1</f>
        <v>1075.0033842794167</v>
      </c>
      <c r="AI34" s="8">
        <f>Inputs!$B52*(1+inf)^AH$1</f>
        <v>1101.8784688864018</v>
      </c>
      <c r="AJ34" s="8">
        <f>Inputs!$B52*(1+inf)^AI$1</f>
        <v>1129.4254306085618</v>
      </c>
      <c r="AK34" s="8">
        <f>Inputs!$B52*(1+inf)^AJ$1</f>
        <v>1157.6610663737758</v>
      </c>
      <c r="AL34" s="8">
        <f>Inputs!$B52*(1+inf)^AK$1</f>
        <v>1186.60259303312</v>
      </c>
      <c r="AM34" s="8">
        <f>Inputs!$B52*(1+inf)^AL$1</f>
        <v>1216.2676578589483</v>
      </c>
      <c r="AN34" s="8">
        <f>Inputs!$B52*(1+inf)^AM$1</f>
        <v>1246.6743493054219</v>
      </c>
      <c r="AO34" s="8">
        <f>Inputs!$B52*(1+inf)^AN$1</f>
        <v>1277.8412080380569</v>
      </c>
      <c r="AP34" s="8">
        <f>Inputs!$B52*(1+inf)^AO$1</f>
        <v>1309.7872382390085</v>
      </c>
      <c r="AQ34" s="8">
        <f>Inputs!$B52*(1+inf)^AP$1</f>
        <v>1342.5319191949836</v>
      </c>
      <c r="AR34" s="8">
        <f>Inputs!$B52*(1+inf)^AQ$1</f>
        <v>1376.0952171748581</v>
      </c>
      <c r="AS34" s="8">
        <f>Inputs!$B52*(1+inf)^AR$1</f>
        <v>1410.4975976042294</v>
      </c>
      <c r="AT34" s="8">
        <f>Inputs!$B52*(1+inf)^AS$1</f>
        <v>1445.7600375443353</v>
      </c>
      <c r="AU34" s="8">
        <f>Inputs!$B52*(1+inf)^AT$1</f>
        <v>1481.9040384829434</v>
      </c>
      <c r="AV34" s="8">
        <f>Inputs!$B52*(1+inf)^AU$1</f>
        <v>1518.951639445017</v>
      </c>
      <c r="AW34" s="8">
        <f>Inputs!$B52*(1+inf)^AV$1</f>
        <v>1556.9254304311421</v>
      </c>
    </row>
    <row r="35" spans="1:49" x14ac:dyDescent="0.2">
      <c r="A35" s="4" t="str">
        <f>TEXT(Inputs!$B$55,"")</f>
        <v/>
      </c>
      <c r="B35" s="9"/>
      <c r="C35" s="8">
        <f>Inputs!$B57*(1+inf)^B$1</f>
        <v>0</v>
      </c>
      <c r="D35" s="8">
        <f>Inputs!$B57*(1+inf)^C$1</f>
        <v>0</v>
      </c>
      <c r="E35" s="8">
        <f>Inputs!$B57*(1+inf)^D$1</f>
        <v>0</v>
      </c>
      <c r="F35" s="8">
        <f>Inputs!$B57*(1+inf)^E$1</f>
        <v>0</v>
      </c>
      <c r="G35" s="8">
        <f>Inputs!$B57*(1+inf)^F$1</f>
        <v>0</v>
      </c>
      <c r="H35" s="8">
        <f>Inputs!$B57*(1+inf)^G$1</f>
        <v>0</v>
      </c>
      <c r="I35" s="8">
        <f>Inputs!$B57*(1+inf)^H$1</f>
        <v>0</v>
      </c>
      <c r="J35" s="8">
        <f>Inputs!$B57*(1+inf)^I$1</f>
        <v>0</v>
      </c>
      <c r="K35" s="8">
        <f>Inputs!$B57*(1+inf)^J$1</f>
        <v>0</v>
      </c>
      <c r="L35" s="8">
        <f>Inputs!$B57*(1+inf)^K$1</f>
        <v>0</v>
      </c>
      <c r="M35" s="8">
        <f>Inputs!$B57*(1+inf)^L$1</f>
        <v>0</v>
      </c>
      <c r="N35" s="8">
        <f>Inputs!$B57*(1+inf)^M$1</f>
        <v>0</v>
      </c>
      <c r="O35" s="8">
        <f>Inputs!$B57*(1+inf)^N$1</f>
        <v>0</v>
      </c>
      <c r="P35" s="8">
        <f>Inputs!$B57*(1+inf)^O$1</f>
        <v>0</v>
      </c>
      <c r="Q35" s="8">
        <f>Inputs!$B57*(1+inf)^P$1</f>
        <v>0</v>
      </c>
      <c r="R35" s="8">
        <f>Inputs!$B57*(1+inf)^Q$1</f>
        <v>0</v>
      </c>
      <c r="S35" s="8">
        <f>Inputs!$B57*(1+inf)^R$1</f>
        <v>0</v>
      </c>
      <c r="T35" s="8">
        <f>Inputs!$B57*(1+inf)^S$1</f>
        <v>0</v>
      </c>
      <c r="U35" s="8">
        <f>Inputs!$B57*(1+inf)^T$1</f>
        <v>0</v>
      </c>
      <c r="V35" s="8">
        <f>Inputs!$B57*(1+inf)^U$1</f>
        <v>0</v>
      </c>
      <c r="W35" s="8">
        <f>Inputs!$B57*(1+inf)^V$1</f>
        <v>0</v>
      </c>
      <c r="X35" s="8">
        <f>Inputs!$B57*(1+inf)^W$1</f>
        <v>0</v>
      </c>
      <c r="Y35" s="8">
        <f>Inputs!$B57*(1+inf)^X$1</f>
        <v>0</v>
      </c>
      <c r="Z35" s="8">
        <f>Inputs!$B57*(1+inf)^Y$1</f>
        <v>0</v>
      </c>
      <c r="AA35" s="8">
        <f>Inputs!$B57*(1+inf)^Z$1</f>
        <v>0</v>
      </c>
      <c r="AB35" s="8">
        <f>Inputs!$B57*(1+inf)^AA$1</f>
        <v>0</v>
      </c>
      <c r="AC35" s="8">
        <f>Inputs!$B57*(1+inf)^AB$1</f>
        <v>0</v>
      </c>
      <c r="AD35" s="8">
        <f>Inputs!$B57*(1+inf)^AC$1</f>
        <v>0</v>
      </c>
      <c r="AE35" s="8">
        <f>Inputs!$B57*(1+inf)^AD$1</f>
        <v>0</v>
      </c>
      <c r="AF35" s="8">
        <f>Inputs!$B57*(1+inf)^AE$1</f>
        <v>0</v>
      </c>
      <c r="AG35" s="8">
        <f>Inputs!$B57*(1+inf)^AF$1</f>
        <v>0</v>
      </c>
      <c r="AH35" s="8">
        <f>Inputs!$B57*(1+inf)^AG$1</f>
        <v>0</v>
      </c>
      <c r="AI35" s="8">
        <f>Inputs!$B57*(1+inf)^AH$1</f>
        <v>0</v>
      </c>
      <c r="AJ35" s="8">
        <f>Inputs!$B57*(1+inf)^AI$1</f>
        <v>0</v>
      </c>
      <c r="AK35" s="8">
        <f>Inputs!$B57*(1+inf)^AJ$1</f>
        <v>0</v>
      </c>
      <c r="AL35" s="8">
        <f>Inputs!$B57*(1+inf)^AK$1</f>
        <v>0</v>
      </c>
      <c r="AM35" s="8">
        <f>Inputs!$B57*(1+inf)^AL$1</f>
        <v>0</v>
      </c>
      <c r="AN35" s="8">
        <f>Inputs!$B57*(1+inf)^AM$1</f>
        <v>0</v>
      </c>
      <c r="AO35" s="8">
        <f>Inputs!$B57*(1+inf)^AN$1</f>
        <v>0</v>
      </c>
      <c r="AP35" s="8">
        <f>Inputs!$B57*(1+inf)^AO$1</f>
        <v>0</v>
      </c>
      <c r="AQ35" s="8">
        <f>Inputs!$B57*(1+inf)^AP$1</f>
        <v>0</v>
      </c>
      <c r="AR35" s="8">
        <f>Inputs!$B57*(1+inf)^AQ$1</f>
        <v>0</v>
      </c>
      <c r="AS35" s="8">
        <f>Inputs!$B57*(1+inf)^AR$1</f>
        <v>0</v>
      </c>
      <c r="AT35" s="8">
        <f>Inputs!$B57*(1+inf)^AS$1</f>
        <v>0</v>
      </c>
      <c r="AU35" s="8">
        <f>Inputs!$B57*(1+inf)^AT$1</f>
        <v>0</v>
      </c>
      <c r="AV35" s="8">
        <f>Inputs!$B57*(1+inf)^AU$1</f>
        <v>0</v>
      </c>
      <c r="AW35" s="8">
        <f>Inputs!$B57*(1+inf)^AV$1</f>
        <v>0</v>
      </c>
    </row>
    <row r="36" spans="1:49" x14ac:dyDescent="0.2">
      <c r="A36" s="4" t="str">
        <f>TEXT(Inputs!$B$60,"")</f>
        <v/>
      </c>
      <c r="B36" s="9"/>
      <c r="C36" s="8">
        <f>Inputs!$B62*(1+inf)^B$1</f>
        <v>0</v>
      </c>
      <c r="D36" s="8">
        <f>Inputs!$B62*(1+inf)^C$1</f>
        <v>0</v>
      </c>
      <c r="E36" s="8">
        <f>Inputs!$B62*(1+inf)^D$1</f>
        <v>0</v>
      </c>
      <c r="F36" s="8">
        <f>Inputs!$B62*(1+inf)^E$1</f>
        <v>0</v>
      </c>
      <c r="G36" s="8">
        <f>Inputs!$B62*(1+inf)^F$1</f>
        <v>0</v>
      </c>
      <c r="H36" s="8">
        <f>Inputs!$B62*(1+inf)^G$1</f>
        <v>0</v>
      </c>
      <c r="I36" s="8">
        <f>Inputs!$B62*(1+inf)^H$1</f>
        <v>0</v>
      </c>
      <c r="J36" s="8">
        <f>Inputs!$B62*(1+inf)^I$1</f>
        <v>0</v>
      </c>
      <c r="K36" s="8">
        <f>Inputs!$B62*(1+inf)^J$1</f>
        <v>0</v>
      </c>
      <c r="L36" s="8">
        <f>Inputs!$B62*(1+inf)^K$1</f>
        <v>0</v>
      </c>
      <c r="M36" s="8">
        <f>Inputs!$B62*(1+inf)^L$1</f>
        <v>0</v>
      </c>
      <c r="N36" s="8">
        <f>Inputs!$B62*(1+inf)^M$1</f>
        <v>0</v>
      </c>
      <c r="O36" s="8">
        <f>Inputs!$B62*(1+inf)^N$1</f>
        <v>0</v>
      </c>
      <c r="P36" s="8">
        <f>Inputs!$B62*(1+inf)^O$1</f>
        <v>0</v>
      </c>
      <c r="Q36" s="8">
        <f>Inputs!$B62*(1+inf)^P$1</f>
        <v>0</v>
      </c>
      <c r="R36" s="8">
        <f>Inputs!$B62*(1+inf)^Q$1</f>
        <v>0</v>
      </c>
      <c r="S36" s="8">
        <f>Inputs!$B62*(1+inf)^R$1</f>
        <v>0</v>
      </c>
      <c r="T36" s="8">
        <f>Inputs!$B62*(1+inf)^S$1</f>
        <v>0</v>
      </c>
      <c r="U36" s="8">
        <f>Inputs!$B62*(1+inf)^T$1</f>
        <v>0</v>
      </c>
      <c r="V36" s="8">
        <f>Inputs!$B62*(1+inf)^U$1</f>
        <v>0</v>
      </c>
      <c r="W36" s="8">
        <f>Inputs!$B62*(1+inf)^V$1</f>
        <v>0</v>
      </c>
      <c r="X36" s="8">
        <f>Inputs!$B62*(1+inf)^W$1</f>
        <v>0</v>
      </c>
      <c r="Y36" s="8">
        <f>Inputs!$B62*(1+inf)^X$1</f>
        <v>0</v>
      </c>
      <c r="Z36" s="8">
        <f>Inputs!$B62*(1+inf)^Y$1</f>
        <v>0</v>
      </c>
      <c r="AA36" s="8">
        <f>Inputs!$B62*(1+inf)^Z$1</f>
        <v>0</v>
      </c>
      <c r="AB36" s="8">
        <f>Inputs!$B62*(1+inf)^AA$1</f>
        <v>0</v>
      </c>
      <c r="AC36" s="8">
        <f>Inputs!$B62*(1+inf)^AB$1</f>
        <v>0</v>
      </c>
      <c r="AD36" s="8">
        <f>Inputs!$B62*(1+inf)^AC$1</f>
        <v>0</v>
      </c>
      <c r="AE36" s="8">
        <f>Inputs!$B62*(1+inf)^AD$1</f>
        <v>0</v>
      </c>
      <c r="AF36" s="8">
        <f>Inputs!$B62*(1+inf)^AE$1</f>
        <v>0</v>
      </c>
      <c r="AG36" s="8">
        <f>Inputs!$B62*(1+inf)^AF$1</f>
        <v>0</v>
      </c>
      <c r="AH36" s="8">
        <f>Inputs!$B62*(1+inf)^AG$1</f>
        <v>0</v>
      </c>
      <c r="AI36" s="8">
        <f>Inputs!$B62*(1+inf)^AH$1</f>
        <v>0</v>
      </c>
      <c r="AJ36" s="8">
        <f>Inputs!$B62*(1+inf)^AI$1</f>
        <v>0</v>
      </c>
      <c r="AK36" s="8">
        <f>Inputs!$B62*(1+inf)^AJ$1</f>
        <v>0</v>
      </c>
      <c r="AL36" s="8">
        <f>Inputs!$B62*(1+inf)^AK$1</f>
        <v>0</v>
      </c>
      <c r="AM36" s="8">
        <f>Inputs!$B62*(1+inf)^AL$1</f>
        <v>0</v>
      </c>
      <c r="AN36" s="8">
        <f>Inputs!$B62*(1+inf)^AM$1</f>
        <v>0</v>
      </c>
      <c r="AO36" s="8">
        <f>Inputs!$B62*(1+inf)^AN$1</f>
        <v>0</v>
      </c>
      <c r="AP36" s="8">
        <f>Inputs!$B62*(1+inf)^AO$1</f>
        <v>0</v>
      </c>
      <c r="AQ36" s="8">
        <f>Inputs!$B62*(1+inf)^AP$1</f>
        <v>0</v>
      </c>
      <c r="AR36" s="8">
        <f>Inputs!$B62*(1+inf)^AQ$1</f>
        <v>0</v>
      </c>
      <c r="AS36" s="8">
        <f>Inputs!$B62*(1+inf)^AR$1</f>
        <v>0</v>
      </c>
      <c r="AT36" s="8">
        <f>Inputs!$B62*(1+inf)^AS$1</f>
        <v>0</v>
      </c>
      <c r="AU36" s="8">
        <f>Inputs!$B62*(1+inf)^AT$1</f>
        <v>0</v>
      </c>
      <c r="AV36" s="8">
        <f>Inputs!$B62*(1+inf)^AU$1</f>
        <v>0</v>
      </c>
      <c r="AW36" s="8">
        <f>Inputs!$B62*(1+inf)^AV$1</f>
        <v>0</v>
      </c>
    </row>
    <row r="37" spans="1:49" x14ac:dyDescent="0.2">
      <c r="A37" s="5" t="s">
        <v>16</v>
      </c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">
      <c r="A38" s="4" t="s">
        <v>60</v>
      </c>
      <c r="B38" s="9"/>
      <c r="C38" s="8">
        <f>Inputs!$B$25*(1+inf)^B$1</f>
        <v>50000</v>
      </c>
      <c r="D38" s="8">
        <f>Inputs!$B$25*(1+inf)^C$1</f>
        <v>51249.999999999993</v>
      </c>
      <c r="E38" s="8">
        <f>Inputs!$B$25*(1+inf)^D$1</f>
        <v>52531.249999999993</v>
      </c>
      <c r="F38" s="8">
        <f>Inputs!$B$25*(1+inf)^E$1</f>
        <v>53844.531249999993</v>
      </c>
      <c r="G38" s="8">
        <f>Inputs!$B$25*(1+inf)^F$1</f>
        <v>55190.644531249985</v>
      </c>
      <c r="H38" s="8">
        <f>Inputs!$B$25*(1+inf)^G$1</f>
        <v>56570.410644531235</v>
      </c>
      <c r="I38" s="8">
        <f>Inputs!$B$25*(1+inf)^H$1</f>
        <v>57984.670910644512</v>
      </c>
      <c r="J38" s="8">
        <f>Inputs!$B$25*(1+inf)^I$1</f>
        <v>59434.287683410628</v>
      </c>
      <c r="K38" s="8">
        <f>Inputs!$B$25*(1+inf)^J$1</f>
        <v>60920.144875495884</v>
      </c>
      <c r="L38" s="8">
        <f>Inputs!$B$25*(1+inf)^K$1</f>
        <v>62443.14849738327</v>
      </c>
      <c r="M38" s="8">
        <f>Inputs!$B$25*(1+inf)^L$1</f>
        <v>64004.227209817851</v>
      </c>
      <c r="N38" s="8">
        <f>Inputs!$B$25*(1+inf)^M$1</f>
        <v>65604.332890063306</v>
      </c>
      <c r="O38" s="8">
        <f>Inputs!$B$25*(1+inf)^N$1</f>
        <v>67244.44121231488</v>
      </c>
      <c r="P38" s="8">
        <f>Inputs!$B$25*(1+inf)^O$1</f>
        <v>68925.55224262274</v>
      </c>
      <c r="Q38" s="8">
        <f>Inputs!$B$25*(1+inf)^P$1</f>
        <v>70648.691048688299</v>
      </c>
      <c r="R38" s="8">
        <f>Inputs!$B$25*(1+inf)^Q$1</f>
        <v>72414.908324905526</v>
      </c>
      <c r="S38" s="8">
        <f>Inputs!$B$25*(1+inf)^R$1</f>
        <v>74225.28103302815</v>
      </c>
      <c r="T38" s="8">
        <f>Inputs!$B$25*(1+inf)^S$1</f>
        <v>76080.913058853854</v>
      </c>
      <c r="U38" s="8">
        <f>Inputs!$B$25*(1+inf)^T$1</f>
        <v>77982.935885325205</v>
      </c>
      <c r="V38" s="8">
        <f>Inputs!$B$25*(1+inf)^U$1</f>
        <v>79932.509282458326</v>
      </c>
      <c r="W38" s="8">
        <f>Inputs!$B$25*(1+inf)^V$1</f>
        <v>81930.82201451977</v>
      </c>
      <c r="X38" s="8">
        <f>Inputs!$B$25*(1+inf)^W$1</f>
        <v>83979.092564882769</v>
      </c>
      <c r="Y38" s="8">
        <f>Inputs!$B$25*(1+inf)^X$1</f>
        <v>86078.569879004834</v>
      </c>
      <c r="Z38" s="8">
        <f>Inputs!$B$25*(1+inf)^Y$1</f>
        <v>88230.534125979961</v>
      </c>
      <c r="AA38" s="8">
        <f>Inputs!$B$25*(1+inf)^Z$1</f>
        <v>90436.29747912944</v>
      </c>
      <c r="AB38" s="8">
        <f>Inputs!$B$25*(1+inf)^AA$1</f>
        <v>92697.204916107672</v>
      </c>
      <c r="AC38" s="8">
        <f>Inputs!$B$25*(1+inf)^AB$1</f>
        <v>95014.635039010347</v>
      </c>
      <c r="AD38" s="8">
        <f>Inputs!$B$25*(1+inf)^AC$1</f>
        <v>97390.000914985605</v>
      </c>
      <c r="AE38" s="8">
        <f>Inputs!$B$25*(1+inf)^AD$1</f>
        <v>99824.750937860241</v>
      </c>
      <c r="AF38" s="8">
        <f>Inputs!$B$25*(1+inf)^AE$1</f>
        <v>102320.36971130676</v>
      </c>
      <c r="AG38" s="8">
        <f>Inputs!$B$25*(1+inf)^AF$1</f>
        <v>104878.37895408941</v>
      </c>
      <c r="AH38" s="8">
        <f>Inputs!$B$25*(1+inf)^AG$1</f>
        <v>107500.33842794166</v>
      </c>
      <c r="AI38" s="8">
        <f>Inputs!$B$25*(1+inf)^AH$1</f>
        <v>110187.84688864018</v>
      </c>
      <c r="AJ38" s="8">
        <f>Inputs!$B$25*(1+inf)^AI$1</f>
        <v>112942.54306085619</v>
      </c>
      <c r="AK38" s="8">
        <f>Inputs!$B$25*(1+inf)^AJ$1</f>
        <v>115766.10663737758</v>
      </c>
      <c r="AL38" s="8">
        <f>Inputs!$B$25*(1+inf)^AK$1</f>
        <v>118660.25930331201</v>
      </c>
      <c r="AM38" s="8">
        <f>Inputs!$B$25*(1+inf)^AL$1</f>
        <v>121626.76578589482</v>
      </c>
      <c r="AN38" s="8">
        <f>Inputs!$B$25*(1+inf)^AM$1</f>
        <v>124667.43493054218</v>
      </c>
      <c r="AO38" s="8">
        <f>Inputs!$B$25*(1+inf)^AN$1</f>
        <v>127784.12080380569</v>
      </c>
      <c r="AP38" s="8">
        <f>Inputs!$B$25*(1+inf)^AO$1</f>
        <v>130978.72382390086</v>
      </c>
      <c r="AQ38" s="8">
        <f>Inputs!$B$25*(1+inf)^AP$1</f>
        <v>134253.19191949835</v>
      </c>
      <c r="AR38" s="8">
        <f>Inputs!$B$25*(1+inf)^AQ$1</f>
        <v>137609.52171748583</v>
      </c>
      <c r="AS38" s="8">
        <f>Inputs!$B$25*(1+inf)^AR$1</f>
        <v>141049.75976042295</v>
      </c>
      <c r="AT38" s="8">
        <f>Inputs!$B$25*(1+inf)^AS$1</f>
        <v>144576.00375443354</v>
      </c>
      <c r="AU38" s="8">
        <f>Inputs!$B$25*(1+inf)^AT$1</f>
        <v>148190.40384829434</v>
      </c>
      <c r="AV38" s="8">
        <f>Inputs!$B$25*(1+inf)^AU$1</f>
        <v>151895.16394450172</v>
      </c>
      <c r="AW38" s="8">
        <f>Inputs!$B$25*(1+inf)^AV$1</f>
        <v>155692.54304311422</v>
      </c>
    </row>
    <row r="39" spans="1:49" x14ac:dyDescent="0.2">
      <c r="A39" s="4" t="str">
        <f>"Adjustment "&amp;Inputs!A137</f>
        <v>Adjustment from now to 65</v>
      </c>
      <c r="B39" s="9"/>
      <c r="C39" s="8">
        <f>IF(C$3&lt;=65,Inputs!$B$137*C$38,0)</f>
        <v>0</v>
      </c>
      <c r="D39" s="8">
        <f>IF(D$3&lt;=65,Inputs!$B$137*D$38,0)</f>
        <v>0</v>
      </c>
      <c r="E39" s="8">
        <f>IF(E$3&lt;=65,Inputs!$B$137*E$38,0)</f>
        <v>0</v>
      </c>
      <c r="F39" s="8">
        <f>IF(F$3&lt;=65,Inputs!$B$137*F$38,0)</f>
        <v>0</v>
      </c>
      <c r="G39" s="8">
        <f>IF(G$3&lt;=65,Inputs!$B$137*G$38,0)</f>
        <v>0</v>
      </c>
      <c r="H39" s="8">
        <f>IF(H$3&lt;=65,Inputs!$B$137*H$38,0)</f>
        <v>0</v>
      </c>
      <c r="I39" s="8">
        <f>IF(I$3&lt;=65,Inputs!$B$137*I$38,0)</f>
        <v>0</v>
      </c>
      <c r="J39" s="8">
        <f>IF(J$3&lt;=65,Inputs!$B$137*J$38,0)</f>
        <v>0</v>
      </c>
      <c r="K39" s="8">
        <f>IF(K$3&lt;=65,Inputs!$B$137*K$38,0)</f>
        <v>0</v>
      </c>
      <c r="L39" s="8">
        <f>IF(L$3&lt;=65,Inputs!$B$137*L$38,0)</f>
        <v>0</v>
      </c>
      <c r="M39" s="8">
        <f>IF(M$3&lt;=65,Inputs!$B$137*M$38,0)</f>
        <v>0</v>
      </c>
      <c r="N39" s="8">
        <f>IF(N$3&lt;=65,Inputs!$B$137*N$38,0)</f>
        <v>0</v>
      </c>
      <c r="O39" s="8">
        <f>IF(O$3&lt;=65,Inputs!$B$137*O$38,0)</f>
        <v>0</v>
      </c>
      <c r="P39" s="8">
        <f>IF(P$3&lt;=65,Inputs!$B$137*P$38,0)</f>
        <v>0</v>
      </c>
      <c r="Q39" s="8">
        <f>IF(Q$3&lt;=65,Inputs!$B$137*Q$38,0)</f>
        <v>0</v>
      </c>
      <c r="R39" s="8">
        <f>IF(R$3&lt;=65,Inputs!$B$137*R$38,0)</f>
        <v>0</v>
      </c>
      <c r="S39" s="8">
        <f>IF(S$3&lt;=65,Inputs!$B$137*S$38,0)</f>
        <v>0</v>
      </c>
      <c r="T39" s="8">
        <f>IF(T$3&lt;=65,Inputs!$B$137*T$38,0)</f>
        <v>0</v>
      </c>
      <c r="U39" s="8">
        <f>IF(U$3&lt;=65,Inputs!$B$137*U$38,0)</f>
        <v>0</v>
      </c>
      <c r="V39" s="8">
        <f>IF(V$3&lt;=65,Inputs!$B$137*V$38,0)</f>
        <v>0</v>
      </c>
      <c r="W39" s="8">
        <f>IF(W$3&lt;=65,Inputs!$B$137*W$38,0)</f>
        <v>0</v>
      </c>
      <c r="X39" s="8">
        <f>IF(X$3&lt;=65,Inputs!$B$137*X$38,0)</f>
        <v>0</v>
      </c>
      <c r="Y39" s="8">
        <f>IF(Y$3&lt;=65,Inputs!$B$137*Y$38,0)</f>
        <v>0</v>
      </c>
      <c r="Z39" s="8">
        <f>IF(Z$3&lt;=65,Inputs!$B$137*Z$38,0)</f>
        <v>0</v>
      </c>
      <c r="AA39" s="8">
        <f>IF(AA$3&lt;=65,Inputs!$B$137*AA$38,0)</f>
        <v>0</v>
      </c>
      <c r="AB39" s="8">
        <f>IF(AB$3&lt;=65,Inputs!$B$137*AB$38,0)</f>
        <v>0</v>
      </c>
      <c r="AC39" s="8">
        <f>IF(AC$3&lt;=65,Inputs!$B$137*AC$38,0)</f>
        <v>0</v>
      </c>
      <c r="AD39" s="8">
        <f>IF(AD$3&lt;=65,Inputs!$B$137*AD$38,0)</f>
        <v>0</v>
      </c>
      <c r="AE39" s="8">
        <f>IF(AE$3&lt;=65,Inputs!$B$137*AE$38,0)</f>
        <v>0</v>
      </c>
      <c r="AF39" s="8">
        <f>IF(AF$3&lt;=65,Inputs!$B$137*AF$38,0)</f>
        <v>0</v>
      </c>
      <c r="AG39" s="8">
        <f>IF(AG$3&lt;=65,Inputs!$B$137*AG$38,0)</f>
        <v>0</v>
      </c>
      <c r="AH39" s="8">
        <f>IF(AH$3&lt;=65,Inputs!$B$137*AH$38,0)</f>
        <v>0</v>
      </c>
      <c r="AI39" s="8">
        <f>IF(AI$3&lt;=65,Inputs!$B$137*AI$38,0)</f>
        <v>0</v>
      </c>
      <c r="AJ39" s="8">
        <f>IF(AJ$3&lt;=65,Inputs!$B$137*AJ$38,0)</f>
        <v>0</v>
      </c>
      <c r="AK39" s="8">
        <f>IF(AK$3&lt;=65,Inputs!$B$137*AK$38,0)</f>
        <v>0</v>
      </c>
      <c r="AL39" s="8">
        <f>IF(AL$3&lt;=65,Inputs!$B$137*AL$38,0)</f>
        <v>0</v>
      </c>
      <c r="AM39" s="8">
        <f>IF(AM$3&lt;=65,Inputs!$B$137*AM$38,0)</f>
        <v>0</v>
      </c>
      <c r="AN39" s="8">
        <f>IF(AN$3&lt;=65,Inputs!$B$137*AN$38,0)</f>
        <v>0</v>
      </c>
      <c r="AO39" s="8">
        <f>IF(AO$3&lt;=65,Inputs!$B$137*AO$38,0)</f>
        <v>0</v>
      </c>
      <c r="AP39" s="8">
        <f>IF(AP$3&lt;=65,Inputs!$B$137*AP$38,0)</f>
        <v>0</v>
      </c>
      <c r="AQ39" s="8">
        <f>IF(AQ$3&lt;=65,Inputs!$B$137*AQ$38,0)</f>
        <v>0</v>
      </c>
      <c r="AR39" s="8">
        <f>IF(AR$3&lt;=65,Inputs!$B$137*AR$38,0)</f>
        <v>0</v>
      </c>
      <c r="AS39" s="8">
        <f>IF(AS$3&lt;=65,Inputs!$B$137*AS$38,0)</f>
        <v>0</v>
      </c>
      <c r="AT39" s="8">
        <f>IF(AT$3&lt;=65,Inputs!$B$137*AT$38,0)</f>
        <v>0</v>
      </c>
      <c r="AU39" s="8">
        <f>IF(AU$3&lt;=65,Inputs!$B$137*AU$38,0)</f>
        <v>0</v>
      </c>
      <c r="AV39" s="8">
        <f>IF(AV$3&lt;=65,Inputs!$B$137*AV$38,0)</f>
        <v>0</v>
      </c>
      <c r="AW39" s="8">
        <f>IF(AW$3&lt;=65,Inputs!$B$137*AW$38,0)</f>
        <v>0</v>
      </c>
    </row>
    <row r="40" spans="1:49" x14ac:dyDescent="0.2">
      <c r="A40" s="4" t="str">
        <f>"Adjustment "&amp;Inputs!A138</f>
        <v>Adjustment from 66-75</v>
      </c>
      <c r="B40" s="9"/>
      <c r="C40" s="8">
        <f>IF(AND(C$3&gt;65,C$3&lt;=75),Inputs!$B$138*C38,0)</f>
        <v>0</v>
      </c>
      <c r="D40" s="8">
        <f>IF(AND(D$3&gt;65,D$3&lt;=75),Inputs!$B$138*D38,0)</f>
        <v>0</v>
      </c>
      <c r="E40" s="8">
        <f>IF(AND(E$3&gt;65,E$3&lt;=75),Inputs!$B$138*E38,0)</f>
        <v>0</v>
      </c>
      <c r="F40" s="8">
        <f>IF(AND(F$3&gt;65,F$3&lt;=75),Inputs!$B$138*F38,0)</f>
        <v>0</v>
      </c>
      <c r="G40" s="8">
        <f>IF(AND(G$3&gt;65,G$3&lt;=75),Inputs!$B$138*G38,0)</f>
        <v>0</v>
      </c>
      <c r="H40" s="8">
        <f>IF(AND(H$3&gt;65,H$3&lt;=75),Inputs!$B$138*H38,0)</f>
        <v>0</v>
      </c>
      <c r="I40" s="8">
        <f>IF(AND(I$3&gt;65,I$3&lt;=75),Inputs!$B$138*I38,0)</f>
        <v>0</v>
      </c>
      <c r="J40" s="8">
        <f>IF(AND(J$3&gt;65,J$3&lt;=75),Inputs!$B$138*J38,0)</f>
        <v>0</v>
      </c>
      <c r="K40" s="8">
        <f>IF(AND(K$3&gt;65,K$3&lt;=75),Inputs!$B$138*K38,0)</f>
        <v>0</v>
      </c>
      <c r="L40" s="8">
        <f>IF(AND(L$3&gt;65,L$3&lt;=75),Inputs!$B$138*L38,0)</f>
        <v>0</v>
      </c>
      <c r="M40" s="8">
        <f>IF(AND(M$3&gt;65,M$3&lt;=75),Inputs!$B$138*M38,0)</f>
        <v>0</v>
      </c>
      <c r="N40" s="8">
        <f>IF(AND(N$3&gt;65,N$3&lt;=75),Inputs!$B$138*N38,0)</f>
        <v>0</v>
      </c>
      <c r="O40" s="8">
        <f>IF(AND(O$3&gt;65,O$3&lt;=75),Inputs!$B$138*O38,0)</f>
        <v>0</v>
      </c>
      <c r="P40" s="8">
        <f>IF(AND(P$3&gt;65,P$3&lt;=75),Inputs!$B$138*P38,0)</f>
        <v>0</v>
      </c>
      <c r="Q40" s="8">
        <f>IF(AND(Q$3&gt;65,Q$3&lt;=75),Inputs!$B$138*Q38,0)</f>
        <v>0</v>
      </c>
      <c r="R40" s="8">
        <f>IF(AND(R$3&gt;65,R$3&lt;=75),Inputs!$B$138*R38,0)</f>
        <v>0</v>
      </c>
      <c r="S40" s="8">
        <f>IF(AND(S$3&gt;65,S$3&lt;=75),Inputs!$B$138*S38,0)</f>
        <v>0</v>
      </c>
      <c r="T40" s="8">
        <f>IF(AND(T$3&gt;65,T$3&lt;=75),Inputs!$B$138*T38,0)</f>
        <v>0</v>
      </c>
      <c r="U40" s="8">
        <f>IF(AND(U$3&gt;65,U$3&lt;=75),Inputs!$B$138*U38,0)</f>
        <v>-7798.2935885325205</v>
      </c>
      <c r="V40" s="8">
        <f>IF(AND(V$3&gt;65,V$3&lt;=75),Inputs!$B$138*V38,0)</f>
        <v>-7993.2509282458332</v>
      </c>
      <c r="W40" s="8">
        <f>IF(AND(W$3&gt;65,W$3&lt;=75),Inputs!$B$138*W38,0)</f>
        <v>-8193.0822014519781</v>
      </c>
      <c r="X40" s="8">
        <f>IF(AND(X$3&gt;65,X$3&lt;=75),Inputs!$B$138*X38,0)</f>
        <v>-8397.9092564882776</v>
      </c>
      <c r="Y40" s="8">
        <f>IF(AND(Y$3&gt;65,Y$3&lt;=75),Inputs!$B$138*Y38,0)</f>
        <v>-8607.8569879004845</v>
      </c>
      <c r="Z40" s="8">
        <f>IF(AND(Z$3&gt;65,Z$3&lt;=75),Inputs!$B$138*Z38,0)</f>
        <v>-8823.0534125979957</v>
      </c>
      <c r="AA40" s="8">
        <f>IF(AND(AA$3&gt;65,AA$3&lt;=75),Inputs!$B$138*AA38,0)</f>
        <v>-9043.6297479129444</v>
      </c>
      <c r="AB40" s="8">
        <f>IF(AND(AB$3&gt;65,AB$3&lt;=75),Inputs!$B$138*AB38,0)</f>
        <v>-9269.7204916107676</v>
      </c>
      <c r="AC40" s="8">
        <f>IF(AND(AC$3&gt;65,AC$3&lt;=75),Inputs!$B$138*AC38,0)</f>
        <v>-9501.4635039010354</v>
      </c>
      <c r="AD40" s="8">
        <f>IF(AND(AD$3&gt;65,AD$3&lt;=75),Inputs!$B$138*AD38,0)</f>
        <v>-9739.0000914985612</v>
      </c>
      <c r="AE40" s="8">
        <f>IF(AND(AE$3&gt;65,AE$3&lt;=75),Inputs!$B$138*AE38,0)</f>
        <v>0</v>
      </c>
      <c r="AF40" s="8">
        <f>IF(AND(AF$3&gt;65,AF$3&lt;=75),Inputs!$B$138*AF38,0)</f>
        <v>0</v>
      </c>
      <c r="AG40" s="8">
        <f>IF(AND(AG$3&gt;65,AG$3&lt;=75),Inputs!$B$138*AG38,0)</f>
        <v>0</v>
      </c>
      <c r="AH40" s="8">
        <f>IF(AND(AH$3&gt;65,AH$3&lt;=75),Inputs!$B$138*AH38,0)</f>
        <v>0</v>
      </c>
      <c r="AI40" s="8">
        <f>IF(AND(AI$3&gt;65,AI$3&lt;=75),Inputs!$B$138*AI38,0)</f>
        <v>0</v>
      </c>
      <c r="AJ40" s="8">
        <f>IF(AND(AJ$3&gt;65,AJ$3&lt;=75),Inputs!$B$138*AJ38,0)</f>
        <v>0</v>
      </c>
      <c r="AK40" s="8">
        <f>IF(AND(AK$3&gt;65,AK$3&lt;=75),Inputs!$B$138*AK38,0)</f>
        <v>0</v>
      </c>
      <c r="AL40" s="8">
        <f>IF(AND(AL$3&gt;65,AL$3&lt;=75),Inputs!$B$138*AL38,0)</f>
        <v>0</v>
      </c>
      <c r="AM40" s="8">
        <f>IF(AND(AM$3&gt;65,AM$3&lt;=75),Inputs!$B$138*AM38,0)</f>
        <v>0</v>
      </c>
      <c r="AN40" s="8">
        <f>IF(AND(AN$3&gt;65,AN$3&lt;=75),Inputs!$B$138*AN38,0)</f>
        <v>0</v>
      </c>
      <c r="AO40" s="8">
        <f>IF(AND(AO$3&gt;65,AO$3&lt;=75),Inputs!$B$138*AO38,0)</f>
        <v>0</v>
      </c>
      <c r="AP40" s="8">
        <f>IF(AND(AP$3&gt;65,AP$3&lt;=75),Inputs!$B$138*AP38,0)</f>
        <v>0</v>
      </c>
      <c r="AQ40" s="8">
        <f>IF(AND(AQ$3&gt;65,AQ$3&lt;=75),Inputs!$B$138*AQ38,0)</f>
        <v>0</v>
      </c>
      <c r="AR40" s="8">
        <f>IF(AND(AR$3&gt;65,AR$3&lt;=75),Inputs!$B$138*AR38,0)</f>
        <v>0</v>
      </c>
      <c r="AS40" s="8">
        <f>IF(AND(AS$3&gt;65,AS$3&lt;=75),Inputs!$B$138*AS38,0)</f>
        <v>0</v>
      </c>
      <c r="AT40" s="8">
        <f>IF(AND(AT$3&gt;65,AT$3&lt;=75),Inputs!$B$138*AT38,0)</f>
        <v>0</v>
      </c>
      <c r="AU40" s="8">
        <f>IF(AND(AU$3&gt;65,AU$3&lt;=75),Inputs!$B$138*AU38,0)</f>
        <v>0</v>
      </c>
      <c r="AV40" s="8">
        <f>IF(AND(AV$3&gt;65,AV$3&lt;=75),Inputs!$B$138*AV38,0)</f>
        <v>0</v>
      </c>
      <c r="AW40" s="8">
        <f>IF(AND(AW$3&gt;65,AW$3&lt;=75),Inputs!$B$138*AW38,0)</f>
        <v>0</v>
      </c>
    </row>
    <row r="41" spans="1:49" x14ac:dyDescent="0.2">
      <c r="A41" s="4" t="str">
        <f>"Adjustment "&amp;Inputs!A139</f>
        <v>Adjustment from age 76</v>
      </c>
      <c r="B41" s="9"/>
      <c r="C41" s="8">
        <f>IF(C$3&gt;75,Inputs!$B$139*C$38,0)</f>
        <v>0</v>
      </c>
      <c r="D41" s="8">
        <f>IF(D$3&gt;75,Inputs!$B$139*D$38,0)</f>
        <v>0</v>
      </c>
      <c r="E41" s="8">
        <f>IF(E$3&gt;75,Inputs!$B$139*E$38,0)</f>
        <v>0</v>
      </c>
      <c r="F41" s="8">
        <f>IF(F$3&gt;75,Inputs!$B$139*F$38,0)</f>
        <v>0</v>
      </c>
      <c r="G41" s="8">
        <f>IF(G$3&gt;75,Inputs!$B$139*G$38,0)</f>
        <v>0</v>
      </c>
      <c r="H41" s="8">
        <f>IF(H$3&gt;75,Inputs!$B$139*H$38,0)</f>
        <v>0</v>
      </c>
      <c r="I41" s="8">
        <f>IF(I$3&gt;75,Inputs!$B$139*I$38,0)</f>
        <v>0</v>
      </c>
      <c r="J41" s="8">
        <f>IF(J$3&gt;75,Inputs!$B$139*J$38,0)</f>
        <v>0</v>
      </c>
      <c r="K41" s="8">
        <f>IF(K$3&gt;75,Inputs!$B$139*K$38,0)</f>
        <v>0</v>
      </c>
      <c r="L41" s="8">
        <f>IF(L$3&gt;75,Inputs!$B$139*L$38,0)</f>
        <v>0</v>
      </c>
      <c r="M41" s="8">
        <f>IF(M$3&gt;75,Inputs!$B$139*M$38,0)</f>
        <v>0</v>
      </c>
      <c r="N41" s="8">
        <f>IF(N$3&gt;75,Inputs!$B$139*N$38,0)</f>
        <v>0</v>
      </c>
      <c r="O41" s="8">
        <f>IF(O$3&gt;75,Inputs!$B$139*O$38,0)</f>
        <v>0</v>
      </c>
      <c r="P41" s="8">
        <f>IF(P$3&gt;75,Inputs!$B$139*P$38,0)</f>
        <v>0</v>
      </c>
      <c r="Q41" s="8">
        <f>IF(Q$3&gt;75,Inputs!$B$139*Q$38,0)</f>
        <v>0</v>
      </c>
      <c r="R41" s="8">
        <f>IF(R$3&gt;75,Inputs!$B$139*R$38,0)</f>
        <v>0</v>
      </c>
      <c r="S41" s="8">
        <f>IF(S$3&gt;75,Inputs!$B$139*S$38,0)</f>
        <v>0</v>
      </c>
      <c r="T41" s="8">
        <f>IF(T$3&gt;75,Inputs!$B$139*T$38,0)</f>
        <v>0</v>
      </c>
      <c r="U41" s="8">
        <f>IF(U$3&gt;75,Inputs!$B$139*U$38,0)</f>
        <v>0</v>
      </c>
      <c r="V41" s="8">
        <f>IF(V$3&gt;75,Inputs!$B$139*V$38,0)</f>
        <v>0</v>
      </c>
      <c r="W41" s="8">
        <f>IF(W$3&gt;75,Inputs!$B$139*W$38,0)</f>
        <v>0</v>
      </c>
      <c r="X41" s="8">
        <f>IF(X$3&gt;75,Inputs!$B$139*X$38,0)</f>
        <v>0</v>
      </c>
      <c r="Y41" s="8">
        <f>IF(Y$3&gt;75,Inputs!$B$139*Y$38,0)</f>
        <v>0</v>
      </c>
      <c r="Z41" s="8">
        <f>IF(Z$3&gt;75,Inputs!$B$139*Z$38,0)</f>
        <v>0</v>
      </c>
      <c r="AA41" s="8">
        <f>IF(AA$3&gt;75,Inputs!$B$139*AA$38,0)</f>
        <v>0</v>
      </c>
      <c r="AB41" s="8">
        <f>IF(AB$3&gt;75,Inputs!$B$139*AB$38,0)</f>
        <v>0</v>
      </c>
      <c r="AC41" s="8">
        <f>IF(AC$3&gt;75,Inputs!$B$139*AC$38,0)</f>
        <v>0</v>
      </c>
      <c r="AD41" s="8">
        <f>IF(AD$3&gt;75,Inputs!$B$139*AD$38,0)</f>
        <v>0</v>
      </c>
      <c r="AE41" s="8">
        <f>IF(AE$3&gt;75,Inputs!$B$139*AE$38,0)</f>
        <v>-19964.950187572049</v>
      </c>
      <c r="AF41" s="8">
        <f>IF(AF$3&gt;75,Inputs!$B$139*AF$38,0)</f>
        <v>-20464.073942261355</v>
      </c>
      <c r="AG41" s="8">
        <f>IF(AG$3&gt;75,Inputs!$B$139*AG$38,0)</f>
        <v>-20975.675790817884</v>
      </c>
      <c r="AH41" s="8">
        <f>IF(AH$3&gt;75,Inputs!$B$139*AH$38,0)</f>
        <v>-21500.067685588336</v>
      </c>
      <c r="AI41" s="8">
        <f>IF(AI$3&gt;75,Inputs!$B$139*AI$38,0)</f>
        <v>-22037.569377728039</v>
      </c>
      <c r="AJ41" s="8">
        <f>IF(AJ$3&gt;75,Inputs!$B$139*AJ$38,0)</f>
        <v>-22588.508612171237</v>
      </c>
      <c r="AK41" s="8">
        <f>IF(AK$3&gt;75,Inputs!$B$139*AK$38,0)</f>
        <v>-23153.22132747552</v>
      </c>
      <c r="AL41" s="8">
        <f>IF(AL$3&gt;75,Inputs!$B$139*AL$38,0)</f>
        <v>-23732.051860662403</v>
      </c>
      <c r="AM41" s="8">
        <f>IF(AM$3&gt;75,Inputs!$B$139*AM$38,0)</f>
        <v>-24325.353157178964</v>
      </c>
      <c r="AN41" s="8">
        <f>IF(AN$3&gt;75,Inputs!$B$139*AN$38,0)</f>
        <v>-24933.486986108437</v>
      </c>
      <c r="AO41" s="8">
        <f>IF(AO$3&gt;75,Inputs!$B$139*AO$38,0)</f>
        <v>-25556.824160761142</v>
      </c>
      <c r="AP41" s="8">
        <f>IF(AP$3&gt;75,Inputs!$B$139*AP$38,0)</f>
        <v>-26195.744764780175</v>
      </c>
      <c r="AQ41" s="8">
        <f>IF(AQ$3&gt;75,Inputs!$B$139*AQ$38,0)</f>
        <v>-26850.63838389967</v>
      </c>
      <c r="AR41" s="8">
        <f>IF(AR$3&gt;75,Inputs!$B$139*AR$38,0)</f>
        <v>-27521.904343497168</v>
      </c>
      <c r="AS41" s="8">
        <f>IF(AS$3&gt;75,Inputs!$B$139*AS$38,0)</f>
        <v>-28209.951952084593</v>
      </c>
      <c r="AT41" s="8">
        <f>IF(AT$3&gt;75,Inputs!$B$139*AT$38,0)</f>
        <v>-28915.20075088671</v>
      </c>
      <c r="AU41" s="8">
        <f>IF(AU$3&gt;75,Inputs!$B$139*AU$38,0)</f>
        <v>-29638.080769658871</v>
      </c>
      <c r="AV41" s="8">
        <f>IF(AV$3&gt;75,Inputs!$B$139*AV$38,0)</f>
        <v>-30379.032788900346</v>
      </c>
      <c r="AW41" s="8">
        <f>IF(AW$3&gt;75,Inputs!$B$139*AW$38,0)</f>
        <v>-31138.508608622844</v>
      </c>
    </row>
    <row r="42" spans="1:49" x14ac:dyDescent="0.2">
      <c r="A42" s="5" t="s">
        <v>64</v>
      </c>
      <c r="B42" s="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">
      <c r="A43" s="4" t="str">
        <f>TEXT(Inputs!$B$117,"")</f>
        <v/>
      </c>
      <c r="B43" s="9"/>
      <c r="C43" s="8">
        <f ca="1">IF(C$2=Inputs!$B119,Inputs!$B118,0)*(1+inf)^B$1</f>
        <v>0</v>
      </c>
      <c r="D43" s="8">
        <f ca="1">IF(D$2=Inputs!$B119,Inputs!$B118,0)*(1+inf)^C$1</f>
        <v>0</v>
      </c>
      <c r="E43" s="8">
        <f ca="1">IF(E$2=Inputs!$B119,Inputs!$B118,0)*(1+inf)^D$1</f>
        <v>0</v>
      </c>
      <c r="F43" s="8">
        <f ca="1">IF(F$2=Inputs!$B119,Inputs!$B118,0)*(1+inf)^E$1</f>
        <v>0</v>
      </c>
      <c r="G43" s="8">
        <f ca="1">IF(G$2=Inputs!$B119,Inputs!$B118,0)*(1+inf)^F$1</f>
        <v>0</v>
      </c>
      <c r="H43" s="8">
        <f ca="1">IF(H$2=Inputs!$B119,Inputs!$B118,0)*(1+inf)^G$1</f>
        <v>0</v>
      </c>
      <c r="I43" s="8">
        <f ca="1">IF(I$2=Inputs!$B119,Inputs!$B118,0)*(1+inf)^H$1</f>
        <v>0</v>
      </c>
      <c r="J43" s="8">
        <f ca="1">IF(J$2=Inputs!$B119,Inputs!$B118,0)*(1+inf)^I$1</f>
        <v>0</v>
      </c>
      <c r="K43" s="8">
        <f ca="1">IF(K$2=Inputs!$B119,Inputs!$B118,0)*(1+inf)^J$1</f>
        <v>0</v>
      </c>
      <c r="L43" s="8">
        <f ca="1">IF(L$2=Inputs!$B119,Inputs!$B118,0)*(1+inf)^K$1</f>
        <v>0</v>
      </c>
      <c r="M43" s="8">
        <f ca="1">IF(M$2=Inputs!$B119,Inputs!$B118,0)*(1+inf)^L$1</f>
        <v>0</v>
      </c>
      <c r="N43" s="8">
        <f ca="1">IF(N$2=Inputs!$B119,Inputs!$B118,0)*(1+inf)^M$1</f>
        <v>0</v>
      </c>
      <c r="O43" s="8">
        <f ca="1">IF(O$2=Inputs!$B119,Inputs!$B118,0)*(1+inf)^N$1</f>
        <v>0</v>
      </c>
      <c r="P43" s="8">
        <f ca="1">IF(P$2=Inputs!$B119,Inputs!$B118,0)*(1+inf)^O$1</f>
        <v>0</v>
      </c>
      <c r="Q43" s="8">
        <f ca="1">IF(Q$2=Inputs!$B119,Inputs!$B118,0)*(1+inf)^P$1</f>
        <v>0</v>
      </c>
      <c r="R43" s="8">
        <f ca="1">IF(R$2=Inputs!$B119,Inputs!$B118,0)*(1+inf)^Q$1</f>
        <v>0</v>
      </c>
      <c r="S43" s="8">
        <f ca="1">IF(S$2=Inputs!$B119,Inputs!$B118,0)*(1+inf)^R$1</f>
        <v>0</v>
      </c>
      <c r="T43" s="8">
        <f ca="1">IF(T$2=Inputs!$B119,Inputs!$B118,0)*(1+inf)^S$1</f>
        <v>0</v>
      </c>
      <c r="U43" s="8">
        <f ca="1">IF(U$2=Inputs!$B119,Inputs!$B118,0)*(1+inf)^T$1</f>
        <v>0</v>
      </c>
      <c r="V43" s="8">
        <f ca="1">IF(V$2=Inputs!$B119,Inputs!$B118,0)*(1+inf)^U$1</f>
        <v>0</v>
      </c>
      <c r="W43" s="8">
        <f ca="1">IF(W$2=Inputs!$B119,Inputs!$B118,0)*(1+inf)^V$1</f>
        <v>0</v>
      </c>
      <c r="X43" s="8">
        <f ca="1">IF(X$2=Inputs!$B119,Inputs!$B118,0)*(1+inf)^W$1</f>
        <v>0</v>
      </c>
      <c r="Y43" s="8">
        <f ca="1">IF(Y$2=Inputs!$B119,Inputs!$B118,0)*(1+inf)^X$1</f>
        <v>0</v>
      </c>
      <c r="Z43" s="8">
        <f ca="1">IF(Z$2=Inputs!$B119,Inputs!$B118,0)*(1+inf)^Y$1</f>
        <v>0</v>
      </c>
      <c r="AA43" s="8">
        <f ca="1">IF(AA$2=Inputs!$B119,Inputs!$B118,0)*(1+inf)^Z$1</f>
        <v>0</v>
      </c>
      <c r="AB43" s="8">
        <f ca="1">IF(AB$2=Inputs!$B119,Inputs!$B118,0)*(1+inf)^AA$1</f>
        <v>0</v>
      </c>
      <c r="AC43" s="8">
        <f ca="1">IF(AC$2=Inputs!$B119,Inputs!$B118,0)*(1+inf)^AB$1</f>
        <v>0</v>
      </c>
      <c r="AD43" s="8">
        <f ca="1">IF(AD$2=Inputs!$B119,Inputs!$B118,0)*(1+inf)^AC$1</f>
        <v>0</v>
      </c>
      <c r="AE43" s="8">
        <f ca="1">IF(AE$2=Inputs!$B119,Inputs!$B118,0)*(1+inf)^AD$1</f>
        <v>0</v>
      </c>
      <c r="AF43" s="8">
        <f ca="1">IF(AF$2=Inputs!$B119,Inputs!$B118,0)*(1+inf)^AE$1</f>
        <v>0</v>
      </c>
      <c r="AG43" s="8">
        <f ca="1">IF(AG$2=Inputs!$B119,Inputs!$B118,0)*(1+inf)^AF$1</f>
        <v>0</v>
      </c>
      <c r="AH43" s="8">
        <f ca="1">IF(AH$2=Inputs!$B119,Inputs!$B118,0)*(1+inf)^AG$1</f>
        <v>0</v>
      </c>
      <c r="AI43" s="8">
        <f ca="1">IF(AI$2=Inputs!$B119,Inputs!$B118,0)*(1+inf)^AH$1</f>
        <v>0</v>
      </c>
      <c r="AJ43" s="8">
        <f ca="1">IF(AJ$2=Inputs!$B119,Inputs!$B118,0)*(1+inf)^AI$1</f>
        <v>0</v>
      </c>
      <c r="AK43" s="8">
        <f ca="1">IF(AK$2=Inputs!$B119,Inputs!$B118,0)*(1+inf)^AJ$1</f>
        <v>0</v>
      </c>
      <c r="AL43" s="8">
        <f ca="1">IF(AL$2=Inputs!$B119,Inputs!$B118,0)*(1+inf)^AK$1</f>
        <v>0</v>
      </c>
      <c r="AM43" s="8">
        <f ca="1">IF(AM$2=Inputs!$B119,Inputs!$B118,0)*(1+inf)^AL$1</f>
        <v>0</v>
      </c>
      <c r="AN43" s="8">
        <f ca="1">IF(AN$2=Inputs!$B119,Inputs!$B118,0)*(1+inf)^AM$1</f>
        <v>0</v>
      </c>
      <c r="AO43" s="8">
        <f ca="1">IF(AO$2=Inputs!$B119,Inputs!$B118,0)*(1+inf)^AN$1</f>
        <v>0</v>
      </c>
      <c r="AP43" s="8">
        <f ca="1">IF(AP$2=Inputs!$B119,Inputs!$B118,0)*(1+inf)^AO$1</f>
        <v>0</v>
      </c>
      <c r="AQ43" s="8">
        <f ca="1">IF(AQ$2=Inputs!$B119,Inputs!$B118,0)*(1+inf)^AP$1</f>
        <v>0</v>
      </c>
      <c r="AR43" s="8">
        <f ca="1">IF(AR$2=Inputs!$B119,Inputs!$B118,0)*(1+inf)^AQ$1</f>
        <v>0</v>
      </c>
      <c r="AS43" s="8">
        <f ca="1">IF(AS$2=Inputs!$B119,Inputs!$B118,0)*(1+inf)^AR$1</f>
        <v>0</v>
      </c>
      <c r="AT43" s="8">
        <f ca="1">IF(AT$2=Inputs!$B119,Inputs!$B118,0)*(1+inf)^AS$1</f>
        <v>0</v>
      </c>
      <c r="AU43" s="8">
        <f ca="1">IF(AU$2=Inputs!$B119,Inputs!$B118,0)*(1+inf)^AT$1</f>
        <v>0</v>
      </c>
      <c r="AV43" s="8">
        <f ca="1">IF(AV$2=Inputs!$B119,Inputs!$B118,0)*(1+inf)^AU$1</f>
        <v>0</v>
      </c>
      <c r="AW43" s="8">
        <f ca="1">IF(AW$2=Inputs!$B119,Inputs!$B118,0)*(1+inf)^AV$1</f>
        <v>0</v>
      </c>
    </row>
    <row r="44" spans="1:49" x14ac:dyDescent="0.2">
      <c r="A44" s="4" t="str">
        <f>TEXT(Inputs!$B$122,"")</f>
        <v/>
      </c>
      <c r="B44" s="9"/>
      <c r="C44" s="8">
        <f ca="1">IF(C$2=Inputs!$B124,Inputs!$B123,0)*(1+inf)^B$1</f>
        <v>0</v>
      </c>
      <c r="D44" s="8">
        <f ca="1">IF(D$2=Inputs!$B124,Inputs!$B123,0)*(1+inf)^C$1</f>
        <v>0</v>
      </c>
      <c r="E44" s="8">
        <f ca="1">IF(E$2=Inputs!$B124,Inputs!$B123,0)*(1+inf)^D$1</f>
        <v>0</v>
      </c>
      <c r="F44" s="8">
        <f ca="1">IF(F$2=Inputs!$B124,Inputs!$B123,0)*(1+inf)^E$1</f>
        <v>0</v>
      </c>
      <c r="G44" s="8">
        <f ca="1">IF(G$2=Inputs!$B124,Inputs!$B123,0)*(1+inf)^F$1</f>
        <v>0</v>
      </c>
      <c r="H44" s="8">
        <f ca="1">IF(H$2=Inputs!$B124,Inputs!$B123,0)*(1+inf)^G$1</f>
        <v>0</v>
      </c>
      <c r="I44" s="8">
        <f ca="1">IF(I$2=Inputs!$B124,Inputs!$B123,0)*(1+inf)^H$1</f>
        <v>0</v>
      </c>
      <c r="J44" s="8">
        <f ca="1">IF(J$2=Inputs!$B124,Inputs!$B123,0)*(1+inf)^I$1</f>
        <v>0</v>
      </c>
      <c r="K44" s="8">
        <f ca="1">IF(K$2=Inputs!$B124,Inputs!$B123,0)*(1+inf)^J$1</f>
        <v>0</v>
      </c>
      <c r="L44" s="8">
        <f ca="1">IF(L$2=Inputs!$B124,Inputs!$B123,0)*(1+inf)^K$1</f>
        <v>0</v>
      </c>
      <c r="M44" s="8">
        <f ca="1">IF(M$2=Inputs!$B124,Inputs!$B123,0)*(1+inf)^L$1</f>
        <v>0</v>
      </c>
      <c r="N44" s="8">
        <f ca="1">IF(N$2=Inputs!$B124,Inputs!$B123,0)*(1+inf)^M$1</f>
        <v>0</v>
      </c>
      <c r="O44" s="8">
        <f ca="1">IF(O$2=Inputs!$B124,Inputs!$B123,0)*(1+inf)^N$1</f>
        <v>0</v>
      </c>
      <c r="P44" s="8">
        <f ca="1">IF(P$2=Inputs!$B124,Inputs!$B123,0)*(1+inf)^O$1</f>
        <v>0</v>
      </c>
      <c r="Q44" s="8">
        <f ca="1">IF(Q$2=Inputs!$B124,Inputs!$B123,0)*(1+inf)^P$1</f>
        <v>0</v>
      </c>
      <c r="R44" s="8">
        <f ca="1">IF(R$2=Inputs!$B124,Inputs!$B123,0)*(1+inf)^Q$1</f>
        <v>0</v>
      </c>
      <c r="S44" s="8">
        <f ca="1">IF(S$2=Inputs!$B124,Inputs!$B123,0)*(1+inf)^R$1</f>
        <v>0</v>
      </c>
      <c r="T44" s="8">
        <f ca="1">IF(T$2=Inputs!$B124,Inputs!$B123,0)*(1+inf)^S$1</f>
        <v>0</v>
      </c>
      <c r="U44" s="8">
        <f ca="1">IF(U$2=Inputs!$B124,Inputs!$B123,0)*(1+inf)^T$1</f>
        <v>0</v>
      </c>
      <c r="V44" s="8">
        <f ca="1">IF(V$2=Inputs!$B124,Inputs!$B123,0)*(1+inf)^U$1</f>
        <v>0</v>
      </c>
      <c r="W44" s="8">
        <f ca="1">IF(W$2=Inputs!$B124,Inputs!$B123,0)*(1+inf)^V$1</f>
        <v>0</v>
      </c>
      <c r="X44" s="8">
        <f ca="1">IF(X$2=Inputs!$B124,Inputs!$B123,0)*(1+inf)^W$1</f>
        <v>0</v>
      </c>
      <c r="Y44" s="8">
        <f ca="1">IF(Y$2=Inputs!$B124,Inputs!$B123,0)*(1+inf)^X$1</f>
        <v>0</v>
      </c>
      <c r="Z44" s="8">
        <f ca="1">IF(Z$2=Inputs!$B124,Inputs!$B123,0)*(1+inf)^Y$1</f>
        <v>0</v>
      </c>
      <c r="AA44" s="8">
        <f ca="1">IF(AA$2=Inputs!$B124,Inputs!$B123,0)*(1+inf)^Z$1</f>
        <v>0</v>
      </c>
      <c r="AB44" s="8">
        <f ca="1">IF(AB$2=Inputs!$B124,Inputs!$B123,0)*(1+inf)^AA$1</f>
        <v>0</v>
      </c>
      <c r="AC44" s="8">
        <f ca="1">IF(AC$2=Inputs!$B124,Inputs!$B123,0)*(1+inf)^AB$1</f>
        <v>0</v>
      </c>
      <c r="AD44" s="8">
        <f ca="1">IF(AD$2=Inputs!$B124,Inputs!$B123,0)*(1+inf)^AC$1</f>
        <v>0</v>
      </c>
      <c r="AE44" s="8">
        <f ca="1">IF(AE$2=Inputs!$B124,Inputs!$B123,0)*(1+inf)^AD$1</f>
        <v>0</v>
      </c>
      <c r="AF44" s="8">
        <f ca="1">IF(AF$2=Inputs!$B124,Inputs!$B123,0)*(1+inf)^AE$1</f>
        <v>0</v>
      </c>
      <c r="AG44" s="8">
        <f ca="1">IF(AG$2=Inputs!$B124,Inputs!$B123,0)*(1+inf)^AF$1</f>
        <v>0</v>
      </c>
      <c r="AH44" s="8">
        <f ca="1">IF(AH$2=Inputs!$B124,Inputs!$B123,0)*(1+inf)^AG$1</f>
        <v>0</v>
      </c>
      <c r="AI44" s="8">
        <f ca="1">IF(AI$2=Inputs!$B124,Inputs!$B123,0)*(1+inf)^AH$1</f>
        <v>0</v>
      </c>
      <c r="AJ44" s="8">
        <f ca="1">IF(AJ$2=Inputs!$B124,Inputs!$B123,0)*(1+inf)^AI$1</f>
        <v>0</v>
      </c>
      <c r="AK44" s="8">
        <f ca="1">IF(AK$2=Inputs!$B124,Inputs!$B123,0)*(1+inf)^AJ$1</f>
        <v>0</v>
      </c>
      <c r="AL44" s="8">
        <f ca="1">IF(AL$2=Inputs!$B124,Inputs!$B123,0)*(1+inf)^AK$1</f>
        <v>0</v>
      </c>
      <c r="AM44" s="8">
        <f ca="1">IF(AM$2=Inputs!$B124,Inputs!$B123,0)*(1+inf)^AL$1</f>
        <v>0</v>
      </c>
      <c r="AN44" s="8">
        <f ca="1">IF(AN$2=Inputs!$B124,Inputs!$B123,0)*(1+inf)^AM$1</f>
        <v>0</v>
      </c>
      <c r="AO44" s="8">
        <f ca="1">IF(AO$2=Inputs!$B124,Inputs!$B123,0)*(1+inf)^AN$1</f>
        <v>0</v>
      </c>
      <c r="AP44" s="8">
        <f ca="1">IF(AP$2=Inputs!$B124,Inputs!$B123,0)*(1+inf)^AO$1</f>
        <v>0</v>
      </c>
      <c r="AQ44" s="8">
        <f ca="1">IF(AQ$2=Inputs!$B124,Inputs!$B123,0)*(1+inf)^AP$1</f>
        <v>0</v>
      </c>
      <c r="AR44" s="8">
        <f ca="1">IF(AR$2=Inputs!$B124,Inputs!$B123,0)*(1+inf)^AQ$1</f>
        <v>0</v>
      </c>
      <c r="AS44" s="8">
        <f ca="1">IF(AS$2=Inputs!$B124,Inputs!$B123,0)*(1+inf)^AR$1</f>
        <v>0</v>
      </c>
      <c r="AT44" s="8">
        <f ca="1">IF(AT$2=Inputs!$B124,Inputs!$B123,0)*(1+inf)^AS$1</f>
        <v>0</v>
      </c>
      <c r="AU44" s="8">
        <f ca="1">IF(AU$2=Inputs!$B124,Inputs!$B123,0)*(1+inf)^AT$1</f>
        <v>0</v>
      </c>
      <c r="AV44" s="8">
        <f ca="1">IF(AV$2=Inputs!$B124,Inputs!$B123,0)*(1+inf)^AU$1</f>
        <v>0</v>
      </c>
      <c r="AW44" s="8">
        <f ca="1">IF(AW$2=Inputs!$B124,Inputs!$B123,0)*(1+inf)^AV$1</f>
        <v>0</v>
      </c>
    </row>
    <row r="45" spans="1:49" x14ac:dyDescent="0.2">
      <c r="A45" s="4" t="str">
        <f>TEXT(Inputs!$B$127,"")</f>
        <v/>
      </c>
      <c r="B45" s="9"/>
      <c r="C45" s="8">
        <f ca="1">IF(C$2=Inputs!$B129,Inputs!$B128,0)*(1+inf)^B$1</f>
        <v>0</v>
      </c>
      <c r="D45" s="8">
        <f ca="1">IF(D$2=Inputs!$B129,Inputs!$B128,0)*(1+inf)^C$1</f>
        <v>0</v>
      </c>
      <c r="E45" s="8">
        <f ca="1">IF(E$2=Inputs!$B129,Inputs!$B128,0)*(1+inf)^D$1</f>
        <v>0</v>
      </c>
      <c r="F45" s="8">
        <f ca="1">IF(F$2=Inputs!$B129,Inputs!$B128,0)*(1+inf)^E$1</f>
        <v>0</v>
      </c>
      <c r="G45" s="8">
        <f ca="1">IF(G$2=Inputs!$B129,Inputs!$B128,0)*(1+inf)^F$1</f>
        <v>0</v>
      </c>
      <c r="H45" s="8">
        <f ca="1">IF(H$2=Inputs!$B129,Inputs!$B128,0)*(1+inf)^G$1</f>
        <v>0</v>
      </c>
      <c r="I45" s="8">
        <f ca="1">IF(I$2=Inputs!$B129,Inputs!$B128,0)*(1+inf)^H$1</f>
        <v>0</v>
      </c>
      <c r="J45" s="8">
        <f ca="1">IF(J$2=Inputs!$B129,Inputs!$B128,0)*(1+inf)^I$1</f>
        <v>0</v>
      </c>
      <c r="K45" s="8">
        <f ca="1">IF(K$2=Inputs!$B129,Inputs!$B128,0)*(1+inf)^J$1</f>
        <v>0</v>
      </c>
      <c r="L45" s="8">
        <f ca="1">IF(L$2=Inputs!$B129,Inputs!$B128,0)*(1+inf)^K$1</f>
        <v>0</v>
      </c>
      <c r="M45" s="8">
        <f ca="1">IF(M$2=Inputs!$B129,Inputs!$B128,0)*(1+inf)^L$1</f>
        <v>0</v>
      </c>
      <c r="N45" s="8">
        <f ca="1">IF(N$2=Inputs!$B129,Inputs!$B128,0)*(1+inf)^M$1</f>
        <v>0</v>
      </c>
      <c r="O45" s="8">
        <f ca="1">IF(O$2=Inputs!$B129,Inputs!$B128,0)*(1+inf)^N$1</f>
        <v>0</v>
      </c>
      <c r="P45" s="8">
        <f ca="1">IF(P$2=Inputs!$B129,Inputs!$B128,0)*(1+inf)^O$1</f>
        <v>0</v>
      </c>
      <c r="Q45" s="8">
        <f ca="1">IF(Q$2=Inputs!$B129,Inputs!$B128,0)*(1+inf)^P$1</f>
        <v>0</v>
      </c>
      <c r="R45" s="8">
        <f ca="1">IF(R$2=Inputs!$B129,Inputs!$B128,0)*(1+inf)^Q$1</f>
        <v>0</v>
      </c>
      <c r="S45" s="8">
        <f ca="1">IF(S$2=Inputs!$B129,Inputs!$B128,0)*(1+inf)^R$1</f>
        <v>0</v>
      </c>
      <c r="T45" s="8">
        <f ca="1">IF(T$2=Inputs!$B129,Inputs!$B128,0)*(1+inf)^S$1</f>
        <v>0</v>
      </c>
      <c r="U45" s="8">
        <f ca="1">IF(U$2=Inputs!$B129,Inputs!$B128,0)*(1+inf)^T$1</f>
        <v>0</v>
      </c>
      <c r="V45" s="8">
        <f ca="1">IF(V$2=Inputs!$B129,Inputs!$B128,0)*(1+inf)^U$1</f>
        <v>0</v>
      </c>
      <c r="W45" s="8">
        <f ca="1">IF(W$2=Inputs!$B129,Inputs!$B128,0)*(1+inf)^V$1</f>
        <v>0</v>
      </c>
      <c r="X45" s="8">
        <f ca="1">IF(X$2=Inputs!$B129,Inputs!$B128,0)*(1+inf)^W$1</f>
        <v>0</v>
      </c>
      <c r="Y45" s="8">
        <f ca="1">IF(Y$2=Inputs!$B129,Inputs!$B128,0)*(1+inf)^X$1</f>
        <v>0</v>
      </c>
      <c r="Z45" s="8">
        <f ca="1">IF(Z$2=Inputs!$B129,Inputs!$B128,0)*(1+inf)^Y$1</f>
        <v>0</v>
      </c>
      <c r="AA45" s="8">
        <f ca="1">IF(AA$2=Inputs!$B129,Inputs!$B128,0)*(1+inf)^Z$1</f>
        <v>0</v>
      </c>
      <c r="AB45" s="8">
        <f ca="1">IF(AB$2=Inputs!$B129,Inputs!$B128,0)*(1+inf)^AA$1</f>
        <v>0</v>
      </c>
      <c r="AC45" s="8">
        <f ca="1">IF(AC$2=Inputs!$B129,Inputs!$B128,0)*(1+inf)^AB$1</f>
        <v>0</v>
      </c>
      <c r="AD45" s="8">
        <f ca="1">IF(AD$2=Inputs!$B129,Inputs!$B128,0)*(1+inf)^AC$1</f>
        <v>0</v>
      </c>
      <c r="AE45" s="8">
        <f ca="1">IF(AE$2=Inputs!$B129,Inputs!$B128,0)*(1+inf)^AD$1</f>
        <v>0</v>
      </c>
      <c r="AF45" s="8">
        <f ca="1">IF(AF$2=Inputs!$B129,Inputs!$B128,0)*(1+inf)^AE$1</f>
        <v>0</v>
      </c>
      <c r="AG45" s="8">
        <f ca="1">IF(AG$2=Inputs!$B129,Inputs!$B128,0)*(1+inf)^AF$1</f>
        <v>0</v>
      </c>
      <c r="AH45" s="8">
        <f ca="1">IF(AH$2=Inputs!$B129,Inputs!$B128,0)*(1+inf)^AG$1</f>
        <v>0</v>
      </c>
      <c r="AI45" s="8">
        <f ca="1">IF(AI$2=Inputs!$B129,Inputs!$B128,0)*(1+inf)^AH$1</f>
        <v>0</v>
      </c>
      <c r="AJ45" s="8">
        <f ca="1">IF(AJ$2=Inputs!$B129,Inputs!$B128,0)*(1+inf)^AI$1</f>
        <v>0</v>
      </c>
      <c r="AK45" s="8">
        <f ca="1">IF(AK$2=Inputs!$B129,Inputs!$B128,0)*(1+inf)^AJ$1</f>
        <v>0</v>
      </c>
      <c r="AL45" s="8">
        <f ca="1">IF(AL$2=Inputs!$B129,Inputs!$B128,0)*(1+inf)^AK$1</f>
        <v>0</v>
      </c>
      <c r="AM45" s="8">
        <f ca="1">IF(AM$2=Inputs!$B129,Inputs!$B128,0)*(1+inf)^AL$1</f>
        <v>0</v>
      </c>
      <c r="AN45" s="8">
        <f ca="1">IF(AN$2=Inputs!$B129,Inputs!$B128,0)*(1+inf)^AM$1</f>
        <v>0</v>
      </c>
      <c r="AO45" s="8">
        <f ca="1">IF(AO$2=Inputs!$B129,Inputs!$B128,0)*(1+inf)^AN$1</f>
        <v>0</v>
      </c>
      <c r="AP45" s="8">
        <f ca="1">IF(AP$2=Inputs!$B129,Inputs!$B128,0)*(1+inf)^AO$1</f>
        <v>0</v>
      </c>
      <c r="AQ45" s="8">
        <f ca="1">IF(AQ$2=Inputs!$B129,Inputs!$B128,0)*(1+inf)^AP$1</f>
        <v>0</v>
      </c>
      <c r="AR45" s="8">
        <f ca="1">IF(AR$2=Inputs!$B129,Inputs!$B128,0)*(1+inf)^AQ$1</f>
        <v>0</v>
      </c>
      <c r="AS45" s="8">
        <f ca="1">IF(AS$2=Inputs!$B129,Inputs!$B128,0)*(1+inf)^AR$1</f>
        <v>0</v>
      </c>
      <c r="AT45" s="8">
        <f ca="1">IF(AT$2=Inputs!$B129,Inputs!$B128,0)*(1+inf)^AS$1</f>
        <v>0</v>
      </c>
      <c r="AU45" s="8">
        <f ca="1">IF(AU$2=Inputs!$B129,Inputs!$B128,0)*(1+inf)^AT$1</f>
        <v>0</v>
      </c>
      <c r="AV45" s="8">
        <f ca="1">IF(AV$2=Inputs!$B129,Inputs!$B128,0)*(1+inf)^AU$1</f>
        <v>0</v>
      </c>
      <c r="AW45" s="8">
        <f ca="1">IF(AW$2=Inputs!$B129,Inputs!$B128,0)*(1+inf)^AV$1</f>
        <v>0</v>
      </c>
    </row>
    <row r="46" spans="1:49" x14ac:dyDescent="0.2">
      <c r="A46" s="5"/>
      <c r="C46" s="10">
        <f t="shared" ref="C46:G46" ca="1" si="24">SUM(C20:C45)</f>
        <v>60100</v>
      </c>
      <c r="D46" s="10">
        <f t="shared" ca="1" si="24"/>
        <v>61362.499999999993</v>
      </c>
      <c r="E46" s="10">
        <f t="shared" ca="1" si="24"/>
        <v>62656.562499999993</v>
      </c>
      <c r="F46" s="10">
        <f t="shared" ca="1" si="24"/>
        <v>63982.976562499993</v>
      </c>
      <c r="G46" s="10">
        <f t="shared" ca="1" si="24"/>
        <v>65342.550976562488</v>
      </c>
      <c r="H46" s="10">
        <f t="shared" ref="H46:AM46" ca="1" si="25">SUM(H20:H45)</f>
        <v>66736.114750976543</v>
      </c>
      <c r="I46" s="10">
        <f t="shared" ca="1" si="25"/>
        <v>68164.517619750957</v>
      </c>
      <c r="J46" s="10">
        <f t="shared" ca="1" si="25"/>
        <v>69628.630560244739</v>
      </c>
      <c r="K46" s="10">
        <f t="shared" ca="1" si="25"/>
        <v>71129.346324250844</v>
      </c>
      <c r="L46" s="10">
        <f t="shared" ca="1" si="25"/>
        <v>72667.5799823571</v>
      </c>
      <c r="M46" s="10">
        <f t="shared" ca="1" si="25"/>
        <v>74244.269481916024</v>
      </c>
      <c r="N46" s="10">
        <f t="shared" ca="1" si="25"/>
        <v>75860.376218963938</v>
      </c>
      <c r="O46" s="10">
        <f t="shared" ca="1" si="25"/>
        <v>77516.885624438029</v>
      </c>
      <c r="P46" s="10">
        <f t="shared" ca="1" si="25"/>
        <v>79214.807765048972</v>
      </c>
      <c r="Q46" s="10">
        <f t="shared" ca="1" si="25"/>
        <v>80955.177959175184</v>
      </c>
      <c r="R46" s="10">
        <f t="shared" ca="1" si="25"/>
        <v>79728.141982315923</v>
      </c>
      <c r="S46" s="10">
        <f t="shared" ca="1" si="25"/>
        <v>74967.533843358426</v>
      </c>
      <c r="T46" s="10">
        <f t="shared" ca="1" si="25"/>
        <v>76841.722189442386</v>
      </c>
      <c r="U46" s="10">
        <f t="shared" ca="1" si="25"/>
        <v>70964.471655645932</v>
      </c>
      <c r="V46" s="10">
        <f t="shared" ca="1" si="25"/>
        <v>72738.583447037076</v>
      </c>
      <c r="W46" s="10">
        <f t="shared" ca="1" si="25"/>
        <v>74557.048033212981</v>
      </c>
      <c r="X46" s="10">
        <f t="shared" ca="1" si="25"/>
        <v>76420.974234043329</v>
      </c>
      <c r="Y46" s="10">
        <f t="shared" ca="1" si="25"/>
        <v>78331.4985898944</v>
      </c>
      <c r="Z46" s="10">
        <f t="shared" ca="1" si="25"/>
        <v>80289.786054641765</v>
      </c>
      <c r="AA46" s="10">
        <f t="shared" ca="1" si="25"/>
        <v>82297.03070600779</v>
      </c>
      <c r="AB46" s="10">
        <f t="shared" ca="1" si="25"/>
        <v>84354.456473657978</v>
      </c>
      <c r="AC46" s="10">
        <f t="shared" ca="1" si="25"/>
        <v>86463.317885499418</v>
      </c>
      <c r="AD46" s="10">
        <f t="shared" ca="1" si="25"/>
        <v>88624.900832636908</v>
      </c>
      <c r="AE46" s="10">
        <f t="shared" ca="1" si="25"/>
        <v>80858.048259666801</v>
      </c>
      <c r="AF46" s="10">
        <f t="shared" ca="1" si="25"/>
        <v>82879.499466158479</v>
      </c>
      <c r="AG46" s="10">
        <f t="shared" ca="1" si="25"/>
        <v>84951.486952812411</v>
      </c>
      <c r="AH46" s="10">
        <f t="shared" ca="1" si="25"/>
        <v>87075.27412663275</v>
      </c>
      <c r="AI46" s="10">
        <f t="shared" ca="1" si="25"/>
        <v>89252.155979798539</v>
      </c>
      <c r="AJ46" s="10">
        <f t="shared" ca="1" si="25"/>
        <v>91483.459879293514</v>
      </c>
      <c r="AK46" s="10">
        <f t="shared" ca="1" si="25"/>
        <v>93770.546376275845</v>
      </c>
      <c r="AL46" s="10">
        <f t="shared" ca="1" si="25"/>
        <v>96114.81003568272</v>
      </c>
      <c r="AM46" s="10">
        <f t="shared" ca="1" si="25"/>
        <v>98517.680286574803</v>
      </c>
      <c r="AN46" s="10">
        <f t="shared" ref="AN46:AV46" ca="1" si="26">SUM(AN20:AN45)</f>
        <v>100980.62229373917</v>
      </c>
      <c r="AO46" s="10">
        <f t="shared" ca="1" si="26"/>
        <v>103505.1378510826</v>
      </c>
      <c r="AP46" s="10">
        <f t="shared" ca="1" si="26"/>
        <v>106092.7662973597</v>
      </c>
      <c r="AQ46" s="10">
        <f t="shared" ca="1" si="26"/>
        <v>108745.08545479368</v>
      </c>
      <c r="AR46" s="10">
        <f t="shared" ca="1" si="26"/>
        <v>111463.71259116351</v>
      </c>
      <c r="AS46" s="10">
        <f t="shared" ca="1" si="26"/>
        <v>114250.30540594259</v>
      </c>
      <c r="AT46" s="10">
        <f t="shared" ca="1" si="26"/>
        <v>117106.56304109115</v>
      </c>
      <c r="AU46" s="10">
        <f t="shared" ca="1" si="26"/>
        <v>120034.22711711843</v>
      </c>
      <c r="AV46" s="10">
        <f t="shared" ca="1" si="26"/>
        <v>123035.08279504639</v>
      </c>
      <c r="AW46" s="10">
        <f t="shared" ref="AW46" ca="1" si="27">SUM(AW20:AW45)</f>
        <v>126110.95986492252</v>
      </c>
    </row>
    <row r="47" spans="1:49" x14ac:dyDescent="0.2">
      <c r="A47" s="5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ht="19" x14ac:dyDescent="0.25">
      <c r="A48" s="14" t="s">
        <v>19</v>
      </c>
      <c r="C48" s="8">
        <f t="shared" ref="C48:G48" ca="1" si="28">C19-C46</f>
        <v>4898.75</v>
      </c>
      <c r="D48" s="8">
        <f t="shared" ca="1" si="28"/>
        <v>5565.4375000000073</v>
      </c>
      <c r="E48" s="8">
        <f t="shared" ca="1" si="28"/>
        <v>6271.5101562500131</v>
      </c>
      <c r="F48" s="8">
        <f t="shared" ca="1" si="28"/>
        <v>7018.7939218750034</v>
      </c>
      <c r="G48" s="8">
        <f t="shared" ca="1" si="28"/>
        <v>7809.1896331835887</v>
      </c>
      <c r="H48" s="8">
        <f t="shared" ref="H48:AM48" ca="1" si="29">H19-H46</f>
        <v>8644.6758586439537</v>
      </c>
      <c r="I48" s="8">
        <f t="shared" ca="1" si="29"/>
        <v>9527.3118508877087</v>
      </c>
      <c r="J48" s="8">
        <f t="shared" ca="1" si="29"/>
        <v>10459.240605334067</v>
      </c>
      <c r="K48" s="8">
        <f t="shared" ca="1" si="29"/>
        <v>11442.692029148049</v>
      </c>
      <c r="L48" s="8">
        <f t="shared" ca="1" si="29"/>
        <v>12479.986224373104</v>
      </c>
      <c r="M48" s="8">
        <f t="shared" ca="1" si="29"/>
        <v>13573.536889207811</v>
      </c>
      <c r="N48" s="8">
        <f t="shared" ca="1" si="29"/>
        <v>-69366.352804978407</v>
      </c>
      <c r="O48" s="8">
        <f t="shared" ca="1" si="29"/>
        <v>-72777.727398145376</v>
      </c>
      <c r="P48" s="8">
        <f t="shared" ca="1" si="29"/>
        <v>-76316.316750467595</v>
      </c>
      <c r="Q48" s="8">
        <f t="shared" ca="1" si="29"/>
        <v>-79986.349490782071</v>
      </c>
      <c r="R48" s="8">
        <f t="shared" ca="1" si="29"/>
        <v>-79728.141982315923</v>
      </c>
      <c r="S48" s="8">
        <f t="shared" ca="1" si="29"/>
        <v>-74967.533843358426</v>
      </c>
      <c r="T48" s="8">
        <f t="shared" ca="1" si="29"/>
        <v>-52191.506358373736</v>
      </c>
      <c r="U48" s="8">
        <f t="shared" ca="1" si="29"/>
        <v>-45698.000428800566</v>
      </c>
      <c r="V48" s="8">
        <f t="shared" ca="1" si="29"/>
        <v>-46840.450439520573</v>
      </c>
      <c r="W48" s="8">
        <f t="shared" ca="1" si="29"/>
        <v>-48011.461700508575</v>
      </c>
      <c r="X48" s="8">
        <f t="shared" ca="1" si="29"/>
        <v>-49211.748243021313</v>
      </c>
      <c r="Y48" s="8">
        <f t="shared" ca="1" si="29"/>
        <v>-50442.041949096834</v>
      </c>
      <c r="Z48" s="8">
        <f t="shared" ca="1" si="29"/>
        <v>-51703.092997824264</v>
      </c>
      <c r="AA48" s="8">
        <f t="shared" ca="1" si="29"/>
        <v>-52995.670322769853</v>
      </c>
      <c r="AB48" s="8">
        <f t="shared" ca="1" si="29"/>
        <v>-54320.562080839096</v>
      </c>
      <c r="AC48" s="8">
        <f t="shared" ca="1" si="29"/>
        <v>-55678.576132860064</v>
      </c>
      <c r="AD48" s="8">
        <f t="shared" ca="1" si="29"/>
        <v>-57070.540536181572</v>
      </c>
      <c r="AE48" s="8">
        <f t="shared" ca="1" si="29"/>
        <v>-48514.828955800083</v>
      </c>
      <c r="AF48" s="8">
        <f t="shared" ca="1" si="29"/>
        <v>-49727.699679695092</v>
      </c>
      <c r="AG48" s="8">
        <f t="shared" ca="1" si="29"/>
        <v>-50970.892171687447</v>
      </c>
      <c r="AH48" s="8">
        <f t="shared" ca="1" si="29"/>
        <v>-52245.164475979655</v>
      </c>
      <c r="AI48" s="8">
        <f t="shared" ca="1" si="29"/>
        <v>-53551.293587879118</v>
      </c>
      <c r="AJ48" s="8">
        <f t="shared" ca="1" si="29"/>
        <v>-54890.075927576108</v>
      </c>
      <c r="AK48" s="8">
        <f t="shared" ca="1" si="29"/>
        <v>-56262.327825765511</v>
      </c>
      <c r="AL48" s="8">
        <f t="shared" ca="1" si="29"/>
        <v>-57668.886021409628</v>
      </c>
      <c r="AM48" s="8">
        <f t="shared" ca="1" si="29"/>
        <v>-59110.608171944885</v>
      </c>
      <c r="AN48" s="8">
        <f t="shared" ref="AN48:AV48" ca="1" si="30">AN19-AN46</f>
        <v>-60588.3733762435</v>
      </c>
      <c r="AO48" s="8">
        <f t="shared" ca="1" si="30"/>
        <v>-62103.082710649556</v>
      </c>
      <c r="AP48" s="8">
        <f t="shared" ca="1" si="30"/>
        <v>-63655.659778415829</v>
      </c>
      <c r="AQ48" s="8">
        <f t="shared" ca="1" si="30"/>
        <v>-65247.051272876204</v>
      </c>
      <c r="AR48" s="8">
        <f t="shared" ca="1" si="30"/>
        <v>-66878.227554698111</v>
      </c>
      <c r="AS48" s="8">
        <f t="shared" ca="1" si="30"/>
        <v>-68550.183243565552</v>
      </c>
      <c r="AT48" s="8">
        <f t="shared" ca="1" si="30"/>
        <v>-70263.937824654684</v>
      </c>
      <c r="AU48" s="8">
        <f t="shared" ca="1" si="30"/>
        <v>-72020.536270271055</v>
      </c>
      <c r="AV48" s="8">
        <f t="shared" ca="1" si="30"/>
        <v>-73821.049677027826</v>
      </c>
      <c r="AW48" s="8">
        <f t="shared" ref="AW48" ca="1" si="31">AW19-AW46</f>
        <v>-75666.575918953517</v>
      </c>
    </row>
    <row r="49" spans="1:49" x14ac:dyDescent="0.2">
      <c r="A49" s="5" t="s">
        <v>10</v>
      </c>
      <c r="C49" s="8">
        <f>Inputs!B8</f>
        <v>200000</v>
      </c>
      <c r="D49" s="8">
        <f ca="1">C50</f>
        <v>204898.75</v>
      </c>
      <c r="E49" s="8">
        <f t="shared" ref="E49:AM49" ca="1" si="32">D50</f>
        <v>210464.1875</v>
      </c>
      <c r="F49" s="8">
        <f t="shared" ca="1" si="32"/>
        <v>216735.69765625001</v>
      </c>
      <c r="G49" s="8">
        <f t="shared" ca="1" si="32"/>
        <v>223754.49157812502</v>
      </c>
      <c r="H49" s="8">
        <f t="shared" ca="1" si="32"/>
        <v>231563.68121130861</v>
      </c>
      <c r="I49" s="8">
        <f t="shared" ca="1" si="32"/>
        <v>240208.35706995256</v>
      </c>
      <c r="J49" s="8">
        <f t="shared" ca="1" si="32"/>
        <v>249735.66892084025</v>
      </c>
      <c r="K49" s="8">
        <f t="shared" ca="1" si="32"/>
        <v>260194.90952617431</v>
      </c>
      <c r="L49" s="8">
        <f t="shared" ca="1" si="32"/>
        <v>271637.60155532236</v>
      </c>
      <c r="M49" s="8">
        <f t="shared" ca="1" si="32"/>
        <v>284117.58777969546</v>
      </c>
      <c r="N49" s="8">
        <f t="shared" ca="1" si="32"/>
        <v>297691.1246689033</v>
      </c>
      <c r="O49" s="8">
        <f t="shared" ca="1" si="32"/>
        <v>228324.77186392489</v>
      </c>
      <c r="P49" s="8">
        <f t="shared" ca="1" si="32"/>
        <v>155547.0444657795</v>
      </c>
      <c r="Q49" s="8">
        <f t="shared" ca="1" si="32"/>
        <v>79230.727715311907</v>
      </c>
      <c r="R49" s="8">
        <f t="shared" ca="1" si="32"/>
        <v>-755.62177547016472</v>
      </c>
      <c r="S49" s="8">
        <f t="shared" ca="1" si="32"/>
        <v>-80483.763757786088</v>
      </c>
      <c r="T49" s="8">
        <f t="shared" ca="1" si="32"/>
        <v>-155451.29760114453</v>
      </c>
      <c r="U49" s="8">
        <f t="shared" ca="1" si="32"/>
        <v>-207642.80395951826</v>
      </c>
      <c r="V49" s="8">
        <f t="shared" ca="1" si="32"/>
        <v>-253340.80438831882</v>
      </c>
      <c r="W49" s="8">
        <f t="shared" ca="1" si="32"/>
        <v>-300181.25482783938</v>
      </c>
      <c r="X49" s="8">
        <f t="shared" ca="1" si="32"/>
        <v>-348192.71652834793</v>
      </c>
      <c r="Y49" s="8">
        <f t="shared" ca="1" si="32"/>
        <v>-397404.46477136924</v>
      </c>
      <c r="Z49" s="8">
        <f t="shared" ca="1" si="32"/>
        <v>-447846.50672046607</v>
      </c>
      <c r="AA49" s="8">
        <f t="shared" ca="1" si="32"/>
        <v>-499549.59971829032</v>
      </c>
      <c r="AB49" s="8">
        <f t="shared" ca="1" si="32"/>
        <v>-552545.27004106017</v>
      </c>
      <c r="AC49" s="8">
        <f t="shared" ca="1" si="32"/>
        <v>-606865.83212189924</v>
      </c>
      <c r="AD49" s="8">
        <f t="shared" ca="1" si="32"/>
        <v>-662544.40825475927</v>
      </c>
      <c r="AE49" s="8">
        <f t="shared" ca="1" si="32"/>
        <v>-719614.94879094081</v>
      </c>
      <c r="AF49" s="8">
        <f t="shared" ca="1" si="32"/>
        <v>-768129.77774674085</v>
      </c>
      <c r="AG49" s="8">
        <f t="shared" ca="1" si="32"/>
        <v>-817857.47742643591</v>
      </c>
      <c r="AH49" s="8">
        <f t="shared" ca="1" si="32"/>
        <v>-868828.36959812336</v>
      </c>
      <c r="AI49" s="8">
        <f t="shared" ca="1" si="32"/>
        <v>-921073.53407410299</v>
      </c>
      <c r="AJ49" s="8">
        <f t="shared" ca="1" si="32"/>
        <v>-974624.82766198216</v>
      </c>
      <c r="AK49" s="8">
        <f t="shared" ca="1" si="32"/>
        <v>-1029514.9035895583</v>
      </c>
      <c r="AL49" s="8">
        <f t="shared" ca="1" si="32"/>
        <v>-1085777.2314153239</v>
      </c>
      <c r="AM49" s="8">
        <f t="shared" ca="1" si="32"/>
        <v>-1143446.1174367336</v>
      </c>
      <c r="AN49" s="8">
        <f t="shared" ref="AN49" ca="1" si="33">AM50</f>
        <v>-1202556.7256086785</v>
      </c>
      <c r="AO49" s="8">
        <f t="shared" ref="AO49" ca="1" si="34">AN50</f>
        <v>-1263145.098984922</v>
      </c>
      <c r="AP49" s="8">
        <f t="shared" ref="AP49" ca="1" si="35">AO50</f>
        <v>-1325248.1816955716</v>
      </c>
      <c r="AQ49" s="8">
        <f t="shared" ref="AQ49" ca="1" si="36">AP50</f>
        <v>-1388903.8414739876</v>
      </c>
      <c r="AR49" s="8">
        <f t="shared" ref="AR49" ca="1" si="37">AQ50</f>
        <v>-1454150.8927468637</v>
      </c>
      <c r="AS49" s="8">
        <f t="shared" ref="AS49" ca="1" si="38">AR50</f>
        <v>-1521029.1203015617</v>
      </c>
      <c r="AT49" s="8">
        <f t="shared" ref="AT49" ca="1" si="39">AS50</f>
        <v>-1589579.3035451272</v>
      </c>
      <c r="AU49" s="8">
        <f t="shared" ref="AU49" ca="1" si="40">AT50</f>
        <v>-1659843.2413697818</v>
      </c>
      <c r="AV49" s="8">
        <f t="shared" ref="AV49:AW49" ca="1" si="41">AU50</f>
        <v>-1731863.7776400528</v>
      </c>
      <c r="AW49" s="8">
        <f t="shared" ca="1" si="41"/>
        <v>-1805684.8273170807</v>
      </c>
    </row>
    <row r="50" spans="1:49" x14ac:dyDescent="0.2">
      <c r="A50" s="5" t="s">
        <v>11</v>
      </c>
      <c r="C50" s="10">
        <f ca="1">SUM(C48:C49)</f>
        <v>204898.75</v>
      </c>
      <c r="D50" s="10">
        <f t="shared" ref="D50:G50" ca="1" si="42">SUM(D48:D49)</f>
        <v>210464.1875</v>
      </c>
      <c r="E50" s="10">
        <f t="shared" ca="1" si="42"/>
        <v>216735.69765625001</v>
      </c>
      <c r="F50" s="10">
        <f t="shared" ca="1" si="42"/>
        <v>223754.49157812502</v>
      </c>
      <c r="G50" s="10">
        <f t="shared" ca="1" si="42"/>
        <v>231563.68121130861</v>
      </c>
      <c r="H50" s="10">
        <f t="shared" ref="H50:AM50" ca="1" si="43">SUM(H48:H49)</f>
        <v>240208.35706995256</v>
      </c>
      <c r="I50" s="10">
        <f t="shared" ca="1" si="43"/>
        <v>249735.66892084025</v>
      </c>
      <c r="J50" s="10">
        <f t="shared" ca="1" si="43"/>
        <v>260194.90952617431</v>
      </c>
      <c r="K50" s="10">
        <f t="shared" ca="1" si="43"/>
        <v>271637.60155532236</v>
      </c>
      <c r="L50" s="10">
        <f t="shared" ca="1" si="43"/>
        <v>284117.58777969546</v>
      </c>
      <c r="M50" s="10">
        <f t="shared" ca="1" si="43"/>
        <v>297691.1246689033</v>
      </c>
      <c r="N50" s="10">
        <f t="shared" ca="1" si="43"/>
        <v>228324.77186392489</v>
      </c>
      <c r="O50" s="10">
        <f t="shared" ca="1" si="43"/>
        <v>155547.0444657795</v>
      </c>
      <c r="P50" s="10">
        <f t="shared" ca="1" si="43"/>
        <v>79230.727715311907</v>
      </c>
      <c r="Q50" s="10">
        <f t="shared" ca="1" si="43"/>
        <v>-755.62177547016472</v>
      </c>
      <c r="R50" s="10">
        <f t="shared" ca="1" si="43"/>
        <v>-80483.763757786088</v>
      </c>
      <c r="S50" s="10">
        <f t="shared" ca="1" si="43"/>
        <v>-155451.29760114453</v>
      </c>
      <c r="T50" s="10">
        <f t="shared" ca="1" si="43"/>
        <v>-207642.80395951826</v>
      </c>
      <c r="U50" s="10">
        <f t="shared" ca="1" si="43"/>
        <v>-253340.80438831882</v>
      </c>
      <c r="V50" s="10">
        <f t="shared" ca="1" si="43"/>
        <v>-300181.25482783938</v>
      </c>
      <c r="W50" s="10">
        <f t="shared" ca="1" si="43"/>
        <v>-348192.71652834793</v>
      </c>
      <c r="X50" s="10">
        <f t="shared" ca="1" si="43"/>
        <v>-397404.46477136924</v>
      </c>
      <c r="Y50" s="10">
        <f t="shared" ca="1" si="43"/>
        <v>-447846.50672046607</v>
      </c>
      <c r="Z50" s="10">
        <f t="shared" ca="1" si="43"/>
        <v>-499549.59971829032</v>
      </c>
      <c r="AA50" s="10">
        <f t="shared" ca="1" si="43"/>
        <v>-552545.27004106017</v>
      </c>
      <c r="AB50" s="10">
        <f t="shared" ca="1" si="43"/>
        <v>-606865.83212189924</v>
      </c>
      <c r="AC50" s="10">
        <f t="shared" ca="1" si="43"/>
        <v>-662544.40825475927</v>
      </c>
      <c r="AD50" s="10">
        <f t="shared" ca="1" si="43"/>
        <v>-719614.94879094081</v>
      </c>
      <c r="AE50" s="10">
        <f t="shared" ca="1" si="43"/>
        <v>-768129.77774674085</v>
      </c>
      <c r="AF50" s="10">
        <f t="shared" ca="1" si="43"/>
        <v>-817857.47742643591</v>
      </c>
      <c r="AG50" s="10">
        <f t="shared" ca="1" si="43"/>
        <v>-868828.36959812336</v>
      </c>
      <c r="AH50" s="10">
        <f t="shared" ca="1" si="43"/>
        <v>-921073.53407410299</v>
      </c>
      <c r="AI50" s="10">
        <f t="shared" ca="1" si="43"/>
        <v>-974624.82766198216</v>
      </c>
      <c r="AJ50" s="10">
        <f t="shared" ca="1" si="43"/>
        <v>-1029514.9035895583</v>
      </c>
      <c r="AK50" s="10">
        <f t="shared" ca="1" si="43"/>
        <v>-1085777.2314153239</v>
      </c>
      <c r="AL50" s="10">
        <f t="shared" ca="1" si="43"/>
        <v>-1143446.1174367336</v>
      </c>
      <c r="AM50" s="10">
        <f t="shared" ca="1" si="43"/>
        <v>-1202556.7256086785</v>
      </c>
      <c r="AN50" s="10">
        <f t="shared" ref="AN50:AV50" ca="1" si="44">SUM(AN48:AN49)</f>
        <v>-1263145.098984922</v>
      </c>
      <c r="AO50" s="10">
        <f t="shared" ca="1" si="44"/>
        <v>-1325248.1816955716</v>
      </c>
      <c r="AP50" s="10">
        <f t="shared" ca="1" si="44"/>
        <v>-1388903.8414739876</v>
      </c>
      <c r="AQ50" s="10">
        <f t="shared" ca="1" si="44"/>
        <v>-1454150.8927468637</v>
      </c>
      <c r="AR50" s="10">
        <f t="shared" ca="1" si="44"/>
        <v>-1521029.1203015617</v>
      </c>
      <c r="AS50" s="10">
        <f t="shared" ca="1" si="44"/>
        <v>-1589579.3035451272</v>
      </c>
      <c r="AT50" s="10">
        <f t="shared" ca="1" si="44"/>
        <v>-1659843.2413697818</v>
      </c>
      <c r="AU50" s="10">
        <f t="shared" ca="1" si="44"/>
        <v>-1731863.7776400528</v>
      </c>
      <c r="AV50" s="10">
        <f t="shared" ca="1" si="44"/>
        <v>-1805684.8273170807</v>
      </c>
      <c r="AW50" s="10">
        <f t="shared" ref="AW50" ca="1" si="45">SUM(AW48:AW49)</f>
        <v>-1881351.4032360343</v>
      </c>
    </row>
    <row r="51" spans="1:49" x14ac:dyDescent="0.2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ht="19" x14ac:dyDescent="0.25">
      <c r="A52" s="30" t="s">
        <v>82</v>
      </c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</row>
    <row r="53" spans="1:49" x14ac:dyDescent="0.2">
      <c r="A53" s="5" t="s">
        <v>9</v>
      </c>
      <c r="C53" s="8">
        <f t="shared" ref="C53:G53" ca="1" si="46">C50</f>
        <v>204898.75</v>
      </c>
      <c r="D53" s="8">
        <f t="shared" ca="1" si="46"/>
        <v>210464.1875</v>
      </c>
      <c r="E53" s="8">
        <f t="shared" ca="1" si="46"/>
        <v>216735.69765625001</v>
      </c>
      <c r="F53" s="8">
        <f t="shared" ca="1" si="46"/>
        <v>223754.49157812502</v>
      </c>
      <c r="G53" s="8">
        <f t="shared" ca="1" si="46"/>
        <v>231563.68121130861</v>
      </c>
      <c r="H53" s="8">
        <f t="shared" ref="H53:AM53" ca="1" si="47">H50</f>
        <v>240208.35706995256</v>
      </c>
      <c r="I53" s="8">
        <f t="shared" ca="1" si="47"/>
        <v>249735.66892084025</v>
      </c>
      <c r="J53" s="8">
        <f t="shared" ca="1" si="47"/>
        <v>260194.90952617431</v>
      </c>
      <c r="K53" s="8">
        <f t="shared" ca="1" si="47"/>
        <v>271637.60155532236</v>
      </c>
      <c r="L53" s="8">
        <f t="shared" ca="1" si="47"/>
        <v>284117.58777969546</v>
      </c>
      <c r="M53" s="8">
        <f t="shared" ca="1" si="47"/>
        <v>297691.1246689033</v>
      </c>
      <c r="N53" s="8">
        <f t="shared" ca="1" si="47"/>
        <v>228324.77186392489</v>
      </c>
      <c r="O53" s="8">
        <f t="shared" ca="1" si="47"/>
        <v>155547.0444657795</v>
      </c>
      <c r="P53" s="8">
        <f t="shared" ca="1" si="47"/>
        <v>79230.727715311907</v>
      </c>
      <c r="Q53" s="8">
        <f t="shared" ca="1" si="47"/>
        <v>-755.62177547016472</v>
      </c>
      <c r="R53" s="8">
        <f t="shared" ca="1" si="47"/>
        <v>-80483.763757786088</v>
      </c>
      <c r="S53" s="8">
        <f t="shared" ca="1" si="47"/>
        <v>-155451.29760114453</v>
      </c>
      <c r="T53" s="8">
        <f t="shared" ca="1" si="47"/>
        <v>-207642.80395951826</v>
      </c>
      <c r="U53" s="8">
        <f t="shared" ca="1" si="47"/>
        <v>-253340.80438831882</v>
      </c>
      <c r="V53" s="8">
        <f t="shared" ca="1" si="47"/>
        <v>-300181.25482783938</v>
      </c>
      <c r="W53" s="8">
        <f t="shared" ca="1" si="47"/>
        <v>-348192.71652834793</v>
      </c>
      <c r="X53" s="8">
        <f t="shared" ca="1" si="47"/>
        <v>-397404.46477136924</v>
      </c>
      <c r="Y53" s="8">
        <f t="shared" ca="1" si="47"/>
        <v>-447846.50672046607</v>
      </c>
      <c r="Z53" s="8">
        <f t="shared" ca="1" si="47"/>
        <v>-499549.59971829032</v>
      </c>
      <c r="AA53" s="8">
        <f t="shared" ca="1" si="47"/>
        <v>-552545.27004106017</v>
      </c>
      <c r="AB53" s="8">
        <f t="shared" ca="1" si="47"/>
        <v>-606865.83212189924</v>
      </c>
      <c r="AC53" s="8">
        <f t="shared" ca="1" si="47"/>
        <v>-662544.40825475927</v>
      </c>
      <c r="AD53" s="8">
        <f t="shared" ca="1" si="47"/>
        <v>-719614.94879094081</v>
      </c>
      <c r="AE53" s="8">
        <f t="shared" ca="1" si="47"/>
        <v>-768129.77774674085</v>
      </c>
      <c r="AF53" s="8">
        <f t="shared" ca="1" si="47"/>
        <v>-817857.47742643591</v>
      </c>
      <c r="AG53" s="8">
        <f t="shared" ca="1" si="47"/>
        <v>-868828.36959812336</v>
      </c>
      <c r="AH53" s="8">
        <f t="shared" ca="1" si="47"/>
        <v>-921073.53407410299</v>
      </c>
      <c r="AI53" s="8">
        <f t="shared" ca="1" si="47"/>
        <v>-974624.82766198216</v>
      </c>
      <c r="AJ53" s="8">
        <f t="shared" ca="1" si="47"/>
        <v>-1029514.9035895583</v>
      </c>
      <c r="AK53" s="8">
        <f t="shared" ca="1" si="47"/>
        <v>-1085777.2314153239</v>
      </c>
      <c r="AL53" s="8">
        <f t="shared" ca="1" si="47"/>
        <v>-1143446.1174367336</v>
      </c>
      <c r="AM53" s="8">
        <f t="shared" ca="1" si="47"/>
        <v>-1202556.7256086785</v>
      </c>
      <c r="AN53" s="8">
        <f t="shared" ref="AN53:AV53" ca="1" si="48">AN50</f>
        <v>-1263145.098984922</v>
      </c>
      <c r="AO53" s="8">
        <f t="shared" ca="1" si="48"/>
        <v>-1325248.1816955716</v>
      </c>
      <c r="AP53" s="8">
        <f t="shared" ca="1" si="48"/>
        <v>-1388903.8414739876</v>
      </c>
      <c r="AQ53" s="8">
        <f t="shared" ca="1" si="48"/>
        <v>-1454150.8927468637</v>
      </c>
      <c r="AR53" s="8">
        <f t="shared" ca="1" si="48"/>
        <v>-1521029.1203015617</v>
      </c>
      <c r="AS53" s="8">
        <f t="shared" ca="1" si="48"/>
        <v>-1589579.3035451272</v>
      </c>
      <c r="AT53" s="8">
        <f t="shared" ca="1" si="48"/>
        <v>-1659843.2413697818</v>
      </c>
      <c r="AU53" s="8">
        <f t="shared" ca="1" si="48"/>
        <v>-1731863.7776400528</v>
      </c>
      <c r="AV53" s="8">
        <f t="shared" ca="1" si="48"/>
        <v>-1805684.8273170807</v>
      </c>
      <c r="AW53" s="8">
        <f t="shared" ref="AW53" ca="1" si="49">AW50</f>
        <v>-1881351.4032360343</v>
      </c>
    </row>
    <row r="54" spans="1:49" x14ac:dyDescent="0.2">
      <c r="A54" s="5" t="s">
        <v>7</v>
      </c>
      <c r="C54" s="8">
        <f>Inputs!B12*(1+princ)</f>
        <v>515000</v>
      </c>
      <c r="D54" s="8">
        <f t="shared" ref="D54:AM54" si="50">C54*(1+princ)</f>
        <v>530450</v>
      </c>
      <c r="E54" s="8">
        <f t="shared" si="50"/>
        <v>546363.5</v>
      </c>
      <c r="F54" s="8">
        <f t="shared" si="50"/>
        <v>562754.40500000003</v>
      </c>
      <c r="G54" s="8">
        <f t="shared" si="50"/>
        <v>579637.03714999999</v>
      </c>
      <c r="H54" s="8">
        <f t="shared" si="50"/>
        <v>597026.14826449996</v>
      </c>
      <c r="I54" s="8">
        <f t="shared" si="50"/>
        <v>614936.93271243502</v>
      </c>
      <c r="J54" s="8">
        <f t="shared" si="50"/>
        <v>633385.04069380811</v>
      </c>
      <c r="K54" s="8">
        <f t="shared" si="50"/>
        <v>652386.59191462235</v>
      </c>
      <c r="L54" s="8">
        <f t="shared" si="50"/>
        <v>671958.18967206101</v>
      </c>
      <c r="M54" s="8">
        <f t="shared" si="50"/>
        <v>692116.93536222284</v>
      </c>
      <c r="N54" s="8">
        <f t="shared" si="50"/>
        <v>712880.44342308957</v>
      </c>
      <c r="O54" s="8">
        <f t="shared" si="50"/>
        <v>734266.85672578227</v>
      </c>
      <c r="P54" s="8">
        <f t="shared" si="50"/>
        <v>756294.86242755572</v>
      </c>
      <c r="Q54" s="8">
        <f t="shared" si="50"/>
        <v>778983.70830038236</v>
      </c>
      <c r="R54" s="8">
        <f t="shared" si="50"/>
        <v>802353.21954939386</v>
      </c>
      <c r="S54" s="8">
        <f t="shared" si="50"/>
        <v>826423.81613587565</v>
      </c>
      <c r="T54" s="8">
        <f t="shared" si="50"/>
        <v>851216.5306199519</v>
      </c>
      <c r="U54" s="8">
        <f t="shared" si="50"/>
        <v>876753.0265385505</v>
      </c>
      <c r="V54" s="8">
        <f t="shared" si="50"/>
        <v>903055.61733470706</v>
      </c>
      <c r="W54" s="8">
        <f t="shared" si="50"/>
        <v>930147.28585474833</v>
      </c>
      <c r="X54" s="8">
        <f t="shared" si="50"/>
        <v>958051.70443039085</v>
      </c>
      <c r="Y54" s="8">
        <f t="shared" si="50"/>
        <v>986793.25556330255</v>
      </c>
      <c r="Z54" s="8">
        <f t="shared" si="50"/>
        <v>1016397.0532302016</v>
      </c>
      <c r="AA54" s="8">
        <f t="shared" si="50"/>
        <v>1046888.9648271076</v>
      </c>
      <c r="AB54" s="8">
        <f t="shared" si="50"/>
        <v>1078295.6337719208</v>
      </c>
      <c r="AC54" s="8">
        <f t="shared" si="50"/>
        <v>1110644.5027850785</v>
      </c>
      <c r="AD54" s="8">
        <f t="shared" si="50"/>
        <v>1143963.8378686309</v>
      </c>
      <c r="AE54" s="8">
        <f t="shared" si="50"/>
        <v>1178282.7530046899</v>
      </c>
      <c r="AF54" s="8">
        <f t="shared" si="50"/>
        <v>1213631.2355948307</v>
      </c>
      <c r="AG54" s="8">
        <f t="shared" si="50"/>
        <v>1250040.1726626756</v>
      </c>
      <c r="AH54" s="8">
        <f t="shared" si="50"/>
        <v>1287541.377842556</v>
      </c>
      <c r="AI54" s="8">
        <f t="shared" si="50"/>
        <v>1326167.6191778327</v>
      </c>
      <c r="AJ54" s="8">
        <f t="shared" si="50"/>
        <v>1365952.6477531677</v>
      </c>
      <c r="AK54" s="8">
        <f t="shared" si="50"/>
        <v>1406931.2271857627</v>
      </c>
      <c r="AL54" s="8">
        <f t="shared" si="50"/>
        <v>1449139.1640013356</v>
      </c>
      <c r="AM54" s="8">
        <f t="shared" si="50"/>
        <v>1492613.3389213758</v>
      </c>
      <c r="AN54" s="8">
        <f t="shared" ref="AN54" si="51">AM54*(1+princ)</f>
        <v>1537391.739089017</v>
      </c>
      <c r="AO54" s="8">
        <f t="shared" ref="AO54" si="52">AN54*(1+princ)</f>
        <v>1583513.4912616876</v>
      </c>
      <c r="AP54" s="8">
        <f t="shared" ref="AP54" si="53">AO54*(1+princ)</f>
        <v>1631018.8959995382</v>
      </c>
      <c r="AQ54" s="8">
        <f t="shared" ref="AQ54" si="54">AP54*(1+princ)</f>
        <v>1679949.4628795243</v>
      </c>
      <c r="AR54" s="8">
        <f t="shared" ref="AR54" si="55">AQ54*(1+princ)</f>
        <v>1730347.9467659101</v>
      </c>
      <c r="AS54" s="8">
        <f t="shared" ref="AS54" si="56">AR54*(1+princ)</f>
        <v>1782258.3851688874</v>
      </c>
      <c r="AT54" s="8">
        <f t="shared" ref="AT54" si="57">AS54*(1+princ)</f>
        <v>1835726.136723954</v>
      </c>
      <c r="AU54" s="8">
        <f t="shared" ref="AU54" si="58">AT54*(1+princ)</f>
        <v>1890797.9208256726</v>
      </c>
      <c r="AV54" s="8">
        <f t="shared" ref="AV54:AW54" si="59">AU54*(1+princ)</f>
        <v>1947521.8584504428</v>
      </c>
      <c r="AW54" s="8">
        <f t="shared" si="59"/>
        <v>2005947.5142039561</v>
      </c>
    </row>
    <row r="55" spans="1:49" x14ac:dyDescent="0.2">
      <c r="A55" s="5" t="s">
        <v>56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">
      <c r="A56" s="4" t="str">
        <f>TEXT(Inputs!$B$50,"")</f>
        <v>Sliema</v>
      </c>
      <c r="C56" s="8">
        <f>Inputs!B51*(1+princ)</f>
        <v>309000</v>
      </c>
      <c r="D56" s="8">
        <f t="shared" ref="D56:AM58" si="60">C56*(1+princ)</f>
        <v>318270</v>
      </c>
      <c r="E56" s="8">
        <f t="shared" si="60"/>
        <v>327818.10000000003</v>
      </c>
      <c r="F56" s="8">
        <f t="shared" si="60"/>
        <v>337652.64300000004</v>
      </c>
      <c r="G56" s="8">
        <f t="shared" si="60"/>
        <v>347782.22229000006</v>
      </c>
      <c r="H56" s="8">
        <f t="shared" si="60"/>
        <v>358215.68895870005</v>
      </c>
      <c r="I56" s="8">
        <f t="shared" si="60"/>
        <v>368962.15962746105</v>
      </c>
      <c r="J56" s="8">
        <f t="shared" si="60"/>
        <v>380031.02441628487</v>
      </c>
      <c r="K56" s="8">
        <f t="shared" si="60"/>
        <v>391431.95514877344</v>
      </c>
      <c r="L56" s="8">
        <f t="shared" si="60"/>
        <v>403174.91380323668</v>
      </c>
      <c r="M56" s="8">
        <f t="shared" si="60"/>
        <v>415270.16121733381</v>
      </c>
      <c r="N56" s="8">
        <f t="shared" si="60"/>
        <v>427728.26605385385</v>
      </c>
      <c r="O56" s="8">
        <f t="shared" si="60"/>
        <v>440560.11403546948</v>
      </c>
      <c r="P56" s="8">
        <f t="shared" si="60"/>
        <v>453776.91745653359</v>
      </c>
      <c r="Q56" s="8">
        <f t="shared" si="60"/>
        <v>467390.22498022963</v>
      </c>
      <c r="R56" s="8">
        <f t="shared" si="60"/>
        <v>481411.9317296365</v>
      </c>
      <c r="S56" s="8">
        <f t="shared" si="60"/>
        <v>495854.28968152561</v>
      </c>
      <c r="T56" s="8">
        <f t="shared" si="60"/>
        <v>510729.91837197141</v>
      </c>
      <c r="U56" s="8">
        <f t="shared" si="60"/>
        <v>526051.81592313061</v>
      </c>
      <c r="V56" s="8">
        <f t="shared" si="60"/>
        <v>541833.37040082458</v>
      </c>
      <c r="W56" s="8">
        <f t="shared" si="60"/>
        <v>558088.37151284935</v>
      </c>
      <c r="X56" s="8">
        <f t="shared" si="60"/>
        <v>574831.02265823481</v>
      </c>
      <c r="Y56" s="8">
        <f t="shared" si="60"/>
        <v>592075.95333798183</v>
      </c>
      <c r="Z56" s="8">
        <f t="shared" si="60"/>
        <v>609838.23193812126</v>
      </c>
      <c r="AA56" s="8">
        <f t="shared" si="60"/>
        <v>628133.37889626494</v>
      </c>
      <c r="AB56" s="8">
        <f t="shared" si="60"/>
        <v>646977.38026315288</v>
      </c>
      <c r="AC56" s="8">
        <f t="shared" si="60"/>
        <v>666386.70167104749</v>
      </c>
      <c r="AD56" s="8">
        <f t="shared" si="60"/>
        <v>686378.30272117897</v>
      </c>
      <c r="AE56" s="8">
        <f t="shared" si="60"/>
        <v>706969.65180281433</v>
      </c>
      <c r="AF56" s="8">
        <f t="shared" si="60"/>
        <v>728178.7413568988</v>
      </c>
      <c r="AG56" s="8">
        <f t="shared" si="60"/>
        <v>750024.10359760583</v>
      </c>
      <c r="AH56" s="8">
        <f t="shared" si="60"/>
        <v>772524.82670553401</v>
      </c>
      <c r="AI56" s="8">
        <f t="shared" si="60"/>
        <v>795700.57150670001</v>
      </c>
      <c r="AJ56" s="8">
        <f t="shared" si="60"/>
        <v>819571.58865190099</v>
      </c>
      <c r="AK56" s="8">
        <f t="shared" si="60"/>
        <v>844158.73631145805</v>
      </c>
      <c r="AL56" s="8">
        <f t="shared" si="60"/>
        <v>869483.49840080179</v>
      </c>
      <c r="AM56" s="8">
        <f t="shared" si="60"/>
        <v>895568.00335282588</v>
      </c>
      <c r="AN56" s="8">
        <f t="shared" ref="AN56:AN58" si="61">AM56*(1+princ)</f>
        <v>922435.04345341073</v>
      </c>
      <c r="AO56" s="8">
        <f t="shared" ref="AO56:AO58" si="62">AN56*(1+princ)</f>
        <v>950108.09475701302</v>
      </c>
      <c r="AP56" s="8">
        <f t="shared" ref="AP56:AP58" si="63">AO56*(1+princ)</f>
        <v>978611.33759972348</v>
      </c>
      <c r="AQ56" s="8">
        <f t="shared" ref="AQ56:AQ58" si="64">AP56*(1+princ)</f>
        <v>1007969.6777277152</v>
      </c>
      <c r="AR56" s="8">
        <f t="shared" ref="AR56:AR58" si="65">AQ56*(1+princ)</f>
        <v>1038208.7680595467</v>
      </c>
      <c r="AS56" s="8">
        <f t="shared" ref="AS56:AS58" si="66">AR56*(1+princ)</f>
        <v>1069355.0311013332</v>
      </c>
      <c r="AT56" s="8">
        <f t="shared" ref="AT56:AT58" si="67">AS56*(1+princ)</f>
        <v>1101435.6820343733</v>
      </c>
      <c r="AU56" s="8">
        <f t="shared" ref="AU56:AU58" si="68">AT56*(1+princ)</f>
        <v>1134478.7524954046</v>
      </c>
      <c r="AV56" s="8">
        <f t="shared" ref="AV56:AW58" si="69">AU56*(1+princ)</f>
        <v>1168513.1150702666</v>
      </c>
      <c r="AW56" s="8">
        <f t="shared" si="69"/>
        <v>1203568.5085223748</v>
      </c>
    </row>
    <row r="57" spans="1:49" x14ac:dyDescent="0.2">
      <c r="A57" s="4" t="str">
        <f>TEXT(Inputs!$B$55,"")</f>
        <v/>
      </c>
      <c r="C57" s="8">
        <f>Inputs!B56*(1+princ)</f>
        <v>0</v>
      </c>
      <c r="D57" s="8">
        <f t="shared" si="60"/>
        <v>0</v>
      </c>
      <c r="E57" s="8">
        <f t="shared" si="60"/>
        <v>0</v>
      </c>
      <c r="F57" s="8">
        <f t="shared" si="60"/>
        <v>0</v>
      </c>
      <c r="G57" s="8">
        <f t="shared" si="60"/>
        <v>0</v>
      </c>
      <c r="H57" s="8">
        <f t="shared" si="60"/>
        <v>0</v>
      </c>
      <c r="I57" s="8">
        <f t="shared" si="60"/>
        <v>0</v>
      </c>
      <c r="J57" s="8">
        <f t="shared" si="60"/>
        <v>0</v>
      </c>
      <c r="K57" s="8">
        <f t="shared" si="60"/>
        <v>0</v>
      </c>
      <c r="L57" s="8">
        <f t="shared" si="60"/>
        <v>0</v>
      </c>
      <c r="M57" s="8">
        <f t="shared" si="60"/>
        <v>0</v>
      </c>
      <c r="N57" s="8">
        <f t="shared" si="60"/>
        <v>0</v>
      </c>
      <c r="O57" s="8">
        <f t="shared" si="60"/>
        <v>0</v>
      </c>
      <c r="P57" s="8">
        <f t="shared" si="60"/>
        <v>0</v>
      </c>
      <c r="Q57" s="8">
        <f t="shared" si="60"/>
        <v>0</v>
      </c>
      <c r="R57" s="8">
        <f t="shared" si="60"/>
        <v>0</v>
      </c>
      <c r="S57" s="8">
        <f t="shared" si="60"/>
        <v>0</v>
      </c>
      <c r="T57" s="8">
        <f t="shared" si="60"/>
        <v>0</v>
      </c>
      <c r="U57" s="8">
        <f t="shared" si="60"/>
        <v>0</v>
      </c>
      <c r="V57" s="8">
        <f t="shared" si="60"/>
        <v>0</v>
      </c>
      <c r="W57" s="8">
        <f t="shared" si="60"/>
        <v>0</v>
      </c>
      <c r="X57" s="8">
        <f t="shared" si="60"/>
        <v>0</v>
      </c>
      <c r="Y57" s="8">
        <f t="shared" si="60"/>
        <v>0</v>
      </c>
      <c r="Z57" s="8">
        <f t="shared" si="60"/>
        <v>0</v>
      </c>
      <c r="AA57" s="8">
        <f t="shared" si="60"/>
        <v>0</v>
      </c>
      <c r="AB57" s="8">
        <f t="shared" si="60"/>
        <v>0</v>
      </c>
      <c r="AC57" s="8">
        <f t="shared" si="60"/>
        <v>0</v>
      </c>
      <c r="AD57" s="8">
        <f t="shared" si="60"/>
        <v>0</v>
      </c>
      <c r="AE57" s="8">
        <f t="shared" si="60"/>
        <v>0</v>
      </c>
      <c r="AF57" s="8">
        <f t="shared" si="60"/>
        <v>0</v>
      </c>
      <c r="AG57" s="8">
        <f t="shared" si="60"/>
        <v>0</v>
      </c>
      <c r="AH57" s="8">
        <f t="shared" si="60"/>
        <v>0</v>
      </c>
      <c r="AI57" s="8">
        <f t="shared" si="60"/>
        <v>0</v>
      </c>
      <c r="AJ57" s="8">
        <f t="shared" si="60"/>
        <v>0</v>
      </c>
      <c r="AK57" s="8">
        <f t="shared" si="60"/>
        <v>0</v>
      </c>
      <c r="AL57" s="8">
        <f t="shared" si="60"/>
        <v>0</v>
      </c>
      <c r="AM57" s="8">
        <f t="shared" si="60"/>
        <v>0</v>
      </c>
      <c r="AN57" s="8">
        <f t="shared" si="61"/>
        <v>0</v>
      </c>
      <c r="AO57" s="8">
        <f t="shared" si="62"/>
        <v>0</v>
      </c>
      <c r="AP57" s="8">
        <f t="shared" si="63"/>
        <v>0</v>
      </c>
      <c r="AQ57" s="8">
        <f t="shared" si="64"/>
        <v>0</v>
      </c>
      <c r="AR57" s="8">
        <f t="shared" si="65"/>
        <v>0</v>
      </c>
      <c r="AS57" s="8">
        <f t="shared" si="66"/>
        <v>0</v>
      </c>
      <c r="AT57" s="8">
        <f t="shared" si="67"/>
        <v>0</v>
      </c>
      <c r="AU57" s="8">
        <f t="shared" si="68"/>
        <v>0</v>
      </c>
      <c r="AV57" s="8">
        <f t="shared" si="69"/>
        <v>0</v>
      </c>
      <c r="AW57" s="8">
        <f t="shared" si="69"/>
        <v>0</v>
      </c>
    </row>
    <row r="58" spans="1:49" x14ac:dyDescent="0.2">
      <c r="A58" s="4" t="str">
        <f>TEXT(Inputs!$B$60,"")</f>
        <v/>
      </c>
      <c r="C58" s="8">
        <f>Inputs!B61*(1+princ)</f>
        <v>0</v>
      </c>
      <c r="D58" s="8">
        <f t="shared" si="60"/>
        <v>0</v>
      </c>
      <c r="E58" s="8">
        <f t="shared" si="60"/>
        <v>0</v>
      </c>
      <c r="F58" s="8">
        <f t="shared" si="60"/>
        <v>0</v>
      </c>
      <c r="G58" s="8">
        <f t="shared" si="60"/>
        <v>0</v>
      </c>
      <c r="H58" s="8">
        <f t="shared" si="60"/>
        <v>0</v>
      </c>
      <c r="I58" s="8">
        <f t="shared" si="60"/>
        <v>0</v>
      </c>
      <c r="J58" s="8">
        <f t="shared" si="60"/>
        <v>0</v>
      </c>
      <c r="K58" s="8">
        <f t="shared" si="60"/>
        <v>0</v>
      </c>
      <c r="L58" s="8">
        <f t="shared" si="60"/>
        <v>0</v>
      </c>
      <c r="M58" s="8">
        <f t="shared" si="60"/>
        <v>0</v>
      </c>
      <c r="N58" s="8">
        <f t="shared" si="60"/>
        <v>0</v>
      </c>
      <c r="O58" s="8">
        <f t="shared" si="60"/>
        <v>0</v>
      </c>
      <c r="P58" s="8">
        <f t="shared" si="60"/>
        <v>0</v>
      </c>
      <c r="Q58" s="8">
        <f t="shared" si="60"/>
        <v>0</v>
      </c>
      <c r="R58" s="8">
        <f t="shared" si="60"/>
        <v>0</v>
      </c>
      <c r="S58" s="8">
        <f t="shared" si="60"/>
        <v>0</v>
      </c>
      <c r="T58" s="8">
        <f t="shared" si="60"/>
        <v>0</v>
      </c>
      <c r="U58" s="8">
        <f t="shared" si="60"/>
        <v>0</v>
      </c>
      <c r="V58" s="8">
        <f t="shared" si="60"/>
        <v>0</v>
      </c>
      <c r="W58" s="8">
        <f t="shared" si="60"/>
        <v>0</v>
      </c>
      <c r="X58" s="8">
        <f t="shared" si="60"/>
        <v>0</v>
      </c>
      <c r="Y58" s="8">
        <f t="shared" si="60"/>
        <v>0</v>
      </c>
      <c r="Z58" s="8">
        <f t="shared" si="60"/>
        <v>0</v>
      </c>
      <c r="AA58" s="8">
        <f t="shared" si="60"/>
        <v>0</v>
      </c>
      <c r="AB58" s="8">
        <f t="shared" si="60"/>
        <v>0</v>
      </c>
      <c r="AC58" s="8">
        <f t="shared" si="60"/>
        <v>0</v>
      </c>
      <c r="AD58" s="8">
        <f t="shared" si="60"/>
        <v>0</v>
      </c>
      <c r="AE58" s="8">
        <f t="shared" si="60"/>
        <v>0</v>
      </c>
      <c r="AF58" s="8">
        <f t="shared" si="60"/>
        <v>0</v>
      </c>
      <c r="AG58" s="8">
        <f t="shared" si="60"/>
        <v>0</v>
      </c>
      <c r="AH58" s="8">
        <f t="shared" si="60"/>
        <v>0</v>
      </c>
      <c r="AI58" s="8">
        <f t="shared" si="60"/>
        <v>0</v>
      </c>
      <c r="AJ58" s="8">
        <f t="shared" si="60"/>
        <v>0</v>
      </c>
      <c r="AK58" s="8">
        <f t="shared" si="60"/>
        <v>0</v>
      </c>
      <c r="AL58" s="8">
        <f t="shared" si="60"/>
        <v>0</v>
      </c>
      <c r="AM58" s="8">
        <f t="shared" si="60"/>
        <v>0</v>
      </c>
      <c r="AN58" s="8">
        <f t="shared" si="61"/>
        <v>0</v>
      </c>
      <c r="AO58" s="8">
        <f t="shared" si="62"/>
        <v>0</v>
      </c>
      <c r="AP58" s="8">
        <f t="shared" si="63"/>
        <v>0</v>
      </c>
      <c r="AQ58" s="8">
        <f t="shared" si="64"/>
        <v>0</v>
      </c>
      <c r="AR58" s="8">
        <f t="shared" si="65"/>
        <v>0</v>
      </c>
      <c r="AS58" s="8">
        <f t="shared" si="66"/>
        <v>0</v>
      </c>
      <c r="AT58" s="8">
        <f t="shared" si="67"/>
        <v>0</v>
      </c>
      <c r="AU58" s="8">
        <f t="shared" si="68"/>
        <v>0</v>
      </c>
      <c r="AV58" s="8">
        <f t="shared" si="69"/>
        <v>0</v>
      </c>
      <c r="AW58" s="8">
        <f t="shared" si="69"/>
        <v>0</v>
      </c>
    </row>
    <row r="59" spans="1:49" x14ac:dyDescent="0.2">
      <c r="A59" s="5" t="s">
        <v>12</v>
      </c>
      <c r="C59" s="8">
        <f>Inputs!B10*(1+stinc)</f>
        <v>54000</v>
      </c>
      <c r="D59" s="8">
        <f>C59*(1+stinc)</f>
        <v>58320.000000000007</v>
      </c>
      <c r="E59" s="8">
        <f t="shared" ref="E59:AM59" si="70">D59*(1+stinc)</f>
        <v>62985.600000000013</v>
      </c>
      <c r="F59" s="8">
        <f t="shared" si="70"/>
        <v>68024.448000000019</v>
      </c>
      <c r="G59" s="8">
        <f t="shared" si="70"/>
        <v>73466.403840000028</v>
      </c>
      <c r="H59" s="8">
        <f t="shared" si="70"/>
        <v>79343.71614720003</v>
      </c>
      <c r="I59" s="8">
        <f t="shared" si="70"/>
        <v>85691.213438976032</v>
      </c>
      <c r="J59" s="8">
        <f t="shared" si="70"/>
        <v>92546.510514094116</v>
      </c>
      <c r="K59" s="8">
        <f t="shared" si="70"/>
        <v>99950.231355221651</v>
      </c>
      <c r="L59" s="8">
        <f t="shared" si="70"/>
        <v>107946.24986363939</v>
      </c>
      <c r="M59" s="8">
        <f t="shared" si="70"/>
        <v>116581.94985273054</v>
      </c>
      <c r="N59" s="8">
        <f t="shared" si="70"/>
        <v>125908.50584094899</v>
      </c>
      <c r="O59" s="8">
        <f t="shared" si="70"/>
        <v>135981.18630822492</v>
      </c>
      <c r="P59" s="8">
        <f t="shared" si="70"/>
        <v>146859.68121288292</v>
      </c>
      <c r="Q59" s="8">
        <f t="shared" si="70"/>
        <v>158608.45570991357</v>
      </c>
      <c r="R59" s="8">
        <f t="shared" si="70"/>
        <v>171297.13216670667</v>
      </c>
      <c r="S59" s="8">
        <f t="shared" si="70"/>
        <v>185000.90274004321</v>
      </c>
      <c r="T59" s="8">
        <f t="shared" si="70"/>
        <v>199800.97495924667</v>
      </c>
      <c r="U59" s="8">
        <f t="shared" si="70"/>
        <v>215785.05295598641</v>
      </c>
      <c r="V59" s="8">
        <f t="shared" si="70"/>
        <v>233047.85719246534</v>
      </c>
      <c r="W59" s="8">
        <f t="shared" si="70"/>
        <v>251691.68576786257</v>
      </c>
      <c r="X59" s="8">
        <f t="shared" si="70"/>
        <v>271827.0206292916</v>
      </c>
      <c r="Y59" s="8">
        <f t="shared" si="70"/>
        <v>293573.18227963493</v>
      </c>
      <c r="Z59" s="8">
        <f t="shared" si="70"/>
        <v>317059.03686200577</v>
      </c>
      <c r="AA59" s="8">
        <f t="shared" si="70"/>
        <v>342423.75981096626</v>
      </c>
      <c r="AB59" s="8">
        <f t="shared" si="70"/>
        <v>369817.66059584357</v>
      </c>
      <c r="AC59" s="8">
        <f t="shared" si="70"/>
        <v>399403.07344351109</v>
      </c>
      <c r="AD59" s="8">
        <f t="shared" si="70"/>
        <v>431355.31931899203</v>
      </c>
      <c r="AE59" s="8">
        <f t="shared" si="70"/>
        <v>465863.74486451142</v>
      </c>
      <c r="AF59" s="8">
        <f t="shared" si="70"/>
        <v>503132.84445367235</v>
      </c>
      <c r="AG59" s="8">
        <f t="shared" si="70"/>
        <v>543383.47200996615</v>
      </c>
      <c r="AH59" s="8">
        <f t="shared" si="70"/>
        <v>586854.14977076347</v>
      </c>
      <c r="AI59" s="8">
        <f t="shared" si="70"/>
        <v>633802.48175242462</v>
      </c>
      <c r="AJ59" s="8">
        <f t="shared" si="70"/>
        <v>684506.68029261858</v>
      </c>
      <c r="AK59" s="8">
        <f t="shared" si="70"/>
        <v>739267.21471602807</v>
      </c>
      <c r="AL59" s="8">
        <f t="shared" si="70"/>
        <v>798408.59189331043</v>
      </c>
      <c r="AM59" s="8">
        <f t="shared" si="70"/>
        <v>862281.2792447753</v>
      </c>
      <c r="AN59" s="8">
        <f t="shared" ref="AN59" si="71">AM59*(1+stinc)</f>
        <v>931263.78158435738</v>
      </c>
      <c r="AO59" s="8">
        <f t="shared" ref="AO59" si="72">AN59*(1+stinc)</f>
        <v>1005764.884111106</v>
      </c>
      <c r="AP59" s="8">
        <f t="shared" ref="AP59" si="73">AO59*(1+stinc)</f>
        <v>1086226.0748399945</v>
      </c>
      <c r="AQ59" s="8">
        <f t="shared" ref="AQ59" si="74">AP59*(1+stinc)</f>
        <v>1173124.1608271941</v>
      </c>
      <c r="AR59" s="8">
        <f t="shared" ref="AR59" si="75">AQ59*(1+stinc)</f>
        <v>1266974.0936933698</v>
      </c>
      <c r="AS59" s="8">
        <f t="shared" ref="AS59" si="76">AR59*(1+stinc)</f>
        <v>1368332.0211888393</v>
      </c>
      <c r="AT59" s="8">
        <f t="shared" ref="AT59" si="77">AS59*(1+stinc)</f>
        <v>1477798.5828839466</v>
      </c>
      <c r="AU59" s="8">
        <f t="shared" ref="AU59" si="78">AT59*(1+stinc)</f>
        <v>1596022.4695146624</v>
      </c>
      <c r="AV59" s="8">
        <f t="shared" ref="AV59:AW59" si="79">AU59*(1+stinc)</f>
        <v>1723704.2670758355</v>
      </c>
      <c r="AW59" s="8">
        <f t="shared" si="79"/>
        <v>1861600.6084419026</v>
      </c>
    </row>
    <row r="60" spans="1:49" x14ac:dyDescent="0.2">
      <c r="A60" s="5" t="s">
        <v>2</v>
      </c>
      <c r="C60" s="8">
        <f>-MAX(FV(Inputs!$B16/12,C$1*12,Inputs!$B17,-Inputs!$B15),0)</f>
        <v>-113916.80861729867</v>
      </c>
      <c r="D60" s="8">
        <f>-MAX(FV(Inputs!$B16/12,D$1*12,Inputs!$B17,-Inputs!$B15),0)</f>
        <v>-107648.59114760446</v>
      </c>
      <c r="E60" s="8">
        <f>-MAX(FV(Inputs!$B16/12,E$1*12,Inputs!$B17,-Inputs!$B15),0)</f>
        <v>-101189.71984542748</v>
      </c>
      <c r="F60" s="8">
        <f>-MAX(FV(Inputs!$B16/12,F$1*12,Inputs!$B17,-Inputs!$B15),0)</f>
        <v>-94534.39579201366</v>
      </c>
      <c r="G60" s="8">
        <f>-MAX(FV(Inputs!$B16/12,G$1*12,Inputs!$B17,-Inputs!$B15),0)</f>
        <v>-87676.643688945813</v>
      </c>
      <c r="H60" s="8">
        <f>-MAX(FV(Inputs!$B16/12,H$1*12,Inputs!$B17,-Inputs!$B15),0)</f>
        <v>-80610.306493387528</v>
      </c>
      <c r="I60" s="8">
        <f>-MAX(FV(Inputs!$B16/12,I$1*12,Inputs!$B17,-Inputs!$B15),0)</f>
        <v>-73329.039890152781</v>
      </c>
      <c r="J60" s="8">
        <f>-MAX(FV(Inputs!$B16/12,J$1*12,Inputs!$B17,-Inputs!$B15),0)</f>
        <v>-65826.306595638322</v>
      </c>
      <c r="K60" s="8">
        <f>-MAX(FV(Inputs!$B16/12,K$1*12,Inputs!$B17,-Inputs!$B15),0)</f>
        <v>-58095.370488504399</v>
      </c>
      <c r="L60" s="8">
        <f>-MAX(FV(Inputs!$B16/12,L$1*12,Inputs!$B17,-Inputs!$B15),0)</f>
        <v>-50129.29056183486</v>
      </c>
      <c r="M60" s="8">
        <f>-MAX(FV(Inputs!$B16/12,M$1*12,Inputs!$B17,-Inputs!$B15),0)</f>
        <v>-41920.914691346072</v>
      </c>
      <c r="N60" s="8">
        <f>-MAX(FV(Inputs!$B16/12,N$1*12,Inputs!$B17,-Inputs!$B15),0)</f>
        <v>-33462.873214050662</v>
      </c>
      <c r="O60" s="8">
        <f>-MAX(FV(Inputs!$B16/12,O$1*12,Inputs!$B17,-Inputs!$B15),0)</f>
        <v>-24747.572311609256</v>
      </c>
      <c r="P60" s="8">
        <f>-MAX(FV(Inputs!$B16/12,P$1*12,Inputs!$B17,-Inputs!$B15),0)</f>
        <v>-15767.187192430836</v>
      </c>
      <c r="Q60" s="8">
        <f>-MAX(FV(Inputs!$B16/12,Q$1*12,Inputs!$B17,-Inputs!$B15),0)</f>
        <v>-6513.6550664008246</v>
      </c>
      <c r="R60" s="8">
        <f>-MAX(FV(Inputs!$B16/12,R$1*12,Inputs!$B17,-Inputs!$B15),0)</f>
        <v>0</v>
      </c>
      <c r="S60" s="8">
        <f>-MAX(FV(Inputs!$B16/12,S$1*12,Inputs!$B17,-Inputs!$B15),0)</f>
        <v>0</v>
      </c>
      <c r="T60" s="8">
        <f>-MAX(FV(Inputs!$B16/12,T$1*12,Inputs!$B17,-Inputs!$B15),0)</f>
        <v>0</v>
      </c>
      <c r="U60" s="8">
        <f>-MAX(FV(Inputs!$B16/12,U$1*12,Inputs!$B17,-Inputs!$B15),0)</f>
        <v>0</v>
      </c>
      <c r="V60" s="8">
        <f>-MAX(FV(Inputs!$B16/12,V$1*12,Inputs!$B17,-Inputs!$B15),0)</f>
        <v>0</v>
      </c>
      <c r="W60" s="8">
        <f>-MAX(FV(Inputs!$B16/12,W$1*12,Inputs!$B17,-Inputs!$B15),0)</f>
        <v>0</v>
      </c>
      <c r="X60" s="8">
        <f>-MAX(FV(Inputs!$B16/12,X$1*12,Inputs!$B17,-Inputs!$B15),0)</f>
        <v>0</v>
      </c>
      <c r="Y60" s="8">
        <f>-MAX(FV(Inputs!$B16/12,Y$1*12,Inputs!$B17,-Inputs!$B15),0)</f>
        <v>0</v>
      </c>
      <c r="Z60" s="8">
        <f>-MAX(FV(Inputs!$B16/12,Z$1*12,Inputs!$B17,-Inputs!$B15),0)</f>
        <v>0</v>
      </c>
      <c r="AA60" s="8">
        <f>-MAX(FV(Inputs!$B16/12,AA$1*12,Inputs!$B17,-Inputs!$B15),0)</f>
        <v>0</v>
      </c>
      <c r="AB60" s="8">
        <f>-MAX(FV(Inputs!$B16/12,AB$1*12,Inputs!$B17,-Inputs!$B15),0)</f>
        <v>0</v>
      </c>
      <c r="AC60" s="8">
        <f>-MAX(FV(Inputs!$B16/12,AC$1*12,Inputs!$B17,-Inputs!$B15),0)</f>
        <v>0</v>
      </c>
      <c r="AD60" s="8">
        <f>-MAX(FV(Inputs!$B16/12,AD$1*12,Inputs!$B17,-Inputs!$B15),0)</f>
        <v>0</v>
      </c>
      <c r="AE60" s="8">
        <f>-MAX(FV(Inputs!$B16/12,AE$1*12,Inputs!$B17,-Inputs!$B15),0)</f>
        <v>0</v>
      </c>
      <c r="AF60" s="8">
        <f>-MAX(FV(Inputs!$B16/12,AF$1*12,Inputs!$B17,-Inputs!$B15),0)</f>
        <v>0</v>
      </c>
      <c r="AG60" s="8">
        <f>-MAX(FV(Inputs!$B16/12,AG$1*12,Inputs!$B17,-Inputs!$B15),0)</f>
        <v>0</v>
      </c>
      <c r="AH60" s="8">
        <f>-MAX(FV(Inputs!$B16/12,AH$1*12,Inputs!$B17,-Inputs!$B15),0)</f>
        <v>0</v>
      </c>
      <c r="AI60" s="8">
        <f>-MAX(FV(Inputs!$B16/12,AI$1*12,Inputs!$B17,-Inputs!$B15),0)</f>
        <v>0</v>
      </c>
      <c r="AJ60" s="8">
        <f>-MAX(FV(Inputs!$B16/12,AJ$1*12,Inputs!$B17,-Inputs!$B15),0)</f>
        <v>0</v>
      </c>
      <c r="AK60" s="8">
        <f>-MAX(FV(Inputs!$B16/12,AK$1*12,Inputs!$B17,-Inputs!$B15),0)</f>
        <v>0</v>
      </c>
      <c r="AL60" s="8">
        <f>-MAX(FV(Inputs!$B16/12,AL$1*12,Inputs!$B17,-Inputs!$B15),0)</f>
        <v>0</v>
      </c>
      <c r="AM60" s="8">
        <f>-MAX(FV(Inputs!$B16/12,AM$1*12,Inputs!$B17,-Inputs!$B15),0)</f>
        <v>0</v>
      </c>
      <c r="AN60" s="8">
        <f>-MAX(FV(Inputs!$B16/12,AN$1*12,Inputs!$B17,-Inputs!$B15),0)</f>
        <v>0</v>
      </c>
      <c r="AO60" s="8">
        <f>-MAX(FV(Inputs!$B16/12,AO$1*12,Inputs!$B17,-Inputs!$B15),0)</f>
        <v>0</v>
      </c>
      <c r="AP60" s="8">
        <f>-MAX(FV(Inputs!$B16/12,AP$1*12,Inputs!$B17,-Inputs!$B15),0)</f>
        <v>0</v>
      </c>
      <c r="AQ60" s="8">
        <f>-MAX(FV(Inputs!$B16/12,AQ$1*12,Inputs!$B17,-Inputs!$B15),0)</f>
        <v>0</v>
      </c>
      <c r="AR60" s="8">
        <f>-MAX(FV(Inputs!$B16/12,AR$1*12,Inputs!$B17,-Inputs!$B15),0)</f>
        <v>0</v>
      </c>
      <c r="AS60" s="8">
        <f>-MAX(FV(Inputs!$B16/12,AS$1*12,Inputs!$B17,-Inputs!$B15),0)</f>
        <v>0</v>
      </c>
      <c r="AT60" s="8">
        <f>-MAX(FV(Inputs!$B16/12,AT$1*12,Inputs!$B17,-Inputs!$B15),0)</f>
        <v>0</v>
      </c>
      <c r="AU60" s="8">
        <f>-MAX(FV(Inputs!$B16/12,AU$1*12,Inputs!$B17,-Inputs!$B15),0)</f>
        <v>0</v>
      </c>
      <c r="AV60" s="8">
        <f>-MAX(FV(Inputs!$B16/12,AV$1*12,Inputs!$B17,-Inputs!$B15),0)</f>
        <v>0</v>
      </c>
      <c r="AW60" s="8">
        <f>-MAX(FV(Inputs!$B16/12,AW$1*12,Inputs!$B17,-Inputs!$B15),0)</f>
        <v>0</v>
      </c>
    </row>
    <row r="61" spans="1:49" x14ac:dyDescent="0.2">
      <c r="A61" s="5" t="s">
        <v>65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">
      <c r="A62" s="4" t="str">
        <f>TEXT(Inputs!$B$50,"")</f>
        <v>Sliema</v>
      </c>
      <c r="C62" s="8">
        <f>-MAX(FV(Inputs!$B79/12,C$1*12,Inputs!$B80,-Inputs!$B78),0)</f>
        <v>0</v>
      </c>
      <c r="D62" s="8">
        <f>-MAX(FV(Inputs!$B79/12,D$1*12,Inputs!$B80,-Inputs!$B78),0)</f>
        <v>0</v>
      </c>
      <c r="E62" s="8">
        <f>-MAX(FV(Inputs!$B79/12,E$1*12,Inputs!$B80,-Inputs!$B78),0)</f>
        <v>0</v>
      </c>
      <c r="F62" s="8">
        <f>-MAX(FV(Inputs!$B79/12,F$1*12,Inputs!$B80,-Inputs!$B78),0)</f>
        <v>0</v>
      </c>
      <c r="G62" s="8">
        <f>-MAX(FV(Inputs!$B79/12,G$1*12,Inputs!$B80,-Inputs!$B78),0)</f>
        <v>0</v>
      </c>
      <c r="H62" s="8">
        <f>-MAX(FV(Inputs!$B79/12,H$1*12,Inputs!$B80,-Inputs!$B78),0)</f>
        <v>0</v>
      </c>
      <c r="I62" s="8">
        <f>-MAX(FV(Inputs!$B79/12,I$1*12,Inputs!$B80,-Inputs!$B78),0)</f>
        <v>0</v>
      </c>
      <c r="J62" s="8">
        <f>-MAX(FV(Inputs!$B79/12,J$1*12,Inputs!$B80,-Inputs!$B78),0)</f>
        <v>0</v>
      </c>
      <c r="K62" s="8">
        <f>-MAX(FV(Inputs!$B79/12,K$1*12,Inputs!$B80,-Inputs!$B78),0)</f>
        <v>0</v>
      </c>
      <c r="L62" s="8">
        <f>-MAX(FV(Inputs!$B79/12,L$1*12,Inputs!$B80,-Inputs!$B78),0)</f>
        <v>0</v>
      </c>
      <c r="M62" s="8">
        <f>-MAX(FV(Inputs!$B79/12,M$1*12,Inputs!$B80,-Inputs!$B78),0)</f>
        <v>0</v>
      </c>
      <c r="N62" s="8">
        <f>-MAX(FV(Inputs!$B79/12,N$1*12,Inputs!$B80,-Inputs!$B78),0)</f>
        <v>0</v>
      </c>
      <c r="O62" s="8">
        <f>-MAX(FV(Inputs!$B79/12,O$1*12,Inputs!$B80,-Inputs!$B78),0)</f>
        <v>0</v>
      </c>
      <c r="P62" s="8">
        <f>-MAX(FV(Inputs!$B79/12,P$1*12,Inputs!$B80,-Inputs!$B78),0)</f>
        <v>0</v>
      </c>
      <c r="Q62" s="8">
        <f>-MAX(FV(Inputs!$B79/12,Q$1*12,Inputs!$B80,-Inputs!$B78),0)</f>
        <v>0</v>
      </c>
      <c r="R62" s="8">
        <f>-MAX(FV(Inputs!$B79/12,R$1*12,Inputs!$B80,-Inputs!$B78),0)</f>
        <v>0</v>
      </c>
      <c r="S62" s="8">
        <f>-MAX(FV(Inputs!$B79/12,S$1*12,Inputs!$B80,-Inputs!$B78),0)</f>
        <v>0</v>
      </c>
      <c r="T62" s="8">
        <f>-MAX(FV(Inputs!$B79/12,T$1*12,Inputs!$B80,-Inputs!$B78),0)</f>
        <v>0</v>
      </c>
      <c r="U62" s="8">
        <f>-MAX(FV(Inputs!$B79/12,U$1*12,Inputs!$B80,-Inputs!$B78),0)</f>
        <v>0</v>
      </c>
      <c r="V62" s="8">
        <f>-MAX(FV(Inputs!$B79/12,V$1*12,Inputs!$B80,-Inputs!$B78),0)</f>
        <v>0</v>
      </c>
      <c r="W62" s="8">
        <f>-MAX(FV(Inputs!$B79/12,W$1*12,Inputs!$B80,-Inputs!$B78),0)</f>
        <v>0</v>
      </c>
      <c r="X62" s="8">
        <f>-MAX(FV(Inputs!$B79/12,X$1*12,Inputs!$B80,-Inputs!$B78),0)</f>
        <v>0</v>
      </c>
      <c r="Y62" s="8">
        <f>-MAX(FV(Inputs!$B79/12,Y$1*12,Inputs!$B80,-Inputs!$B78),0)</f>
        <v>0</v>
      </c>
      <c r="Z62" s="8">
        <f>-MAX(FV(Inputs!$B79/12,Z$1*12,Inputs!$B80,-Inputs!$B78),0)</f>
        <v>0</v>
      </c>
      <c r="AA62" s="8">
        <f>-MAX(FV(Inputs!$B79/12,AA$1*12,Inputs!$B80,-Inputs!$B78),0)</f>
        <v>0</v>
      </c>
      <c r="AB62" s="8">
        <f>-MAX(FV(Inputs!$B79/12,AB$1*12,Inputs!$B80,-Inputs!$B78),0)</f>
        <v>0</v>
      </c>
      <c r="AC62" s="8">
        <f>-MAX(FV(Inputs!$B79/12,AC$1*12,Inputs!$B80,-Inputs!$B78),0)</f>
        <v>0</v>
      </c>
      <c r="AD62" s="8">
        <f>-MAX(FV(Inputs!$B79/12,AD$1*12,Inputs!$B80,-Inputs!$B78),0)</f>
        <v>0</v>
      </c>
      <c r="AE62" s="8">
        <f>-MAX(FV(Inputs!$B79/12,AE$1*12,Inputs!$B80,-Inputs!$B78),0)</f>
        <v>0</v>
      </c>
      <c r="AF62" s="8">
        <f>-MAX(FV(Inputs!$B79/12,AF$1*12,Inputs!$B80,-Inputs!$B78),0)</f>
        <v>0</v>
      </c>
      <c r="AG62" s="8">
        <f>-MAX(FV(Inputs!$B79/12,AG$1*12,Inputs!$B80,-Inputs!$B78),0)</f>
        <v>0</v>
      </c>
      <c r="AH62" s="8">
        <f>-MAX(FV(Inputs!$B79/12,AH$1*12,Inputs!$B80,-Inputs!$B78),0)</f>
        <v>0</v>
      </c>
      <c r="AI62" s="8">
        <f>-MAX(FV(Inputs!$B79/12,AI$1*12,Inputs!$B80,-Inputs!$B78),0)</f>
        <v>0</v>
      </c>
      <c r="AJ62" s="8">
        <f>-MAX(FV(Inputs!$B79/12,AJ$1*12,Inputs!$B80,-Inputs!$B78),0)</f>
        <v>0</v>
      </c>
      <c r="AK62" s="8">
        <f>-MAX(FV(Inputs!$B79/12,AK$1*12,Inputs!$B80,-Inputs!$B78),0)</f>
        <v>0</v>
      </c>
      <c r="AL62" s="8">
        <f>-MAX(FV(Inputs!$B79/12,AL$1*12,Inputs!$B80,-Inputs!$B78),0)</f>
        <v>0</v>
      </c>
      <c r="AM62" s="8">
        <f>-MAX(FV(Inputs!$B79/12,AM$1*12,Inputs!$B80,-Inputs!$B78),0)</f>
        <v>0</v>
      </c>
      <c r="AN62" s="8">
        <f>-MAX(FV(Inputs!$B79/12,AN$1*12,Inputs!$B80,-Inputs!$B78),0)</f>
        <v>0</v>
      </c>
      <c r="AO62" s="8">
        <f>-MAX(FV(Inputs!$B79/12,AO$1*12,Inputs!$B80,-Inputs!$B78),0)</f>
        <v>0</v>
      </c>
      <c r="AP62" s="8">
        <f>-MAX(FV(Inputs!$B79/12,AP$1*12,Inputs!$B80,-Inputs!$B78),0)</f>
        <v>0</v>
      </c>
      <c r="AQ62" s="8">
        <f>-MAX(FV(Inputs!$B79/12,AQ$1*12,Inputs!$B80,-Inputs!$B78),0)</f>
        <v>0</v>
      </c>
      <c r="AR62" s="8">
        <f>-MAX(FV(Inputs!$B79/12,AR$1*12,Inputs!$B80,-Inputs!$B78),0)</f>
        <v>0</v>
      </c>
      <c r="AS62" s="8">
        <f>-MAX(FV(Inputs!$B79/12,AS$1*12,Inputs!$B80,-Inputs!$B78),0)</f>
        <v>0</v>
      </c>
      <c r="AT62" s="8">
        <f>-MAX(FV(Inputs!$B79/12,AT$1*12,Inputs!$B80,-Inputs!$B78),0)</f>
        <v>0</v>
      </c>
      <c r="AU62" s="8">
        <f>-MAX(FV(Inputs!$B79/12,AU$1*12,Inputs!$B80,-Inputs!$B78),0)</f>
        <v>0</v>
      </c>
      <c r="AV62" s="8">
        <f>-MAX(FV(Inputs!$B79/12,AV$1*12,Inputs!$B80,-Inputs!$B78),0)</f>
        <v>0</v>
      </c>
      <c r="AW62" s="8">
        <f>-MAX(FV(Inputs!$B79/12,AW$1*12,Inputs!$B80,-Inputs!$B78),0)</f>
        <v>0</v>
      </c>
    </row>
    <row r="63" spans="1:49" x14ac:dyDescent="0.2">
      <c r="A63" s="4" t="str">
        <f>TEXT(Inputs!$B$55,"")</f>
        <v/>
      </c>
      <c r="C63" s="8">
        <f>-MAX(FV(Inputs!$B84/12,C$1*12,Inputs!$B85,-Inputs!$B83),0)</f>
        <v>0</v>
      </c>
      <c r="D63" s="8">
        <f>-MAX(FV(Inputs!$B84/12,D$1*12,Inputs!$B85,-Inputs!$B83),0)</f>
        <v>0</v>
      </c>
      <c r="E63" s="8">
        <f>-MAX(FV(Inputs!$B84/12,E$1*12,Inputs!$B85,-Inputs!$B83),0)</f>
        <v>0</v>
      </c>
      <c r="F63" s="8">
        <f>-MAX(FV(Inputs!$B84/12,F$1*12,Inputs!$B85,-Inputs!$B83),0)</f>
        <v>0</v>
      </c>
      <c r="G63" s="8">
        <f>-MAX(FV(Inputs!$B84/12,G$1*12,Inputs!$B85,-Inputs!$B83),0)</f>
        <v>0</v>
      </c>
      <c r="H63" s="8">
        <f>-MAX(FV(Inputs!$B84/12,H$1*12,Inputs!$B85,-Inputs!$B83),0)</f>
        <v>0</v>
      </c>
      <c r="I63" s="8">
        <f>-MAX(FV(Inputs!$B84/12,I$1*12,Inputs!$B85,-Inputs!$B83),0)</f>
        <v>0</v>
      </c>
      <c r="J63" s="8">
        <f>-MAX(FV(Inputs!$B84/12,J$1*12,Inputs!$B85,-Inputs!$B83),0)</f>
        <v>0</v>
      </c>
      <c r="K63" s="8">
        <f>-MAX(FV(Inputs!$B84/12,K$1*12,Inputs!$B85,-Inputs!$B83),0)</f>
        <v>0</v>
      </c>
      <c r="L63" s="8">
        <f>-MAX(FV(Inputs!$B84/12,L$1*12,Inputs!$B85,-Inputs!$B83),0)</f>
        <v>0</v>
      </c>
      <c r="M63" s="8">
        <f>-MAX(FV(Inputs!$B84/12,M$1*12,Inputs!$B85,-Inputs!$B83),0)</f>
        <v>0</v>
      </c>
      <c r="N63" s="8">
        <f>-MAX(FV(Inputs!$B84/12,N$1*12,Inputs!$B85,-Inputs!$B83),0)</f>
        <v>0</v>
      </c>
      <c r="O63" s="8">
        <f>-MAX(FV(Inputs!$B84/12,O$1*12,Inputs!$B85,-Inputs!$B83),0)</f>
        <v>0</v>
      </c>
      <c r="P63" s="8">
        <f>-MAX(FV(Inputs!$B84/12,P$1*12,Inputs!$B85,-Inputs!$B83),0)</f>
        <v>0</v>
      </c>
      <c r="Q63" s="8">
        <f>-MAX(FV(Inputs!$B84/12,Q$1*12,Inputs!$B85,-Inputs!$B83),0)</f>
        <v>0</v>
      </c>
      <c r="R63" s="8">
        <f>-MAX(FV(Inputs!$B84/12,R$1*12,Inputs!$B85,-Inputs!$B83),0)</f>
        <v>0</v>
      </c>
      <c r="S63" s="8">
        <f>-MAX(FV(Inputs!$B84/12,S$1*12,Inputs!$B85,-Inputs!$B83),0)</f>
        <v>0</v>
      </c>
      <c r="T63" s="8">
        <f>-MAX(FV(Inputs!$B84/12,T$1*12,Inputs!$B85,-Inputs!$B83),0)</f>
        <v>0</v>
      </c>
      <c r="U63" s="8">
        <f>-MAX(FV(Inputs!$B84/12,U$1*12,Inputs!$B85,-Inputs!$B83),0)</f>
        <v>0</v>
      </c>
      <c r="V63" s="8">
        <f>-MAX(FV(Inputs!$B84/12,V$1*12,Inputs!$B85,-Inputs!$B83),0)</f>
        <v>0</v>
      </c>
      <c r="W63" s="8">
        <f>-MAX(FV(Inputs!$B84/12,W$1*12,Inputs!$B85,-Inputs!$B83),0)</f>
        <v>0</v>
      </c>
      <c r="X63" s="8">
        <f>-MAX(FV(Inputs!$B84/12,X$1*12,Inputs!$B85,-Inputs!$B83),0)</f>
        <v>0</v>
      </c>
      <c r="Y63" s="8">
        <f>-MAX(FV(Inputs!$B84/12,Y$1*12,Inputs!$B85,-Inputs!$B83),0)</f>
        <v>0</v>
      </c>
      <c r="Z63" s="8">
        <f>-MAX(FV(Inputs!$B84/12,Z$1*12,Inputs!$B85,-Inputs!$B83),0)</f>
        <v>0</v>
      </c>
      <c r="AA63" s="8">
        <f>-MAX(FV(Inputs!$B84/12,AA$1*12,Inputs!$B85,-Inputs!$B83),0)</f>
        <v>0</v>
      </c>
      <c r="AB63" s="8">
        <f>-MAX(FV(Inputs!$B84/12,AB$1*12,Inputs!$B85,-Inputs!$B83),0)</f>
        <v>0</v>
      </c>
      <c r="AC63" s="8">
        <f>-MAX(FV(Inputs!$B84/12,AC$1*12,Inputs!$B85,-Inputs!$B83),0)</f>
        <v>0</v>
      </c>
      <c r="AD63" s="8">
        <f>-MAX(FV(Inputs!$B84/12,AD$1*12,Inputs!$B85,-Inputs!$B83),0)</f>
        <v>0</v>
      </c>
      <c r="AE63" s="8">
        <f>-MAX(FV(Inputs!$B84/12,AE$1*12,Inputs!$B85,-Inputs!$B83),0)</f>
        <v>0</v>
      </c>
      <c r="AF63" s="8">
        <f>-MAX(FV(Inputs!$B84/12,AF$1*12,Inputs!$B85,-Inputs!$B83),0)</f>
        <v>0</v>
      </c>
      <c r="AG63" s="8">
        <f>-MAX(FV(Inputs!$B84/12,AG$1*12,Inputs!$B85,-Inputs!$B83),0)</f>
        <v>0</v>
      </c>
      <c r="AH63" s="8">
        <f>-MAX(FV(Inputs!$B84/12,AH$1*12,Inputs!$B85,-Inputs!$B83),0)</f>
        <v>0</v>
      </c>
      <c r="AI63" s="8">
        <f>-MAX(FV(Inputs!$B84/12,AI$1*12,Inputs!$B85,-Inputs!$B83),0)</f>
        <v>0</v>
      </c>
      <c r="AJ63" s="8">
        <f>-MAX(FV(Inputs!$B84/12,AJ$1*12,Inputs!$B85,-Inputs!$B83),0)</f>
        <v>0</v>
      </c>
      <c r="AK63" s="8">
        <f>-MAX(FV(Inputs!$B84/12,AK$1*12,Inputs!$B85,-Inputs!$B83),0)</f>
        <v>0</v>
      </c>
      <c r="AL63" s="8">
        <f>-MAX(FV(Inputs!$B84/12,AL$1*12,Inputs!$B85,-Inputs!$B83),0)</f>
        <v>0</v>
      </c>
      <c r="AM63" s="8">
        <f>-MAX(FV(Inputs!$B84/12,AM$1*12,Inputs!$B85,-Inputs!$B83),0)</f>
        <v>0</v>
      </c>
      <c r="AN63" s="8">
        <f>-MAX(FV(Inputs!$B84/12,AN$1*12,Inputs!$B85,-Inputs!$B83),0)</f>
        <v>0</v>
      </c>
      <c r="AO63" s="8">
        <f>-MAX(FV(Inputs!$B84/12,AO$1*12,Inputs!$B85,-Inputs!$B83),0)</f>
        <v>0</v>
      </c>
      <c r="AP63" s="8">
        <f>-MAX(FV(Inputs!$B84/12,AP$1*12,Inputs!$B85,-Inputs!$B83),0)</f>
        <v>0</v>
      </c>
      <c r="AQ63" s="8">
        <f>-MAX(FV(Inputs!$B84/12,AQ$1*12,Inputs!$B85,-Inputs!$B83),0)</f>
        <v>0</v>
      </c>
      <c r="AR63" s="8">
        <f>-MAX(FV(Inputs!$B84/12,AR$1*12,Inputs!$B85,-Inputs!$B83),0)</f>
        <v>0</v>
      </c>
      <c r="AS63" s="8">
        <f>-MAX(FV(Inputs!$B84/12,AS$1*12,Inputs!$B85,-Inputs!$B83),0)</f>
        <v>0</v>
      </c>
      <c r="AT63" s="8">
        <f>-MAX(FV(Inputs!$B84/12,AT$1*12,Inputs!$B85,-Inputs!$B83),0)</f>
        <v>0</v>
      </c>
      <c r="AU63" s="8">
        <f>-MAX(FV(Inputs!$B84/12,AU$1*12,Inputs!$B85,-Inputs!$B83),0)</f>
        <v>0</v>
      </c>
      <c r="AV63" s="8">
        <f>-MAX(FV(Inputs!$B84/12,AV$1*12,Inputs!$B85,-Inputs!$B83),0)</f>
        <v>0</v>
      </c>
      <c r="AW63" s="8">
        <f>-MAX(FV(Inputs!$B84/12,AW$1*12,Inputs!$B85,-Inputs!$B83),0)</f>
        <v>0</v>
      </c>
    </row>
    <row r="64" spans="1:49" x14ac:dyDescent="0.2">
      <c r="A64" s="4" t="str">
        <f>TEXT(Inputs!$B$60,"")</f>
        <v/>
      </c>
      <c r="C64" s="8">
        <f>-MAX(FV(Inputs!$B89/12,C$1*12,Inputs!$B90,-Inputs!$B88),0)</f>
        <v>0</v>
      </c>
      <c r="D64" s="8">
        <f>-MAX(FV(Inputs!$B89/12,D$1*12,Inputs!$B90,-Inputs!$B88),0)</f>
        <v>0</v>
      </c>
      <c r="E64" s="8">
        <f>-MAX(FV(Inputs!$B89/12,E$1*12,Inputs!$B90,-Inputs!$B88),0)</f>
        <v>0</v>
      </c>
      <c r="F64" s="8">
        <f>-MAX(FV(Inputs!$B89/12,F$1*12,Inputs!$B90,-Inputs!$B88),0)</f>
        <v>0</v>
      </c>
      <c r="G64" s="8">
        <f>-MAX(FV(Inputs!$B89/12,G$1*12,Inputs!$B90,-Inputs!$B88),0)</f>
        <v>0</v>
      </c>
      <c r="H64" s="8">
        <f>-MAX(FV(Inputs!$B89/12,H$1*12,Inputs!$B90,-Inputs!$B88),0)</f>
        <v>0</v>
      </c>
      <c r="I64" s="8">
        <f>-MAX(FV(Inputs!$B89/12,I$1*12,Inputs!$B90,-Inputs!$B88),0)</f>
        <v>0</v>
      </c>
      <c r="J64" s="8">
        <f>-MAX(FV(Inputs!$B89/12,J$1*12,Inputs!$B90,-Inputs!$B88),0)</f>
        <v>0</v>
      </c>
      <c r="K64" s="8">
        <f>-MAX(FV(Inputs!$B89/12,K$1*12,Inputs!$B90,-Inputs!$B88),0)</f>
        <v>0</v>
      </c>
      <c r="L64" s="8">
        <f>-MAX(FV(Inputs!$B89/12,L$1*12,Inputs!$B90,-Inputs!$B88),0)</f>
        <v>0</v>
      </c>
      <c r="M64" s="8">
        <f>-MAX(FV(Inputs!$B89/12,M$1*12,Inputs!$B90,-Inputs!$B88),0)</f>
        <v>0</v>
      </c>
      <c r="N64" s="8">
        <f>-MAX(FV(Inputs!$B89/12,N$1*12,Inputs!$B90,-Inputs!$B88),0)</f>
        <v>0</v>
      </c>
      <c r="O64" s="8">
        <f>-MAX(FV(Inputs!$B89/12,O$1*12,Inputs!$B90,-Inputs!$B88),0)</f>
        <v>0</v>
      </c>
      <c r="P64" s="8">
        <f>-MAX(FV(Inputs!$B89/12,P$1*12,Inputs!$B90,-Inputs!$B88),0)</f>
        <v>0</v>
      </c>
      <c r="Q64" s="8">
        <f>-MAX(FV(Inputs!$B89/12,Q$1*12,Inputs!$B90,-Inputs!$B88),0)</f>
        <v>0</v>
      </c>
      <c r="R64" s="8">
        <f>-MAX(FV(Inputs!$B89/12,R$1*12,Inputs!$B90,-Inputs!$B88),0)</f>
        <v>0</v>
      </c>
      <c r="S64" s="8">
        <f>-MAX(FV(Inputs!$B89/12,S$1*12,Inputs!$B90,-Inputs!$B88),0)</f>
        <v>0</v>
      </c>
      <c r="T64" s="8">
        <f>-MAX(FV(Inputs!$B89/12,T$1*12,Inputs!$B90,-Inputs!$B88),0)</f>
        <v>0</v>
      </c>
      <c r="U64" s="8">
        <f>-MAX(FV(Inputs!$B89/12,U$1*12,Inputs!$B90,-Inputs!$B88),0)</f>
        <v>0</v>
      </c>
      <c r="V64" s="8">
        <f>-MAX(FV(Inputs!$B89/12,V$1*12,Inputs!$B90,-Inputs!$B88),0)</f>
        <v>0</v>
      </c>
      <c r="W64" s="8">
        <f>-MAX(FV(Inputs!$B89/12,W$1*12,Inputs!$B90,-Inputs!$B88),0)</f>
        <v>0</v>
      </c>
      <c r="X64" s="8">
        <f>-MAX(FV(Inputs!$B89/12,X$1*12,Inputs!$B90,-Inputs!$B88),0)</f>
        <v>0</v>
      </c>
      <c r="Y64" s="8">
        <f>-MAX(FV(Inputs!$B89/12,Y$1*12,Inputs!$B90,-Inputs!$B88),0)</f>
        <v>0</v>
      </c>
      <c r="Z64" s="8">
        <f>-MAX(FV(Inputs!$B89/12,Z$1*12,Inputs!$B90,-Inputs!$B88),0)</f>
        <v>0</v>
      </c>
      <c r="AA64" s="8">
        <f>-MAX(FV(Inputs!$B89/12,AA$1*12,Inputs!$B90,-Inputs!$B88),0)</f>
        <v>0</v>
      </c>
      <c r="AB64" s="8">
        <f>-MAX(FV(Inputs!$B89/12,AB$1*12,Inputs!$B90,-Inputs!$B88),0)</f>
        <v>0</v>
      </c>
      <c r="AC64" s="8">
        <f>-MAX(FV(Inputs!$B89/12,AC$1*12,Inputs!$B90,-Inputs!$B88),0)</f>
        <v>0</v>
      </c>
      <c r="AD64" s="8">
        <f>-MAX(FV(Inputs!$B89/12,AD$1*12,Inputs!$B90,-Inputs!$B88),0)</f>
        <v>0</v>
      </c>
      <c r="AE64" s="8">
        <f>-MAX(FV(Inputs!$B89/12,AE$1*12,Inputs!$B90,-Inputs!$B88),0)</f>
        <v>0</v>
      </c>
      <c r="AF64" s="8">
        <f>-MAX(FV(Inputs!$B89/12,AF$1*12,Inputs!$B90,-Inputs!$B88),0)</f>
        <v>0</v>
      </c>
      <c r="AG64" s="8">
        <f>-MAX(FV(Inputs!$B89/12,AG$1*12,Inputs!$B90,-Inputs!$B88),0)</f>
        <v>0</v>
      </c>
      <c r="AH64" s="8">
        <f>-MAX(FV(Inputs!$B89/12,AH$1*12,Inputs!$B90,-Inputs!$B88),0)</f>
        <v>0</v>
      </c>
      <c r="AI64" s="8">
        <f>-MAX(FV(Inputs!$B89/12,AI$1*12,Inputs!$B90,-Inputs!$B88),0)</f>
        <v>0</v>
      </c>
      <c r="AJ64" s="8">
        <f>-MAX(FV(Inputs!$B89/12,AJ$1*12,Inputs!$B90,-Inputs!$B88),0)</f>
        <v>0</v>
      </c>
      <c r="AK64" s="8">
        <f>-MAX(FV(Inputs!$B89/12,AK$1*12,Inputs!$B90,-Inputs!$B88),0)</f>
        <v>0</v>
      </c>
      <c r="AL64" s="8">
        <f>-MAX(FV(Inputs!$B89/12,AL$1*12,Inputs!$B90,-Inputs!$B88),0)</f>
        <v>0</v>
      </c>
      <c r="AM64" s="8">
        <f>-MAX(FV(Inputs!$B89/12,AM$1*12,Inputs!$B90,-Inputs!$B88),0)</f>
        <v>0</v>
      </c>
      <c r="AN64" s="8">
        <f>-MAX(FV(Inputs!$B89/12,AN$1*12,Inputs!$B90,-Inputs!$B88),0)</f>
        <v>0</v>
      </c>
      <c r="AO64" s="8">
        <f>-MAX(FV(Inputs!$B89/12,AO$1*12,Inputs!$B90,-Inputs!$B88),0)</f>
        <v>0</v>
      </c>
      <c r="AP64" s="8">
        <f>-MAX(FV(Inputs!$B89/12,AP$1*12,Inputs!$B90,-Inputs!$B88),0)</f>
        <v>0</v>
      </c>
      <c r="AQ64" s="8">
        <f>-MAX(FV(Inputs!$B89/12,AQ$1*12,Inputs!$B90,-Inputs!$B88),0)</f>
        <v>0</v>
      </c>
      <c r="AR64" s="8">
        <f>-MAX(FV(Inputs!$B89/12,AR$1*12,Inputs!$B90,-Inputs!$B88),0)</f>
        <v>0</v>
      </c>
      <c r="AS64" s="8">
        <f>-MAX(FV(Inputs!$B89/12,AS$1*12,Inputs!$B90,-Inputs!$B88),0)</f>
        <v>0</v>
      </c>
      <c r="AT64" s="8">
        <f>-MAX(FV(Inputs!$B89/12,AT$1*12,Inputs!$B90,-Inputs!$B88),0)</f>
        <v>0</v>
      </c>
      <c r="AU64" s="8">
        <f>-MAX(FV(Inputs!$B89/12,AU$1*12,Inputs!$B90,-Inputs!$B88),0)</f>
        <v>0</v>
      </c>
      <c r="AV64" s="8">
        <f>-MAX(FV(Inputs!$B89/12,AV$1*12,Inputs!$B90,-Inputs!$B88),0)</f>
        <v>0</v>
      </c>
      <c r="AW64" s="8">
        <f>-MAX(FV(Inputs!$B89/12,AW$1*12,Inputs!$B90,-Inputs!$B88),0)</f>
        <v>0</v>
      </c>
    </row>
    <row r="65" spans="1:49" x14ac:dyDescent="0.2">
      <c r="A65" s="5" t="s">
        <v>38</v>
      </c>
      <c r="C65" s="8">
        <f>-MAX(FV(Inputs!$B94/12,C$1*12,Inputs!$B95,-Inputs!$B93),0)</f>
        <v>0</v>
      </c>
      <c r="D65" s="8">
        <f>-MAX(FV(Inputs!$B94/12,D$1*12,Inputs!$B95,-Inputs!$B93),0)</f>
        <v>0</v>
      </c>
      <c r="E65" s="8">
        <f>-MAX(FV(Inputs!$B94/12,E$1*12,Inputs!$B95,-Inputs!$B93),0)</f>
        <v>0</v>
      </c>
      <c r="F65" s="8">
        <f>-MAX(FV(Inputs!$B94/12,F$1*12,Inputs!$B95,-Inputs!$B93),0)</f>
        <v>0</v>
      </c>
      <c r="G65" s="8">
        <f>-MAX(FV(Inputs!$B94/12,G$1*12,Inputs!$B95,-Inputs!$B93),0)</f>
        <v>0</v>
      </c>
      <c r="H65" s="8">
        <f>-MAX(FV(Inputs!$B94/12,H$1*12,Inputs!$B95,-Inputs!$B93),0)</f>
        <v>0</v>
      </c>
      <c r="I65" s="8">
        <f>-MAX(FV(Inputs!$B94/12,I$1*12,Inputs!$B95,-Inputs!$B93),0)</f>
        <v>0</v>
      </c>
      <c r="J65" s="8">
        <f>-MAX(FV(Inputs!$B94/12,J$1*12,Inputs!$B95,-Inputs!$B93),0)</f>
        <v>0</v>
      </c>
      <c r="K65" s="8">
        <f>-MAX(FV(Inputs!$B94/12,K$1*12,Inputs!$B95,-Inputs!$B93),0)</f>
        <v>0</v>
      </c>
      <c r="L65" s="8">
        <f>-MAX(FV(Inputs!$B94/12,L$1*12,Inputs!$B95,-Inputs!$B93),0)</f>
        <v>0</v>
      </c>
      <c r="M65" s="8">
        <f>-MAX(FV(Inputs!$B94/12,M$1*12,Inputs!$B95,-Inputs!$B93),0)</f>
        <v>0</v>
      </c>
      <c r="N65" s="8">
        <f>-MAX(FV(Inputs!$B94/12,N$1*12,Inputs!$B95,-Inputs!$B93),0)</f>
        <v>0</v>
      </c>
      <c r="O65" s="8">
        <f>-MAX(FV(Inputs!$B94/12,O$1*12,Inputs!$B95,-Inputs!$B93),0)</f>
        <v>0</v>
      </c>
      <c r="P65" s="8">
        <f>-MAX(FV(Inputs!$B94/12,P$1*12,Inputs!$B95,-Inputs!$B93),0)</f>
        <v>0</v>
      </c>
      <c r="Q65" s="8">
        <f>-MAX(FV(Inputs!$B94/12,Q$1*12,Inputs!$B95,-Inputs!$B93),0)</f>
        <v>0</v>
      </c>
      <c r="R65" s="8">
        <f>-MAX(FV(Inputs!$B94/12,R$1*12,Inputs!$B95,-Inputs!$B93),0)</f>
        <v>0</v>
      </c>
      <c r="S65" s="8">
        <f>-MAX(FV(Inputs!$B94/12,S$1*12,Inputs!$B95,-Inputs!$B93),0)</f>
        <v>0</v>
      </c>
      <c r="T65" s="8">
        <f>-MAX(FV(Inputs!$B94/12,T$1*12,Inputs!$B95,-Inputs!$B93),0)</f>
        <v>0</v>
      </c>
      <c r="U65" s="8">
        <f>-MAX(FV(Inputs!$B94/12,U$1*12,Inputs!$B95,-Inputs!$B93),0)</f>
        <v>0</v>
      </c>
      <c r="V65" s="8">
        <f>-MAX(FV(Inputs!$B94/12,V$1*12,Inputs!$B95,-Inputs!$B93),0)</f>
        <v>0</v>
      </c>
      <c r="W65" s="8">
        <f>-MAX(FV(Inputs!$B94/12,W$1*12,Inputs!$B95,-Inputs!$B93),0)</f>
        <v>0</v>
      </c>
      <c r="X65" s="8">
        <f>-MAX(FV(Inputs!$B94/12,X$1*12,Inputs!$B95,-Inputs!$B93),0)</f>
        <v>0</v>
      </c>
      <c r="Y65" s="8">
        <f>-MAX(FV(Inputs!$B94/12,Y$1*12,Inputs!$B95,-Inputs!$B93),0)</f>
        <v>0</v>
      </c>
      <c r="Z65" s="8">
        <f>-MAX(FV(Inputs!$B94/12,Z$1*12,Inputs!$B95,-Inputs!$B93),0)</f>
        <v>0</v>
      </c>
      <c r="AA65" s="8">
        <f>-MAX(FV(Inputs!$B94/12,AA$1*12,Inputs!$B95,-Inputs!$B93),0)</f>
        <v>0</v>
      </c>
      <c r="AB65" s="8">
        <f>-MAX(FV(Inputs!$B94/12,AB$1*12,Inputs!$B95,-Inputs!$B93),0)</f>
        <v>0</v>
      </c>
      <c r="AC65" s="8">
        <f>-MAX(FV(Inputs!$B94/12,AC$1*12,Inputs!$B95,-Inputs!$B93),0)</f>
        <v>0</v>
      </c>
      <c r="AD65" s="8">
        <f>-MAX(FV(Inputs!$B94/12,AD$1*12,Inputs!$B95,-Inputs!$B93),0)</f>
        <v>0</v>
      </c>
      <c r="AE65" s="8">
        <f>-MAX(FV(Inputs!$B94/12,AE$1*12,Inputs!$B95,-Inputs!$B93),0)</f>
        <v>0</v>
      </c>
      <c r="AF65" s="8">
        <f>-MAX(FV(Inputs!$B94/12,AF$1*12,Inputs!$B95,-Inputs!$B93),0)</f>
        <v>0</v>
      </c>
      <c r="AG65" s="8">
        <f>-MAX(FV(Inputs!$B94/12,AG$1*12,Inputs!$B95,-Inputs!$B93),0)</f>
        <v>0</v>
      </c>
      <c r="AH65" s="8">
        <f>-MAX(FV(Inputs!$B94/12,AH$1*12,Inputs!$B95,-Inputs!$B93),0)</f>
        <v>0</v>
      </c>
      <c r="AI65" s="8">
        <f>-MAX(FV(Inputs!$B94/12,AI$1*12,Inputs!$B95,-Inputs!$B93),0)</f>
        <v>0</v>
      </c>
      <c r="AJ65" s="8">
        <f>-MAX(FV(Inputs!$B94/12,AJ$1*12,Inputs!$B95,-Inputs!$B93),0)</f>
        <v>0</v>
      </c>
      <c r="AK65" s="8">
        <f>-MAX(FV(Inputs!$B94/12,AK$1*12,Inputs!$B95,-Inputs!$B93),0)</f>
        <v>0</v>
      </c>
      <c r="AL65" s="8">
        <f>-MAX(FV(Inputs!$B94/12,AL$1*12,Inputs!$B95,-Inputs!$B93),0)</f>
        <v>0</v>
      </c>
      <c r="AM65" s="8">
        <f>-MAX(FV(Inputs!$B94/12,AM$1*12,Inputs!$B95,-Inputs!$B93),0)</f>
        <v>0</v>
      </c>
      <c r="AN65" s="8">
        <f>-MAX(FV(Inputs!$B94/12,AN$1*12,Inputs!$B95,-Inputs!$B93),0)</f>
        <v>0</v>
      </c>
      <c r="AO65" s="8">
        <f>-MAX(FV(Inputs!$B94/12,AO$1*12,Inputs!$B95,-Inputs!$B93),0)</f>
        <v>0</v>
      </c>
      <c r="AP65" s="8">
        <f>-MAX(FV(Inputs!$B94/12,AP$1*12,Inputs!$B95,-Inputs!$B93),0)</f>
        <v>0</v>
      </c>
      <c r="AQ65" s="8">
        <f>-MAX(FV(Inputs!$B94/12,AQ$1*12,Inputs!$B95,-Inputs!$B93),0)</f>
        <v>0</v>
      </c>
      <c r="AR65" s="8">
        <f>-MAX(FV(Inputs!$B94/12,AR$1*12,Inputs!$B95,-Inputs!$B93),0)</f>
        <v>0</v>
      </c>
      <c r="AS65" s="8">
        <f>-MAX(FV(Inputs!$B94/12,AS$1*12,Inputs!$B95,-Inputs!$B93),0)</f>
        <v>0</v>
      </c>
      <c r="AT65" s="8">
        <f>-MAX(FV(Inputs!$B94/12,AT$1*12,Inputs!$B95,-Inputs!$B93),0)</f>
        <v>0</v>
      </c>
      <c r="AU65" s="8">
        <f>-MAX(FV(Inputs!$B94/12,AU$1*12,Inputs!$B95,-Inputs!$B93),0)</f>
        <v>0</v>
      </c>
      <c r="AV65" s="8">
        <f>-MAX(FV(Inputs!$B94/12,AV$1*12,Inputs!$B95,-Inputs!$B93),0)</f>
        <v>0</v>
      </c>
      <c r="AW65" s="8">
        <f>-MAX(FV(Inputs!$B94/12,AW$1*12,Inputs!$B95,-Inputs!$B93),0)</f>
        <v>0</v>
      </c>
    </row>
    <row r="66" spans="1:49" x14ac:dyDescent="0.2">
      <c r="A66" s="5"/>
      <c r="C66" s="10">
        <f t="shared" ref="C66:G66" ca="1" si="80">SUM(C52:C65)</f>
        <v>968981.94138270128</v>
      </c>
      <c r="D66" s="10">
        <f t="shared" ca="1" si="80"/>
        <v>1009855.5963523956</v>
      </c>
      <c r="E66" s="10">
        <f t="shared" ca="1" si="80"/>
        <v>1052713.1778108226</v>
      </c>
      <c r="F66" s="10">
        <f t="shared" ca="1" si="80"/>
        <v>1097651.5917861115</v>
      </c>
      <c r="G66" s="10">
        <f t="shared" ca="1" si="80"/>
        <v>1144772.700802363</v>
      </c>
      <c r="H66" s="10">
        <f t="shared" ref="H66:AM66" ca="1" si="81">SUM(H52:H65)</f>
        <v>1194183.603946965</v>
      </c>
      <c r="I66" s="10">
        <f t="shared" ca="1" si="81"/>
        <v>1245996.9348095595</v>
      </c>
      <c r="J66" s="10">
        <f t="shared" ca="1" si="81"/>
        <v>1300331.178554723</v>
      </c>
      <c r="K66" s="10">
        <f t="shared" ca="1" si="81"/>
        <v>1357311.0094854354</v>
      </c>
      <c r="L66" s="10">
        <f t="shared" ca="1" si="81"/>
        <v>1417067.6505567976</v>
      </c>
      <c r="M66" s="10">
        <f t="shared" ca="1" si="81"/>
        <v>1479739.2564098446</v>
      </c>
      <c r="N66" s="10">
        <f t="shared" ca="1" si="81"/>
        <v>1461379.1139677668</v>
      </c>
      <c r="O66" s="10">
        <f t="shared" ca="1" si="81"/>
        <v>1441607.6292236468</v>
      </c>
      <c r="P66" s="10">
        <f t="shared" ca="1" si="81"/>
        <v>1420395.0016198535</v>
      </c>
      <c r="Q66" s="10">
        <f t="shared" ca="1" si="81"/>
        <v>1397713.1121486544</v>
      </c>
      <c r="R66" s="10">
        <f t="shared" ca="1" si="81"/>
        <v>1374578.5196879508</v>
      </c>
      <c r="S66" s="10">
        <f t="shared" ca="1" si="81"/>
        <v>1351827.7109562999</v>
      </c>
      <c r="T66" s="10">
        <f t="shared" ca="1" si="81"/>
        <v>1354104.6199916517</v>
      </c>
      <c r="U66" s="10">
        <f t="shared" ca="1" si="81"/>
        <v>1365249.0910293488</v>
      </c>
      <c r="V66" s="10">
        <f t="shared" ca="1" si="81"/>
        <v>1377755.5901001575</v>
      </c>
      <c r="W66" s="10">
        <f t="shared" ca="1" si="81"/>
        <v>1391734.6266071121</v>
      </c>
      <c r="X66" s="10">
        <f t="shared" ca="1" si="81"/>
        <v>1407305.2829465482</v>
      </c>
      <c r="Y66" s="10">
        <f t="shared" ca="1" si="81"/>
        <v>1424595.8844604532</v>
      </c>
      <c r="Z66" s="10">
        <f t="shared" ca="1" si="81"/>
        <v>1443744.7223120383</v>
      </c>
      <c r="AA66" s="10">
        <f t="shared" ca="1" si="81"/>
        <v>1464900.8334932786</v>
      </c>
      <c r="AB66" s="10">
        <f t="shared" ca="1" si="81"/>
        <v>1488224.842509018</v>
      </c>
      <c r="AC66" s="10">
        <f t="shared" ca="1" si="81"/>
        <v>1513889.8696448777</v>
      </c>
      <c r="AD66" s="10">
        <f t="shared" ca="1" si="81"/>
        <v>1542082.5111178611</v>
      </c>
      <c r="AE66" s="10">
        <f t="shared" ca="1" si="81"/>
        <v>1582986.3719252748</v>
      </c>
      <c r="AF66" s="10">
        <f t="shared" ca="1" si="81"/>
        <v>1627085.3439789661</v>
      </c>
      <c r="AG66" s="10">
        <f t="shared" ca="1" si="81"/>
        <v>1674619.3786721244</v>
      </c>
      <c r="AH66" s="10">
        <f t="shared" ca="1" si="81"/>
        <v>1725846.8202447505</v>
      </c>
      <c r="AI66" s="10">
        <f t="shared" ca="1" si="81"/>
        <v>1781045.844774975</v>
      </c>
      <c r="AJ66" s="10">
        <f t="shared" ca="1" si="81"/>
        <v>1840516.0131081287</v>
      </c>
      <c r="AK66" s="10">
        <f t="shared" ca="1" si="81"/>
        <v>1904579.946797925</v>
      </c>
      <c r="AL66" s="10">
        <f t="shared" ca="1" si="81"/>
        <v>1973585.1368587143</v>
      </c>
      <c r="AM66" s="10">
        <f t="shared" ca="1" si="81"/>
        <v>2047905.8959102985</v>
      </c>
      <c r="AN66" s="10">
        <f t="shared" ref="AN66:AV66" ca="1" si="82">SUM(AN52:AN65)</f>
        <v>2127945.4651418631</v>
      </c>
      <c r="AO66" s="10">
        <f t="shared" ca="1" si="82"/>
        <v>2214138.2884342349</v>
      </c>
      <c r="AP66" s="10">
        <f t="shared" ca="1" si="82"/>
        <v>2306952.4669652684</v>
      </c>
      <c r="AQ66" s="10">
        <f t="shared" ca="1" si="82"/>
        <v>2406892.4086875701</v>
      </c>
      <c r="AR66" s="10">
        <f t="shared" ca="1" si="82"/>
        <v>2514501.6882172646</v>
      </c>
      <c r="AS66" s="10">
        <f t="shared" ca="1" si="82"/>
        <v>2630366.1339139328</v>
      </c>
      <c r="AT66" s="10">
        <f t="shared" ca="1" si="82"/>
        <v>2755117.1602724921</v>
      </c>
      <c r="AU66" s="10">
        <f t="shared" ca="1" si="82"/>
        <v>2889435.3651956869</v>
      </c>
      <c r="AV66" s="10">
        <f t="shared" ca="1" si="82"/>
        <v>3034054.4132794645</v>
      </c>
      <c r="AW66" s="10">
        <f t="shared" ref="AW66" ca="1" si="83">SUM(AW52:AW65)</f>
        <v>3189765.2279321989</v>
      </c>
    </row>
    <row r="67" spans="1:49" x14ac:dyDescent="0.2">
      <c r="A67" s="5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">
      <c r="A68" s="35" t="s">
        <v>87</v>
      </c>
      <c r="C68" s="8">
        <f t="shared" ref="C68:AM68" ca="1" si="84">C53-buffer</f>
        <v>184898.75</v>
      </c>
      <c r="D68" s="8">
        <f t="shared" ca="1" si="84"/>
        <v>190464.1875</v>
      </c>
      <c r="E68" s="8">
        <f t="shared" ca="1" si="84"/>
        <v>196735.69765625001</v>
      </c>
      <c r="F68" s="8">
        <f t="shared" ca="1" si="84"/>
        <v>203754.49157812502</v>
      </c>
      <c r="G68" s="8">
        <f t="shared" ca="1" si="84"/>
        <v>211563.68121130861</v>
      </c>
      <c r="H68" s="8">
        <f t="shared" ca="1" si="84"/>
        <v>220208.35706995256</v>
      </c>
      <c r="I68" s="8">
        <f t="shared" ca="1" si="84"/>
        <v>229735.66892084025</v>
      </c>
      <c r="J68" s="8">
        <f t="shared" ca="1" si="84"/>
        <v>240194.90952617431</v>
      </c>
      <c r="K68" s="8">
        <f t="shared" ca="1" si="84"/>
        <v>251637.60155532236</v>
      </c>
      <c r="L68" s="8">
        <f t="shared" ca="1" si="84"/>
        <v>264117.58777969546</v>
      </c>
      <c r="M68" s="8">
        <f t="shared" ca="1" si="84"/>
        <v>277691.1246689033</v>
      </c>
      <c r="N68" s="8">
        <f t="shared" ca="1" si="84"/>
        <v>208324.77186392489</v>
      </c>
      <c r="O68" s="8">
        <f t="shared" ca="1" si="84"/>
        <v>135547.0444657795</v>
      </c>
      <c r="P68" s="8">
        <f t="shared" ca="1" si="84"/>
        <v>59230.727715311907</v>
      </c>
      <c r="Q68" s="8">
        <f t="shared" ca="1" si="84"/>
        <v>-20755.621775470165</v>
      </c>
      <c r="R68" s="8">
        <f t="shared" ca="1" si="84"/>
        <v>-100483.76375778609</v>
      </c>
      <c r="S68" s="8">
        <f t="shared" ca="1" si="84"/>
        <v>-175451.29760114453</v>
      </c>
      <c r="T68" s="8">
        <f t="shared" ca="1" si="84"/>
        <v>-227642.80395951826</v>
      </c>
      <c r="U68" s="8">
        <f t="shared" ca="1" si="84"/>
        <v>-273340.80438831879</v>
      </c>
      <c r="V68" s="8">
        <f t="shared" ca="1" si="84"/>
        <v>-320181.25482783938</v>
      </c>
      <c r="W68" s="8">
        <f t="shared" ca="1" si="84"/>
        <v>-368192.71652834793</v>
      </c>
      <c r="X68" s="8">
        <f t="shared" ca="1" si="84"/>
        <v>-417404.46477136924</v>
      </c>
      <c r="Y68" s="8">
        <f t="shared" ca="1" si="84"/>
        <v>-467846.50672046607</v>
      </c>
      <c r="Z68" s="8">
        <f t="shared" ca="1" si="84"/>
        <v>-519549.59971829032</v>
      </c>
      <c r="AA68" s="8">
        <f t="shared" ca="1" si="84"/>
        <v>-572545.27004106017</v>
      </c>
      <c r="AB68" s="8">
        <f t="shared" ca="1" si="84"/>
        <v>-626865.83212189924</v>
      </c>
      <c r="AC68" s="8">
        <f t="shared" ca="1" si="84"/>
        <v>-682544.40825475927</v>
      </c>
      <c r="AD68" s="8">
        <f t="shared" ca="1" si="84"/>
        <v>-739614.94879094081</v>
      </c>
      <c r="AE68" s="8">
        <f t="shared" ca="1" si="84"/>
        <v>-788129.77774674085</v>
      </c>
      <c r="AF68" s="8">
        <f t="shared" ca="1" si="84"/>
        <v>-837857.47742643591</v>
      </c>
      <c r="AG68" s="8">
        <f t="shared" ca="1" si="84"/>
        <v>-888828.36959812336</v>
      </c>
      <c r="AH68" s="8">
        <f t="shared" ca="1" si="84"/>
        <v>-941073.53407410299</v>
      </c>
      <c r="AI68" s="8">
        <f t="shared" ca="1" si="84"/>
        <v>-994624.82766198216</v>
      </c>
      <c r="AJ68" s="8">
        <f t="shared" ca="1" si="84"/>
        <v>-1049514.9035895583</v>
      </c>
      <c r="AK68" s="8">
        <f t="shared" ca="1" si="84"/>
        <v>-1105777.2314153239</v>
      </c>
      <c r="AL68" s="8">
        <f t="shared" ca="1" si="84"/>
        <v>-1163446.1174367336</v>
      </c>
      <c r="AM68" s="8">
        <f t="shared" ca="1" si="84"/>
        <v>-1222556.7256086785</v>
      </c>
      <c r="AN68" s="8">
        <f t="shared" ref="AN68:AV68" ca="1" si="85">AN53-buffer</f>
        <v>-1283145.098984922</v>
      </c>
      <c r="AO68" s="8">
        <f t="shared" ca="1" si="85"/>
        <v>-1345248.1816955716</v>
      </c>
      <c r="AP68" s="8">
        <f t="shared" ca="1" si="85"/>
        <v>-1408903.8414739876</v>
      </c>
      <c r="AQ68" s="8">
        <f t="shared" ca="1" si="85"/>
        <v>-1474150.8927468637</v>
      </c>
      <c r="AR68" s="8">
        <f t="shared" ca="1" si="85"/>
        <v>-1541029.1203015617</v>
      </c>
      <c r="AS68" s="8">
        <f t="shared" ca="1" si="85"/>
        <v>-1609579.3035451272</v>
      </c>
      <c r="AT68" s="8">
        <f t="shared" ca="1" si="85"/>
        <v>-1679843.2413697818</v>
      </c>
      <c r="AU68" s="8">
        <f t="shared" ca="1" si="85"/>
        <v>-1751863.7776400528</v>
      </c>
      <c r="AV68" s="8">
        <f t="shared" ca="1" si="85"/>
        <v>-1825684.8273170807</v>
      </c>
      <c r="AW68" s="8">
        <f t="shared" ref="AW68" ca="1" si="86">AW53-buffer</f>
        <v>-1901351.4032360343</v>
      </c>
    </row>
    <row r="69" spans="1:49" x14ac:dyDescent="0.2">
      <c r="A69" s="2" t="s">
        <v>21</v>
      </c>
      <c r="C69" s="8">
        <f ca="1">IF(C68&lt;0,-C68,0)</f>
        <v>0</v>
      </c>
      <c r="D69" s="8">
        <f ca="1">IF(D68+SUM($C69:C69)&lt;0,-(D68+SUM($C69:C69)),0)</f>
        <v>0</v>
      </c>
      <c r="E69" s="8">
        <f ca="1">IF(E68+SUM($C69:D69)&lt;0,-(E68+SUM($C69:D69)),0)</f>
        <v>0</v>
      </c>
      <c r="F69" s="8">
        <f ca="1">IF(F68+SUM($C69:E69)&lt;0,-(F68+SUM($C69:E69)),0)</f>
        <v>0</v>
      </c>
      <c r="G69" s="8">
        <f ca="1">IF(G68+SUM($C69:F69)&lt;0,-(G68+SUM($C69:F69)),0)</f>
        <v>0</v>
      </c>
      <c r="H69" s="8">
        <f ca="1">IF(H68+SUM($C69:G69)&lt;0,-(H68+SUM($C69:G69)),0)</f>
        <v>0</v>
      </c>
      <c r="I69" s="8">
        <f ca="1">IF(I68+SUM($C69:H69)&lt;0,-(I68+SUM($C69:H69)),0)</f>
        <v>0</v>
      </c>
      <c r="J69" s="8">
        <f ca="1">IF(J68+SUM($C69:I69)&lt;0,-(J68+SUM($C69:I69)),0)</f>
        <v>0</v>
      </c>
      <c r="K69" s="8">
        <f ca="1">IF(K68+SUM($C69:J69)&lt;0,-(K68+SUM($C69:J69)),0)</f>
        <v>0</v>
      </c>
      <c r="L69" s="8">
        <f ca="1">IF(L68+SUM($C69:K69)&lt;0,-(L68+SUM($C69:K69)),0)</f>
        <v>0</v>
      </c>
      <c r="M69" s="8">
        <f ca="1">IF(M68+SUM($C69:L69)&lt;0,-(M68+SUM($C69:L69)),0)</f>
        <v>0</v>
      </c>
      <c r="N69" s="8">
        <f ca="1">IF(N68+SUM($C69:M69)&lt;0,-(N68+SUM($C69:M69)),0)</f>
        <v>0</v>
      </c>
      <c r="O69" s="8">
        <f ca="1">IF(O68+SUM($C69:N69)&lt;0,-(O68+SUM($C69:N69)),0)</f>
        <v>0</v>
      </c>
      <c r="P69" s="8">
        <f ca="1">IF(P68+SUM($C69:O69)&lt;0,-(P68+SUM($C69:O69)),0)</f>
        <v>0</v>
      </c>
      <c r="Q69" s="8">
        <f ca="1">IF(Q68+SUM($C69:P69)&lt;0,-(Q68+SUM($C69:P69)),0)</f>
        <v>20755.621775470165</v>
      </c>
      <c r="R69" s="8">
        <f ca="1">IF(R68+SUM($C69:Q69)&lt;0,-(R68+SUM($C69:Q69)),0)</f>
        <v>79728.141982315923</v>
      </c>
      <c r="S69" s="8">
        <f ca="1">IF(S68+SUM($C69:R69)&lt;0,-(S68+SUM($C69:R69)),0)</f>
        <v>74967.53384335844</v>
      </c>
      <c r="T69" s="8">
        <f ca="1">IF(T68+SUM($C69:S69)&lt;0,-(T68+SUM($C69:S69)),0)</f>
        <v>52191.506358373736</v>
      </c>
      <c r="U69" s="8">
        <f ca="1">IF(U68+SUM($C69:T69)&lt;0,-(U68+SUM($C69:T69)),0)</f>
        <v>45698.000428800529</v>
      </c>
      <c r="V69" s="8">
        <f ca="1">IF(V68+SUM($C69:U69)&lt;0,-(V68+SUM($C69:U69)),0)</f>
        <v>46840.450439520588</v>
      </c>
      <c r="W69" s="8">
        <f ca="1">IF(W68+SUM($C69:V69)&lt;0,-(W68+SUM($C69:V69)),0)</f>
        <v>48011.461700508546</v>
      </c>
      <c r="X69" s="8">
        <f ca="1">IF(X68+SUM($C69:W69)&lt;0,-(X68+SUM($C69:W69)),0)</f>
        <v>49211.748243021313</v>
      </c>
      <c r="Y69" s="8">
        <f ca="1">IF(Y68+SUM($C69:X69)&lt;0,-(Y68+SUM($C69:X69)),0)</f>
        <v>50442.041949096834</v>
      </c>
      <c r="Z69" s="8">
        <f ca="1">IF(Z68+SUM($C69:Y69)&lt;0,-(Z68+SUM($C69:Y69)),0)</f>
        <v>51703.092997824249</v>
      </c>
      <c r="AA69" s="8">
        <f ca="1">IF(AA68+SUM($C69:Z69)&lt;0,-(AA68+SUM($C69:Z69)),0)</f>
        <v>52995.670322769845</v>
      </c>
      <c r="AB69" s="8">
        <f ca="1">IF(AB68+SUM($C69:AA69)&lt;0,-(AB68+SUM($C69:AA69)),0)</f>
        <v>54320.562080839067</v>
      </c>
      <c r="AC69" s="8">
        <f ca="1">IF(AC68+SUM($C69:AB69)&lt;0,-(AC68+SUM($C69:AB69)),0)</f>
        <v>55678.576132860035</v>
      </c>
      <c r="AD69" s="8">
        <f ca="1">IF(AD68+SUM($C69:AC69)&lt;0,-(AD68+SUM($C69:AC69)),0)</f>
        <v>57070.540536181536</v>
      </c>
      <c r="AE69" s="8">
        <f ca="1">IF(AE68+SUM($C69:AD69)&lt;0,-(AE68+SUM($C69:AD69)),0)</f>
        <v>48514.82895580004</v>
      </c>
      <c r="AF69" s="8">
        <f ca="1">IF(AF68+SUM($C69:AE69)&lt;0,-(AF68+SUM($C69:AE69)),0)</f>
        <v>49727.69967969507</v>
      </c>
      <c r="AG69" s="8">
        <f ca="1">IF(AG68+SUM($C69:AF69)&lt;0,-(AG68+SUM($C69:AF69)),0)</f>
        <v>50970.892171687447</v>
      </c>
      <c r="AH69" s="8">
        <f ca="1">IF(AH68+SUM($C69:AG69)&lt;0,-(AH68+SUM($C69:AG69)),0)</f>
        <v>52245.164475979633</v>
      </c>
      <c r="AI69" s="8">
        <f ca="1">IF(AI68+SUM($C69:AH69)&lt;0,-(AI68+SUM($C69:AH69)),0)</f>
        <v>53551.293587879161</v>
      </c>
      <c r="AJ69" s="8">
        <f ca="1">IF(AJ68+SUM($C69:AI69)&lt;0,-(AJ68+SUM($C69:AI69)),0)</f>
        <v>54890.075927576167</v>
      </c>
      <c r="AK69" s="8">
        <f ca="1">IF(AK68+SUM($C69:AJ69)&lt;0,-(AK68+SUM($C69:AJ69)),0)</f>
        <v>56262.327825765591</v>
      </c>
      <c r="AL69" s="8">
        <f ca="1">IF(AL68+SUM($C69:AK69)&lt;0,-(AL68+SUM($C69:AK69)),0)</f>
        <v>57668.886021409649</v>
      </c>
      <c r="AM69" s="8">
        <f ca="1">IF(AM68+SUM($C69:AL69)&lt;0,-(AM68+SUM($C69:AL69)),0)</f>
        <v>59110.608171944972</v>
      </c>
      <c r="AN69" s="8">
        <f ca="1">IF(AN68+SUM($C69:AM69)&lt;0,-(AN68+SUM($C69:AM69)),0)</f>
        <v>60588.373376243515</v>
      </c>
      <c r="AO69" s="8">
        <f ca="1">IF(AO68+SUM($C69:AN69)&lt;0,-(AO68+SUM($C69:AN69)),0)</f>
        <v>62103.082710649585</v>
      </c>
      <c r="AP69" s="8">
        <f ca="1">IF(AP68+SUM($C69:AO69)&lt;0,-(AP68+SUM($C69:AO69)),0)</f>
        <v>63655.659778415924</v>
      </c>
      <c r="AQ69" s="8">
        <f ca="1">IF(AQ68+SUM($C69:AP69)&lt;0,-(AQ68+SUM($C69:AP69)),0)</f>
        <v>65247.051272876095</v>
      </c>
      <c r="AR69" s="8">
        <f ca="1">IF(AR68+SUM($C69:AQ69)&lt;0,-(AR68+SUM($C69:AQ69)),0)</f>
        <v>66878.227554698009</v>
      </c>
      <c r="AS69" s="8">
        <f ca="1">IF(AS68+SUM($C69:AR69)&lt;0,-(AS68+SUM($C69:AR69)),0)</f>
        <v>68550.183243565494</v>
      </c>
      <c r="AT69" s="8">
        <f ca="1">IF(AT68+SUM($C69:AS69)&lt;0,-(AT68+SUM($C69:AS69)),0)</f>
        <v>70263.937824654626</v>
      </c>
      <c r="AU69" s="8">
        <f ca="1">IF(AU68+SUM($C69:AT69)&lt;0,-(AU68+SUM($C69:AT69)),0)</f>
        <v>72020.536270271055</v>
      </c>
      <c r="AV69" s="8">
        <f ca="1">IF(AV68+SUM($C69:AU69)&lt;0,-(AV68+SUM($C69:AU69)),0)</f>
        <v>73821.049677027855</v>
      </c>
      <c r="AW69" s="8">
        <f ca="1">IF(AW68+SUM($C69:AV69)&lt;0,-(AW68+SUM($C69:AV69)),0)</f>
        <v>75666.575918953633</v>
      </c>
    </row>
    <row r="70" spans="1:49" x14ac:dyDescent="0.2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ht="19" x14ac:dyDescent="0.25">
      <c r="A71" s="30" t="s">
        <v>22</v>
      </c>
      <c r="B71" s="31"/>
      <c r="C71" s="32"/>
      <c r="D71" s="33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</row>
    <row r="72" spans="1:49" x14ac:dyDescent="0.2">
      <c r="A72" s="1"/>
      <c r="C72" s="8"/>
      <c r="D72" s="13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">
      <c r="A73" s="29" t="s">
        <v>28</v>
      </c>
      <c r="B73" s="31"/>
      <c r="C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">
      <c r="A74" s="4" t="s">
        <v>23</v>
      </c>
      <c r="C74" s="8">
        <f>C59</f>
        <v>54000</v>
      </c>
      <c r="D74" s="8">
        <f t="shared" ref="D74:AM74" ca="1" si="87">C77</f>
        <v>54000</v>
      </c>
      <c r="E74" s="8">
        <f t="shared" ca="1" si="87"/>
        <v>58320</v>
      </c>
      <c r="F74" s="8">
        <f t="shared" ca="1" si="87"/>
        <v>62985.599999999999</v>
      </c>
      <c r="G74" s="8">
        <f t="shared" ca="1" si="87"/>
        <v>68024.448000000004</v>
      </c>
      <c r="H74" s="8">
        <f t="shared" ca="1" si="87"/>
        <v>73466.403839999999</v>
      </c>
      <c r="I74" s="8">
        <f t="shared" ca="1" si="87"/>
        <v>79343.716147200001</v>
      </c>
      <c r="J74" s="8">
        <f t="shared" ca="1" si="87"/>
        <v>85691.213438976003</v>
      </c>
      <c r="K74" s="8">
        <f t="shared" ca="1" si="87"/>
        <v>92546.510514094087</v>
      </c>
      <c r="L74" s="8">
        <f t="shared" ca="1" si="87"/>
        <v>99950.231355221607</v>
      </c>
      <c r="M74" s="8">
        <f t="shared" ca="1" si="87"/>
        <v>107946.24986363934</v>
      </c>
      <c r="N74" s="8">
        <f t="shared" ca="1" si="87"/>
        <v>116581.9498527305</v>
      </c>
      <c r="O74" s="8">
        <f t="shared" ca="1" si="87"/>
        <v>125908.50584094894</v>
      </c>
      <c r="P74" s="8">
        <f t="shared" ca="1" si="87"/>
        <v>135981.18630822486</v>
      </c>
      <c r="Q74" s="8">
        <f t="shared" ca="1" si="87"/>
        <v>146859.68121288286</v>
      </c>
      <c r="R74" s="8">
        <f t="shared" ca="1" si="87"/>
        <v>135012.59095464213</v>
      </c>
      <c r="S74" s="8">
        <f t="shared" ca="1" si="87"/>
        <v>55175.289451117496</v>
      </c>
      <c r="T74" s="8">
        <f t="shared" ca="1" si="87"/>
        <v>0</v>
      </c>
      <c r="U74" s="8">
        <f t="shared" ca="1" si="87"/>
        <v>0</v>
      </c>
      <c r="V74" s="8">
        <f t="shared" ca="1" si="87"/>
        <v>0</v>
      </c>
      <c r="W74" s="8">
        <f t="shared" ca="1" si="87"/>
        <v>0</v>
      </c>
      <c r="X74" s="8">
        <f t="shared" ca="1" si="87"/>
        <v>0</v>
      </c>
      <c r="Y74" s="8">
        <f t="shared" ca="1" si="87"/>
        <v>0</v>
      </c>
      <c r="Z74" s="8">
        <f t="shared" ca="1" si="87"/>
        <v>0</v>
      </c>
      <c r="AA74" s="8">
        <f t="shared" ca="1" si="87"/>
        <v>0</v>
      </c>
      <c r="AB74" s="8">
        <f t="shared" ca="1" si="87"/>
        <v>0</v>
      </c>
      <c r="AC74" s="8">
        <f t="shared" ca="1" si="87"/>
        <v>0</v>
      </c>
      <c r="AD74" s="8">
        <f t="shared" ca="1" si="87"/>
        <v>0</v>
      </c>
      <c r="AE74" s="8">
        <f t="shared" ca="1" si="87"/>
        <v>0</v>
      </c>
      <c r="AF74" s="8">
        <f t="shared" ca="1" si="87"/>
        <v>0</v>
      </c>
      <c r="AG74" s="8">
        <f t="shared" ca="1" si="87"/>
        <v>0</v>
      </c>
      <c r="AH74" s="8">
        <f t="shared" ca="1" si="87"/>
        <v>0</v>
      </c>
      <c r="AI74" s="8">
        <f t="shared" ca="1" si="87"/>
        <v>0</v>
      </c>
      <c r="AJ74" s="8">
        <f t="shared" ca="1" si="87"/>
        <v>0</v>
      </c>
      <c r="AK74" s="8">
        <f t="shared" ca="1" si="87"/>
        <v>0</v>
      </c>
      <c r="AL74" s="8">
        <f t="shared" ca="1" si="87"/>
        <v>0</v>
      </c>
      <c r="AM74" s="8">
        <f t="shared" ca="1" si="87"/>
        <v>0</v>
      </c>
      <c r="AN74" s="8">
        <f t="shared" ref="AN74" ca="1" si="88">AM77</f>
        <v>0</v>
      </c>
      <c r="AO74" s="8">
        <f t="shared" ref="AO74" ca="1" si="89">AN77</f>
        <v>0</v>
      </c>
      <c r="AP74" s="8">
        <f t="shared" ref="AP74" ca="1" si="90">AO77</f>
        <v>0</v>
      </c>
      <c r="AQ74" s="8">
        <f t="shared" ref="AQ74" ca="1" si="91">AP77</f>
        <v>0</v>
      </c>
      <c r="AR74" s="8">
        <f t="shared" ref="AR74" ca="1" si="92">AQ77</f>
        <v>0</v>
      </c>
      <c r="AS74" s="8">
        <f t="shared" ref="AS74" ca="1" si="93">AR77</f>
        <v>0</v>
      </c>
      <c r="AT74" s="8">
        <f t="shared" ref="AT74" ca="1" si="94">AS77</f>
        <v>0</v>
      </c>
      <c r="AU74" s="8">
        <f t="shared" ref="AU74" ca="1" si="95">AT77</f>
        <v>0</v>
      </c>
      <c r="AV74" s="8">
        <f t="shared" ref="AV74:AW74" ca="1" si="96">AU77</f>
        <v>0</v>
      </c>
      <c r="AW74" s="8">
        <f t="shared" ca="1" si="96"/>
        <v>0</v>
      </c>
    </row>
    <row r="75" spans="1:49" x14ac:dyDescent="0.2">
      <c r="A75" s="4" t="s">
        <v>24</v>
      </c>
      <c r="C75" s="8">
        <f ca="1">-MIN( IF(C74&gt;C69/ (1 - Inputs!$B$161), C69/ (1 - Inputs!$B$161), C74), C74/ (1 - Inputs!$B$161) )</f>
        <v>0</v>
      </c>
      <c r="D75" s="8">
        <f ca="1">-MIN( IF(D74&gt;D69/ (1 - Inputs!$B$161), D69/ (1 - Inputs!$B$161), D74), D74/ (1 - Inputs!$B$161) )</f>
        <v>0</v>
      </c>
      <c r="E75" s="8">
        <f ca="1">-MIN( IF(E74&gt;E69/ (1 - Inputs!$B$161), E69/ (1 - Inputs!$B$161), E74), E74/ (1 - Inputs!$B$161) )</f>
        <v>0</v>
      </c>
      <c r="F75" s="8">
        <f ca="1">-MIN( IF(F74&gt;F69/ (1 - Inputs!$B$161), F69/ (1 - Inputs!$B$161), F74), F74/ (1 - Inputs!$B$161) )</f>
        <v>0</v>
      </c>
      <c r="G75" s="8">
        <f ca="1">-MIN( IF(G74&gt;G69/ (1 - Inputs!$B$161), G69/ (1 - Inputs!$B$161), G74), G74/ (1 - Inputs!$B$161) )</f>
        <v>0</v>
      </c>
      <c r="H75" s="8">
        <f ca="1">-MIN( IF(H74&gt;H69/ (1 - Inputs!$B$161), H69/ (1 - Inputs!$B$161), H74), H74/ (1 - Inputs!$B$161) )</f>
        <v>0</v>
      </c>
      <c r="I75" s="8">
        <f ca="1">-MIN( IF(I74&gt;I69/ (1 - Inputs!$B$161), I69/ (1 - Inputs!$B$161), I74), I74/ (1 - Inputs!$B$161) )</f>
        <v>0</v>
      </c>
      <c r="J75" s="8">
        <f ca="1">-MIN( IF(J74&gt;J69/ (1 - Inputs!$B$161), J69/ (1 - Inputs!$B$161), J74), J74/ (1 - Inputs!$B$161) )</f>
        <v>0</v>
      </c>
      <c r="K75" s="8">
        <f ca="1">-MIN( IF(K74&gt;K69/ (1 - Inputs!$B$161), K69/ (1 - Inputs!$B$161), K74), K74/ (1 - Inputs!$B$161) )</f>
        <v>0</v>
      </c>
      <c r="L75" s="8">
        <f ca="1">-MIN( IF(L74&gt;L69/ (1 - Inputs!$B$161), L69/ (1 - Inputs!$B$161), L74), L74/ (1 - Inputs!$B$161) )</f>
        <v>0</v>
      </c>
      <c r="M75" s="8">
        <f ca="1">-MIN( IF(M74&gt;M69/ (1 - Inputs!$B$161), M69/ (1 - Inputs!$B$161), M74), M74/ (1 - Inputs!$B$161) )</f>
        <v>0</v>
      </c>
      <c r="N75" s="8">
        <f ca="1">-MIN( IF(N74&gt;N69/ (1 - Inputs!$B$161), N69/ (1 - Inputs!$B$161), N74), N74/ (1 - Inputs!$B$161) )</f>
        <v>0</v>
      </c>
      <c r="O75" s="8">
        <f ca="1">-MIN( IF(O74&gt;O69/ (1 - Inputs!$B$161), O69/ (1 - Inputs!$B$161), O74), O74/ (1 - Inputs!$B$161) )</f>
        <v>0</v>
      </c>
      <c r="P75" s="8">
        <f ca="1">-MIN( IF(P74&gt;P69/ (1 - Inputs!$B$161), P69/ (1 - Inputs!$B$161), P74), P74/ (1 - Inputs!$B$161) )</f>
        <v>0</v>
      </c>
      <c r="Q75" s="8">
        <f ca="1">-MIN( IF(Q74&gt;Q69/ (1 - Inputs!$B$161), Q69/ (1 - Inputs!$B$161), Q74), Q74/ (1 - Inputs!$B$161) )</f>
        <v>-21848.022921547541</v>
      </c>
      <c r="R75" s="8">
        <f ca="1">-MIN( IF(R74&gt;R69/ (1 - Inputs!$B$161), R69/ (1 - Inputs!$B$161), R74), R74/ (1 - Inputs!$B$161) )</f>
        <v>-83924.359981385191</v>
      </c>
      <c r="S75" s="8">
        <f ca="1">-MIN( IF(S74&gt;S69/ (1 - Inputs!$B$161), S69/ (1 - Inputs!$B$161), S74), S74/ (1 - Inputs!$B$161) )</f>
        <v>-55175.289451117496</v>
      </c>
      <c r="T75" s="8">
        <f ca="1">-MIN( IF(T74&gt;T69/ (1 - Inputs!$B$161), T69/ (1 - Inputs!$B$161), T74), T74/ (1 - Inputs!$B$161) )</f>
        <v>0</v>
      </c>
      <c r="U75" s="8">
        <f ca="1">-MIN( IF(U74&gt;U69/ (1 - Inputs!$B$161), U69/ (1 - Inputs!$B$161), U74), U74/ (1 - Inputs!$B$161) )</f>
        <v>0</v>
      </c>
      <c r="V75" s="8">
        <f ca="1">-MIN( IF(V74&gt;V69/ (1 - Inputs!$B$161), V69/ (1 - Inputs!$B$161), V74), V74/ (1 - Inputs!$B$161) )</f>
        <v>0</v>
      </c>
      <c r="W75" s="8">
        <f ca="1">-MIN( IF(W74&gt;W69/ (1 - Inputs!$B$161), W69/ (1 - Inputs!$B$161), W74), W74/ (1 - Inputs!$B$161) )</f>
        <v>0</v>
      </c>
      <c r="X75" s="8">
        <f ca="1">-MIN( IF(X74&gt;X69/ (1 - Inputs!$B$161), X69/ (1 - Inputs!$B$161), X74), X74/ (1 - Inputs!$B$161) )</f>
        <v>0</v>
      </c>
      <c r="Y75" s="8">
        <f ca="1">-MIN( IF(Y74&gt;Y69/ (1 - Inputs!$B$161), Y69/ (1 - Inputs!$B$161), Y74), Y74/ (1 - Inputs!$B$161) )</f>
        <v>0</v>
      </c>
      <c r="Z75" s="8">
        <f ca="1">-MIN( IF(Z74&gt;Z69/ (1 - Inputs!$B$161), Z69/ (1 - Inputs!$B$161), Z74), Z74/ (1 - Inputs!$B$161) )</f>
        <v>0</v>
      </c>
      <c r="AA75" s="8">
        <f ca="1">-MIN( IF(AA74&gt;AA69/ (1 - Inputs!$B$161), AA69/ (1 - Inputs!$B$161), AA74), AA74/ (1 - Inputs!$B$161) )</f>
        <v>0</v>
      </c>
      <c r="AB75" s="8">
        <f ca="1">-MIN( IF(AB74&gt;AB69/ (1 - Inputs!$B$161), AB69/ (1 - Inputs!$B$161), AB74), AB74/ (1 - Inputs!$B$161) )</f>
        <v>0</v>
      </c>
      <c r="AC75" s="8">
        <f ca="1">-MIN( IF(AC74&gt;AC69/ (1 - Inputs!$B$161), AC69/ (1 - Inputs!$B$161), AC74), AC74/ (1 - Inputs!$B$161) )</f>
        <v>0</v>
      </c>
      <c r="AD75" s="8">
        <f ca="1">-MIN( IF(AD74&gt;AD69/ (1 - Inputs!$B$161), AD69/ (1 - Inputs!$B$161), AD74), AD74/ (1 - Inputs!$B$161) )</f>
        <v>0</v>
      </c>
      <c r="AE75" s="8">
        <f ca="1">-MIN( IF(AE74&gt;AE69/ (1 - Inputs!$B$161), AE69/ (1 - Inputs!$B$161), AE74), AE74/ (1 - Inputs!$B$161) )</f>
        <v>0</v>
      </c>
      <c r="AF75" s="8">
        <f ca="1">-MIN( IF(AF74&gt;AF69/ (1 - Inputs!$B$161), AF69/ (1 - Inputs!$B$161), AF74), AF74/ (1 - Inputs!$B$161) )</f>
        <v>0</v>
      </c>
      <c r="AG75" s="8">
        <f ca="1">-MIN( IF(AG74&gt;AG69/ (1 - Inputs!$B$161), AG69/ (1 - Inputs!$B$161), AG74), AG74/ (1 - Inputs!$B$161) )</f>
        <v>0</v>
      </c>
      <c r="AH75" s="8">
        <f ca="1">-MIN( IF(AH74&gt;AH69/ (1 - Inputs!$B$161), AH69/ (1 - Inputs!$B$161), AH74), AH74/ (1 - Inputs!$B$161) )</f>
        <v>0</v>
      </c>
      <c r="AI75" s="8">
        <f ca="1">-MIN( IF(AI74&gt;AI69/ (1 - Inputs!$B$161), AI69/ (1 - Inputs!$B$161), AI74), AI74/ (1 - Inputs!$B$161) )</f>
        <v>0</v>
      </c>
      <c r="AJ75" s="8">
        <f ca="1">-MIN( IF(AJ74&gt;AJ69/ (1 - Inputs!$B$161), AJ69/ (1 - Inputs!$B$161), AJ74), AJ74/ (1 - Inputs!$B$161) )</f>
        <v>0</v>
      </c>
      <c r="AK75" s="8">
        <f ca="1">-MIN( IF(AK74&gt;AK69/ (1 - Inputs!$B$161), AK69/ (1 - Inputs!$B$161), AK74), AK74/ (1 - Inputs!$B$161) )</f>
        <v>0</v>
      </c>
      <c r="AL75" s="8">
        <f ca="1">-MIN( IF(AL74&gt;AL69/ (1 - Inputs!$B$161), AL69/ (1 - Inputs!$B$161), AL74), AL74/ (1 - Inputs!$B$161) )</f>
        <v>0</v>
      </c>
      <c r="AM75" s="8">
        <f ca="1">-MIN( IF(AM74&gt;AM69/ (1 - Inputs!$B$161), AM69/ (1 - Inputs!$B$161), AM74), AM74/ (1 - Inputs!$B$161) )</f>
        <v>0</v>
      </c>
      <c r="AN75" s="8">
        <f ca="1">-MIN( IF(AN74&gt;AN69/ (1 - Inputs!$B$161), AN69/ (1 - Inputs!$B$161), AN74), AN74/ (1 - Inputs!$B$161) )</f>
        <v>0</v>
      </c>
      <c r="AO75" s="8">
        <f ca="1">-MIN( IF(AO74&gt;AO69/ (1 - Inputs!$B$161), AO69/ (1 - Inputs!$B$161), AO74), AO74/ (1 - Inputs!$B$161) )</f>
        <v>0</v>
      </c>
      <c r="AP75" s="8">
        <f ca="1">-MIN( IF(AP74&gt;AP69/ (1 - Inputs!$B$161), AP69/ (1 - Inputs!$B$161), AP74), AP74/ (1 - Inputs!$B$161) )</f>
        <v>0</v>
      </c>
      <c r="AQ75" s="8">
        <f ca="1">-MIN( IF(AQ74&gt;AQ69/ (1 - Inputs!$B$161), AQ69/ (1 - Inputs!$B$161), AQ74), AQ74/ (1 - Inputs!$B$161) )</f>
        <v>0</v>
      </c>
      <c r="AR75" s="8">
        <f ca="1">-MIN( IF(AR74&gt;AR69/ (1 - Inputs!$B$161), AR69/ (1 - Inputs!$B$161), AR74), AR74/ (1 - Inputs!$B$161) )</f>
        <v>0</v>
      </c>
      <c r="AS75" s="8">
        <f ca="1">-MIN( IF(AS74&gt;AS69/ (1 - Inputs!$B$161), AS69/ (1 - Inputs!$B$161), AS74), AS74/ (1 - Inputs!$B$161) )</f>
        <v>0</v>
      </c>
      <c r="AT75" s="8">
        <f ca="1">-MIN( IF(AT74&gt;AT69/ (1 - Inputs!$B$161), AT69/ (1 - Inputs!$B$161), AT74), AT74/ (1 - Inputs!$B$161) )</f>
        <v>0</v>
      </c>
      <c r="AU75" s="8">
        <f ca="1">-MIN( IF(AU74&gt;AU69/ (1 - Inputs!$B$161), AU69/ (1 - Inputs!$B$161), AU74), AU74/ (1 - Inputs!$B$161) )</f>
        <v>0</v>
      </c>
      <c r="AV75" s="8">
        <f ca="1">-MIN( IF(AV74&gt;AV69/ (1 - Inputs!$B$161), AV69/ (1 - Inputs!$B$161), AV74), AV74/ (1 - Inputs!$B$161) )</f>
        <v>0</v>
      </c>
      <c r="AW75" s="8">
        <f ca="1">-MIN( IF(AW74&gt;AW69/ (1 - Inputs!$B$161), AW69/ (1 - Inputs!$B$161), AW74), AW74/ (1 - Inputs!$B$161) )</f>
        <v>0</v>
      </c>
    </row>
    <row r="76" spans="1:49" x14ac:dyDescent="0.2">
      <c r="A76" s="4" t="s">
        <v>25</v>
      </c>
      <c r="C76" s="8">
        <v>0</v>
      </c>
      <c r="D76" s="8">
        <f t="shared" ref="D76:G76" ca="1" si="97">SUM(D74:D75)*stinc</f>
        <v>4320</v>
      </c>
      <c r="E76" s="8">
        <f t="shared" ca="1" si="97"/>
        <v>4665.6000000000004</v>
      </c>
      <c r="F76" s="8">
        <f t="shared" ca="1" si="97"/>
        <v>5038.848</v>
      </c>
      <c r="G76" s="8">
        <f t="shared" ca="1" si="97"/>
        <v>5441.9558400000005</v>
      </c>
      <c r="H76" s="8">
        <f t="shared" ref="H76:AM76" ca="1" si="98">SUM(H74:H75)*stinc</f>
        <v>5877.3123071999999</v>
      </c>
      <c r="I76" s="8">
        <f t="shared" ca="1" si="98"/>
        <v>6347.4972917760006</v>
      </c>
      <c r="J76" s="8">
        <f t="shared" ca="1" si="98"/>
        <v>6855.2970751180801</v>
      </c>
      <c r="K76" s="8">
        <f t="shared" ca="1" si="98"/>
        <v>7403.7208411275269</v>
      </c>
      <c r="L76" s="8">
        <f t="shared" ca="1" si="98"/>
        <v>7996.0185084177292</v>
      </c>
      <c r="M76" s="8">
        <f t="shared" ca="1" si="98"/>
        <v>8635.6999890911484</v>
      </c>
      <c r="N76" s="8">
        <f t="shared" ca="1" si="98"/>
        <v>9326.5559882184407</v>
      </c>
      <c r="O76" s="8">
        <f t="shared" ca="1" si="98"/>
        <v>10072.680467275915</v>
      </c>
      <c r="P76" s="8">
        <f t="shared" ca="1" si="98"/>
        <v>10878.49490465799</v>
      </c>
      <c r="Q76" s="8">
        <f t="shared" ca="1" si="98"/>
        <v>10000.932663306825</v>
      </c>
      <c r="R76" s="8">
        <f t="shared" ca="1" si="98"/>
        <v>4087.0584778605553</v>
      </c>
      <c r="S76" s="8">
        <f t="shared" ca="1" si="98"/>
        <v>0</v>
      </c>
      <c r="T76" s="8">
        <f t="shared" ca="1" si="98"/>
        <v>0</v>
      </c>
      <c r="U76" s="8">
        <f t="shared" ca="1" si="98"/>
        <v>0</v>
      </c>
      <c r="V76" s="8">
        <f t="shared" ca="1" si="98"/>
        <v>0</v>
      </c>
      <c r="W76" s="8">
        <f t="shared" ca="1" si="98"/>
        <v>0</v>
      </c>
      <c r="X76" s="8">
        <f t="shared" ca="1" si="98"/>
        <v>0</v>
      </c>
      <c r="Y76" s="8">
        <f t="shared" ca="1" si="98"/>
        <v>0</v>
      </c>
      <c r="Z76" s="8">
        <f t="shared" ca="1" si="98"/>
        <v>0</v>
      </c>
      <c r="AA76" s="8">
        <f t="shared" ca="1" si="98"/>
        <v>0</v>
      </c>
      <c r="AB76" s="8">
        <f t="shared" ca="1" si="98"/>
        <v>0</v>
      </c>
      <c r="AC76" s="8">
        <f t="shared" ca="1" si="98"/>
        <v>0</v>
      </c>
      <c r="AD76" s="8">
        <f t="shared" ca="1" si="98"/>
        <v>0</v>
      </c>
      <c r="AE76" s="8">
        <f t="shared" ca="1" si="98"/>
        <v>0</v>
      </c>
      <c r="AF76" s="8">
        <f t="shared" ca="1" si="98"/>
        <v>0</v>
      </c>
      <c r="AG76" s="8">
        <f t="shared" ca="1" si="98"/>
        <v>0</v>
      </c>
      <c r="AH76" s="8">
        <f t="shared" ca="1" si="98"/>
        <v>0</v>
      </c>
      <c r="AI76" s="8">
        <f t="shared" ca="1" si="98"/>
        <v>0</v>
      </c>
      <c r="AJ76" s="8">
        <f t="shared" ca="1" si="98"/>
        <v>0</v>
      </c>
      <c r="AK76" s="8">
        <f t="shared" ca="1" si="98"/>
        <v>0</v>
      </c>
      <c r="AL76" s="8">
        <f t="shared" ca="1" si="98"/>
        <v>0</v>
      </c>
      <c r="AM76" s="8">
        <f t="shared" ca="1" si="98"/>
        <v>0</v>
      </c>
      <c r="AN76" s="8">
        <f t="shared" ref="AN76:AV76" ca="1" si="99">SUM(AN74:AN75)*stinc</f>
        <v>0</v>
      </c>
      <c r="AO76" s="8">
        <f t="shared" ca="1" si="99"/>
        <v>0</v>
      </c>
      <c r="AP76" s="8">
        <f t="shared" ca="1" si="99"/>
        <v>0</v>
      </c>
      <c r="AQ76" s="8">
        <f t="shared" ca="1" si="99"/>
        <v>0</v>
      </c>
      <c r="AR76" s="8">
        <f t="shared" ca="1" si="99"/>
        <v>0</v>
      </c>
      <c r="AS76" s="8">
        <f t="shared" ca="1" si="99"/>
        <v>0</v>
      </c>
      <c r="AT76" s="8">
        <f t="shared" ca="1" si="99"/>
        <v>0</v>
      </c>
      <c r="AU76" s="8">
        <f t="shared" ca="1" si="99"/>
        <v>0</v>
      </c>
      <c r="AV76" s="8">
        <f t="shared" ca="1" si="99"/>
        <v>0</v>
      </c>
      <c r="AW76" s="8">
        <f t="shared" ref="AW76" ca="1" si="100">SUM(AW74:AW75)*stinc</f>
        <v>0</v>
      </c>
    </row>
    <row r="77" spans="1:49" x14ac:dyDescent="0.2">
      <c r="A77" s="4" t="s">
        <v>26</v>
      </c>
      <c r="C77" s="8">
        <f ca="1">SUM(C74:C76)</f>
        <v>54000</v>
      </c>
      <c r="D77" s="8">
        <f ca="1">SUM(D74:D76)</f>
        <v>58320</v>
      </c>
      <c r="E77" s="8">
        <f t="shared" ref="E77:G77" ca="1" si="101">SUM(E74:E76)</f>
        <v>62985.599999999999</v>
      </c>
      <c r="F77" s="8">
        <f t="shared" ca="1" si="101"/>
        <v>68024.448000000004</v>
      </c>
      <c r="G77" s="8">
        <f t="shared" ca="1" si="101"/>
        <v>73466.403839999999</v>
      </c>
      <c r="H77" s="8">
        <f t="shared" ref="H77:AM77" ca="1" si="102">SUM(H74:H76)</f>
        <v>79343.716147200001</v>
      </c>
      <c r="I77" s="8">
        <f t="shared" ca="1" si="102"/>
        <v>85691.213438976003</v>
      </c>
      <c r="J77" s="8">
        <f t="shared" ca="1" si="102"/>
        <v>92546.510514094087</v>
      </c>
      <c r="K77" s="8">
        <f t="shared" ca="1" si="102"/>
        <v>99950.231355221607</v>
      </c>
      <c r="L77" s="8">
        <f t="shared" ca="1" si="102"/>
        <v>107946.24986363934</v>
      </c>
      <c r="M77" s="8">
        <f t="shared" ca="1" si="102"/>
        <v>116581.9498527305</v>
      </c>
      <c r="N77" s="8">
        <f t="shared" ca="1" si="102"/>
        <v>125908.50584094894</v>
      </c>
      <c r="O77" s="8">
        <f t="shared" ca="1" si="102"/>
        <v>135981.18630822486</v>
      </c>
      <c r="P77" s="8">
        <f t="shared" ca="1" si="102"/>
        <v>146859.68121288286</v>
      </c>
      <c r="Q77" s="8">
        <f t="shared" ca="1" si="102"/>
        <v>135012.59095464213</v>
      </c>
      <c r="R77" s="8">
        <f t="shared" ca="1" si="102"/>
        <v>55175.289451117496</v>
      </c>
      <c r="S77" s="8">
        <f t="shared" ca="1" si="102"/>
        <v>0</v>
      </c>
      <c r="T77" s="8">
        <f t="shared" ca="1" si="102"/>
        <v>0</v>
      </c>
      <c r="U77" s="8">
        <f t="shared" ca="1" si="102"/>
        <v>0</v>
      </c>
      <c r="V77" s="8">
        <f t="shared" ca="1" si="102"/>
        <v>0</v>
      </c>
      <c r="W77" s="8">
        <f t="shared" ca="1" si="102"/>
        <v>0</v>
      </c>
      <c r="X77" s="8">
        <f t="shared" ca="1" si="102"/>
        <v>0</v>
      </c>
      <c r="Y77" s="8">
        <f t="shared" ca="1" si="102"/>
        <v>0</v>
      </c>
      <c r="Z77" s="8">
        <f t="shared" ca="1" si="102"/>
        <v>0</v>
      </c>
      <c r="AA77" s="8">
        <f t="shared" ca="1" si="102"/>
        <v>0</v>
      </c>
      <c r="AB77" s="8">
        <f t="shared" ca="1" si="102"/>
        <v>0</v>
      </c>
      <c r="AC77" s="8">
        <f t="shared" ca="1" si="102"/>
        <v>0</v>
      </c>
      <c r="AD77" s="8">
        <f t="shared" ca="1" si="102"/>
        <v>0</v>
      </c>
      <c r="AE77" s="8">
        <f t="shared" ca="1" si="102"/>
        <v>0</v>
      </c>
      <c r="AF77" s="8">
        <f t="shared" ca="1" si="102"/>
        <v>0</v>
      </c>
      <c r="AG77" s="8">
        <f t="shared" ca="1" si="102"/>
        <v>0</v>
      </c>
      <c r="AH77" s="8">
        <f t="shared" ca="1" si="102"/>
        <v>0</v>
      </c>
      <c r="AI77" s="8">
        <f t="shared" ca="1" si="102"/>
        <v>0</v>
      </c>
      <c r="AJ77" s="8">
        <f t="shared" ca="1" si="102"/>
        <v>0</v>
      </c>
      <c r="AK77" s="8">
        <f t="shared" ca="1" si="102"/>
        <v>0</v>
      </c>
      <c r="AL77" s="8">
        <f t="shared" ca="1" si="102"/>
        <v>0</v>
      </c>
      <c r="AM77" s="8">
        <f t="shared" ca="1" si="102"/>
        <v>0</v>
      </c>
      <c r="AN77" s="8">
        <f t="shared" ref="AN77:AV77" ca="1" si="103">SUM(AN74:AN76)</f>
        <v>0</v>
      </c>
      <c r="AO77" s="8">
        <f t="shared" ca="1" si="103"/>
        <v>0</v>
      </c>
      <c r="AP77" s="8">
        <f t="shared" ca="1" si="103"/>
        <v>0</v>
      </c>
      <c r="AQ77" s="8">
        <f t="shared" ca="1" si="103"/>
        <v>0</v>
      </c>
      <c r="AR77" s="8">
        <f t="shared" ca="1" si="103"/>
        <v>0</v>
      </c>
      <c r="AS77" s="8">
        <f t="shared" ca="1" si="103"/>
        <v>0</v>
      </c>
      <c r="AT77" s="8">
        <f t="shared" ca="1" si="103"/>
        <v>0</v>
      </c>
      <c r="AU77" s="8">
        <f t="shared" ca="1" si="103"/>
        <v>0</v>
      </c>
      <c r="AV77" s="8">
        <f t="shared" ca="1" si="103"/>
        <v>0</v>
      </c>
      <c r="AW77" s="8">
        <f t="shared" ref="AW77" ca="1" si="104">SUM(AW74:AW76)</f>
        <v>0</v>
      </c>
    </row>
    <row r="78" spans="1:49" x14ac:dyDescent="0.2">
      <c r="A78" s="4" t="s">
        <v>27</v>
      </c>
      <c r="C78" s="8">
        <f ca="1">C75*Inputs!$B$161</f>
        <v>0</v>
      </c>
      <c r="D78" s="8">
        <f ca="1">D75*Inputs!$B$161</f>
        <v>0</v>
      </c>
      <c r="E78" s="8">
        <f ca="1">E75*Inputs!$B$161</f>
        <v>0</v>
      </c>
      <c r="F78" s="8">
        <f ca="1">F75*Inputs!$B$161</f>
        <v>0</v>
      </c>
      <c r="G78" s="8">
        <f ca="1">G75*Inputs!$B$161</f>
        <v>0</v>
      </c>
      <c r="H78" s="8">
        <f ca="1">H75*Inputs!$B$161</f>
        <v>0</v>
      </c>
      <c r="I78" s="8">
        <f ca="1">I75*Inputs!$B$161</f>
        <v>0</v>
      </c>
      <c r="J78" s="8">
        <f ca="1">J75*Inputs!$B$161</f>
        <v>0</v>
      </c>
      <c r="K78" s="8">
        <f ca="1">K75*Inputs!$B$161</f>
        <v>0</v>
      </c>
      <c r="L78" s="8">
        <f ca="1">L75*Inputs!$B$161</f>
        <v>0</v>
      </c>
      <c r="M78" s="8">
        <f ca="1">M75*Inputs!$B$161</f>
        <v>0</v>
      </c>
      <c r="N78" s="8">
        <f ca="1">N75*Inputs!$B$161</f>
        <v>0</v>
      </c>
      <c r="O78" s="8">
        <f ca="1">O75*Inputs!$B$161</f>
        <v>0</v>
      </c>
      <c r="P78" s="8">
        <f ca="1">P75*Inputs!$B$161</f>
        <v>0</v>
      </c>
      <c r="Q78" s="8">
        <f ca="1">Q75*Inputs!$B$161</f>
        <v>-1092.401146077377</v>
      </c>
      <c r="R78" s="8">
        <f ca="1">R75*Inputs!$B$161</f>
        <v>-4196.2179990692593</v>
      </c>
      <c r="S78" s="8">
        <f ca="1">S75*Inputs!$B$161</f>
        <v>-2758.7644725558748</v>
      </c>
      <c r="T78" s="8">
        <f ca="1">T75*Inputs!$B$161</f>
        <v>0</v>
      </c>
      <c r="U78" s="8">
        <f ca="1">U75*Inputs!$B$161</f>
        <v>0</v>
      </c>
      <c r="V78" s="8">
        <f ca="1">V75*Inputs!$B$161</f>
        <v>0</v>
      </c>
      <c r="W78" s="8">
        <f ca="1">W75*Inputs!$B$161</f>
        <v>0</v>
      </c>
      <c r="X78" s="8">
        <f ca="1">X75*Inputs!$B$161</f>
        <v>0</v>
      </c>
      <c r="Y78" s="8">
        <f ca="1">Y75*Inputs!$B$161</f>
        <v>0</v>
      </c>
      <c r="Z78" s="8">
        <f ca="1">Z75*Inputs!$B$161</f>
        <v>0</v>
      </c>
      <c r="AA78" s="8">
        <f ca="1">AA75*Inputs!$B$161</f>
        <v>0</v>
      </c>
      <c r="AB78" s="8">
        <f ca="1">AB75*Inputs!$B$161</f>
        <v>0</v>
      </c>
      <c r="AC78" s="8">
        <f ca="1">AC75*Inputs!$B$161</f>
        <v>0</v>
      </c>
      <c r="AD78" s="8">
        <f ca="1">AD75*Inputs!$B$161</f>
        <v>0</v>
      </c>
      <c r="AE78" s="8">
        <f ca="1">AE75*Inputs!$B$161</f>
        <v>0</v>
      </c>
      <c r="AF78" s="8">
        <f ca="1">AF75*Inputs!$B$161</f>
        <v>0</v>
      </c>
      <c r="AG78" s="8">
        <f ca="1">AG75*Inputs!$B$161</f>
        <v>0</v>
      </c>
      <c r="AH78" s="8">
        <f ca="1">AH75*Inputs!$B$161</f>
        <v>0</v>
      </c>
      <c r="AI78" s="8">
        <f ca="1">AI75*Inputs!$B$161</f>
        <v>0</v>
      </c>
      <c r="AJ78" s="8">
        <f ca="1">AJ75*Inputs!$B$161</f>
        <v>0</v>
      </c>
      <c r="AK78" s="8">
        <f ca="1">AK75*Inputs!$B$161</f>
        <v>0</v>
      </c>
      <c r="AL78" s="8">
        <f ca="1">AL75*Inputs!$B$161</f>
        <v>0</v>
      </c>
      <c r="AM78" s="8">
        <f ca="1">AM75*Inputs!$B$161</f>
        <v>0</v>
      </c>
      <c r="AN78" s="8">
        <f ca="1">AN75*Inputs!$B$161</f>
        <v>0</v>
      </c>
      <c r="AO78" s="8">
        <f ca="1">AO75*Inputs!$B$161</f>
        <v>0</v>
      </c>
      <c r="AP78" s="8">
        <f ca="1">AP75*Inputs!$B$161</f>
        <v>0</v>
      </c>
      <c r="AQ78" s="8">
        <f ca="1">AQ75*Inputs!$B$161</f>
        <v>0</v>
      </c>
      <c r="AR78" s="8">
        <f ca="1">AR75*Inputs!$B$161</f>
        <v>0</v>
      </c>
      <c r="AS78" s="8">
        <f ca="1">AS75*Inputs!$B$161</f>
        <v>0</v>
      </c>
      <c r="AT78" s="8">
        <f ca="1">AT75*Inputs!$B$161</f>
        <v>0</v>
      </c>
      <c r="AU78" s="8">
        <f ca="1">AU75*Inputs!$B$161</f>
        <v>0</v>
      </c>
      <c r="AV78" s="8">
        <f ca="1">AV75*Inputs!$B$161</f>
        <v>0</v>
      </c>
      <c r="AW78" s="8">
        <f ca="1">AW75*Inputs!$B$161</f>
        <v>0</v>
      </c>
    </row>
    <row r="79" spans="1:49" x14ac:dyDescent="0.2">
      <c r="A79" s="4" t="s">
        <v>41</v>
      </c>
      <c r="C79" s="8">
        <f ca="1">-C75+C78</f>
        <v>0</v>
      </c>
      <c r="D79" s="8">
        <f t="shared" ref="D79:G79" ca="1" si="105">-D75+D78</f>
        <v>0</v>
      </c>
      <c r="E79" s="8">
        <f t="shared" ca="1" si="105"/>
        <v>0</v>
      </c>
      <c r="F79" s="8">
        <f t="shared" ca="1" si="105"/>
        <v>0</v>
      </c>
      <c r="G79" s="8">
        <f t="shared" ca="1" si="105"/>
        <v>0</v>
      </c>
      <c r="H79" s="8">
        <f t="shared" ref="H79:AM79" ca="1" si="106">-H75+H78</f>
        <v>0</v>
      </c>
      <c r="I79" s="8">
        <f t="shared" ca="1" si="106"/>
        <v>0</v>
      </c>
      <c r="J79" s="8">
        <f t="shared" ca="1" si="106"/>
        <v>0</v>
      </c>
      <c r="K79" s="8">
        <f t="shared" ca="1" si="106"/>
        <v>0</v>
      </c>
      <c r="L79" s="8">
        <f t="shared" ca="1" si="106"/>
        <v>0</v>
      </c>
      <c r="M79" s="8">
        <f t="shared" ca="1" si="106"/>
        <v>0</v>
      </c>
      <c r="N79" s="8">
        <f t="shared" ca="1" si="106"/>
        <v>0</v>
      </c>
      <c r="O79" s="8">
        <f t="shared" ca="1" si="106"/>
        <v>0</v>
      </c>
      <c r="P79" s="8">
        <f t="shared" ca="1" si="106"/>
        <v>0</v>
      </c>
      <c r="Q79" s="8">
        <f t="shared" ca="1" si="106"/>
        <v>20755.621775470165</v>
      </c>
      <c r="R79" s="8">
        <f t="shared" ca="1" si="106"/>
        <v>79728.141982315938</v>
      </c>
      <c r="S79" s="8">
        <f t="shared" ca="1" si="106"/>
        <v>52416.524978561618</v>
      </c>
      <c r="T79" s="8">
        <f t="shared" ca="1" si="106"/>
        <v>0</v>
      </c>
      <c r="U79" s="8">
        <f t="shared" ca="1" si="106"/>
        <v>0</v>
      </c>
      <c r="V79" s="8">
        <f t="shared" ca="1" si="106"/>
        <v>0</v>
      </c>
      <c r="W79" s="8">
        <f t="shared" ca="1" si="106"/>
        <v>0</v>
      </c>
      <c r="X79" s="8">
        <f t="shared" ca="1" si="106"/>
        <v>0</v>
      </c>
      <c r="Y79" s="8">
        <f t="shared" ca="1" si="106"/>
        <v>0</v>
      </c>
      <c r="Z79" s="8">
        <f t="shared" ca="1" si="106"/>
        <v>0</v>
      </c>
      <c r="AA79" s="8">
        <f t="shared" ca="1" si="106"/>
        <v>0</v>
      </c>
      <c r="AB79" s="8">
        <f t="shared" ca="1" si="106"/>
        <v>0</v>
      </c>
      <c r="AC79" s="8">
        <f t="shared" ca="1" si="106"/>
        <v>0</v>
      </c>
      <c r="AD79" s="8">
        <f t="shared" ca="1" si="106"/>
        <v>0</v>
      </c>
      <c r="AE79" s="8">
        <f t="shared" ca="1" si="106"/>
        <v>0</v>
      </c>
      <c r="AF79" s="8">
        <f t="shared" ca="1" si="106"/>
        <v>0</v>
      </c>
      <c r="AG79" s="8">
        <f t="shared" ca="1" si="106"/>
        <v>0</v>
      </c>
      <c r="AH79" s="8">
        <f t="shared" ca="1" si="106"/>
        <v>0</v>
      </c>
      <c r="AI79" s="8">
        <f t="shared" ca="1" si="106"/>
        <v>0</v>
      </c>
      <c r="AJ79" s="8">
        <f t="shared" ca="1" si="106"/>
        <v>0</v>
      </c>
      <c r="AK79" s="8">
        <f t="shared" ca="1" si="106"/>
        <v>0</v>
      </c>
      <c r="AL79" s="8">
        <f t="shared" ca="1" si="106"/>
        <v>0</v>
      </c>
      <c r="AM79" s="8">
        <f t="shared" ca="1" si="106"/>
        <v>0</v>
      </c>
      <c r="AN79" s="8">
        <f t="shared" ref="AN79:AV79" ca="1" si="107">-AN75+AN78</f>
        <v>0</v>
      </c>
      <c r="AO79" s="8">
        <f t="shared" ca="1" si="107"/>
        <v>0</v>
      </c>
      <c r="AP79" s="8">
        <f t="shared" ca="1" si="107"/>
        <v>0</v>
      </c>
      <c r="AQ79" s="8">
        <f t="shared" ca="1" si="107"/>
        <v>0</v>
      </c>
      <c r="AR79" s="8">
        <f t="shared" ca="1" si="107"/>
        <v>0</v>
      </c>
      <c r="AS79" s="8">
        <f t="shared" ca="1" si="107"/>
        <v>0</v>
      </c>
      <c r="AT79" s="8">
        <f t="shared" ca="1" si="107"/>
        <v>0</v>
      </c>
      <c r="AU79" s="8">
        <f t="shared" ca="1" si="107"/>
        <v>0</v>
      </c>
      <c r="AV79" s="8">
        <f t="shared" ca="1" si="107"/>
        <v>0</v>
      </c>
      <c r="AW79" s="8">
        <f t="shared" ref="AW79" ca="1" si="108">-AW75+AW78</f>
        <v>0</v>
      </c>
    </row>
    <row r="80" spans="1:49" x14ac:dyDescent="0.2">
      <c r="A80" s="5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">
      <c r="A81" s="4" t="s">
        <v>87</v>
      </c>
      <c r="C81" s="8">
        <f ca="1">C68+SUM($C79:C79)</f>
        <v>184898.75</v>
      </c>
      <c r="D81" s="8">
        <f ca="1">D68+SUM($C79:D79)</f>
        <v>190464.1875</v>
      </c>
      <c r="E81" s="8">
        <f ca="1">E68+SUM($C79:E79)</f>
        <v>196735.69765625001</v>
      </c>
      <c r="F81" s="8">
        <f ca="1">F68+SUM($C79:F79)</f>
        <v>203754.49157812502</v>
      </c>
      <c r="G81" s="8">
        <f ca="1">G68+SUM($C79:G79)</f>
        <v>211563.68121130861</v>
      </c>
      <c r="H81" s="8">
        <f ca="1">H68+SUM($C79:H79)</f>
        <v>220208.35706995256</v>
      </c>
      <c r="I81" s="8">
        <f ca="1">I68+SUM($C79:I79)</f>
        <v>229735.66892084025</v>
      </c>
      <c r="J81" s="8">
        <f ca="1">J68+SUM($C79:J79)</f>
        <v>240194.90952617431</v>
      </c>
      <c r="K81" s="8">
        <f ca="1">K68+SUM($C79:K79)</f>
        <v>251637.60155532236</v>
      </c>
      <c r="L81" s="8">
        <f ca="1">L68+SUM($C79:L79)</f>
        <v>264117.58777969546</v>
      </c>
      <c r="M81" s="8">
        <f ca="1">M68+SUM($C79:M79)</f>
        <v>277691.1246689033</v>
      </c>
      <c r="N81" s="8">
        <f ca="1">N68+SUM($C79:N79)</f>
        <v>208324.77186392489</v>
      </c>
      <c r="O81" s="8">
        <f ca="1">O68+SUM($C79:O79)</f>
        <v>135547.0444657795</v>
      </c>
      <c r="P81" s="8">
        <f ca="1">P68+SUM($C79:P79)</f>
        <v>59230.727715311907</v>
      </c>
      <c r="Q81" s="8">
        <f ca="1">Q68+SUM($C79:Q79)</f>
        <v>0</v>
      </c>
      <c r="R81" s="8">
        <f ca="1">R68+SUM($C79:R79)</f>
        <v>0</v>
      </c>
      <c r="S81" s="8">
        <f ca="1">S68+SUM($C79:S79)</f>
        <v>-22551.008864796808</v>
      </c>
      <c r="T81" s="8">
        <f ca="1">T68+SUM($C79:T79)</f>
        <v>-74742.515223170543</v>
      </c>
      <c r="U81" s="8">
        <f ca="1">U68+SUM($C79:U79)</f>
        <v>-120440.51565197107</v>
      </c>
      <c r="V81" s="8">
        <f ca="1">V68+SUM($C79:V79)</f>
        <v>-167280.96609149166</v>
      </c>
      <c r="W81" s="8">
        <f ca="1">W68+SUM($C79:W79)</f>
        <v>-215292.42779200021</v>
      </c>
      <c r="X81" s="8">
        <f ca="1">X68+SUM($C79:X79)</f>
        <v>-264504.17603502155</v>
      </c>
      <c r="Y81" s="8">
        <f ca="1">Y68+SUM($C79:Y79)</f>
        <v>-314946.21798411838</v>
      </c>
      <c r="Z81" s="8">
        <f ca="1">Z68+SUM($C79:Z79)</f>
        <v>-366649.31098194257</v>
      </c>
      <c r="AA81" s="8">
        <f ca="1">AA68+SUM($C79:AA79)</f>
        <v>-419644.98130471248</v>
      </c>
      <c r="AB81" s="8">
        <f ca="1">AB68+SUM($C79:AB79)</f>
        <v>-473965.54338555154</v>
      </c>
      <c r="AC81" s="8">
        <f ca="1">AC68+SUM($C79:AC79)</f>
        <v>-529644.11951841158</v>
      </c>
      <c r="AD81" s="8">
        <f ca="1">AD68+SUM($C79:AD79)</f>
        <v>-586714.66005459311</v>
      </c>
      <c r="AE81" s="8">
        <f ca="1">AE68+SUM($C79:AE79)</f>
        <v>-635229.48901039315</v>
      </c>
      <c r="AF81" s="8">
        <f ca="1">AF68+SUM($C79:AF79)</f>
        <v>-684957.18869008822</v>
      </c>
      <c r="AG81" s="8">
        <f ca="1">AG68+SUM($C79:AG79)</f>
        <v>-735928.08086177567</v>
      </c>
      <c r="AH81" s="8">
        <f ca="1">AH68+SUM($C79:AH79)</f>
        <v>-788173.2453377553</v>
      </c>
      <c r="AI81" s="8">
        <f ca="1">AI68+SUM($C79:AI79)</f>
        <v>-841724.53892563446</v>
      </c>
      <c r="AJ81" s="8">
        <f ca="1">AJ68+SUM($C79:AJ79)</f>
        <v>-896614.61485321063</v>
      </c>
      <c r="AK81" s="8">
        <f ca="1">AK68+SUM($C79:AK79)</f>
        <v>-952876.94267897622</v>
      </c>
      <c r="AL81" s="8">
        <f ca="1">AL68+SUM($C79:AL79)</f>
        <v>-1010545.8287003859</v>
      </c>
      <c r="AM81" s="8">
        <f ca="1">AM68+SUM($C79:AM79)</f>
        <v>-1069656.4368723307</v>
      </c>
      <c r="AN81" s="8">
        <f ca="1">AN68+SUM($C79:AN79)</f>
        <v>-1130244.8102485742</v>
      </c>
      <c r="AO81" s="8">
        <f ca="1">AO68+SUM($C79:AO79)</f>
        <v>-1192347.8929592238</v>
      </c>
      <c r="AP81" s="8">
        <f ca="1">AP68+SUM($C79:AP79)</f>
        <v>-1256003.5527376398</v>
      </c>
      <c r="AQ81" s="8">
        <f ca="1">AQ68+SUM($C79:AQ79)</f>
        <v>-1321250.6040105158</v>
      </c>
      <c r="AR81" s="8">
        <f ca="1">AR68+SUM($C79:AR79)</f>
        <v>-1388128.8315652139</v>
      </c>
      <c r="AS81" s="8">
        <f ca="1">AS68+SUM($C79:AS79)</f>
        <v>-1456679.0148087793</v>
      </c>
      <c r="AT81" s="8">
        <f ca="1">AT68+SUM($C79:AT79)</f>
        <v>-1526942.952633434</v>
      </c>
      <c r="AU81" s="8">
        <f ca="1">AU68+SUM($C79:AU79)</f>
        <v>-1598963.488903705</v>
      </c>
      <c r="AV81" s="8">
        <f ca="1">AV68+SUM($C79:AV79)</f>
        <v>-1672784.5385807329</v>
      </c>
      <c r="AW81" s="8">
        <f ca="1">AW68+SUM($C79:AW79)</f>
        <v>-1748451.1144996865</v>
      </c>
    </row>
    <row r="82" spans="1:49" x14ac:dyDescent="0.2">
      <c r="A82" s="4" t="s">
        <v>21</v>
      </c>
      <c r="C82" s="8">
        <f ca="1">IF(C81&lt;0,C81,0)</f>
        <v>0</v>
      </c>
      <c r="D82" s="8">
        <f ca="1">IF(D81+SUM($C82:C82)&lt;0,-(D81+SUM($C82:C82)),0)</f>
        <v>0</v>
      </c>
      <c r="E82" s="8">
        <f ca="1">IF(E81+SUM($C82:D82)&lt;0,-(E81+SUM($C82:D82)),0)</f>
        <v>0</v>
      </c>
      <c r="F82" s="8">
        <f ca="1">IF(F81+SUM($C82:E82)&lt;0,-(F81+SUM($C82:E82)),0)</f>
        <v>0</v>
      </c>
      <c r="G82" s="8">
        <f ca="1">IF(G81+SUM($C82:F82)&lt;0,-(G81+SUM($C82:F82)),0)</f>
        <v>0</v>
      </c>
      <c r="H82" s="8">
        <f ca="1">IF(H81+SUM($C82:G82)&lt;0,-(H81+SUM($C82:G82)),0)</f>
        <v>0</v>
      </c>
      <c r="I82" s="8">
        <f ca="1">IF(I81+SUM($C82:H82)&lt;0,-(I81+SUM($C82:H82)),0)</f>
        <v>0</v>
      </c>
      <c r="J82" s="8">
        <f ca="1">IF(J81+SUM($C82:I82)&lt;0,-(J81+SUM($C82:I82)),0)</f>
        <v>0</v>
      </c>
      <c r="K82" s="8">
        <f ca="1">IF(K81+SUM($C82:J82)&lt;0,-(K81+SUM($C82:J82)),0)</f>
        <v>0</v>
      </c>
      <c r="L82" s="8">
        <f ca="1">IF(L81+SUM($C82:K82)&lt;0,-(L81+SUM($C82:K82)),0)</f>
        <v>0</v>
      </c>
      <c r="M82" s="8">
        <f ca="1">IF(M81+SUM($C82:L82)&lt;0,-(M81+SUM($C82:L82)),0)</f>
        <v>0</v>
      </c>
      <c r="N82" s="8">
        <f ca="1">IF(N81+SUM($C82:M82)&lt;0,-(N81+SUM($C82:M82)),0)</f>
        <v>0</v>
      </c>
      <c r="O82" s="8">
        <f ca="1">IF(O81+SUM($C82:N82)&lt;0,-(O81+SUM($C82:N82)),0)</f>
        <v>0</v>
      </c>
      <c r="P82" s="8">
        <f ca="1">IF(P81+SUM($C82:O82)&lt;0,-(P81+SUM($C82:O82)),0)</f>
        <v>0</v>
      </c>
      <c r="Q82" s="8">
        <f ca="1">IF(Q81+SUM($C82:P82)&lt;0,-(Q81+SUM($C82:P82)),0)</f>
        <v>0</v>
      </c>
      <c r="R82" s="8">
        <f ca="1">IF(R81+SUM($C82:Q82)&lt;0,-(R81+SUM($C82:Q82)),0)</f>
        <v>0</v>
      </c>
      <c r="S82" s="8">
        <f ca="1">IF(S81+SUM($C82:R82)&lt;0,-(S81+SUM($C82:R82)),0)</f>
        <v>22551.008864796808</v>
      </c>
      <c r="T82" s="8">
        <f ca="1">IF(T81+SUM($C82:S82)&lt;0,-(T81+SUM($C82:S82)),0)</f>
        <v>52191.506358373736</v>
      </c>
      <c r="U82" s="8">
        <f ca="1">IF(U81+SUM($C82:T82)&lt;0,-(U81+SUM($C82:T82)),0)</f>
        <v>45698.000428800529</v>
      </c>
      <c r="V82" s="8">
        <f ca="1">IF(V81+SUM($C82:U82)&lt;0,-(V81+SUM($C82:U82)),0)</f>
        <v>46840.450439520588</v>
      </c>
      <c r="W82" s="8">
        <f ca="1">IF(W81+SUM($C82:V82)&lt;0,-(W81+SUM($C82:V82)),0)</f>
        <v>48011.461700508546</v>
      </c>
      <c r="X82" s="8">
        <f ca="1">IF(X81+SUM($C82:W82)&lt;0,-(X81+SUM($C82:W82)),0)</f>
        <v>49211.748243021342</v>
      </c>
      <c r="Y82" s="8">
        <f ca="1">IF(Y81+SUM($C82:X82)&lt;0,-(Y81+SUM($C82:X82)),0)</f>
        <v>50442.041949096834</v>
      </c>
      <c r="Z82" s="8">
        <f ca="1">IF(Z81+SUM($C82:Y82)&lt;0,-(Z81+SUM($C82:Y82)),0)</f>
        <v>51703.092997824191</v>
      </c>
      <c r="AA82" s="8">
        <f ca="1">IF(AA81+SUM($C82:Z82)&lt;0,-(AA81+SUM($C82:Z82)),0)</f>
        <v>52995.670322769904</v>
      </c>
      <c r="AB82" s="8">
        <f ca="1">IF(AB81+SUM($C82:AA82)&lt;0,-(AB81+SUM($C82:AA82)),0)</f>
        <v>54320.562080839067</v>
      </c>
      <c r="AC82" s="8">
        <f ca="1">IF(AC81+SUM($C82:AB82)&lt;0,-(AC81+SUM($C82:AB82)),0)</f>
        <v>55678.576132860035</v>
      </c>
      <c r="AD82" s="8">
        <f ca="1">IF(AD81+SUM($C82:AC82)&lt;0,-(AD81+SUM($C82:AC82)),0)</f>
        <v>57070.540536181536</v>
      </c>
      <c r="AE82" s="8">
        <f ca="1">IF(AE81+SUM($C82:AD82)&lt;0,-(AE81+SUM($C82:AD82)),0)</f>
        <v>48514.82895580004</v>
      </c>
      <c r="AF82" s="8">
        <f ca="1">IF(AF81+SUM($C82:AE82)&lt;0,-(AF81+SUM($C82:AE82)),0)</f>
        <v>49727.69967969507</v>
      </c>
      <c r="AG82" s="8">
        <f ca="1">IF(AG81+SUM($C82:AF82)&lt;0,-(AG81+SUM($C82:AF82)),0)</f>
        <v>50970.892171687447</v>
      </c>
      <c r="AH82" s="8">
        <f ca="1">IF(AH81+SUM($C82:AG82)&lt;0,-(AH81+SUM($C82:AG82)),0)</f>
        <v>52245.164475979633</v>
      </c>
      <c r="AI82" s="8">
        <f ca="1">IF(AI81+SUM($C82:AH82)&lt;0,-(AI81+SUM($C82:AH82)),0)</f>
        <v>53551.293587879161</v>
      </c>
      <c r="AJ82" s="8">
        <f ca="1">IF(AJ81+SUM($C82:AI82)&lt;0,-(AJ81+SUM($C82:AI82)),0)</f>
        <v>54890.075927576167</v>
      </c>
      <c r="AK82" s="8">
        <f ca="1">IF(AK81+SUM($C82:AJ82)&lt;0,-(AK81+SUM($C82:AJ82)),0)</f>
        <v>56262.327825765591</v>
      </c>
      <c r="AL82" s="8">
        <f ca="1">IF(AL81+SUM($C82:AK82)&lt;0,-(AL81+SUM($C82:AK82)),0)</f>
        <v>57668.886021409649</v>
      </c>
      <c r="AM82" s="8">
        <f ca="1">IF(AM81+SUM($C82:AL82)&lt;0,-(AM81+SUM($C82:AL82)),0)</f>
        <v>59110.608171944856</v>
      </c>
      <c r="AN82" s="8">
        <f ca="1">IF(AN81+SUM($C82:AM82)&lt;0,-(AN81+SUM($C82:AM82)),0)</f>
        <v>60588.373376243515</v>
      </c>
      <c r="AO82" s="8">
        <f ca="1">IF(AO81+SUM($C82:AN82)&lt;0,-(AO81+SUM($C82:AN82)),0)</f>
        <v>62103.082710649585</v>
      </c>
      <c r="AP82" s="8">
        <f ca="1">IF(AP81+SUM($C82:AO82)&lt;0,-(AP81+SUM($C82:AO82)),0)</f>
        <v>63655.659778415924</v>
      </c>
      <c r="AQ82" s="8">
        <f ca="1">IF(AQ81+SUM($C82:AP82)&lt;0,-(AQ81+SUM($C82:AP82)),0)</f>
        <v>65247.051272876095</v>
      </c>
      <c r="AR82" s="8">
        <f ca="1">IF(AR81+SUM($C82:AQ82)&lt;0,-(AR81+SUM($C82:AQ82)),0)</f>
        <v>66878.227554698009</v>
      </c>
      <c r="AS82" s="8">
        <f ca="1">IF(AS81+SUM($C82:AR82)&lt;0,-(AS81+SUM($C82:AR82)),0)</f>
        <v>68550.183243565494</v>
      </c>
      <c r="AT82" s="8">
        <f ca="1">IF(AT81+SUM($C82:AS82)&lt;0,-(AT81+SUM($C82:AS82)),0)</f>
        <v>70263.937824654626</v>
      </c>
      <c r="AU82" s="8">
        <f ca="1">IF(AU81+SUM($C82:AT82)&lt;0,-(AU81+SUM($C82:AT82)),0)</f>
        <v>72020.536270271055</v>
      </c>
      <c r="AV82" s="8">
        <f ca="1">IF(AV81+SUM($C82:AU82)&lt;0,-(AV81+SUM($C82:AU82)),0)</f>
        <v>73821.049677027855</v>
      </c>
      <c r="AW82" s="8">
        <f ca="1">IF(AW81+SUM($C82:AV82)&lt;0,-(AW81+SUM($C82:AV82)),0)</f>
        <v>75666.575918953633</v>
      </c>
    </row>
    <row r="83" spans="1:49" x14ac:dyDescent="0.2">
      <c r="A83" s="4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">
      <c r="A84" s="29" t="str">
        <f>IF(Inputs!$B$165=6,IFERROR(_xlfn.XLOOKUP($B84,Inputs!$B$166:$B$168,Inputs!$A$166:$A$168,,0,1),""),IFERROR(_xlfn.XLOOKUP($B84,Inputs!$C$166:$C$168,Inputs!$A$166:$A$168,,0,1),""))</f>
        <v>Sliema</v>
      </c>
      <c r="B84" s="31">
        <v>1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">
      <c r="A85" s="4" t="s">
        <v>23</v>
      </c>
      <c r="C85" s="8">
        <f>IFERROR(VLOOKUP($A84,$A$52:$H$66,C$1+2,FALSE),0)</f>
        <v>309000</v>
      </c>
      <c r="D85" s="8">
        <f ca="1">C88</f>
        <v>309000</v>
      </c>
      <c r="E85" s="8">
        <f t="shared" ref="E85:AM85" ca="1" si="109">D88</f>
        <v>318270</v>
      </c>
      <c r="F85" s="8">
        <f t="shared" ca="1" si="109"/>
        <v>327818.09999999998</v>
      </c>
      <c r="G85" s="8">
        <f t="shared" ca="1" si="109"/>
        <v>337652.64299999998</v>
      </c>
      <c r="H85" s="8">
        <f t="shared" ca="1" si="109"/>
        <v>347782.22229000001</v>
      </c>
      <c r="I85" s="8">
        <f t="shared" ca="1" si="109"/>
        <v>358215.68895869999</v>
      </c>
      <c r="J85" s="8">
        <f t="shared" ca="1" si="109"/>
        <v>368962.15962746099</v>
      </c>
      <c r="K85" s="8">
        <f t="shared" ca="1" si="109"/>
        <v>380031.02441628481</v>
      </c>
      <c r="L85" s="8">
        <f t="shared" ca="1" si="109"/>
        <v>391431.95514877333</v>
      </c>
      <c r="M85" s="8">
        <f t="shared" ca="1" si="109"/>
        <v>403174.9138032365</v>
      </c>
      <c r="N85" s="8">
        <f t="shared" ca="1" si="109"/>
        <v>415270.16121733357</v>
      </c>
      <c r="O85" s="8">
        <f t="shared" ca="1" si="109"/>
        <v>427728.26605385356</v>
      </c>
      <c r="P85" s="8">
        <f t="shared" ca="1" si="109"/>
        <v>440560.11403546919</v>
      </c>
      <c r="Q85" s="8">
        <f t="shared" ca="1" si="109"/>
        <v>453776.91745653324</v>
      </c>
      <c r="R85" s="8">
        <f t="shared" ca="1" si="109"/>
        <v>467390.22498022922</v>
      </c>
      <c r="S85" s="8">
        <f t="shared" ca="1" si="109"/>
        <v>0</v>
      </c>
      <c r="T85" s="8">
        <f t="shared" ca="1" si="109"/>
        <v>0</v>
      </c>
      <c r="U85" s="8">
        <f t="shared" ca="1" si="109"/>
        <v>0</v>
      </c>
      <c r="V85" s="8">
        <f t="shared" ca="1" si="109"/>
        <v>0</v>
      </c>
      <c r="W85" s="8">
        <f t="shared" ca="1" si="109"/>
        <v>0</v>
      </c>
      <c r="X85" s="8">
        <f t="shared" ca="1" si="109"/>
        <v>0</v>
      </c>
      <c r="Y85" s="8">
        <f t="shared" ca="1" si="109"/>
        <v>0</v>
      </c>
      <c r="Z85" s="8">
        <f t="shared" ca="1" si="109"/>
        <v>0</v>
      </c>
      <c r="AA85" s="8">
        <f t="shared" ca="1" si="109"/>
        <v>0</v>
      </c>
      <c r="AB85" s="8">
        <f t="shared" ca="1" si="109"/>
        <v>0</v>
      </c>
      <c r="AC85" s="8">
        <f t="shared" ca="1" si="109"/>
        <v>0</v>
      </c>
      <c r="AD85" s="8">
        <f t="shared" ca="1" si="109"/>
        <v>0</v>
      </c>
      <c r="AE85" s="8">
        <f t="shared" ca="1" si="109"/>
        <v>0</v>
      </c>
      <c r="AF85" s="8">
        <f t="shared" ca="1" si="109"/>
        <v>0</v>
      </c>
      <c r="AG85" s="8">
        <f t="shared" ca="1" si="109"/>
        <v>0</v>
      </c>
      <c r="AH85" s="8">
        <f t="shared" ca="1" si="109"/>
        <v>0</v>
      </c>
      <c r="AI85" s="8">
        <f t="shared" ca="1" si="109"/>
        <v>0</v>
      </c>
      <c r="AJ85" s="8">
        <f t="shared" ca="1" si="109"/>
        <v>0</v>
      </c>
      <c r="AK85" s="8">
        <f t="shared" ca="1" si="109"/>
        <v>0</v>
      </c>
      <c r="AL85" s="8">
        <f t="shared" ca="1" si="109"/>
        <v>0</v>
      </c>
      <c r="AM85" s="8">
        <f t="shared" ca="1" si="109"/>
        <v>0</v>
      </c>
      <c r="AN85" s="8">
        <f t="shared" ref="AN85" ca="1" si="110">AM88</f>
        <v>0</v>
      </c>
      <c r="AO85" s="8">
        <f t="shared" ref="AO85" ca="1" si="111">AN88</f>
        <v>0</v>
      </c>
      <c r="AP85" s="8">
        <f t="shared" ref="AP85" ca="1" si="112">AO88</f>
        <v>0</v>
      </c>
      <c r="AQ85" s="8">
        <f t="shared" ref="AQ85" ca="1" si="113">AP88</f>
        <v>0</v>
      </c>
      <c r="AR85" s="8">
        <f t="shared" ref="AR85" ca="1" si="114">AQ88</f>
        <v>0</v>
      </c>
      <c r="AS85" s="8">
        <f t="shared" ref="AS85" ca="1" si="115">AR88</f>
        <v>0</v>
      </c>
      <c r="AT85" s="8">
        <f t="shared" ref="AT85" ca="1" si="116">AS88</f>
        <v>0</v>
      </c>
      <c r="AU85" s="8">
        <f t="shared" ref="AU85" ca="1" si="117">AT88</f>
        <v>0</v>
      </c>
      <c r="AV85" s="8">
        <f t="shared" ref="AV85:AW85" ca="1" si="118">AU88</f>
        <v>0</v>
      </c>
      <c r="AW85" s="8">
        <f t="shared" ca="1" si="118"/>
        <v>0</v>
      </c>
    </row>
    <row r="86" spans="1:49" x14ac:dyDescent="0.2">
      <c r="A86" s="4" t="s">
        <v>24</v>
      </c>
      <c r="C86" s="8">
        <f ca="1">-IF(SUM(C82:D82)&gt;0,C85,0)</f>
        <v>0</v>
      </c>
      <c r="D86" s="8">
        <f ca="1">-IF(E82&gt;0,D85,0)</f>
        <v>0</v>
      </c>
      <c r="E86" s="8">
        <f ca="1">-IF(F82&gt;0,E85,0)</f>
        <v>0</v>
      </c>
      <c r="F86" s="8">
        <f ca="1">-IF(G82&gt;0,F85,0)</f>
        <v>0</v>
      </c>
      <c r="G86" s="8">
        <f t="shared" ref="G86:AM86" ca="1" si="119">-IF(H82&gt;0,G85,0)</f>
        <v>0</v>
      </c>
      <c r="H86" s="8">
        <f t="shared" ca="1" si="119"/>
        <v>0</v>
      </c>
      <c r="I86" s="8">
        <f t="shared" ca="1" si="119"/>
        <v>0</v>
      </c>
      <c r="J86" s="8">
        <f t="shared" ca="1" si="119"/>
        <v>0</v>
      </c>
      <c r="K86" s="8">
        <f t="shared" ca="1" si="119"/>
        <v>0</v>
      </c>
      <c r="L86" s="8">
        <f t="shared" ca="1" si="119"/>
        <v>0</v>
      </c>
      <c r="M86" s="8">
        <f t="shared" ca="1" si="119"/>
        <v>0</v>
      </c>
      <c r="N86" s="8">
        <f t="shared" ca="1" si="119"/>
        <v>0</v>
      </c>
      <c r="O86" s="8">
        <f t="shared" ca="1" si="119"/>
        <v>0</v>
      </c>
      <c r="P86" s="8">
        <f t="shared" ca="1" si="119"/>
        <v>0</v>
      </c>
      <c r="Q86" s="8">
        <f t="shared" ca="1" si="119"/>
        <v>0</v>
      </c>
      <c r="R86" s="8">
        <f t="shared" ca="1" si="119"/>
        <v>-467390.22498022922</v>
      </c>
      <c r="S86" s="8">
        <f t="shared" ca="1" si="119"/>
        <v>0</v>
      </c>
      <c r="T86" s="8">
        <f t="shared" ca="1" si="119"/>
        <v>0</v>
      </c>
      <c r="U86" s="8">
        <f t="shared" ca="1" si="119"/>
        <v>0</v>
      </c>
      <c r="V86" s="8">
        <f t="shared" ca="1" si="119"/>
        <v>0</v>
      </c>
      <c r="W86" s="8">
        <f t="shared" ca="1" si="119"/>
        <v>0</v>
      </c>
      <c r="X86" s="8">
        <f t="shared" ca="1" si="119"/>
        <v>0</v>
      </c>
      <c r="Y86" s="8">
        <f t="shared" ca="1" si="119"/>
        <v>0</v>
      </c>
      <c r="Z86" s="8">
        <f t="shared" ca="1" si="119"/>
        <v>0</v>
      </c>
      <c r="AA86" s="8">
        <f t="shared" ca="1" si="119"/>
        <v>0</v>
      </c>
      <c r="AB86" s="8">
        <f t="shared" ca="1" si="119"/>
        <v>0</v>
      </c>
      <c r="AC86" s="8">
        <f t="shared" ca="1" si="119"/>
        <v>0</v>
      </c>
      <c r="AD86" s="8">
        <f t="shared" ca="1" si="119"/>
        <v>0</v>
      </c>
      <c r="AE86" s="8">
        <f t="shared" ca="1" si="119"/>
        <v>0</v>
      </c>
      <c r="AF86" s="8">
        <f t="shared" ca="1" si="119"/>
        <v>0</v>
      </c>
      <c r="AG86" s="8">
        <f t="shared" ca="1" si="119"/>
        <v>0</v>
      </c>
      <c r="AH86" s="8">
        <f t="shared" ca="1" si="119"/>
        <v>0</v>
      </c>
      <c r="AI86" s="8">
        <f t="shared" ca="1" si="119"/>
        <v>0</v>
      </c>
      <c r="AJ86" s="8">
        <f t="shared" ca="1" si="119"/>
        <v>0</v>
      </c>
      <c r="AK86" s="8">
        <f t="shared" ca="1" si="119"/>
        <v>0</v>
      </c>
      <c r="AL86" s="8">
        <f t="shared" ca="1" si="119"/>
        <v>0</v>
      </c>
      <c r="AM86" s="8">
        <f t="shared" ca="1" si="119"/>
        <v>0</v>
      </c>
      <c r="AN86" s="8">
        <f t="shared" ref="AN86" ca="1" si="120">-IF(AO82&gt;0,AN85,0)</f>
        <v>0</v>
      </c>
      <c r="AO86" s="8">
        <f t="shared" ref="AO86" ca="1" si="121">-IF(AP82&gt;0,AO85,0)</f>
        <v>0</v>
      </c>
      <c r="AP86" s="8">
        <f t="shared" ref="AP86" ca="1" si="122">-IF(AQ82&gt;0,AP85,0)</f>
        <v>0</v>
      </c>
      <c r="AQ86" s="8">
        <f t="shared" ref="AQ86" ca="1" si="123">-IF(AR82&gt;0,AQ85,0)</f>
        <v>0</v>
      </c>
      <c r="AR86" s="8">
        <f t="shared" ref="AR86" ca="1" si="124">-IF(AS82&gt;0,AR85,0)</f>
        <v>0</v>
      </c>
      <c r="AS86" s="8">
        <f t="shared" ref="AS86" ca="1" si="125">-IF(AT82&gt;0,AS85,0)</f>
        <v>0</v>
      </c>
      <c r="AT86" s="8">
        <f t="shared" ref="AT86" ca="1" si="126">-IF(AU82&gt;0,AT85,0)</f>
        <v>0</v>
      </c>
      <c r="AU86" s="8">
        <f t="shared" ref="AU86" ca="1" si="127">-IF(AV82&gt;0,AU85,0)</f>
        <v>0</v>
      </c>
      <c r="AV86" s="8">
        <f t="shared" ref="AV86:AW86" ca="1" si="128">-IF(AW82&gt;0,AV85,0)</f>
        <v>0</v>
      </c>
      <c r="AW86" s="8">
        <f t="shared" si="128"/>
        <v>0</v>
      </c>
    </row>
    <row r="87" spans="1:49" x14ac:dyDescent="0.2">
      <c r="A87" s="4" t="s">
        <v>25</v>
      </c>
      <c r="C87" s="8">
        <v>0</v>
      </c>
      <c r="D87" s="8">
        <f t="shared" ref="D87:G87" ca="1" si="129">SUM(D85:D86)*princ</f>
        <v>9270</v>
      </c>
      <c r="E87" s="8">
        <f t="shared" ca="1" si="129"/>
        <v>9548.1</v>
      </c>
      <c r="F87" s="8">
        <f t="shared" ca="1" si="129"/>
        <v>9834.5429999999997</v>
      </c>
      <c r="G87" s="8">
        <f t="shared" ca="1" si="129"/>
        <v>10129.57929</v>
      </c>
      <c r="H87" s="8">
        <f t="shared" ref="H87:AM87" ca="1" si="130">SUM(H85:H86)*princ</f>
        <v>10433.466668699999</v>
      </c>
      <c r="I87" s="8">
        <f t="shared" ca="1" si="130"/>
        <v>10746.470668761</v>
      </c>
      <c r="J87" s="8">
        <f t="shared" ca="1" si="130"/>
        <v>11068.86478882383</v>
      </c>
      <c r="K87" s="8">
        <f t="shared" ca="1" si="130"/>
        <v>11400.930732488543</v>
      </c>
      <c r="L87" s="8">
        <f t="shared" ca="1" si="130"/>
        <v>11742.9586544632</v>
      </c>
      <c r="M87" s="8">
        <f t="shared" ca="1" si="130"/>
        <v>12095.247414097095</v>
      </c>
      <c r="N87" s="8">
        <f t="shared" ca="1" si="130"/>
        <v>12458.104836520008</v>
      </c>
      <c r="O87" s="8">
        <f t="shared" ca="1" si="130"/>
        <v>12831.847981615607</v>
      </c>
      <c r="P87" s="8">
        <f t="shared" ca="1" si="130"/>
        <v>13216.803421064074</v>
      </c>
      <c r="Q87" s="8">
        <f t="shared" ca="1" si="130"/>
        <v>13613.307523695996</v>
      </c>
      <c r="R87" s="8">
        <f t="shared" ca="1" si="130"/>
        <v>0</v>
      </c>
      <c r="S87" s="8">
        <f t="shared" ca="1" si="130"/>
        <v>0</v>
      </c>
      <c r="T87" s="8">
        <f t="shared" ca="1" si="130"/>
        <v>0</v>
      </c>
      <c r="U87" s="8">
        <f t="shared" ca="1" si="130"/>
        <v>0</v>
      </c>
      <c r="V87" s="8">
        <f t="shared" ca="1" si="130"/>
        <v>0</v>
      </c>
      <c r="W87" s="8">
        <f t="shared" ca="1" si="130"/>
        <v>0</v>
      </c>
      <c r="X87" s="8">
        <f t="shared" ca="1" si="130"/>
        <v>0</v>
      </c>
      <c r="Y87" s="8">
        <f t="shared" ca="1" si="130"/>
        <v>0</v>
      </c>
      <c r="Z87" s="8">
        <f t="shared" ca="1" si="130"/>
        <v>0</v>
      </c>
      <c r="AA87" s="8">
        <f t="shared" ca="1" si="130"/>
        <v>0</v>
      </c>
      <c r="AB87" s="8">
        <f t="shared" ca="1" si="130"/>
        <v>0</v>
      </c>
      <c r="AC87" s="8">
        <f t="shared" ca="1" si="130"/>
        <v>0</v>
      </c>
      <c r="AD87" s="8">
        <f t="shared" ca="1" si="130"/>
        <v>0</v>
      </c>
      <c r="AE87" s="8">
        <f t="shared" ca="1" si="130"/>
        <v>0</v>
      </c>
      <c r="AF87" s="8">
        <f t="shared" ca="1" si="130"/>
        <v>0</v>
      </c>
      <c r="AG87" s="8">
        <f t="shared" ca="1" si="130"/>
        <v>0</v>
      </c>
      <c r="AH87" s="8">
        <f t="shared" ca="1" si="130"/>
        <v>0</v>
      </c>
      <c r="AI87" s="8">
        <f t="shared" ca="1" si="130"/>
        <v>0</v>
      </c>
      <c r="AJ87" s="8">
        <f t="shared" ca="1" si="130"/>
        <v>0</v>
      </c>
      <c r="AK87" s="8">
        <f t="shared" ca="1" si="130"/>
        <v>0</v>
      </c>
      <c r="AL87" s="8">
        <f t="shared" ca="1" si="130"/>
        <v>0</v>
      </c>
      <c r="AM87" s="8">
        <f t="shared" ca="1" si="130"/>
        <v>0</v>
      </c>
      <c r="AN87" s="8">
        <f t="shared" ref="AN87:AV87" ca="1" si="131">SUM(AN85:AN86)*princ</f>
        <v>0</v>
      </c>
      <c r="AO87" s="8">
        <f t="shared" ca="1" si="131"/>
        <v>0</v>
      </c>
      <c r="AP87" s="8">
        <f t="shared" ca="1" si="131"/>
        <v>0</v>
      </c>
      <c r="AQ87" s="8">
        <f t="shared" ca="1" si="131"/>
        <v>0</v>
      </c>
      <c r="AR87" s="8">
        <f t="shared" ca="1" si="131"/>
        <v>0</v>
      </c>
      <c r="AS87" s="8">
        <f t="shared" ca="1" si="131"/>
        <v>0</v>
      </c>
      <c r="AT87" s="8">
        <f t="shared" ca="1" si="131"/>
        <v>0</v>
      </c>
      <c r="AU87" s="8">
        <f t="shared" ca="1" si="131"/>
        <v>0</v>
      </c>
      <c r="AV87" s="8">
        <f t="shared" ca="1" si="131"/>
        <v>0</v>
      </c>
      <c r="AW87" s="8">
        <f t="shared" ref="AW87" ca="1" si="132">SUM(AW85:AW86)*princ</f>
        <v>0</v>
      </c>
    </row>
    <row r="88" spans="1:49" x14ac:dyDescent="0.2">
      <c r="A88" s="4" t="s">
        <v>26</v>
      </c>
      <c r="C88" s="8">
        <f ca="1">SUM(C85:C87)</f>
        <v>309000</v>
      </c>
      <c r="D88" s="8">
        <f t="shared" ref="D88:G88" ca="1" si="133">SUM(D85:D87)</f>
        <v>318270</v>
      </c>
      <c r="E88" s="8">
        <f t="shared" ca="1" si="133"/>
        <v>327818.09999999998</v>
      </c>
      <c r="F88" s="8">
        <f t="shared" ca="1" si="133"/>
        <v>337652.64299999998</v>
      </c>
      <c r="G88" s="8">
        <f t="shared" ca="1" si="133"/>
        <v>347782.22229000001</v>
      </c>
      <c r="H88" s="8">
        <f t="shared" ref="H88:AM88" ca="1" si="134">SUM(H85:H87)</f>
        <v>358215.68895869999</v>
      </c>
      <c r="I88" s="8">
        <f t="shared" ca="1" si="134"/>
        <v>368962.15962746099</v>
      </c>
      <c r="J88" s="8">
        <f t="shared" ca="1" si="134"/>
        <v>380031.02441628481</v>
      </c>
      <c r="K88" s="8">
        <f t="shared" ca="1" si="134"/>
        <v>391431.95514877333</v>
      </c>
      <c r="L88" s="8">
        <f t="shared" ca="1" si="134"/>
        <v>403174.9138032365</v>
      </c>
      <c r="M88" s="8">
        <f t="shared" ca="1" si="134"/>
        <v>415270.16121733357</v>
      </c>
      <c r="N88" s="8">
        <f t="shared" ca="1" si="134"/>
        <v>427728.26605385356</v>
      </c>
      <c r="O88" s="8">
        <f t="shared" ca="1" si="134"/>
        <v>440560.11403546919</v>
      </c>
      <c r="P88" s="8">
        <f t="shared" ca="1" si="134"/>
        <v>453776.91745653324</v>
      </c>
      <c r="Q88" s="8">
        <f t="shared" ca="1" si="134"/>
        <v>467390.22498022922</v>
      </c>
      <c r="R88" s="8">
        <f t="shared" ca="1" si="134"/>
        <v>0</v>
      </c>
      <c r="S88" s="8">
        <f t="shared" ca="1" si="134"/>
        <v>0</v>
      </c>
      <c r="T88" s="8">
        <f t="shared" ca="1" si="134"/>
        <v>0</v>
      </c>
      <c r="U88" s="8">
        <f t="shared" ca="1" si="134"/>
        <v>0</v>
      </c>
      <c r="V88" s="8">
        <f t="shared" ca="1" si="134"/>
        <v>0</v>
      </c>
      <c r="W88" s="8">
        <f t="shared" ca="1" si="134"/>
        <v>0</v>
      </c>
      <c r="X88" s="8">
        <f t="shared" ca="1" si="134"/>
        <v>0</v>
      </c>
      <c r="Y88" s="8">
        <f t="shared" ca="1" si="134"/>
        <v>0</v>
      </c>
      <c r="Z88" s="8">
        <f t="shared" ca="1" si="134"/>
        <v>0</v>
      </c>
      <c r="AA88" s="8">
        <f t="shared" ca="1" si="134"/>
        <v>0</v>
      </c>
      <c r="AB88" s="8">
        <f t="shared" ca="1" si="134"/>
        <v>0</v>
      </c>
      <c r="AC88" s="8">
        <f t="shared" ca="1" si="134"/>
        <v>0</v>
      </c>
      <c r="AD88" s="8">
        <f t="shared" ca="1" si="134"/>
        <v>0</v>
      </c>
      <c r="AE88" s="8">
        <f t="shared" ca="1" si="134"/>
        <v>0</v>
      </c>
      <c r="AF88" s="8">
        <f t="shared" ca="1" si="134"/>
        <v>0</v>
      </c>
      <c r="AG88" s="8">
        <f t="shared" ca="1" si="134"/>
        <v>0</v>
      </c>
      <c r="AH88" s="8">
        <f t="shared" ca="1" si="134"/>
        <v>0</v>
      </c>
      <c r="AI88" s="8">
        <f t="shared" ca="1" si="134"/>
        <v>0</v>
      </c>
      <c r="AJ88" s="8">
        <f t="shared" ca="1" si="134"/>
        <v>0</v>
      </c>
      <c r="AK88" s="8">
        <f t="shared" ca="1" si="134"/>
        <v>0</v>
      </c>
      <c r="AL88" s="8">
        <f t="shared" ca="1" si="134"/>
        <v>0</v>
      </c>
      <c r="AM88" s="8">
        <f t="shared" ca="1" si="134"/>
        <v>0</v>
      </c>
      <c r="AN88" s="8">
        <f t="shared" ref="AN88:AV88" ca="1" si="135">SUM(AN85:AN87)</f>
        <v>0</v>
      </c>
      <c r="AO88" s="8">
        <f t="shared" ca="1" si="135"/>
        <v>0</v>
      </c>
      <c r="AP88" s="8">
        <f t="shared" ca="1" si="135"/>
        <v>0</v>
      </c>
      <c r="AQ88" s="8">
        <f t="shared" ca="1" si="135"/>
        <v>0</v>
      </c>
      <c r="AR88" s="8">
        <f t="shared" ca="1" si="135"/>
        <v>0</v>
      </c>
      <c r="AS88" s="8">
        <f t="shared" ca="1" si="135"/>
        <v>0</v>
      </c>
      <c r="AT88" s="8">
        <f t="shared" ca="1" si="135"/>
        <v>0</v>
      </c>
      <c r="AU88" s="8">
        <f t="shared" ca="1" si="135"/>
        <v>0</v>
      </c>
      <c r="AV88" s="8">
        <f t="shared" ca="1" si="135"/>
        <v>0</v>
      </c>
      <c r="AW88" s="8">
        <f t="shared" ref="AW88" ca="1" si="136">SUM(AW85:AW87)</f>
        <v>0</v>
      </c>
    </row>
    <row r="89" spans="1:49" x14ac:dyDescent="0.2">
      <c r="A89" s="4" t="s">
        <v>27</v>
      </c>
      <c r="C89" s="8">
        <f ca="1">C86*Inputs!$B$163</f>
        <v>0</v>
      </c>
      <c r="D89" s="8">
        <f ca="1">D86*Inputs!$B$163</f>
        <v>0</v>
      </c>
      <c r="E89" s="8">
        <f ca="1">E86*Inputs!$B$163</f>
        <v>0</v>
      </c>
      <c r="F89" s="8">
        <f ca="1">F86*Inputs!$B$163</f>
        <v>0</v>
      </c>
      <c r="G89" s="8">
        <f ca="1">G86*Inputs!$B$163</f>
        <v>0</v>
      </c>
      <c r="H89" s="8">
        <f ca="1">H86*Inputs!$B$163</f>
        <v>0</v>
      </c>
      <c r="I89" s="8">
        <f ca="1">I86*Inputs!$B$163</f>
        <v>0</v>
      </c>
      <c r="J89" s="8">
        <f ca="1">J86*Inputs!$B$163</f>
        <v>0</v>
      </c>
      <c r="K89" s="8">
        <f ca="1">K86*Inputs!$B$163</f>
        <v>0</v>
      </c>
      <c r="L89" s="8">
        <f ca="1">L86*Inputs!$B$163</f>
        <v>0</v>
      </c>
      <c r="M89" s="8">
        <f ca="1">M86*Inputs!$B$163</f>
        <v>0</v>
      </c>
      <c r="N89" s="8">
        <f ca="1">N86*Inputs!$B$163</f>
        <v>0</v>
      </c>
      <c r="O89" s="8">
        <f ca="1">O86*Inputs!$B$163</f>
        <v>0</v>
      </c>
      <c r="P89" s="8">
        <f ca="1">P86*Inputs!$B$163</f>
        <v>0</v>
      </c>
      <c r="Q89" s="8">
        <f ca="1">Q86*Inputs!$B$163</f>
        <v>0</v>
      </c>
      <c r="R89" s="8">
        <f ca="1">R86*Inputs!$B$163</f>
        <v>-70108.53374703438</v>
      </c>
      <c r="S89" s="8">
        <f ca="1">S86*Inputs!$B$163</f>
        <v>0</v>
      </c>
      <c r="T89" s="8">
        <f ca="1">T86*Inputs!$B$163</f>
        <v>0</v>
      </c>
      <c r="U89" s="8">
        <f ca="1">U86*Inputs!$B$163</f>
        <v>0</v>
      </c>
      <c r="V89" s="8">
        <f ca="1">V86*Inputs!$B$163</f>
        <v>0</v>
      </c>
      <c r="W89" s="8">
        <f ca="1">W86*Inputs!$B$163</f>
        <v>0</v>
      </c>
      <c r="X89" s="8">
        <f ca="1">X86*Inputs!$B$163</f>
        <v>0</v>
      </c>
      <c r="Y89" s="8">
        <f ca="1">Y86*Inputs!$B$163</f>
        <v>0</v>
      </c>
      <c r="Z89" s="8">
        <f ca="1">Z86*Inputs!$B$163</f>
        <v>0</v>
      </c>
      <c r="AA89" s="8">
        <f ca="1">AA86*Inputs!$B$163</f>
        <v>0</v>
      </c>
      <c r="AB89" s="8">
        <f ca="1">AB86*Inputs!$B$163</f>
        <v>0</v>
      </c>
      <c r="AC89" s="8">
        <f ca="1">AC86*Inputs!$B$163</f>
        <v>0</v>
      </c>
      <c r="AD89" s="8">
        <f ca="1">AD86*Inputs!$B$163</f>
        <v>0</v>
      </c>
      <c r="AE89" s="8">
        <f ca="1">AE86*Inputs!$B$163</f>
        <v>0</v>
      </c>
      <c r="AF89" s="8">
        <f ca="1">AF86*Inputs!$B$163</f>
        <v>0</v>
      </c>
      <c r="AG89" s="8">
        <f ca="1">AG86*Inputs!$B$163</f>
        <v>0</v>
      </c>
      <c r="AH89" s="8">
        <f ca="1">AH86*Inputs!$B$163</f>
        <v>0</v>
      </c>
      <c r="AI89" s="8">
        <f ca="1">AI86*Inputs!$B$163</f>
        <v>0</v>
      </c>
      <c r="AJ89" s="8">
        <f ca="1">AJ86*Inputs!$B$163</f>
        <v>0</v>
      </c>
      <c r="AK89" s="8">
        <f ca="1">AK86*Inputs!$B$163</f>
        <v>0</v>
      </c>
      <c r="AL89" s="8">
        <f ca="1">AL86*Inputs!$B$163</f>
        <v>0</v>
      </c>
      <c r="AM89" s="8">
        <f ca="1">AM86*Inputs!$B$163</f>
        <v>0</v>
      </c>
      <c r="AN89" s="8">
        <f ca="1">AN86*Inputs!$B$163</f>
        <v>0</v>
      </c>
      <c r="AO89" s="8">
        <f ca="1">AO86*Inputs!$B$163</f>
        <v>0</v>
      </c>
      <c r="AP89" s="8">
        <f ca="1">AP86*Inputs!$B$163</f>
        <v>0</v>
      </c>
      <c r="AQ89" s="8">
        <f ca="1">AQ86*Inputs!$B$163</f>
        <v>0</v>
      </c>
      <c r="AR89" s="8">
        <f ca="1">AR86*Inputs!$B$163</f>
        <v>0</v>
      </c>
      <c r="AS89" s="8">
        <f ca="1">AS86*Inputs!$B$163</f>
        <v>0</v>
      </c>
      <c r="AT89" s="8">
        <f ca="1">AT86*Inputs!$B$163</f>
        <v>0</v>
      </c>
      <c r="AU89" s="8">
        <f ca="1">AU86*Inputs!$B$163</f>
        <v>0</v>
      </c>
      <c r="AV89" s="8">
        <f ca="1">AV86*Inputs!$B$163</f>
        <v>0</v>
      </c>
      <c r="AW89" s="8">
        <f>AW86*Inputs!$B$163</f>
        <v>0</v>
      </c>
    </row>
    <row r="90" spans="1:49" x14ac:dyDescent="0.2">
      <c r="A90" s="4" t="s">
        <v>34</v>
      </c>
      <c r="C90" s="8">
        <f>IFERROR(-IF(C85=0,VLOOKUP($A84,$7:$10,C$1+2,FALSE),0),0)</f>
        <v>0</v>
      </c>
      <c r="D90" s="8">
        <f t="shared" ref="D90:G90" ca="1" si="137">IFERROR(-IF(D85=0,VLOOKUP($A84,$7:$10,D$1+2,FALSE),0),0)</f>
        <v>0</v>
      </c>
      <c r="E90" s="8">
        <f t="shared" ca="1" si="137"/>
        <v>0</v>
      </c>
      <c r="F90" s="8">
        <f t="shared" ca="1" si="137"/>
        <v>0</v>
      </c>
      <c r="G90" s="8">
        <f t="shared" ca="1" si="137"/>
        <v>0</v>
      </c>
      <c r="H90" s="8">
        <f t="shared" ref="H90:AM90" ca="1" si="138">IFERROR(-IF(H85=0,VLOOKUP($A84,$7:$10,H$1+2,FALSE),0),0)</f>
        <v>0</v>
      </c>
      <c r="I90" s="8">
        <f t="shared" ca="1" si="138"/>
        <v>0</v>
      </c>
      <c r="J90" s="8">
        <f t="shared" ca="1" si="138"/>
        <v>0</v>
      </c>
      <c r="K90" s="8">
        <f t="shared" ca="1" si="138"/>
        <v>0</v>
      </c>
      <c r="L90" s="8">
        <f t="shared" ca="1" si="138"/>
        <v>0</v>
      </c>
      <c r="M90" s="8">
        <f t="shared" ca="1" si="138"/>
        <v>0</v>
      </c>
      <c r="N90" s="8">
        <f t="shared" ca="1" si="138"/>
        <v>0</v>
      </c>
      <c r="O90" s="8">
        <f t="shared" ca="1" si="138"/>
        <v>0</v>
      </c>
      <c r="P90" s="8">
        <f t="shared" ca="1" si="138"/>
        <v>0</v>
      </c>
      <c r="Q90" s="8">
        <f t="shared" ca="1" si="138"/>
        <v>0</v>
      </c>
      <c r="R90" s="8">
        <f t="shared" ca="1" si="138"/>
        <v>0</v>
      </c>
      <c r="S90" s="8">
        <f t="shared" ca="1" si="138"/>
        <v>0</v>
      </c>
      <c r="T90" s="8">
        <f t="shared" ca="1" si="138"/>
        <v>0</v>
      </c>
      <c r="U90" s="8">
        <f t="shared" ca="1" si="138"/>
        <v>0</v>
      </c>
      <c r="V90" s="8">
        <f t="shared" ca="1" si="138"/>
        <v>0</v>
      </c>
      <c r="W90" s="8">
        <f t="shared" ca="1" si="138"/>
        <v>0</v>
      </c>
      <c r="X90" s="8">
        <f t="shared" ca="1" si="138"/>
        <v>0</v>
      </c>
      <c r="Y90" s="8">
        <f t="shared" ca="1" si="138"/>
        <v>0</v>
      </c>
      <c r="Z90" s="8">
        <f t="shared" ca="1" si="138"/>
        <v>0</v>
      </c>
      <c r="AA90" s="8">
        <f t="shared" ca="1" si="138"/>
        <v>0</v>
      </c>
      <c r="AB90" s="8">
        <f t="shared" ca="1" si="138"/>
        <v>0</v>
      </c>
      <c r="AC90" s="8">
        <f t="shared" ca="1" si="138"/>
        <v>0</v>
      </c>
      <c r="AD90" s="8">
        <f t="shared" ca="1" si="138"/>
        <v>0</v>
      </c>
      <c r="AE90" s="8">
        <f t="shared" ca="1" si="138"/>
        <v>0</v>
      </c>
      <c r="AF90" s="8">
        <f t="shared" ca="1" si="138"/>
        <v>0</v>
      </c>
      <c r="AG90" s="8">
        <f t="shared" ca="1" si="138"/>
        <v>0</v>
      </c>
      <c r="AH90" s="8">
        <f t="shared" ca="1" si="138"/>
        <v>0</v>
      </c>
      <c r="AI90" s="8">
        <f t="shared" ca="1" si="138"/>
        <v>0</v>
      </c>
      <c r="AJ90" s="8">
        <f t="shared" ca="1" si="138"/>
        <v>0</v>
      </c>
      <c r="AK90" s="8">
        <f t="shared" ca="1" si="138"/>
        <v>0</v>
      </c>
      <c r="AL90" s="8">
        <f t="shared" ca="1" si="138"/>
        <v>0</v>
      </c>
      <c r="AM90" s="8">
        <f t="shared" ca="1" si="138"/>
        <v>0</v>
      </c>
      <c r="AN90" s="8">
        <f t="shared" ref="AN90:AV90" ca="1" si="139">IFERROR(-IF(AN85=0,VLOOKUP($A84,$7:$10,AN$1+2,FALSE),0),0)</f>
        <v>0</v>
      </c>
      <c r="AO90" s="8">
        <f t="shared" ca="1" si="139"/>
        <v>0</v>
      </c>
      <c r="AP90" s="8">
        <f t="shared" ca="1" si="139"/>
        <v>0</v>
      </c>
      <c r="AQ90" s="8">
        <f t="shared" ca="1" si="139"/>
        <v>0</v>
      </c>
      <c r="AR90" s="8">
        <f t="shared" ca="1" si="139"/>
        <v>0</v>
      </c>
      <c r="AS90" s="8">
        <f t="shared" ca="1" si="139"/>
        <v>0</v>
      </c>
      <c r="AT90" s="8">
        <f t="shared" ca="1" si="139"/>
        <v>0</v>
      </c>
      <c r="AU90" s="8">
        <f t="shared" ca="1" si="139"/>
        <v>0</v>
      </c>
      <c r="AV90" s="8">
        <f t="shared" ca="1" si="139"/>
        <v>0</v>
      </c>
      <c r="AW90" s="8">
        <f t="shared" ref="AW90" ca="1" si="140">IFERROR(-IF(AW85=0,VLOOKUP($A84,$7:$10,AW$1+2,FALSE),0),0)</f>
        <v>0</v>
      </c>
    </row>
    <row r="91" spans="1:49" x14ac:dyDescent="0.2">
      <c r="A91" s="4" t="s">
        <v>54</v>
      </c>
      <c r="C91" s="8">
        <f>IFERROR(IF(C85=0,VLOOKUP($A84,$33:$36,C$1+2,FALSE),0),0)</f>
        <v>0</v>
      </c>
      <c r="D91" s="8">
        <f t="shared" ref="D91:G91" ca="1" si="141">IFERROR(IF(D85=0,VLOOKUP($A84,$33:$36,D$1+2,FALSE),0),0)</f>
        <v>0</v>
      </c>
      <c r="E91" s="8">
        <f t="shared" ca="1" si="141"/>
        <v>0</v>
      </c>
      <c r="F91" s="8">
        <f t="shared" ca="1" si="141"/>
        <v>0</v>
      </c>
      <c r="G91" s="8">
        <f t="shared" ca="1" si="141"/>
        <v>0</v>
      </c>
      <c r="H91" s="8">
        <f t="shared" ref="H91:AM91" ca="1" si="142">IFERROR(IF(H85=0,VLOOKUP($A84,$33:$36,H$1+2,FALSE),0),0)</f>
        <v>0</v>
      </c>
      <c r="I91" s="8">
        <f t="shared" ca="1" si="142"/>
        <v>0</v>
      </c>
      <c r="J91" s="8">
        <f t="shared" ca="1" si="142"/>
        <v>0</v>
      </c>
      <c r="K91" s="8">
        <f t="shared" ca="1" si="142"/>
        <v>0</v>
      </c>
      <c r="L91" s="8">
        <f t="shared" ca="1" si="142"/>
        <v>0</v>
      </c>
      <c r="M91" s="8">
        <f t="shared" ca="1" si="142"/>
        <v>0</v>
      </c>
      <c r="N91" s="8">
        <f t="shared" ca="1" si="142"/>
        <v>0</v>
      </c>
      <c r="O91" s="8">
        <f t="shared" ca="1" si="142"/>
        <v>0</v>
      </c>
      <c r="P91" s="8">
        <f t="shared" ca="1" si="142"/>
        <v>0</v>
      </c>
      <c r="Q91" s="8">
        <f t="shared" ca="1" si="142"/>
        <v>0</v>
      </c>
      <c r="R91" s="8">
        <f t="shared" ca="1" si="142"/>
        <v>0</v>
      </c>
      <c r="S91" s="8">
        <f t="shared" ca="1" si="142"/>
        <v>742.25281033028159</v>
      </c>
      <c r="T91" s="8">
        <f t="shared" ca="1" si="142"/>
        <v>760.80913058853855</v>
      </c>
      <c r="U91" s="8">
        <f t="shared" ca="1" si="142"/>
        <v>779.82935885325196</v>
      </c>
      <c r="V91" s="8">
        <f t="shared" ca="1" si="142"/>
        <v>799.32509282458329</v>
      </c>
      <c r="W91" s="8">
        <f t="shared" ca="1" si="142"/>
        <v>819.30822014519777</v>
      </c>
      <c r="X91" s="8">
        <f t="shared" ca="1" si="142"/>
        <v>839.79092564882762</v>
      </c>
      <c r="Y91" s="8">
        <f t="shared" ca="1" si="142"/>
        <v>860.78569879004829</v>
      </c>
      <c r="Z91" s="8">
        <f t="shared" ca="1" si="142"/>
        <v>882.30534125979955</v>
      </c>
      <c r="AA91" s="8">
        <f t="shared" ca="1" si="142"/>
        <v>904.3629747912945</v>
      </c>
      <c r="AB91" s="8">
        <f t="shared" ca="1" si="142"/>
        <v>926.97204916107671</v>
      </c>
      <c r="AC91" s="8">
        <f t="shared" ca="1" si="142"/>
        <v>950.14635039010352</v>
      </c>
      <c r="AD91" s="8">
        <f t="shared" ca="1" si="142"/>
        <v>973.90000914985603</v>
      </c>
      <c r="AE91" s="8">
        <f t="shared" ca="1" si="142"/>
        <v>998.24750937860244</v>
      </c>
      <c r="AF91" s="8">
        <f t="shared" ca="1" si="142"/>
        <v>1023.2036971130676</v>
      </c>
      <c r="AG91" s="8">
        <f t="shared" ca="1" si="142"/>
        <v>1048.7837895408941</v>
      </c>
      <c r="AH91" s="8">
        <f t="shared" ca="1" si="142"/>
        <v>1075.0033842794167</v>
      </c>
      <c r="AI91" s="8">
        <f t="shared" ca="1" si="142"/>
        <v>1101.8784688864018</v>
      </c>
      <c r="AJ91" s="8">
        <f t="shared" ca="1" si="142"/>
        <v>1129.4254306085618</v>
      </c>
      <c r="AK91" s="8">
        <f t="shared" ca="1" si="142"/>
        <v>1157.6610663737758</v>
      </c>
      <c r="AL91" s="8">
        <f t="shared" ca="1" si="142"/>
        <v>1186.60259303312</v>
      </c>
      <c r="AM91" s="8">
        <f t="shared" ca="1" si="142"/>
        <v>1216.2676578589483</v>
      </c>
      <c r="AN91" s="8">
        <f t="shared" ref="AN91:AV91" ca="1" si="143">IFERROR(IF(AN85=0,VLOOKUP($A84,$33:$36,AN$1+2,FALSE),0),0)</f>
        <v>1246.6743493054219</v>
      </c>
      <c r="AO91" s="8">
        <f t="shared" ca="1" si="143"/>
        <v>1277.8412080380569</v>
      </c>
      <c r="AP91" s="8">
        <f t="shared" ca="1" si="143"/>
        <v>1309.7872382390085</v>
      </c>
      <c r="AQ91" s="8">
        <f t="shared" ca="1" si="143"/>
        <v>1342.5319191949836</v>
      </c>
      <c r="AR91" s="8">
        <f t="shared" ca="1" si="143"/>
        <v>1376.0952171748581</v>
      </c>
      <c r="AS91" s="8">
        <f t="shared" ca="1" si="143"/>
        <v>1410.4975976042294</v>
      </c>
      <c r="AT91" s="8">
        <f t="shared" ca="1" si="143"/>
        <v>1445.7600375443353</v>
      </c>
      <c r="AU91" s="8">
        <f t="shared" ca="1" si="143"/>
        <v>1481.9040384829434</v>
      </c>
      <c r="AV91" s="8">
        <f t="shared" ca="1" si="143"/>
        <v>1518.951639445017</v>
      </c>
      <c r="AW91" s="8">
        <f t="shared" ref="AW91" ca="1" si="144">IFERROR(IF(AW85=0,VLOOKUP($A84,$33:$36,AW$1+2,FALSE),0),0)</f>
        <v>1556.9254304311421</v>
      </c>
    </row>
    <row r="92" spans="1:49" x14ac:dyDescent="0.2">
      <c r="A92" s="4" t="s">
        <v>40</v>
      </c>
      <c r="B92" s="16" t="str">
        <f>A84</f>
        <v>Sliema</v>
      </c>
      <c r="C92" s="8">
        <f ca="1">IF(AND(C85&gt;0,C88=0),VLOOKUP($A84,$61:$64,C$1+2,FALSE),0)</f>
        <v>0</v>
      </c>
      <c r="D92" s="8">
        <f t="shared" ref="D92:G92" ca="1" si="145">IF(AND(D85&gt;0,D88=0),VLOOKUP($A84,$61:$64,D$1+2,FALSE),0)</f>
        <v>0</v>
      </c>
      <c r="E92" s="8">
        <f t="shared" ca="1" si="145"/>
        <v>0</v>
      </c>
      <c r="F92" s="8">
        <f t="shared" ca="1" si="145"/>
        <v>0</v>
      </c>
      <c r="G92" s="8">
        <f t="shared" ca="1" si="145"/>
        <v>0</v>
      </c>
      <c r="H92" s="8">
        <f t="shared" ref="H92:AM92" ca="1" si="146">IF(AND(H85&gt;0,H88=0),VLOOKUP($A84,$61:$64,H$1+2,FALSE),0)</f>
        <v>0</v>
      </c>
      <c r="I92" s="8">
        <f t="shared" ca="1" si="146"/>
        <v>0</v>
      </c>
      <c r="J92" s="8">
        <f t="shared" ca="1" si="146"/>
        <v>0</v>
      </c>
      <c r="K92" s="8">
        <f t="shared" ca="1" si="146"/>
        <v>0</v>
      </c>
      <c r="L92" s="8">
        <f t="shared" ca="1" si="146"/>
        <v>0</v>
      </c>
      <c r="M92" s="8">
        <f t="shared" ca="1" si="146"/>
        <v>0</v>
      </c>
      <c r="N92" s="8">
        <f t="shared" ca="1" si="146"/>
        <v>0</v>
      </c>
      <c r="O92" s="8">
        <f t="shared" ca="1" si="146"/>
        <v>0</v>
      </c>
      <c r="P92" s="8">
        <f t="shared" ca="1" si="146"/>
        <v>0</v>
      </c>
      <c r="Q92" s="8">
        <f t="shared" ca="1" si="146"/>
        <v>0</v>
      </c>
      <c r="R92" s="8">
        <f t="shared" ca="1" si="146"/>
        <v>0</v>
      </c>
      <c r="S92" s="8">
        <f t="shared" ca="1" si="146"/>
        <v>0</v>
      </c>
      <c r="T92" s="8">
        <f t="shared" ca="1" si="146"/>
        <v>0</v>
      </c>
      <c r="U92" s="8">
        <f t="shared" ca="1" si="146"/>
        <v>0</v>
      </c>
      <c r="V92" s="8">
        <f t="shared" ca="1" si="146"/>
        <v>0</v>
      </c>
      <c r="W92" s="8">
        <f t="shared" ca="1" si="146"/>
        <v>0</v>
      </c>
      <c r="X92" s="8">
        <f t="shared" ca="1" si="146"/>
        <v>0</v>
      </c>
      <c r="Y92" s="8">
        <f t="shared" ca="1" si="146"/>
        <v>0</v>
      </c>
      <c r="Z92" s="8">
        <f t="shared" ca="1" si="146"/>
        <v>0</v>
      </c>
      <c r="AA92" s="8">
        <f t="shared" ca="1" si="146"/>
        <v>0</v>
      </c>
      <c r="AB92" s="8">
        <f t="shared" ca="1" si="146"/>
        <v>0</v>
      </c>
      <c r="AC92" s="8">
        <f t="shared" ca="1" si="146"/>
        <v>0</v>
      </c>
      <c r="AD92" s="8">
        <f t="shared" ca="1" si="146"/>
        <v>0</v>
      </c>
      <c r="AE92" s="8">
        <f t="shared" ca="1" si="146"/>
        <v>0</v>
      </c>
      <c r="AF92" s="8">
        <f t="shared" ca="1" si="146"/>
        <v>0</v>
      </c>
      <c r="AG92" s="8">
        <f t="shared" ca="1" si="146"/>
        <v>0</v>
      </c>
      <c r="AH92" s="8">
        <f t="shared" ca="1" si="146"/>
        <v>0</v>
      </c>
      <c r="AI92" s="8">
        <f t="shared" ca="1" si="146"/>
        <v>0</v>
      </c>
      <c r="AJ92" s="8">
        <f t="shared" ca="1" si="146"/>
        <v>0</v>
      </c>
      <c r="AK92" s="8">
        <f t="shared" ca="1" si="146"/>
        <v>0</v>
      </c>
      <c r="AL92" s="8">
        <f t="shared" ca="1" si="146"/>
        <v>0</v>
      </c>
      <c r="AM92" s="8">
        <f t="shared" ca="1" si="146"/>
        <v>0</v>
      </c>
      <c r="AN92" s="8">
        <f t="shared" ref="AN92:AV92" ca="1" si="147">IF(AND(AN85&gt;0,AN88=0),VLOOKUP($A84,$61:$64,AN$1+2,FALSE),0)</f>
        <v>0</v>
      </c>
      <c r="AO92" s="8">
        <f t="shared" ca="1" si="147"/>
        <v>0</v>
      </c>
      <c r="AP92" s="8">
        <f t="shared" ca="1" si="147"/>
        <v>0</v>
      </c>
      <c r="AQ92" s="8">
        <f t="shared" ca="1" si="147"/>
        <v>0</v>
      </c>
      <c r="AR92" s="8">
        <f t="shared" ca="1" si="147"/>
        <v>0</v>
      </c>
      <c r="AS92" s="8">
        <f t="shared" ca="1" si="147"/>
        <v>0</v>
      </c>
      <c r="AT92" s="8">
        <f t="shared" ca="1" si="147"/>
        <v>0</v>
      </c>
      <c r="AU92" s="8">
        <f t="shared" ca="1" si="147"/>
        <v>0</v>
      </c>
      <c r="AV92" s="8">
        <f t="shared" ca="1" si="147"/>
        <v>0</v>
      </c>
      <c r="AW92" s="8">
        <f t="shared" ref="AW92" ca="1" si="148">IF(AND(AW85&gt;0,AW88=0),VLOOKUP($A84,$61:$64,AW$1+2,FALSE),0)</f>
        <v>0</v>
      </c>
    </row>
    <row r="93" spans="1:49" x14ac:dyDescent="0.2">
      <c r="A93" s="4" t="s">
        <v>41</v>
      </c>
      <c r="C93" s="8">
        <f ca="1">-C86+SUM(C89:C92)</f>
        <v>0</v>
      </c>
      <c r="D93" s="8">
        <f t="shared" ref="D93" ca="1" si="149">-D86+SUM(D89:D92)</f>
        <v>0</v>
      </c>
      <c r="E93" s="8">
        <f t="shared" ref="E93:G93" ca="1" si="150">-E86+SUM(E89:E92)</f>
        <v>0</v>
      </c>
      <c r="F93" s="8">
        <f t="shared" ca="1" si="150"/>
        <v>0</v>
      </c>
      <c r="G93" s="8">
        <f t="shared" ca="1" si="150"/>
        <v>0</v>
      </c>
      <c r="H93" s="8">
        <f t="shared" ref="H93:AM93" ca="1" si="151">-H86+SUM(H89:H92)</f>
        <v>0</v>
      </c>
      <c r="I93" s="8">
        <f t="shared" ca="1" si="151"/>
        <v>0</v>
      </c>
      <c r="J93" s="8">
        <f t="shared" ca="1" si="151"/>
        <v>0</v>
      </c>
      <c r="K93" s="8">
        <f t="shared" ca="1" si="151"/>
        <v>0</v>
      </c>
      <c r="L93" s="8">
        <f t="shared" ca="1" si="151"/>
        <v>0</v>
      </c>
      <c r="M93" s="8">
        <f t="shared" ca="1" si="151"/>
        <v>0</v>
      </c>
      <c r="N93" s="8">
        <f t="shared" ca="1" si="151"/>
        <v>0</v>
      </c>
      <c r="O93" s="8">
        <f t="shared" ca="1" si="151"/>
        <v>0</v>
      </c>
      <c r="P93" s="8">
        <f t="shared" ca="1" si="151"/>
        <v>0</v>
      </c>
      <c r="Q93" s="8">
        <f t="shared" ca="1" si="151"/>
        <v>0</v>
      </c>
      <c r="R93" s="8">
        <f t="shared" ca="1" si="151"/>
        <v>397281.69123319484</v>
      </c>
      <c r="S93" s="8">
        <f t="shared" ca="1" si="151"/>
        <v>742.25281033028159</v>
      </c>
      <c r="T93" s="8">
        <f t="shared" ca="1" si="151"/>
        <v>760.80913058853855</v>
      </c>
      <c r="U93" s="8">
        <f t="shared" ca="1" si="151"/>
        <v>779.82935885325196</v>
      </c>
      <c r="V93" s="8">
        <f t="shared" ca="1" si="151"/>
        <v>799.32509282458329</v>
      </c>
      <c r="W93" s="8">
        <f t="shared" ca="1" si="151"/>
        <v>819.30822014519777</v>
      </c>
      <c r="X93" s="8">
        <f t="shared" ca="1" si="151"/>
        <v>839.79092564882762</v>
      </c>
      <c r="Y93" s="8">
        <f t="shared" ca="1" si="151"/>
        <v>860.78569879004829</v>
      </c>
      <c r="Z93" s="8">
        <f t="shared" ca="1" si="151"/>
        <v>882.30534125979955</v>
      </c>
      <c r="AA93" s="8">
        <f t="shared" ca="1" si="151"/>
        <v>904.3629747912945</v>
      </c>
      <c r="AB93" s="8">
        <f t="shared" ca="1" si="151"/>
        <v>926.97204916107671</v>
      </c>
      <c r="AC93" s="8">
        <f t="shared" ca="1" si="151"/>
        <v>950.14635039010352</v>
      </c>
      <c r="AD93" s="8">
        <f t="shared" ca="1" si="151"/>
        <v>973.90000914985603</v>
      </c>
      <c r="AE93" s="8">
        <f t="shared" ca="1" si="151"/>
        <v>998.24750937860244</v>
      </c>
      <c r="AF93" s="8">
        <f t="shared" ca="1" si="151"/>
        <v>1023.2036971130676</v>
      </c>
      <c r="AG93" s="8">
        <f t="shared" ca="1" si="151"/>
        <v>1048.7837895408941</v>
      </c>
      <c r="AH93" s="8">
        <f t="shared" ca="1" si="151"/>
        <v>1075.0033842794167</v>
      </c>
      <c r="AI93" s="8">
        <f t="shared" ca="1" si="151"/>
        <v>1101.8784688864018</v>
      </c>
      <c r="AJ93" s="8">
        <f t="shared" ca="1" si="151"/>
        <v>1129.4254306085618</v>
      </c>
      <c r="AK93" s="8">
        <f t="shared" ca="1" si="151"/>
        <v>1157.6610663737758</v>
      </c>
      <c r="AL93" s="8">
        <f t="shared" ca="1" si="151"/>
        <v>1186.60259303312</v>
      </c>
      <c r="AM93" s="8">
        <f t="shared" ca="1" si="151"/>
        <v>1216.2676578589483</v>
      </c>
      <c r="AN93" s="8">
        <f t="shared" ref="AN93:AV93" ca="1" si="152">-AN86+SUM(AN89:AN92)</f>
        <v>1246.6743493054219</v>
      </c>
      <c r="AO93" s="8">
        <f t="shared" ca="1" si="152"/>
        <v>1277.8412080380569</v>
      </c>
      <c r="AP93" s="8">
        <f t="shared" ca="1" si="152"/>
        <v>1309.7872382390085</v>
      </c>
      <c r="AQ93" s="8">
        <f t="shared" ca="1" si="152"/>
        <v>1342.5319191949836</v>
      </c>
      <c r="AR93" s="8">
        <f t="shared" ca="1" si="152"/>
        <v>1376.0952171748581</v>
      </c>
      <c r="AS93" s="8">
        <f t="shared" ca="1" si="152"/>
        <v>1410.4975976042294</v>
      </c>
      <c r="AT93" s="8">
        <f t="shared" ca="1" si="152"/>
        <v>1445.7600375443353</v>
      </c>
      <c r="AU93" s="8">
        <f t="shared" ca="1" si="152"/>
        <v>1481.9040384829434</v>
      </c>
      <c r="AV93" s="8">
        <f t="shared" ca="1" si="152"/>
        <v>1518.951639445017</v>
      </c>
      <c r="AW93" s="8">
        <f t="shared" ref="AW93" ca="1" si="153">-AW86+SUM(AW89:AW92)</f>
        <v>1556.9254304311421</v>
      </c>
    </row>
    <row r="94" spans="1:49" x14ac:dyDescent="0.2">
      <c r="A94" s="4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">
      <c r="A95" s="4" t="s">
        <v>87</v>
      </c>
      <c r="C95" s="8">
        <f ca="1">C81+SUM($C93:C93)</f>
        <v>184898.75</v>
      </c>
      <c r="D95" s="8">
        <f ca="1">D81+SUM($C93:D93)</f>
        <v>190464.1875</v>
      </c>
      <c r="E95" s="8">
        <f ca="1">E81+SUM($C93:E93)</f>
        <v>196735.69765625001</v>
      </c>
      <c r="F95" s="8">
        <f ca="1">F81+SUM($C93:F93)</f>
        <v>203754.49157812502</v>
      </c>
      <c r="G95" s="8">
        <f ca="1">G81+SUM($C93:G93)</f>
        <v>211563.68121130861</v>
      </c>
      <c r="H95" s="8">
        <f ca="1">H81+SUM($C93:H93)</f>
        <v>220208.35706995256</v>
      </c>
      <c r="I95" s="8">
        <f ca="1">I81+SUM($C93:I93)</f>
        <v>229735.66892084025</v>
      </c>
      <c r="J95" s="8">
        <f ca="1">J81+SUM($C93:J93)</f>
        <v>240194.90952617431</v>
      </c>
      <c r="K95" s="8">
        <f ca="1">K81+SUM($C93:K93)</f>
        <v>251637.60155532236</v>
      </c>
      <c r="L95" s="8">
        <f ca="1">L81+SUM($C93:L93)</f>
        <v>264117.58777969546</v>
      </c>
      <c r="M95" s="8">
        <f ca="1">M81+SUM($C93:M93)</f>
        <v>277691.1246689033</v>
      </c>
      <c r="N95" s="8">
        <f ca="1">N81+SUM($C93:N93)</f>
        <v>208324.77186392489</v>
      </c>
      <c r="O95" s="8">
        <f ca="1">O81+SUM($C93:O93)</f>
        <v>135547.0444657795</v>
      </c>
      <c r="P95" s="8">
        <f ca="1">P81+SUM($C93:P93)</f>
        <v>59230.727715311907</v>
      </c>
      <c r="Q95" s="8">
        <f ca="1">Q81+SUM($C93:Q93)</f>
        <v>0</v>
      </c>
      <c r="R95" s="8">
        <f ca="1">R81+SUM($C93:R93)</f>
        <v>397281.69123319484</v>
      </c>
      <c r="S95" s="8">
        <f ca="1">S81+SUM($C93:S93)</f>
        <v>375472.93517872831</v>
      </c>
      <c r="T95" s="8">
        <f ca="1">T81+SUM($C93:T93)</f>
        <v>324042.23795094318</v>
      </c>
      <c r="U95" s="8">
        <f ca="1">U81+SUM($C93:U93)</f>
        <v>279124.06688099587</v>
      </c>
      <c r="V95" s="8">
        <f ca="1">V81+SUM($C93:V93)</f>
        <v>233082.94153429984</v>
      </c>
      <c r="W95" s="8">
        <f ca="1">W81+SUM($C93:W93)</f>
        <v>185890.78805393647</v>
      </c>
      <c r="X95" s="8">
        <f ca="1">X81+SUM($C93:X93)</f>
        <v>137518.83073656395</v>
      </c>
      <c r="Y95" s="8">
        <f ca="1">Y81+SUM($C93:Y93)</f>
        <v>87937.574486257159</v>
      </c>
      <c r="Z95" s="8">
        <f ca="1">Z81+SUM($C93:Z93)</f>
        <v>37116.786829692777</v>
      </c>
      <c r="AA95" s="8">
        <f ca="1">AA81+SUM($C93:AA93)</f>
        <v>-14974.520518285804</v>
      </c>
      <c r="AB95" s="8">
        <f ca="1">AB81+SUM($C93:AB93)</f>
        <v>-68368.110549963778</v>
      </c>
      <c r="AC95" s="8">
        <f ca="1">AC81+SUM($C93:AC93)</f>
        <v>-123096.54033243371</v>
      </c>
      <c r="AD95" s="8">
        <f ca="1">AD81+SUM($C93:AD93)</f>
        <v>-179193.18085946538</v>
      </c>
      <c r="AE95" s="8">
        <f ca="1">AE81+SUM($C93:AE93)</f>
        <v>-226709.76230588683</v>
      </c>
      <c r="AF95" s="8">
        <f ca="1">AF81+SUM($C93:AF93)</f>
        <v>-275414.25828846882</v>
      </c>
      <c r="AG95" s="8">
        <f ca="1">AG81+SUM($C93:AG93)</f>
        <v>-325336.36667061539</v>
      </c>
      <c r="AH95" s="8">
        <f ca="1">AH81+SUM($C93:AH93)</f>
        <v>-376506.52776231559</v>
      </c>
      <c r="AI95" s="8">
        <f ca="1">AI81+SUM($C93:AI93)</f>
        <v>-428955.94288130832</v>
      </c>
      <c r="AJ95" s="8">
        <f ca="1">AJ81+SUM($C93:AJ93)</f>
        <v>-482716.59337827592</v>
      </c>
      <c r="AK95" s="8">
        <f ca="1">AK81+SUM($C93:AK93)</f>
        <v>-537821.26013766776</v>
      </c>
      <c r="AL95" s="8">
        <f ca="1">AL81+SUM($C93:AL93)</f>
        <v>-594303.5435660443</v>
      </c>
      <c r="AM95" s="8">
        <f ca="1">AM81+SUM($C93:AM93)</f>
        <v>-652197.88408013014</v>
      </c>
      <c r="AN95" s="8">
        <f ca="1">AN81+SUM($C93:AN93)</f>
        <v>-711539.58310706832</v>
      </c>
      <c r="AO95" s="8">
        <f ca="1">AO81+SUM($C93:AO93)</f>
        <v>-772364.82460967987</v>
      </c>
      <c r="AP95" s="8">
        <f ca="1">AP81+SUM($C93:AP93)</f>
        <v>-834710.69714985671</v>
      </c>
      <c r="AQ95" s="8">
        <f ca="1">AQ81+SUM($C93:AQ93)</f>
        <v>-898615.21650353796</v>
      </c>
      <c r="AR95" s="8">
        <f ca="1">AR81+SUM($C93:AR93)</f>
        <v>-964117.34884106112</v>
      </c>
      <c r="AS95" s="8">
        <f ca="1">AS81+SUM($C93:AS93)</f>
        <v>-1031257.0344870223</v>
      </c>
      <c r="AT95" s="8">
        <f ca="1">AT81+SUM($C93:AT93)</f>
        <v>-1100075.2122741325</v>
      </c>
      <c r="AU95" s="8">
        <f ca="1">AU81+SUM($C93:AU93)</f>
        <v>-1170613.8445059208</v>
      </c>
      <c r="AV95" s="8">
        <f ca="1">AV81+SUM($C93:AV93)</f>
        <v>-1242915.9425435036</v>
      </c>
      <c r="AW95" s="8">
        <f ca="1">AW81+SUM($C93:AW93)</f>
        <v>-1317025.593032026</v>
      </c>
    </row>
    <row r="96" spans="1:49" x14ac:dyDescent="0.2">
      <c r="A96" s="4" t="s">
        <v>84</v>
      </c>
      <c r="C96" s="8">
        <f t="shared" ref="C96:AM96" ca="1" si="154">MAX(C95+buffer,0)-MAX(C$81+buffer,0)</f>
        <v>0</v>
      </c>
      <c r="D96" s="8">
        <f t="shared" ca="1" si="154"/>
        <v>0</v>
      </c>
      <c r="E96" s="8">
        <f t="shared" ca="1" si="154"/>
        <v>0</v>
      </c>
      <c r="F96" s="8">
        <f t="shared" ca="1" si="154"/>
        <v>0</v>
      </c>
      <c r="G96" s="8">
        <f t="shared" ca="1" si="154"/>
        <v>0</v>
      </c>
      <c r="H96" s="8">
        <f t="shared" ca="1" si="154"/>
        <v>0</v>
      </c>
      <c r="I96" s="8">
        <f t="shared" ca="1" si="154"/>
        <v>0</v>
      </c>
      <c r="J96" s="8">
        <f t="shared" ca="1" si="154"/>
        <v>0</v>
      </c>
      <c r="K96" s="8">
        <f t="shared" ca="1" si="154"/>
        <v>0</v>
      </c>
      <c r="L96" s="8">
        <f t="shared" ca="1" si="154"/>
        <v>0</v>
      </c>
      <c r="M96" s="8">
        <f t="shared" ca="1" si="154"/>
        <v>0</v>
      </c>
      <c r="N96" s="8">
        <f t="shared" ca="1" si="154"/>
        <v>0</v>
      </c>
      <c r="O96" s="8">
        <f t="shared" ca="1" si="154"/>
        <v>0</v>
      </c>
      <c r="P96" s="8">
        <f t="shared" ca="1" si="154"/>
        <v>0</v>
      </c>
      <c r="Q96" s="8">
        <f t="shared" ca="1" si="154"/>
        <v>0</v>
      </c>
      <c r="R96" s="8">
        <f t="shared" ca="1" si="154"/>
        <v>397281.69123319484</v>
      </c>
      <c r="S96" s="8">
        <f t="shared" ca="1" si="154"/>
        <v>395472.93517872831</v>
      </c>
      <c r="T96" s="8">
        <f t="shared" ca="1" si="154"/>
        <v>344042.23795094318</v>
      </c>
      <c r="U96" s="8">
        <f t="shared" ca="1" si="154"/>
        <v>299124.06688099587</v>
      </c>
      <c r="V96" s="8">
        <f t="shared" ca="1" si="154"/>
        <v>253082.94153429984</v>
      </c>
      <c r="W96" s="8">
        <f t="shared" ca="1" si="154"/>
        <v>205890.78805393647</v>
      </c>
      <c r="X96" s="8">
        <f t="shared" ca="1" si="154"/>
        <v>157518.83073656395</v>
      </c>
      <c r="Y96" s="8">
        <f t="shared" ca="1" si="154"/>
        <v>107937.57448625716</v>
      </c>
      <c r="Z96" s="8">
        <f t="shared" ca="1" si="154"/>
        <v>57116.786829692777</v>
      </c>
      <c r="AA96" s="8">
        <f t="shared" ca="1" si="154"/>
        <v>5025.4794817141956</v>
      </c>
      <c r="AB96" s="8">
        <f t="shared" ca="1" si="154"/>
        <v>0</v>
      </c>
      <c r="AC96" s="8">
        <f t="shared" ca="1" si="154"/>
        <v>0</v>
      </c>
      <c r="AD96" s="8">
        <f t="shared" ca="1" si="154"/>
        <v>0</v>
      </c>
      <c r="AE96" s="8">
        <f t="shared" ca="1" si="154"/>
        <v>0</v>
      </c>
      <c r="AF96" s="8">
        <f t="shared" ca="1" si="154"/>
        <v>0</v>
      </c>
      <c r="AG96" s="8">
        <f t="shared" ca="1" si="154"/>
        <v>0</v>
      </c>
      <c r="AH96" s="8">
        <f t="shared" ca="1" si="154"/>
        <v>0</v>
      </c>
      <c r="AI96" s="8">
        <f t="shared" ca="1" si="154"/>
        <v>0</v>
      </c>
      <c r="AJ96" s="8">
        <f t="shared" ca="1" si="154"/>
        <v>0</v>
      </c>
      <c r="AK96" s="8">
        <f t="shared" ca="1" si="154"/>
        <v>0</v>
      </c>
      <c r="AL96" s="8">
        <f t="shared" ca="1" si="154"/>
        <v>0</v>
      </c>
      <c r="AM96" s="8">
        <f t="shared" ca="1" si="154"/>
        <v>0</v>
      </c>
      <c r="AN96" s="8">
        <f t="shared" ref="AN96:AV96" ca="1" si="155">MAX(AN95+buffer,0)-MAX(AN$81+buffer,0)</f>
        <v>0</v>
      </c>
      <c r="AO96" s="8">
        <f t="shared" ca="1" si="155"/>
        <v>0</v>
      </c>
      <c r="AP96" s="8">
        <f t="shared" ca="1" si="155"/>
        <v>0</v>
      </c>
      <c r="AQ96" s="8">
        <f t="shared" ca="1" si="155"/>
        <v>0</v>
      </c>
      <c r="AR96" s="8">
        <f t="shared" ca="1" si="155"/>
        <v>0</v>
      </c>
      <c r="AS96" s="8">
        <f t="shared" ca="1" si="155"/>
        <v>0</v>
      </c>
      <c r="AT96" s="8">
        <f t="shared" ca="1" si="155"/>
        <v>0</v>
      </c>
      <c r="AU96" s="8">
        <f t="shared" ca="1" si="155"/>
        <v>0</v>
      </c>
      <c r="AV96" s="8">
        <f t="shared" ca="1" si="155"/>
        <v>0</v>
      </c>
      <c r="AW96" s="8">
        <f t="shared" ref="AW96" ca="1" si="156">MAX(AW95+buffer,0)-MAX(AW$81+buffer,0)</f>
        <v>0</v>
      </c>
    </row>
    <row r="97" spans="1:49" x14ac:dyDescent="0.2">
      <c r="A97" s="4" t="s">
        <v>85</v>
      </c>
      <c r="C97" s="8">
        <f ca="1">C96*Inputs!$B$149</f>
        <v>0</v>
      </c>
      <c r="D97" s="8">
        <f ca="1">D96*Inputs!$B$149</f>
        <v>0</v>
      </c>
      <c r="E97" s="8">
        <f ca="1">E96*Inputs!$B$149</f>
        <v>0</v>
      </c>
      <c r="F97" s="8">
        <f ca="1">F96*Inputs!$B$149</f>
        <v>0</v>
      </c>
      <c r="G97" s="8">
        <f ca="1">G96*Inputs!$B$149</f>
        <v>0</v>
      </c>
      <c r="H97" s="8">
        <f ca="1">H96*Inputs!$B$149</f>
        <v>0</v>
      </c>
      <c r="I97" s="8">
        <f ca="1">I96*Inputs!$B$149</f>
        <v>0</v>
      </c>
      <c r="J97" s="8">
        <f ca="1">J96*Inputs!$B$149</f>
        <v>0</v>
      </c>
      <c r="K97" s="8">
        <f ca="1">K96*Inputs!$B$149</f>
        <v>0</v>
      </c>
      <c r="L97" s="8">
        <f ca="1">L96*Inputs!$B$149</f>
        <v>0</v>
      </c>
      <c r="M97" s="8">
        <f ca="1">M96*Inputs!$B$149</f>
        <v>0</v>
      </c>
      <c r="N97" s="8">
        <f ca="1">N96*Inputs!$B$149</f>
        <v>0</v>
      </c>
      <c r="O97" s="8">
        <f ca="1">O96*Inputs!$B$149</f>
        <v>0</v>
      </c>
      <c r="P97" s="8">
        <f ca="1">P96*Inputs!$B$149</f>
        <v>0</v>
      </c>
      <c r="Q97" s="8">
        <f ca="1">Q96*Inputs!$B$149</f>
        <v>0</v>
      </c>
      <c r="R97" s="8">
        <f ca="1">R96*Inputs!$B$149</f>
        <v>9932.0422808298717</v>
      </c>
      <c r="S97" s="8">
        <f ca="1">S96*Inputs!$B$149</f>
        <v>9886.8233794682092</v>
      </c>
      <c r="T97" s="8">
        <f ca="1">T96*Inputs!$B$149</f>
        <v>8601.0559487735791</v>
      </c>
      <c r="U97" s="8">
        <f ca="1">U96*Inputs!$B$149</f>
        <v>7478.1016720248972</v>
      </c>
      <c r="V97" s="8">
        <f ca="1">V96*Inputs!$B$149</f>
        <v>6327.0735383574965</v>
      </c>
      <c r="W97" s="8">
        <f ca="1">W96*Inputs!$B$149</f>
        <v>5147.2697013484121</v>
      </c>
      <c r="X97" s="8">
        <f ca="1">X96*Inputs!$B$149</f>
        <v>3937.970768414099</v>
      </c>
      <c r="Y97" s="8">
        <f ca="1">Y96*Inputs!$B$149</f>
        <v>2698.4393621564291</v>
      </c>
      <c r="Z97" s="8">
        <f ca="1">Z96*Inputs!$B$149</f>
        <v>1427.9196707423196</v>
      </c>
      <c r="AA97" s="8">
        <f ca="1">AA96*Inputs!$B$149</f>
        <v>125.6369870428549</v>
      </c>
      <c r="AB97" s="8">
        <f ca="1">AB96*Inputs!$B$149</f>
        <v>0</v>
      </c>
      <c r="AC97" s="8">
        <f ca="1">AC96*Inputs!$B$149</f>
        <v>0</v>
      </c>
      <c r="AD97" s="8">
        <f ca="1">AD96*Inputs!$B$149</f>
        <v>0</v>
      </c>
      <c r="AE97" s="8">
        <f ca="1">AE96*Inputs!$B$149</f>
        <v>0</v>
      </c>
      <c r="AF97" s="8">
        <f ca="1">AF96*Inputs!$B$149</f>
        <v>0</v>
      </c>
      <c r="AG97" s="8">
        <f ca="1">AG96*Inputs!$B$149</f>
        <v>0</v>
      </c>
      <c r="AH97" s="8">
        <f ca="1">AH96*Inputs!$B$149</f>
        <v>0</v>
      </c>
      <c r="AI97" s="8">
        <f ca="1">AI96*Inputs!$B$149</f>
        <v>0</v>
      </c>
      <c r="AJ97" s="8">
        <f ca="1">AJ96*Inputs!$B$149</f>
        <v>0</v>
      </c>
      <c r="AK97" s="8">
        <f ca="1">AK96*Inputs!$B$149</f>
        <v>0</v>
      </c>
      <c r="AL97" s="8">
        <f ca="1">AL96*Inputs!$B$149</f>
        <v>0</v>
      </c>
      <c r="AM97" s="8">
        <f ca="1">AM96*Inputs!$B$149</f>
        <v>0</v>
      </c>
      <c r="AN97" s="8">
        <f ca="1">AN96*Inputs!$B$149</f>
        <v>0</v>
      </c>
      <c r="AO97" s="8">
        <f ca="1">AO96*Inputs!$B$149</f>
        <v>0</v>
      </c>
      <c r="AP97" s="8">
        <f ca="1">AP96*Inputs!$B$149</f>
        <v>0</v>
      </c>
      <c r="AQ97" s="8">
        <f ca="1">AQ96*Inputs!$B$149</f>
        <v>0</v>
      </c>
      <c r="AR97" s="8">
        <f ca="1">AR96*Inputs!$B$149</f>
        <v>0</v>
      </c>
      <c r="AS97" s="8">
        <f ca="1">AS96*Inputs!$B$149</f>
        <v>0</v>
      </c>
      <c r="AT97" s="8">
        <f ca="1">AT96*Inputs!$B$149</f>
        <v>0</v>
      </c>
      <c r="AU97" s="8">
        <f ca="1">AU96*Inputs!$B$149</f>
        <v>0</v>
      </c>
      <c r="AV97" s="8">
        <f ca="1">AV96*Inputs!$B$149</f>
        <v>0</v>
      </c>
      <c r="AW97" s="8">
        <f ca="1">AW96*Inputs!$B$149</f>
        <v>0</v>
      </c>
    </row>
    <row r="98" spans="1:49" x14ac:dyDescent="0.2">
      <c r="A98" s="4" t="s">
        <v>168</v>
      </c>
      <c r="C98" s="8">
        <f ca="1">C95+SUM($C97:C97)</f>
        <v>184898.75</v>
      </c>
      <c r="D98" s="8">
        <f ca="1">D95+SUM($C97:D97)</f>
        <v>190464.1875</v>
      </c>
      <c r="E98" s="8">
        <f ca="1">E95+SUM($C97:E97)</f>
        <v>196735.69765625001</v>
      </c>
      <c r="F98" s="8">
        <f ca="1">F95+SUM($C97:F97)</f>
        <v>203754.49157812502</v>
      </c>
      <c r="G98" s="8">
        <f ca="1">G95+SUM($C97:G97)</f>
        <v>211563.68121130861</v>
      </c>
      <c r="H98" s="8">
        <f ca="1">H95+SUM($C97:H97)</f>
        <v>220208.35706995256</v>
      </c>
      <c r="I98" s="8">
        <f ca="1">I95+SUM($C97:I97)</f>
        <v>229735.66892084025</v>
      </c>
      <c r="J98" s="8">
        <f ca="1">J95+SUM($C97:J97)</f>
        <v>240194.90952617431</v>
      </c>
      <c r="K98" s="8">
        <f ca="1">K95+SUM($C97:K97)</f>
        <v>251637.60155532236</v>
      </c>
      <c r="L98" s="8">
        <f ca="1">L95+SUM($C97:L97)</f>
        <v>264117.58777969546</v>
      </c>
      <c r="M98" s="8">
        <f ca="1">M95+SUM($C97:M97)</f>
        <v>277691.1246689033</v>
      </c>
      <c r="N98" s="8">
        <f ca="1">N95+SUM($C97:N97)</f>
        <v>208324.77186392489</v>
      </c>
      <c r="O98" s="8">
        <f ca="1">O95+SUM($C97:O97)</f>
        <v>135547.0444657795</v>
      </c>
      <c r="P98" s="8">
        <f ca="1">P95+SUM($C97:P97)</f>
        <v>59230.727715311907</v>
      </c>
      <c r="Q98" s="8">
        <f ca="1">Q95+SUM($C97:Q97)</f>
        <v>0</v>
      </c>
      <c r="R98" s="8">
        <f ca="1">R95+SUM($C97:R97)</f>
        <v>407213.7335140247</v>
      </c>
      <c r="S98" s="8">
        <f ca="1">S95+SUM($C97:S97)</f>
        <v>395291.8008390264</v>
      </c>
      <c r="T98" s="8">
        <f ca="1">T95+SUM($C97:T97)</f>
        <v>352462.15956001484</v>
      </c>
      <c r="U98" s="8">
        <f ca="1">U95+SUM($C97:U97)</f>
        <v>315022.09016209241</v>
      </c>
      <c r="V98" s="8">
        <f ca="1">V95+SUM($C97:V97)</f>
        <v>275308.03835375386</v>
      </c>
      <c r="W98" s="8">
        <f ca="1">W95+SUM($C97:W97)</f>
        <v>233263.15457473893</v>
      </c>
      <c r="X98" s="8">
        <f ca="1">X95+SUM($C97:X97)</f>
        <v>188829.1680257805</v>
      </c>
      <c r="Y98" s="8">
        <f ca="1">Y95+SUM($C97:Y97)</f>
        <v>141946.35113763015</v>
      </c>
      <c r="Z98" s="8">
        <f ca="1">Z95+SUM($C97:Z97)</f>
        <v>92553.48315180809</v>
      </c>
      <c r="AA98" s="8">
        <f ca="1">AA95+SUM($C97:AA97)</f>
        <v>40587.812790872355</v>
      </c>
      <c r="AB98" s="8">
        <f ca="1">AB95+SUM($C97:AB97)</f>
        <v>-12805.777240805619</v>
      </c>
      <c r="AC98" s="8">
        <f ca="1">AC95+SUM($C97:AC97)</f>
        <v>-67534.20702327555</v>
      </c>
      <c r="AD98" s="8">
        <f ca="1">AD95+SUM($C97:AD97)</f>
        <v>-123630.84755030723</v>
      </c>
      <c r="AE98" s="8">
        <f ca="1">AE95+SUM($C97:AE97)</f>
        <v>-171147.42899672867</v>
      </c>
      <c r="AF98" s="8">
        <f ca="1">AF95+SUM($C97:AF97)</f>
        <v>-219851.92497931066</v>
      </c>
      <c r="AG98" s="8">
        <f ca="1">AG95+SUM($C97:AG97)</f>
        <v>-269774.03336145723</v>
      </c>
      <c r="AH98" s="8">
        <f ca="1">AH95+SUM($C97:AH97)</f>
        <v>-320944.19445315743</v>
      </c>
      <c r="AI98" s="8">
        <f ca="1">AI95+SUM($C97:AI97)</f>
        <v>-373393.60957215016</v>
      </c>
      <c r="AJ98" s="8">
        <f ca="1">AJ95+SUM($C97:AJ97)</f>
        <v>-427154.26006911776</v>
      </c>
      <c r="AK98" s="8">
        <f ca="1">AK95+SUM($C97:AK97)</f>
        <v>-482258.9268285096</v>
      </c>
      <c r="AL98" s="8">
        <f ca="1">AL95+SUM($C97:AL97)</f>
        <v>-538741.2102568862</v>
      </c>
      <c r="AM98" s="8">
        <f ca="1">AM95+SUM($C97:AM97)</f>
        <v>-596635.55077097192</v>
      </c>
      <c r="AN98" s="8">
        <f ca="1">AN95+SUM($C97:AN97)</f>
        <v>-655977.24979791022</v>
      </c>
      <c r="AO98" s="8">
        <f ca="1">AO95+SUM($C97:AO97)</f>
        <v>-716802.49130052165</v>
      </c>
      <c r="AP98" s="8">
        <f ca="1">AP95+SUM($C97:AP97)</f>
        <v>-779148.3638406985</v>
      </c>
      <c r="AQ98" s="8">
        <f ca="1">AQ95+SUM($C97:AQ97)</f>
        <v>-843052.88319437974</v>
      </c>
      <c r="AR98" s="8">
        <f ca="1">AR95+SUM($C97:AR97)</f>
        <v>-908555.0155319029</v>
      </c>
      <c r="AS98" s="8">
        <f ca="1">AS95+SUM($C97:AS97)</f>
        <v>-975694.7011778641</v>
      </c>
      <c r="AT98" s="8">
        <f ca="1">AT95+SUM($C97:AT97)</f>
        <v>-1044512.8789649743</v>
      </c>
      <c r="AU98" s="8">
        <f ca="1">AU95+SUM($C97:AU97)</f>
        <v>-1115051.5111967626</v>
      </c>
      <c r="AV98" s="8">
        <f ca="1">AV95+SUM($C97:AV97)</f>
        <v>-1187353.6092343454</v>
      </c>
      <c r="AW98" s="8">
        <f ca="1">AW95+SUM($C97:AW97)</f>
        <v>-1261463.2597228677</v>
      </c>
    </row>
    <row r="99" spans="1:49" x14ac:dyDescent="0.2">
      <c r="A99" s="4" t="s">
        <v>21</v>
      </c>
      <c r="C99" s="8">
        <f ca="1">IF(C98&lt;0,C95,0)</f>
        <v>0</v>
      </c>
      <c r="D99" s="8">
        <f ca="1">IF(D98+SUM($C99:C99)&lt;0,-(D98+SUM($C99:C99)),0)</f>
        <v>0</v>
      </c>
      <c r="E99" s="8">
        <f ca="1">IF(E98+SUM($C99:D99)&lt;0,-(E98+SUM($C99:D99)),0)</f>
        <v>0</v>
      </c>
      <c r="F99" s="8">
        <f ca="1">IF(F98+SUM($C99:E99)&lt;0,-(F98+SUM($C99:E99)),0)</f>
        <v>0</v>
      </c>
      <c r="G99" s="8">
        <f ca="1">IF(G98+SUM($C99:F99)&lt;0,-(G98+SUM($C99:F99)),0)</f>
        <v>0</v>
      </c>
      <c r="H99" s="8">
        <f ca="1">IF(H98+SUM($C99:G99)&lt;0,-(H98+SUM($C99:G99)),0)</f>
        <v>0</v>
      </c>
      <c r="I99" s="8">
        <f ca="1">IF(I98+SUM($C99:H99)&lt;0,-(I98+SUM($C99:H99)),0)</f>
        <v>0</v>
      </c>
      <c r="J99" s="8">
        <f ca="1">IF(J98+SUM($C99:I99)&lt;0,-(J98+SUM($C99:I99)),0)</f>
        <v>0</v>
      </c>
      <c r="K99" s="8">
        <f ca="1">IF(K98+SUM($C99:J99)&lt;0,-(K98+SUM($C99:J99)),0)</f>
        <v>0</v>
      </c>
      <c r="L99" s="8">
        <f ca="1">IF(L98+SUM($C99:K99)&lt;0,-(L98+SUM($C99:K99)),0)</f>
        <v>0</v>
      </c>
      <c r="M99" s="8">
        <f ca="1">IF(M98+SUM($C99:L99)&lt;0,-(M98+SUM($C99:L99)),0)</f>
        <v>0</v>
      </c>
      <c r="N99" s="8">
        <f ca="1">IF(N98+SUM($C99:M99)&lt;0,-(N98+SUM($C99:M99)),0)</f>
        <v>0</v>
      </c>
      <c r="O99" s="8">
        <f ca="1">IF(O98+SUM($C99:N99)&lt;0,-(O98+SUM($C99:N99)),0)</f>
        <v>0</v>
      </c>
      <c r="P99" s="8">
        <f ca="1">IF(P98+SUM($C99:O99)&lt;0,-(P98+SUM($C99:O99)),0)</f>
        <v>0</v>
      </c>
      <c r="Q99" s="8">
        <f ca="1">IF(Q98+SUM($C99:P99)&lt;0,-(Q98+SUM($C99:P99)),0)</f>
        <v>0</v>
      </c>
      <c r="R99" s="8">
        <f ca="1">IF(R98+SUM($C99:Q99)&lt;0,-(R98+SUM($C99:Q99)),0)</f>
        <v>0</v>
      </c>
      <c r="S99" s="8">
        <f ca="1">IF(S98+SUM($C99:R99)&lt;0,-(S98+SUM($C99:R99)),0)</f>
        <v>0</v>
      </c>
      <c r="T99" s="8">
        <f ca="1">IF(T98+SUM($C99:S99)&lt;0,-(T98+SUM($C99:S99)),0)</f>
        <v>0</v>
      </c>
      <c r="U99" s="8">
        <f ca="1">IF(U98+SUM($C99:T99)&lt;0,-(U98+SUM($C99:T99)),0)</f>
        <v>0</v>
      </c>
      <c r="V99" s="8">
        <f ca="1">IF(V98+SUM($C99:U99)&lt;0,-(V98+SUM($C99:U99)),0)</f>
        <v>0</v>
      </c>
      <c r="W99" s="8">
        <f ca="1">IF(W98+SUM($C99:V99)&lt;0,-(W98+SUM($C99:V99)),0)</f>
        <v>0</v>
      </c>
      <c r="X99" s="8">
        <f ca="1">IF(X98+SUM($C99:W99)&lt;0,-(X98+SUM($C99:W99)),0)</f>
        <v>0</v>
      </c>
      <c r="Y99" s="8">
        <f ca="1">IF(Y98+SUM($C99:X99)&lt;0,-(Y98+SUM($C99:X99)),0)</f>
        <v>0</v>
      </c>
      <c r="Z99" s="8">
        <f ca="1">IF(Z98+SUM($C99:Y99)&lt;0,-(Z98+SUM($C99:Y99)),0)</f>
        <v>0</v>
      </c>
      <c r="AA99" s="8">
        <f ca="1">IF(AA98+SUM($C99:Z99)&lt;0,-(AA98+SUM($C99:Z99)),0)</f>
        <v>0</v>
      </c>
      <c r="AB99" s="8">
        <f ca="1">IF(AB98+SUM($C99:AA99)&lt;0,-(AB98+SUM($C99:AA99)),0)</f>
        <v>12805.777240805619</v>
      </c>
      <c r="AC99" s="8">
        <f ca="1">IF(AC98+SUM($C99:AB99)&lt;0,-(AC98+SUM($C99:AB99)),0)</f>
        <v>54728.429782469932</v>
      </c>
      <c r="AD99" s="8">
        <f ca="1">IF(AD98+SUM($C99:AC99)&lt;0,-(AD98+SUM($C99:AC99)),0)</f>
        <v>56096.640527031675</v>
      </c>
      <c r="AE99" s="8">
        <f ca="1">IF(AE98+SUM($C99:AD99)&lt;0,-(AE98+SUM($C99:AD99)),0)</f>
        <v>47516.581446421449</v>
      </c>
      <c r="AF99" s="8">
        <f ca="1">IF(AF98+SUM($C99:AE99)&lt;0,-(AF98+SUM($C99:AE99)),0)</f>
        <v>48704.495982581982</v>
      </c>
      <c r="AG99" s="8">
        <f ca="1">IF(AG98+SUM($C99:AF99)&lt;0,-(AG98+SUM($C99:AF99)),0)</f>
        <v>49922.108382146573</v>
      </c>
      <c r="AH99" s="8">
        <f ca="1">IF(AH98+SUM($C99:AG99)&lt;0,-(AH98+SUM($C99:AG99)),0)</f>
        <v>51170.161091700196</v>
      </c>
      <c r="AI99" s="8">
        <f ca="1">IF(AI98+SUM($C99:AH99)&lt;0,-(AI98+SUM($C99:AH99)),0)</f>
        <v>52449.415118992736</v>
      </c>
      <c r="AJ99" s="8">
        <f ca="1">IF(AJ98+SUM($C99:AI99)&lt;0,-(AJ98+SUM($C99:AI99)),0)</f>
        <v>53760.650496967603</v>
      </c>
      <c r="AK99" s="8">
        <f ca="1">IF(AK98+SUM($C99:AJ99)&lt;0,-(AK98+SUM($C99:AJ99)),0)</f>
        <v>55104.666759391839</v>
      </c>
      <c r="AL99" s="8">
        <f ca="1">IF(AL98+SUM($C99:AK99)&lt;0,-(AL98+SUM($C99:AK99)),0)</f>
        <v>56482.283428376599</v>
      </c>
      <c r="AM99" s="8">
        <f ca="1">IF(AM98+SUM($C99:AL99)&lt;0,-(AM98+SUM($C99:AL99)),0)</f>
        <v>57894.340514085721</v>
      </c>
      <c r="AN99" s="8">
        <f ca="1">IF(AN98+SUM($C99:AM99)&lt;0,-(AN98+SUM($C99:AM99)),0)</f>
        <v>59341.699026938295</v>
      </c>
      <c r="AO99" s="8">
        <f ca="1">IF(AO98+SUM($C99:AN99)&lt;0,-(AO98+SUM($C99:AN99)),0)</f>
        <v>60825.241502611432</v>
      </c>
      <c r="AP99" s="8">
        <f ca="1">IF(AP98+SUM($C99:AO99)&lt;0,-(AP98+SUM($C99:AO99)),0)</f>
        <v>62345.872540176846</v>
      </c>
      <c r="AQ99" s="8">
        <f ca="1">IF(AQ98+SUM($C99:AP99)&lt;0,-(AQ98+SUM($C99:AP99)),0)</f>
        <v>63904.519353681244</v>
      </c>
      <c r="AR99" s="8">
        <f ca="1">IF(AR98+SUM($C99:AQ99)&lt;0,-(AR98+SUM($C99:AQ99)),0)</f>
        <v>65502.132337523159</v>
      </c>
      <c r="AS99" s="8">
        <f ca="1">IF(AS98+SUM($C99:AR99)&lt;0,-(AS98+SUM($C99:AR99)),0)</f>
        <v>67139.685645961203</v>
      </c>
      <c r="AT99" s="8">
        <f ca="1">IF(AT98+SUM($C99:AS99)&lt;0,-(AT98+SUM($C99:AS99)),0)</f>
        <v>68818.177787110209</v>
      </c>
      <c r="AU99" s="8">
        <f ca="1">IF(AU98+SUM($C99:AT99)&lt;0,-(AU98+SUM($C99:AT99)),0)</f>
        <v>70538.632231788244</v>
      </c>
      <c r="AV99" s="8">
        <f ca="1">IF(AV98+SUM($C99:AU99)&lt;0,-(AV98+SUM($C99:AU99)),0)</f>
        <v>72302.098037582822</v>
      </c>
      <c r="AW99" s="8">
        <f ca="1">IF(AW98+SUM($C99:AV99)&lt;0,-(AW98+SUM($C99:AV99)),0)</f>
        <v>74109.650488522369</v>
      </c>
    </row>
    <row r="100" spans="1:49" x14ac:dyDescent="0.2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">
      <c r="A101" s="29" t="str">
        <f>IF(Inputs!$B$165=6,IFERROR(_xlfn.XLOOKUP($B101,Inputs!$B$166:$B$168,Inputs!$A$166:$A$168,,0,1),""),IFERROR(_xlfn.XLOOKUP($B101,Inputs!$C$166:$C$168,Inputs!$A$166:$A$168,,0,1),""))</f>
        <v/>
      </c>
      <c r="B101" s="31">
        <v>2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">
      <c r="A102" s="4" t="s">
        <v>23</v>
      </c>
      <c r="C102" s="8">
        <f>IFERROR(VLOOKUP($A101,$A$52:$H$66,C$1+2,FALSE),0)</f>
        <v>0</v>
      </c>
      <c r="D102" s="8">
        <f ca="1">C105</f>
        <v>0</v>
      </c>
      <c r="E102" s="8">
        <f t="shared" ref="E102:AM102" ca="1" si="157">D105</f>
        <v>0</v>
      </c>
      <c r="F102" s="8">
        <f t="shared" ca="1" si="157"/>
        <v>0</v>
      </c>
      <c r="G102" s="8">
        <f t="shared" ca="1" si="157"/>
        <v>0</v>
      </c>
      <c r="H102" s="8">
        <f t="shared" ca="1" si="157"/>
        <v>0</v>
      </c>
      <c r="I102" s="8">
        <f t="shared" ca="1" si="157"/>
        <v>0</v>
      </c>
      <c r="J102" s="8">
        <f t="shared" ca="1" si="157"/>
        <v>0</v>
      </c>
      <c r="K102" s="8">
        <f t="shared" ca="1" si="157"/>
        <v>0</v>
      </c>
      <c r="L102" s="8">
        <f t="shared" ca="1" si="157"/>
        <v>0</v>
      </c>
      <c r="M102" s="8">
        <f t="shared" ca="1" si="157"/>
        <v>0</v>
      </c>
      <c r="N102" s="8">
        <f t="shared" ca="1" si="157"/>
        <v>0</v>
      </c>
      <c r="O102" s="8">
        <f t="shared" ca="1" si="157"/>
        <v>0</v>
      </c>
      <c r="P102" s="8">
        <f t="shared" ca="1" si="157"/>
        <v>0</v>
      </c>
      <c r="Q102" s="8">
        <f t="shared" ca="1" si="157"/>
        <v>0</v>
      </c>
      <c r="R102" s="8">
        <f t="shared" ca="1" si="157"/>
        <v>0</v>
      </c>
      <c r="S102" s="8">
        <f t="shared" ca="1" si="157"/>
        <v>0</v>
      </c>
      <c r="T102" s="8">
        <f t="shared" ca="1" si="157"/>
        <v>0</v>
      </c>
      <c r="U102" s="8">
        <f t="shared" ca="1" si="157"/>
        <v>0</v>
      </c>
      <c r="V102" s="8">
        <f t="shared" ca="1" si="157"/>
        <v>0</v>
      </c>
      <c r="W102" s="8">
        <f t="shared" ca="1" si="157"/>
        <v>0</v>
      </c>
      <c r="X102" s="8">
        <f t="shared" ca="1" si="157"/>
        <v>0</v>
      </c>
      <c r="Y102" s="8">
        <f t="shared" ca="1" si="157"/>
        <v>0</v>
      </c>
      <c r="Z102" s="8">
        <f t="shared" ca="1" si="157"/>
        <v>0</v>
      </c>
      <c r="AA102" s="8">
        <f t="shared" ca="1" si="157"/>
        <v>0</v>
      </c>
      <c r="AB102" s="8">
        <f t="shared" ca="1" si="157"/>
        <v>0</v>
      </c>
      <c r="AC102" s="8">
        <f t="shared" ca="1" si="157"/>
        <v>0</v>
      </c>
      <c r="AD102" s="8">
        <f t="shared" ca="1" si="157"/>
        <v>0</v>
      </c>
      <c r="AE102" s="8">
        <f t="shared" ca="1" si="157"/>
        <v>0</v>
      </c>
      <c r="AF102" s="8">
        <f t="shared" ca="1" si="157"/>
        <v>0</v>
      </c>
      <c r="AG102" s="8">
        <f t="shared" ca="1" si="157"/>
        <v>0</v>
      </c>
      <c r="AH102" s="8">
        <f t="shared" ca="1" si="157"/>
        <v>0</v>
      </c>
      <c r="AI102" s="8">
        <f t="shared" ca="1" si="157"/>
        <v>0</v>
      </c>
      <c r="AJ102" s="8">
        <f t="shared" ca="1" si="157"/>
        <v>0</v>
      </c>
      <c r="AK102" s="8">
        <f t="shared" ca="1" si="157"/>
        <v>0</v>
      </c>
      <c r="AL102" s="8">
        <f t="shared" ca="1" si="157"/>
        <v>0</v>
      </c>
      <c r="AM102" s="8">
        <f t="shared" ca="1" si="157"/>
        <v>0</v>
      </c>
      <c r="AN102" s="8">
        <f t="shared" ref="AN102" ca="1" si="158">AM105</f>
        <v>0</v>
      </c>
      <c r="AO102" s="8">
        <f t="shared" ref="AO102" ca="1" si="159">AN105</f>
        <v>0</v>
      </c>
      <c r="AP102" s="8">
        <f t="shared" ref="AP102" ca="1" si="160">AO105</f>
        <v>0</v>
      </c>
      <c r="AQ102" s="8">
        <f t="shared" ref="AQ102" ca="1" si="161">AP105</f>
        <v>0</v>
      </c>
      <c r="AR102" s="8">
        <f t="shared" ref="AR102" ca="1" si="162">AQ105</f>
        <v>0</v>
      </c>
      <c r="AS102" s="8">
        <f t="shared" ref="AS102" ca="1" si="163">AR105</f>
        <v>0</v>
      </c>
      <c r="AT102" s="8">
        <f t="shared" ref="AT102" ca="1" si="164">AS105</f>
        <v>0</v>
      </c>
      <c r="AU102" s="8">
        <f t="shared" ref="AU102" ca="1" si="165">AT105</f>
        <v>0</v>
      </c>
      <c r="AV102" s="8">
        <f t="shared" ref="AV102:AW102" ca="1" si="166">AU105</f>
        <v>0</v>
      </c>
      <c r="AW102" s="8">
        <f t="shared" ca="1" si="166"/>
        <v>0</v>
      </c>
    </row>
    <row r="103" spans="1:49" x14ac:dyDescent="0.2">
      <c r="A103" s="4" t="s">
        <v>24</v>
      </c>
      <c r="C103" s="8">
        <f ca="1">-IF(SUM(C99:D99)&gt;0,C102,0)</f>
        <v>0</v>
      </c>
      <c r="D103" s="8">
        <f ca="1">-IF(E99&gt;0,D102,0)</f>
        <v>0</v>
      </c>
      <c r="E103" s="8">
        <f ca="1">-IF(F99&gt;0,E102,0)</f>
        <v>0</v>
      </c>
      <c r="F103" s="8">
        <f ca="1">-IF(G99&gt;0,F102,0)</f>
        <v>0</v>
      </c>
      <c r="G103" s="8">
        <f t="shared" ref="G103:AM103" ca="1" si="167">-IF(H99&gt;0,G102,0)</f>
        <v>0</v>
      </c>
      <c r="H103" s="8">
        <f t="shared" ca="1" si="167"/>
        <v>0</v>
      </c>
      <c r="I103" s="8">
        <f t="shared" ca="1" si="167"/>
        <v>0</v>
      </c>
      <c r="J103" s="8">
        <f t="shared" ca="1" si="167"/>
        <v>0</v>
      </c>
      <c r="K103" s="8">
        <f t="shared" ca="1" si="167"/>
        <v>0</v>
      </c>
      <c r="L103" s="8">
        <f t="shared" ca="1" si="167"/>
        <v>0</v>
      </c>
      <c r="M103" s="8">
        <f t="shared" ca="1" si="167"/>
        <v>0</v>
      </c>
      <c r="N103" s="8">
        <f t="shared" ca="1" si="167"/>
        <v>0</v>
      </c>
      <c r="O103" s="8">
        <f t="shared" ca="1" si="167"/>
        <v>0</v>
      </c>
      <c r="P103" s="8">
        <f t="shared" ca="1" si="167"/>
        <v>0</v>
      </c>
      <c r="Q103" s="8">
        <f t="shared" ca="1" si="167"/>
        <v>0</v>
      </c>
      <c r="R103" s="8">
        <f t="shared" ca="1" si="167"/>
        <v>0</v>
      </c>
      <c r="S103" s="8">
        <f t="shared" ca="1" si="167"/>
        <v>0</v>
      </c>
      <c r="T103" s="8">
        <f t="shared" ca="1" si="167"/>
        <v>0</v>
      </c>
      <c r="U103" s="8">
        <f t="shared" ca="1" si="167"/>
        <v>0</v>
      </c>
      <c r="V103" s="8">
        <f t="shared" ca="1" si="167"/>
        <v>0</v>
      </c>
      <c r="W103" s="8">
        <f t="shared" ca="1" si="167"/>
        <v>0</v>
      </c>
      <c r="X103" s="8">
        <f t="shared" ca="1" si="167"/>
        <v>0</v>
      </c>
      <c r="Y103" s="8">
        <f t="shared" ca="1" si="167"/>
        <v>0</v>
      </c>
      <c r="Z103" s="8">
        <f t="shared" ca="1" si="167"/>
        <v>0</v>
      </c>
      <c r="AA103" s="8">
        <f t="shared" ca="1" si="167"/>
        <v>0</v>
      </c>
      <c r="AB103" s="8">
        <f t="shared" ca="1" si="167"/>
        <v>0</v>
      </c>
      <c r="AC103" s="8">
        <f t="shared" ca="1" si="167"/>
        <v>0</v>
      </c>
      <c r="AD103" s="8">
        <f t="shared" ca="1" si="167"/>
        <v>0</v>
      </c>
      <c r="AE103" s="8">
        <f t="shared" ca="1" si="167"/>
        <v>0</v>
      </c>
      <c r="AF103" s="8">
        <f t="shared" ca="1" si="167"/>
        <v>0</v>
      </c>
      <c r="AG103" s="8">
        <f t="shared" ca="1" si="167"/>
        <v>0</v>
      </c>
      <c r="AH103" s="8">
        <f t="shared" ca="1" si="167"/>
        <v>0</v>
      </c>
      <c r="AI103" s="8">
        <f t="shared" ca="1" si="167"/>
        <v>0</v>
      </c>
      <c r="AJ103" s="8">
        <f t="shared" ca="1" si="167"/>
        <v>0</v>
      </c>
      <c r="AK103" s="8">
        <f t="shared" ca="1" si="167"/>
        <v>0</v>
      </c>
      <c r="AL103" s="8">
        <f t="shared" ca="1" si="167"/>
        <v>0</v>
      </c>
      <c r="AM103" s="8">
        <f t="shared" ca="1" si="167"/>
        <v>0</v>
      </c>
      <c r="AN103" s="8">
        <f t="shared" ref="AN103" ca="1" si="168">-IF(AO99&gt;0,AN102,0)</f>
        <v>0</v>
      </c>
      <c r="AO103" s="8">
        <f t="shared" ref="AO103" ca="1" si="169">-IF(AP99&gt;0,AO102,0)</f>
        <v>0</v>
      </c>
      <c r="AP103" s="8">
        <f t="shared" ref="AP103" ca="1" si="170">-IF(AQ99&gt;0,AP102,0)</f>
        <v>0</v>
      </c>
      <c r="AQ103" s="8">
        <f t="shared" ref="AQ103" ca="1" si="171">-IF(AR99&gt;0,AQ102,0)</f>
        <v>0</v>
      </c>
      <c r="AR103" s="8">
        <f t="shared" ref="AR103" ca="1" si="172">-IF(AS99&gt;0,AR102,0)</f>
        <v>0</v>
      </c>
      <c r="AS103" s="8">
        <f t="shared" ref="AS103" ca="1" si="173">-IF(AT99&gt;0,AS102,0)</f>
        <v>0</v>
      </c>
      <c r="AT103" s="8">
        <f t="shared" ref="AT103" ca="1" si="174">-IF(AU99&gt;0,AT102,0)</f>
        <v>0</v>
      </c>
      <c r="AU103" s="8">
        <f t="shared" ref="AU103" ca="1" si="175">-IF(AV99&gt;0,AU102,0)</f>
        <v>0</v>
      </c>
      <c r="AV103" s="8">
        <f t="shared" ref="AV103:AW103" ca="1" si="176">-IF(AW99&gt;0,AV102,0)</f>
        <v>0</v>
      </c>
      <c r="AW103" s="8">
        <f t="shared" si="176"/>
        <v>0</v>
      </c>
    </row>
    <row r="104" spans="1:49" x14ac:dyDescent="0.2">
      <c r="A104" s="4" t="s">
        <v>25</v>
      </c>
      <c r="C104" s="8">
        <v>0</v>
      </c>
      <c r="D104" s="8">
        <f t="shared" ref="D104:G104" ca="1" si="177">SUM(D102:D103)*princ</f>
        <v>0</v>
      </c>
      <c r="E104" s="8">
        <f t="shared" ca="1" si="177"/>
        <v>0</v>
      </c>
      <c r="F104" s="8">
        <f t="shared" ca="1" si="177"/>
        <v>0</v>
      </c>
      <c r="G104" s="8">
        <f t="shared" ca="1" si="177"/>
        <v>0</v>
      </c>
      <c r="H104" s="8">
        <f t="shared" ref="H104:AM104" ca="1" si="178">SUM(H102:H103)*princ</f>
        <v>0</v>
      </c>
      <c r="I104" s="8">
        <f t="shared" ca="1" si="178"/>
        <v>0</v>
      </c>
      <c r="J104" s="8">
        <f t="shared" ca="1" si="178"/>
        <v>0</v>
      </c>
      <c r="K104" s="8">
        <f t="shared" ca="1" si="178"/>
        <v>0</v>
      </c>
      <c r="L104" s="8">
        <f t="shared" ca="1" si="178"/>
        <v>0</v>
      </c>
      <c r="M104" s="8">
        <f t="shared" ca="1" si="178"/>
        <v>0</v>
      </c>
      <c r="N104" s="8">
        <f t="shared" ca="1" si="178"/>
        <v>0</v>
      </c>
      <c r="O104" s="8">
        <f t="shared" ca="1" si="178"/>
        <v>0</v>
      </c>
      <c r="P104" s="8">
        <f t="shared" ca="1" si="178"/>
        <v>0</v>
      </c>
      <c r="Q104" s="8">
        <f t="shared" ca="1" si="178"/>
        <v>0</v>
      </c>
      <c r="R104" s="8">
        <f t="shared" ca="1" si="178"/>
        <v>0</v>
      </c>
      <c r="S104" s="8">
        <f t="shared" ca="1" si="178"/>
        <v>0</v>
      </c>
      <c r="T104" s="8">
        <f t="shared" ca="1" si="178"/>
        <v>0</v>
      </c>
      <c r="U104" s="8">
        <f t="shared" ca="1" si="178"/>
        <v>0</v>
      </c>
      <c r="V104" s="8">
        <f t="shared" ca="1" si="178"/>
        <v>0</v>
      </c>
      <c r="W104" s="8">
        <f t="shared" ca="1" si="178"/>
        <v>0</v>
      </c>
      <c r="X104" s="8">
        <f t="shared" ca="1" si="178"/>
        <v>0</v>
      </c>
      <c r="Y104" s="8">
        <f t="shared" ca="1" si="178"/>
        <v>0</v>
      </c>
      <c r="Z104" s="8">
        <f t="shared" ca="1" si="178"/>
        <v>0</v>
      </c>
      <c r="AA104" s="8">
        <f t="shared" ca="1" si="178"/>
        <v>0</v>
      </c>
      <c r="AB104" s="8">
        <f t="shared" ca="1" si="178"/>
        <v>0</v>
      </c>
      <c r="AC104" s="8">
        <f t="shared" ca="1" si="178"/>
        <v>0</v>
      </c>
      <c r="AD104" s="8">
        <f t="shared" ca="1" si="178"/>
        <v>0</v>
      </c>
      <c r="AE104" s="8">
        <f t="shared" ca="1" si="178"/>
        <v>0</v>
      </c>
      <c r="AF104" s="8">
        <f t="shared" ca="1" si="178"/>
        <v>0</v>
      </c>
      <c r="AG104" s="8">
        <f t="shared" ca="1" si="178"/>
        <v>0</v>
      </c>
      <c r="AH104" s="8">
        <f t="shared" ca="1" si="178"/>
        <v>0</v>
      </c>
      <c r="AI104" s="8">
        <f t="shared" ca="1" si="178"/>
        <v>0</v>
      </c>
      <c r="AJ104" s="8">
        <f t="shared" ca="1" si="178"/>
        <v>0</v>
      </c>
      <c r="AK104" s="8">
        <f t="shared" ca="1" si="178"/>
        <v>0</v>
      </c>
      <c r="AL104" s="8">
        <f t="shared" ca="1" si="178"/>
        <v>0</v>
      </c>
      <c r="AM104" s="8">
        <f t="shared" ca="1" si="178"/>
        <v>0</v>
      </c>
      <c r="AN104" s="8">
        <f t="shared" ref="AN104:AV104" ca="1" si="179">SUM(AN102:AN103)*princ</f>
        <v>0</v>
      </c>
      <c r="AO104" s="8">
        <f t="shared" ca="1" si="179"/>
        <v>0</v>
      </c>
      <c r="AP104" s="8">
        <f t="shared" ca="1" si="179"/>
        <v>0</v>
      </c>
      <c r="AQ104" s="8">
        <f t="shared" ca="1" si="179"/>
        <v>0</v>
      </c>
      <c r="AR104" s="8">
        <f t="shared" ca="1" si="179"/>
        <v>0</v>
      </c>
      <c r="AS104" s="8">
        <f t="shared" ca="1" si="179"/>
        <v>0</v>
      </c>
      <c r="AT104" s="8">
        <f t="shared" ca="1" si="179"/>
        <v>0</v>
      </c>
      <c r="AU104" s="8">
        <f t="shared" ca="1" si="179"/>
        <v>0</v>
      </c>
      <c r="AV104" s="8">
        <f t="shared" ca="1" si="179"/>
        <v>0</v>
      </c>
      <c r="AW104" s="8">
        <f t="shared" ref="AW104" ca="1" si="180">SUM(AW102:AW103)*princ</f>
        <v>0</v>
      </c>
    </row>
    <row r="105" spans="1:49" x14ac:dyDescent="0.2">
      <c r="A105" s="4" t="s">
        <v>26</v>
      </c>
      <c r="C105" s="8">
        <f ca="1">SUM(C102:C104)</f>
        <v>0</v>
      </c>
      <c r="D105" s="8">
        <f t="shared" ref="D105:G105" ca="1" si="181">SUM(D102:D104)</f>
        <v>0</v>
      </c>
      <c r="E105" s="8">
        <f t="shared" ca="1" si="181"/>
        <v>0</v>
      </c>
      <c r="F105" s="8">
        <f t="shared" ca="1" si="181"/>
        <v>0</v>
      </c>
      <c r="G105" s="8">
        <f t="shared" ca="1" si="181"/>
        <v>0</v>
      </c>
      <c r="H105" s="8">
        <f t="shared" ref="H105:AM105" ca="1" si="182">SUM(H102:H104)</f>
        <v>0</v>
      </c>
      <c r="I105" s="8">
        <f t="shared" ca="1" si="182"/>
        <v>0</v>
      </c>
      <c r="J105" s="8">
        <f t="shared" ca="1" si="182"/>
        <v>0</v>
      </c>
      <c r="K105" s="8">
        <f t="shared" ca="1" si="182"/>
        <v>0</v>
      </c>
      <c r="L105" s="8">
        <f t="shared" ca="1" si="182"/>
        <v>0</v>
      </c>
      <c r="M105" s="8">
        <f t="shared" ca="1" si="182"/>
        <v>0</v>
      </c>
      <c r="N105" s="8">
        <f t="shared" ca="1" si="182"/>
        <v>0</v>
      </c>
      <c r="O105" s="8">
        <f t="shared" ca="1" si="182"/>
        <v>0</v>
      </c>
      <c r="P105" s="8">
        <f t="shared" ca="1" si="182"/>
        <v>0</v>
      </c>
      <c r="Q105" s="8">
        <f t="shared" ca="1" si="182"/>
        <v>0</v>
      </c>
      <c r="R105" s="8">
        <f t="shared" ca="1" si="182"/>
        <v>0</v>
      </c>
      <c r="S105" s="8">
        <f t="shared" ca="1" si="182"/>
        <v>0</v>
      </c>
      <c r="T105" s="8">
        <f t="shared" ca="1" si="182"/>
        <v>0</v>
      </c>
      <c r="U105" s="8">
        <f t="shared" ca="1" si="182"/>
        <v>0</v>
      </c>
      <c r="V105" s="8">
        <f t="shared" ca="1" si="182"/>
        <v>0</v>
      </c>
      <c r="W105" s="8">
        <f t="shared" ca="1" si="182"/>
        <v>0</v>
      </c>
      <c r="X105" s="8">
        <f t="shared" ca="1" si="182"/>
        <v>0</v>
      </c>
      <c r="Y105" s="8">
        <f t="shared" ca="1" si="182"/>
        <v>0</v>
      </c>
      <c r="Z105" s="8">
        <f t="shared" ca="1" si="182"/>
        <v>0</v>
      </c>
      <c r="AA105" s="8">
        <f t="shared" ca="1" si="182"/>
        <v>0</v>
      </c>
      <c r="AB105" s="8">
        <f t="shared" ca="1" si="182"/>
        <v>0</v>
      </c>
      <c r="AC105" s="8">
        <f t="shared" ca="1" si="182"/>
        <v>0</v>
      </c>
      <c r="AD105" s="8">
        <f t="shared" ca="1" si="182"/>
        <v>0</v>
      </c>
      <c r="AE105" s="8">
        <f t="shared" ca="1" si="182"/>
        <v>0</v>
      </c>
      <c r="AF105" s="8">
        <f t="shared" ca="1" si="182"/>
        <v>0</v>
      </c>
      <c r="AG105" s="8">
        <f t="shared" ca="1" si="182"/>
        <v>0</v>
      </c>
      <c r="AH105" s="8">
        <f t="shared" ca="1" si="182"/>
        <v>0</v>
      </c>
      <c r="AI105" s="8">
        <f t="shared" ca="1" si="182"/>
        <v>0</v>
      </c>
      <c r="AJ105" s="8">
        <f t="shared" ca="1" si="182"/>
        <v>0</v>
      </c>
      <c r="AK105" s="8">
        <f t="shared" ca="1" si="182"/>
        <v>0</v>
      </c>
      <c r="AL105" s="8">
        <f t="shared" ca="1" si="182"/>
        <v>0</v>
      </c>
      <c r="AM105" s="8">
        <f t="shared" ca="1" si="182"/>
        <v>0</v>
      </c>
      <c r="AN105" s="8">
        <f t="shared" ref="AN105:AV105" ca="1" si="183">SUM(AN102:AN104)</f>
        <v>0</v>
      </c>
      <c r="AO105" s="8">
        <f t="shared" ca="1" si="183"/>
        <v>0</v>
      </c>
      <c r="AP105" s="8">
        <f t="shared" ca="1" si="183"/>
        <v>0</v>
      </c>
      <c r="AQ105" s="8">
        <f t="shared" ca="1" si="183"/>
        <v>0</v>
      </c>
      <c r="AR105" s="8">
        <f t="shared" ca="1" si="183"/>
        <v>0</v>
      </c>
      <c r="AS105" s="8">
        <f t="shared" ca="1" si="183"/>
        <v>0</v>
      </c>
      <c r="AT105" s="8">
        <f t="shared" ca="1" si="183"/>
        <v>0</v>
      </c>
      <c r="AU105" s="8">
        <f t="shared" ca="1" si="183"/>
        <v>0</v>
      </c>
      <c r="AV105" s="8">
        <f t="shared" ca="1" si="183"/>
        <v>0</v>
      </c>
      <c r="AW105" s="8">
        <f t="shared" ref="AW105" ca="1" si="184">SUM(AW102:AW104)</f>
        <v>0</v>
      </c>
    </row>
    <row r="106" spans="1:49" x14ac:dyDescent="0.2">
      <c r="A106" s="4" t="s">
        <v>27</v>
      </c>
      <c r="C106" s="8">
        <f ca="1">C103*Inputs!$B$163</f>
        <v>0</v>
      </c>
      <c r="D106" s="8">
        <f ca="1">D103*Inputs!$B$163</f>
        <v>0</v>
      </c>
      <c r="E106" s="8">
        <f ca="1">E103*Inputs!$B$163</f>
        <v>0</v>
      </c>
      <c r="F106" s="8">
        <f ca="1">F103*Inputs!$B$163</f>
        <v>0</v>
      </c>
      <c r="G106" s="8">
        <f ca="1">G103*Inputs!$B$163</f>
        <v>0</v>
      </c>
      <c r="H106" s="8">
        <f ca="1">H103*Inputs!$B$163</f>
        <v>0</v>
      </c>
      <c r="I106" s="8">
        <f ca="1">I103*Inputs!$B$163</f>
        <v>0</v>
      </c>
      <c r="J106" s="8">
        <f ca="1">J103*Inputs!$B$163</f>
        <v>0</v>
      </c>
      <c r="K106" s="8">
        <f ca="1">K103*Inputs!$B$163</f>
        <v>0</v>
      </c>
      <c r="L106" s="8">
        <f ca="1">L103*Inputs!$B$163</f>
        <v>0</v>
      </c>
      <c r="M106" s="8">
        <f ca="1">M103*Inputs!$B$163</f>
        <v>0</v>
      </c>
      <c r="N106" s="8">
        <f ca="1">N103*Inputs!$B$163</f>
        <v>0</v>
      </c>
      <c r="O106" s="8">
        <f ca="1">O103*Inputs!$B$163</f>
        <v>0</v>
      </c>
      <c r="P106" s="8">
        <f ca="1">P103*Inputs!$B$163</f>
        <v>0</v>
      </c>
      <c r="Q106" s="8">
        <f ca="1">Q103*Inputs!$B$163</f>
        <v>0</v>
      </c>
      <c r="R106" s="8">
        <f ca="1">R103*Inputs!$B$163</f>
        <v>0</v>
      </c>
      <c r="S106" s="8">
        <f ca="1">S103*Inputs!$B$163</f>
        <v>0</v>
      </c>
      <c r="T106" s="8">
        <f ca="1">T103*Inputs!$B$163</f>
        <v>0</v>
      </c>
      <c r="U106" s="8">
        <f ca="1">U103*Inputs!$B$163</f>
        <v>0</v>
      </c>
      <c r="V106" s="8">
        <f ca="1">V103*Inputs!$B$163</f>
        <v>0</v>
      </c>
      <c r="W106" s="8">
        <f ca="1">W103*Inputs!$B$163</f>
        <v>0</v>
      </c>
      <c r="X106" s="8">
        <f ca="1">X103*Inputs!$B$163</f>
        <v>0</v>
      </c>
      <c r="Y106" s="8">
        <f ca="1">Y103*Inputs!$B$163</f>
        <v>0</v>
      </c>
      <c r="Z106" s="8">
        <f ca="1">Z103*Inputs!$B$163</f>
        <v>0</v>
      </c>
      <c r="AA106" s="8">
        <f ca="1">AA103*Inputs!$B$163</f>
        <v>0</v>
      </c>
      <c r="AB106" s="8">
        <f ca="1">AB103*Inputs!$B$163</f>
        <v>0</v>
      </c>
      <c r="AC106" s="8">
        <f ca="1">AC103*Inputs!$B$163</f>
        <v>0</v>
      </c>
      <c r="AD106" s="8">
        <f ca="1">AD103*Inputs!$B$163</f>
        <v>0</v>
      </c>
      <c r="AE106" s="8">
        <f ca="1">AE103*Inputs!$B$163</f>
        <v>0</v>
      </c>
      <c r="AF106" s="8">
        <f ca="1">AF103*Inputs!$B$163</f>
        <v>0</v>
      </c>
      <c r="AG106" s="8">
        <f ca="1">AG103*Inputs!$B$163</f>
        <v>0</v>
      </c>
      <c r="AH106" s="8">
        <f ca="1">AH103*Inputs!$B$163</f>
        <v>0</v>
      </c>
      <c r="AI106" s="8">
        <f ca="1">AI103*Inputs!$B$163</f>
        <v>0</v>
      </c>
      <c r="AJ106" s="8">
        <f ca="1">AJ103*Inputs!$B$163</f>
        <v>0</v>
      </c>
      <c r="AK106" s="8">
        <f ca="1">AK103*Inputs!$B$163</f>
        <v>0</v>
      </c>
      <c r="AL106" s="8">
        <f ca="1">AL103*Inputs!$B$163</f>
        <v>0</v>
      </c>
      <c r="AM106" s="8">
        <f ca="1">AM103*Inputs!$B$163</f>
        <v>0</v>
      </c>
      <c r="AN106" s="8">
        <f ca="1">AN103*Inputs!$B$163</f>
        <v>0</v>
      </c>
      <c r="AO106" s="8">
        <f ca="1">AO103*Inputs!$B$163</f>
        <v>0</v>
      </c>
      <c r="AP106" s="8">
        <f ca="1">AP103*Inputs!$B$163</f>
        <v>0</v>
      </c>
      <c r="AQ106" s="8">
        <f ca="1">AQ103*Inputs!$B$163</f>
        <v>0</v>
      </c>
      <c r="AR106" s="8">
        <f ca="1">AR103*Inputs!$B$163</f>
        <v>0</v>
      </c>
      <c r="AS106" s="8">
        <f ca="1">AS103*Inputs!$B$163</f>
        <v>0</v>
      </c>
      <c r="AT106" s="8">
        <f ca="1">AT103*Inputs!$B$163</f>
        <v>0</v>
      </c>
      <c r="AU106" s="8">
        <f ca="1">AU103*Inputs!$B$163</f>
        <v>0</v>
      </c>
      <c r="AV106" s="8">
        <f ca="1">AV103*Inputs!$B$163</f>
        <v>0</v>
      </c>
      <c r="AW106" s="8">
        <f>AW103*Inputs!$B$163</f>
        <v>0</v>
      </c>
    </row>
    <row r="107" spans="1:49" x14ac:dyDescent="0.2">
      <c r="A107" s="4" t="s">
        <v>34</v>
      </c>
      <c r="C107" s="8">
        <f>IFERROR(-IF(C102=0,VLOOKUP($A101,$7:$10,C$1+2,FALSE),0),0)</f>
        <v>0</v>
      </c>
      <c r="D107" s="8">
        <f t="shared" ref="D107:G107" ca="1" si="185">IFERROR(-IF(D102=0,VLOOKUP($A101,$7:$10,D$1+2,FALSE),0),0)</f>
        <v>0</v>
      </c>
      <c r="E107" s="8">
        <f t="shared" ca="1" si="185"/>
        <v>0</v>
      </c>
      <c r="F107" s="8">
        <f t="shared" ca="1" si="185"/>
        <v>0</v>
      </c>
      <c r="G107" s="8">
        <f t="shared" ca="1" si="185"/>
        <v>0</v>
      </c>
      <c r="H107" s="8">
        <f t="shared" ref="H107:AM107" ca="1" si="186">IFERROR(-IF(H102=0,VLOOKUP($A101,$7:$10,H$1+2,FALSE),0),0)</f>
        <v>0</v>
      </c>
      <c r="I107" s="8">
        <f t="shared" ca="1" si="186"/>
        <v>0</v>
      </c>
      <c r="J107" s="8">
        <f t="shared" ca="1" si="186"/>
        <v>0</v>
      </c>
      <c r="K107" s="8">
        <f t="shared" ca="1" si="186"/>
        <v>0</v>
      </c>
      <c r="L107" s="8">
        <f t="shared" ca="1" si="186"/>
        <v>0</v>
      </c>
      <c r="M107" s="8">
        <f t="shared" ca="1" si="186"/>
        <v>0</v>
      </c>
      <c r="N107" s="8">
        <f t="shared" ca="1" si="186"/>
        <v>0</v>
      </c>
      <c r="O107" s="8">
        <f t="shared" ca="1" si="186"/>
        <v>0</v>
      </c>
      <c r="P107" s="8">
        <f t="shared" ca="1" si="186"/>
        <v>0</v>
      </c>
      <c r="Q107" s="8">
        <f t="shared" ca="1" si="186"/>
        <v>0</v>
      </c>
      <c r="R107" s="8">
        <f t="shared" ca="1" si="186"/>
        <v>0</v>
      </c>
      <c r="S107" s="8">
        <f t="shared" ca="1" si="186"/>
        <v>0</v>
      </c>
      <c r="T107" s="8">
        <f t="shared" ca="1" si="186"/>
        <v>0</v>
      </c>
      <c r="U107" s="8">
        <f t="shared" ca="1" si="186"/>
        <v>0</v>
      </c>
      <c r="V107" s="8">
        <f t="shared" ca="1" si="186"/>
        <v>0</v>
      </c>
      <c r="W107" s="8">
        <f t="shared" ca="1" si="186"/>
        <v>0</v>
      </c>
      <c r="X107" s="8">
        <f t="shared" ca="1" si="186"/>
        <v>0</v>
      </c>
      <c r="Y107" s="8">
        <f t="shared" ca="1" si="186"/>
        <v>0</v>
      </c>
      <c r="Z107" s="8">
        <f t="shared" ca="1" si="186"/>
        <v>0</v>
      </c>
      <c r="AA107" s="8">
        <f t="shared" ca="1" si="186"/>
        <v>0</v>
      </c>
      <c r="AB107" s="8">
        <f t="shared" ca="1" si="186"/>
        <v>0</v>
      </c>
      <c r="AC107" s="8">
        <f t="shared" ca="1" si="186"/>
        <v>0</v>
      </c>
      <c r="AD107" s="8">
        <f t="shared" ca="1" si="186"/>
        <v>0</v>
      </c>
      <c r="AE107" s="8">
        <f t="shared" ca="1" si="186"/>
        <v>0</v>
      </c>
      <c r="AF107" s="8">
        <f t="shared" ca="1" si="186"/>
        <v>0</v>
      </c>
      <c r="AG107" s="8">
        <f t="shared" ca="1" si="186"/>
        <v>0</v>
      </c>
      <c r="AH107" s="8">
        <f t="shared" ca="1" si="186"/>
        <v>0</v>
      </c>
      <c r="AI107" s="8">
        <f t="shared" ca="1" si="186"/>
        <v>0</v>
      </c>
      <c r="AJ107" s="8">
        <f t="shared" ca="1" si="186"/>
        <v>0</v>
      </c>
      <c r="AK107" s="8">
        <f t="shared" ca="1" si="186"/>
        <v>0</v>
      </c>
      <c r="AL107" s="8">
        <f t="shared" ca="1" si="186"/>
        <v>0</v>
      </c>
      <c r="AM107" s="8">
        <f t="shared" ca="1" si="186"/>
        <v>0</v>
      </c>
      <c r="AN107" s="8">
        <f t="shared" ref="AN107:AV107" ca="1" si="187">IFERROR(-IF(AN102=0,VLOOKUP($A101,$7:$10,AN$1+2,FALSE),0),0)</f>
        <v>0</v>
      </c>
      <c r="AO107" s="8">
        <f t="shared" ca="1" si="187"/>
        <v>0</v>
      </c>
      <c r="AP107" s="8">
        <f t="shared" ca="1" si="187"/>
        <v>0</v>
      </c>
      <c r="AQ107" s="8">
        <f t="shared" ca="1" si="187"/>
        <v>0</v>
      </c>
      <c r="AR107" s="8">
        <f t="shared" ca="1" si="187"/>
        <v>0</v>
      </c>
      <c r="AS107" s="8">
        <f t="shared" ca="1" si="187"/>
        <v>0</v>
      </c>
      <c r="AT107" s="8">
        <f t="shared" ca="1" si="187"/>
        <v>0</v>
      </c>
      <c r="AU107" s="8">
        <f t="shared" ca="1" si="187"/>
        <v>0</v>
      </c>
      <c r="AV107" s="8">
        <f t="shared" ca="1" si="187"/>
        <v>0</v>
      </c>
      <c r="AW107" s="8">
        <f t="shared" ref="AW107" ca="1" si="188">IFERROR(-IF(AW102=0,VLOOKUP($A101,$7:$10,AW$1+2,FALSE),0),0)</f>
        <v>0</v>
      </c>
    </row>
    <row r="108" spans="1:49" x14ac:dyDescent="0.2">
      <c r="A108" s="4" t="s">
        <v>54</v>
      </c>
      <c r="C108" s="8">
        <f>IFERROR(IF(C102=0,VLOOKUP($A101,$33:$36,C$1+2,FALSE),0),0)</f>
        <v>0</v>
      </c>
      <c r="D108" s="8">
        <f t="shared" ref="D108:G108" ca="1" si="189">IFERROR(IF(D102=0,VLOOKUP($A101,$33:$36,D$1+2,FALSE),0),0)</f>
        <v>0</v>
      </c>
      <c r="E108" s="8">
        <f t="shared" ca="1" si="189"/>
        <v>0</v>
      </c>
      <c r="F108" s="8">
        <f t="shared" ca="1" si="189"/>
        <v>0</v>
      </c>
      <c r="G108" s="8">
        <f t="shared" ca="1" si="189"/>
        <v>0</v>
      </c>
      <c r="H108" s="8">
        <f t="shared" ref="H108:AM108" ca="1" si="190">IFERROR(IF(H102=0,VLOOKUP($A101,$33:$36,H$1+2,FALSE),0),0)</f>
        <v>0</v>
      </c>
      <c r="I108" s="8">
        <f t="shared" ca="1" si="190"/>
        <v>0</v>
      </c>
      <c r="J108" s="8">
        <f t="shared" ca="1" si="190"/>
        <v>0</v>
      </c>
      <c r="K108" s="8">
        <f t="shared" ca="1" si="190"/>
        <v>0</v>
      </c>
      <c r="L108" s="8">
        <f t="shared" ca="1" si="190"/>
        <v>0</v>
      </c>
      <c r="M108" s="8">
        <f t="shared" ca="1" si="190"/>
        <v>0</v>
      </c>
      <c r="N108" s="8">
        <f t="shared" ca="1" si="190"/>
        <v>0</v>
      </c>
      <c r="O108" s="8">
        <f t="shared" ca="1" si="190"/>
        <v>0</v>
      </c>
      <c r="P108" s="8">
        <f t="shared" ca="1" si="190"/>
        <v>0</v>
      </c>
      <c r="Q108" s="8">
        <f t="shared" ca="1" si="190"/>
        <v>0</v>
      </c>
      <c r="R108" s="8">
        <f t="shared" ca="1" si="190"/>
        <v>0</v>
      </c>
      <c r="S108" s="8">
        <f t="shared" ca="1" si="190"/>
        <v>0</v>
      </c>
      <c r="T108" s="8">
        <f t="shared" ca="1" si="190"/>
        <v>0</v>
      </c>
      <c r="U108" s="8">
        <f t="shared" ca="1" si="190"/>
        <v>0</v>
      </c>
      <c r="V108" s="8">
        <f t="shared" ca="1" si="190"/>
        <v>0</v>
      </c>
      <c r="W108" s="8">
        <f t="shared" ca="1" si="190"/>
        <v>0</v>
      </c>
      <c r="X108" s="8">
        <f t="shared" ca="1" si="190"/>
        <v>0</v>
      </c>
      <c r="Y108" s="8">
        <f t="shared" ca="1" si="190"/>
        <v>0</v>
      </c>
      <c r="Z108" s="8">
        <f t="shared" ca="1" si="190"/>
        <v>0</v>
      </c>
      <c r="AA108" s="8">
        <f t="shared" ca="1" si="190"/>
        <v>0</v>
      </c>
      <c r="AB108" s="8">
        <f t="shared" ca="1" si="190"/>
        <v>0</v>
      </c>
      <c r="AC108" s="8">
        <f t="shared" ca="1" si="190"/>
        <v>0</v>
      </c>
      <c r="AD108" s="8">
        <f t="shared" ca="1" si="190"/>
        <v>0</v>
      </c>
      <c r="AE108" s="8">
        <f t="shared" ca="1" si="190"/>
        <v>0</v>
      </c>
      <c r="AF108" s="8">
        <f t="shared" ca="1" si="190"/>
        <v>0</v>
      </c>
      <c r="AG108" s="8">
        <f t="shared" ca="1" si="190"/>
        <v>0</v>
      </c>
      <c r="AH108" s="8">
        <f t="shared" ca="1" si="190"/>
        <v>0</v>
      </c>
      <c r="AI108" s="8">
        <f t="shared" ca="1" si="190"/>
        <v>0</v>
      </c>
      <c r="AJ108" s="8">
        <f t="shared" ca="1" si="190"/>
        <v>0</v>
      </c>
      <c r="AK108" s="8">
        <f t="shared" ca="1" si="190"/>
        <v>0</v>
      </c>
      <c r="AL108" s="8">
        <f t="shared" ca="1" si="190"/>
        <v>0</v>
      </c>
      <c r="AM108" s="8">
        <f t="shared" ca="1" si="190"/>
        <v>0</v>
      </c>
      <c r="AN108" s="8">
        <f t="shared" ref="AN108:AV108" ca="1" si="191">IFERROR(IF(AN102=0,VLOOKUP($A101,$33:$36,AN$1+2,FALSE),0),0)</f>
        <v>0</v>
      </c>
      <c r="AO108" s="8">
        <f t="shared" ca="1" si="191"/>
        <v>0</v>
      </c>
      <c r="AP108" s="8">
        <f t="shared" ca="1" si="191"/>
        <v>0</v>
      </c>
      <c r="AQ108" s="8">
        <f t="shared" ca="1" si="191"/>
        <v>0</v>
      </c>
      <c r="AR108" s="8">
        <f t="shared" ca="1" si="191"/>
        <v>0</v>
      </c>
      <c r="AS108" s="8">
        <f t="shared" ca="1" si="191"/>
        <v>0</v>
      </c>
      <c r="AT108" s="8">
        <f t="shared" ca="1" si="191"/>
        <v>0</v>
      </c>
      <c r="AU108" s="8">
        <f t="shared" ca="1" si="191"/>
        <v>0</v>
      </c>
      <c r="AV108" s="8">
        <f t="shared" ca="1" si="191"/>
        <v>0</v>
      </c>
      <c r="AW108" s="8">
        <f t="shared" ref="AW108" ca="1" si="192">IFERROR(IF(AW102=0,VLOOKUP($A101,$33:$36,AW$1+2,FALSE),0),0)</f>
        <v>0</v>
      </c>
    </row>
    <row r="109" spans="1:49" x14ac:dyDescent="0.2">
      <c r="A109" s="4" t="s">
        <v>40</v>
      </c>
      <c r="B109" s="16" t="str">
        <f>A101</f>
        <v/>
      </c>
      <c r="C109" s="8">
        <f ca="1">IF(AND(C102&gt;0,C105=0),VLOOKUP($A101,$61:$64,C$1+2,FALSE),0)</f>
        <v>0</v>
      </c>
      <c r="D109" s="8">
        <f t="shared" ref="D109:G109" ca="1" si="193">IF(AND(D102&gt;0,D105=0),VLOOKUP($A101,$61:$64,D$1+2,FALSE),0)</f>
        <v>0</v>
      </c>
      <c r="E109" s="8">
        <f t="shared" ca="1" si="193"/>
        <v>0</v>
      </c>
      <c r="F109" s="8">
        <f t="shared" ca="1" si="193"/>
        <v>0</v>
      </c>
      <c r="G109" s="8">
        <f t="shared" ca="1" si="193"/>
        <v>0</v>
      </c>
      <c r="H109" s="8">
        <f t="shared" ref="H109:AM109" ca="1" si="194">IF(AND(H102&gt;0,H105=0),VLOOKUP($A101,$61:$64,H$1+2,FALSE),0)</f>
        <v>0</v>
      </c>
      <c r="I109" s="8">
        <f t="shared" ca="1" si="194"/>
        <v>0</v>
      </c>
      <c r="J109" s="8">
        <f t="shared" ca="1" si="194"/>
        <v>0</v>
      </c>
      <c r="K109" s="8">
        <f t="shared" ca="1" si="194"/>
        <v>0</v>
      </c>
      <c r="L109" s="8">
        <f t="shared" ca="1" si="194"/>
        <v>0</v>
      </c>
      <c r="M109" s="8">
        <f t="shared" ca="1" si="194"/>
        <v>0</v>
      </c>
      <c r="N109" s="8">
        <f t="shared" ca="1" si="194"/>
        <v>0</v>
      </c>
      <c r="O109" s="8">
        <f t="shared" ca="1" si="194"/>
        <v>0</v>
      </c>
      <c r="P109" s="8">
        <f t="shared" ca="1" si="194"/>
        <v>0</v>
      </c>
      <c r="Q109" s="8">
        <f t="shared" ca="1" si="194"/>
        <v>0</v>
      </c>
      <c r="R109" s="8">
        <f t="shared" ca="1" si="194"/>
        <v>0</v>
      </c>
      <c r="S109" s="8">
        <f t="shared" ca="1" si="194"/>
        <v>0</v>
      </c>
      <c r="T109" s="8">
        <f t="shared" ca="1" si="194"/>
        <v>0</v>
      </c>
      <c r="U109" s="8">
        <f t="shared" ca="1" si="194"/>
        <v>0</v>
      </c>
      <c r="V109" s="8">
        <f t="shared" ca="1" si="194"/>
        <v>0</v>
      </c>
      <c r="W109" s="8">
        <f t="shared" ca="1" si="194"/>
        <v>0</v>
      </c>
      <c r="X109" s="8">
        <f t="shared" ca="1" si="194"/>
        <v>0</v>
      </c>
      <c r="Y109" s="8">
        <f t="shared" ca="1" si="194"/>
        <v>0</v>
      </c>
      <c r="Z109" s="8">
        <f t="shared" ca="1" si="194"/>
        <v>0</v>
      </c>
      <c r="AA109" s="8">
        <f t="shared" ca="1" si="194"/>
        <v>0</v>
      </c>
      <c r="AB109" s="8">
        <f t="shared" ca="1" si="194"/>
        <v>0</v>
      </c>
      <c r="AC109" s="8">
        <f t="shared" ca="1" si="194"/>
        <v>0</v>
      </c>
      <c r="AD109" s="8">
        <f t="shared" ca="1" si="194"/>
        <v>0</v>
      </c>
      <c r="AE109" s="8">
        <f t="shared" ca="1" si="194"/>
        <v>0</v>
      </c>
      <c r="AF109" s="8">
        <f t="shared" ca="1" si="194"/>
        <v>0</v>
      </c>
      <c r="AG109" s="8">
        <f t="shared" ca="1" si="194"/>
        <v>0</v>
      </c>
      <c r="AH109" s="8">
        <f t="shared" ca="1" si="194"/>
        <v>0</v>
      </c>
      <c r="AI109" s="8">
        <f t="shared" ca="1" si="194"/>
        <v>0</v>
      </c>
      <c r="AJ109" s="8">
        <f t="shared" ca="1" si="194"/>
        <v>0</v>
      </c>
      <c r="AK109" s="8">
        <f t="shared" ca="1" si="194"/>
        <v>0</v>
      </c>
      <c r="AL109" s="8">
        <f t="shared" ca="1" si="194"/>
        <v>0</v>
      </c>
      <c r="AM109" s="8">
        <f t="shared" ca="1" si="194"/>
        <v>0</v>
      </c>
      <c r="AN109" s="8">
        <f t="shared" ref="AN109:AV109" ca="1" si="195">IF(AND(AN102&gt;0,AN105=0),VLOOKUP($A101,$61:$64,AN$1+2,FALSE),0)</f>
        <v>0</v>
      </c>
      <c r="AO109" s="8">
        <f t="shared" ca="1" si="195"/>
        <v>0</v>
      </c>
      <c r="AP109" s="8">
        <f t="shared" ca="1" si="195"/>
        <v>0</v>
      </c>
      <c r="AQ109" s="8">
        <f t="shared" ca="1" si="195"/>
        <v>0</v>
      </c>
      <c r="AR109" s="8">
        <f t="shared" ca="1" si="195"/>
        <v>0</v>
      </c>
      <c r="AS109" s="8">
        <f t="shared" ca="1" si="195"/>
        <v>0</v>
      </c>
      <c r="AT109" s="8">
        <f t="shared" ca="1" si="195"/>
        <v>0</v>
      </c>
      <c r="AU109" s="8">
        <f t="shared" ca="1" si="195"/>
        <v>0</v>
      </c>
      <c r="AV109" s="8">
        <f t="shared" ca="1" si="195"/>
        <v>0</v>
      </c>
      <c r="AW109" s="8">
        <f t="shared" ref="AW109" ca="1" si="196">IF(AND(AW102&gt;0,AW105=0),VLOOKUP($A101,$61:$64,AW$1+2,FALSE),0)</f>
        <v>0</v>
      </c>
    </row>
    <row r="110" spans="1:49" x14ac:dyDescent="0.2">
      <c r="A110" s="4" t="s">
        <v>41</v>
      </c>
      <c r="C110" s="8">
        <f ca="1">-C103+SUM(C106:C109)</f>
        <v>0</v>
      </c>
      <c r="D110" s="8">
        <f t="shared" ref="D110" ca="1" si="197">-D103+SUM(D106:D109)</f>
        <v>0</v>
      </c>
      <c r="E110" s="8">
        <f t="shared" ref="E110:G110" ca="1" si="198">-E103+SUM(E106:E109)</f>
        <v>0</v>
      </c>
      <c r="F110" s="8">
        <f t="shared" ca="1" si="198"/>
        <v>0</v>
      </c>
      <c r="G110" s="8">
        <f t="shared" ca="1" si="198"/>
        <v>0</v>
      </c>
      <c r="H110" s="8">
        <f t="shared" ref="H110:AM110" ca="1" si="199">-H103+SUM(H106:H109)</f>
        <v>0</v>
      </c>
      <c r="I110" s="8">
        <f t="shared" ca="1" si="199"/>
        <v>0</v>
      </c>
      <c r="J110" s="8">
        <f t="shared" ca="1" si="199"/>
        <v>0</v>
      </c>
      <c r="K110" s="8">
        <f t="shared" ca="1" si="199"/>
        <v>0</v>
      </c>
      <c r="L110" s="8">
        <f t="shared" ca="1" si="199"/>
        <v>0</v>
      </c>
      <c r="M110" s="8">
        <f t="shared" ca="1" si="199"/>
        <v>0</v>
      </c>
      <c r="N110" s="8">
        <f t="shared" ca="1" si="199"/>
        <v>0</v>
      </c>
      <c r="O110" s="8">
        <f t="shared" ca="1" si="199"/>
        <v>0</v>
      </c>
      <c r="P110" s="8">
        <f t="shared" ca="1" si="199"/>
        <v>0</v>
      </c>
      <c r="Q110" s="8">
        <f t="shared" ca="1" si="199"/>
        <v>0</v>
      </c>
      <c r="R110" s="8">
        <f t="shared" ca="1" si="199"/>
        <v>0</v>
      </c>
      <c r="S110" s="8">
        <f t="shared" ca="1" si="199"/>
        <v>0</v>
      </c>
      <c r="T110" s="8">
        <f t="shared" ca="1" si="199"/>
        <v>0</v>
      </c>
      <c r="U110" s="8">
        <f t="shared" ca="1" si="199"/>
        <v>0</v>
      </c>
      <c r="V110" s="8">
        <f t="shared" ca="1" si="199"/>
        <v>0</v>
      </c>
      <c r="W110" s="8">
        <f t="shared" ca="1" si="199"/>
        <v>0</v>
      </c>
      <c r="X110" s="8">
        <f t="shared" ca="1" si="199"/>
        <v>0</v>
      </c>
      <c r="Y110" s="8">
        <f t="shared" ca="1" si="199"/>
        <v>0</v>
      </c>
      <c r="Z110" s="8">
        <f t="shared" ca="1" si="199"/>
        <v>0</v>
      </c>
      <c r="AA110" s="8">
        <f t="shared" ca="1" si="199"/>
        <v>0</v>
      </c>
      <c r="AB110" s="8">
        <f t="shared" ca="1" si="199"/>
        <v>0</v>
      </c>
      <c r="AC110" s="8">
        <f t="shared" ca="1" si="199"/>
        <v>0</v>
      </c>
      <c r="AD110" s="8">
        <f t="shared" ca="1" si="199"/>
        <v>0</v>
      </c>
      <c r="AE110" s="8">
        <f t="shared" ca="1" si="199"/>
        <v>0</v>
      </c>
      <c r="AF110" s="8">
        <f t="shared" ca="1" si="199"/>
        <v>0</v>
      </c>
      <c r="AG110" s="8">
        <f t="shared" ca="1" si="199"/>
        <v>0</v>
      </c>
      <c r="AH110" s="8">
        <f t="shared" ca="1" si="199"/>
        <v>0</v>
      </c>
      <c r="AI110" s="8">
        <f t="shared" ca="1" si="199"/>
        <v>0</v>
      </c>
      <c r="AJ110" s="8">
        <f t="shared" ca="1" si="199"/>
        <v>0</v>
      </c>
      <c r="AK110" s="8">
        <f t="shared" ca="1" si="199"/>
        <v>0</v>
      </c>
      <c r="AL110" s="8">
        <f t="shared" ca="1" si="199"/>
        <v>0</v>
      </c>
      <c r="AM110" s="8">
        <f t="shared" ca="1" si="199"/>
        <v>0</v>
      </c>
      <c r="AN110" s="8">
        <f t="shared" ref="AN110:AV110" ca="1" si="200">-AN103+SUM(AN106:AN109)</f>
        <v>0</v>
      </c>
      <c r="AO110" s="8">
        <f t="shared" ca="1" si="200"/>
        <v>0</v>
      </c>
      <c r="AP110" s="8">
        <f t="shared" ca="1" si="200"/>
        <v>0</v>
      </c>
      <c r="AQ110" s="8">
        <f t="shared" ca="1" si="200"/>
        <v>0</v>
      </c>
      <c r="AR110" s="8">
        <f t="shared" ca="1" si="200"/>
        <v>0</v>
      </c>
      <c r="AS110" s="8">
        <f t="shared" ca="1" si="200"/>
        <v>0</v>
      </c>
      <c r="AT110" s="8">
        <f t="shared" ca="1" si="200"/>
        <v>0</v>
      </c>
      <c r="AU110" s="8">
        <f t="shared" ca="1" si="200"/>
        <v>0</v>
      </c>
      <c r="AV110" s="8">
        <f t="shared" ca="1" si="200"/>
        <v>0</v>
      </c>
      <c r="AW110" s="8">
        <f t="shared" ref="AW110" ca="1" si="201">-AW103+SUM(AW106:AW109)</f>
        <v>0</v>
      </c>
    </row>
    <row r="111" spans="1:49" x14ac:dyDescent="0.2">
      <c r="A111" s="4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">
      <c r="A112" s="4" t="s">
        <v>87</v>
      </c>
      <c r="C112" s="8">
        <f ca="1">C98+SUM($C110:C110)</f>
        <v>184898.75</v>
      </c>
      <c r="D112" s="8">
        <f ca="1">D98+SUM($C110:D110)</f>
        <v>190464.1875</v>
      </c>
      <c r="E112" s="8">
        <f ca="1">E98+SUM($C110:E110)</f>
        <v>196735.69765625001</v>
      </c>
      <c r="F112" s="8">
        <f ca="1">F98+SUM($C110:F110)</f>
        <v>203754.49157812502</v>
      </c>
      <c r="G112" s="8">
        <f ca="1">G98+SUM($C110:G110)</f>
        <v>211563.68121130861</v>
      </c>
      <c r="H112" s="8">
        <f ca="1">H98+SUM($C110:H110)</f>
        <v>220208.35706995256</v>
      </c>
      <c r="I112" s="8">
        <f ca="1">I98+SUM($C110:I110)</f>
        <v>229735.66892084025</v>
      </c>
      <c r="J112" s="8">
        <f ca="1">J98+SUM($C110:J110)</f>
        <v>240194.90952617431</v>
      </c>
      <c r="K112" s="8">
        <f ca="1">K98+SUM($C110:K110)</f>
        <v>251637.60155532236</v>
      </c>
      <c r="L112" s="8">
        <f ca="1">L98+SUM($C110:L110)</f>
        <v>264117.58777969546</v>
      </c>
      <c r="M112" s="8">
        <f ca="1">M98+SUM($C110:M110)</f>
        <v>277691.1246689033</v>
      </c>
      <c r="N112" s="8">
        <f ca="1">N98+SUM($C110:N110)</f>
        <v>208324.77186392489</v>
      </c>
      <c r="O112" s="8">
        <f ca="1">O98+SUM($C110:O110)</f>
        <v>135547.0444657795</v>
      </c>
      <c r="P112" s="8">
        <f ca="1">P98+SUM($C110:P110)</f>
        <v>59230.727715311907</v>
      </c>
      <c r="Q112" s="8">
        <f ca="1">Q98+SUM($C110:Q110)</f>
        <v>0</v>
      </c>
      <c r="R112" s="8">
        <f ca="1">R98+SUM($C110:R110)</f>
        <v>407213.7335140247</v>
      </c>
      <c r="S112" s="8">
        <f ca="1">S98+SUM($C110:S110)</f>
        <v>395291.8008390264</v>
      </c>
      <c r="T112" s="8">
        <f ca="1">T98+SUM($C110:T110)</f>
        <v>352462.15956001484</v>
      </c>
      <c r="U112" s="8">
        <f ca="1">U98+SUM($C110:U110)</f>
        <v>315022.09016209241</v>
      </c>
      <c r="V112" s="8">
        <f ca="1">V98+SUM($C110:V110)</f>
        <v>275308.03835375386</v>
      </c>
      <c r="W112" s="8">
        <f ca="1">W98+SUM($C110:W110)</f>
        <v>233263.15457473893</v>
      </c>
      <c r="X112" s="8">
        <f ca="1">X98+SUM($C110:X110)</f>
        <v>188829.1680257805</v>
      </c>
      <c r="Y112" s="8">
        <f ca="1">Y98+SUM($C110:Y110)</f>
        <v>141946.35113763015</v>
      </c>
      <c r="Z112" s="8">
        <f ca="1">Z98+SUM($C110:Z110)</f>
        <v>92553.48315180809</v>
      </c>
      <c r="AA112" s="8">
        <f ca="1">AA98+SUM($C110:AA110)</f>
        <v>40587.812790872355</v>
      </c>
      <c r="AB112" s="8">
        <f ca="1">AB98+SUM($C110:AB110)</f>
        <v>-12805.777240805619</v>
      </c>
      <c r="AC112" s="8">
        <f ca="1">AC98+SUM($C110:AC110)</f>
        <v>-67534.20702327555</v>
      </c>
      <c r="AD112" s="8">
        <f ca="1">AD98+SUM($C110:AD110)</f>
        <v>-123630.84755030723</v>
      </c>
      <c r="AE112" s="8">
        <f ca="1">AE98+SUM($C110:AE110)</f>
        <v>-171147.42899672867</v>
      </c>
      <c r="AF112" s="8">
        <f ca="1">AF98+SUM($C110:AF110)</f>
        <v>-219851.92497931066</v>
      </c>
      <c r="AG112" s="8">
        <f ca="1">AG98+SUM($C110:AG110)</f>
        <v>-269774.03336145723</v>
      </c>
      <c r="AH112" s="8">
        <f ca="1">AH98+SUM($C110:AH110)</f>
        <v>-320944.19445315743</v>
      </c>
      <c r="AI112" s="8">
        <f ca="1">AI98+SUM($C110:AI110)</f>
        <v>-373393.60957215016</v>
      </c>
      <c r="AJ112" s="8">
        <f ca="1">AJ98+SUM($C110:AJ110)</f>
        <v>-427154.26006911776</v>
      </c>
      <c r="AK112" s="8">
        <f ca="1">AK98+SUM($C110:AK110)</f>
        <v>-482258.9268285096</v>
      </c>
      <c r="AL112" s="8">
        <f ca="1">AL98+SUM($C110:AL110)</f>
        <v>-538741.2102568862</v>
      </c>
      <c r="AM112" s="8">
        <f ca="1">AM98+SUM($C110:AM110)</f>
        <v>-596635.55077097192</v>
      </c>
      <c r="AN112" s="8">
        <f ca="1">AN98+SUM($C110:AN110)</f>
        <v>-655977.24979791022</v>
      </c>
      <c r="AO112" s="8">
        <f ca="1">AO98+SUM($C110:AO110)</f>
        <v>-716802.49130052165</v>
      </c>
      <c r="AP112" s="8">
        <f ca="1">AP98+SUM($C110:AP110)</f>
        <v>-779148.3638406985</v>
      </c>
      <c r="AQ112" s="8">
        <f ca="1">AQ98+SUM($C110:AQ110)</f>
        <v>-843052.88319437974</v>
      </c>
      <c r="AR112" s="8">
        <f ca="1">AR98+SUM($C110:AR110)</f>
        <v>-908555.0155319029</v>
      </c>
      <c r="AS112" s="8">
        <f ca="1">AS98+SUM($C110:AS110)</f>
        <v>-975694.7011778641</v>
      </c>
      <c r="AT112" s="8">
        <f ca="1">AT98+SUM($C110:AT110)</f>
        <v>-1044512.8789649743</v>
      </c>
      <c r="AU112" s="8">
        <f ca="1">AU98+SUM($C110:AU110)</f>
        <v>-1115051.5111967626</v>
      </c>
      <c r="AV112" s="8">
        <f ca="1">AV98+SUM($C110:AV110)</f>
        <v>-1187353.6092343454</v>
      </c>
      <c r="AW112" s="8">
        <f ca="1">AW98+SUM($C110:AW110)</f>
        <v>-1261463.2597228677</v>
      </c>
    </row>
    <row r="113" spans="1:49" x14ac:dyDescent="0.2">
      <c r="A113" s="4" t="s">
        <v>84</v>
      </c>
      <c r="C113" s="8">
        <f t="shared" ref="C113:AM113" ca="1" si="202">MAX(C112+buffer,0)-MAX(C98+buffer,0)</f>
        <v>0</v>
      </c>
      <c r="D113" s="8">
        <f t="shared" ca="1" si="202"/>
        <v>0</v>
      </c>
      <c r="E113" s="8">
        <f t="shared" ca="1" si="202"/>
        <v>0</v>
      </c>
      <c r="F113" s="8">
        <f t="shared" ca="1" si="202"/>
        <v>0</v>
      </c>
      <c r="G113" s="8">
        <f t="shared" ca="1" si="202"/>
        <v>0</v>
      </c>
      <c r="H113" s="8">
        <f t="shared" ca="1" si="202"/>
        <v>0</v>
      </c>
      <c r="I113" s="8">
        <f t="shared" ca="1" si="202"/>
        <v>0</v>
      </c>
      <c r="J113" s="8">
        <f t="shared" ca="1" si="202"/>
        <v>0</v>
      </c>
      <c r="K113" s="8">
        <f t="shared" ca="1" si="202"/>
        <v>0</v>
      </c>
      <c r="L113" s="8">
        <f t="shared" ca="1" si="202"/>
        <v>0</v>
      </c>
      <c r="M113" s="8">
        <f t="shared" ca="1" si="202"/>
        <v>0</v>
      </c>
      <c r="N113" s="8">
        <f t="shared" ca="1" si="202"/>
        <v>0</v>
      </c>
      <c r="O113" s="8">
        <f t="shared" ca="1" si="202"/>
        <v>0</v>
      </c>
      <c r="P113" s="8">
        <f t="shared" ca="1" si="202"/>
        <v>0</v>
      </c>
      <c r="Q113" s="8">
        <f t="shared" ca="1" si="202"/>
        <v>0</v>
      </c>
      <c r="R113" s="8">
        <f t="shared" ca="1" si="202"/>
        <v>0</v>
      </c>
      <c r="S113" s="8">
        <f t="shared" ca="1" si="202"/>
        <v>0</v>
      </c>
      <c r="T113" s="8">
        <f t="shared" ca="1" si="202"/>
        <v>0</v>
      </c>
      <c r="U113" s="8">
        <f t="shared" ca="1" si="202"/>
        <v>0</v>
      </c>
      <c r="V113" s="8">
        <f t="shared" ca="1" si="202"/>
        <v>0</v>
      </c>
      <c r="W113" s="8">
        <f t="shared" ca="1" si="202"/>
        <v>0</v>
      </c>
      <c r="X113" s="8">
        <f t="shared" ca="1" si="202"/>
        <v>0</v>
      </c>
      <c r="Y113" s="8">
        <f t="shared" ca="1" si="202"/>
        <v>0</v>
      </c>
      <c r="Z113" s="8">
        <f t="shared" ca="1" si="202"/>
        <v>0</v>
      </c>
      <c r="AA113" s="8">
        <f t="shared" ca="1" si="202"/>
        <v>0</v>
      </c>
      <c r="AB113" s="8">
        <f t="shared" ca="1" si="202"/>
        <v>0</v>
      </c>
      <c r="AC113" s="8">
        <f t="shared" ca="1" si="202"/>
        <v>0</v>
      </c>
      <c r="AD113" s="8">
        <f t="shared" ca="1" si="202"/>
        <v>0</v>
      </c>
      <c r="AE113" s="8">
        <f t="shared" ca="1" si="202"/>
        <v>0</v>
      </c>
      <c r="AF113" s="8">
        <f t="shared" ca="1" si="202"/>
        <v>0</v>
      </c>
      <c r="AG113" s="8">
        <f t="shared" ca="1" si="202"/>
        <v>0</v>
      </c>
      <c r="AH113" s="8">
        <f t="shared" ca="1" si="202"/>
        <v>0</v>
      </c>
      <c r="AI113" s="8">
        <f t="shared" ca="1" si="202"/>
        <v>0</v>
      </c>
      <c r="AJ113" s="8">
        <f t="shared" ca="1" si="202"/>
        <v>0</v>
      </c>
      <c r="AK113" s="8">
        <f t="shared" ca="1" si="202"/>
        <v>0</v>
      </c>
      <c r="AL113" s="8">
        <f t="shared" ca="1" si="202"/>
        <v>0</v>
      </c>
      <c r="AM113" s="8">
        <f t="shared" ca="1" si="202"/>
        <v>0</v>
      </c>
      <c r="AN113" s="8">
        <f t="shared" ref="AN113:AV113" ca="1" si="203">MAX(AN112+buffer,0)-MAX(AN98+buffer,0)</f>
        <v>0</v>
      </c>
      <c r="AO113" s="8">
        <f t="shared" ca="1" si="203"/>
        <v>0</v>
      </c>
      <c r="AP113" s="8">
        <f t="shared" ca="1" si="203"/>
        <v>0</v>
      </c>
      <c r="AQ113" s="8">
        <f t="shared" ca="1" si="203"/>
        <v>0</v>
      </c>
      <c r="AR113" s="8">
        <f t="shared" ca="1" si="203"/>
        <v>0</v>
      </c>
      <c r="AS113" s="8">
        <f t="shared" ca="1" si="203"/>
        <v>0</v>
      </c>
      <c r="AT113" s="8">
        <f t="shared" ca="1" si="203"/>
        <v>0</v>
      </c>
      <c r="AU113" s="8">
        <f t="shared" ca="1" si="203"/>
        <v>0</v>
      </c>
      <c r="AV113" s="8">
        <f t="shared" ca="1" si="203"/>
        <v>0</v>
      </c>
      <c r="AW113" s="8">
        <f t="shared" ref="AW113" ca="1" si="204">MAX(AW112+buffer,0)-MAX(AW98+buffer,0)</f>
        <v>0</v>
      </c>
    </row>
    <row r="114" spans="1:49" x14ac:dyDescent="0.2">
      <c r="A114" s="4" t="s">
        <v>85</v>
      </c>
      <c r="C114" s="8">
        <f ca="1">C113*Inputs!$B$149</f>
        <v>0</v>
      </c>
      <c r="D114" s="8">
        <f ca="1">D113*Inputs!$B$149</f>
        <v>0</v>
      </c>
      <c r="E114" s="8">
        <f ca="1">E113*Inputs!$B$149</f>
        <v>0</v>
      </c>
      <c r="F114" s="8">
        <f ca="1">F113*Inputs!$B$149</f>
        <v>0</v>
      </c>
      <c r="G114" s="8">
        <f ca="1">G113*Inputs!$B$149</f>
        <v>0</v>
      </c>
      <c r="H114" s="8">
        <f ca="1">H113*Inputs!$B$149</f>
        <v>0</v>
      </c>
      <c r="I114" s="8">
        <f ca="1">I113*Inputs!$B$149</f>
        <v>0</v>
      </c>
      <c r="J114" s="8">
        <f ca="1">J113*Inputs!$B$149</f>
        <v>0</v>
      </c>
      <c r="K114" s="8">
        <f ca="1">K113*Inputs!$B$149</f>
        <v>0</v>
      </c>
      <c r="L114" s="8">
        <f ca="1">L113*Inputs!$B$149</f>
        <v>0</v>
      </c>
      <c r="M114" s="8">
        <f ca="1">M113*Inputs!$B$149</f>
        <v>0</v>
      </c>
      <c r="N114" s="8">
        <f ca="1">N113*Inputs!$B$149</f>
        <v>0</v>
      </c>
      <c r="O114" s="8">
        <f ca="1">O113*Inputs!$B$149</f>
        <v>0</v>
      </c>
      <c r="P114" s="8">
        <f ca="1">P113*Inputs!$B$149</f>
        <v>0</v>
      </c>
      <c r="Q114" s="8">
        <f ca="1">Q113*Inputs!$B$149</f>
        <v>0</v>
      </c>
      <c r="R114" s="8">
        <f ca="1">R113*Inputs!$B$149</f>
        <v>0</v>
      </c>
      <c r="S114" s="8">
        <f ca="1">S113*Inputs!$B$149</f>
        <v>0</v>
      </c>
      <c r="T114" s="8">
        <f ca="1">T113*Inputs!$B$149</f>
        <v>0</v>
      </c>
      <c r="U114" s="8">
        <f ca="1">U113*Inputs!$B$149</f>
        <v>0</v>
      </c>
      <c r="V114" s="8">
        <f ca="1">V113*Inputs!$B$149</f>
        <v>0</v>
      </c>
      <c r="W114" s="8">
        <f ca="1">W113*Inputs!$B$149</f>
        <v>0</v>
      </c>
      <c r="X114" s="8">
        <f ca="1">X113*Inputs!$B$149</f>
        <v>0</v>
      </c>
      <c r="Y114" s="8">
        <f ca="1">Y113*Inputs!$B$149</f>
        <v>0</v>
      </c>
      <c r="Z114" s="8">
        <f ca="1">Z113*Inputs!$B$149</f>
        <v>0</v>
      </c>
      <c r="AA114" s="8">
        <f ca="1">AA113*Inputs!$B$149</f>
        <v>0</v>
      </c>
      <c r="AB114" s="8">
        <f ca="1">AB113*Inputs!$B$149</f>
        <v>0</v>
      </c>
      <c r="AC114" s="8">
        <f ca="1">AC113*Inputs!$B$149</f>
        <v>0</v>
      </c>
      <c r="AD114" s="8">
        <f ca="1">AD113*Inputs!$B$149</f>
        <v>0</v>
      </c>
      <c r="AE114" s="8">
        <f ca="1">AE113*Inputs!$B$149</f>
        <v>0</v>
      </c>
      <c r="AF114" s="8">
        <f ca="1">AF113*Inputs!$B$149</f>
        <v>0</v>
      </c>
      <c r="AG114" s="8">
        <f ca="1">AG113*Inputs!$B$149</f>
        <v>0</v>
      </c>
      <c r="AH114" s="8">
        <f ca="1">AH113*Inputs!$B$149</f>
        <v>0</v>
      </c>
      <c r="AI114" s="8">
        <f ca="1">AI113*Inputs!$B$149</f>
        <v>0</v>
      </c>
      <c r="AJ114" s="8">
        <f ca="1">AJ113*Inputs!$B$149</f>
        <v>0</v>
      </c>
      <c r="AK114" s="8">
        <f ca="1">AK113*Inputs!$B$149</f>
        <v>0</v>
      </c>
      <c r="AL114" s="8">
        <f ca="1">AL113*Inputs!$B$149</f>
        <v>0</v>
      </c>
      <c r="AM114" s="8">
        <f ca="1">AM113*Inputs!$B$149</f>
        <v>0</v>
      </c>
      <c r="AN114" s="8">
        <f ca="1">AN113*Inputs!$B$149</f>
        <v>0</v>
      </c>
      <c r="AO114" s="8">
        <f ca="1">AO113*Inputs!$B$149</f>
        <v>0</v>
      </c>
      <c r="AP114" s="8">
        <f ca="1">AP113*Inputs!$B$149</f>
        <v>0</v>
      </c>
      <c r="AQ114" s="8">
        <f ca="1">AQ113*Inputs!$B$149</f>
        <v>0</v>
      </c>
      <c r="AR114" s="8">
        <f ca="1">AR113*Inputs!$B$149</f>
        <v>0</v>
      </c>
      <c r="AS114" s="8">
        <f ca="1">AS113*Inputs!$B$149</f>
        <v>0</v>
      </c>
      <c r="AT114" s="8">
        <f ca="1">AT113*Inputs!$B$149</f>
        <v>0</v>
      </c>
      <c r="AU114" s="8">
        <f ca="1">AU113*Inputs!$B$149</f>
        <v>0</v>
      </c>
      <c r="AV114" s="8">
        <f ca="1">AV113*Inputs!$B$149</f>
        <v>0</v>
      </c>
      <c r="AW114" s="8">
        <f ca="1">AW113*Inputs!$B$149</f>
        <v>0</v>
      </c>
    </row>
    <row r="115" spans="1:49" x14ac:dyDescent="0.2">
      <c r="A115" s="4" t="s">
        <v>168</v>
      </c>
      <c r="C115" s="8">
        <f ca="1">C112+SUM($C114:C114)</f>
        <v>184898.75</v>
      </c>
      <c r="D115" s="8">
        <f ca="1">D112+SUM($C114:D114)</f>
        <v>190464.1875</v>
      </c>
      <c r="E115" s="8">
        <f ca="1">E112+SUM($C114:E114)</f>
        <v>196735.69765625001</v>
      </c>
      <c r="F115" s="8">
        <f ca="1">F112+SUM($C114:F114)</f>
        <v>203754.49157812502</v>
      </c>
      <c r="G115" s="8">
        <f ca="1">G112+SUM($C114:G114)</f>
        <v>211563.68121130861</v>
      </c>
      <c r="H115" s="8">
        <f ca="1">H112+SUM($C114:H114)</f>
        <v>220208.35706995256</v>
      </c>
      <c r="I115" s="8">
        <f ca="1">I112+SUM($C114:I114)</f>
        <v>229735.66892084025</v>
      </c>
      <c r="J115" s="8">
        <f ca="1">J112+SUM($C114:J114)</f>
        <v>240194.90952617431</v>
      </c>
      <c r="K115" s="8">
        <f ca="1">K112+SUM($C114:K114)</f>
        <v>251637.60155532236</v>
      </c>
      <c r="L115" s="8">
        <f ca="1">L112+SUM($C114:L114)</f>
        <v>264117.58777969546</v>
      </c>
      <c r="M115" s="8">
        <f ca="1">M112+SUM($C114:M114)</f>
        <v>277691.1246689033</v>
      </c>
      <c r="N115" s="8">
        <f ca="1">N112+SUM($C114:N114)</f>
        <v>208324.77186392489</v>
      </c>
      <c r="O115" s="8">
        <f ca="1">O112+SUM($C114:O114)</f>
        <v>135547.0444657795</v>
      </c>
      <c r="P115" s="8">
        <f ca="1">P112+SUM($C114:P114)</f>
        <v>59230.727715311907</v>
      </c>
      <c r="Q115" s="8">
        <f ca="1">Q112+SUM($C114:Q114)</f>
        <v>0</v>
      </c>
      <c r="R115" s="8">
        <f ca="1">R112+SUM($C114:R114)</f>
        <v>407213.7335140247</v>
      </c>
      <c r="S115" s="8">
        <f ca="1">S112+SUM($C114:S114)</f>
        <v>395291.8008390264</v>
      </c>
      <c r="T115" s="8">
        <f ca="1">T112+SUM($C114:T114)</f>
        <v>352462.15956001484</v>
      </c>
      <c r="U115" s="8">
        <f ca="1">U112+SUM($C114:U114)</f>
        <v>315022.09016209241</v>
      </c>
      <c r="V115" s="8">
        <f ca="1">V112+SUM($C114:V114)</f>
        <v>275308.03835375386</v>
      </c>
      <c r="W115" s="8">
        <f ca="1">W112+SUM($C114:W114)</f>
        <v>233263.15457473893</v>
      </c>
      <c r="X115" s="8">
        <f ca="1">X112+SUM($C114:X114)</f>
        <v>188829.1680257805</v>
      </c>
      <c r="Y115" s="8">
        <f ca="1">Y112+SUM($C114:Y114)</f>
        <v>141946.35113763015</v>
      </c>
      <c r="Z115" s="8">
        <f ca="1">Z112+SUM($C114:Z114)</f>
        <v>92553.48315180809</v>
      </c>
      <c r="AA115" s="8">
        <f ca="1">AA112+SUM($C114:AA114)</f>
        <v>40587.812790872355</v>
      </c>
      <c r="AB115" s="8">
        <f ca="1">AB112+SUM($C114:AB114)</f>
        <v>-12805.777240805619</v>
      </c>
      <c r="AC115" s="8">
        <f ca="1">AC112+SUM($C114:AC114)</f>
        <v>-67534.20702327555</v>
      </c>
      <c r="AD115" s="8">
        <f ca="1">AD112+SUM($C114:AD114)</f>
        <v>-123630.84755030723</v>
      </c>
      <c r="AE115" s="8">
        <f ca="1">AE112+SUM($C114:AE114)</f>
        <v>-171147.42899672867</v>
      </c>
      <c r="AF115" s="8">
        <f ca="1">AF112+SUM($C114:AF114)</f>
        <v>-219851.92497931066</v>
      </c>
      <c r="AG115" s="8">
        <f ca="1">AG112+SUM($C114:AG114)</f>
        <v>-269774.03336145723</v>
      </c>
      <c r="AH115" s="8">
        <f ca="1">AH112+SUM($C114:AH114)</f>
        <v>-320944.19445315743</v>
      </c>
      <c r="AI115" s="8">
        <f ca="1">AI112+SUM($C114:AI114)</f>
        <v>-373393.60957215016</v>
      </c>
      <c r="AJ115" s="8">
        <f ca="1">AJ112+SUM($C114:AJ114)</f>
        <v>-427154.26006911776</v>
      </c>
      <c r="AK115" s="8">
        <f ca="1">AK112+SUM($C114:AK114)</f>
        <v>-482258.9268285096</v>
      </c>
      <c r="AL115" s="8">
        <f ca="1">AL112+SUM($C114:AL114)</f>
        <v>-538741.2102568862</v>
      </c>
      <c r="AM115" s="8">
        <f ca="1">AM112+SUM($C114:AM114)</f>
        <v>-596635.55077097192</v>
      </c>
      <c r="AN115" s="8">
        <f ca="1">AN112+SUM($C114:AN114)</f>
        <v>-655977.24979791022</v>
      </c>
      <c r="AO115" s="8">
        <f ca="1">AO112+SUM($C114:AO114)</f>
        <v>-716802.49130052165</v>
      </c>
      <c r="AP115" s="8">
        <f ca="1">AP112+SUM($C114:AP114)</f>
        <v>-779148.3638406985</v>
      </c>
      <c r="AQ115" s="8">
        <f ca="1">AQ112+SUM($C114:AQ114)</f>
        <v>-843052.88319437974</v>
      </c>
      <c r="AR115" s="8">
        <f ca="1">AR112+SUM($C114:AR114)</f>
        <v>-908555.0155319029</v>
      </c>
      <c r="AS115" s="8">
        <f ca="1">AS112+SUM($C114:AS114)</f>
        <v>-975694.7011778641</v>
      </c>
      <c r="AT115" s="8">
        <f ca="1">AT112+SUM($C114:AT114)</f>
        <v>-1044512.8789649743</v>
      </c>
      <c r="AU115" s="8">
        <f ca="1">AU112+SUM($C114:AU114)</f>
        <v>-1115051.5111967626</v>
      </c>
      <c r="AV115" s="8">
        <f ca="1">AV112+SUM($C114:AV114)</f>
        <v>-1187353.6092343454</v>
      </c>
      <c r="AW115" s="8">
        <f ca="1">AW112+SUM($C114:AW114)</f>
        <v>-1261463.2597228677</v>
      </c>
    </row>
    <row r="116" spans="1:49" x14ac:dyDescent="0.2">
      <c r="A116" s="4" t="s">
        <v>21</v>
      </c>
      <c r="C116" s="8">
        <f ca="1">IF(C115&lt;0,C115,0)</f>
        <v>0</v>
      </c>
      <c r="D116" s="8">
        <f ca="1">IF(D115+SUM($C116:C116)&lt;0,-(D115+SUM($C116:C116)),0)</f>
        <v>0</v>
      </c>
      <c r="E116" s="8">
        <f ca="1">IF(E115+SUM($C116:D116)&lt;0,-(E115+SUM($C116:D116)),0)</f>
        <v>0</v>
      </c>
      <c r="F116" s="8">
        <f ca="1">IF(F115+SUM($C116:E116)&lt;0,-(F115+SUM($C116:E116)),0)</f>
        <v>0</v>
      </c>
      <c r="G116" s="8">
        <f ca="1">IF(G115+SUM($C116:F116)&lt;0,-(G115+SUM($C116:F116)),0)</f>
        <v>0</v>
      </c>
      <c r="H116" s="8">
        <f ca="1">IF(H115+SUM($C116:G116)&lt;0,-(H115+SUM($C116:G116)),0)</f>
        <v>0</v>
      </c>
      <c r="I116" s="8">
        <f ca="1">IF(I115+SUM($C116:H116)&lt;0,-(I115+SUM($C116:H116)),0)</f>
        <v>0</v>
      </c>
      <c r="J116" s="8">
        <f ca="1">IF(J115+SUM($C116:I116)&lt;0,-(J115+SUM($C116:I116)),0)</f>
        <v>0</v>
      </c>
      <c r="K116" s="8">
        <f ca="1">IF(K115+SUM($C116:J116)&lt;0,-(K115+SUM($C116:J116)),0)</f>
        <v>0</v>
      </c>
      <c r="L116" s="8">
        <f ca="1">IF(L115+SUM($C116:K116)&lt;0,-(L115+SUM($C116:K116)),0)</f>
        <v>0</v>
      </c>
      <c r="M116" s="8">
        <f ca="1">IF(M115+SUM($C116:L116)&lt;0,-(M115+SUM($C116:L116)),0)</f>
        <v>0</v>
      </c>
      <c r="N116" s="8">
        <f ca="1">IF(N115+SUM($C116:M116)&lt;0,-(N115+SUM($C116:M116)),0)</f>
        <v>0</v>
      </c>
      <c r="O116" s="8">
        <f ca="1">IF(O115+SUM($C116:N116)&lt;0,-(O115+SUM($C116:N116)),0)</f>
        <v>0</v>
      </c>
      <c r="P116" s="8">
        <f ca="1">IF(P115+SUM($C116:O116)&lt;0,-(P115+SUM($C116:O116)),0)</f>
        <v>0</v>
      </c>
      <c r="Q116" s="8">
        <f ca="1">IF(Q115+SUM($C116:P116)&lt;0,-(Q115+SUM($C116:P116)),0)</f>
        <v>0</v>
      </c>
      <c r="R116" s="8">
        <f ca="1">IF(R115+SUM($C116:Q116)&lt;0,-(R115+SUM($C116:Q116)),0)</f>
        <v>0</v>
      </c>
      <c r="S116" s="8">
        <f ca="1">IF(S115+SUM($C116:R116)&lt;0,-(S115+SUM($C116:R116)),0)</f>
        <v>0</v>
      </c>
      <c r="T116" s="8">
        <f ca="1">IF(T115+SUM($C116:S116)&lt;0,-(T115+SUM($C116:S116)),0)</f>
        <v>0</v>
      </c>
      <c r="U116" s="8">
        <f ca="1">IF(U115+SUM($C116:T116)&lt;0,-(U115+SUM($C116:T116)),0)</f>
        <v>0</v>
      </c>
      <c r="V116" s="8">
        <f ca="1">IF(V115+SUM($C116:U116)&lt;0,-(V115+SUM($C116:U116)),0)</f>
        <v>0</v>
      </c>
      <c r="W116" s="8">
        <f ca="1">IF(W115+SUM($C116:V116)&lt;0,-(W115+SUM($C116:V116)),0)</f>
        <v>0</v>
      </c>
      <c r="X116" s="8">
        <f ca="1">IF(X115+SUM($C116:W116)&lt;0,-(X115+SUM($C116:W116)),0)</f>
        <v>0</v>
      </c>
      <c r="Y116" s="8">
        <f ca="1">IF(Y115+SUM($C116:X116)&lt;0,-(Y115+SUM($C116:X116)),0)</f>
        <v>0</v>
      </c>
      <c r="Z116" s="8">
        <f ca="1">IF(Z115+SUM($C116:Y116)&lt;0,-(Z115+SUM($C116:Y116)),0)</f>
        <v>0</v>
      </c>
      <c r="AA116" s="8">
        <f ca="1">IF(AA115+SUM($C116:Z116)&lt;0,-(AA115+SUM($C116:Z116)),0)</f>
        <v>0</v>
      </c>
      <c r="AB116" s="8">
        <f ca="1">IF(AB115+SUM($C116:AA116)&lt;0,-(AB115+SUM($C116:AA116)),0)</f>
        <v>12805.777240805619</v>
      </c>
      <c r="AC116" s="8">
        <f ca="1">IF(AC115+SUM($C116:AB116)&lt;0,-(AC115+SUM($C116:AB116)),0)</f>
        <v>54728.429782469932</v>
      </c>
      <c r="AD116" s="8">
        <f ca="1">IF(AD115+SUM($C116:AC116)&lt;0,-(AD115+SUM($C116:AC116)),0)</f>
        <v>56096.640527031675</v>
      </c>
      <c r="AE116" s="8">
        <f ca="1">IF(AE115+SUM($C116:AD116)&lt;0,-(AE115+SUM($C116:AD116)),0)</f>
        <v>47516.581446421449</v>
      </c>
      <c r="AF116" s="8">
        <f ca="1">IF(AF115+SUM($C116:AE116)&lt;0,-(AF115+SUM($C116:AE116)),0)</f>
        <v>48704.495982581982</v>
      </c>
      <c r="AG116" s="8">
        <f ca="1">IF(AG115+SUM($C116:AF116)&lt;0,-(AG115+SUM($C116:AF116)),0)</f>
        <v>49922.108382146573</v>
      </c>
      <c r="AH116" s="8">
        <f ca="1">IF(AH115+SUM($C116:AG116)&lt;0,-(AH115+SUM($C116:AG116)),0)</f>
        <v>51170.161091700196</v>
      </c>
      <c r="AI116" s="8">
        <f ca="1">IF(AI115+SUM($C116:AH116)&lt;0,-(AI115+SUM($C116:AH116)),0)</f>
        <v>52449.415118992736</v>
      </c>
      <c r="AJ116" s="8">
        <f ca="1">IF(AJ115+SUM($C116:AI116)&lt;0,-(AJ115+SUM($C116:AI116)),0)</f>
        <v>53760.650496967603</v>
      </c>
      <c r="AK116" s="8">
        <f ca="1">IF(AK115+SUM($C116:AJ116)&lt;0,-(AK115+SUM($C116:AJ116)),0)</f>
        <v>55104.666759391839</v>
      </c>
      <c r="AL116" s="8">
        <f ca="1">IF(AL115+SUM($C116:AK116)&lt;0,-(AL115+SUM($C116:AK116)),0)</f>
        <v>56482.283428376599</v>
      </c>
      <c r="AM116" s="8">
        <f ca="1">IF(AM115+SUM($C116:AL116)&lt;0,-(AM115+SUM($C116:AL116)),0)</f>
        <v>57894.340514085721</v>
      </c>
      <c r="AN116" s="8">
        <f ca="1">IF(AN115+SUM($C116:AM116)&lt;0,-(AN115+SUM($C116:AM116)),0)</f>
        <v>59341.699026938295</v>
      </c>
      <c r="AO116" s="8">
        <f ca="1">IF(AO115+SUM($C116:AN116)&lt;0,-(AO115+SUM($C116:AN116)),0)</f>
        <v>60825.241502611432</v>
      </c>
      <c r="AP116" s="8">
        <f ca="1">IF(AP115+SUM($C116:AO116)&lt;0,-(AP115+SUM($C116:AO116)),0)</f>
        <v>62345.872540176846</v>
      </c>
      <c r="AQ116" s="8">
        <f ca="1">IF(AQ115+SUM($C116:AP116)&lt;0,-(AQ115+SUM($C116:AP116)),0)</f>
        <v>63904.519353681244</v>
      </c>
      <c r="AR116" s="8">
        <f ca="1">IF(AR115+SUM($C116:AQ116)&lt;0,-(AR115+SUM($C116:AQ116)),0)</f>
        <v>65502.132337523159</v>
      </c>
      <c r="AS116" s="8">
        <f ca="1">IF(AS115+SUM($C116:AR116)&lt;0,-(AS115+SUM($C116:AR116)),0)</f>
        <v>67139.685645961203</v>
      </c>
      <c r="AT116" s="8">
        <f ca="1">IF(AT115+SUM($C116:AS116)&lt;0,-(AT115+SUM($C116:AS116)),0)</f>
        <v>68818.177787110209</v>
      </c>
      <c r="AU116" s="8">
        <f ca="1">IF(AU115+SUM($C116:AT116)&lt;0,-(AU115+SUM($C116:AT116)),0)</f>
        <v>70538.632231788244</v>
      </c>
      <c r="AV116" s="8">
        <f ca="1">IF(AV115+SUM($C116:AU116)&lt;0,-(AV115+SUM($C116:AU116)),0)</f>
        <v>72302.098037582822</v>
      </c>
      <c r="AW116" s="8">
        <f ca="1">IF(AW115+SUM($C116:AV116)&lt;0,-(AW115+SUM($C116:AV116)),0)</f>
        <v>74109.650488522369</v>
      </c>
    </row>
    <row r="117" spans="1:49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">
      <c r="A118" s="29" t="str">
        <f>IF(Inputs!$B$165=6,IFERROR(_xlfn.XLOOKUP($B118,Inputs!$B$166:$B$168,Inputs!$A$166:$A$168,,0,1),""),IFERROR(_xlfn.XLOOKUP($B118,Inputs!$C$166:$C$168,Inputs!$A$166:$A$168,,0,1),""))</f>
        <v/>
      </c>
      <c r="B118" s="31">
        <v>3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">
      <c r="A119" s="4" t="s">
        <v>23</v>
      </c>
      <c r="C119" s="8">
        <f>IFERROR(VLOOKUP($A118,$A$52:$H$66,C$1+2,FALSE),0)</f>
        <v>0</v>
      </c>
      <c r="D119" s="8">
        <f ca="1">C122</f>
        <v>0</v>
      </c>
      <c r="E119" s="8">
        <f t="shared" ref="E119:AM119" ca="1" si="205">D122</f>
        <v>0</v>
      </c>
      <c r="F119" s="8">
        <f t="shared" ca="1" si="205"/>
        <v>0</v>
      </c>
      <c r="G119" s="8">
        <f t="shared" ca="1" si="205"/>
        <v>0</v>
      </c>
      <c r="H119" s="8">
        <f t="shared" ca="1" si="205"/>
        <v>0</v>
      </c>
      <c r="I119" s="8">
        <f t="shared" ca="1" si="205"/>
        <v>0</v>
      </c>
      <c r="J119" s="8">
        <f t="shared" ca="1" si="205"/>
        <v>0</v>
      </c>
      <c r="K119" s="8">
        <f t="shared" ca="1" si="205"/>
        <v>0</v>
      </c>
      <c r="L119" s="8">
        <f t="shared" ca="1" si="205"/>
        <v>0</v>
      </c>
      <c r="M119" s="8">
        <f t="shared" ca="1" si="205"/>
        <v>0</v>
      </c>
      <c r="N119" s="8">
        <f t="shared" ca="1" si="205"/>
        <v>0</v>
      </c>
      <c r="O119" s="8">
        <f t="shared" ca="1" si="205"/>
        <v>0</v>
      </c>
      <c r="P119" s="8">
        <f t="shared" ca="1" si="205"/>
        <v>0</v>
      </c>
      <c r="Q119" s="8">
        <f t="shared" ca="1" si="205"/>
        <v>0</v>
      </c>
      <c r="R119" s="8">
        <f t="shared" ca="1" si="205"/>
        <v>0</v>
      </c>
      <c r="S119" s="8">
        <f t="shared" ca="1" si="205"/>
        <v>0</v>
      </c>
      <c r="T119" s="8">
        <f t="shared" ca="1" si="205"/>
        <v>0</v>
      </c>
      <c r="U119" s="8">
        <f t="shared" ca="1" si="205"/>
        <v>0</v>
      </c>
      <c r="V119" s="8">
        <f t="shared" ca="1" si="205"/>
        <v>0</v>
      </c>
      <c r="W119" s="8">
        <f t="shared" ca="1" si="205"/>
        <v>0</v>
      </c>
      <c r="X119" s="8">
        <f t="shared" ca="1" si="205"/>
        <v>0</v>
      </c>
      <c r="Y119" s="8">
        <f t="shared" ca="1" si="205"/>
        <v>0</v>
      </c>
      <c r="Z119" s="8">
        <f t="shared" ca="1" si="205"/>
        <v>0</v>
      </c>
      <c r="AA119" s="8">
        <f t="shared" ca="1" si="205"/>
        <v>0</v>
      </c>
      <c r="AB119" s="8">
        <f t="shared" ca="1" si="205"/>
        <v>0</v>
      </c>
      <c r="AC119" s="8">
        <f t="shared" ca="1" si="205"/>
        <v>0</v>
      </c>
      <c r="AD119" s="8">
        <f t="shared" ca="1" si="205"/>
        <v>0</v>
      </c>
      <c r="AE119" s="8">
        <f t="shared" ca="1" si="205"/>
        <v>0</v>
      </c>
      <c r="AF119" s="8">
        <f t="shared" ca="1" si="205"/>
        <v>0</v>
      </c>
      <c r="AG119" s="8">
        <f t="shared" ca="1" si="205"/>
        <v>0</v>
      </c>
      <c r="AH119" s="8">
        <f t="shared" ca="1" si="205"/>
        <v>0</v>
      </c>
      <c r="AI119" s="8">
        <f t="shared" ca="1" si="205"/>
        <v>0</v>
      </c>
      <c r="AJ119" s="8">
        <f t="shared" ca="1" si="205"/>
        <v>0</v>
      </c>
      <c r="AK119" s="8">
        <f t="shared" ca="1" si="205"/>
        <v>0</v>
      </c>
      <c r="AL119" s="8">
        <f t="shared" ca="1" si="205"/>
        <v>0</v>
      </c>
      <c r="AM119" s="8">
        <f t="shared" ca="1" si="205"/>
        <v>0</v>
      </c>
      <c r="AN119" s="8">
        <f t="shared" ref="AN119" ca="1" si="206">AM122</f>
        <v>0</v>
      </c>
      <c r="AO119" s="8">
        <f t="shared" ref="AO119" ca="1" si="207">AN122</f>
        <v>0</v>
      </c>
      <c r="AP119" s="8">
        <f t="shared" ref="AP119" ca="1" si="208">AO122</f>
        <v>0</v>
      </c>
      <c r="AQ119" s="8">
        <f t="shared" ref="AQ119" ca="1" si="209">AP122</f>
        <v>0</v>
      </c>
      <c r="AR119" s="8">
        <f t="shared" ref="AR119" ca="1" si="210">AQ122</f>
        <v>0</v>
      </c>
      <c r="AS119" s="8">
        <f t="shared" ref="AS119" ca="1" si="211">AR122</f>
        <v>0</v>
      </c>
      <c r="AT119" s="8">
        <f t="shared" ref="AT119" ca="1" si="212">AS122</f>
        <v>0</v>
      </c>
      <c r="AU119" s="8">
        <f t="shared" ref="AU119" ca="1" si="213">AT122</f>
        <v>0</v>
      </c>
      <c r="AV119" s="8">
        <f t="shared" ref="AV119:AW119" ca="1" si="214">AU122</f>
        <v>0</v>
      </c>
      <c r="AW119" s="8">
        <f t="shared" ca="1" si="214"/>
        <v>0</v>
      </c>
    </row>
    <row r="120" spans="1:49" x14ac:dyDescent="0.2">
      <c r="A120" s="4" t="s">
        <v>24</v>
      </c>
      <c r="C120" s="8">
        <f ca="1">-IF(SUM(C116:D116)&gt;0,C119,0)</f>
        <v>0</v>
      </c>
      <c r="D120" s="8">
        <f ca="1">-IF(E116&gt;0,D119,0)</f>
        <v>0</v>
      </c>
      <c r="E120" s="8">
        <f ca="1">-IF(F116&gt;0,E119,0)</f>
        <v>0</v>
      </c>
      <c r="F120" s="8">
        <f ca="1">-IF(G116&gt;0,F119,0)</f>
        <v>0</v>
      </c>
      <c r="G120" s="8">
        <f t="shared" ref="G120:AM120" ca="1" si="215">-IF(H116&gt;0,G119,0)</f>
        <v>0</v>
      </c>
      <c r="H120" s="8">
        <f t="shared" ca="1" si="215"/>
        <v>0</v>
      </c>
      <c r="I120" s="8">
        <f t="shared" ca="1" si="215"/>
        <v>0</v>
      </c>
      <c r="J120" s="8">
        <f t="shared" ca="1" si="215"/>
        <v>0</v>
      </c>
      <c r="K120" s="8">
        <f t="shared" ca="1" si="215"/>
        <v>0</v>
      </c>
      <c r="L120" s="8">
        <f t="shared" ca="1" si="215"/>
        <v>0</v>
      </c>
      <c r="M120" s="8">
        <f t="shared" ca="1" si="215"/>
        <v>0</v>
      </c>
      <c r="N120" s="8">
        <f t="shared" ca="1" si="215"/>
        <v>0</v>
      </c>
      <c r="O120" s="8">
        <f t="shared" ca="1" si="215"/>
        <v>0</v>
      </c>
      <c r="P120" s="8">
        <f t="shared" ca="1" si="215"/>
        <v>0</v>
      </c>
      <c r="Q120" s="8">
        <f t="shared" ca="1" si="215"/>
        <v>0</v>
      </c>
      <c r="R120" s="8">
        <f t="shared" ca="1" si="215"/>
        <v>0</v>
      </c>
      <c r="S120" s="8">
        <f t="shared" ca="1" si="215"/>
        <v>0</v>
      </c>
      <c r="T120" s="8">
        <f t="shared" ca="1" si="215"/>
        <v>0</v>
      </c>
      <c r="U120" s="8">
        <f t="shared" ca="1" si="215"/>
        <v>0</v>
      </c>
      <c r="V120" s="8">
        <f t="shared" ca="1" si="215"/>
        <v>0</v>
      </c>
      <c r="W120" s="8">
        <f t="shared" ca="1" si="215"/>
        <v>0</v>
      </c>
      <c r="X120" s="8">
        <f t="shared" ca="1" si="215"/>
        <v>0</v>
      </c>
      <c r="Y120" s="8">
        <f t="shared" ca="1" si="215"/>
        <v>0</v>
      </c>
      <c r="Z120" s="8">
        <f t="shared" ca="1" si="215"/>
        <v>0</v>
      </c>
      <c r="AA120" s="8">
        <f t="shared" ca="1" si="215"/>
        <v>0</v>
      </c>
      <c r="AB120" s="8">
        <f t="shared" ca="1" si="215"/>
        <v>0</v>
      </c>
      <c r="AC120" s="8">
        <f t="shared" ca="1" si="215"/>
        <v>0</v>
      </c>
      <c r="AD120" s="8">
        <f t="shared" ca="1" si="215"/>
        <v>0</v>
      </c>
      <c r="AE120" s="8">
        <f t="shared" ca="1" si="215"/>
        <v>0</v>
      </c>
      <c r="AF120" s="8">
        <f t="shared" ca="1" si="215"/>
        <v>0</v>
      </c>
      <c r="AG120" s="8">
        <f t="shared" ca="1" si="215"/>
        <v>0</v>
      </c>
      <c r="AH120" s="8">
        <f t="shared" ca="1" si="215"/>
        <v>0</v>
      </c>
      <c r="AI120" s="8">
        <f t="shared" ca="1" si="215"/>
        <v>0</v>
      </c>
      <c r="AJ120" s="8">
        <f t="shared" ca="1" si="215"/>
        <v>0</v>
      </c>
      <c r="AK120" s="8">
        <f t="shared" ca="1" si="215"/>
        <v>0</v>
      </c>
      <c r="AL120" s="8">
        <f t="shared" ca="1" si="215"/>
        <v>0</v>
      </c>
      <c r="AM120" s="8">
        <f t="shared" ca="1" si="215"/>
        <v>0</v>
      </c>
      <c r="AN120" s="8">
        <f t="shared" ref="AN120" ca="1" si="216">-IF(AO116&gt;0,AN119,0)</f>
        <v>0</v>
      </c>
      <c r="AO120" s="8">
        <f t="shared" ref="AO120" ca="1" si="217">-IF(AP116&gt;0,AO119,0)</f>
        <v>0</v>
      </c>
      <c r="AP120" s="8">
        <f t="shared" ref="AP120" ca="1" si="218">-IF(AQ116&gt;0,AP119,0)</f>
        <v>0</v>
      </c>
      <c r="AQ120" s="8">
        <f t="shared" ref="AQ120" ca="1" si="219">-IF(AR116&gt;0,AQ119,0)</f>
        <v>0</v>
      </c>
      <c r="AR120" s="8">
        <f t="shared" ref="AR120" ca="1" si="220">-IF(AS116&gt;0,AR119,0)</f>
        <v>0</v>
      </c>
      <c r="AS120" s="8">
        <f t="shared" ref="AS120" ca="1" si="221">-IF(AT116&gt;0,AS119,0)</f>
        <v>0</v>
      </c>
      <c r="AT120" s="8">
        <f t="shared" ref="AT120" ca="1" si="222">-IF(AU116&gt;0,AT119,0)</f>
        <v>0</v>
      </c>
      <c r="AU120" s="8">
        <f t="shared" ref="AU120" ca="1" si="223">-IF(AV116&gt;0,AU119,0)</f>
        <v>0</v>
      </c>
      <c r="AV120" s="8">
        <f t="shared" ref="AV120:AW120" ca="1" si="224">-IF(AW116&gt;0,AV119,0)</f>
        <v>0</v>
      </c>
      <c r="AW120" s="8">
        <f t="shared" si="224"/>
        <v>0</v>
      </c>
    </row>
    <row r="121" spans="1:49" x14ac:dyDescent="0.2">
      <c r="A121" s="4" t="s">
        <v>25</v>
      </c>
      <c r="C121" s="8">
        <v>0</v>
      </c>
      <c r="D121" s="8">
        <f t="shared" ref="D121:G121" ca="1" si="225">SUM(D119:D120)*princ</f>
        <v>0</v>
      </c>
      <c r="E121" s="8">
        <f t="shared" ca="1" si="225"/>
        <v>0</v>
      </c>
      <c r="F121" s="8">
        <f t="shared" ca="1" si="225"/>
        <v>0</v>
      </c>
      <c r="G121" s="8">
        <f t="shared" ca="1" si="225"/>
        <v>0</v>
      </c>
      <c r="H121" s="8">
        <f t="shared" ref="H121:AM121" ca="1" si="226">SUM(H119:H120)*princ</f>
        <v>0</v>
      </c>
      <c r="I121" s="8">
        <f t="shared" ca="1" si="226"/>
        <v>0</v>
      </c>
      <c r="J121" s="8">
        <f t="shared" ca="1" si="226"/>
        <v>0</v>
      </c>
      <c r="K121" s="8">
        <f t="shared" ca="1" si="226"/>
        <v>0</v>
      </c>
      <c r="L121" s="8">
        <f t="shared" ca="1" si="226"/>
        <v>0</v>
      </c>
      <c r="M121" s="8">
        <f t="shared" ca="1" si="226"/>
        <v>0</v>
      </c>
      <c r="N121" s="8">
        <f t="shared" ca="1" si="226"/>
        <v>0</v>
      </c>
      <c r="O121" s="8">
        <f t="shared" ca="1" si="226"/>
        <v>0</v>
      </c>
      <c r="P121" s="8">
        <f t="shared" ca="1" si="226"/>
        <v>0</v>
      </c>
      <c r="Q121" s="8">
        <f t="shared" ca="1" si="226"/>
        <v>0</v>
      </c>
      <c r="R121" s="8">
        <f t="shared" ca="1" si="226"/>
        <v>0</v>
      </c>
      <c r="S121" s="8">
        <f t="shared" ca="1" si="226"/>
        <v>0</v>
      </c>
      <c r="T121" s="8">
        <f t="shared" ca="1" si="226"/>
        <v>0</v>
      </c>
      <c r="U121" s="8">
        <f t="shared" ca="1" si="226"/>
        <v>0</v>
      </c>
      <c r="V121" s="8">
        <f t="shared" ca="1" si="226"/>
        <v>0</v>
      </c>
      <c r="W121" s="8">
        <f t="shared" ca="1" si="226"/>
        <v>0</v>
      </c>
      <c r="X121" s="8">
        <f t="shared" ca="1" si="226"/>
        <v>0</v>
      </c>
      <c r="Y121" s="8">
        <f t="shared" ca="1" si="226"/>
        <v>0</v>
      </c>
      <c r="Z121" s="8">
        <f t="shared" ca="1" si="226"/>
        <v>0</v>
      </c>
      <c r="AA121" s="8">
        <f t="shared" ca="1" si="226"/>
        <v>0</v>
      </c>
      <c r="AB121" s="8">
        <f t="shared" ca="1" si="226"/>
        <v>0</v>
      </c>
      <c r="AC121" s="8">
        <f t="shared" ca="1" si="226"/>
        <v>0</v>
      </c>
      <c r="AD121" s="8">
        <f t="shared" ca="1" si="226"/>
        <v>0</v>
      </c>
      <c r="AE121" s="8">
        <f t="shared" ca="1" si="226"/>
        <v>0</v>
      </c>
      <c r="AF121" s="8">
        <f t="shared" ca="1" si="226"/>
        <v>0</v>
      </c>
      <c r="AG121" s="8">
        <f t="shared" ca="1" si="226"/>
        <v>0</v>
      </c>
      <c r="AH121" s="8">
        <f t="shared" ca="1" si="226"/>
        <v>0</v>
      </c>
      <c r="AI121" s="8">
        <f t="shared" ca="1" si="226"/>
        <v>0</v>
      </c>
      <c r="AJ121" s="8">
        <f t="shared" ca="1" si="226"/>
        <v>0</v>
      </c>
      <c r="AK121" s="8">
        <f t="shared" ca="1" si="226"/>
        <v>0</v>
      </c>
      <c r="AL121" s="8">
        <f t="shared" ca="1" si="226"/>
        <v>0</v>
      </c>
      <c r="AM121" s="8">
        <f t="shared" ca="1" si="226"/>
        <v>0</v>
      </c>
      <c r="AN121" s="8">
        <f t="shared" ref="AN121:AV121" ca="1" si="227">SUM(AN119:AN120)*princ</f>
        <v>0</v>
      </c>
      <c r="AO121" s="8">
        <f t="shared" ca="1" si="227"/>
        <v>0</v>
      </c>
      <c r="AP121" s="8">
        <f t="shared" ca="1" si="227"/>
        <v>0</v>
      </c>
      <c r="AQ121" s="8">
        <f t="shared" ca="1" si="227"/>
        <v>0</v>
      </c>
      <c r="AR121" s="8">
        <f t="shared" ca="1" si="227"/>
        <v>0</v>
      </c>
      <c r="AS121" s="8">
        <f t="shared" ca="1" si="227"/>
        <v>0</v>
      </c>
      <c r="AT121" s="8">
        <f t="shared" ca="1" si="227"/>
        <v>0</v>
      </c>
      <c r="AU121" s="8">
        <f t="shared" ca="1" si="227"/>
        <v>0</v>
      </c>
      <c r="AV121" s="8">
        <f t="shared" ca="1" si="227"/>
        <v>0</v>
      </c>
      <c r="AW121" s="8">
        <f t="shared" ref="AW121" ca="1" si="228">SUM(AW119:AW120)*princ</f>
        <v>0</v>
      </c>
    </row>
    <row r="122" spans="1:49" x14ac:dyDescent="0.2">
      <c r="A122" s="4" t="s">
        <v>26</v>
      </c>
      <c r="C122" s="8">
        <f ca="1">SUM(C119:C121)</f>
        <v>0</v>
      </c>
      <c r="D122" s="8">
        <f t="shared" ref="D122:G122" ca="1" si="229">SUM(D119:D121)</f>
        <v>0</v>
      </c>
      <c r="E122" s="8">
        <f t="shared" ca="1" si="229"/>
        <v>0</v>
      </c>
      <c r="F122" s="8">
        <f t="shared" ca="1" si="229"/>
        <v>0</v>
      </c>
      <c r="G122" s="8">
        <f t="shared" ca="1" si="229"/>
        <v>0</v>
      </c>
      <c r="H122" s="8">
        <f t="shared" ref="H122:AM122" ca="1" si="230">SUM(H119:H121)</f>
        <v>0</v>
      </c>
      <c r="I122" s="8">
        <f t="shared" ca="1" si="230"/>
        <v>0</v>
      </c>
      <c r="J122" s="8">
        <f t="shared" ca="1" si="230"/>
        <v>0</v>
      </c>
      <c r="K122" s="8">
        <f t="shared" ca="1" si="230"/>
        <v>0</v>
      </c>
      <c r="L122" s="8">
        <f t="shared" ca="1" si="230"/>
        <v>0</v>
      </c>
      <c r="M122" s="8">
        <f t="shared" ca="1" si="230"/>
        <v>0</v>
      </c>
      <c r="N122" s="8">
        <f t="shared" ca="1" si="230"/>
        <v>0</v>
      </c>
      <c r="O122" s="8">
        <f t="shared" ca="1" si="230"/>
        <v>0</v>
      </c>
      <c r="P122" s="8">
        <f t="shared" ca="1" si="230"/>
        <v>0</v>
      </c>
      <c r="Q122" s="8">
        <f t="shared" ca="1" si="230"/>
        <v>0</v>
      </c>
      <c r="R122" s="8">
        <f t="shared" ca="1" si="230"/>
        <v>0</v>
      </c>
      <c r="S122" s="8">
        <f t="shared" ca="1" si="230"/>
        <v>0</v>
      </c>
      <c r="T122" s="8">
        <f t="shared" ca="1" si="230"/>
        <v>0</v>
      </c>
      <c r="U122" s="8">
        <f t="shared" ca="1" si="230"/>
        <v>0</v>
      </c>
      <c r="V122" s="8">
        <f t="shared" ca="1" si="230"/>
        <v>0</v>
      </c>
      <c r="W122" s="8">
        <f t="shared" ca="1" si="230"/>
        <v>0</v>
      </c>
      <c r="X122" s="8">
        <f t="shared" ca="1" si="230"/>
        <v>0</v>
      </c>
      <c r="Y122" s="8">
        <f t="shared" ca="1" si="230"/>
        <v>0</v>
      </c>
      <c r="Z122" s="8">
        <f t="shared" ca="1" si="230"/>
        <v>0</v>
      </c>
      <c r="AA122" s="8">
        <f t="shared" ca="1" si="230"/>
        <v>0</v>
      </c>
      <c r="AB122" s="8">
        <f t="shared" ca="1" si="230"/>
        <v>0</v>
      </c>
      <c r="AC122" s="8">
        <f t="shared" ca="1" si="230"/>
        <v>0</v>
      </c>
      <c r="AD122" s="8">
        <f t="shared" ca="1" si="230"/>
        <v>0</v>
      </c>
      <c r="AE122" s="8">
        <f t="shared" ca="1" si="230"/>
        <v>0</v>
      </c>
      <c r="AF122" s="8">
        <f t="shared" ca="1" si="230"/>
        <v>0</v>
      </c>
      <c r="AG122" s="8">
        <f t="shared" ca="1" si="230"/>
        <v>0</v>
      </c>
      <c r="AH122" s="8">
        <f t="shared" ca="1" si="230"/>
        <v>0</v>
      </c>
      <c r="AI122" s="8">
        <f t="shared" ca="1" si="230"/>
        <v>0</v>
      </c>
      <c r="AJ122" s="8">
        <f t="shared" ca="1" si="230"/>
        <v>0</v>
      </c>
      <c r="AK122" s="8">
        <f t="shared" ca="1" si="230"/>
        <v>0</v>
      </c>
      <c r="AL122" s="8">
        <f t="shared" ca="1" si="230"/>
        <v>0</v>
      </c>
      <c r="AM122" s="8">
        <f t="shared" ca="1" si="230"/>
        <v>0</v>
      </c>
      <c r="AN122" s="8">
        <f t="shared" ref="AN122:AV122" ca="1" si="231">SUM(AN119:AN121)</f>
        <v>0</v>
      </c>
      <c r="AO122" s="8">
        <f t="shared" ca="1" si="231"/>
        <v>0</v>
      </c>
      <c r="AP122" s="8">
        <f t="shared" ca="1" si="231"/>
        <v>0</v>
      </c>
      <c r="AQ122" s="8">
        <f t="shared" ca="1" si="231"/>
        <v>0</v>
      </c>
      <c r="AR122" s="8">
        <f t="shared" ca="1" si="231"/>
        <v>0</v>
      </c>
      <c r="AS122" s="8">
        <f t="shared" ca="1" si="231"/>
        <v>0</v>
      </c>
      <c r="AT122" s="8">
        <f t="shared" ca="1" si="231"/>
        <v>0</v>
      </c>
      <c r="AU122" s="8">
        <f t="shared" ca="1" si="231"/>
        <v>0</v>
      </c>
      <c r="AV122" s="8">
        <f t="shared" ca="1" si="231"/>
        <v>0</v>
      </c>
      <c r="AW122" s="8">
        <f t="shared" ref="AW122" ca="1" si="232">SUM(AW119:AW121)</f>
        <v>0</v>
      </c>
    </row>
    <row r="123" spans="1:49" x14ac:dyDescent="0.2">
      <c r="A123" s="4" t="s">
        <v>27</v>
      </c>
      <c r="C123" s="8">
        <f ca="1">C120*Inputs!$B$163</f>
        <v>0</v>
      </c>
      <c r="D123" s="8">
        <f ca="1">D120*Inputs!$B$163</f>
        <v>0</v>
      </c>
      <c r="E123" s="8">
        <f ca="1">E120*Inputs!$B$163</f>
        <v>0</v>
      </c>
      <c r="F123" s="8">
        <f ca="1">F120*Inputs!$B$163</f>
        <v>0</v>
      </c>
      <c r="G123" s="8">
        <f ca="1">G120*Inputs!$B$163</f>
        <v>0</v>
      </c>
      <c r="H123" s="8">
        <f ca="1">H120*Inputs!$B$163</f>
        <v>0</v>
      </c>
      <c r="I123" s="8">
        <f ca="1">I120*Inputs!$B$163</f>
        <v>0</v>
      </c>
      <c r="J123" s="8">
        <f ca="1">J120*Inputs!$B$163</f>
        <v>0</v>
      </c>
      <c r="K123" s="8">
        <f ca="1">K120*Inputs!$B$163</f>
        <v>0</v>
      </c>
      <c r="L123" s="8">
        <f ca="1">L120*Inputs!$B$163</f>
        <v>0</v>
      </c>
      <c r="M123" s="8">
        <f ca="1">M120*Inputs!$B$163</f>
        <v>0</v>
      </c>
      <c r="N123" s="8">
        <f ca="1">N120*Inputs!$B$163</f>
        <v>0</v>
      </c>
      <c r="O123" s="8">
        <f ca="1">O120*Inputs!$B$163</f>
        <v>0</v>
      </c>
      <c r="P123" s="8">
        <f ca="1">P120*Inputs!$B$163</f>
        <v>0</v>
      </c>
      <c r="Q123" s="8">
        <f ca="1">Q120*Inputs!$B$163</f>
        <v>0</v>
      </c>
      <c r="R123" s="8">
        <f ca="1">R120*Inputs!$B$163</f>
        <v>0</v>
      </c>
      <c r="S123" s="8">
        <f ca="1">S120*Inputs!$B$163</f>
        <v>0</v>
      </c>
      <c r="T123" s="8">
        <f ca="1">T120*Inputs!$B$163</f>
        <v>0</v>
      </c>
      <c r="U123" s="8">
        <f ca="1">U120*Inputs!$B$163</f>
        <v>0</v>
      </c>
      <c r="V123" s="8">
        <f ca="1">V120*Inputs!$B$163</f>
        <v>0</v>
      </c>
      <c r="W123" s="8">
        <f ca="1">W120*Inputs!$B$163</f>
        <v>0</v>
      </c>
      <c r="X123" s="8">
        <f ca="1">X120*Inputs!$B$163</f>
        <v>0</v>
      </c>
      <c r="Y123" s="8">
        <f ca="1">Y120*Inputs!$B$163</f>
        <v>0</v>
      </c>
      <c r="Z123" s="8">
        <f ca="1">Z120*Inputs!$B$163</f>
        <v>0</v>
      </c>
      <c r="AA123" s="8">
        <f ca="1">AA120*Inputs!$B$163</f>
        <v>0</v>
      </c>
      <c r="AB123" s="8">
        <f ca="1">AB120*Inputs!$B$163</f>
        <v>0</v>
      </c>
      <c r="AC123" s="8">
        <f ca="1">AC120*Inputs!$B$163</f>
        <v>0</v>
      </c>
      <c r="AD123" s="8">
        <f ca="1">AD120*Inputs!$B$163</f>
        <v>0</v>
      </c>
      <c r="AE123" s="8">
        <f ca="1">AE120*Inputs!$B$163</f>
        <v>0</v>
      </c>
      <c r="AF123" s="8">
        <f ca="1">AF120*Inputs!$B$163</f>
        <v>0</v>
      </c>
      <c r="AG123" s="8">
        <f ca="1">AG120*Inputs!$B$163</f>
        <v>0</v>
      </c>
      <c r="AH123" s="8">
        <f ca="1">AH120*Inputs!$B$163</f>
        <v>0</v>
      </c>
      <c r="AI123" s="8">
        <f ca="1">AI120*Inputs!$B$163</f>
        <v>0</v>
      </c>
      <c r="AJ123" s="8">
        <f ca="1">AJ120*Inputs!$B$163</f>
        <v>0</v>
      </c>
      <c r="AK123" s="8">
        <f ca="1">AK120*Inputs!$B$163</f>
        <v>0</v>
      </c>
      <c r="AL123" s="8">
        <f ca="1">AL120*Inputs!$B$163</f>
        <v>0</v>
      </c>
      <c r="AM123" s="8">
        <f ca="1">AM120*Inputs!$B$163</f>
        <v>0</v>
      </c>
      <c r="AN123" s="8">
        <f ca="1">AN120*Inputs!$B$163</f>
        <v>0</v>
      </c>
      <c r="AO123" s="8">
        <f ca="1">AO120*Inputs!$B$163</f>
        <v>0</v>
      </c>
      <c r="AP123" s="8">
        <f ca="1">AP120*Inputs!$B$163</f>
        <v>0</v>
      </c>
      <c r="AQ123" s="8">
        <f ca="1">AQ120*Inputs!$B$163</f>
        <v>0</v>
      </c>
      <c r="AR123" s="8">
        <f ca="1">AR120*Inputs!$B$163</f>
        <v>0</v>
      </c>
      <c r="AS123" s="8">
        <f ca="1">AS120*Inputs!$B$163</f>
        <v>0</v>
      </c>
      <c r="AT123" s="8">
        <f ca="1">AT120*Inputs!$B$163</f>
        <v>0</v>
      </c>
      <c r="AU123" s="8">
        <f ca="1">AU120*Inputs!$B$163</f>
        <v>0</v>
      </c>
      <c r="AV123" s="8">
        <f ca="1">AV120*Inputs!$B$163</f>
        <v>0</v>
      </c>
      <c r="AW123" s="8">
        <f>AW120*Inputs!$B$163</f>
        <v>0</v>
      </c>
    </row>
    <row r="124" spans="1:49" x14ac:dyDescent="0.2">
      <c r="A124" s="4" t="s">
        <v>34</v>
      </c>
      <c r="C124" s="8">
        <f>IFERROR(-IF(C119=0,VLOOKUP($A118,$7:$10,C$1+2,FALSE),0),0)</f>
        <v>0</v>
      </c>
      <c r="D124" s="8">
        <f t="shared" ref="D124:G124" ca="1" si="233">IFERROR(-IF(D119=0,VLOOKUP($A118,$7:$10,D$1+2,FALSE),0),0)</f>
        <v>0</v>
      </c>
      <c r="E124" s="8">
        <f t="shared" ca="1" si="233"/>
        <v>0</v>
      </c>
      <c r="F124" s="8">
        <f t="shared" ca="1" si="233"/>
        <v>0</v>
      </c>
      <c r="G124" s="8">
        <f t="shared" ca="1" si="233"/>
        <v>0</v>
      </c>
      <c r="H124" s="8">
        <f t="shared" ref="H124:AM124" ca="1" si="234">IFERROR(-IF(H119=0,VLOOKUP($A118,$7:$10,H$1+2,FALSE),0),0)</f>
        <v>0</v>
      </c>
      <c r="I124" s="8">
        <f t="shared" ca="1" si="234"/>
        <v>0</v>
      </c>
      <c r="J124" s="8">
        <f t="shared" ca="1" si="234"/>
        <v>0</v>
      </c>
      <c r="K124" s="8">
        <f t="shared" ca="1" si="234"/>
        <v>0</v>
      </c>
      <c r="L124" s="8">
        <f t="shared" ca="1" si="234"/>
        <v>0</v>
      </c>
      <c r="M124" s="8">
        <f t="shared" ca="1" si="234"/>
        <v>0</v>
      </c>
      <c r="N124" s="8">
        <f t="shared" ca="1" si="234"/>
        <v>0</v>
      </c>
      <c r="O124" s="8">
        <f t="shared" ca="1" si="234"/>
        <v>0</v>
      </c>
      <c r="P124" s="8">
        <f t="shared" ca="1" si="234"/>
        <v>0</v>
      </c>
      <c r="Q124" s="8">
        <f t="shared" ca="1" si="234"/>
        <v>0</v>
      </c>
      <c r="R124" s="8">
        <f t="shared" ca="1" si="234"/>
        <v>0</v>
      </c>
      <c r="S124" s="8">
        <f t="shared" ca="1" si="234"/>
        <v>0</v>
      </c>
      <c r="T124" s="8">
        <f t="shared" ca="1" si="234"/>
        <v>0</v>
      </c>
      <c r="U124" s="8">
        <f t="shared" ca="1" si="234"/>
        <v>0</v>
      </c>
      <c r="V124" s="8">
        <f t="shared" ca="1" si="234"/>
        <v>0</v>
      </c>
      <c r="W124" s="8">
        <f t="shared" ca="1" si="234"/>
        <v>0</v>
      </c>
      <c r="X124" s="8">
        <f t="shared" ca="1" si="234"/>
        <v>0</v>
      </c>
      <c r="Y124" s="8">
        <f t="shared" ca="1" si="234"/>
        <v>0</v>
      </c>
      <c r="Z124" s="8">
        <f t="shared" ca="1" si="234"/>
        <v>0</v>
      </c>
      <c r="AA124" s="8">
        <f t="shared" ca="1" si="234"/>
        <v>0</v>
      </c>
      <c r="AB124" s="8">
        <f t="shared" ca="1" si="234"/>
        <v>0</v>
      </c>
      <c r="AC124" s="8">
        <f t="shared" ca="1" si="234"/>
        <v>0</v>
      </c>
      <c r="AD124" s="8">
        <f t="shared" ca="1" si="234"/>
        <v>0</v>
      </c>
      <c r="AE124" s="8">
        <f t="shared" ca="1" si="234"/>
        <v>0</v>
      </c>
      <c r="AF124" s="8">
        <f t="shared" ca="1" si="234"/>
        <v>0</v>
      </c>
      <c r="AG124" s="8">
        <f t="shared" ca="1" si="234"/>
        <v>0</v>
      </c>
      <c r="AH124" s="8">
        <f t="shared" ca="1" si="234"/>
        <v>0</v>
      </c>
      <c r="AI124" s="8">
        <f t="shared" ca="1" si="234"/>
        <v>0</v>
      </c>
      <c r="AJ124" s="8">
        <f t="shared" ca="1" si="234"/>
        <v>0</v>
      </c>
      <c r="AK124" s="8">
        <f t="shared" ca="1" si="234"/>
        <v>0</v>
      </c>
      <c r="AL124" s="8">
        <f t="shared" ca="1" si="234"/>
        <v>0</v>
      </c>
      <c r="AM124" s="8">
        <f t="shared" ca="1" si="234"/>
        <v>0</v>
      </c>
      <c r="AN124" s="8">
        <f t="shared" ref="AN124:AV124" ca="1" si="235">IFERROR(-IF(AN119=0,VLOOKUP($A118,$7:$10,AN$1+2,FALSE),0),0)</f>
        <v>0</v>
      </c>
      <c r="AO124" s="8">
        <f t="shared" ca="1" si="235"/>
        <v>0</v>
      </c>
      <c r="AP124" s="8">
        <f t="shared" ca="1" si="235"/>
        <v>0</v>
      </c>
      <c r="AQ124" s="8">
        <f t="shared" ca="1" si="235"/>
        <v>0</v>
      </c>
      <c r="AR124" s="8">
        <f t="shared" ca="1" si="235"/>
        <v>0</v>
      </c>
      <c r="AS124" s="8">
        <f t="shared" ca="1" si="235"/>
        <v>0</v>
      </c>
      <c r="AT124" s="8">
        <f t="shared" ca="1" si="235"/>
        <v>0</v>
      </c>
      <c r="AU124" s="8">
        <f t="shared" ca="1" si="235"/>
        <v>0</v>
      </c>
      <c r="AV124" s="8">
        <f t="shared" ca="1" si="235"/>
        <v>0</v>
      </c>
      <c r="AW124" s="8">
        <f t="shared" ref="AW124" ca="1" si="236">IFERROR(-IF(AW119=0,VLOOKUP($A118,$7:$10,AW$1+2,FALSE),0),0)</f>
        <v>0</v>
      </c>
    </row>
    <row r="125" spans="1:49" x14ac:dyDescent="0.2">
      <c r="A125" s="4" t="s">
        <v>54</v>
      </c>
      <c r="C125" s="8">
        <f>IFERROR(IF(C119=0,VLOOKUP($A118,$33:$36,C$1+2,FALSE),0),0)</f>
        <v>0</v>
      </c>
      <c r="D125" s="8">
        <f t="shared" ref="D125:G125" ca="1" si="237">IFERROR(IF(D119=0,VLOOKUP($A118,$33:$36,D$1+2,FALSE),0),0)</f>
        <v>0</v>
      </c>
      <c r="E125" s="8">
        <f t="shared" ca="1" si="237"/>
        <v>0</v>
      </c>
      <c r="F125" s="8">
        <f t="shared" ca="1" si="237"/>
        <v>0</v>
      </c>
      <c r="G125" s="8">
        <f t="shared" ca="1" si="237"/>
        <v>0</v>
      </c>
      <c r="H125" s="8">
        <f t="shared" ref="H125:AM125" ca="1" si="238">IFERROR(IF(H119=0,VLOOKUP($A118,$33:$36,H$1+2,FALSE),0),0)</f>
        <v>0</v>
      </c>
      <c r="I125" s="8">
        <f t="shared" ca="1" si="238"/>
        <v>0</v>
      </c>
      <c r="J125" s="8">
        <f t="shared" ca="1" si="238"/>
        <v>0</v>
      </c>
      <c r="K125" s="8">
        <f t="shared" ca="1" si="238"/>
        <v>0</v>
      </c>
      <c r="L125" s="8">
        <f t="shared" ca="1" si="238"/>
        <v>0</v>
      </c>
      <c r="M125" s="8">
        <f t="shared" ca="1" si="238"/>
        <v>0</v>
      </c>
      <c r="N125" s="8">
        <f t="shared" ca="1" si="238"/>
        <v>0</v>
      </c>
      <c r="O125" s="8">
        <f t="shared" ca="1" si="238"/>
        <v>0</v>
      </c>
      <c r="P125" s="8">
        <f t="shared" ca="1" si="238"/>
        <v>0</v>
      </c>
      <c r="Q125" s="8">
        <f t="shared" ca="1" si="238"/>
        <v>0</v>
      </c>
      <c r="R125" s="8">
        <f t="shared" ca="1" si="238"/>
        <v>0</v>
      </c>
      <c r="S125" s="8">
        <f t="shared" ca="1" si="238"/>
        <v>0</v>
      </c>
      <c r="T125" s="8">
        <f t="shared" ca="1" si="238"/>
        <v>0</v>
      </c>
      <c r="U125" s="8">
        <f t="shared" ca="1" si="238"/>
        <v>0</v>
      </c>
      <c r="V125" s="8">
        <f t="shared" ca="1" si="238"/>
        <v>0</v>
      </c>
      <c r="W125" s="8">
        <f t="shared" ca="1" si="238"/>
        <v>0</v>
      </c>
      <c r="X125" s="8">
        <f t="shared" ca="1" si="238"/>
        <v>0</v>
      </c>
      <c r="Y125" s="8">
        <f t="shared" ca="1" si="238"/>
        <v>0</v>
      </c>
      <c r="Z125" s="8">
        <f t="shared" ca="1" si="238"/>
        <v>0</v>
      </c>
      <c r="AA125" s="8">
        <f t="shared" ca="1" si="238"/>
        <v>0</v>
      </c>
      <c r="AB125" s="8">
        <f t="shared" ca="1" si="238"/>
        <v>0</v>
      </c>
      <c r="AC125" s="8">
        <f t="shared" ca="1" si="238"/>
        <v>0</v>
      </c>
      <c r="AD125" s="8">
        <f t="shared" ca="1" si="238"/>
        <v>0</v>
      </c>
      <c r="AE125" s="8">
        <f t="shared" ca="1" si="238"/>
        <v>0</v>
      </c>
      <c r="AF125" s="8">
        <f t="shared" ca="1" si="238"/>
        <v>0</v>
      </c>
      <c r="AG125" s="8">
        <f t="shared" ca="1" si="238"/>
        <v>0</v>
      </c>
      <c r="AH125" s="8">
        <f t="shared" ca="1" si="238"/>
        <v>0</v>
      </c>
      <c r="AI125" s="8">
        <f t="shared" ca="1" si="238"/>
        <v>0</v>
      </c>
      <c r="AJ125" s="8">
        <f t="shared" ca="1" si="238"/>
        <v>0</v>
      </c>
      <c r="AK125" s="8">
        <f t="shared" ca="1" si="238"/>
        <v>0</v>
      </c>
      <c r="AL125" s="8">
        <f t="shared" ca="1" si="238"/>
        <v>0</v>
      </c>
      <c r="AM125" s="8">
        <f t="shared" ca="1" si="238"/>
        <v>0</v>
      </c>
      <c r="AN125" s="8">
        <f t="shared" ref="AN125:AV125" ca="1" si="239">IFERROR(IF(AN119=0,VLOOKUP($A118,$33:$36,AN$1+2,FALSE),0),0)</f>
        <v>0</v>
      </c>
      <c r="AO125" s="8">
        <f t="shared" ca="1" si="239"/>
        <v>0</v>
      </c>
      <c r="AP125" s="8">
        <f t="shared" ca="1" si="239"/>
        <v>0</v>
      </c>
      <c r="AQ125" s="8">
        <f t="shared" ca="1" si="239"/>
        <v>0</v>
      </c>
      <c r="AR125" s="8">
        <f t="shared" ca="1" si="239"/>
        <v>0</v>
      </c>
      <c r="AS125" s="8">
        <f t="shared" ca="1" si="239"/>
        <v>0</v>
      </c>
      <c r="AT125" s="8">
        <f t="shared" ca="1" si="239"/>
        <v>0</v>
      </c>
      <c r="AU125" s="8">
        <f t="shared" ca="1" si="239"/>
        <v>0</v>
      </c>
      <c r="AV125" s="8">
        <f t="shared" ca="1" si="239"/>
        <v>0</v>
      </c>
      <c r="AW125" s="8">
        <f t="shared" ref="AW125" ca="1" si="240">IFERROR(IF(AW119=0,VLOOKUP($A118,$33:$36,AW$1+2,FALSE),0),0)</f>
        <v>0</v>
      </c>
    </row>
    <row r="126" spans="1:49" x14ac:dyDescent="0.2">
      <c r="A126" s="4" t="s">
        <v>40</v>
      </c>
      <c r="B126" s="16" t="str">
        <f>A118</f>
        <v/>
      </c>
      <c r="C126" s="8">
        <f ca="1">IF(AND(C119&gt;0,C122=0),VLOOKUP($A118,$61:$64,C$1+2,FALSE),0)</f>
        <v>0</v>
      </c>
      <c r="D126" s="8">
        <f t="shared" ref="D126:G126" ca="1" si="241">IF(AND(D119&gt;0,D122=0),VLOOKUP($A118,$61:$64,D$1+2,FALSE),0)</f>
        <v>0</v>
      </c>
      <c r="E126" s="8">
        <f t="shared" ca="1" si="241"/>
        <v>0</v>
      </c>
      <c r="F126" s="8">
        <f t="shared" ca="1" si="241"/>
        <v>0</v>
      </c>
      <c r="G126" s="8">
        <f t="shared" ca="1" si="241"/>
        <v>0</v>
      </c>
      <c r="H126" s="8">
        <f t="shared" ref="H126:AM126" ca="1" si="242">IF(AND(H119&gt;0,H122=0),VLOOKUP($A118,$61:$64,H$1+2,FALSE),0)</f>
        <v>0</v>
      </c>
      <c r="I126" s="8">
        <f t="shared" ca="1" si="242"/>
        <v>0</v>
      </c>
      <c r="J126" s="8">
        <f t="shared" ca="1" si="242"/>
        <v>0</v>
      </c>
      <c r="K126" s="8">
        <f t="shared" ca="1" si="242"/>
        <v>0</v>
      </c>
      <c r="L126" s="8">
        <f t="shared" ca="1" si="242"/>
        <v>0</v>
      </c>
      <c r="M126" s="8">
        <f t="shared" ca="1" si="242"/>
        <v>0</v>
      </c>
      <c r="N126" s="8">
        <f t="shared" ca="1" si="242"/>
        <v>0</v>
      </c>
      <c r="O126" s="8">
        <f t="shared" ca="1" si="242"/>
        <v>0</v>
      </c>
      <c r="P126" s="8">
        <f t="shared" ca="1" si="242"/>
        <v>0</v>
      </c>
      <c r="Q126" s="8">
        <f t="shared" ca="1" si="242"/>
        <v>0</v>
      </c>
      <c r="R126" s="8">
        <f t="shared" ca="1" si="242"/>
        <v>0</v>
      </c>
      <c r="S126" s="8">
        <f t="shared" ca="1" si="242"/>
        <v>0</v>
      </c>
      <c r="T126" s="8">
        <f t="shared" ca="1" si="242"/>
        <v>0</v>
      </c>
      <c r="U126" s="8">
        <f t="shared" ca="1" si="242"/>
        <v>0</v>
      </c>
      <c r="V126" s="8">
        <f t="shared" ca="1" si="242"/>
        <v>0</v>
      </c>
      <c r="W126" s="8">
        <f t="shared" ca="1" si="242"/>
        <v>0</v>
      </c>
      <c r="X126" s="8">
        <f t="shared" ca="1" si="242"/>
        <v>0</v>
      </c>
      <c r="Y126" s="8">
        <f t="shared" ca="1" si="242"/>
        <v>0</v>
      </c>
      <c r="Z126" s="8">
        <f t="shared" ca="1" si="242"/>
        <v>0</v>
      </c>
      <c r="AA126" s="8">
        <f t="shared" ca="1" si="242"/>
        <v>0</v>
      </c>
      <c r="AB126" s="8">
        <f t="shared" ca="1" si="242"/>
        <v>0</v>
      </c>
      <c r="AC126" s="8">
        <f t="shared" ca="1" si="242"/>
        <v>0</v>
      </c>
      <c r="AD126" s="8">
        <f t="shared" ca="1" si="242"/>
        <v>0</v>
      </c>
      <c r="AE126" s="8">
        <f t="shared" ca="1" si="242"/>
        <v>0</v>
      </c>
      <c r="AF126" s="8">
        <f t="shared" ca="1" si="242"/>
        <v>0</v>
      </c>
      <c r="AG126" s="8">
        <f t="shared" ca="1" si="242"/>
        <v>0</v>
      </c>
      <c r="AH126" s="8">
        <f t="shared" ca="1" si="242"/>
        <v>0</v>
      </c>
      <c r="AI126" s="8">
        <f t="shared" ca="1" si="242"/>
        <v>0</v>
      </c>
      <c r="AJ126" s="8">
        <f t="shared" ca="1" si="242"/>
        <v>0</v>
      </c>
      <c r="AK126" s="8">
        <f t="shared" ca="1" si="242"/>
        <v>0</v>
      </c>
      <c r="AL126" s="8">
        <f t="shared" ca="1" si="242"/>
        <v>0</v>
      </c>
      <c r="AM126" s="8">
        <f t="shared" ca="1" si="242"/>
        <v>0</v>
      </c>
      <c r="AN126" s="8">
        <f t="shared" ref="AN126:AV126" ca="1" si="243">IF(AND(AN119&gt;0,AN122=0),VLOOKUP($A118,$61:$64,AN$1+2,FALSE),0)</f>
        <v>0</v>
      </c>
      <c r="AO126" s="8">
        <f t="shared" ca="1" si="243"/>
        <v>0</v>
      </c>
      <c r="AP126" s="8">
        <f t="shared" ca="1" si="243"/>
        <v>0</v>
      </c>
      <c r="AQ126" s="8">
        <f t="shared" ca="1" si="243"/>
        <v>0</v>
      </c>
      <c r="AR126" s="8">
        <f t="shared" ca="1" si="243"/>
        <v>0</v>
      </c>
      <c r="AS126" s="8">
        <f t="shared" ca="1" si="243"/>
        <v>0</v>
      </c>
      <c r="AT126" s="8">
        <f t="shared" ca="1" si="243"/>
        <v>0</v>
      </c>
      <c r="AU126" s="8">
        <f t="shared" ca="1" si="243"/>
        <v>0</v>
      </c>
      <c r="AV126" s="8">
        <f t="shared" ca="1" si="243"/>
        <v>0</v>
      </c>
      <c r="AW126" s="8">
        <f t="shared" ref="AW126" ca="1" si="244">IF(AND(AW119&gt;0,AW122=0),VLOOKUP($A118,$61:$64,AW$1+2,FALSE),0)</f>
        <v>0</v>
      </c>
    </row>
    <row r="127" spans="1:49" x14ac:dyDescent="0.2">
      <c r="A127" s="4" t="s">
        <v>41</v>
      </c>
      <c r="C127" s="8">
        <f ca="1">-C120+SUM(C123:C126)</f>
        <v>0</v>
      </c>
      <c r="D127" s="8">
        <f t="shared" ref="D127" ca="1" si="245">-D120+SUM(D123:D126)</f>
        <v>0</v>
      </c>
      <c r="E127" s="8">
        <f t="shared" ref="E127:G127" ca="1" si="246">-E120+SUM(E123:E126)</f>
        <v>0</v>
      </c>
      <c r="F127" s="8">
        <f t="shared" ca="1" si="246"/>
        <v>0</v>
      </c>
      <c r="G127" s="8">
        <f t="shared" ca="1" si="246"/>
        <v>0</v>
      </c>
      <c r="H127" s="8">
        <f t="shared" ref="H127:AM127" ca="1" si="247">-H120+SUM(H123:H126)</f>
        <v>0</v>
      </c>
      <c r="I127" s="8">
        <f t="shared" ca="1" si="247"/>
        <v>0</v>
      </c>
      <c r="J127" s="8">
        <f t="shared" ca="1" si="247"/>
        <v>0</v>
      </c>
      <c r="K127" s="8">
        <f t="shared" ca="1" si="247"/>
        <v>0</v>
      </c>
      <c r="L127" s="8">
        <f t="shared" ca="1" si="247"/>
        <v>0</v>
      </c>
      <c r="M127" s="8">
        <f t="shared" ca="1" si="247"/>
        <v>0</v>
      </c>
      <c r="N127" s="8">
        <f t="shared" ca="1" si="247"/>
        <v>0</v>
      </c>
      <c r="O127" s="8">
        <f t="shared" ca="1" si="247"/>
        <v>0</v>
      </c>
      <c r="P127" s="8">
        <f t="shared" ca="1" si="247"/>
        <v>0</v>
      </c>
      <c r="Q127" s="8">
        <f t="shared" ca="1" si="247"/>
        <v>0</v>
      </c>
      <c r="R127" s="8">
        <f t="shared" ca="1" si="247"/>
        <v>0</v>
      </c>
      <c r="S127" s="8">
        <f t="shared" ca="1" si="247"/>
        <v>0</v>
      </c>
      <c r="T127" s="8">
        <f t="shared" ca="1" si="247"/>
        <v>0</v>
      </c>
      <c r="U127" s="8">
        <f t="shared" ca="1" si="247"/>
        <v>0</v>
      </c>
      <c r="V127" s="8">
        <f t="shared" ca="1" si="247"/>
        <v>0</v>
      </c>
      <c r="W127" s="8">
        <f t="shared" ca="1" si="247"/>
        <v>0</v>
      </c>
      <c r="X127" s="8">
        <f t="shared" ca="1" si="247"/>
        <v>0</v>
      </c>
      <c r="Y127" s="8">
        <f t="shared" ca="1" si="247"/>
        <v>0</v>
      </c>
      <c r="Z127" s="8">
        <f t="shared" ca="1" si="247"/>
        <v>0</v>
      </c>
      <c r="AA127" s="8">
        <f t="shared" ca="1" si="247"/>
        <v>0</v>
      </c>
      <c r="AB127" s="8">
        <f t="shared" ca="1" si="247"/>
        <v>0</v>
      </c>
      <c r="AC127" s="8">
        <f t="shared" ca="1" si="247"/>
        <v>0</v>
      </c>
      <c r="AD127" s="8">
        <f t="shared" ca="1" si="247"/>
        <v>0</v>
      </c>
      <c r="AE127" s="8">
        <f t="shared" ca="1" si="247"/>
        <v>0</v>
      </c>
      <c r="AF127" s="8">
        <f t="shared" ca="1" si="247"/>
        <v>0</v>
      </c>
      <c r="AG127" s="8">
        <f t="shared" ca="1" si="247"/>
        <v>0</v>
      </c>
      <c r="AH127" s="8">
        <f t="shared" ca="1" si="247"/>
        <v>0</v>
      </c>
      <c r="AI127" s="8">
        <f t="shared" ca="1" si="247"/>
        <v>0</v>
      </c>
      <c r="AJ127" s="8">
        <f t="shared" ca="1" si="247"/>
        <v>0</v>
      </c>
      <c r="AK127" s="8">
        <f t="shared" ca="1" si="247"/>
        <v>0</v>
      </c>
      <c r="AL127" s="8">
        <f t="shared" ca="1" si="247"/>
        <v>0</v>
      </c>
      <c r="AM127" s="8">
        <f t="shared" ca="1" si="247"/>
        <v>0</v>
      </c>
      <c r="AN127" s="8">
        <f t="shared" ref="AN127:AV127" ca="1" si="248">-AN120+SUM(AN123:AN126)</f>
        <v>0</v>
      </c>
      <c r="AO127" s="8">
        <f t="shared" ca="1" si="248"/>
        <v>0</v>
      </c>
      <c r="AP127" s="8">
        <f t="shared" ca="1" si="248"/>
        <v>0</v>
      </c>
      <c r="AQ127" s="8">
        <f t="shared" ca="1" si="248"/>
        <v>0</v>
      </c>
      <c r="AR127" s="8">
        <f t="shared" ca="1" si="248"/>
        <v>0</v>
      </c>
      <c r="AS127" s="8">
        <f t="shared" ca="1" si="248"/>
        <v>0</v>
      </c>
      <c r="AT127" s="8">
        <f t="shared" ca="1" si="248"/>
        <v>0</v>
      </c>
      <c r="AU127" s="8">
        <f t="shared" ca="1" si="248"/>
        <v>0</v>
      </c>
      <c r="AV127" s="8">
        <f t="shared" ca="1" si="248"/>
        <v>0</v>
      </c>
      <c r="AW127" s="8">
        <f t="shared" ref="AW127" ca="1" si="249">-AW120+SUM(AW123:AW126)</f>
        <v>0</v>
      </c>
    </row>
    <row r="128" spans="1:49" x14ac:dyDescent="0.2">
      <c r="A128" s="4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">
      <c r="A129" s="4" t="s">
        <v>87</v>
      </c>
      <c r="C129" s="8">
        <f ca="1">C115+SUM($C127:C127)</f>
        <v>184898.75</v>
      </c>
      <c r="D129" s="8">
        <f ca="1">D115+SUM($C127:D127)</f>
        <v>190464.1875</v>
      </c>
      <c r="E129" s="8">
        <f ca="1">E115+SUM($C127:E127)</f>
        <v>196735.69765625001</v>
      </c>
      <c r="F129" s="8">
        <f ca="1">F115+SUM($C127:F127)</f>
        <v>203754.49157812502</v>
      </c>
      <c r="G129" s="8">
        <f ca="1">G115+SUM($C127:G127)</f>
        <v>211563.68121130861</v>
      </c>
      <c r="H129" s="8">
        <f ca="1">H115+SUM($C127:H127)</f>
        <v>220208.35706995256</v>
      </c>
      <c r="I129" s="8">
        <f ca="1">I115+SUM($C127:I127)</f>
        <v>229735.66892084025</v>
      </c>
      <c r="J129" s="8">
        <f ca="1">J115+SUM($C127:J127)</f>
        <v>240194.90952617431</v>
      </c>
      <c r="K129" s="8">
        <f ca="1">K115+SUM($C127:K127)</f>
        <v>251637.60155532236</v>
      </c>
      <c r="L129" s="8">
        <f ca="1">L115+SUM($C127:L127)</f>
        <v>264117.58777969546</v>
      </c>
      <c r="M129" s="8">
        <f ca="1">M115+SUM($C127:M127)</f>
        <v>277691.1246689033</v>
      </c>
      <c r="N129" s="8">
        <f ca="1">N115+SUM($C127:N127)</f>
        <v>208324.77186392489</v>
      </c>
      <c r="O129" s="8">
        <f ca="1">O115+SUM($C127:O127)</f>
        <v>135547.0444657795</v>
      </c>
      <c r="P129" s="8">
        <f ca="1">P115+SUM($C127:P127)</f>
        <v>59230.727715311907</v>
      </c>
      <c r="Q129" s="8">
        <f ca="1">Q115+SUM($C127:Q127)</f>
        <v>0</v>
      </c>
      <c r="R129" s="8">
        <f ca="1">R115+SUM($C127:R127)</f>
        <v>407213.7335140247</v>
      </c>
      <c r="S129" s="8">
        <f ca="1">S115+SUM($C127:S127)</f>
        <v>395291.8008390264</v>
      </c>
      <c r="T129" s="8">
        <f ca="1">T115+SUM($C127:T127)</f>
        <v>352462.15956001484</v>
      </c>
      <c r="U129" s="8">
        <f ca="1">U115+SUM($C127:U127)</f>
        <v>315022.09016209241</v>
      </c>
      <c r="V129" s="8">
        <f ca="1">V115+SUM($C127:V127)</f>
        <v>275308.03835375386</v>
      </c>
      <c r="W129" s="8">
        <f ca="1">W115+SUM($C127:W127)</f>
        <v>233263.15457473893</v>
      </c>
      <c r="X129" s="8">
        <f ca="1">X115+SUM($C127:X127)</f>
        <v>188829.1680257805</v>
      </c>
      <c r="Y129" s="8">
        <f ca="1">Y115+SUM($C127:Y127)</f>
        <v>141946.35113763015</v>
      </c>
      <c r="Z129" s="8">
        <f ca="1">Z115+SUM($C127:Z127)</f>
        <v>92553.48315180809</v>
      </c>
      <c r="AA129" s="8">
        <f ca="1">AA115+SUM($C127:AA127)</f>
        <v>40587.812790872355</v>
      </c>
      <c r="AB129" s="8">
        <f ca="1">AB115+SUM($C127:AB127)</f>
        <v>-12805.777240805619</v>
      </c>
      <c r="AC129" s="8">
        <f ca="1">AC115+SUM($C127:AC127)</f>
        <v>-67534.20702327555</v>
      </c>
      <c r="AD129" s="8">
        <f ca="1">AD115+SUM($C127:AD127)</f>
        <v>-123630.84755030723</v>
      </c>
      <c r="AE129" s="8">
        <f ca="1">AE115+SUM($C127:AE127)</f>
        <v>-171147.42899672867</v>
      </c>
      <c r="AF129" s="8">
        <f ca="1">AF115+SUM($C127:AF127)</f>
        <v>-219851.92497931066</v>
      </c>
      <c r="AG129" s="8">
        <f ca="1">AG115+SUM($C127:AG127)</f>
        <v>-269774.03336145723</v>
      </c>
      <c r="AH129" s="8">
        <f ca="1">AH115+SUM($C127:AH127)</f>
        <v>-320944.19445315743</v>
      </c>
      <c r="AI129" s="8">
        <f ca="1">AI115+SUM($C127:AI127)</f>
        <v>-373393.60957215016</v>
      </c>
      <c r="AJ129" s="8">
        <f ca="1">AJ115+SUM($C127:AJ127)</f>
        <v>-427154.26006911776</v>
      </c>
      <c r="AK129" s="8">
        <f ca="1">AK115+SUM($C127:AK127)</f>
        <v>-482258.9268285096</v>
      </c>
      <c r="AL129" s="8">
        <f ca="1">AL115+SUM($C127:AL127)</f>
        <v>-538741.2102568862</v>
      </c>
      <c r="AM129" s="8">
        <f ca="1">AM115+SUM($C127:AM127)</f>
        <v>-596635.55077097192</v>
      </c>
      <c r="AN129" s="8">
        <f ca="1">AN115+SUM($C127:AN127)</f>
        <v>-655977.24979791022</v>
      </c>
      <c r="AO129" s="8">
        <f ca="1">AO115+SUM($C127:AO127)</f>
        <v>-716802.49130052165</v>
      </c>
      <c r="AP129" s="8">
        <f ca="1">AP115+SUM($C127:AP127)</f>
        <v>-779148.3638406985</v>
      </c>
      <c r="AQ129" s="8">
        <f ca="1">AQ115+SUM($C127:AQ127)</f>
        <v>-843052.88319437974</v>
      </c>
      <c r="AR129" s="8">
        <f ca="1">AR115+SUM($C127:AR127)</f>
        <v>-908555.0155319029</v>
      </c>
      <c r="AS129" s="8">
        <f ca="1">AS115+SUM($C127:AS127)</f>
        <v>-975694.7011778641</v>
      </c>
      <c r="AT129" s="8">
        <f ca="1">AT115+SUM($C127:AT127)</f>
        <v>-1044512.8789649743</v>
      </c>
      <c r="AU129" s="8">
        <f ca="1">AU115+SUM($C127:AU127)</f>
        <v>-1115051.5111967626</v>
      </c>
      <c r="AV129" s="8">
        <f ca="1">AV115+SUM($C127:AV127)</f>
        <v>-1187353.6092343454</v>
      </c>
      <c r="AW129" s="8">
        <f ca="1">AW115+SUM($C127:AW127)</f>
        <v>-1261463.2597228677</v>
      </c>
    </row>
    <row r="130" spans="1:49" x14ac:dyDescent="0.2">
      <c r="A130" s="4" t="s">
        <v>84</v>
      </c>
      <c r="C130" s="8">
        <f t="shared" ref="C130:AM130" ca="1" si="250">MAX(C129+buffer,0)-MAX(C115+buffer,0)</f>
        <v>0</v>
      </c>
      <c r="D130" s="8">
        <f t="shared" ca="1" si="250"/>
        <v>0</v>
      </c>
      <c r="E130" s="8">
        <f t="shared" ca="1" si="250"/>
        <v>0</v>
      </c>
      <c r="F130" s="8">
        <f t="shared" ca="1" si="250"/>
        <v>0</v>
      </c>
      <c r="G130" s="8">
        <f t="shared" ca="1" si="250"/>
        <v>0</v>
      </c>
      <c r="H130" s="8">
        <f t="shared" ca="1" si="250"/>
        <v>0</v>
      </c>
      <c r="I130" s="8">
        <f t="shared" ca="1" si="250"/>
        <v>0</v>
      </c>
      <c r="J130" s="8">
        <f t="shared" ca="1" si="250"/>
        <v>0</v>
      </c>
      <c r="K130" s="8">
        <f t="shared" ca="1" si="250"/>
        <v>0</v>
      </c>
      <c r="L130" s="8">
        <f t="shared" ca="1" si="250"/>
        <v>0</v>
      </c>
      <c r="M130" s="8">
        <f t="shared" ca="1" si="250"/>
        <v>0</v>
      </c>
      <c r="N130" s="8">
        <f t="shared" ca="1" si="250"/>
        <v>0</v>
      </c>
      <c r="O130" s="8">
        <f t="shared" ca="1" si="250"/>
        <v>0</v>
      </c>
      <c r="P130" s="8">
        <f t="shared" ca="1" si="250"/>
        <v>0</v>
      </c>
      <c r="Q130" s="8">
        <f t="shared" ca="1" si="250"/>
        <v>0</v>
      </c>
      <c r="R130" s="8">
        <f t="shared" ca="1" si="250"/>
        <v>0</v>
      </c>
      <c r="S130" s="8">
        <f t="shared" ca="1" si="250"/>
        <v>0</v>
      </c>
      <c r="T130" s="8">
        <f t="shared" ca="1" si="250"/>
        <v>0</v>
      </c>
      <c r="U130" s="8">
        <f t="shared" ca="1" si="250"/>
        <v>0</v>
      </c>
      <c r="V130" s="8">
        <f t="shared" ca="1" si="250"/>
        <v>0</v>
      </c>
      <c r="W130" s="8">
        <f t="shared" ca="1" si="250"/>
        <v>0</v>
      </c>
      <c r="X130" s="8">
        <f t="shared" ca="1" si="250"/>
        <v>0</v>
      </c>
      <c r="Y130" s="8">
        <f t="shared" ca="1" si="250"/>
        <v>0</v>
      </c>
      <c r="Z130" s="8">
        <f t="shared" ca="1" si="250"/>
        <v>0</v>
      </c>
      <c r="AA130" s="8">
        <f t="shared" ca="1" si="250"/>
        <v>0</v>
      </c>
      <c r="AB130" s="8">
        <f t="shared" ca="1" si="250"/>
        <v>0</v>
      </c>
      <c r="AC130" s="8">
        <f t="shared" ca="1" si="250"/>
        <v>0</v>
      </c>
      <c r="AD130" s="8">
        <f t="shared" ca="1" si="250"/>
        <v>0</v>
      </c>
      <c r="AE130" s="8">
        <f t="shared" ca="1" si="250"/>
        <v>0</v>
      </c>
      <c r="AF130" s="8">
        <f t="shared" ca="1" si="250"/>
        <v>0</v>
      </c>
      <c r="AG130" s="8">
        <f t="shared" ca="1" si="250"/>
        <v>0</v>
      </c>
      <c r="AH130" s="8">
        <f t="shared" ca="1" si="250"/>
        <v>0</v>
      </c>
      <c r="AI130" s="8">
        <f t="shared" ca="1" si="250"/>
        <v>0</v>
      </c>
      <c r="AJ130" s="8">
        <f t="shared" ca="1" si="250"/>
        <v>0</v>
      </c>
      <c r="AK130" s="8">
        <f t="shared" ca="1" si="250"/>
        <v>0</v>
      </c>
      <c r="AL130" s="8">
        <f t="shared" ca="1" si="250"/>
        <v>0</v>
      </c>
      <c r="AM130" s="8">
        <f t="shared" ca="1" si="250"/>
        <v>0</v>
      </c>
      <c r="AN130" s="8">
        <f t="shared" ref="AN130:AV130" ca="1" si="251">MAX(AN129+buffer,0)-MAX(AN115+buffer,0)</f>
        <v>0</v>
      </c>
      <c r="AO130" s="8">
        <f t="shared" ca="1" si="251"/>
        <v>0</v>
      </c>
      <c r="AP130" s="8">
        <f t="shared" ca="1" si="251"/>
        <v>0</v>
      </c>
      <c r="AQ130" s="8">
        <f t="shared" ca="1" si="251"/>
        <v>0</v>
      </c>
      <c r="AR130" s="8">
        <f t="shared" ca="1" si="251"/>
        <v>0</v>
      </c>
      <c r="AS130" s="8">
        <f t="shared" ca="1" si="251"/>
        <v>0</v>
      </c>
      <c r="AT130" s="8">
        <f t="shared" ca="1" si="251"/>
        <v>0</v>
      </c>
      <c r="AU130" s="8">
        <f t="shared" ca="1" si="251"/>
        <v>0</v>
      </c>
      <c r="AV130" s="8">
        <f t="shared" ca="1" si="251"/>
        <v>0</v>
      </c>
      <c r="AW130" s="8">
        <f t="shared" ref="AW130" ca="1" si="252">MAX(AW129+buffer,0)-MAX(AW115+buffer,0)</f>
        <v>0</v>
      </c>
    </row>
    <row r="131" spans="1:49" x14ac:dyDescent="0.2">
      <c r="A131" s="4" t="s">
        <v>85</v>
      </c>
      <c r="C131" s="8">
        <f ca="1">C130*Inputs!$B$149</f>
        <v>0</v>
      </c>
      <c r="D131" s="8">
        <f ca="1">D130*Inputs!$B$149</f>
        <v>0</v>
      </c>
      <c r="E131" s="8">
        <f ca="1">E130*Inputs!$B$149</f>
        <v>0</v>
      </c>
      <c r="F131" s="8">
        <f ca="1">F130*Inputs!$B$149</f>
        <v>0</v>
      </c>
      <c r="G131" s="8">
        <f ca="1">G130*Inputs!$B$149</f>
        <v>0</v>
      </c>
      <c r="H131" s="8">
        <f ca="1">H130*Inputs!$B$149</f>
        <v>0</v>
      </c>
      <c r="I131" s="8">
        <f ca="1">I130*Inputs!$B$149</f>
        <v>0</v>
      </c>
      <c r="J131" s="8">
        <f ca="1">J130*Inputs!$B$149</f>
        <v>0</v>
      </c>
      <c r="K131" s="8">
        <f ca="1">K130*Inputs!$B$149</f>
        <v>0</v>
      </c>
      <c r="L131" s="8">
        <f ca="1">L130*Inputs!$B$149</f>
        <v>0</v>
      </c>
      <c r="M131" s="8">
        <f ca="1">M130*Inputs!$B$149</f>
        <v>0</v>
      </c>
      <c r="N131" s="8">
        <f ca="1">N130*Inputs!$B$149</f>
        <v>0</v>
      </c>
      <c r="O131" s="8">
        <f ca="1">O130*Inputs!$B$149</f>
        <v>0</v>
      </c>
      <c r="P131" s="8">
        <f ca="1">P130*Inputs!$B$149</f>
        <v>0</v>
      </c>
      <c r="Q131" s="8">
        <f ca="1">Q130*Inputs!$B$149</f>
        <v>0</v>
      </c>
      <c r="R131" s="8">
        <f ca="1">R130*Inputs!$B$149</f>
        <v>0</v>
      </c>
      <c r="S131" s="8">
        <f ca="1">S130*Inputs!$B$149</f>
        <v>0</v>
      </c>
      <c r="T131" s="8">
        <f ca="1">T130*Inputs!$B$149</f>
        <v>0</v>
      </c>
      <c r="U131" s="8">
        <f ca="1">U130*Inputs!$B$149</f>
        <v>0</v>
      </c>
      <c r="V131" s="8">
        <f ca="1">V130*Inputs!$B$149</f>
        <v>0</v>
      </c>
      <c r="W131" s="8">
        <f ca="1">W130*Inputs!$B$149</f>
        <v>0</v>
      </c>
      <c r="X131" s="8">
        <f ca="1">X130*Inputs!$B$149</f>
        <v>0</v>
      </c>
      <c r="Y131" s="8">
        <f ca="1">Y130*Inputs!$B$149</f>
        <v>0</v>
      </c>
      <c r="Z131" s="8">
        <f ca="1">Z130*Inputs!$B$149</f>
        <v>0</v>
      </c>
      <c r="AA131" s="8">
        <f ca="1">AA130*Inputs!$B$149</f>
        <v>0</v>
      </c>
      <c r="AB131" s="8">
        <f ca="1">AB130*Inputs!$B$149</f>
        <v>0</v>
      </c>
      <c r="AC131" s="8">
        <f ca="1">AC130*Inputs!$B$149</f>
        <v>0</v>
      </c>
      <c r="AD131" s="8">
        <f ca="1">AD130*Inputs!$B$149</f>
        <v>0</v>
      </c>
      <c r="AE131" s="8">
        <f ca="1">AE130*Inputs!$B$149</f>
        <v>0</v>
      </c>
      <c r="AF131" s="8">
        <f ca="1">AF130*Inputs!$B$149</f>
        <v>0</v>
      </c>
      <c r="AG131" s="8">
        <f ca="1">AG130*Inputs!$B$149</f>
        <v>0</v>
      </c>
      <c r="AH131" s="8">
        <f ca="1">AH130*Inputs!$B$149</f>
        <v>0</v>
      </c>
      <c r="AI131" s="8">
        <f ca="1">AI130*Inputs!$B$149</f>
        <v>0</v>
      </c>
      <c r="AJ131" s="8">
        <f ca="1">AJ130*Inputs!$B$149</f>
        <v>0</v>
      </c>
      <c r="AK131" s="8">
        <f ca="1">AK130*Inputs!$B$149</f>
        <v>0</v>
      </c>
      <c r="AL131" s="8">
        <f ca="1">AL130*Inputs!$B$149</f>
        <v>0</v>
      </c>
      <c r="AM131" s="8">
        <f ca="1">AM130*Inputs!$B$149</f>
        <v>0</v>
      </c>
      <c r="AN131" s="8">
        <f ca="1">AN130*Inputs!$B$149</f>
        <v>0</v>
      </c>
      <c r="AO131" s="8">
        <f ca="1">AO130*Inputs!$B$149</f>
        <v>0</v>
      </c>
      <c r="AP131" s="8">
        <f ca="1">AP130*Inputs!$B$149</f>
        <v>0</v>
      </c>
      <c r="AQ131" s="8">
        <f ca="1">AQ130*Inputs!$B$149</f>
        <v>0</v>
      </c>
      <c r="AR131" s="8">
        <f ca="1">AR130*Inputs!$B$149</f>
        <v>0</v>
      </c>
      <c r="AS131" s="8">
        <f ca="1">AS130*Inputs!$B$149</f>
        <v>0</v>
      </c>
      <c r="AT131" s="8">
        <f ca="1">AT130*Inputs!$B$149</f>
        <v>0</v>
      </c>
      <c r="AU131" s="8">
        <f ca="1">AU130*Inputs!$B$149</f>
        <v>0</v>
      </c>
      <c r="AV131" s="8">
        <f ca="1">AV130*Inputs!$B$149</f>
        <v>0</v>
      </c>
      <c r="AW131" s="8">
        <f ca="1">AW130*Inputs!$B$149</f>
        <v>0</v>
      </c>
    </row>
    <row r="132" spans="1:49" x14ac:dyDescent="0.2">
      <c r="A132" s="4" t="s">
        <v>168</v>
      </c>
      <c r="C132" s="8">
        <f ca="1">C129+SUM($C131:C131)</f>
        <v>184898.75</v>
      </c>
      <c r="D132" s="8">
        <f ca="1">D129+SUM($C131:D131)</f>
        <v>190464.1875</v>
      </c>
      <c r="E132" s="8">
        <f ca="1">E129+SUM($C131:E131)</f>
        <v>196735.69765625001</v>
      </c>
      <c r="F132" s="8">
        <f ca="1">F129+SUM($C131:F131)</f>
        <v>203754.49157812502</v>
      </c>
      <c r="G132" s="8">
        <f ca="1">G129+SUM($C131:G131)</f>
        <v>211563.68121130861</v>
      </c>
      <c r="H132" s="8">
        <f ca="1">H129+SUM($C131:H131)</f>
        <v>220208.35706995256</v>
      </c>
      <c r="I132" s="8">
        <f ca="1">I129+SUM($C131:I131)</f>
        <v>229735.66892084025</v>
      </c>
      <c r="J132" s="8">
        <f ca="1">J129+SUM($C131:J131)</f>
        <v>240194.90952617431</v>
      </c>
      <c r="K132" s="8">
        <f ca="1">K129+SUM($C131:K131)</f>
        <v>251637.60155532236</v>
      </c>
      <c r="L132" s="8">
        <f ca="1">L129+SUM($C131:L131)</f>
        <v>264117.58777969546</v>
      </c>
      <c r="M132" s="8">
        <f ca="1">M129+SUM($C131:M131)</f>
        <v>277691.1246689033</v>
      </c>
      <c r="N132" s="8">
        <f ca="1">N129+SUM($C131:N131)</f>
        <v>208324.77186392489</v>
      </c>
      <c r="O132" s="8">
        <f ca="1">O129+SUM($C131:O131)</f>
        <v>135547.0444657795</v>
      </c>
      <c r="P132" s="8">
        <f ca="1">P129+SUM($C131:P131)</f>
        <v>59230.727715311907</v>
      </c>
      <c r="Q132" s="8">
        <f ca="1">Q129+SUM($C131:Q131)</f>
        <v>0</v>
      </c>
      <c r="R132" s="8">
        <f ca="1">R129+SUM($C131:R131)</f>
        <v>407213.7335140247</v>
      </c>
      <c r="S132" s="8">
        <f ca="1">S129+SUM($C131:S131)</f>
        <v>395291.8008390264</v>
      </c>
      <c r="T132" s="8">
        <f ca="1">T129+SUM($C131:T131)</f>
        <v>352462.15956001484</v>
      </c>
      <c r="U132" s="8">
        <f ca="1">U129+SUM($C131:U131)</f>
        <v>315022.09016209241</v>
      </c>
      <c r="V132" s="8">
        <f ca="1">V129+SUM($C131:V131)</f>
        <v>275308.03835375386</v>
      </c>
      <c r="W132" s="8">
        <f ca="1">W129+SUM($C131:W131)</f>
        <v>233263.15457473893</v>
      </c>
      <c r="X132" s="8">
        <f ca="1">X129+SUM($C131:X131)</f>
        <v>188829.1680257805</v>
      </c>
      <c r="Y132" s="8">
        <f ca="1">Y129+SUM($C131:Y131)</f>
        <v>141946.35113763015</v>
      </c>
      <c r="Z132" s="8">
        <f ca="1">Z129+SUM($C131:Z131)</f>
        <v>92553.48315180809</v>
      </c>
      <c r="AA132" s="8">
        <f ca="1">AA129+SUM($C131:AA131)</f>
        <v>40587.812790872355</v>
      </c>
      <c r="AB132" s="8">
        <f ca="1">AB129+SUM($C131:AB131)</f>
        <v>-12805.777240805619</v>
      </c>
      <c r="AC132" s="8">
        <f ca="1">AC129+SUM($C131:AC131)</f>
        <v>-67534.20702327555</v>
      </c>
      <c r="AD132" s="8">
        <f ca="1">AD129+SUM($C131:AD131)</f>
        <v>-123630.84755030723</v>
      </c>
      <c r="AE132" s="8">
        <f ca="1">AE129+SUM($C131:AE131)</f>
        <v>-171147.42899672867</v>
      </c>
      <c r="AF132" s="8">
        <f ca="1">AF129+SUM($C131:AF131)</f>
        <v>-219851.92497931066</v>
      </c>
      <c r="AG132" s="8">
        <f ca="1">AG129+SUM($C131:AG131)</f>
        <v>-269774.03336145723</v>
      </c>
      <c r="AH132" s="8">
        <f ca="1">AH129+SUM($C131:AH131)</f>
        <v>-320944.19445315743</v>
      </c>
      <c r="AI132" s="8">
        <f ca="1">AI129+SUM($C131:AI131)</f>
        <v>-373393.60957215016</v>
      </c>
      <c r="AJ132" s="8">
        <f ca="1">AJ129+SUM($C131:AJ131)</f>
        <v>-427154.26006911776</v>
      </c>
      <c r="AK132" s="8">
        <f ca="1">AK129+SUM($C131:AK131)</f>
        <v>-482258.9268285096</v>
      </c>
      <c r="AL132" s="8">
        <f ca="1">AL129+SUM($C131:AL131)</f>
        <v>-538741.2102568862</v>
      </c>
      <c r="AM132" s="8">
        <f ca="1">AM129+SUM($C131:AM131)</f>
        <v>-596635.55077097192</v>
      </c>
      <c r="AN132" s="8">
        <f ca="1">AN129+SUM($C131:AN131)</f>
        <v>-655977.24979791022</v>
      </c>
      <c r="AO132" s="8">
        <f ca="1">AO129+SUM($C131:AO131)</f>
        <v>-716802.49130052165</v>
      </c>
      <c r="AP132" s="8">
        <f ca="1">AP129+SUM($C131:AP131)</f>
        <v>-779148.3638406985</v>
      </c>
      <c r="AQ132" s="8">
        <f ca="1">AQ129+SUM($C131:AQ131)</f>
        <v>-843052.88319437974</v>
      </c>
      <c r="AR132" s="8">
        <f ca="1">AR129+SUM($C131:AR131)</f>
        <v>-908555.0155319029</v>
      </c>
      <c r="AS132" s="8">
        <f ca="1">AS129+SUM($C131:AS131)</f>
        <v>-975694.7011778641</v>
      </c>
      <c r="AT132" s="8">
        <f ca="1">AT129+SUM($C131:AT131)</f>
        <v>-1044512.8789649743</v>
      </c>
      <c r="AU132" s="8">
        <f ca="1">AU129+SUM($C131:AU131)</f>
        <v>-1115051.5111967626</v>
      </c>
      <c r="AV132" s="8">
        <f ca="1">AV129+SUM($C131:AV131)</f>
        <v>-1187353.6092343454</v>
      </c>
      <c r="AW132" s="8">
        <f ca="1">AW129+SUM($C131:AW131)</f>
        <v>-1261463.2597228677</v>
      </c>
    </row>
    <row r="133" spans="1:49" x14ac:dyDescent="0.2">
      <c r="A133" s="4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">
      <c r="A134" s="4" t="s">
        <v>166</v>
      </c>
      <c r="C134" s="8">
        <f t="shared" ref="C134:AM134" ca="1" si="253">C132+buffer</f>
        <v>204898.75</v>
      </c>
      <c r="D134" s="8">
        <f t="shared" ca="1" si="253"/>
        <v>210464.1875</v>
      </c>
      <c r="E134" s="8">
        <f t="shared" ca="1" si="253"/>
        <v>216735.69765625001</v>
      </c>
      <c r="F134" s="8">
        <f t="shared" ca="1" si="253"/>
        <v>223754.49157812502</v>
      </c>
      <c r="G134" s="8">
        <f t="shared" ca="1" si="253"/>
        <v>231563.68121130861</v>
      </c>
      <c r="H134" s="8">
        <f t="shared" ca="1" si="253"/>
        <v>240208.35706995256</v>
      </c>
      <c r="I134" s="8">
        <f t="shared" ca="1" si="253"/>
        <v>249735.66892084025</v>
      </c>
      <c r="J134" s="8">
        <f t="shared" ca="1" si="253"/>
        <v>260194.90952617431</v>
      </c>
      <c r="K134" s="8">
        <f t="shared" ca="1" si="253"/>
        <v>271637.60155532236</v>
      </c>
      <c r="L134" s="8">
        <f t="shared" ca="1" si="253"/>
        <v>284117.58777969546</v>
      </c>
      <c r="M134" s="8">
        <f t="shared" ca="1" si="253"/>
        <v>297691.1246689033</v>
      </c>
      <c r="N134" s="8">
        <f t="shared" ca="1" si="253"/>
        <v>228324.77186392489</v>
      </c>
      <c r="O134" s="8">
        <f t="shared" ca="1" si="253"/>
        <v>155547.0444657795</v>
      </c>
      <c r="P134" s="8">
        <f t="shared" ca="1" si="253"/>
        <v>79230.727715311907</v>
      </c>
      <c r="Q134" s="8">
        <f t="shared" ca="1" si="253"/>
        <v>20000</v>
      </c>
      <c r="R134" s="8">
        <f t="shared" ca="1" si="253"/>
        <v>427213.7335140247</v>
      </c>
      <c r="S134" s="8">
        <f t="shared" ca="1" si="253"/>
        <v>415291.8008390264</v>
      </c>
      <c r="T134" s="8">
        <f t="shared" ca="1" si="253"/>
        <v>372462.15956001484</v>
      </c>
      <c r="U134" s="8">
        <f t="shared" ca="1" si="253"/>
        <v>335022.09016209241</v>
      </c>
      <c r="V134" s="8">
        <f t="shared" ca="1" si="253"/>
        <v>295308.03835375386</v>
      </c>
      <c r="W134" s="8">
        <f t="shared" ca="1" si="253"/>
        <v>253263.15457473893</v>
      </c>
      <c r="X134" s="8">
        <f t="shared" ca="1" si="253"/>
        <v>208829.1680257805</v>
      </c>
      <c r="Y134" s="8">
        <f t="shared" ca="1" si="253"/>
        <v>161946.35113763015</v>
      </c>
      <c r="Z134" s="8">
        <f t="shared" ca="1" si="253"/>
        <v>112553.48315180809</v>
      </c>
      <c r="AA134" s="8">
        <f t="shared" ca="1" si="253"/>
        <v>60587.812790872355</v>
      </c>
      <c r="AB134" s="8">
        <f t="shared" ca="1" si="253"/>
        <v>7194.2227591943811</v>
      </c>
      <c r="AC134" s="8">
        <f t="shared" ca="1" si="253"/>
        <v>-47534.20702327555</v>
      </c>
      <c r="AD134" s="8">
        <f t="shared" ca="1" si="253"/>
        <v>-103630.84755030723</v>
      </c>
      <c r="AE134" s="8">
        <f t="shared" ca="1" si="253"/>
        <v>-151147.42899672867</v>
      </c>
      <c r="AF134" s="8">
        <f t="shared" ca="1" si="253"/>
        <v>-199851.92497931066</v>
      </c>
      <c r="AG134" s="8">
        <f t="shared" ca="1" si="253"/>
        <v>-249774.03336145723</v>
      </c>
      <c r="AH134" s="8">
        <f t="shared" ca="1" si="253"/>
        <v>-300944.19445315743</v>
      </c>
      <c r="AI134" s="8">
        <f t="shared" ca="1" si="253"/>
        <v>-353393.60957215016</v>
      </c>
      <c r="AJ134" s="8">
        <f t="shared" ca="1" si="253"/>
        <v>-407154.26006911776</v>
      </c>
      <c r="AK134" s="8">
        <f t="shared" ca="1" si="253"/>
        <v>-462258.9268285096</v>
      </c>
      <c r="AL134" s="8">
        <f t="shared" ca="1" si="253"/>
        <v>-518741.2102568862</v>
      </c>
      <c r="AM134" s="8">
        <f t="shared" ca="1" si="253"/>
        <v>-576635.55077097192</v>
      </c>
      <c r="AN134" s="8">
        <f t="shared" ref="AN134:AV134" ca="1" si="254">AN132+buffer</f>
        <v>-635977.24979791022</v>
      </c>
      <c r="AO134" s="8">
        <f t="shared" ca="1" si="254"/>
        <v>-696802.49130052165</v>
      </c>
      <c r="AP134" s="8">
        <f t="shared" ca="1" si="254"/>
        <v>-759148.3638406985</v>
      </c>
      <c r="AQ134" s="8">
        <f t="shared" ca="1" si="254"/>
        <v>-823052.88319437974</v>
      </c>
      <c r="AR134" s="8">
        <f t="shared" ca="1" si="254"/>
        <v>-888555.0155319029</v>
      </c>
      <c r="AS134" s="8">
        <f t="shared" ca="1" si="254"/>
        <v>-955694.7011778641</v>
      </c>
      <c r="AT134" s="8">
        <f t="shared" ca="1" si="254"/>
        <v>-1024512.8789649743</v>
      </c>
      <c r="AU134" s="8">
        <f t="shared" ca="1" si="254"/>
        <v>-1095051.5111967626</v>
      </c>
      <c r="AV134" s="8">
        <f t="shared" ca="1" si="254"/>
        <v>-1167353.6092343454</v>
      </c>
      <c r="AW134" s="8">
        <f t="shared" ref="AW134" ca="1" si="255">AW132+buffer</f>
        <v>-1241463.2597228677</v>
      </c>
    </row>
    <row r="135" spans="1:49" x14ac:dyDescent="0.2">
      <c r="A135" s="5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">
      <c r="A136" s="34" t="s">
        <v>66</v>
      </c>
      <c r="B136" s="31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">
      <c r="A137" s="4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">
      <c r="A138" s="20" t="s">
        <v>69</v>
      </c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</row>
    <row r="139" spans="1:49" x14ac:dyDescent="0.2">
      <c r="A139" s="24" t="str">
        <f>B$92</f>
        <v>Sliema</v>
      </c>
      <c r="B139" s="21"/>
      <c r="C139" s="22">
        <f ca="1">SUM($C86:C86)</f>
        <v>0</v>
      </c>
      <c r="D139" s="22">
        <f ca="1">SUM($C86:D86)</f>
        <v>0</v>
      </c>
      <c r="E139" s="22">
        <f ca="1">SUM($C86:E86)</f>
        <v>0</v>
      </c>
      <c r="F139" s="22">
        <f ca="1">SUM($C86:F86)</f>
        <v>0</v>
      </c>
      <c r="G139" s="22">
        <f ca="1">SUM($C86:G86)</f>
        <v>0</v>
      </c>
      <c r="H139" s="22">
        <f ca="1">SUM($C86:H86)</f>
        <v>0</v>
      </c>
      <c r="I139" s="22">
        <f ca="1">SUM($C86:I86)</f>
        <v>0</v>
      </c>
      <c r="J139" s="22">
        <f ca="1">SUM($C86:J86)</f>
        <v>0</v>
      </c>
      <c r="K139" s="22">
        <f ca="1">SUM($C86:K86)</f>
        <v>0</v>
      </c>
      <c r="L139" s="22">
        <f ca="1">SUM($C86:L86)</f>
        <v>0</v>
      </c>
      <c r="M139" s="22">
        <f ca="1">SUM($C86:M86)</f>
        <v>0</v>
      </c>
      <c r="N139" s="22">
        <f ca="1">SUM($C86:N86)</f>
        <v>0</v>
      </c>
      <c r="O139" s="22">
        <f ca="1">SUM($C86:O86)</f>
        <v>0</v>
      </c>
      <c r="P139" s="22">
        <f ca="1">SUM($C86:P86)</f>
        <v>0</v>
      </c>
      <c r="Q139" s="22">
        <f ca="1">SUM($C86:Q86)</f>
        <v>0</v>
      </c>
      <c r="R139" s="22">
        <f ca="1">SUM($C86:R86)</f>
        <v>-467390.22498022922</v>
      </c>
      <c r="S139" s="22">
        <f ca="1">SUM($C86:S86)</f>
        <v>-467390.22498022922</v>
      </c>
      <c r="T139" s="22">
        <f ca="1">SUM($C86:T86)</f>
        <v>-467390.22498022922</v>
      </c>
      <c r="U139" s="22">
        <f ca="1">SUM($C86:U86)</f>
        <v>-467390.22498022922</v>
      </c>
      <c r="V139" s="22">
        <f ca="1">SUM($C86:V86)</f>
        <v>-467390.22498022922</v>
      </c>
      <c r="W139" s="22">
        <f ca="1">SUM($C86:W86)</f>
        <v>-467390.22498022922</v>
      </c>
      <c r="X139" s="22">
        <f ca="1">SUM($C86:X86)</f>
        <v>-467390.22498022922</v>
      </c>
      <c r="Y139" s="22">
        <f ca="1">SUM($C86:Y86)</f>
        <v>-467390.22498022922</v>
      </c>
      <c r="Z139" s="22">
        <f ca="1">SUM($C86:Z86)</f>
        <v>-467390.22498022922</v>
      </c>
      <c r="AA139" s="22">
        <f ca="1">SUM($C86:AA86)</f>
        <v>-467390.22498022922</v>
      </c>
      <c r="AB139" s="22">
        <f ca="1">SUM($C86:AB86)</f>
        <v>-467390.22498022922</v>
      </c>
      <c r="AC139" s="22">
        <f ca="1">SUM($C86:AC86)</f>
        <v>-467390.22498022922</v>
      </c>
      <c r="AD139" s="22">
        <f ca="1">SUM($C86:AD86)</f>
        <v>-467390.22498022922</v>
      </c>
      <c r="AE139" s="22">
        <f ca="1">SUM($C86:AE86)</f>
        <v>-467390.22498022922</v>
      </c>
      <c r="AF139" s="22">
        <f ca="1">SUM($C86:AF86)</f>
        <v>-467390.22498022922</v>
      </c>
      <c r="AG139" s="22">
        <f ca="1">SUM($C86:AG86)</f>
        <v>-467390.22498022922</v>
      </c>
      <c r="AH139" s="22">
        <f ca="1">SUM($C86:AH86)</f>
        <v>-467390.22498022922</v>
      </c>
      <c r="AI139" s="22">
        <f ca="1">SUM($C86:AI86)</f>
        <v>-467390.22498022922</v>
      </c>
      <c r="AJ139" s="22">
        <f ca="1">SUM($C86:AJ86)</f>
        <v>-467390.22498022922</v>
      </c>
      <c r="AK139" s="22">
        <f ca="1">SUM($C86:AK86)</f>
        <v>-467390.22498022922</v>
      </c>
      <c r="AL139" s="22">
        <f ca="1">SUM($C86:AL86)</f>
        <v>-467390.22498022922</v>
      </c>
      <c r="AM139" s="22">
        <f ca="1">SUM($C86:AM86)</f>
        <v>-467390.22498022922</v>
      </c>
      <c r="AN139" s="22">
        <f ca="1">SUM($C86:AN86)</f>
        <v>-467390.22498022922</v>
      </c>
      <c r="AO139" s="22">
        <f ca="1">SUM($C86:AO86)</f>
        <v>-467390.22498022922</v>
      </c>
      <c r="AP139" s="22">
        <f ca="1">SUM($C86:AP86)</f>
        <v>-467390.22498022922</v>
      </c>
      <c r="AQ139" s="22">
        <f ca="1">SUM($C86:AQ86)</f>
        <v>-467390.22498022922</v>
      </c>
      <c r="AR139" s="22">
        <f ca="1">SUM($C86:AR86)</f>
        <v>-467390.22498022922</v>
      </c>
      <c r="AS139" s="22">
        <f ca="1">SUM($C86:AS86)</f>
        <v>-467390.22498022922</v>
      </c>
      <c r="AT139" s="22">
        <f ca="1">SUM($C86:AT86)</f>
        <v>-467390.22498022922</v>
      </c>
      <c r="AU139" s="22">
        <f ca="1">SUM($C86:AU86)</f>
        <v>-467390.22498022922</v>
      </c>
      <c r="AV139" s="22">
        <f ca="1">SUM($C86:AV86)</f>
        <v>-467390.22498022922</v>
      </c>
      <c r="AW139" s="22">
        <f ca="1">SUM($C86:AW86)</f>
        <v>-467390.22498022922</v>
      </c>
    </row>
    <row r="140" spans="1:49" x14ac:dyDescent="0.2">
      <c r="A140" s="24" t="str">
        <f>B$109</f>
        <v/>
      </c>
      <c r="B140" s="21"/>
      <c r="C140" s="22">
        <f ca="1">SUM($C103:C103)</f>
        <v>0</v>
      </c>
      <c r="D140" s="22">
        <f ca="1">SUM($C103:D103)</f>
        <v>0</v>
      </c>
      <c r="E140" s="22">
        <f ca="1">SUM($C103:E103)</f>
        <v>0</v>
      </c>
      <c r="F140" s="22">
        <f ca="1">SUM($C103:F103)</f>
        <v>0</v>
      </c>
      <c r="G140" s="22">
        <f ca="1">SUM($C103:G103)</f>
        <v>0</v>
      </c>
      <c r="H140" s="22">
        <f ca="1">SUM($C103:H103)</f>
        <v>0</v>
      </c>
      <c r="I140" s="22">
        <f ca="1">SUM($C103:I103)</f>
        <v>0</v>
      </c>
      <c r="J140" s="22">
        <f ca="1">SUM($C103:J103)</f>
        <v>0</v>
      </c>
      <c r="K140" s="22">
        <f ca="1">SUM($C103:K103)</f>
        <v>0</v>
      </c>
      <c r="L140" s="22">
        <f ca="1">SUM($C103:L103)</f>
        <v>0</v>
      </c>
      <c r="M140" s="22">
        <f ca="1">SUM($C103:M103)</f>
        <v>0</v>
      </c>
      <c r="N140" s="22">
        <f ca="1">SUM($C103:N103)</f>
        <v>0</v>
      </c>
      <c r="O140" s="22">
        <f ca="1">SUM($C103:O103)</f>
        <v>0</v>
      </c>
      <c r="P140" s="22">
        <f ca="1">SUM($C103:P103)</f>
        <v>0</v>
      </c>
      <c r="Q140" s="22">
        <f ca="1">SUM($C103:Q103)</f>
        <v>0</v>
      </c>
      <c r="R140" s="22">
        <f ca="1">SUM($C103:R103)</f>
        <v>0</v>
      </c>
      <c r="S140" s="22">
        <f ca="1">SUM($C103:S103)</f>
        <v>0</v>
      </c>
      <c r="T140" s="22">
        <f ca="1">SUM($C103:T103)</f>
        <v>0</v>
      </c>
      <c r="U140" s="22">
        <f ca="1">SUM($C103:U103)</f>
        <v>0</v>
      </c>
      <c r="V140" s="22">
        <f ca="1">SUM($C103:V103)</f>
        <v>0</v>
      </c>
      <c r="W140" s="22">
        <f ca="1">SUM($C103:W103)</f>
        <v>0</v>
      </c>
      <c r="X140" s="22">
        <f ca="1">SUM($C103:X103)</f>
        <v>0</v>
      </c>
      <c r="Y140" s="22">
        <f ca="1">SUM($C103:Y103)</f>
        <v>0</v>
      </c>
      <c r="Z140" s="22">
        <f ca="1">SUM($C103:Z103)</f>
        <v>0</v>
      </c>
      <c r="AA140" s="22">
        <f ca="1">SUM($C103:AA103)</f>
        <v>0</v>
      </c>
      <c r="AB140" s="22">
        <f ca="1">SUM($C103:AB103)</f>
        <v>0</v>
      </c>
      <c r="AC140" s="22">
        <f ca="1">SUM($C103:AC103)</f>
        <v>0</v>
      </c>
      <c r="AD140" s="22">
        <f ca="1">SUM($C103:AD103)</f>
        <v>0</v>
      </c>
      <c r="AE140" s="22">
        <f ca="1">SUM($C103:AE103)</f>
        <v>0</v>
      </c>
      <c r="AF140" s="22">
        <f ca="1">SUM($C103:AF103)</f>
        <v>0</v>
      </c>
      <c r="AG140" s="22">
        <f ca="1">SUM($C103:AG103)</f>
        <v>0</v>
      </c>
      <c r="AH140" s="22">
        <f ca="1">SUM($C103:AH103)</f>
        <v>0</v>
      </c>
      <c r="AI140" s="22">
        <f ca="1">SUM($C103:AI103)</f>
        <v>0</v>
      </c>
      <c r="AJ140" s="22">
        <f ca="1">SUM($C103:AJ103)</f>
        <v>0</v>
      </c>
      <c r="AK140" s="22">
        <f ca="1">SUM($C103:AK103)</f>
        <v>0</v>
      </c>
      <c r="AL140" s="22">
        <f ca="1">SUM($C103:AL103)</f>
        <v>0</v>
      </c>
      <c r="AM140" s="22">
        <f ca="1">SUM($C103:AM103)</f>
        <v>0</v>
      </c>
      <c r="AN140" s="22">
        <f ca="1">SUM($C103:AN103)</f>
        <v>0</v>
      </c>
      <c r="AO140" s="22">
        <f ca="1">SUM($C103:AO103)</f>
        <v>0</v>
      </c>
      <c r="AP140" s="22">
        <f ca="1">SUM($C103:AP103)</f>
        <v>0</v>
      </c>
      <c r="AQ140" s="22">
        <f ca="1">SUM($C103:AQ103)</f>
        <v>0</v>
      </c>
      <c r="AR140" s="22">
        <f ca="1">SUM($C103:AR103)</f>
        <v>0</v>
      </c>
      <c r="AS140" s="22">
        <f ca="1">SUM($C103:AS103)</f>
        <v>0</v>
      </c>
      <c r="AT140" s="22">
        <f ca="1">SUM($C103:AT103)</f>
        <v>0</v>
      </c>
      <c r="AU140" s="22">
        <f ca="1">SUM($C103:AU103)</f>
        <v>0</v>
      </c>
      <c r="AV140" s="22">
        <f ca="1">SUM($C103:AV103)</f>
        <v>0</v>
      </c>
      <c r="AW140" s="22">
        <f ca="1">SUM($C103:AW103)</f>
        <v>0</v>
      </c>
    </row>
    <row r="141" spans="1:49" x14ac:dyDescent="0.2">
      <c r="A141" s="24" t="str">
        <f>B$126</f>
        <v/>
      </c>
      <c r="B141" s="21"/>
      <c r="C141" s="22">
        <f ca="1">SUM($C120:C120)</f>
        <v>0</v>
      </c>
      <c r="D141" s="22">
        <f ca="1">SUM($C120:D120)</f>
        <v>0</v>
      </c>
      <c r="E141" s="22">
        <f ca="1">SUM($C120:E120)</f>
        <v>0</v>
      </c>
      <c r="F141" s="22">
        <f ca="1">SUM($C120:F120)</f>
        <v>0</v>
      </c>
      <c r="G141" s="22">
        <f ca="1">SUM($C120:G120)</f>
        <v>0</v>
      </c>
      <c r="H141" s="22">
        <f ca="1">SUM($C120:H120)</f>
        <v>0</v>
      </c>
      <c r="I141" s="22">
        <f ca="1">SUM($C120:I120)</f>
        <v>0</v>
      </c>
      <c r="J141" s="22">
        <f ca="1">SUM($C120:J120)</f>
        <v>0</v>
      </c>
      <c r="K141" s="22">
        <f ca="1">SUM($C120:K120)</f>
        <v>0</v>
      </c>
      <c r="L141" s="22">
        <f ca="1">SUM($C120:L120)</f>
        <v>0</v>
      </c>
      <c r="M141" s="22">
        <f ca="1">SUM($C120:M120)</f>
        <v>0</v>
      </c>
      <c r="N141" s="22">
        <f ca="1">SUM($C120:N120)</f>
        <v>0</v>
      </c>
      <c r="O141" s="22">
        <f ca="1">SUM($C120:O120)</f>
        <v>0</v>
      </c>
      <c r="P141" s="22">
        <f ca="1">SUM($C120:P120)</f>
        <v>0</v>
      </c>
      <c r="Q141" s="22">
        <f ca="1">SUM($C120:Q120)</f>
        <v>0</v>
      </c>
      <c r="R141" s="22">
        <f ca="1">SUM($C120:R120)</f>
        <v>0</v>
      </c>
      <c r="S141" s="22">
        <f ca="1">SUM($C120:S120)</f>
        <v>0</v>
      </c>
      <c r="T141" s="22">
        <f ca="1">SUM($C120:T120)</f>
        <v>0</v>
      </c>
      <c r="U141" s="22">
        <f ca="1">SUM($C120:U120)</f>
        <v>0</v>
      </c>
      <c r="V141" s="22">
        <f ca="1">SUM($C120:V120)</f>
        <v>0</v>
      </c>
      <c r="W141" s="22">
        <f ca="1">SUM($C120:W120)</f>
        <v>0</v>
      </c>
      <c r="X141" s="22">
        <f ca="1">SUM($C120:X120)</f>
        <v>0</v>
      </c>
      <c r="Y141" s="22">
        <f ca="1">SUM($C120:Y120)</f>
        <v>0</v>
      </c>
      <c r="Z141" s="22">
        <f ca="1">SUM($C120:Z120)</f>
        <v>0</v>
      </c>
      <c r="AA141" s="22">
        <f ca="1">SUM($C120:AA120)</f>
        <v>0</v>
      </c>
      <c r="AB141" s="22">
        <f ca="1">SUM($C120:AB120)</f>
        <v>0</v>
      </c>
      <c r="AC141" s="22">
        <f ca="1">SUM($C120:AC120)</f>
        <v>0</v>
      </c>
      <c r="AD141" s="22">
        <f ca="1">SUM($C120:AD120)</f>
        <v>0</v>
      </c>
      <c r="AE141" s="22">
        <f ca="1">SUM($C120:AE120)</f>
        <v>0</v>
      </c>
      <c r="AF141" s="22">
        <f ca="1">SUM($C120:AF120)</f>
        <v>0</v>
      </c>
      <c r="AG141" s="22">
        <f ca="1">SUM($C120:AG120)</f>
        <v>0</v>
      </c>
      <c r="AH141" s="22">
        <f ca="1">SUM($C120:AH120)</f>
        <v>0</v>
      </c>
      <c r="AI141" s="22">
        <f ca="1">SUM($C120:AI120)</f>
        <v>0</v>
      </c>
      <c r="AJ141" s="22">
        <f ca="1">SUM($C120:AJ120)</f>
        <v>0</v>
      </c>
      <c r="AK141" s="22">
        <f ca="1">SUM($C120:AK120)</f>
        <v>0</v>
      </c>
      <c r="AL141" s="22">
        <f ca="1">SUM($C120:AL120)</f>
        <v>0</v>
      </c>
      <c r="AM141" s="22">
        <f ca="1">SUM($C120:AM120)</f>
        <v>0</v>
      </c>
      <c r="AN141" s="22">
        <f ca="1">SUM($C120:AN120)</f>
        <v>0</v>
      </c>
      <c r="AO141" s="22">
        <f ca="1">SUM($C120:AO120)</f>
        <v>0</v>
      </c>
      <c r="AP141" s="22">
        <f ca="1">SUM($C120:AP120)</f>
        <v>0</v>
      </c>
      <c r="AQ141" s="22">
        <f ca="1">SUM($C120:AQ120)</f>
        <v>0</v>
      </c>
      <c r="AR141" s="22">
        <f ca="1">SUM($C120:AR120)</f>
        <v>0</v>
      </c>
      <c r="AS141" s="22">
        <f ca="1">SUM($C120:AS120)</f>
        <v>0</v>
      </c>
      <c r="AT141" s="22">
        <f ca="1">SUM($C120:AT120)</f>
        <v>0</v>
      </c>
      <c r="AU141" s="22">
        <f ca="1">SUM($C120:AU120)</f>
        <v>0</v>
      </c>
      <c r="AV141" s="22">
        <f ca="1">SUM($C120:AV120)</f>
        <v>0</v>
      </c>
      <c r="AW141" s="22">
        <f ca="1">SUM($C120:AW120)</f>
        <v>0</v>
      </c>
    </row>
    <row r="142" spans="1:49" x14ac:dyDescent="0.2">
      <c r="A142" s="23"/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</row>
    <row r="143" spans="1:49" x14ac:dyDescent="0.2">
      <c r="A143" s="20" t="s">
        <v>70</v>
      </c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</row>
    <row r="144" spans="1:49" x14ac:dyDescent="0.2">
      <c r="A144" s="24" t="str">
        <f>$A$56</f>
        <v>Sliema</v>
      </c>
      <c r="B144" s="21"/>
      <c r="C144" s="22">
        <f t="shared" ref="C144:AM144" ca="1" si="256">IFERROR(IF(VLOOKUP($A144,$138:$141,C$1+2,FALSE)=0,C56,0),C56)</f>
        <v>309000</v>
      </c>
      <c r="D144" s="22">
        <f t="shared" ca="1" si="256"/>
        <v>318270</v>
      </c>
      <c r="E144" s="22">
        <f t="shared" ca="1" si="256"/>
        <v>327818.10000000003</v>
      </c>
      <c r="F144" s="22">
        <f t="shared" ca="1" si="256"/>
        <v>337652.64300000004</v>
      </c>
      <c r="G144" s="22">
        <f t="shared" ca="1" si="256"/>
        <v>347782.22229000006</v>
      </c>
      <c r="H144" s="22">
        <f t="shared" ca="1" si="256"/>
        <v>358215.68895870005</v>
      </c>
      <c r="I144" s="22">
        <f t="shared" ca="1" si="256"/>
        <v>368962.15962746105</v>
      </c>
      <c r="J144" s="22">
        <f t="shared" ca="1" si="256"/>
        <v>380031.02441628487</v>
      </c>
      <c r="K144" s="22">
        <f t="shared" ca="1" si="256"/>
        <v>391431.95514877344</v>
      </c>
      <c r="L144" s="22">
        <f t="shared" ca="1" si="256"/>
        <v>403174.91380323668</v>
      </c>
      <c r="M144" s="22">
        <f t="shared" ca="1" si="256"/>
        <v>415270.16121733381</v>
      </c>
      <c r="N144" s="22">
        <f t="shared" ca="1" si="256"/>
        <v>427728.26605385385</v>
      </c>
      <c r="O144" s="22">
        <f t="shared" ca="1" si="256"/>
        <v>440560.11403546948</v>
      </c>
      <c r="P144" s="22">
        <f t="shared" ca="1" si="256"/>
        <v>453776.91745653359</v>
      </c>
      <c r="Q144" s="22">
        <f t="shared" ca="1" si="256"/>
        <v>467390.22498022963</v>
      </c>
      <c r="R144" s="22">
        <f t="shared" ca="1" si="256"/>
        <v>0</v>
      </c>
      <c r="S144" s="22">
        <f t="shared" ca="1" si="256"/>
        <v>0</v>
      </c>
      <c r="T144" s="22">
        <f t="shared" ca="1" si="256"/>
        <v>0</v>
      </c>
      <c r="U144" s="22">
        <f t="shared" ca="1" si="256"/>
        <v>0</v>
      </c>
      <c r="V144" s="22">
        <f t="shared" ca="1" si="256"/>
        <v>0</v>
      </c>
      <c r="W144" s="22">
        <f t="shared" ca="1" si="256"/>
        <v>0</v>
      </c>
      <c r="X144" s="22">
        <f t="shared" ca="1" si="256"/>
        <v>0</v>
      </c>
      <c r="Y144" s="22">
        <f t="shared" ca="1" si="256"/>
        <v>0</v>
      </c>
      <c r="Z144" s="22">
        <f t="shared" ca="1" si="256"/>
        <v>0</v>
      </c>
      <c r="AA144" s="22">
        <f t="shared" ca="1" si="256"/>
        <v>0</v>
      </c>
      <c r="AB144" s="22">
        <f t="shared" ca="1" si="256"/>
        <v>0</v>
      </c>
      <c r="AC144" s="22">
        <f t="shared" ca="1" si="256"/>
        <v>0</v>
      </c>
      <c r="AD144" s="22">
        <f t="shared" ca="1" si="256"/>
        <v>0</v>
      </c>
      <c r="AE144" s="22">
        <f t="shared" ca="1" si="256"/>
        <v>0</v>
      </c>
      <c r="AF144" s="22">
        <f t="shared" ca="1" si="256"/>
        <v>0</v>
      </c>
      <c r="AG144" s="22">
        <f t="shared" ca="1" si="256"/>
        <v>0</v>
      </c>
      <c r="AH144" s="22">
        <f t="shared" ca="1" si="256"/>
        <v>0</v>
      </c>
      <c r="AI144" s="22">
        <f t="shared" ca="1" si="256"/>
        <v>0</v>
      </c>
      <c r="AJ144" s="22">
        <f t="shared" ca="1" si="256"/>
        <v>0</v>
      </c>
      <c r="AK144" s="22">
        <f t="shared" ca="1" si="256"/>
        <v>0</v>
      </c>
      <c r="AL144" s="22">
        <f t="shared" ca="1" si="256"/>
        <v>0</v>
      </c>
      <c r="AM144" s="22">
        <f t="shared" ca="1" si="256"/>
        <v>0</v>
      </c>
      <c r="AN144" s="22">
        <f t="shared" ref="AN144:AV144" ca="1" si="257">IFERROR(IF(VLOOKUP($A144,$138:$141,AN$1+2,FALSE)=0,AN56,0),AN56)</f>
        <v>0</v>
      </c>
      <c r="AO144" s="22">
        <f t="shared" ca="1" si="257"/>
        <v>0</v>
      </c>
      <c r="AP144" s="22">
        <f t="shared" ca="1" si="257"/>
        <v>0</v>
      </c>
      <c r="AQ144" s="22">
        <f t="shared" ca="1" si="257"/>
        <v>0</v>
      </c>
      <c r="AR144" s="22">
        <f t="shared" ca="1" si="257"/>
        <v>0</v>
      </c>
      <c r="AS144" s="22">
        <f t="shared" ca="1" si="257"/>
        <v>0</v>
      </c>
      <c r="AT144" s="22">
        <f t="shared" ca="1" si="257"/>
        <v>0</v>
      </c>
      <c r="AU144" s="22">
        <f t="shared" ca="1" si="257"/>
        <v>0</v>
      </c>
      <c r="AV144" s="22">
        <f t="shared" ca="1" si="257"/>
        <v>0</v>
      </c>
      <c r="AW144" s="22">
        <f t="shared" ref="AW144" ca="1" si="258">IFERROR(IF(VLOOKUP($A144,$138:$141,AW$1+2,FALSE)=0,AW56,0),AW56)</f>
        <v>0</v>
      </c>
    </row>
    <row r="145" spans="1:49" x14ac:dyDescent="0.2">
      <c r="A145" s="24" t="str">
        <f>$A$57</f>
        <v/>
      </c>
      <c r="B145" s="21"/>
      <c r="C145" s="22">
        <f t="shared" ref="C145:AM145" ca="1" si="259">IFERROR(IF(VLOOKUP($A145,$138:$141,C$1+2,FALSE)=0,C57,0),C57)</f>
        <v>0</v>
      </c>
      <c r="D145" s="22">
        <f t="shared" ca="1" si="259"/>
        <v>0</v>
      </c>
      <c r="E145" s="22">
        <f t="shared" ca="1" si="259"/>
        <v>0</v>
      </c>
      <c r="F145" s="22">
        <f t="shared" ca="1" si="259"/>
        <v>0</v>
      </c>
      <c r="G145" s="22">
        <f t="shared" ca="1" si="259"/>
        <v>0</v>
      </c>
      <c r="H145" s="22">
        <f t="shared" ca="1" si="259"/>
        <v>0</v>
      </c>
      <c r="I145" s="22">
        <f t="shared" ca="1" si="259"/>
        <v>0</v>
      </c>
      <c r="J145" s="22">
        <f t="shared" ca="1" si="259"/>
        <v>0</v>
      </c>
      <c r="K145" s="22">
        <f t="shared" ca="1" si="259"/>
        <v>0</v>
      </c>
      <c r="L145" s="22">
        <f t="shared" ca="1" si="259"/>
        <v>0</v>
      </c>
      <c r="M145" s="22">
        <f t="shared" ca="1" si="259"/>
        <v>0</v>
      </c>
      <c r="N145" s="22">
        <f t="shared" ca="1" si="259"/>
        <v>0</v>
      </c>
      <c r="O145" s="22">
        <f t="shared" ca="1" si="259"/>
        <v>0</v>
      </c>
      <c r="P145" s="22">
        <f t="shared" ca="1" si="259"/>
        <v>0</v>
      </c>
      <c r="Q145" s="22">
        <f t="shared" ca="1" si="259"/>
        <v>0</v>
      </c>
      <c r="R145" s="22">
        <f t="shared" ca="1" si="259"/>
        <v>0</v>
      </c>
      <c r="S145" s="22">
        <f t="shared" ca="1" si="259"/>
        <v>0</v>
      </c>
      <c r="T145" s="22">
        <f t="shared" ca="1" si="259"/>
        <v>0</v>
      </c>
      <c r="U145" s="22">
        <f t="shared" ca="1" si="259"/>
        <v>0</v>
      </c>
      <c r="V145" s="22">
        <f t="shared" ca="1" si="259"/>
        <v>0</v>
      </c>
      <c r="W145" s="22">
        <f t="shared" ca="1" si="259"/>
        <v>0</v>
      </c>
      <c r="X145" s="22">
        <f t="shared" ca="1" si="259"/>
        <v>0</v>
      </c>
      <c r="Y145" s="22">
        <f t="shared" ca="1" si="259"/>
        <v>0</v>
      </c>
      <c r="Z145" s="22">
        <f t="shared" ca="1" si="259"/>
        <v>0</v>
      </c>
      <c r="AA145" s="22">
        <f t="shared" ca="1" si="259"/>
        <v>0</v>
      </c>
      <c r="AB145" s="22">
        <f t="shared" ca="1" si="259"/>
        <v>0</v>
      </c>
      <c r="AC145" s="22">
        <f t="shared" ca="1" si="259"/>
        <v>0</v>
      </c>
      <c r="AD145" s="22">
        <f t="shared" ca="1" si="259"/>
        <v>0</v>
      </c>
      <c r="AE145" s="22">
        <f t="shared" ca="1" si="259"/>
        <v>0</v>
      </c>
      <c r="AF145" s="22">
        <f t="shared" ca="1" si="259"/>
        <v>0</v>
      </c>
      <c r="AG145" s="22">
        <f t="shared" ca="1" si="259"/>
        <v>0</v>
      </c>
      <c r="AH145" s="22">
        <f t="shared" ca="1" si="259"/>
        <v>0</v>
      </c>
      <c r="AI145" s="22">
        <f t="shared" ca="1" si="259"/>
        <v>0</v>
      </c>
      <c r="AJ145" s="22">
        <f t="shared" ca="1" si="259"/>
        <v>0</v>
      </c>
      <c r="AK145" s="22">
        <f t="shared" ca="1" si="259"/>
        <v>0</v>
      </c>
      <c r="AL145" s="22">
        <f t="shared" ca="1" si="259"/>
        <v>0</v>
      </c>
      <c r="AM145" s="22">
        <f t="shared" ca="1" si="259"/>
        <v>0</v>
      </c>
      <c r="AN145" s="22">
        <f t="shared" ref="AN145:AV145" ca="1" si="260">IFERROR(IF(VLOOKUP($A145,$138:$141,AN$1+2,FALSE)=0,AN57,0),AN57)</f>
        <v>0</v>
      </c>
      <c r="AO145" s="22">
        <f t="shared" ca="1" si="260"/>
        <v>0</v>
      </c>
      <c r="AP145" s="22">
        <f t="shared" ca="1" si="260"/>
        <v>0</v>
      </c>
      <c r="AQ145" s="22">
        <f t="shared" ca="1" si="260"/>
        <v>0</v>
      </c>
      <c r="AR145" s="22">
        <f t="shared" ca="1" si="260"/>
        <v>0</v>
      </c>
      <c r="AS145" s="22">
        <f t="shared" ca="1" si="260"/>
        <v>0</v>
      </c>
      <c r="AT145" s="22">
        <f t="shared" ca="1" si="260"/>
        <v>0</v>
      </c>
      <c r="AU145" s="22">
        <f t="shared" ca="1" si="260"/>
        <v>0</v>
      </c>
      <c r="AV145" s="22">
        <f t="shared" ca="1" si="260"/>
        <v>0</v>
      </c>
      <c r="AW145" s="22">
        <f t="shared" ref="AW145" ca="1" si="261">IFERROR(IF(VLOOKUP($A145,$138:$141,AW$1+2,FALSE)=0,AW57,0),AW57)</f>
        <v>0</v>
      </c>
    </row>
    <row r="146" spans="1:49" x14ac:dyDescent="0.2">
      <c r="A146" s="24" t="str">
        <f>$A$58</f>
        <v/>
      </c>
      <c r="B146" s="21"/>
      <c r="C146" s="22">
        <f t="shared" ref="C146:AM146" ca="1" si="262">IFERROR(IF(VLOOKUP($A146,$138:$141,C$1+2,FALSE)=0,C58,0),C58)</f>
        <v>0</v>
      </c>
      <c r="D146" s="22">
        <f t="shared" ca="1" si="262"/>
        <v>0</v>
      </c>
      <c r="E146" s="22">
        <f t="shared" ca="1" si="262"/>
        <v>0</v>
      </c>
      <c r="F146" s="22">
        <f t="shared" ca="1" si="262"/>
        <v>0</v>
      </c>
      <c r="G146" s="22">
        <f t="shared" ca="1" si="262"/>
        <v>0</v>
      </c>
      <c r="H146" s="22">
        <f t="shared" ca="1" si="262"/>
        <v>0</v>
      </c>
      <c r="I146" s="22">
        <f t="shared" ca="1" si="262"/>
        <v>0</v>
      </c>
      <c r="J146" s="22">
        <f t="shared" ca="1" si="262"/>
        <v>0</v>
      </c>
      <c r="K146" s="22">
        <f t="shared" ca="1" si="262"/>
        <v>0</v>
      </c>
      <c r="L146" s="22">
        <f t="shared" ca="1" si="262"/>
        <v>0</v>
      </c>
      <c r="M146" s="22">
        <f t="shared" ca="1" si="262"/>
        <v>0</v>
      </c>
      <c r="N146" s="22">
        <f t="shared" ca="1" si="262"/>
        <v>0</v>
      </c>
      <c r="O146" s="22">
        <f t="shared" ca="1" si="262"/>
        <v>0</v>
      </c>
      <c r="P146" s="22">
        <f t="shared" ca="1" si="262"/>
        <v>0</v>
      </c>
      <c r="Q146" s="22">
        <f t="shared" ca="1" si="262"/>
        <v>0</v>
      </c>
      <c r="R146" s="22">
        <f t="shared" ca="1" si="262"/>
        <v>0</v>
      </c>
      <c r="S146" s="22">
        <f t="shared" ca="1" si="262"/>
        <v>0</v>
      </c>
      <c r="T146" s="22">
        <f t="shared" ca="1" si="262"/>
        <v>0</v>
      </c>
      <c r="U146" s="22">
        <f t="shared" ca="1" si="262"/>
        <v>0</v>
      </c>
      <c r="V146" s="22">
        <f t="shared" ca="1" si="262"/>
        <v>0</v>
      </c>
      <c r="W146" s="22">
        <f t="shared" ca="1" si="262"/>
        <v>0</v>
      </c>
      <c r="X146" s="22">
        <f t="shared" ca="1" si="262"/>
        <v>0</v>
      </c>
      <c r="Y146" s="22">
        <f t="shared" ca="1" si="262"/>
        <v>0</v>
      </c>
      <c r="Z146" s="22">
        <f t="shared" ca="1" si="262"/>
        <v>0</v>
      </c>
      <c r="AA146" s="22">
        <f t="shared" ca="1" si="262"/>
        <v>0</v>
      </c>
      <c r="AB146" s="22">
        <f t="shared" ca="1" si="262"/>
        <v>0</v>
      </c>
      <c r="AC146" s="22">
        <f t="shared" ca="1" si="262"/>
        <v>0</v>
      </c>
      <c r="AD146" s="22">
        <f t="shared" ca="1" si="262"/>
        <v>0</v>
      </c>
      <c r="AE146" s="22">
        <f t="shared" ca="1" si="262"/>
        <v>0</v>
      </c>
      <c r="AF146" s="22">
        <f t="shared" ca="1" si="262"/>
        <v>0</v>
      </c>
      <c r="AG146" s="22">
        <f t="shared" ca="1" si="262"/>
        <v>0</v>
      </c>
      <c r="AH146" s="22">
        <f t="shared" ca="1" si="262"/>
        <v>0</v>
      </c>
      <c r="AI146" s="22">
        <f t="shared" ca="1" si="262"/>
        <v>0</v>
      </c>
      <c r="AJ146" s="22">
        <f t="shared" ca="1" si="262"/>
        <v>0</v>
      </c>
      <c r="AK146" s="22">
        <f t="shared" ca="1" si="262"/>
        <v>0</v>
      </c>
      <c r="AL146" s="22">
        <f t="shared" ca="1" si="262"/>
        <v>0</v>
      </c>
      <c r="AM146" s="22">
        <f t="shared" ca="1" si="262"/>
        <v>0</v>
      </c>
      <c r="AN146" s="22">
        <f t="shared" ref="AN146:AV146" ca="1" si="263">IFERROR(IF(VLOOKUP($A146,$138:$141,AN$1+2,FALSE)=0,AN58,0),AN58)</f>
        <v>0</v>
      </c>
      <c r="AO146" s="22">
        <f t="shared" ca="1" si="263"/>
        <v>0</v>
      </c>
      <c r="AP146" s="22">
        <f t="shared" ca="1" si="263"/>
        <v>0</v>
      </c>
      <c r="AQ146" s="22">
        <f t="shared" ca="1" si="263"/>
        <v>0</v>
      </c>
      <c r="AR146" s="22">
        <f t="shared" ca="1" si="263"/>
        <v>0</v>
      </c>
      <c r="AS146" s="22">
        <f t="shared" ca="1" si="263"/>
        <v>0</v>
      </c>
      <c r="AT146" s="22">
        <f t="shared" ca="1" si="263"/>
        <v>0</v>
      </c>
      <c r="AU146" s="22">
        <f t="shared" ca="1" si="263"/>
        <v>0</v>
      </c>
      <c r="AV146" s="22">
        <f t="shared" ca="1" si="263"/>
        <v>0</v>
      </c>
      <c r="AW146" s="22">
        <f t="shared" ref="AW146" ca="1" si="264">IFERROR(IF(VLOOKUP($A146,$138:$141,AW$1+2,FALSE)=0,AW58,0),AW58)</f>
        <v>0</v>
      </c>
    </row>
    <row r="147" spans="1:49" x14ac:dyDescent="0.2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">
      <c r="A148" s="20" t="s">
        <v>67</v>
      </c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</row>
    <row r="149" spans="1:49" x14ac:dyDescent="0.2">
      <c r="A149" s="24" t="str">
        <f>B$92</f>
        <v>Sliema</v>
      </c>
      <c r="B149" s="21"/>
      <c r="C149" s="22">
        <f ca="1">SUM($C92:C92)</f>
        <v>0</v>
      </c>
      <c r="D149" s="22">
        <f ca="1">SUM($C92:D92)</f>
        <v>0</v>
      </c>
      <c r="E149" s="22">
        <f ca="1">SUM($C92:E92)</f>
        <v>0</v>
      </c>
      <c r="F149" s="22">
        <f ca="1">SUM($C92:F92)</f>
        <v>0</v>
      </c>
      <c r="G149" s="22">
        <f ca="1">SUM($C92:G92)</f>
        <v>0</v>
      </c>
      <c r="H149" s="22">
        <f ca="1">SUM($C92:H92)</f>
        <v>0</v>
      </c>
      <c r="I149" s="22">
        <f ca="1">SUM($C92:I92)</f>
        <v>0</v>
      </c>
      <c r="J149" s="22">
        <f ca="1">SUM($C92:J92)</f>
        <v>0</v>
      </c>
      <c r="K149" s="22">
        <f ca="1">SUM($C92:K92)</f>
        <v>0</v>
      </c>
      <c r="L149" s="22">
        <f ca="1">SUM($C92:L92)</f>
        <v>0</v>
      </c>
      <c r="M149" s="22">
        <f ca="1">SUM($C92:M92)</f>
        <v>0</v>
      </c>
      <c r="N149" s="22">
        <f ca="1">SUM($C92:N92)</f>
        <v>0</v>
      </c>
      <c r="O149" s="22">
        <f ca="1">SUM($C92:O92)</f>
        <v>0</v>
      </c>
      <c r="P149" s="22">
        <f ca="1">SUM($C92:P92)</f>
        <v>0</v>
      </c>
      <c r="Q149" s="22">
        <f ca="1">SUM($C92:Q92)</f>
        <v>0</v>
      </c>
      <c r="R149" s="22">
        <f ca="1">SUM($C92:R92)</f>
        <v>0</v>
      </c>
      <c r="S149" s="22">
        <f ca="1">SUM($C92:S92)</f>
        <v>0</v>
      </c>
      <c r="T149" s="22">
        <f ca="1">SUM($C92:T92)</f>
        <v>0</v>
      </c>
      <c r="U149" s="22">
        <f ca="1">SUM($C92:U92)</f>
        <v>0</v>
      </c>
      <c r="V149" s="22">
        <f ca="1">SUM($C92:V92)</f>
        <v>0</v>
      </c>
      <c r="W149" s="22">
        <f ca="1">SUM($C92:W92)</f>
        <v>0</v>
      </c>
      <c r="X149" s="22">
        <f ca="1">SUM($C92:X92)</f>
        <v>0</v>
      </c>
      <c r="Y149" s="22">
        <f ca="1">SUM($C92:Y92)</f>
        <v>0</v>
      </c>
      <c r="Z149" s="22">
        <f ca="1">SUM($C92:Z92)</f>
        <v>0</v>
      </c>
      <c r="AA149" s="22">
        <f ca="1">SUM($C92:AA92)</f>
        <v>0</v>
      </c>
      <c r="AB149" s="22">
        <f ca="1">SUM($C92:AB92)</f>
        <v>0</v>
      </c>
      <c r="AC149" s="22">
        <f ca="1">SUM($C92:AC92)</f>
        <v>0</v>
      </c>
      <c r="AD149" s="22">
        <f ca="1">SUM($C92:AD92)</f>
        <v>0</v>
      </c>
      <c r="AE149" s="22">
        <f ca="1">SUM($C92:AE92)</f>
        <v>0</v>
      </c>
      <c r="AF149" s="22">
        <f ca="1">SUM($C92:AF92)</f>
        <v>0</v>
      </c>
      <c r="AG149" s="22">
        <f ca="1">SUM($C92:AG92)</f>
        <v>0</v>
      </c>
      <c r="AH149" s="22">
        <f ca="1">SUM($C92:AH92)</f>
        <v>0</v>
      </c>
      <c r="AI149" s="22">
        <f ca="1">SUM($C92:AI92)</f>
        <v>0</v>
      </c>
      <c r="AJ149" s="22">
        <f ca="1">SUM($C92:AJ92)</f>
        <v>0</v>
      </c>
      <c r="AK149" s="22">
        <f ca="1">SUM($C92:AK92)</f>
        <v>0</v>
      </c>
      <c r="AL149" s="22">
        <f ca="1">SUM($C92:AL92)</f>
        <v>0</v>
      </c>
      <c r="AM149" s="22">
        <f ca="1">SUM($C92:AM92)</f>
        <v>0</v>
      </c>
      <c r="AN149" s="22">
        <f ca="1">SUM($C92:AN92)</f>
        <v>0</v>
      </c>
      <c r="AO149" s="22">
        <f ca="1">SUM($C92:AO92)</f>
        <v>0</v>
      </c>
      <c r="AP149" s="22">
        <f ca="1">SUM($C92:AP92)</f>
        <v>0</v>
      </c>
      <c r="AQ149" s="22">
        <f ca="1">SUM($C92:AQ92)</f>
        <v>0</v>
      </c>
      <c r="AR149" s="22">
        <f ca="1">SUM($C92:AR92)</f>
        <v>0</v>
      </c>
      <c r="AS149" s="22">
        <f ca="1">SUM($C92:AS92)</f>
        <v>0</v>
      </c>
      <c r="AT149" s="22">
        <f ca="1">SUM($C92:AT92)</f>
        <v>0</v>
      </c>
      <c r="AU149" s="22">
        <f ca="1">SUM($C92:AU92)</f>
        <v>0</v>
      </c>
      <c r="AV149" s="22">
        <f ca="1">SUM($C92:AV92)</f>
        <v>0</v>
      </c>
      <c r="AW149" s="22">
        <f ca="1">SUM($C92:AW92)</f>
        <v>0</v>
      </c>
    </row>
    <row r="150" spans="1:49" x14ac:dyDescent="0.2">
      <c r="A150" s="24" t="str">
        <f>B$109</f>
        <v/>
      </c>
      <c r="B150" s="21"/>
      <c r="C150" s="22">
        <f ca="1">SUM($C109:C109)</f>
        <v>0</v>
      </c>
      <c r="D150" s="22">
        <f ca="1">SUM($C109:D109)</f>
        <v>0</v>
      </c>
      <c r="E150" s="22">
        <f ca="1">SUM($C109:E109)</f>
        <v>0</v>
      </c>
      <c r="F150" s="22">
        <f ca="1">SUM($C109:F109)</f>
        <v>0</v>
      </c>
      <c r="G150" s="22">
        <f ca="1">SUM($C109:G109)</f>
        <v>0</v>
      </c>
      <c r="H150" s="22">
        <f ca="1">SUM($C109:H109)</f>
        <v>0</v>
      </c>
      <c r="I150" s="22">
        <f ca="1">SUM($C109:I109)</f>
        <v>0</v>
      </c>
      <c r="J150" s="22">
        <f ca="1">SUM($C109:J109)</f>
        <v>0</v>
      </c>
      <c r="K150" s="22">
        <f ca="1">SUM($C109:K109)</f>
        <v>0</v>
      </c>
      <c r="L150" s="22">
        <f ca="1">SUM($C109:L109)</f>
        <v>0</v>
      </c>
      <c r="M150" s="22">
        <f ca="1">SUM($C109:M109)</f>
        <v>0</v>
      </c>
      <c r="N150" s="22">
        <f ca="1">SUM($C109:N109)</f>
        <v>0</v>
      </c>
      <c r="O150" s="22">
        <f ca="1">SUM($C109:O109)</f>
        <v>0</v>
      </c>
      <c r="P150" s="22">
        <f ca="1">SUM($C109:P109)</f>
        <v>0</v>
      </c>
      <c r="Q150" s="22">
        <f ca="1">SUM($C109:Q109)</f>
        <v>0</v>
      </c>
      <c r="R150" s="22">
        <f ca="1">SUM($C109:R109)</f>
        <v>0</v>
      </c>
      <c r="S150" s="22">
        <f ca="1">SUM($C109:S109)</f>
        <v>0</v>
      </c>
      <c r="T150" s="22">
        <f ca="1">SUM($C109:T109)</f>
        <v>0</v>
      </c>
      <c r="U150" s="22">
        <f ca="1">SUM($C109:U109)</f>
        <v>0</v>
      </c>
      <c r="V150" s="22">
        <f ca="1">SUM($C109:V109)</f>
        <v>0</v>
      </c>
      <c r="W150" s="22">
        <f ca="1">SUM($C109:W109)</f>
        <v>0</v>
      </c>
      <c r="X150" s="22">
        <f ca="1">SUM($C109:X109)</f>
        <v>0</v>
      </c>
      <c r="Y150" s="22">
        <f ca="1">SUM($C109:Y109)</f>
        <v>0</v>
      </c>
      <c r="Z150" s="22">
        <f ca="1">SUM($C109:Z109)</f>
        <v>0</v>
      </c>
      <c r="AA150" s="22">
        <f ca="1">SUM($C109:AA109)</f>
        <v>0</v>
      </c>
      <c r="AB150" s="22">
        <f ca="1">SUM($C109:AB109)</f>
        <v>0</v>
      </c>
      <c r="AC150" s="22">
        <f ca="1">SUM($C109:AC109)</f>
        <v>0</v>
      </c>
      <c r="AD150" s="22">
        <f ca="1">SUM($C109:AD109)</f>
        <v>0</v>
      </c>
      <c r="AE150" s="22">
        <f ca="1">SUM($C109:AE109)</f>
        <v>0</v>
      </c>
      <c r="AF150" s="22">
        <f ca="1">SUM($C109:AF109)</f>
        <v>0</v>
      </c>
      <c r="AG150" s="22">
        <f ca="1">SUM($C109:AG109)</f>
        <v>0</v>
      </c>
      <c r="AH150" s="22">
        <f ca="1">SUM($C109:AH109)</f>
        <v>0</v>
      </c>
      <c r="AI150" s="22">
        <f ca="1">SUM($C109:AI109)</f>
        <v>0</v>
      </c>
      <c r="AJ150" s="22">
        <f ca="1">SUM($C109:AJ109)</f>
        <v>0</v>
      </c>
      <c r="AK150" s="22">
        <f ca="1">SUM($C109:AK109)</f>
        <v>0</v>
      </c>
      <c r="AL150" s="22">
        <f ca="1">SUM($C109:AL109)</f>
        <v>0</v>
      </c>
      <c r="AM150" s="22">
        <f ca="1">SUM($C109:AM109)</f>
        <v>0</v>
      </c>
      <c r="AN150" s="22">
        <f ca="1">SUM($C109:AN109)</f>
        <v>0</v>
      </c>
      <c r="AO150" s="22">
        <f ca="1">SUM($C109:AO109)</f>
        <v>0</v>
      </c>
      <c r="AP150" s="22">
        <f ca="1">SUM($C109:AP109)</f>
        <v>0</v>
      </c>
      <c r="AQ150" s="22">
        <f ca="1">SUM($C109:AQ109)</f>
        <v>0</v>
      </c>
      <c r="AR150" s="22">
        <f ca="1">SUM($C109:AR109)</f>
        <v>0</v>
      </c>
      <c r="AS150" s="22">
        <f ca="1">SUM($C109:AS109)</f>
        <v>0</v>
      </c>
      <c r="AT150" s="22">
        <f ca="1">SUM($C109:AT109)</f>
        <v>0</v>
      </c>
      <c r="AU150" s="22">
        <f ca="1">SUM($C109:AU109)</f>
        <v>0</v>
      </c>
      <c r="AV150" s="22">
        <f ca="1">SUM($C109:AV109)</f>
        <v>0</v>
      </c>
      <c r="AW150" s="22">
        <f ca="1">SUM($C109:AW109)</f>
        <v>0</v>
      </c>
    </row>
    <row r="151" spans="1:49" x14ac:dyDescent="0.2">
      <c r="A151" s="24" t="str">
        <f>B$126</f>
        <v/>
      </c>
      <c r="B151" s="21"/>
      <c r="C151" s="22">
        <f ca="1">SUM($C126:C126)</f>
        <v>0</v>
      </c>
      <c r="D151" s="22">
        <f ca="1">SUM($C126:D126)</f>
        <v>0</v>
      </c>
      <c r="E151" s="22">
        <f ca="1">SUM($C126:E126)</f>
        <v>0</v>
      </c>
      <c r="F151" s="22">
        <f ca="1">SUM($C126:F126)</f>
        <v>0</v>
      </c>
      <c r="G151" s="22">
        <f ca="1">SUM($C126:G126)</f>
        <v>0</v>
      </c>
      <c r="H151" s="22">
        <f ca="1">SUM($C126:H126)</f>
        <v>0</v>
      </c>
      <c r="I151" s="22">
        <f ca="1">SUM($C126:I126)</f>
        <v>0</v>
      </c>
      <c r="J151" s="22">
        <f ca="1">SUM($C126:J126)</f>
        <v>0</v>
      </c>
      <c r="K151" s="22">
        <f ca="1">SUM($C126:K126)</f>
        <v>0</v>
      </c>
      <c r="L151" s="22">
        <f ca="1">SUM($C126:L126)</f>
        <v>0</v>
      </c>
      <c r="M151" s="22">
        <f ca="1">SUM($C126:M126)</f>
        <v>0</v>
      </c>
      <c r="N151" s="22">
        <f ca="1">SUM($C126:N126)</f>
        <v>0</v>
      </c>
      <c r="O151" s="22">
        <f ca="1">SUM($C126:O126)</f>
        <v>0</v>
      </c>
      <c r="P151" s="22">
        <f ca="1">SUM($C126:P126)</f>
        <v>0</v>
      </c>
      <c r="Q151" s="22">
        <f ca="1">SUM($C126:Q126)</f>
        <v>0</v>
      </c>
      <c r="R151" s="22">
        <f ca="1">SUM($C126:R126)</f>
        <v>0</v>
      </c>
      <c r="S151" s="22">
        <f ca="1">SUM($C126:S126)</f>
        <v>0</v>
      </c>
      <c r="T151" s="22">
        <f ca="1">SUM($C126:T126)</f>
        <v>0</v>
      </c>
      <c r="U151" s="22">
        <f ca="1">SUM($C126:U126)</f>
        <v>0</v>
      </c>
      <c r="V151" s="22">
        <f ca="1">SUM($C126:V126)</f>
        <v>0</v>
      </c>
      <c r="W151" s="22">
        <f ca="1">SUM($C126:W126)</f>
        <v>0</v>
      </c>
      <c r="X151" s="22">
        <f ca="1">SUM($C126:X126)</f>
        <v>0</v>
      </c>
      <c r="Y151" s="22">
        <f ca="1">SUM($C126:Y126)</f>
        <v>0</v>
      </c>
      <c r="Z151" s="22">
        <f ca="1">SUM($C126:Z126)</f>
        <v>0</v>
      </c>
      <c r="AA151" s="22">
        <f ca="1">SUM($C126:AA126)</f>
        <v>0</v>
      </c>
      <c r="AB151" s="22">
        <f ca="1">SUM($C126:AB126)</f>
        <v>0</v>
      </c>
      <c r="AC151" s="22">
        <f ca="1">SUM($C126:AC126)</f>
        <v>0</v>
      </c>
      <c r="AD151" s="22">
        <f ca="1">SUM($C126:AD126)</f>
        <v>0</v>
      </c>
      <c r="AE151" s="22">
        <f ca="1">SUM($C126:AE126)</f>
        <v>0</v>
      </c>
      <c r="AF151" s="22">
        <f ca="1">SUM($C126:AF126)</f>
        <v>0</v>
      </c>
      <c r="AG151" s="22">
        <f ca="1">SUM($C126:AG126)</f>
        <v>0</v>
      </c>
      <c r="AH151" s="22">
        <f ca="1">SUM($C126:AH126)</f>
        <v>0</v>
      </c>
      <c r="AI151" s="22">
        <f ca="1">SUM($C126:AI126)</f>
        <v>0</v>
      </c>
      <c r="AJ151" s="22">
        <f ca="1">SUM($C126:AJ126)</f>
        <v>0</v>
      </c>
      <c r="AK151" s="22">
        <f ca="1">SUM($C126:AK126)</f>
        <v>0</v>
      </c>
      <c r="AL151" s="22">
        <f ca="1">SUM($C126:AL126)</f>
        <v>0</v>
      </c>
      <c r="AM151" s="22">
        <f ca="1">SUM($C126:AM126)</f>
        <v>0</v>
      </c>
      <c r="AN151" s="22">
        <f ca="1">SUM($C126:AN126)</f>
        <v>0</v>
      </c>
      <c r="AO151" s="22">
        <f ca="1">SUM($C126:AO126)</f>
        <v>0</v>
      </c>
      <c r="AP151" s="22">
        <f ca="1">SUM($C126:AP126)</f>
        <v>0</v>
      </c>
      <c r="AQ151" s="22">
        <f ca="1">SUM($C126:AQ126)</f>
        <v>0</v>
      </c>
      <c r="AR151" s="22">
        <f ca="1">SUM($C126:AR126)</f>
        <v>0</v>
      </c>
      <c r="AS151" s="22">
        <f ca="1">SUM($C126:AS126)</f>
        <v>0</v>
      </c>
      <c r="AT151" s="22">
        <f ca="1">SUM($C126:AT126)</f>
        <v>0</v>
      </c>
      <c r="AU151" s="22">
        <f ca="1">SUM($C126:AU126)</f>
        <v>0</v>
      </c>
      <c r="AV151" s="22">
        <f ca="1">SUM($C126:AV126)</f>
        <v>0</v>
      </c>
      <c r="AW151" s="22">
        <f ca="1">SUM($C126:AW126)</f>
        <v>0</v>
      </c>
    </row>
    <row r="152" spans="1:49" x14ac:dyDescent="0.2">
      <c r="A152" s="23"/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</row>
    <row r="153" spans="1:49" x14ac:dyDescent="0.2">
      <c r="A153" s="4" t="s">
        <v>55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">
      <c r="A154" s="18" t="str">
        <f>$A$56</f>
        <v>Sliema</v>
      </c>
      <c r="C154" s="8">
        <f t="shared" ref="C154:AM154" ca="1" si="265">IFERROR(IF(VLOOKUP($A154,$148:$151,C$1+2,FALSE)=0,C62,0),C62)</f>
        <v>0</v>
      </c>
      <c r="D154" s="8">
        <f t="shared" ca="1" si="265"/>
        <v>0</v>
      </c>
      <c r="E154" s="8">
        <f t="shared" ca="1" si="265"/>
        <v>0</v>
      </c>
      <c r="F154" s="8">
        <f t="shared" ca="1" si="265"/>
        <v>0</v>
      </c>
      <c r="G154" s="8">
        <f t="shared" ca="1" si="265"/>
        <v>0</v>
      </c>
      <c r="H154" s="8">
        <f t="shared" ca="1" si="265"/>
        <v>0</v>
      </c>
      <c r="I154" s="8">
        <f t="shared" ca="1" si="265"/>
        <v>0</v>
      </c>
      <c r="J154" s="8">
        <f t="shared" ca="1" si="265"/>
        <v>0</v>
      </c>
      <c r="K154" s="8">
        <f t="shared" ca="1" si="265"/>
        <v>0</v>
      </c>
      <c r="L154" s="8">
        <f t="shared" ca="1" si="265"/>
        <v>0</v>
      </c>
      <c r="M154" s="8">
        <f t="shared" ca="1" si="265"/>
        <v>0</v>
      </c>
      <c r="N154" s="8">
        <f t="shared" ca="1" si="265"/>
        <v>0</v>
      </c>
      <c r="O154" s="8">
        <f t="shared" ca="1" si="265"/>
        <v>0</v>
      </c>
      <c r="P154" s="8">
        <f t="shared" ca="1" si="265"/>
        <v>0</v>
      </c>
      <c r="Q154" s="8">
        <f t="shared" ca="1" si="265"/>
        <v>0</v>
      </c>
      <c r="R154" s="8">
        <f t="shared" ca="1" si="265"/>
        <v>0</v>
      </c>
      <c r="S154" s="8">
        <f t="shared" ca="1" si="265"/>
        <v>0</v>
      </c>
      <c r="T154" s="8">
        <f t="shared" ca="1" si="265"/>
        <v>0</v>
      </c>
      <c r="U154" s="8">
        <f t="shared" ca="1" si="265"/>
        <v>0</v>
      </c>
      <c r="V154" s="8">
        <f t="shared" ca="1" si="265"/>
        <v>0</v>
      </c>
      <c r="W154" s="8">
        <f t="shared" ca="1" si="265"/>
        <v>0</v>
      </c>
      <c r="X154" s="8">
        <f t="shared" ca="1" si="265"/>
        <v>0</v>
      </c>
      <c r="Y154" s="8">
        <f t="shared" ca="1" si="265"/>
        <v>0</v>
      </c>
      <c r="Z154" s="8">
        <f t="shared" ca="1" si="265"/>
        <v>0</v>
      </c>
      <c r="AA154" s="8">
        <f t="shared" ca="1" si="265"/>
        <v>0</v>
      </c>
      <c r="AB154" s="8">
        <f t="shared" ca="1" si="265"/>
        <v>0</v>
      </c>
      <c r="AC154" s="8">
        <f t="shared" ca="1" si="265"/>
        <v>0</v>
      </c>
      <c r="AD154" s="8">
        <f t="shared" ca="1" si="265"/>
        <v>0</v>
      </c>
      <c r="AE154" s="8">
        <f t="shared" ca="1" si="265"/>
        <v>0</v>
      </c>
      <c r="AF154" s="8">
        <f t="shared" ca="1" si="265"/>
        <v>0</v>
      </c>
      <c r="AG154" s="8">
        <f t="shared" ca="1" si="265"/>
        <v>0</v>
      </c>
      <c r="AH154" s="8">
        <f t="shared" ca="1" si="265"/>
        <v>0</v>
      </c>
      <c r="AI154" s="8">
        <f t="shared" ca="1" si="265"/>
        <v>0</v>
      </c>
      <c r="AJ154" s="8">
        <f t="shared" ca="1" si="265"/>
        <v>0</v>
      </c>
      <c r="AK154" s="8">
        <f t="shared" ca="1" si="265"/>
        <v>0</v>
      </c>
      <c r="AL154" s="8">
        <f t="shared" ca="1" si="265"/>
        <v>0</v>
      </c>
      <c r="AM154" s="8">
        <f t="shared" ca="1" si="265"/>
        <v>0</v>
      </c>
      <c r="AN154" s="8">
        <f t="shared" ref="AN154:AV154" ca="1" si="266">IFERROR(IF(VLOOKUP($A154,$148:$151,AN$1+2,FALSE)=0,AN62,0),AN62)</f>
        <v>0</v>
      </c>
      <c r="AO154" s="8">
        <f t="shared" ca="1" si="266"/>
        <v>0</v>
      </c>
      <c r="AP154" s="8">
        <f t="shared" ca="1" si="266"/>
        <v>0</v>
      </c>
      <c r="AQ154" s="8">
        <f t="shared" ca="1" si="266"/>
        <v>0</v>
      </c>
      <c r="AR154" s="8">
        <f t="shared" ca="1" si="266"/>
        <v>0</v>
      </c>
      <c r="AS154" s="8">
        <f t="shared" ca="1" si="266"/>
        <v>0</v>
      </c>
      <c r="AT154" s="8">
        <f t="shared" ca="1" si="266"/>
        <v>0</v>
      </c>
      <c r="AU154" s="8">
        <f t="shared" ca="1" si="266"/>
        <v>0</v>
      </c>
      <c r="AV154" s="8">
        <f t="shared" ca="1" si="266"/>
        <v>0</v>
      </c>
      <c r="AW154" s="8">
        <f t="shared" ref="AW154" ca="1" si="267">IFERROR(IF(VLOOKUP($A154,$148:$151,AW$1+2,FALSE)=0,AW62,0),AW62)</f>
        <v>0</v>
      </c>
    </row>
    <row r="155" spans="1:49" x14ac:dyDescent="0.2">
      <c r="A155" s="18" t="str">
        <f>$A$57</f>
        <v/>
      </c>
      <c r="C155" s="8">
        <f t="shared" ref="C155:AM155" ca="1" si="268">IFERROR(IF(VLOOKUP($A155,$148:$151,C$1+2,FALSE)=0,C63,0),C63)</f>
        <v>0</v>
      </c>
      <c r="D155" s="8">
        <f t="shared" ca="1" si="268"/>
        <v>0</v>
      </c>
      <c r="E155" s="8">
        <f t="shared" ca="1" si="268"/>
        <v>0</v>
      </c>
      <c r="F155" s="8">
        <f t="shared" ca="1" si="268"/>
        <v>0</v>
      </c>
      <c r="G155" s="8">
        <f t="shared" ca="1" si="268"/>
        <v>0</v>
      </c>
      <c r="H155" s="8">
        <f t="shared" ca="1" si="268"/>
        <v>0</v>
      </c>
      <c r="I155" s="8">
        <f t="shared" ca="1" si="268"/>
        <v>0</v>
      </c>
      <c r="J155" s="8">
        <f t="shared" ca="1" si="268"/>
        <v>0</v>
      </c>
      <c r="K155" s="8">
        <f t="shared" ca="1" si="268"/>
        <v>0</v>
      </c>
      <c r="L155" s="8">
        <f t="shared" ca="1" si="268"/>
        <v>0</v>
      </c>
      <c r="M155" s="8">
        <f t="shared" ca="1" si="268"/>
        <v>0</v>
      </c>
      <c r="N155" s="8">
        <f t="shared" ca="1" si="268"/>
        <v>0</v>
      </c>
      <c r="O155" s="8">
        <f t="shared" ca="1" si="268"/>
        <v>0</v>
      </c>
      <c r="P155" s="8">
        <f t="shared" ca="1" si="268"/>
        <v>0</v>
      </c>
      <c r="Q155" s="8">
        <f t="shared" ca="1" si="268"/>
        <v>0</v>
      </c>
      <c r="R155" s="8">
        <f t="shared" ca="1" si="268"/>
        <v>0</v>
      </c>
      <c r="S155" s="8">
        <f t="shared" ca="1" si="268"/>
        <v>0</v>
      </c>
      <c r="T155" s="8">
        <f t="shared" ca="1" si="268"/>
        <v>0</v>
      </c>
      <c r="U155" s="8">
        <f t="shared" ca="1" si="268"/>
        <v>0</v>
      </c>
      <c r="V155" s="8">
        <f t="shared" ca="1" si="268"/>
        <v>0</v>
      </c>
      <c r="W155" s="8">
        <f t="shared" ca="1" si="268"/>
        <v>0</v>
      </c>
      <c r="X155" s="8">
        <f t="shared" ca="1" si="268"/>
        <v>0</v>
      </c>
      <c r="Y155" s="8">
        <f t="shared" ca="1" si="268"/>
        <v>0</v>
      </c>
      <c r="Z155" s="8">
        <f t="shared" ca="1" si="268"/>
        <v>0</v>
      </c>
      <c r="AA155" s="8">
        <f t="shared" ca="1" si="268"/>
        <v>0</v>
      </c>
      <c r="AB155" s="8">
        <f t="shared" ca="1" si="268"/>
        <v>0</v>
      </c>
      <c r="AC155" s="8">
        <f t="shared" ca="1" si="268"/>
        <v>0</v>
      </c>
      <c r="AD155" s="8">
        <f t="shared" ca="1" si="268"/>
        <v>0</v>
      </c>
      <c r="AE155" s="8">
        <f t="shared" ca="1" si="268"/>
        <v>0</v>
      </c>
      <c r="AF155" s="8">
        <f t="shared" ca="1" si="268"/>
        <v>0</v>
      </c>
      <c r="AG155" s="8">
        <f t="shared" ca="1" si="268"/>
        <v>0</v>
      </c>
      <c r="AH155" s="8">
        <f t="shared" ca="1" si="268"/>
        <v>0</v>
      </c>
      <c r="AI155" s="8">
        <f t="shared" ca="1" si="268"/>
        <v>0</v>
      </c>
      <c r="AJ155" s="8">
        <f t="shared" ca="1" si="268"/>
        <v>0</v>
      </c>
      <c r="AK155" s="8">
        <f t="shared" ca="1" si="268"/>
        <v>0</v>
      </c>
      <c r="AL155" s="8">
        <f t="shared" ca="1" si="268"/>
        <v>0</v>
      </c>
      <c r="AM155" s="8">
        <f t="shared" ca="1" si="268"/>
        <v>0</v>
      </c>
      <c r="AN155" s="8">
        <f t="shared" ref="AN155:AV155" ca="1" si="269">IFERROR(IF(VLOOKUP($A155,$148:$151,AN$1+2,FALSE)=0,AN63,0),AN63)</f>
        <v>0</v>
      </c>
      <c r="AO155" s="8">
        <f t="shared" ca="1" si="269"/>
        <v>0</v>
      </c>
      <c r="AP155" s="8">
        <f t="shared" ca="1" si="269"/>
        <v>0</v>
      </c>
      <c r="AQ155" s="8">
        <f t="shared" ca="1" si="269"/>
        <v>0</v>
      </c>
      <c r="AR155" s="8">
        <f t="shared" ca="1" si="269"/>
        <v>0</v>
      </c>
      <c r="AS155" s="8">
        <f t="shared" ca="1" si="269"/>
        <v>0</v>
      </c>
      <c r="AT155" s="8">
        <f t="shared" ca="1" si="269"/>
        <v>0</v>
      </c>
      <c r="AU155" s="8">
        <f t="shared" ca="1" si="269"/>
        <v>0</v>
      </c>
      <c r="AV155" s="8">
        <f t="shared" ca="1" si="269"/>
        <v>0</v>
      </c>
      <c r="AW155" s="8">
        <f t="shared" ref="AW155" ca="1" si="270">IFERROR(IF(VLOOKUP($A155,$148:$151,AW$1+2,FALSE)=0,AW63,0),AW63)</f>
        <v>0</v>
      </c>
    </row>
    <row r="156" spans="1:49" x14ac:dyDescent="0.2">
      <c r="A156" s="18" t="str">
        <f>$A$58</f>
        <v/>
      </c>
      <c r="C156" s="8">
        <f t="shared" ref="C156:AM156" ca="1" si="271">IFERROR(IF(VLOOKUP($A156,$148:$151,C$1+2,FALSE)=0,C64,0),C64)</f>
        <v>0</v>
      </c>
      <c r="D156" s="8">
        <f t="shared" ca="1" si="271"/>
        <v>0</v>
      </c>
      <c r="E156" s="8">
        <f t="shared" ca="1" si="271"/>
        <v>0</v>
      </c>
      <c r="F156" s="8">
        <f t="shared" ca="1" si="271"/>
        <v>0</v>
      </c>
      <c r="G156" s="8">
        <f t="shared" ca="1" si="271"/>
        <v>0</v>
      </c>
      <c r="H156" s="8">
        <f t="shared" ca="1" si="271"/>
        <v>0</v>
      </c>
      <c r="I156" s="8">
        <f t="shared" ca="1" si="271"/>
        <v>0</v>
      </c>
      <c r="J156" s="8">
        <f t="shared" ca="1" si="271"/>
        <v>0</v>
      </c>
      <c r="K156" s="8">
        <f t="shared" ca="1" si="271"/>
        <v>0</v>
      </c>
      <c r="L156" s="8">
        <f t="shared" ca="1" si="271"/>
        <v>0</v>
      </c>
      <c r="M156" s="8">
        <f t="shared" ca="1" si="271"/>
        <v>0</v>
      </c>
      <c r="N156" s="8">
        <f t="shared" ca="1" si="271"/>
        <v>0</v>
      </c>
      <c r="O156" s="8">
        <f t="shared" ca="1" si="271"/>
        <v>0</v>
      </c>
      <c r="P156" s="8">
        <f t="shared" ca="1" si="271"/>
        <v>0</v>
      </c>
      <c r="Q156" s="8">
        <f t="shared" ca="1" si="271"/>
        <v>0</v>
      </c>
      <c r="R156" s="8">
        <f t="shared" ca="1" si="271"/>
        <v>0</v>
      </c>
      <c r="S156" s="8">
        <f t="shared" ca="1" si="271"/>
        <v>0</v>
      </c>
      <c r="T156" s="8">
        <f t="shared" ca="1" si="271"/>
        <v>0</v>
      </c>
      <c r="U156" s="8">
        <f t="shared" ca="1" si="271"/>
        <v>0</v>
      </c>
      <c r="V156" s="8">
        <f t="shared" ca="1" si="271"/>
        <v>0</v>
      </c>
      <c r="W156" s="8">
        <f t="shared" ca="1" si="271"/>
        <v>0</v>
      </c>
      <c r="X156" s="8">
        <f t="shared" ca="1" si="271"/>
        <v>0</v>
      </c>
      <c r="Y156" s="8">
        <f t="shared" ca="1" si="271"/>
        <v>0</v>
      </c>
      <c r="Z156" s="8">
        <f t="shared" ca="1" si="271"/>
        <v>0</v>
      </c>
      <c r="AA156" s="8">
        <f t="shared" ca="1" si="271"/>
        <v>0</v>
      </c>
      <c r="AB156" s="8">
        <f t="shared" ca="1" si="271"/>
        <v>0</v>
      </c>
      <c r="AC156" s="8">
        <f t="shared" ca="1" si="271"/>
        <v>0</v>
      </c>
      <c r="AD156" s="8">
        <f t="shared" ca="1" si="271"/>
        <v>0</v>
      </c>
      <c r="AE156" s="8">
        <f t="shared" ca="1" si="271"/>
        <v>0</v>
      </c>
      <c r="AF156" s="8">
        <f t="shared" ca="1" si="271"/>
        <v>0</v>
      </c>
      <c r="AG156" s="8">
        <f t="shared" ca="1" si="271"/>
        <v>0</v>
      </c>
      <c r="AH156" s="8">
        <f t="shared" ca="1" si="271"/>
        <v>0</v>
      </c>
      <c r="AI156" s="8">
        <f t="shared" ca="1" si="271"/>
        <v>0</v>
      </c>
      <c r="AJ156" s="8">
        <f t="shared" ca="1" si="271"/>
        <v>0</v>
      </c>
      <c r="AK156" s="8">
        <f t="shared" ca="1" si="271"/>
        <v>0</v>
      </c>
      <c r="AL156" s="8">
        <f t="shared" ca="1" si="271"/>
        <v>0</v>
      </c>
      <c r="AM156" s="8">
        <f t="shared" ca="1" si="271"/>
        <v>0</v>
      </c>
      <c r="AN156" s="8">
        <f t="shared" ref="AN156:AV156" ca="1" si="272">IFERROR(IF(VLOOKUP($A156,$148:$151,AN$1+2,FALSE)=0,AN64,0),AN64)</f>
        <v>0</v>
      </c>
      <c r="AO156" s="8">
        <f t="shared" ca="1" si="272"/>
        <v>0</v>
      </c>
      <c r="AP156" s="8">
        <f t="shared" ca="1" si="272"/>
        <v>0</v>
      </c>
      <c r="AQ156" s="8">
        <f t="shared" ca="1" si="272"/>
        <v>0</v>
      </c>
      <c r="AR156" s="8">
        <f t="shared" ca="1" si="272"/>
        <v>0</v>
      </c>
      <c r="AS156" s="8">
        <f t="shared" ca="1" si="272"/>
        <v>0</v>
      </c>
      <c r="AT156" s="8">
        <f t="shared" ca="1" si="272"/>
        <v>0</v>
      </c>
      <c r="AU156" s="8">
        <f t="shared" ca="1" si="272"/>
        <v>0</v>
      </c>
      <c r="AV156" s="8">
        <f t="shared" ca="1" si="272"/>
        <v>0</v>
      </c>
      <c r="AW156" s="8">
        <f t="shared" ref="AW156" ca="1" si="273">IFERROR(IF(VLOOKUP($A156,$148:$151,AW$1+2,FALSE)=0,AW64,0),AW64)</f>
        <v>0</v>
      </c>
    </row>
    <row r="157" spans="1:49" x14ac:dyDescent="0.2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">
      <c r="A158" s="4" t="s">
        <v>68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">
      <c r="A159" s="18" t="str">
        <f t="shared" ref="A159:A171" si="274">A53</f>
        <v>Cash</v>
      </c>
      <c r="C159" s="8">
        <f ca="1">C134</f>
        <v>204898.75</v>
      </c>
      <c r="D159" s="8">
        <f t="shared" ref="D159:G159" ca="1" si="275">D134</f>
        <v>210464.1875</v>
      </c>
      <c r="E159" s="8">
        <f t="shared" ca="1" si="275"/>
        <v>216735.69765625001</v>
      </c>
      <c r="F159" s="8">
        <f t="shared" ca="1" si="275"/>
        <v>223754.49157812502</v>
      </c>
      <c r="G159" s="8">
        <f t="shared" ca="1" si="275"/>
        <v>231563.68121130861</v>
      </c>
      <c r="H159" s="8">
        <f t="shared" ref="H159:AM159" ca="1" si="276">H134</f>
        <v>240208.35706995256</v>
      </c>
      <c r="I159" s="8">
        <f t="shared" ca="1" si="276"/>
        <v>249735.66892084025</v>
      </c>
      <c r="J159" s="8">
        <f t="shared" ca="1" si="276"/>
        <v>260194.90952617431</v>
      </c>
      <c r="K159" s="8">
        <f t="shared" ca="1" si="276"/>
        <v>271637.60155532236</v>
      </c>
      <c r="L159" s="8">
        <f t="shared" ca="1" si="276"/>
        <v>284117.58777969546</v>
      </c>
      <c r="M159" s="8">
        <f t="shared" ca="1" si="276"/>
        <v>297691.1246689033</v>
      </c>
      <c r="N159" s="8">
        <f t="shared" ca="1" si="276"/>
        <v>228324.77186392489</v>
      </c>
      <c r="O159" s="8">
        <f t="shared" ca="1" si="276"/>
        <v>155547.0444657795</v>
      </c>
      <c r="P159" s="8">
        <f t="shared" ca="1" si="276"/>
        <v>79230.727715311907</v>
      </c>
      <c r="Q159" s="8">
        <f t="shared" ca="1" si="276"/>
        <v>20000</v>
      </c>
      <c r="R159" s="8">
        <f t="shared" ca="1" si="276"/>
        <v>427213.7335140247</v>
      </c>
      <c r="S159" s="8">
        <f t="shared" ca="1" si="276"/>
        <v>415291.8008390264</v>
      </c>
      <c r="T159" s="8">
        <f t="shared" ca="1" si="276"/>
        <v>372462.15956001484</v>
      </c>
      <c r="U159" s="8">
        <f t="shared" ca="1" si="276"/>
        <v>335022.09016209241</v>
      </c>
      <c r="V159" s="8">
        <f t="shared" ca="1" si="276"/>
        <v>295308.03835375386</v>
      </c>
      <c r="W159" s="8">
        <f t="shared" ca="1" si="276"/>
        <v>253263.15457473893</v>
      </c>
      <c r="X159" s="8">
        <f t="shared" ca="1" si="276"/>
        <v>208829.1680257805</v>
      </c>
      <c r="Y159" s="8">
        <f t="shared" ca="1" si="276"/>
        <v>161946.35113763015</v>
      </c>
      <c r="Z159" s="8">
        <f t="shared" ca="1" si="276"/>
        <v>112553.48315180809</v>
      </c>
      <c r="AA159" s="8">
        <f t="shared" ca="1" si="276"/>
        <v>60587.812790872355</v>
      </c>
      <c r="AB159" s="8">
        <f t="shared" ca="1" si="276"/>
        <v>7194.2227591943811</v>
      </c>
      <c r="AC159" s="8">
        <f t="shared" ca="1" si="276"/>
        <v>-47534.20702327555</v>
      </c>
      <c r="AD159" s="8">
        <f t="shared" ca="1" si="276"/>
        <v>-103630.84755030723</v>
      </c>
      <c r="AE159" s="8">
        <f t="shared" ca="1" si="276"/>
        <v>-151147.42899672867</v>
      </c>
      <c r="AF159" s="8">
        <f t="shared" ca="1" si="276"/>
        <v>-199851.92497931066</v>
      </c>
      <c r="AG159" s="8">
        <f t="shared" ca="1" si="276"/>
        <v>-249774.03336145723</v>
      </c>
      <c r="AH159" s="8">
        <f t="shared" ca="1" si="276"/>
        <v>-300944.19445315743</v>
      </c>
      <c r="AI159" s="8">
        <f t="shared" ca="1" si="276"/>
        <v>-353393.60957215016</v>
      </c>
      <c r="AJ159" s="8">
        <f t="shared" ca="1" si="276"/>
        <v>-407154.26006911776</v>
      </c>
      <c r="AK159" s="8">
        <f t="shared" ca="1" si="276"/>
        <v>-462258.9268285096</v>
      </c>
      <c r="AL159" s="8">
        <f t="shared" ca="1" si="276"/>
        <v>-518741.2102568862</v>
      </c>
      <c r="AM159" s="8">
        <f t="shared" ca="1" si="276"/>
        <v>-576635.55077097192</v>
      </c>
      <c r="AN159" s="8">
        <f t="shared" ref="AN159:AV159" ca="1" si="277">AN134</f>
        <v>-635977.24979791022</v>
      </c>
      <c r="AO159" s="8">
        <f t="shared" ca="1" si="277"/>
        <v>-696802.49130052165</v>
      </c>
      <c r="AP159" s="8">
        <f t="shared" ca="1" si="277"/>
        <v>-759148.3638406985</v>
      </c>
      <c r="AQ159" s="8">
        <f t="shared" ca="1" si="277"/>
        <v>-823052.88319437974</v>
      </c>
      <c r="AR159" s="8">
        <f t="shared" ca="1" si="277"/>
        <v>-888555.0155319029</v>
      </c>
      <c r="AS159" s="8">
        <f t="shared" ca="1" si="277"/>
        <v>-955694.7011778641</v>
      </c>
      <c r="AT159" s="8">
        <f t="shared" ca="1" si="277"/>
        <v>-1024512.8789649743</v>
      </c>
      <c r="AU159" s="8">
        <f t="shared" ca="1" si="277"/>
        <v>-1095051.5111967626</v>
      </c>
      <c r="AV159" s="8">
        <f t="shared" ca="1" si="277"/>
        <v>-1167353.6092343454</v>
      </c>
      <c r="AW159" s="8">
        <f t="shared" ref="AW159" ca="1" si="278">AW134</f>
        <v>-1241463.2597228677</v>
      </c>
    </row>
    <row r="160" spans="1:49" x14ac:dyDescent="0.2">
      <c r="A160" s="18" t="str">
        <f t="shared" si="274"/>
        <v>Home</v>
      </c>
      <c r="C160" s="8">
        <f t="shared" ref="C160:AM160" si="279">C54</f>
        <v>515000</v>
      </c>
      <c r="D160" s="8">
        <f t="shared" si="279"/>
        <v>530450</v>
      </c>
      <c r="E160" s="8">
        <f t="shared" si="279"/>
        <v>546363.5</v>
      </c>
      <c r="F160" s="8">
        <f t="shared" si="279"/>
        <v>562754.40500000003</v>
      </c>
      <c r="G160" s="8">
        <f t="shared" si="279"/>
        <v>579637.03714999999</v>
      </c>
      <c r="H160" s="8">
        <f t="shared" si="279"/>
        <v>597026.14826449996</v>
      </c>
      <c r="I160" s="8">
        <f t="shared" si="279"/>
        <v>614936.93271243502</v>
      </c>
      <c r="J160" s="8">
        <f t="shared" si="279"/>
        <v>633385.04069380811</v>
      </c>
      <c r="K160" s="8">
        <f t="shared" si="279"/>
        <v>652386.59191462235</v>
      </c>
      <c r="L160" s="8">
        <f t="shared" si="279"/>
        <v>671958.18967206101</v>
      </c>
      <c r="M160" s="8">
        <f t="shared" si="279"/>
        <v>692116.93536222284</v>
      </c>
      <c r="N160" s="8">
        <f t="shared" si="279"/>
        <v>712880.44342308957</v>
      </c>
      <c r="O160" s="8">
        <f t="shared" si="279"/>
        <v>734266.85672578227</v>
      </c>
      <c r="P160" s="8">
        <f t="shared" si="279"/>
        <v>756294.86242755572</v>
      </c>
      <c r="Q160" s="8">
        <f t="shared" si="279"/>
        <v>778983.70830038236</v>
      </c>
      <c r="R160" s="8">
        <f t="shared" si="279"/>
        <v>802353.21954939386</v>
      </c>
      <c r="S160" s="8">
        <f t="shared" si="279"/>
        <v>826423.81613587565</v>
      </c>
      <c r="T160" s="8">
        <f t="shared" si="279"/>
        <v>851216.5306199519</v>
      </c>
      <c r="U160" s="8">
        <f t="shared" si="279"/>
        <v>876753.0265385505</v>
      </c>
      <c r="V160" s="8">
        <f t="shared" si="279"/>
        <v>903055.61733470706</v>
      </c>
      <c r="W160" s="8">
        <f t="shared" si="279"/>
        <v>930147.28585474833</v>
      </c>
      <c r="X160" s="8">
        <f t="shared" si="279"/>
        <v>958051.70443039085</v>
      </c>
      <c r="Y160" s="8">
        <f t="shared" si="279"/>
        <v>986793.25556330255</v>
      </c>
      <c r="Z160" s="8">
        <f t="shared" si="279"/>
        <v>1016397.0532302016</v>
      </c>
      <c r="AA160" s="8">
        <f t="shared" si="279"/>
        <v>1046888.9648271076</v>
      </c>
      <c r="AB160" s="8">
        <f t="shared" si="279"/>
        <v>1078295.6337719208</v>
      </c>
      <c r="AC160" s="8">
        <f t="shared" si="279"/>
        <v>1110644.5027850785</v>
      </c>
      <c r="AD160" s="8">
        <f t="shared" si="279"/>
        <v>1143963.8378686309</v>
      </c>
      <c r="AE160" s="8">
        <f t="shared" si="279"/>
        <v>1178282.7530046899</v>
      </c>
      <c r="AF160" s="8">
        <f t="shared" si="279"/>
        <v>1213631.2355948307</v>
      </c>
      <c r="AG160" s="8">
        <f t="shared" si="279"/>
        <v>1250040.1726626756</v>
      </c>
      <c r="AH160" s="8">
        <f t="shared" si="279"/>
        <v>1287541.377842556</v>
      </c>
      <c r="AI160" s="8">
        <f t="shared" si="279"/>
        <v>1326167.6191778327</v>
      </c>
      <c r="AJ160" s="8">
        <f t="shared" si="279"/>
        <v>1365952.6477531677</v>
      </c>
      <c r="AK160" s="8">
        <f t="shared" si="279"/>
        <v>1406931.2271857627</v>
      </c>
      <c r="AL160" s="8">
        <f t="shared" si="279"/>
        <v>1449139.1640013356</v>
      </c>
      <c r="AM160" s="8">
        <f t="shared" si="279"/>
        <v>1492613.3389213758</v>
      </c>
      <c r="AN160" s="8">
        <f t="shared" ref="AN160:AV160" si="280">AN54</f>
        <v>1537391.739089017</v>
      </c>
      <c r="AO160" s="8">
        <f t="shared" si="280"/>
        <v>1583513.4912616876</v>
      </c>
      <c r="AP160" s="8">
        <f t="shared" si="280"/>
        <v>1631018.8959995382</v>
      </c>
      <c r="AQ160" s="8">
        <f t="shared" si="280"/>
        <v>1679949.4628795243</v>
      </c>
      <c r="AR160" s="8">
        <f t="shared" si="280"/>
        <v>1730347.9467659101</v>
      </c>
      <c r="AS160" s="8">
        <f t="shared" si="280"/>
        <v>1782258.3851688874</v>
      </c>
      <c r="AT160" s="8">
        <f t="shared" si="280"/>
        <v>1835726.136723954</v>
      </c>
      <c r="AU160" s="8">
        <f t="shared" si="280"/>
        <v>1890797.9208256726</v>
      </c>
      <c r="AV160" s="8">
        <f t="shared" si="280"/>
        <v>1947521.8584504428</v>
      </c>
      <c r="AW160" s="8">
        <f t="shared" ref="AW160" si="281">AW54</f>
        <v>2005947.5142039561</v>
      </c>
    </row>
    <row r="161" spans="1:49" x14ac:dyDescent="0.2">
      <c r="A161" s="18" t="str">
        <f t="shared" si="274"/>
        <v>Other property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">
      <c r="A162" s="19" t="str">
        <f t="shared" si="274"/>
        <v>Sliema</v>
      </c>
      <c r="C162" s="8">
        <f t="shared" ref="C162:G164" ca="1" si="282">C144</f>
        <v>309000</v>
      </c>
      <c r="D162" s="8">
        <f t="shared" ca="1" si="282"/>
        <v>318270</v>
      </c>
      <c r="E162" s="8">
        <f t="shared" ca="1" si="282"/>
        <v>327818.10000000003</v>
      </c>
      <c r="F162" s="8">
        <f t="shared" ca="1" si="282"/>
        <v>337652.64300000004</v>
      </c>
      <c r="G162" s="8">
        <f t="shared" ca="1" si="282"/>
        <v>347782.22229000006</v>
      </c>
      <c r="H162" s="8">
        <f t="shared" ref="H162:AM162" ca="1" si="283">H144</f>
        <v>358215.68895870005</v>
      </c>
      <c r="I162" s="8">
        <f t="shared" ca="1" si="283"/>
        <v>368962.15962746105</v>
      </c>
      <c r="J162" s="8">
        <f t="shared" ca="1" si="283"/>
        <v>380031.02441628487</v>
      </c>
      <c r="K162" s="8">
        <f t="shared" ca="1" si="283"/>
        <v>391431.95514877344</v>
      </c>
      <c r="L162" s="8">
        <f t="shared" ca="1" si="283"/>
        <v>403174.91380323668</v>
      </c>
      <c r="M162" s="8">
        <f t="shared" ca="1" si="283"/>
        <v>415270.16121733381</v>
      </c>
      <c r="N162" s="8">
        <f t="shared" ca="1" si="283"/>
        <v>427728.26605385385</v>
      </c>
      <c r="O162" s="8">
        <f t="shared" ca="1" si="283"/>
        <v>440560.11403546948</v>
      </c>
      <c r="P162" s="8">
        <f t="shared" ca="1" si="283"/>
        <v>453776.91745653359</v>
      </c>
      <c r="Q162" s="8">
        <f t="shared" ca="1" si="283"/>
        <v>467390.22498022963</v>
      </c>
      <c r="R162" s="8">
        <f t="shared" ca="1" si="283"/>
        <v>0</v>
      </c>
      <c r="S162" s="8">
        <f t="shared" ca="1" si="283"/>
        <v>0</v>
      </c>
      <c r="T162" s="8">
        <f t="shared" ca="1" si="283"/>
        <v>0</v>
      </c>
      <c r="U162" s="8">
        <f t="shared" ca="1" si="283"/>
        <v>0</v>
      </c>
      <c r="V162" s="8">
        <f t="shared" ca="1" si="283"/>
        <v>0</v>
      </c>
      <c r="W162" s="8">
        <f t="shared" ca="1" si="283"/>
        <v>0</v>
      </c>
      <c r="X162" s="8">
        <f t="shared" ca="1" si="283"/>
        <v>0</v>
      </c>
      <c r="Y162" s="8">
        <f t="shared" ca="1" si="283"/>
        <v>0</v>
      </c>
      <c r="Z162" s="8">
        <f t="shared" ca="1" si="283"/>
        <v>0</v>
      </c>
      <c r="AA162" s="8">
        <f t="shared" ca="1" si="283"/>
        <v>0</v>
      </c>
      <c r="AB162" s="8">
        <f t="shared" ca="1" si="283"/>
        <v>0</v>
      </c>
      <c r="AC162" s="8">
        <f t="shared" ca="1" si="283"/>
        <v>0</v>
      </c>
      <c r="AD162" s="8">
        <f t="shared" ca="1" si="283"/>
        <v>0</v>
      </c>
      <c r="AE162" s="8">
        <f t="shared" ca="1" si="283"/>
        <v>0</v>
      </c>
      <c r="AF162" s="8">
        <f t="shared" ca="1" si="283"/>
        <v>0</v>
      </c>
      <c r="AG162" s="8">
        <f t="shared" ca="1" si="283"/>
        <v>0</v>
      </c>
      <c r="AH162" s="8">
        <f t="shared" ca="1" si="283"/>
        <v>0</v>
      </c>
      <c r="AI162" s="8">
        <f t="shared" ca="1" si="283"/>
        <v>0</v>
      </c>
      <c r="AJ162" s="8">
        <f t="shared" ca="1" si="283"/>
        <v>0</v>
      </c>
      <c r="AK162" s="8">
        <f t="shared" ca="1" si="283"/>
        <v>0</v>
      </c>
      <c r="AL162" s="8">
        <f t="shared" ca="1" si="283"/>
        <v>0</v>
      </c>
      <c r="AM162" s="8">
        <f t="shared" ca="1" si="283"/>
        <v>0</v>
      </c>
      <c r="AN162" s="8">
        <f t="shared" ref="AN162:AV162" ca="1" si="284">AN144</f>
        <v>0</v>
      </c>
      <c r="AO162" s="8">
        <f t="shared" ca="1" si="284"/>
        <v>0</v>
      </c>
      <c r="AP162" s="8">
        <f t="shared" ca="1" si="284"/>
        <v>0</v>
      </c>
      <c r="AQ162" s="8">
        <f t="shared" ca="1" si="284"/>
        <v>0</v>
      </c>
      <c r="AR162" s="8">
        <f t="shared" ca="1" si="284"/>
        <v>0</v>
      </c>
      <c r="AS162" s="8">
        <f t="shared" ca="1" si="284"/>
        <v>0</v>
      </c>
      <c r="AT162" s="8">
        <f t="shared" ca="1" si="284"/>
        <v>0</v>
      </c>
      <c r="AU162" s="8">
        <f t="shared" ca="1" si="284"/>
        <v>0</v>
      </c>
      <c r="AV162" s="8">
        <f t="shared" ca="1" si="284"/>
        <v>0</v>
      </c>
      <c r="AW162" s="8">
        <f t="shared" ref="AW162" ca="1" si="285">AW144</f>
        <v>0</v>
      </c>
    </row>
    <row r="163" spans="1:49" x14ac:dyDescent="0.2">
      <c r="A163" s="19" t="str">
        <f t="shared" si="274"/>
        <v/>
      </c>
      <c r="C163" s="8">
        <f t="shared" ca="1" si="282"/>
        <v>0</v>
      </c>
      <c r="D163" s="8">
        <f t="shared" ca="1" si="282"/>
        <v>0</v>
      </c>
      <c r="E163" s="8">
        <f t="shared" ca="1" si="282"/>
        <v>0</v>
      </c>
      <c r="F163" s="8">
        <f t="shared" ca="1" si="282"/>
        <v>0</v>
      </c>
      <c r="G163" s="8">
        <f t="shared" ca="1" si="282"/>
        <v>0</v>
      </c>
      <c r="H163" s="8">
        <f t="shared" ref="H163:AM163" ca="1" si="286">H145</f>
        <v>0</v>
      </c>
      <c r="I163" s="8">
        <f t="shared" ca="1" si="286"/>
        <v>0</v>
      </c>
      <c r="J163" s="8">
        <f t="shared" ca="1" si="286"/>
        <v>0</v>
      </c>
      <c r="K163" s="8">
        <f t="shared" ca="1" si="286"/>
        <v>0</v>
      </c>
      <c r="L163" s="8">
        <f t="shared" ca="1" si="286"/>
        <v>0</v>
      </c>
      <c r="M163" s="8">
        <f t="shared" ca="1" si="286"/>
        <v>0</v>
      </c>
      <c r="N163" s="8">
        <f t="shared" ca="1" si="286"/>
        <v>0</v>
      </c>
      <c r="O163" s="8">
        <f t="shared" ca="1" si="286"/>
        <v>0</v>
      </c>
      <c r="P163" s="8">
        <f t="shared" ca="1" si="286"/>
        <v>0</v>
      </c>
      <c r="Q163" s="8">
        <f t="shared" ca="1" si="286"/>
        <v>0</v>
      </c>
      <c r="R163" s="8">
        <f t="shared" ca="1" si="286"/>
        <v>0</v>
      </c>
      <c r="S163" s="8">
        <f t="shared" ca="1" si="286"/>
        <v>0</v>
      </c>
      <c r="T163" s="8">
        <f t="shared" ca="1" si="286"/>
        <v>0</v>
      </c>
      <c r="U163" s="8">
        <f t="shared" ca="1" si="286"/>
        <v>0</v>
      </c>
      <c r="V163" s="8">
        <f t="shared" ca="1" si="286"/>
        <v>0</v>
      </c>
      <c r="W163" s="8">
        <f t="shared" ca="1" si="286"/>
        <v>0</v>
      </c>
      <c r="X163" s="8">
        <f t="shared" ca="1" si="286"/>
        <v>0</v>
      </c>
      <c r="Y163" s="8">
        <f t="shared" ca="1" si="286"/>
        <v>0</v>
      </c>
      <c r="Z163" s="8">
        <f t="shared" ca="1" si="286"/>
        <v>0</v>
      </c>
      <c r="AA163" s="8">
        <f t="shared" ca="1" si="286"/>
        <v>0</v>
      </c>
      <c r="AB163" s="8">
        <f t="shared" ca="1" si="286"/>
        <v>0</v>
      </c>
      <c r="AC163" s="8">
        <f t="shared" ca="1" si="286"/>
        <v>0</v>
      </c>
      <c r="AD163" s="8">
        <f t="shared" ca="1" si="286"/>
        <v>0</v>
      </c>
      <c r="AE163" s="8">
        <f t="shared" ca="1" si="286"/>
        <v>0</v>
      </c>
      <c r="AF163" s="8">
        <f t="shared" ca="1" si="286"/>
        <v>0</v>
      </c>
      <c r="AG163" s="8">
        <f t="shared" ca="1" si="286"/>
        <v>0</v>
      </c>
      <c r="AH163" s="8">
        <f t="shared" ca="1" si="286"/>
        <v>0</v>
      </c>
      <c r="AI163" s="8">
        <f t="shared" ca="1" si="286"/>
        <v>0</v>
      </c>
      <c r="AJ163" s="8">
        <f t="shared" ca="1" si="286"/>
        <v>0</v>
      </c>
      <c r="AK163" s="8">
        <f t="shared" ca="1" si="286"/>
        <v>0</v>
      </c>
      <c r="AL163" s="8">
        <f t="shared" ca="1" si="286"/>
        <v>0</v>
      </c>
      <c r="AM163" s="8">
        <f t="shared" ca="1" si="286"/>
        <v>0</v>
      </c>
      <c r="AN163" s="8">
        <f t="shared" ref="AN163:AV163" ca="1" si="287">AN145</f>
        <v>0</v>
      </c>
      <c r="AO163" s="8">
        <f t="shared" ca="1" si="287"/>
        <v>0</v>
      </c>
      <c r="AP163" s="8">
        <f t="shared" ca="1" si="287"/>
        <v>0</v>
      </c>
      <c r="AQ163" s="8">
        <f t="shared" ca="1" si="287"/>
        <v>0</v>
      </c>
      <c r="AR163" s="8">
        <f t="shared" ca="1" si="287"/>
        <v>0</v>
      </c>
      <c r="AS163" s="8">
        <f t="shared" ca="1" si="287"/>
        <v>0</v>
      </c>
      <c r="AT163" s="8">
        <f t="shared" ca="1" si="287"/>
        <v>0</v>
      </c>
      <c r="AU163" s="8">
        <f t="shared" ca="1" si="287"/>
        <v>0</v>
      </c>
      <c r="AV163" s="8">
        <f t="shared" ca="1" si="287"/>
        <v>0</v>
      </c>
      <c r="AW163" s="8">
        <f t="shared" ref="AW163" ca="1" si="288">AW145</f>
        <v>0</v>
      </c>
    </row>
    <row r="164" spans="1:49" x14ac:dyDescent="0.2">
      <c r="A164" s="19" t="str">
        <f t="shared" si="274"/>
        <v/>
      </c>
      <c r="C164" s="8">
        <f t="shared" ca="1" si="282"/>
        <v>0</v>
      </c>
      <c r="D164" s="8">
        <f t="shared" ca="1" si="282"/>
        <v>0</v>
      </c>
      <c r="E164" s="8">
        <f t="shared" ca="1" si="282"/>
        <v>0</v>
      </c>
      <c r="F164" s="8">
        <f t="shared" ca="1" si="282"/>
        <v>0</v>
      </c>
      <c r="G164" s="8">
        <f t="shared" ca="1" si="282"/>
        <v>0</v>
      </c>
      <c r="H164" s="8">
        <f t="shared" ref="H164:AM164" ca="1" si="289">H146</f>
        <v>0</v>
      </c>
      <c r="I164" s="8">
        <f t="shared" ca="1" si="289"/>
        <v>0</v>
      </c>
      <c r="J164" s="8">
        <f t="shared" ca="1" si="289"/>
        <v>0</v>
      </c>
      <c r="K164" s="8">
        <f t="shared" ca="1" si="289"/>
        <v>0</v>
      </c>
      <c r="L164" s="8">
        <f t="shared" ca="1" si="289"/>
        <v>0</v>
      </c>
      <c r="M164" s="8">
        <f t="shared" ca="1" si="289"/>
        <v>0</v>
      </c>
      <c r="N164" s="8">
        <f t="shared" ca="1" si="289"/>
        <v>0</v>
      </c>
      <c r="O164" s="8">
        <f t="shared" ca="1" si="289"/>
        <v>0</v>
      </c>
      <c r="P164" s="8">
        <f t="shared" ca="1" si="289"/>
        <v>0</v>
      </c>
      <c r="Q164" s="8">
        <f t="shared" ca="1" si="289"/>
        <v>0</v>
      </c>
      <c r="R164" s="8">
        <f t="shared" ca="1" si="289"/>
        <v>0</v>
      </c>
      <c r="S164" s="8">
        <f t="shared" ca="1" si="289"/>
        <v>0</v>
      </c>
      <c r="T164" s="8">
        <f t="shared" ca="1" si="289"/>
        <v>0</v>
      </c>
      <c r="U164" s="8">
        <f t="shared" ca="1" si="289"/>
        <v>0</v>
      </c>
      <c r="V164" s="8">
        <f t="shared" ca="1" si="289"/>
        <v>0</v>
      </c>
      <c r="W164" s="8">
        <f t="shared" ca="1" si="289"/>
        <v>0</v>
      </c>
      <c r="X164" s="8">
        <f t="shared" ca="1" si="289"/>
        <v>0</v>
      </c>
      <c r="Y164" s="8">
        <f t="shared" ca="1" si="289"/>
        <v>0</v>
      </c>
      <c r="Z164" s="8">
        <f t="shared" ca="1" si="289"/>
        <v>0</v>
      </c>
      <c r="AA164" s="8">
        <f t="shared" ca="1" si="289"/>
        <v>0</v>
      </c>
      <c r="AB164" s="8">
        <f t="shared" ca="1" si="289"/>
        <v>0</v>
      </c>
      <c r="AC164" s="8">
        <f t="shared" ca="1" si="289"/>
        <v>0</v>
      </c>
      <c r="AD164" s="8">
        <f t="shared" ca="1" si="289"/>
        <v>0</v>
      </c>
      <c r="AE164" s="8">
        <f t="shared" ca="1" si="289"/>
        <v>0</v>
      </c>
      <c r="AF164" s="8">
        <f t="shared" ca="1" si="289"/>
        <v>0</v>
      </c>
      <c r="AG164" s="8">
        <f t="shared" ca="1" si="289"/>
        <v>0</v>
      </c>
      <c r="AH164" s="8">
        <f t="shared" ca="1" si="289"/>
        <v>0</v>
      </c>
      <c r="AI164" s="8">
        <f t="shared" ca="1" si="289"/>
        <v>0</v>
      </c>
      <c r="AJ164" s="8">
        <f t="shared" ca="1" si="289"/>
        <v>0</v>
      </c>
      <c r="AK164" s="8">
        <f t="shared" ca="1" si="289"/>
        <v>0</v>
      </c>
      <c r="AL164" s="8">
        <f t="shared" ca="1" si="289"/>
        <v>0</v>
      </c>
      <c r="AM164" s="8">
        <f t="shared" ca="1" si="289"/>
        <v>0</v>
      </c>
      <c r="AN164" s="8">
        <f t="shared" ref="AN164:AV164" ca="1" si="290">AN146</f>
        <v>0</v>
      </c>
      <c r="AO164" s="8">
        <f t="shared" ca="1" si="290"/>
        <v>0</v>
      </c>
      <c r="AP164" s="8">
        <f t="shared" ca="1" si="290"/>
        <v>0</v>
      </c>
      <c r="AQ164" s="8">
        <f t="shared" ca="1" si="290"/>
        <v>0</v>
      </c>
      <c r="AR164" s="8">
        <f t="shared" ca="1" si="290"/>
        <v>0</v>
      </c>
      <c r="AS164" s="8">
        <f t="shared" ca="1" si="290"/>
        <v>0</v>
      </c>
      <c r="AT164" s="8">
        <f t="shared" ca="1" si="290"/>
        <v>0</v>
      </c>
      <c r="AU164" s="8">
        <f t="shared" ca="1" si="290"/>
        <v>0</v>
      </c>
      <c r="AV164" s="8">
        <f t="shared" ca="1" si="290"/>
        <v>0</v>
      </c>
      <c r="AW164" s="8">
        <f t="shared" ref="AW164" ca="1" si="291">AW146</f>
        <v>0</v>
      </c>
    </row>
    <row r="165" spans="1:49" x14ac:dyDescent="0.2">
      <c r="A165" s="18" t="str">
        <f t="shared" si="274"/>
        <v>Stock market equity investments</v>
      </c>
      <c r="C165" s="8">
        <f t="shared" ref="C165:AM165" ca="1" si="292">C77</f>
        <v>54000</v>
      </c>
      <c r="D165" s="8">
        <f t="shared" ca="1" si="292"/>
        <v>58320</v>
      </c>
      <c r="E165" s="8">
        <f t="shared" ca="1" si="292"/>
        <v>62985.599999999999</v>
      </c>
      <c r="F165" s="8">
        <f t="shared" ca="1" si="292"/>
        <v>68024.448000000004</v>
      </c>
      <c r="G165" s="8">
        <f t="shared" ca="1" si="292"/>
        <v>73466.403839999999</v>
      </c>
      <c r="H165" s="8">
        <f t="shared" ca="1" si="292"/>
        <v>79343.716147200001</v>
      </c>
      <c r="I165" s="8">
        <f t="shared" ca="1" si="292"/>
        <v>85691.213438976003</v>
      </c>
      <c r="J165" s="8">
        <f t="shared" ca="1" si="292"/>
        <v>92546.510514094087</v>
      </c>
      <c r="K165" s="8">
        <f t="shared" ca="1" si="292"/>
        <v>99950.231355221607</v>
      </c>
      <c r="L165" s="8">
        <f t="shared" ca="1" si="292"/>
        <v>107946.24986363934</v>
      </c>
      <c r="M165" s="8">
        <f t="shared" ca="1" si="292"/>
        <v>116581.9498527305</v>
      </c>
      <c r="N165" s="8">
        <f t="shared" ca="1" si="292"/>
        <v>125908.50584094894</v>
      </c>
      <c r="O165" s="8">
        <f t="shared" ca="1" si="292"/>
        <v>135981.18630822486</v>
      </c>
      <c r="P165" s="8">
        <f t="shared" ca="1" si="292"/>
        <v>146859.68121288286</v>
      </c>
      <c r="Q165" s="8">
        <f t="shared" ca="1" si="292"/>
        <v>135012.59095464213</v>
      </c>
      <c r="R165" s="8">
        <f t="shared" ca="1" si="292"/>
        <v>55175.289451117496</v>
      </c>
      <c r="S165" s="8">
        <f t="shared" ca="1" si="292"/>
        <v>0</v>
      </c>
      <c r="T165" s="8">
        <f t="shared" ca="1" si="292"/>
        <v>0</v>
      </c>
      <c r="U165" s="8">
        <f t="shared" ca="1" si="292"/>
        <v>0</v>
      </c>
      <c r="V165" s="8">
        <f t="shared" ca="1" si="292"/>
        <v>0</v>
      </c>
      <c r="W165" s="8">
        <f t="shared" ca="1" si="292"/>
        <v>0</v>
      </c>
      <c r="X165" s="8">
        <f t="shared" ca="1" si="292"/>
        <v>0</v>
      </c>
      <c r="Y165" s="8">
        <f t="shared" ca="1" si="292"/>
        <v>0</v>
      </c>
      <c r="Z165" s="8">
        <f t="shared" ca="1" si="292"/>
        <v>0</v>
      </c>
      <c r="AA165" s="8">
        <f t="shared" ca="1" si="292"/>
        <v>0</v>
      </c>
      <c r="AB165" s="8">
        <f t="shared" ca="1" si="292"/>
        <v>0</v>
      </c>
      <c r="AC165" s="8">
        <f t="shared" ca="1" si="292"/>
        <v>0</v>
      </c>
      <c r="AD165" s="8">
        <f t="shared" ca="1" si="292"/>
        <v>0</v>
      </c>
      <c r="AE165" s="8">
        <f t="shared" ca="1" si="292"/>
        <v>0</v>
      </c>
      <c r="AF165" s="8">
        <f t="shared" ca="1" si="292"/>
        <v>0</v>
      </c>
      <c r="AG165" s="8">
        <f t="shared" ca="1" si="292"/>
        <v>0</v>
      </c>
      <c r="AH165" s="8">
        <f t="shared" ca="1" si="292"/>
        <v>0</v>
      </c>
      <c r="AI165" s="8">
        <f t="shared" ca="1" si="292"/>
        <v>0</v>
      </c>
      <c r="AJ165" s="8">
        <f t="shared" ca="1" si="292"/>
        <v>0</v>
      </c>
      <c r="AK165" s="8">
        <f t="shared" ca="1" si="292"/>
        <v>0</v>
      </c>
      <c r="AL165" s="8">
        <f t="shared" ca="1" si="292"/>
        <v>0</v>
      </c>
      <c r="AM165" s="8">
        <f t="shared" ca="1" si="292"/>
        <v>0</v>
      </c>
      <c r="AN165" s="8">
        <f t="shared" ref="AN165:AV165" ca="1" si="293">AN77</f>
        <v>0</v>
      </c>
      <c r="AO165" s="8">
        <f t="shared" ca="1" si="293"/>
        <v>0</v>
      </c>
      <c r="AP165" s="8">
        <f t="shared" ca="1" si="293"/>
        <v>0</v>
      </c>
      <c r="AQ165" s="8">
        <f t="shared" ca="1" si="293"/>
        <v>0</v>
      </c>
      <c r="AR165" s="8">
        <f t="shared" ca="1" si="293"/>
        <v>0</v>
      </c>
      <c r="AS165" s="8">
        <f t="shared" ca="1" si="293"/>
        <v>0</v>
      </c>
      <c r="AT165" s="8">
        <f t="shared" ca="1" si="293"/>
        <v>0</v>
      </c>
      <c r="AU165" s="8">
        <f t="shared" ca="1" si="293"/>
        <v>0</v>
      </c>
      <c r="AV165" s="8">
        <f t="shared" ca="1" si="293"/>
        <v>0</v>
      </c>
      <c r="AW165" s="8">
        <f t="shared" ref="AW165" ca="1" si="294">AW77</f>
        <v>0</v>
      </c>
    </row>
    <row r="166" spans="1:49" x14ac:dyDescent="0.2">
      <c r="A166" s="18" t="str">
        <f t="shared" si="274"/>
        <v>Home loan</v>
      </c>
      <c r="C166" s="8">
        <f t="shared" ref="C166:AM166" si="295">C60</f>
        <v>-113916.80861729867</v>
      </c>
      <c r="D166" s="8">
        <f t="shared" si="295"/>
        <v>-107648.59114760446</v>
      </c>
      <c r="E166" s="8">
        <f t="shared" si="295"/>
        <v>-101189.71984542748</v>
      </c>
      <c r="F166" s="8">
        <f t="shared" si="295"/>
        <v>-94534.39579201366</v>
      </c>
      <c r="G166" s="8">
        <f t="shared" si="295"/>
        <v>-87676.643688945813</v>
      </c>
      <c r="H166" s="8">
        <f t="shared" si="295"/>
        <v>-80610.306493387528</v>
      </c>
      <c r="I166" s="8">
        <f t="shared" si="295"/>
        <v>-73329.039890152781</v>
      </c>
      <c r="J166" s="8">
        <f t="shared" si="295"/>
        <v>-65826.306595638322</v>
      </c>
      <c r="K166" s="8">
        <f t="shared" si="295"/>
        <v>-58095.370488504399</v>
      </c>
      <c r="L166" s="8">
        <f t="shared" si="295"/>
        <v>-50129.29056183486</v>
      </c>
      <c r="M166" s="8">
        <f t="shared" si="295"/>
        <v>-41920.914691346072</v>
      </c>
      <c r="N166" s="8">
        <f t="shared" si="295"/>
        <v>-33462.873214050662</v>
      </c>
      <c r="O166" s="8">
        <f t="shared" si="295"/>
        <v>-24747.572311609256</v>
      </c>
      <c r="P166" s="8">
        <f t="shared" si="295"/>
        <v>-15767.187192430836</v>
      </c>
      <c r="Q166" s="8">
        <f t="shared" si="295"/>
        <v>-6513.6550664008246</v>
      </c>
      <c r="R166" s="8">
        <f t="shared" si="295"/>
        <v>0</v>
      </c>
      <c r="S166" s="8">
        <f t="shared" si="295"/>
        <v>0</v>
      </c>
      <c r="T166" s="8">
        <f t="shared" si="295"/>
        <v>0</v>
      </c>
      <c r="U166" s="8">
        <f t="shared" si="295"/>
        <v>0</v>
      </c>
      <c r="V166" s="8">
        <f t="shared" si="295"/>
        <v>0</v>
      </c>
      <c r="W166" s="8">
        <f t="shared" si="295"/>
        <v>0</v>
      </c>
      <c r="X166" s="8">
        <f t="shared" si="295"/>
        <v>0</v>
      </c>
      <c r="Y166" s="8">
        <f t="shared" si="295"/>
        <v>0</v>
      </c>
      <c r="Z166" s="8">
        <f t="shared" si="295"/>
        <v>0</v>
      </c>
      <c r="AA166" s="8">
        <f t="shared" si="295"/>
        <v>0</v>
      </c>
      <c r="AB166" s="8">
        <f t="shared" si="295"/>
        <v>0</v>
      </c>
      <c r="AC166" s="8">
        <f t="shared" si="295"/>
        <v>0</v>
      </c>
      <c r="AD166" s="8">
        <f t="shared" si="295"/>
        <v>0</v>
      </c>
      <c r="AE166" s="8">
        <f t="shared" si="295"/>
        <v>0</v>
      </c>
      <c r="AF166" s="8">
        <f t="shared" si="295"/>
        <v>0</v>
      </c>
      <c r="AG166" s="8">
        <f t="shared" si="295"/>
        <v>0</v>
      </c>
      <c r="AH166" s="8">
        <f t="shared" si="295"/>
        <v>0</v>
      </c>
      <c r="AI166" s="8">
        <f t="shared" si="295"/>
        <v>0</v>
      </c>
      <c r="AJ166" s="8">
        <f t="shared" si="295"/>
        <v>0</v>
      </c>
      <c r="AK166" s="8">
        <f t="shared" si="295"/>
        <v>0</v>
      </c>
      <c r="AL166" s="8">
        <f t="shared" si="295"/>
        <v>0</v>
      </c>
      <c r="AM166" s="8">
        <f t="shared" si="295"/>
        <v>0</v>
      </c>
      <c r="AN166" s="8">
        <f t="shared" ref="AN166:AV166" si="296">AN60</f>
        <v>0</v>
      </c>
      <c r="AO166" s="8">
        <f t="shared" si="296"/>
        <v>0</v>
      </c>
      <c r="AP166" s="8">
        <f t="shared" si="296"/>
        <v>0</v>
      </c>
      <c r="AQ166" s="8">
        <f t="shared" si="296"/>
        <v>0</v>
      </c>
      <c r="AR166" s="8">
        <f t="shared" si="296"/>
        <v>0</v>
      </c>
      <c r="AS166" s="8">
        <f t="shared" si="296"/>
        <v>0</v>
      </c>
      <c r="AT166" s="8">
        <f t="shared" si="296"/>
        <v>0</v>
      </c>
      <c r="AU166" s="8">
        <f t="shared" si="296"/>
        <v>0</v>
      </c>
      <c r="AV166" s="8">
        <f t="shared" si="296"/>
        <v>0</v>
      </c>
      <c r="AW166" s="8">
        <f t="shared" ref="AW166" si="297">AW60</f>
        <v>0</v>
      </c>
    </row>
    <row r="167" spans="1:49" x14ac:dyDescent="0.2">
      <c r="A167" s="18" t="str">
        <f t="shared" si="274"/>
        <v>Other property loans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">
      <c r="A168" s="19" t="str">
        <f t="shared" si="274"/>
        <v>Sliema</v>
      </c>
      <c r="C168" s="8">
        <f ca="1">C154</f>
        <v>0</v>
      </c>
      <c r="D168" s="8">
        <f t="shared" ref="D168:G170" ca="1" si="298">D154</f>
        <v>0</v>
      </c>
      <c r="E168" s="8">
        <f t="shared" ca="1" si="298"/>
        <v>0</v>
      </c>
      <c r="F168" s="8">
        <f t="shared" ca="1" si="298"/>
        <v>0</v>
      </c>
      <c r="G168" s="8">
        <f t="shared" ca="1" si="298"/>
        <v>0</v>
      </c>
      <c r="H168" s="8">
        <f t="shared" ref="H168:AM168" ca="1" si="299">H154</f>
        <v>0</v>
      </c>
      <c r="I168" s="8">
        <f t="shared" ca="1" si="299"/>
        <v>0</v>
      </c>
      <c r="J168" s="8">
        <f t="shared" ca="1" si="299"/>
        <v>0</v>
      </c>
      <c r="K168" s="8">
        <f t="shared" ca="1" si="299"/>
        <v>0</v>
      </c>
      <c r="L168" s="8">
        <f t="shared" ca="1" si="299"/>
        <v>0</v>
      </c>
      <c r="M168" s="8">
        <f t="shared" ca="1" si="299"/>
        <v>0</v>
      </c>
      <c r="N168" s="8">
        <f t="shared" ca="1" si="299"/>
        <v>0</v>
      </c>
      <c r="O168" s="8">
        <f t="shared" ca="1" si="299"/>
        <v>0</v>
      </c>
      <c r="P168" s="8">
        <f t="shared" ca="1" si="299"/>
        <v>0</v>
      </c>
      <c r="Q168" s="8">
        <f t="shared" ca="1" si="299"/>
        <v>0</v>
      </c>
      <c r="R168" s="8">
        <f t="shared" ca="1" si="299"/>
        <v>0</v>
      </c>
      <c r="S168" s="8">
        <f t="shared" ca="1" si="299"/>
        <v>0</v>
      </c>
      <c r="T168" s="8">
        <f t="shared" ca="1" si="299"/>
        <v>0</v>
      </c>
      <c r="U168" s="8">
        <f t="shared" ca="1" si="299"/>
        <v>0</v>
      </c>
      <c r="V168" s="8">
        <f t="shared" ca="1" si="299"/>
        <v>0</v>
      </c>
      <c r="W168" s="8">
        <f t="shared" ca="1" si="299"/>
        <v>0</v>
      </c>
      <c r="X168" s="8">
        <f t="shared" ca="1" si="299"/>
        <v>0</v>
      </c>
      <c r="Y168" s="8">
        <f t="shared" ca="1" si="299"/>
        <v>0</v>
      </c>
      <c r="Z168" s="8">
        <f t="shared" ca="1" si="299"/>
        <v>0</v>
      </c>
      <c r="AA168" s="8">
        <f t="shared" ca="1" si="299"/>
        <v>0</v>
      </c>
      <c r="AB168" s="8">
        <f t="shared" ca="1" si="299"/>
        <v>0</v>
      </c>
      <c r="AC168" s="8">
        <f t="shared" ca="1" si="299"/>
        <v>0</v>
      </c>
      <c r="AD168" s="8">
        <f t="shared" ca="1" si="299"/>
        <v>0</v>
      </c>
      <c r="AE168" s="8">
        <f t="shared" ca="1" si="299"/>
        <v>0</v>
      </c>
      <c r="AF168" s="8">
        <f t="shared" ca="1" si="299"/>
        <v>0</v>
      </c>
      <c r="AG168" s="8">
        <f t="shared" ca="1" si="299"/>
        <v>0</v>
      </c>
      <c r="AH168" s="8">
        <f t="shared" ca="1" si="299"/>
        <v>0</v>
      </c>
      <c r="AI168" s="8">
        <f t="shared" ca="1" si="299"/>
        <v>0</v>
      </c>
      <c r="AJ168" s="8">
        <f t="shared" ca="1" si="299"/>
        <v>0</v>
      </c>
      <c r="AK168" s="8">
        <f t="shared" ca="1" si="299"/>
        <v>0</v>
      </c>
      <c r="AL168" s="8">
        <f t="shared" ca="1" si="299"/>
        <v>0</v>
      </c>
      <c r="AM168" s="8">
        <f t="shared" ca="1" si="299"/>
        <v>0</v>
      </c>
      <c r="AN168" s="8">
        <f t="shared" ref="AN168:AV168" ca="1" si="300">AN154</f>
        <v>0</v>
      </c>
      <c r="AO168" s="8">
        <f t="shared" ca="1" si="300"/>
        <v>0</v>
      </c>
      <c r="AP168" s="8">
        <f t="shared" ca="1" si="300"/>
        <v>0</v>
      </c>
      <c r="AQ168" s="8">
        <f t="shared" ca="1" si="300"/>
        <v>0</v>
      </c>
      <c r="AR168" s="8">
        <f t="shared" ca="1" si="300"/>
        <v>0</v>
      </c>
      <c r="AS168" s="8">
        <f t="shared" ca="1" si="300"/>
        <v>0</v>
      </c>
      <c r="AT168" s="8">
        <f t="shared" ca="1" si="300"/>
        <v>0</v>
      </c>
      <c r="AU168" s="8">
        <f t="shared" ca="1" si="300"/>
        <v>0</v>
      </c>
      <c r="AV168" s="8">
        <f t="shared" ca="1" si="300"/>
        <v>0</v>
      </c>
      <c r="AW168" s="8">
        <f t="shared" ref="AW168" ca="1" si="301">AW154</f>
        <v>0</v>
      </c>
    </row>
    <row r="169" spans="1:49" x14ac:dyDescent="0.2">
      <c r="A169" s="19" t="str">
        <f t="shared" si="274"/>
        <v/>
      </c>
      <c r="C169" s="8">
        <f ca="1">C155</f>
        <v>0</v>
      </c>
      <c r="D169" s="8">
        <f t="shared" ca="1" si="298"/>
        <v>0</v>
      </c>
      <c r="E169" s="8">
        <f t="shared" ca="1" si="298"/>
        <v>0</v>
      </c>
      <c r="F169" s="8">
        <f t="shared" ca="1" si="298"/>
        <v>0</v>
      </c>
      <c r="G169" s="8">
        <f t="shared" ca="1" si="298"/>
        <v>0</v>
      </c>
      <c r="H169" s="8">
        <f t="shared" ref="H169:AM169" ca="1" si="302">H155</f>
        <v>0</v>
      </c>
      <c r="I169" s="8">
        <f t="shared" ca="1" si="302"/>
        <v>0</v>
      </c>
      <c r="J169" s="8">
        <f t="shared" ca="1" si="302"/>
        <v>0</v>
      </c>
      <c r="K169" s="8">
        <f t="shared" ca="1" si="302"/>
        <v>0</v>
      </c>
      <c r="L169" s="8">
        <f t="shared" ca="1" si="302"/>
        <v>0</v>
      </c>
      <c r="M169" s="8">
        <f t="shared" ca="1" si="302"/>
        <v>0</v>
      </c>
      <c r="N169" s="8">
        <f t="shared" ca="1" si="302"/>
        <v>0</v>
      </c>
      <c r="O169" s="8">
        <f t="shared" ca="1" si="302"/>
        <v>0</v>
      </c>
      <c r="P169" s="8">
        <f t="shared" ca="1" si="302"/>
        <v>0</v>
      </c>
      <c r="Q169" s="8">
        <f t="shared" ca="1" si="302"/>
        <v>0</v>
      </c>
      <c r="R169" s="8">
        <f t="shared" ca="1" si="302"/>
        <v>0</v>
      </c>
      <c r="S169" s="8">
        <f t="shared" ca="1" si="302"/>
        <v>0</v>
      </c>
      <c r="T169" s="8">
        <f t="shared" ca="1" si="302"/>
        <v>0</v>
      </c>
      <c r="U169" s="8">
        <f t="shared" ca="1" si="302"/>
        <v>0</v>
      </c>
      <c r="V169" s="8">
        <f t="shared" ca="1" si="302"/>
        <v>0</v>
      </c>
      <c r="W169" s="8">
        <f t="shared" ca="1" si="302"/>
        <v>0</v>
      </c>
      <c r="X169" s="8">
        <f t="shared" ca="1" si="302"/>
        <v>0</v>
      </c>
      <c r="Y169" s="8">
        <f t="shared" ca="1" si="302"/>
        <v>0</v>
      </c>
      <c r="Z169" s="8">
        <f t="shared" ca="1" si="302"/>
        <v>0</v>
      </c>
      <c r="AA169" s="8">
        <f t="shared" ca="1" si="302"/>
        <v>0</v>
      </c>
      <c r="AB169" s="8">
        <f t="shared" ca="1" si="302"/>
        <v>0</v>
      </c>
      <c r="AC169" s="8">
        <f t="shared" ca="1" si="302"/>
        <v>0</v>
      </c>
      <c r="AD169" s="8">
        <f t="shared" ca="1" si="302"/>
        <v>0</v>
      </c>
      <c r="AE169" s="8">
        <f t="shared" ca="1" si="302"/>
        <v>0</v>
      </c>
      <c r="AF169" s="8">
        <f t="shared" ca="1" si="302"/>
        <v>0</v>
      </c>
      <c r="AG169" s="8">
        <f t="shared" ca="1" si="302"/>
        <v>0</v>
      </c>
      <c r="AH169" s="8">
        <f t="shared" ca="1" si="302"/>
        <v>0</v>
      </c>
      <c r="AI169" s="8">
        <f t="shared" ca="1" si="302"/>
        <v>0</v>
      </c>
      <c r="AJ169" s="8">
        <f t="shared" ca="1" si="302"/>
        <v>0</v>
      </c>
      <c r="AK169" s="8">
        <f t="shared" ca="1" si="302"/>
        <v>0</v>
      </c>
      <c r="AL169" s="8">
        <f t="shared" ca="1" si="302"/>
        <v>0</v>
      </c>
      <c r="AM169" s="8">
        <f t="shared" ca="1" si="302"/>
        <v>0</v>
      </c>
      <c r="AN169" s="8">
        <f t="shared" ref="AN169:AV169" ca="1" si="303">AN155</f>
        <v>0</v>
      </c>
      <c r="AO169" s="8">
        <f t="shared" ca="1" si="303"/>
        <v>0</v>
      </c>
      <c r="AP169" s="8">
        <f t="shared" ca="1" si="303"/>
        <v>0</v>
      </c>
      <c r="AQ169" s="8">
        <f t="shared" ca="1" si="303"/>
        <v>0</v>
      </c>
      <c r="AR169" s="8">
        <f t="shared" ca="1" si="303"/>
        <v>0</v>
      </c>
      <c r="AS169" s="8">
        <f t="shared" ca="1" si="303"/>
        <v>0</v>
      </c>
      <c r="AT169" s="8">
        <f t="shared" ca="1" si="303"/>
        <v>0</v>
      </c>
      <c r="AU169" s="8">
        <f t="shared" ca="1" si="303"/>
        <v>0</v>
      </c>
      <c r="AV169" s="8">
        <f t="shared" ca="1" si="303"/>
        <v>0</v>
      </c>
      <c r="AW169" s="8">
        <f t="shared" ref="AW169" ca="1" si="304">AW155</f>
        <v>0</v>
      </c>
    </row>
    <row r="170" spans="1:49" x14ac:dyDescent="0.2">
      <c r="A170" s="19" t="str">
        <f t="shared" si="274"/>
        <v/>
      </c>
      <c r="C170" s="8">
        <f ca="1">C156</f>
        <v>0</v>
      </c>
      <c r="D170" s="8">
        <f t="shared" ca="1" si="298"/>
        <v>0</v>
      </c>
      <c r="E170" s="8">
        <f t="shared" ca="1" si="298"/>
        <v>0</v>
      </c>
      <c r="F170" s="8">
        <f t="shared" ca="1" si="298"/>
        <v>0</v>
      </c>
      <c r="G170" s="8">
        <f t="shared" ca="1" si="298"/>
        <v>0</v>
      </c>
      <c r="H170" s="8">
        <f t="shared" ref="H170:AM170" ca="1" si="305">H156</f>
        <v>0</v>
      </c>
      <c r="I170" s="8">
        <f t="shared" ca="1" si="305"/>
        <v>0</v>
      </c>
      <c r="J170" s="8">
        <f t="shared" ca="1" si="305"/>
        <v>0</v>
      </c>
      <c r="K170" s="8">
        <f t="shared" ca="1" si="305"/>
        <v>0</v>
      </c>
      <c r="L170" s="8">
        <f t="shared" ca="1" si="305"/>
        <v>0</v>
      </c>
      <c r="M170" s="8">
        <f t="shared" ca="1" si="305"/>
        <v>0</v>
      </c>
      <c r="N170" s="8">
        <f t="shared" ca="1" si="305"/>
        <v>0</v>
      </c>
      <c r="O170" s="8">
        <f t="shared" ca="1" si="305"/>
        <v>0</v>
      </c>
      <c r="P170" s="8">
        <f t="shared" ca="1" si="305"/>
        <v>0</v>
      </c>
      <c r="Q170" s="8">
        <f t="shared" ca="1" si="305"/>
        <v>0</v>
      </c>
      <c r="R170" s="8">
        <f t="shared" ca="1" si="305"/>
        <v>0</v>
      </c>
      <c r="S170" s="8">
        <f t="shared" ca="1" si="305"/>
        <v>0</v>
      </c>
      <c r="T170" s="8">
        <f t="shared" ca="1" si="305"/>
        <v>0</v>
      </c>
      <c r="U170" s="8">
        <f t="shared" ca="1" si="305"/>
        <v>0</v>
      </c>
      <c r="V170" s="8">
        <f t="shared" ca="1" si="305"/>
        <v>0</v>
      </c>
      <c r="W170" s="8">
        <f t="shared" ca="1" si="305"/>
        <v>0</v>
      </c>
      <c r="X170" s="8">
        <f t="shared" ca="1" si="305"/>
        <v>0</v>
      </c>
      <c r="Y170" s="8">
        <f t="shared" ca="1" si="305"/>
        <v>0</v>
      </c>
      <c r="Z170" s="8">
        <f t="shared" ca="1" si="305"/>
        <v>0</v>
      </c>
      <c r="AA170" s="8">
        <f t="shared" ca="1" si="305"/>
        <v>0</v>
      </c>
      <c r="AB170" s="8">
        <f t="shared" ca="1" si="305"/>
        <v>0</v>
      </c>
      <c r="AC170" s="8">
        <f t="shared" ca="1" si="305"/>
        <v>0</v>
      </c>
      <c r="AD170" s="8">
        <f t="shared" ca="1" si="305"/>
        <v>0</v>
      </c>
      <c r="AE170" s="8">
        <f t="shared" ca="1" si="305"/>
        <v>0</v>
      </c>
      <c r="AF170" s="8">
        <f t="shared" ca="1" si="305"/>
        <v>0</v>
      </c>
      <c r="AG170" s="8">
        <f t="shared" ca="1" si="305"/>
        <v>0</v>
      </c>
      <c r="AH170" s="8">
        <f t="shared" ca="1" si="305"/>
        <v>0</v>
      </c>
      <c r="AI170" s="8">
        <f t="shared" ca="1" si="305"/>
        <v>0</v>
      </c>
      <c r="AJ170" s="8">
        <f t="shared" ca="1" si="305"/>
        <v>0</v>
      </c>
      <c r="AK170" s="8">
        <f t="shared" ca="1" si="305"/>
        <v>0</v>
      </c>
      <c r="AL170" s="8">
        <f t="shared" ca="1" si="305"/>
        <v>0</v>
      </c>
      <c r="AM170" s="8">
        <f t="shared" ca="1" si="305"/>
        <v>0</v>
      </c>
      <c r="AN170" s="8">
        <f t="shared" ref="AN170:AV170" ca="1" si="306">AN156</f>
        <v>0</v>
      </c>
      <c r="AO170" s="8">
        <f t="shared" ca="1" si="306"/>
        <v>0</v>
      </c>
      <c r="AP170" s="8">
        <f t="shared" ca="1" si="306"/>
        <v>0</v>
      </c>
      <c r="AQ170" s="8">
        <f t="shared" ca="1" si="306"/>
        <v>0</v>
      </c>
      <c r="AR170" s="8">
        <f t="shared" ca="1" si="306"/>
        <v>0</v>
      </c>
      <c r="AS170" s="8">
        <f t="shared" ca="1" si="306"/>
        <v>0</v>
      </c>
      <c r="AT170" s="8">
        <f t="shared" ca="1" si="306"/>
        <v>0</v>
      </c>
      <c r="AU170" s="8">
        <f t="shared" ca="1" si="306"/>
        <v>0</v>
      </c>
      <c r="AV170" s="8">
        <f t="shared" ca="1" si="306"/>
        <v>0</v>
      </c>
      <c r="AW170" s="8">
        <f t="shared" ref="AW170" ca="1" si="307">AW156</f>
        <v>0</v>
      </c>
    </row>
    <row r="171" spans="1:49" x14ac:dyDescent="0.2">
      <c r="A171" s="18" t="str">
        <f t="shared" si="274"/>
        <v>Other loan</v>
      </c>
      <c r="C171" s="8">
        <f t="shared" ref="C171:AM171" si="308">C65</f>
        <v>0</v>
      </c>
      <c r="D171" s="8">
        <f t="shared" si="308"/>
        <v>0</v>
      </c>
      <c r="E171" s="8">
        <f t="shared" si="308"/>
        <v>0</v>
      </c>
      <c r="F171" s="8">
        <f t="shared" si="308"/>
        <v>0</v>
      </c>
      <c r="G171" s="8">
        <f t="shared" si="308"/>
        <v>0</v>
      </c>
      <c r="H171" s="8">
        <f t="shared" si="308"/>
        <v>0</v>
      </c>
      <c r="I171" s="8">
        <f t="shared" si="308"/>
        <v>0</v>
      </c>
      <c r="J171" s="8">
        <f t="shared" si="308"/>
        <v>0</v>
      </c>
      <c r="K171" s="8">
        <f t="shared" si="308"/>
        <v>0</v>
      </c>
      <c r="L171" s="8">
        <f t="shared" si="308"/>
        <v>0</v>
      </c>
      <c r="M171" s="8">
        <f t="shared" si="308"/>
        <v>0</v>
      </c>
      <c r="N171" s="8">
        <f t="shared" si="308"/>
        <v>0</v>
      </c>
      <c r="O171" s="8">
        <f t="shared" si="308"/>
        <v>0</v>
      </c>
      <c r="P171" s="8">
        <f t="shared" si="308"/>
        <v>0</v>
      </c>
      <c r="Q171" s="8">
        <f t="shared" si="308"/>
        <v>0</v>
      </c>
      <c r="R171" s="8">
        <f t="shared" si="308"/>
        <v>0</v>
      </c>
      <c r="S171" s="8">
        <f t="shared" si="308"/>
        <v>0</v>
      </c>
      <c r="T171" s="8">
        <f t="shared" si="308"/>
        <v>0</v>
      </c>
      <c r="U171" s="8">
        <f t="shared" si="308"/>
        <v>0</v>
      </c>
      <c r="V171" s="8">
        <f t="shared" si="308"/>
        <v>0</v>
      </c>
      <c r="W171" s="8">
        <f t="shared" si="308"/>
        <v>0</v>
      </c>
      <c r="X171" s="8">
        <f t="shared" si="308"/>
        <v>0</v>
      </c>
      <c r="Y171" s="8">
        <f t="shared" si="308"/>
        <v>0</v>
      </c>
      <c r="Z171" s="8">
        <f t="shared" si="308"/>
        <v>0</v>
      </c>
      <c r="AA171" s="8">
        <f t="shared" si="308"/>
        <v>0</v>
      </c>
      <c r="AB171" s="8">
        <f t="shared" si="308"/>
        <v>0</v>
      </c>
      <c r="AC171" s="8">
        <f t="shared" si="308"/>
        <v>0</v>
      </c>
      <c r="AD171" s="8">
        <f t="shared" si="308"/>
        <v>0</v>
      </c>
      <c r="AE171" s="8">
        <f t="shared" si="308"/>
        <v>0</v>
      </c>
      <c r="AF171" s="8">
        <f t="shared" si="308"/>
        <v>0</v>
      </c>
      <c r="AG171" s="8">
        <f t="shared" si="308"/>
        <v>0</v>
      </c>
      <c r="AH171" s="8">
        <f t="shared" si="308"/>
        <v>0</v>
      </c>
      <c r="AI171" s="8">
        <f t="shared" si="308"/>
        <v>0</v>
      </c>
      <c r="AJ171" s="8">
        <f t="shared" si="308"/>
        <v>0</v>
      </c>
      <c r="AK171" s="8">
        <f t="shared" si="308"/>
        <v>0</v>
      </c>
      <c r="AL171" s="8">
        <f t="shared" si="308"/>
        <v>0</v>
      </c>
      <c r="AM171" s="8">
        <f t="shared" si="308"/>
        <v>0</v>
      </c>
      <c r="AN171" s="8">
        <f t="shared" ref="AN171:AV171" si="309">AN65</f>
        <v>0</v>
      </c>
      <c r="AO171" s="8">
        <f t="shared" si="309"/>
        <v>0</v>
      </c>
      <c r="AP171" s="8">
        <f t="shared" si="309"/>
        <v>0</v>
      </c>
      <c r="AQ171" s="8">
        <f t="shared" si="309"/>
        <v>0</v>
      </c>
      <c r="AR171" s="8">
        <f t="shared" si="309"/>
        <v>0</v>
      </c>
      <c r="AS171" s="8">
        <f t="shared" si="309"/>
        <v>0</v>
      </c>
      <c r="AT171" s="8">
        <f t="shared" si="309"/>
        <v>0</v>
      </c>
      <c r="AU171" s="8">
        <f t="shared" si="309"/>
        <v>0</v>
      </c>
      <c r="AV171" s="8">
        <f t="shared" si="309"/>
        <v>0</v>
      </c>
      <c r="AW171" s="8">
        <f t="shared" ref="AW171" si="310">AW65</f>
        <v>0</v>
      </c>
    </row>
    <row r="172" spans="1:49" x14ac:dyDescent="0.2">
      <c r="A172" s="5"/>
      <c r="C172" s="10">
        <f ca="1">SUM(C158:C171)</f>
        <v>968981.94138270128</v>
      </c>
      <c r="D172" s="10">
        <f t="shared" ref="D172:G172" ca="1" si="311">SUM(D158:D171)</f>
        <v>1009855.5963523956</v>
      </c>
      <c r="E172" s="10">
        <f t="shared" ca="1" si="311"/>
        <v>1052713.1778108226</v>
      </c>
      <c r="F172" s="10">
        <f t="shared" ca="1" si="311"/>
        <v>1097651.5917861115</v>
      </c>
      <c r="G172" s="10">
        <f t="shared" ca="1" si="311"/>
        <v>1144772.700802363</v>
      </c>
      <c r="H172" s="10">
        <f t="shared" ref="H172:AM172" ca="1" si="312">SUM(H158:H171)</f>
        <v>1194183.603946965</v>
      </c>
      <c r="I172" s="10">
        <f t="shared" ca="1" si="312"/>
        <v>1245996.9348095595</v>
      </c>
      <c r="J172" s="10">
        <f t="shared" ca="1" si="312"/>
        <v>1300331.178554723</v>
      </c>
      <c r="K172" s="10">
        <f t="shared" ca="1" si="312"/>
        <v>1357311.0094854354</v>
      </c>
      <c r="L172" s="10">
        <f t="shared" ca="1" si="312"/>
        <v>1417067.6505567974</v>
      </c>
      <c r="M172" s="10">
        <f t="shared" ca="1" si="312"/>
        <v>1479739.2564098446</v>
      </c>
      <c r="N172" s="10">
        <f t="shared" ca="1" si="312"/>
        <v>1461379.1139677668</v>
      </c>
      <c r="O172" s="10">
        <f t="shared" ca="1" si="312"/>
        <v>1441607.6292236468</v>
      </c>
      <c r="P172" s="10">
        <f t="shared" ca="1" si="312"/>
        <v>1420395.0016198535</v>
      </c>
      <c r="Q172" s="10">
        <f t="shared" ca="1" si="312"/>
        <v>1394872.8691688532</v>
      </c>
      <c r="R172" s="10">
        <f t="shared" ca="1" si="312"/>
        <v>1284742.242514536</v>
      </c>
      <c r="S172" s="10">
        <f t="shared" ca="1" si="312"/>
        <v>1241715.6169749021</v>
      </c>
      <c r="T172" s="10">
        <f t="shared" ca="1" si="312"/>
        <v>1223678.6901799669</v>
      </c>
      <c r="U172" s="10">
        <f t="shared" ca="1" si="312"/>
        <v>1211775.116700643</v>
      </c>
      <c r="V172" s="10">
        <f t="shared" ca="1" si="312"/>
        <v>1198363.6556884609</v>
      </c>
      <c r="W172" s="10">
        <f t="shared" ca="1" si="312"/>
        <v>1183410.4404294873</v>
      </c>
      <c r="X172" s="10">
        <f t="shared" ca="1" si="312"/>
        <v>1166880.8724561713</v>
      </c>
      <c r="Y172" s="10">
        <f t="shared" ca="1" si="312"/>
        <v>1148739.6067009326</v>
      </c>
      <c r="Z172" s="10">
        <f t="shared" ca="1" si="312"/>
        <v>1128950.5363820097</v>
      </c>
      <c r="AA172" s="10">
        <f t="shared" ca="1" si="312"/>
        <v>1107476.77761798</v>
      </c>
      <c r="AB172" s="10">
        <f t="shared" ca="1" si="312"/>
        <v>1085489.8565311152</v>
      </c>
      <c r="AC172" s="10">
        <f t="shared" ca="1" si="312"/>
        <v>1063110.2957618029</v>
      </c>
      <c r="AD172" s="10">
        <f t="shared" ca="1" si="312"/>
        <v>1040332.9903183237</v>
      </c>
      <c r="AE172" s="10">
        <f t="shared" ca="1" si="312"/>
        <v>1027135.3240079612</v>
      </c>
      <c r="AF172" s="10">
        <f t="shared" ca="1" si="312"/>
        <v>1013779.31061552</v>
      </c>
      <c r="AG172" s="10">
        <f t="shared" ca="1" si="312"/>
        <v>1000266.1393012183</v>
      </c>
      <c r="AH172" s="10">
        <f t="shared" ca="1" si="312"/>
        <v>986597.1833893985</v>
      </c>
      <c r="AI172" s="10">
        <f t="shared" ca="1" si="312"/>
        <v>972774.00960568257</v>
      </c>
      <c r="AJ172" s="10">
        <f t="shared" ca="1" si="312"/>
        <v>958798.3876840499</v>
      </c>
      <c r="AK172" s="10">
        <f t="shared" ca="1" si="312"/>
        <v>944672.30035725306</v>
      </c>
      <c r="AL172" s="10">
        <f t="shared" ca="1" si="312"/>
        <v>930397.95374444942</v>
      </c>
      <c r="AM172" s="10">
        <f t="shared" ca="1" si="312"/>
        <v>915977.78815040388</v>
      </c>
      <c r="AN172" s="10">
        <f t="shared" ref="AN172:AV172" ca="1" si="313">SUM(AN158:AN171)</f>
        <v>901414.48929110682</v>
      </c>
      <c r="AO172" s="10">
        <f t="shared" ca="1" si="313"/>
        <v>886710.99996116594</v>
      </c>
      <c r="AP172" s="10">
        <f t="shared" ca="1" si="313"/>
        <v>871870.53215883975</v>
      </c>
      <c r="AQ172" s="10">
        <f t="shared" ca="1" si="313"/>
        <v>856896.57968514459</v>
      </c>
      <c r="AR172" s="10">
        <f t="shared" ca="1" si="313"/>
        <v>841792.93123400724</v>
      </c>
      <c r="AS172" s="10">
        <f t="shared" ca="1" si="313"/>
        <v>826563.68399102334</v>
      </c>
      <c r="AT172" s="10">
        <f t="shared" ca="1" si="313"/>
        <v>811213.25775897969</v>
      </c>
      <c r="AU172" s="10">
        <f t="shared" ca="1" si="313"/>
        <v>795746.40962891001</v>
      </c>
      <c r="AV172" s="10">
        <f t="shared" ca="1" si="313"/>
        <v>780168.24921609741</v>
      </c>
      <c r="AW172" s="10">
        <f t="shared" ref="AW172" ca="1" si="314">SUM(AW158:AW171)</f>
        <v>764484.25448108837</v>
      </c>
    </row>
    <row r="173" spans="1:49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ht="19" x14ac:dyDescent="0.25">
      <c r="A174" s="30" t="s">
        <v>88</v>
      </c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</row>
    <row r="175" spans="1:49" x14ac:dyDescent="0.2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">
      <c r="A176" s="17" t="s">
        <v>72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">
      <c r="A177" s="4" t="s">
        <v>9</v>
      </c>
      <c r="C177" s="8">
        <f t="shared" ref="C177:AM177" ca="1" si="315">C53</f>
        <v>204898.75</v>
      </c>
      <c r="D177" s="8">
        <f t="shared" ca="1" si="315"/>
        <v>210464.1875</v>
      </c>
      <c r="E177" s="8">
        <f t="shared" ca="1" si="315"/>
        <v>216735.69765625001</v>
      </c>
      <c r="F177" s="8">
        <f t="shared" ca="1" si="315"/>
        <v>223754.49157812502</v>
      </c>
      <c r="G177" s="8">
        <f t="shared" ca="1" si="315"/>
        <v>231563.68121130861</v>
      </c>
      <c r="H177" s="8">
        <f t="shared" ca="1" si="315"/>
        <v>240208.35706995256</v>
      </c>
      <c r="I177" s="8">
        <f t="shared" ca="1" si="315"/>
        <v>249735.66892084025</v>
      </c>
      <c r="J177" s="8">
        <f t="shared" ca="1" si="315"/>
        <v>260194.90952617431</v>
      </c>
      <c r="K177" s="8">
        <f t="shared" ca="1" si="315"/>
        <v>271637.60155532236</v>
      </c>
      <c r="L177" s="8">
        <f t="shared" ca="1" si="315"/>
        <v>284117.58777969546</v>
      </c>
      <c r="M177" s="8">
        <f t="shared" ca="1" si="315"/>
        <v>297691.1246689033</v>
      </c>
      <c r="N177" s="8">
        <f t="shared" ca="1" si="315"/>
        <v>228324.77186392489</v>
      </c>
      <c r="O177" s="8">
        <f t="shared" ca="1" si="315"/>
        <v>155547.0444657795</v>
      </c>
      <c r="P177" s="8">
        <f t="shared" ca="1" si="315"/>
        <v>79230.727715311907</v>
      </c>
      <c r="Q177" s="8">
        <f t="shared" ca="1" si="315"/>
        <v>-755.62177547016472</v>
      </c>
      <c r="R177" s="8">
        <f t="shared" ca="1" si="315"/>
        <v>-80483.763757786088</v>
      </c>
      <c r="S177" s="8">
        <f t="shared" ca="1" si="315"/>
        <v>-155451.29760114453</v>
      </c>
      <c r="T177" s="8">
        <f t="shared" ca="1" si="315"/>
        <v>-207642.80395951826</v>
      </c>
      <c r="U177" s="8">
        <f t="shared" ca="1" si="315"/>
        <v>-253340.80438831882</v>
      </c>
      <c r="V177" s="8">
        <f t="shared" ca="1" si="315"/>
        <v>-300181.25482783938</v>
      </c>
      <c r="W177" s="8">
        <f t="shared" ca="1" si="315"/>
        <v>-348192.71652834793</v>
      </c>
      <c r="X177" s="8">
        <f t="shared" ca="1" si="315"/>
        <v>-397404.46477136924</v>
      </c>
      <c r="Y177" s="8">
        <f t="shared" ca="1" si="315"/>
        <v>-447846.50672046607</v>
      </c>
      <c r="Z177" s="8">
        <f t="shared" ca="1" si="315"/>
        <v>-499549.59971829032</v>
      </c>
      <c r="AA177" s="8">
        <f t="shared" ca="1" si="315"/>
        <v>-552545.27004106017</v>
      </c>
      <c r="AB177" s="8">
        <f t="shared" ca="1" si="315"/>
        <v>-606865.83212189924</v>
      </c>
      <c r="AC177" s="8">
        <f t="shared" ca="1" si="315"/>
        <v>-662544.40825475927</v>
      </c>
      <c r="AD177" s="8">
        <f t="shared" ca="1" si="315"/>
        <v>-719614.94879094081</v>
      </c>
      <c r="AE177" s="8">
        <f t="shared" ca="1" si="315"/>
        <v>-768129.77774674085</v>
      </c>
      <c r="AF177" s="8">
        <f t="shared" ca="1" si="315"/>
        <v>-817857.47742643591</v>
      </c>
      <c r="AG177" s="8">
        <f t="shared" ca="1" si="315"/>
        <v>-868828.36959812336</v>
      </c>
      <c r="AH177" s="8">
        <f t="shared" ca="1" si="315"/>
        <v>-921073.53407410299</v>
      </c>
      <c r="AI177" s="8">
        <f t="shared" ca="1" si="315"/>
        <v>-974624.82766198216</v>
      </c>
      <c r="AJ177" s="8">
        <f t="shared" ca="1" si="315"/>
        <v>-1029514.9035895583</v>
      </c>
      <c r="AK177" s="8">
        <f t="shared" ca="1" si="315"/>
        <v>-1085777.2314153239</v>
      </c>
      <c r="AL177" s="8">
        <f t="shared" ca="1" si="315"/>
        <v>-1143446.1174367336</v>
      </c>
      <c r="AM177" s="8">
        <f t="shared" ca="1" si="315"/>
        <v>-1202556.7256086785</v>
      </c>
      <c r="AN177" s="8">
        <f t="shared" ref="AN177:AV177" ca="1" si="316">AN53</f>
        <v>-1263145.098984922</v>
      </c>
      <c r="AO177" s="8">
        <f t="shared" ca="1" si="316"/>
        <v>-1325248.1816955716</v>
      </c>
      <c r="AP177" s="8">
        <f t="shared" ca="1" si="316"/>
        <v>-1388903.8414739876</v>
      </c>
      <c r="AQ177" s="8">
        <f t="shared" ca="1" si="316"/>
        <v>-1454150.8927468637</v>
      </c>
      <c r="AR177" s="8">
        <f t="shared" ca="1" si="316"/>
        <v>-1521029.1203015617</v>
      </c>
      <c r="AS177" s="8">
        <f t="shared" ca="1" si="316"/>
        <v>-1589579.3035451272</v>
      </c>
      <c r="AT177" s="8">
        <f t="shared" ca="1" si="316"/>
        <v>-1659843.2413697818</v>
      </c>
      <c r="AU177" s="8">
        <f t="shared" ca="1" si="316"/>
        <v>-1731863.7776400528</v>
      </c>
      <c r="AV177" s="8">
        <f t="shared" ca="1" si="316"/>
        <v>-1805684.8273170807</v>
      </c>
      <c r="AW177" s="8">
        <f t="shared" ref="AW177" ca="1" si="317">AW53</f>
        <v>-1881351.4032360343</v>
      </c>
    </row>
    <row r="178" spans="1:49" x14ac:dyDescent="0.2">
      <c r="A178" s="4" t="s">
        <v>29</v>
      </c>
      <c r="C178" s="8">
        <f t="shared" ref="C178:AM178" ca="1" si="318">C66</f>
        <v>968981.94138270128</v>
      </c>
      <c r="D178" s="8">
        <f t="shared" ca="1" si="318"/>
        <v>1009855.5963523956</v>
      </c>
      <c r="E178" s="8">
        <f t="shared" ca="1" si="318"/>
        <v>1052713.1778108226</v>
      </c>
      <c r="F178" s="8">
        <f t="shared" ca="1" si="318"/>
        <v>1097651.5917861115</v>
      </c>
      <c r="G178" s="8">
        <f t="shared" ca="1" si="318"/>
        <v>1144772.700802363</v>
      </c>
      <c r="H178" s="8">
        <f t="shared" ca="1" si="318"/>
        <v>1194183.603946965</v>
      </c>
      <c r="I178" s="8">
        <f t="shared" ca="1" si="318"/>
        <v>1245996.9348095595</v>
      </c>
      <c r="J178" s="8">
        <f t="shared" ca="1" si="318"/>
        <v>1300331.178554723</v>
      </c>
      <c r="K178" s="8">
        <f t="shared" ca="1" si="318"/>
        <v>1357311.0094854354</v>
      </c>
      <c r="L178" s="8">
        <f t="shared" ca="1" si="318"/>
        <v>1417067.6505567976</v>
      </c>
      <c r="M178" s="8">
        <f t="shared" ca="1" si="318"/>
        <v>1479739.2564098446</v>
      </c>
      <c r="N178" s="8">
        <f t="shared" ca="1" si="318"/>
        <v>1461379.1139677668</v>
      </c>
      <c r="O178" s="8">
        <f t="shared" ca="1" si="318"/>
        <v>1441607.6292236468</v>
      </c>
      <c r="P178" s="8">
        <f t="shared" ca="1" si="318"/>
        <v>1420395.0016198535</v>
      </c>
      <c r="Q178" s="8">
        <f t="shared" ca="1" si="318"/>
        <v>1397713.1121486544</v>
      </c>
      <c r="R178" s="8">
        <f t="shared" ca="1" si="318"/>
        <v>1374578.5196879508</v>
      </c>
      <c r="S178" s="8">
        <f t="shared" ca="1" si="318"/>
        <v>1351827.7109562999</v>
      </c>
      <c r="T178" s="8">
        <f t="shared" ca="1" si="318"/>
        <v>1354104.6199916517</v>
      </c>
      <c r="U178" s="8">
        <f t="shared" ca="1" si="318"/>
        <v>1365249.0910293488</v>
      </c>
      <c r="V178" s="8">
        <f t="shared" ca="1" si="318"/>
        <v>1377755.5901001575</v>
      </c>
      <c r="W178" s="8">
        <f t="shared" ca="1" si="318"/>
        <v>1391734.6266071121</v>
      </c>
      <c r="X178" s="8">
        <f t="shared" ca="1" si="318"/>
        <v>1407305.2829465482</v>
      </c>
      <c r="Y178" s="8">
        <f t="shared" ca="1" si="318"/>
        <v>1424595.8844604532</v>
      </c>
      <c r="Z178" s="8">
        <f t="shared" ca="1" si="318"/>
        <v>1443744.7223120383</v>
      </c>
      <c r="AA178" s="8">
        <f t="shared" ca="1" si="318"/>
        <v>1464900.8334932786</v>
      </c>
      <c r="AB178" s="8">
        <f t="shared" ca="1" si="318"/>
        <v>1488224.842509018</v>
      </c>
      <c r="AC178" s="8">
        <f t="shared" ca="1" si="318"/>
        <v>1513889.8696448777</v>
      </c>
      <c r="AD178" s="8">
        <f t="shared" ca="1" si="318"/>
        <v>1542082.5111178611</v>
      </c>
      <c r="AE178" s="8">
        <f t="shared" ca="1" si="318"/>
        <v>1582986.3719252748</v>
      </c>
      <c r="AF178" s="8">
        <f t="shared" ca="1" si="318"/>
        <v>1627085.3439789661</v>
      </c>
      <c r="AG178" s="8">
        <f t="shared" ca="1" si="318"/>
        <v>1674619.3786721244</v>
      </c>
      <c r="AH178" s="8">
        <f t="shared" ca="1" si="318"/>
        <v>1725846.8202447505</v>
      </c>
      <c r="AI178" s="8">
        <f t="shared" ca="1" si="318"/>
        <v>1781045.844774975</v>
      </c>
      <c r="AJ178" s="8">
        <f t="shared" ca="1" si="318"/>
        <v>1840516.0131081287</v>
      </c>
      <c r="AK178" s="8">
        <f t="shared" ca="1" si="318"/>
        <v>1904579.946797925</v>
      </c>
      <c r="AL178" s="8">
        <f t="shared" ca="1" si="318"/>
        <v>1973585.1368587143</v>
      </c>
      <c r="AM178" s="8">
        <f t="shared" ca="1" si="318"/>
        <v>2047905.8959102985</v>
      </c>
      <c r="AN178" s="8">
        <f t="shared" ref="AN178:AV178" ca="1" si="319">AN66</f>
        <v>2127945.4651418631</v>
      </c>
      <c r="AO178" s="8">
        <f t="shared" ca="1" si="319"/>
        <v>2214138.2884342349</v>
      </c>
      <c r="AP178" s="8">
        <f t="shared" ca="1" si="319"/>
        <v>2306952.4669652684</v>
      </c>
      <c r="AQ178" s="8">
        <f t="shared" ca="1" si="319"/>
        <v>2406892.4086875701</v>
      </c>
      <c r="AR178" s="8">
        <f t="shared" ca="1" si="319"/>
        <v>2514501.6882172646</v>
      </c>
      <c r="AS178" s="8">
        <f t="shared" ca="1" si="319"/>
        <v>2630366.1339139328</v>
      </c>
      <c r="AT178" s="8">
        <f t="shared" ca="1" si="319"/>
        <v>2755117.1602724921</v>
      </c>
      <c r="AU178" s="8">
        <f t="shared" ca="1" si="319"/>
        <v>2889435.3651956869</v>
      </c>
      <c r="AV178" s="8">
        <f t="shared" ca="1" si="319"/>
        <v>3034054.4132794645</v>
      </c>
      <c r="AW178" s="8">
        <f t="shared" ref="AW178" ca="1" si="320">AW66</f>
        <v>3189765.2279321989</v>
      </c>
    </row>
    <row r="179" spans="1:49" x14ac:dyDescent="0.2">
      <c r="A179" s="4" t="s">
        <v>81</v>
      </c>
      <c r="C179" s="12" t="str">
        <f ca="1">IF(COUNTIF(177:177,"&lt;0")&gt;0,"NO","YES!")</f>
        <v>NO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">
      <c r="A180" s="4" t="s">
        <v>35</v>
      </c>
      <c r="C180" s="12" cm="1">
        <f t="array" aca="1" ref="C180" ca="1">IFERROR(INDEX($3:$3, MATCH(TRUE, INDEX(177:177&lt;0,0), 0)), "")</f>
        <v>62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">
      <c r="A181" s="4"/>
      <c r="C181" s="1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">
      <c r="A182" s="17" t="s">
        <v>73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">
      <c r="A183" s="4" t="s">
        <v>9</v>
      </c>
      <c r="C183" s="8">
        <f t="shared" ref="C183:G183" ca="1" si="321">C159</f>
        <v>204898.75</v>
      </c>
      <c r="D183" s="8">
        <f t="shared" ca="1" si="321"/>
        <v>210464.1875</v>
      </c>
      <c r="E183" s="8">
        <f t="shared" ca="1" si="321"/>
        <v>216735.69765625001</v>
      </c>
      <c r="F183" s="8">
        <f t="shared" ca="1" si="321"/>
        <v>223754.49157812502</v>
      </c>
      <c r="G183" s="8">
        <f t="shared" ca="1" si="321"/>
        <v>231563.68121130861</v>
      </c>
      <c r="H183" s="8">
        <f t="shared" ref="H183:AM183" ca="1" si="322">H159</f>
        <v>240208.35706995256</v>
      </c>
      <c r="I183" s="8">
        <f t="shared" ca="1" si="322"/>
        <v>249735.66892084025</v>
      </c>
      <c r="J183" s="8">
        <f t="shared" ca="1" si="322"/>
        <v>260194.90952617431</v>
      </c>
      <c r="K183" s="8">
        <f t="shared" ca="1" si="322"/>
        <v>271637.60155532236</v>
      </c>
      <c r="L183" s="8">
        <f t="shared" ca="1" si="322"/>
        <v>284117.58777969546</v>
      </c>
      <c r="M183" s="8">
        <f t="shared" ca="1" si="322"/>
        <v>297691.1246689033</v>
      </c>
      <c r="N183" s="8">
        <f t="shared" ca="1" si="322"/>
        <v>228324.77186392489</v>
      </c>
      <c r="O183" s="8">
        <f t="shared" ca="1" si="322"/>
        <v>155547.0444657795</v>
      </c>
      <c r="P183" s="8">
        <f t="shared" ca="1" si="322"/>
        <v>79230.727715311907</v>
      </c>
      <c r="Q183" s="8">
        <f t="shared" ca="1" si="322"/>
        <v>20000</v>
      </c>
      <c r="R183" s="8">
        <f t="shared" ca="1" si="322"/>
        <v>427213.7335140247</v>
      </c>
      <c r="S183" s="8">
        <f t="shared" ca="1" si="322"/>
        <v>415291.8008390264</v>
      </c>
      <c r="T183" s="8">
        <f t="shared" ca="1" si="322"/>
        <v>372462.15956001484</v>
      </c>
      <c r="U183" s="8">
        <f t="shared" ca="1" si="322"/>
        <v>335022.09016209241</v>
      </c>
      <c r="V183" s="8">
        <f t="shared" ca="1" si="322"/>
        <v>295308.03835375386</v>
      </c>
      <c r="W183" s="8">
        <f t="shared" ca="1" si="322"/>
        <v>253263.15457473893</v>
      </c>
      <c r="X183" s="8">
        <f t="shared" ca="1" si="322"/>
        <v>208829.1680257805</v>
      </c>
      <c r="Y183" s="8">
        <f t="shared" ca="1" si="322"/>
        <v>161946.35113763015</v>
      </c>
      <c r="Z183" s="8">
        <f t="shared" ca="1" si="322"/>
        <v>112553.48315180809</v>
      </c>
      <c r="AA183" s="8">
        <f t="shared" ca="1" si="322"/>
        <v>60587.812790872355</v>
      </c>
      <c r="AB183" s="8">
        <f t="shared" ca="1" si="322"/>
        <v>7194.2227591943811</v>
      </c>
      <c r="AC183" s="8">
        <f t="shared" ca="1" si="322"/>
        <v>-47534.20702327555</v>
      </c>
      <c r="AD183" s="8">
        <f t="shared" ca="1" si="322"/>
        <v>-103630.84755030723</v>
      </c>
      <c r="AE183" s="8">
        <f t="shared" ca="1" si="322"/>
        <v>-151147.42899672867</v>
      </c>
      <c r="AF183" s="8">
        <f t="shared" ca="1" si="322"/>
        <v>-199851.92497931066</v>
      </c>
      <c r="AG183" s="8">
        <f t="shared" ca="1" si="322"/>
        <v>-249774.03336145723</v>
      </c>
      <c r="AH183" s="8">
        <f t="shared" ca="1" si="322"/>
        <v>-300944.19445315743</v>
      </c>
      <c r="AI183" s="8">
        <f t="shared" ca="1" si="322"/>
        <v>-353393.60957215016</v>
      </c>
      <c r="AJ183" s="8">
        <f t="shared" ca="1" si="322"/>
        <v>-407154.26006911776</v>
      </c>
      <c r="AK183" s="8">
        <f t="shared" ca="1" si="322"/>
        <v>-462258.9268285096</v>
      </c>
      <c r="AL183" s="8">
        <f t="shared" ca="1" si="322"/>
        <v>-518741.2102568862</v>
      </c>
      <c r="AM183" s="8">
        <f t="shared" ca="1" si="322"/>
        <v>-576635.55077097192</v>
      </c>
      <c r="AN183" s="8">
        <f t="shared" ref="AN183:AV183" ca="1" si="323">AN159</f>
        <v>-635977.24979791022</v>
      </c>
      <c r="AO183" s="8">
        <f t="shared" ca="1" si="323"/>
        <v>-696802.49130052165</v>
      </c>
      <c r="AP183" s="8">
        <f t="shared" ca="1" si="323"/>
        <v>-759148.3638406985</v>
      </c>
      <c r="AQ183" s="8">
        <f t="shared" ca="1" si="323"/>
        <v>-823052.88319437974</v>
      </c>
      <c r="AR183" s="8">
        <f t="shared" ca="1" si="323"/>
        <v>-888555.0155319029</v>
      </c>
      <c r="AS183" s="8">
        <f t="shared" ca="1" si="323"/>
        <v>-955694.7011778641</v>
      </c>
      <c r="AT183" s="8">
        <f t="shared" ca="1" si="323"/>
        <v>-1024512.8789649743</v>
      </c>
      <c r="AU183" s="8">
        <f t="shared" ca="1" si="323"/>
        <v>-1095051.5111967626</v>
      </c>
      <c r="AV183" s="8">
        <f t="shared" ca="1" si="323"/>
        <v>-1167353.6092343454</v>
      </c>
      <c r="AW183" s="8">
        <f t="shared" ref="AW183" ca="1" si="324">AW159</f>
        <v>-1241463.2597228677</v>
      </c>
    </row>
    <row r="184" spans="1:49" x14ac:dyDescent="0.2">
      <c r="A184" s="4" t="s">
        <v>29</v>
      </c>
      <c r="C184" s="8">
        <f t="shared" ref="C184:G184" ca="1" si="325">C172</f>
        <v>968981.94138270128</v>
      </c>
      <c r="D184" s="8">
        <f t="shared" ca="1" si="325"/>
        <v>1009855.5963523956</v>
      </c>
      <c r="E184" s="8">
        <f t="shared" ca="1" si="325"/>
        <v>1052713.1778108226</v>
      </c>
      <c r="F184" s="8">
        <f t="shared" ca="1" si="325"/>
        <v>1097651.5917861115</v>
      </c>
      <c r="G184" s="8">
        <f t="shared" ca="1" si="325"/>
        <v>1144772.700802363</v>
      </c>
      <c r="H184" s="8">
        <f t="shared" ref="H184:AM184" ca="1" si="326">H172</f>
        <v>1194183.603946965</v>
      </c>
      <c r="I184" s="8">
        <f t="shared" ca="1" si="326"/>
        <v>1245996.9348095595</v>
      </c>
      <c r="J184" s="8">
        <f t="shared" ca="1" si="326"/>
        <v>1300331.178554723</v>
      </c>
      <c r="K184" s="8">
        <f t="shared" ca="1" si="326"/>
        <v>1357311.0094854354</v>
      </c>
      <c r="L184" s="8">
        <f t="shared" ca="1" si="326"/>
        <v>1417067.6505567974</v>
      </c>
      <c r="M184" s="8">
        <f t="shared" ca="1" si="326"/>
        <v>1479739.2564098446</v>
      </c>
      <c r="N184" s="8">
        <f t="shared" ca="1" si="326"/>
        <v>1461379.1139677668</v>
      </c>
      <c r="O184" s="8">
        <f t="shared" ca="1" si="326"/>
        <v>1441607.6292236468</v>
      </c>
      <c r="P184" s="8">
        <f t="shared" ca="1" si="326"/>
        <v>1420395.0016198535</v>
      </c>
      <c r="Q184" s="8">
        <f t="shared" ca="1" si="326"/>
        <v>1394872.8691688532</v>
      </c>
      <c r="R184" s="8">
        <f t="shared" ca="1" si="326"/>
        <v>1284742.242514536</v>
      </c>
      <c r="S184" s="8">
        <f t="shared" ca="1" si="326"/>
        <v>1241715.6169749021</v>
      </c>
      <c r="T184" s="8">
        <f t="shared" ca="1" si="326"/>
        <v>1223678.6901799669</v>
      </c>
      <c r="U184" s="8">
        <f t="shared" ca="1" si="326"/>
        <v>1211775.116700643</v>
      </c>
      <c r="V184" s="8">
        <f t="shared" ca="1" si="326"/>
        <v>1198363.6556884609</v>
      </c>
      <c r="W184" s="8">
        <f t="shared" ca="1" si="326"/>
        <v>1183410.4404294873</v>
      </c>
      <c r="X184" s="8">
        <f t="shared" ca="1" si="326"/>
        <v>1166880.8724561713</v>
      </c>
      <c r="Y184" s="8">
        <f t="shared" ca="1" si="326"/>
        <v>1148739.6067009326</v>
      </c>
      <c r="Z184" s="8">
        <f t="shared" ca="1" si="326"/>
        <v>1128950.5363820097</v>
      </c>
      <c r="AA184" s="8">
        <f t="shared" ca="1" si="326"/>
        <v>1107476.77761798</v>
      </c>
      <c r="AB184" s="8">
        <f t="shared" ca="1" si="326"/>
        <v>1085489.8565311152</v>
      </c>
      <c r="AC184" s="8">
        <f t="shared" ca="1" si="326"/>
        <v>1063110.2957618029</v>
      </c>
      <c r="AD184" s="8">
        <f t="shared" ca="1" si="326"/>
        <v>1040332.9903183237</v>
      </c>
      <c r="AE184" s="8">
        <f t="shared" ca="1" si="326"/>
        <v>1027135.3240079612</v>
      </c>
      <c r="AF184" s="8">
        <f t="shared" ca="1" si="326"/>
        <v>1013779.31061552</v>
      </c>
      <c r="AG184" s="8">
        <f t="shared" ca="1" si="326"/>
        <v>1000266.1393012183</v>
      </c>
      <c r="AH184" s="8">
        <f t="shared" ca="1" si="326"/>
        <v>986597.1833893985</v>
      </c>
      <c r="AI184" s="8">
        <f t="shared" ca="1" si="326"/>
        <v>972774.00960568257</v>
      </c>
      <c r="AJ184" s="8">
        <f t="shared" ca="1" si="326"/>
        <v>958798.3876840499</v>
      </c>
      <c r="AK184" s="8">
        <f t="shared" ca="1" si="326"/>
        <v>944672.30035725306</v>
      </c>
      <c r="AL184" s="8">
        <f t="shared" ca="1" si="326"/>
        <v>930397.95374444942</v>
      </c>
      <c r="AM184" s="8">
        <f t="shared" ca="1" si="326"/>
        <v>915977.78815040388</v>
      </c>
      <c r="AN184" s="8">
        <f t="shared" ref="AN184:AV184" ca="1" si="327">AN172</f>
        <v>901414.48929110682</v>
      </c>
      <c r="AO184" s="8">
        <f t="shared" ca="1" si="327"/>
        <v>886710.99996116594</v>
      </c>
      <c r="AP184" s="8">
        <f t="shared" ca="1" si="327"/>
        <v>871870.53215883975</v>
      </c>
      <c r="AQ184" s="8">
        <f t="shared" ca="1" si="327"/>
        <v>856896.57968514459</v>
      </c>
      <c r="AR184" s="8">
        <f t="shared" ca="1" si="327"/>
        <v>841792.93123400724</v>
      </c>
      <c r="AS184" s="8">
        <f t="shared" ca="1" si="327"/>
        <v>826563.68399102334</v>
      </c>
      <c r="AT184" s="8">
        <f t="shared" ca="1" si="327"/>
        <v>811213.25775897969</v>
      </c>
      <c r="AU184" s="8">
        <f t="shared" ca="1" si="327"/>
        <v>795746.40962891001</v>
      </c>
      <c r="AV184" s="8">
        <f t="shared" ca="1" si="327"/>
        <v>780168.24921609741</v>
      </c>
      <c r="AW184" s="8">
        <f t="shared" ref="AW184" ca="1" si="328">AW172</f>
        <v>764484.25448108837</v>
      </c>
    </row>
    <row r="185" spans="1:49" x14ac:dyDescent="0.2">
      <c r="A185" s="4" t="s">
        <v>74</v>
      </c>
      <c r="C185" s="12" t="str">
        <f ca="1">IF(COUNTIF(183:183,"&lt;0")&gt;0,"NO","YES!")</f>
        <v>NO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">
      <c r="A186" s="4" t="s">
        <v>35</v>
      </c>
      <c r="C186" s="12" cm="1">
        <f t="array" aca="1" ref="C186" ca="1">IFERROR(INDEX($3:$3, MATCH(TRUE, INDEX(183:183&lt;0,0), 0)), "Never")</f>
        <v>74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">
      <c r="A187" s="4"/>
      <c r="C187" s="8"/>
      <c r="D187" s="8"/>
      <c r="E187" s="27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">
      <c r="A188" s="4" t="s">
        <v>31</v>
      </c>
      <c r="C188" s="11" t="s">
        <v>30</v>
      </c>
      <c r="D188" s="25" t="s">
        <v>76</v>
      </c>
      <c r="E188" s="25" t="s">
        <v>75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">
      <c r="A189" s="18" t="s">
        <v>28</v>
      </c>
      <c r="C189" s="8">
        <f ca="1">-SUM(75:75)</f>
        <v>160947.67235405021</v>
      </c>
      <c r="D189" s="25" t="str" cm="1">
        <f t="array" aca="1" ref="D189" ca="1">IFERROR(TEXT(INDEX(2:2, MATCH(TRUE, INDEX(75:75&lt;0,0), 0)), "0000"), "")</f>
        <v>2041</v>
      </c>
      <c r="E189" s="26" cm="1">
        <f t="array" aca="1" ref="E189" ca="1">IFERROR(INDEX(3:3, MATCH(TRUE, INDEX(75:75&lt;0,0), 0)),"")</f>
        <v>62</v>
      </c>
      <c r="F189" s="28" t="s">
        <v>77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">
      <c r="A190" s="18" t="s">
        <v>71</v>
      </c>
      <c r="C190" s="7"/>
      <c r="D190" s="27"/>
      <c r="E190" s="2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">
      <c r="A191" s="19" t="str">
        <f>$A$56</f>
        <v>Sliema</v>
      </c>
      <c r="C191" s="8">
        <f ca="1">-IFERROR(MIN(INDEX($139:$141, MATCH(A191, $A$139:$A$141, 0), 0)),0)</f>
        <v>467390.22498022922</v>
      </c>
      <c r="D191" s="25" t="str" cm="1">
        <f t="array" aca="1" ref="D191" ca="1">IFERROR(TEXT(INDEX($2:$2,MATCH(0, $C144:$XFD144, 0) + COLUMN($C144) - 1),"0000"),"")</f>
        <v>2042</v>
      </c>
      <c r="E191" s="26" cm="1">
        <f t="array" aca="1" ref="E191" ca="1">IFERROR(INDEX($3:$3,MATCH(0, $C144:$XFD144, 0) + COLUMN($C144) - 1),"")</f>
        <v>63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">
      <c r="A192" s="19" t="str">
        <f>$A$57</f>
        <v/>
      </c>
      <c r="C192" s="8">
        <f ca="1">-IFERROR(MIN(INDEX($139:$141, MATCH(A192, $A$139:$A$141, 0), 0)),0)</f>
        <v>0</v>
      </c>
      <c r="D192" s="25" t="str" cm="1">
        <f t="array" aca="1" ref="D192" ca="1">IFERROR(TEXT(INDEX($2:$2,MATCH(0, $C145:$XFD145, 0) + COLUMN($C145) - 1),"0000"),"")</f>
        <v>2027</v>
      </c>
      <c r="E192" s="26" cm="1">
        <f t="array" aca="1" ref="E192" ca="1">IFERROR(INDEX($3:$3,MATCH(0, $C145:$XFD145, 0) + COLUMN($C145) - 1),"")</f>
        <v>48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">
      <c r="A193" s="19" t="str">
        <f>$A$58</f>
        <v/>
      </c>
      <c r="C193" s="8">
        <f ca="1">-IFERROR(MIN(INDEX($139:$141, MATCH(A193, $A$139:$A$141, 0), 0)),0)</f>
        <v>0</v>
      </c>
      <c r="D193" s="25" t="str" cm="1">
        <f t="array" aca="1" ref="D193" ca="1">IFERROR(TEXT(INDEX($2:$2,MATCH(0, $C146:$XFD146, 0) + COLUMN($C146) - 1),"0000"),"")</f>
        <v>2027</v>
      </c>
      <c r="E193" s="26" cm="1">
        <f t="array" aca="1" ref="E193" ca="1">IFERROR(INDEX($3:$3,MATCH(0, $C146:$XFD146, 0) + COLUMN($C146) - 1),"")</f>
        <v>48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">
      <c r="A194" s="7"/>
      <c r="C194" s="10">
        <f ca="1">SUM(C191:C193)</f>
        <v>467390.22498022922</v>
      </c>
      <c r="D194" s="27"/>
      <c r="E194" s="27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">
      <c r="C195" s="8"/>
      <c r="E195" s="8"/>
      <c r="F195" s="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</row>
    <row r="196" spans="1:49" x14ac:dyDescent="0.2">
      <c r="A196" s="17" t="s">
        <v>78</v>
      </c>
      <c r="B196" s="2" t="s">
        <v>1</v>
      </c>
      <c r="C196" s="8">
        <f t="shared" ref="C196:AM196" si="329">C3</f>
        <v>48</v>
      </c>
      <c r="D196" s="8">
        <f t="shared" si="329"/>
        <v>49</v>
      </c>
      <c r="E196" s="8">
        <f t="shared" si="329"/>
        <v>50</v>
      </c>
      <c r="F196" s="8">
        <f t="shared" si="329"/>
        <v>51</v>
      </c>
      <c r="G196" s="8">
        <f t="shared" si="329"/>
        <v>52</v>
      </c>
      <c r="H196" s="8">
        <f t="shared" si="329"/>
        <v>53</v>
      </c>
      <c r="I196" s="8">
        <f t="shared" si="329"/>
        <v>54</v>
      </c>
      <c r="J196" s="8">
        <f t="shared" si="329"/>
        <v>55</v>
      </c>
      <c r="K196" s="8">
        <f t="shared" si="329"/>
        <v>56</v>
      </c>
      <c r="L196" s="8">
        <f t="shared" si="329"/>
        <v>57</v>
      </c>
      <c r="M196" s="8">
        <f t="shared" si="329"/>
        <v>58</v>
      </c>
      <c r="N196" s="8">
        <f t="shared" si="329"/>
        <v>59</v>
      </c>
      <c r="O196" s="8">
        <f t="shared" si="329"/>
        <v>60</v>
      </c>
      <c r="P196" s="8">
        <f t="shared" si="329"/>
        <v>61</v>
      </c>
      <c r="Q196" s="8">
        <f t="shared" si="329"/>
        <v>62</v>
      </c>
      <c r="R196" s="8">
        <f t="shared" si="329"/>
        <v>63</v>
      </c>
      <c r="S196" s="8">
        <f t="shared" si="329"/>
        <v>64</v>
      </c>
      <c r="T196" s="8">
        <f t="shared" si="329"/>
        <v>65</v>
      </c>
      <c r="U196" s="8">
        <f t="shared" si="329"/>
        <v>66</v>
      </c>
      <c r="V196" s="8">
        <f t="shared" si="329"/>
        <v>67</v>
      </c>
      <c r="W196" s="8">
        <f t="shared" si="329"/>
        <v>68</v>
      </c>
      <c r="X196" s="8">
        <f t="shared" si="329"/>
        <v>69</v>
      </c>
      <c r="Y196" s="8">
        <f t="shared" si="329"/>
        <v>70</v>
      </c>
      <c r="Z196" s="8">
        <f t="shared" si="329"/>
        <v>71</v>
      </c>
      <c r="AA196" s="8">
        <f t="shared" si="329"/>
        <v>72</v>
      </c>
      <c r="AB196" s="8">
        <f t="shared" si="329"/>
        <v>73</v>
      </c>
      <c r="AC196" s="8">
        <f t="shared" si="329"/>
        <v>74</v>
      </c>
      <c r="AD196" s="8">
        <f t="shared" si="329"/>
        <v>75</v>
      </c>
      <c r="AE196" s="8">
        <f t="shared" si="329"/>
        <v>76</v>
      </c>
      <c r="AF196" s="8">
        <f t="shared" si="329"/>
        <v>77</v>
      </c>
      <c r="AG196" s="8">
        <f t="shared" si="329"/>
        <v>78</v>
      </c>
      <c r="AH196" s="8">
        <f t="shared" si="329"/>
        <v>79</v>
      </c>
      <c r="AI196" s="8">
        <f t="shared" si="329"/>
        <v>80</v>
      </c>
      <c r="AJ196" s="8">
        <f t="shared" si="329"/>
        <v>81</v>
      </c>
      <c r="AK196" s="8">
        <f t="shared" si="329"/>
        <v>82</v>
      </c>
      <c r="AL196" s="8">
        <f t="shared" si="329"/>
        <v>83</v>
      </c>
      <c r="AM196" s="8">
        <f t="shared" si="329"/>
        <v>84</v>
      </c>
      <c r="AN196" s="8">
        <f t="shared" ref="AN196:AV196" si="330">AN3</f>
        <v>85</v>
      </c>
      <c r="AO196" s="8">
        <f t="shared" si="330"/>
        <v>86</v>
      </c>
      <c r="AP196" s="8">
        <f t="shared" si="330"/>
        <v>87</v>
      </c>
      <c r="AQ196" s="8">
        <f t="shared" si="330"/>
        <v>88</v>
      </c>
      <c r="AR196" s="8">
        <f t="shared" si="330"/>
        <v>89</v>
      </c>
      <c r="AS196" s="8">
        <f t="shared" si="330"/>
        <v>90</v>
      </c>
      <c r="AT196" s="8">
        <f t="shared" si="330"/>
        <v>91</v>
      </c>
      <c r="AU196" s="8">
        <f t="shared" si="330"/>
        <v>92</v>
      </c>
      <c r="AV196" s="8">
        <f t="shared" si="330"/>
        <v>93</v>
      </c>
      <c r="AW196" s="8">
        <f t="shared" ref="AW196" si="331">AW3</f>
        <v>94</v>
      </c>
    </row>
    <row r="197" spans="1:49" x14ac:dyDescent="0.2">
      <c r="A197" s="4" t="s">
        <v>72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">
      <c r="A198" s="4" t="s">
        <v>9</v>
      </c>
      <c r="C198" s="8">
        <f ca="1">C177</f>
        <v>204898.75</v>
      </c>
      <c r="D198" s="8">
        <f t="shared" ref="D198:G199" ca="1" si="332">D177</f>
        <v>210464.1875</v>
      </c>
      <c r="E198" s="8">
        <f t="shared" ca="1" si="332"/>
        <v>216735.69765625001</v>
      </c>
      <c r="F198" s="8">
        <f t="shared" ca="1" si="332"/>
        <v>223754.49157812502</v>
      </c>
      <c r="G198" s="8">
        <f t="shared" ca="1" si="332"/>
        <v>231563.68121130861</v>
      </c>
      <c r="H198" s="8">
        <f t="shared" ref="H198:AM198" ca="1" si="333">H177</f>
        <v>240208.35706995256</v>
      </c>
      <c r="I198" s="8">
        <f t="shared" ca="1" si="333"/>
        <v>249735.66892084025</v>
      </c>
      <c r="J198" s="8">
        <f t="shared" ca="1" si="333"/>
        <v>260194.90952617431</v>
      </c>
      <c r="K198" s="8">
        <f t="shared" ca="1" si="333"/>
        <v>271637.60155532236</v>
      </c>
      <c r="L198" s="8">
        <f t="shared" ca="1" si="333"/>
        <v>284117.58777969546</v>
      </c>
      <c r="M198" s="8">
        <f t="shared" ca="1" si="333"/>
        <v>297691.1246689033</v>
      </c>
      <c r="N198" s="8">
        <f t="shared" ca="1" si="333"/>
        <v>228324.77186392489</v>
      </c>
      <c r="O198" s="8">
        <f t="shared" ca="1" si="333"/>
        <v>155547.0444657795</v>
      </c>
      <c r="P198" s="8">
        <f t="shared" ca="1" si="333"/>
        <v>79230.727715311907</v>
      </c>
      <c r="Q198" s="8">
        <f t="shared" ca="1" si="333"/>
        <v>-755.62177547016472</v>
      </c>
      <c r="R198" s="8">
        <f t="shared" ca="1" si="333"/>
        <v>-80483.763757786088</v>
      </c>
      <c r="S198" s="8">
        <f t="shared" ca="1" si="333"/>
        <v>-155451.29760114453</v>
      </c>
      <c r="T198" s="8">
        <f t="shared" ca="1" si="333"/>
        <v>-207642.80395951826</v>
      </c>
      <c r="U198" s="8">
        <f t="shared" ca="1" si="333"/>
        <v>-253340.80438831882</v>
      </c>
      <c r="V198" s="8">
        <f t="shared" ca="1" si="333"/>
        <v>-300181.25482783938</v>
      </c>
      <c r="W198" s="8">
        <f t="shared" ca="1" si="333"/>
        <v>-348192.71652834793</v>
      </c>
      <c r="X198" s="8">
        <f t="shared" ca="1" si="333"/>
        <v>-397404.46477136924</v>
      </c>
      <c r="Y198" s="8">
        <f t="shared" ca="1" si="333"/>
        <v>-447846.50672046607</v>
      </c>
      <c r="Z198" s="8">
        <f t="shared" ca="1" si="333"/>
        <v>-499549.59971829032</v>
      </c>
      <c r="AA198" s="8">
        <f t="shared" ca="1" si="333"/>
        <v>-552545.27004106017</v>
      </c>
      <c r="AB198" s="8">
        <f t="shared" ca="1" si="333"/>
        <v>-606865.83212189924</v>
      </c>
      <c r="AC198" s="8">
        <f t="shared" ca="1" si="333"/>
        <v>-662544.40825475927</v>
      </c>
      <c r="AD198" s="8">
        <f t="shared" ca="1" si="333"/>
        <v>-719614.94879094081</v>
      </c>
      <c r="AE198" s="8">
        <f t="shared" ca="1" si="333"/>
        <v>-768129.77774674085</v>
      </c>
      <c r="AF198" s="8">
        <f t="shared" ca="1" si="333"/>
        <v>-817857.47742643591</v>
      </c>
      <c r="AG198" s="8">
        <f t="shared" ca="1" si="333"/>
        <v>-868828.36959812336</v>
      </c>
      <c r="AH198" s="8">
        <f t="shared" ca="1" si="333"/>
        <v>-921073.53407410299</v>
      </c>
      <c r="AI198" s="8">
        <f t="shared" ca="1" si="333"/>
        <v>-974624.82766198216</v>
      </c>
      <c r="AJ198" s="8">
        <f t="shared" ca="1" si="333"/>
        <v>-1029514.9035895583</v>
      </c>
      <c r="AK198" s="8">
        <f t="shared" ca="1" si="333"/>
        <v>-1085777.2314153239</v>
      </c>
      <c r="AL198" s="8">
        <f t="shared" ca="1" si="333"/>
        <v>-1143446.1174367336</v>
      </c>
      <c r="AM198" s="8">
        <f t="shared" ca="1" si="333"/>
        <v>-1202556.7256086785</v>
      </c>
      <c r="AN198" s="8">
        <f t="shared" ref="AN198:AV198" ca="1" si="334">AN177</f>
        <v>-1263145.098984922</v>
      </c>
      <c r="AO198" s="8">
        <f t="shared" ca="1" si="334"/>
        <v>-1325248.1816955716</v>
      </c>
      <c r="AP198" s="8">
        <f t="shared" ca="1" si="334"/>
        <v>-1388903.8414739876</v>
      </c>
      <c r="AQ198" s="8">
        <f t="shared" ca="1" si="334"/>
        <v>-1454150.8927468637</v>
      </c>
      <c r="AR198" s="8">
        <f t="shared" ca="1" si="334"/>
        <v>-1521029.1203015617</v>
      </c>
      <c r="AS198" s="8">
        <f t="shared" ca="1" si="334"/>
        <v>-1589579.3035451272</v>
      </c>
      <c r="AT198" s="8">
        <f t="shared" ca="1" si="334"/>
        <v>-1659843.2413697818</v>
      </c>
      <c r="AU198" s="8">
        <f t="shared" ca="1" si="334"/>
        <v>-1731863.7776400528</v>
      </c>
      <c r="AV198" s="8">
        <f t="shared" ca="1" si="334"/>
        <v>-1805684.8273170807</v>
      </c>
      <c r="AW198" s="8">
        <f t="shared" ref="AW198" ca="1" si="335">AW177</f>
        <v>-1881351.4032360343</v>
      </c>
    </row>
    <row r="199" spans="1:49" x14ac:dyDescent="0.2">
      <c r="A199" s="4" t="s">
        <v>29</v>
      </c>
      <c r="C199" s="8">
        <f ca="1">C178</f>
        <v>968981.94138270128</v>
      </c>
      <c r="D199" s="8">
        <f t="shared" ca="1" si="332"/>
        <v>1009855.5963523956</v>
      </c>
      <c r="E199" s="8">
        <f t="shared" ca="1" si="332"/>
        <v>1052713.1778108226</v>
      </c>
      <c r="F199" s="8">
        <f t="shared" ca="1" si="332"/>
        <v>1097651.5917861115</v>
      </c>
      <c r="G199" s="8">
        <f t="shared" ca="1" si="332"/>
        <v>1144772.700802363</v>
      </c>
      <c r="H199" s="8">
        <f t="shared" ref="H199:AM199" ca="1" si="336">H178</f>
        <v>1194183.603946965</v>
      </c>
      <c r="I199" s="8">
        <f t="shared" ca="1" si="336"/>
        <v>1245996.9348095595</v>
      </c>
      <c r="J199" s="8">
        <f t="shared" ca="1" si="336"/>
        <v>1300331.178554723</v>
      </c>
      <c r="K199" s="8">
        <f t="shared" ca="1" si="336"/>
        <v>1357311.0094854354</v>
      </c>
      <c r="L199" s="8">
        <f t="shared" ca="1" si="336"/>
        <v>1417067.6505567976</v>
      </c>
      <c r="M199" s="8">
        <f t="shared" ca="1" si="336"/>
        <v>1479739.2564098446</v>
      </c>
      <c r="N199" s="8">
        <f t="shared" ca="1" si="336"/>
        <v>1461379.1139677668</v>
      </c>
      <c r="O199" s="8">
        <f t="shared" ca="1" si="336"/>
        <v>1441607.6292236468</v>
      </c>
      <c r="P199" s="8">
        <f t="shared" ca="1" si="336"/>
        <v>1420395.0016198535</v>
      </c>
      <c r="Q199" s="8">
        <f t="shared" ca="1" si="336"/>
        <v>1397713.1121486544</v>
      </c>
      <c r="R199" s="8">
        <f t="shared" ca="1" si="336"/>
        <v>1374578.5196879508</v>
      </c>
      <c r="S199" s="8">
        <f t="shared" ca="1" si="336"/>
        <v>1351827.7109562999</v>
      </c>
      <c r="T199" s="8">
        <f t="shared" ca="1" si="336"/>
        <v>1354104.6199916517</v>
      </c>
      <c r="U199" s="8">
        <f t="shared" ca="1" si="336"/>
        <v>1365249.0910293488</v>
      </c>
      <c r="V199" s="8">
        <f t="shared" ca="1" si="336"/>
        <v>1377755.5901001575</v>
      </c>
      <c r="W199" s="8">
        <f t="shared" ca="1" si="336"/>
        <v>1391734.6266071121</v>
      </c>
      <c r="X199" s="8">
        <f t="shared" ca="1" si="336"/>
        <v>1407305.2829465482</v>
      </c>
      <c r="Y199" s="8">
        <f t="shared" ca="1" si="336"/>
        <v>1424595.8844604532</v>
      </c>
      <c r="Z199" s="8">
        <f t="shared" ca="1" si="336"/>
        <v>1443744.7223120383</v>
      </c>
      <c r="AA199" s="8">
        <f t="shared" ca="1" si="336"/>
        <v>1464900.8334932786</v>
      </c>
      <c r="AB199" s="8">
        <f t="shared" ca="1" si="336"/>
        <v>1488224.842509018</v>
      </c>
      <c r="AC199" s="8">
        <f t="shared" ca="1" si="336"/>
        <v>1513889.8696448777</v>
      </c>
      <c r="AD199" s="8">
        <f t="shared" ca="1" si="336"/>
        <v>1542082.5111178611</v>
      </c>
      <c r="AE199" s="8">
        <f t="shared" ca="1" si="336"/>
        <v>1582986.3719252748</v>
      </c>
      <c r="AF199" s="8">
        <f t="shared" ca="1" si="336"/>
        <v>1627085.3439789661</v>
      </c>
      <c r="AG199" s="8">
        <f t="shared" ca="1" si="336"/>
        <v>1674619.3786721244</v>
      </c>
      <c r="AH199" s="8">
        <f t="shared" ca="1" si="336"/>
        <v>1725846.8202447505</v>
      </c>
      <c r="AI199" s="8">
        <f t="shared" ca="1" si="336"/>
        <v>1781045.844774975</v>
      </c>
      <c r="AJ199" s="8">
        <f t="shared" ca="1" si="336"/>
        <v>1840516.0131081287</v>
      </c>
      <c r="AK199" s="8">
        <f t="shared" ca="1" si="336"/>
        <v>1904579.946797925</v>
      </c>
      <c r="AL199" s="8">
        <f t="shared" ca="1" si="336"/>
        <v>1973585.1368587143</v>
      </c>
      <c r="AM199" s="8">
        <f t="shared" ca="1" si="336"/>
        <v>2047905.8959102985</v>
      </c>
      <c r="AN199" s="8">
        <f t="shared" ref="AN199:AV199" ca="1" si="337">AN178</f>
        <v>2127945.4651418631</v>
      </c>
      <c r="AO199" s="8">
        <f t="shared" ca="1" si="337"/>
        <v>2214138.2884342349</v>
      </c>
      <c r="AP199" s="8">
        <f t="shared" ca="1" si="337"/>
        <v>2306952.4669652684</v>
      </c>
      <c r="AQ199" s="8">
        <f t="shared" ca="1" si="337"/>
        <v>2406892.4086875701</v>
      </c>
      <c r="AR199" s="8">
        <f t="shared" ca="1" si="337"/>
        <v>2514501.6882172646</v>
      </c>
      <c r="AS199" s="8">
        <f t="shared" ca="1" si="337"/>
        <v>2630366.1339139328</v>
      </c>
      <c r="AT199" s="8">
        <f t="shared" ca="1" si="337"/>
        <v>2755117.1602724921</v>
      </c>
      <c r="AU199" s="8">
        <f t="shared" ca="1" si="337"/>
        <v>2889435.3651956869</v>
      </c>
      <c r="AV199" s="8">
        <f t="shared" ca="1" si="337"/>
        <v>3034054.4132794645</v>
      </c>
      <c r="AW199" s="8">
        <f t="shared" ref="AW199" ca="1" si="338">AW178</f>
        <v>3189765.2279321989</v>
      </c>
    </row>
    <row r="200" spans="1:49" x14ac:dyDescent="0.2">
      <c r="A200" s="4" t="s">
        <v>73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">
      <c r="A201" s="18" t="s">
        <v>9</v>
      </c>
      <c r="C201" s="8">
        <f ca="1">C183</f>
        <v>204898.75</v>
      </c>
      <c r="D201" s="8">
        <f t="shared" ref="D201:G202" ca="1" si="339">D183</f>
        <v>210464.1875</v>
      </c>
      <c r="E201" s="8">
        <f t="shared" ca="1" si="339"/>
        <v>216735.69765625001</v>
      </c>
      <c r="F201" s="8">
        <f t="shared" ca="1" si="339"/>
        <v>223754.49157812502</v>
      </c>
      <c r="G201" s="8">
        <f t="shared" ca="1" si="339"/>
        <v>231563.68121130861</v>
      </c>
      <c r="H201" s="8">
        <f t="shared" ref="H201:AM201" ca="1" si="340">H183</f>
        <v>240208.35706995256</v>
      </c>
      <c r="I201" s="8">
        <f t="shared" ca="1" si="340"/>
        <v>249735.66892084025</v>
      </c>
      <c r="J201" s="8">
        <f t="shared" ca="1" si="340"/>
        <v>260194.90952617431</v>
      </c>
      <c r="K201" s="8">
        <f t="shared" ca="1" si="340"/>
        <v>271637.60155532236</v>
      </c>
      <c r="L201" s="8">
        <f t="shared" ca="1" si="340"/>
        <v>284117.58777969546</v>
      </c>
      <c r="M201" s="8">
        <f t="shared" ca="1" si="340"/>
        <v>297691.1246689033</v>
      </c>
      <c r="N201" s="8">
        <f t="shared" ca="1" si="340"/>
        <v>228324.77186392489</v>
      </c>
      <c r="O201" s="8">
        <f t="shared" ca="1" si="340"/>
        <v>155547.0444657795</v>
      </c>
      <c r="P201" s="8">
        <f t="shared" ca="1" si="340"/>
        <v>79230.727715311907</v>
      </c>
      <c r="Q201" s="8">
        <f t="shared" ca="1" si="340"/>
        <v>20000</v>
      </c>
      <c r="R201" s="8">
        <f t="shared" ca="1" si="340"/>
        <v>427213.7335140247</v>
      </c>
      <c r="S201" s="8">
        <f t="shared" ca="1" si="340"/>
        <v>415291.8008390264</v>
      </c>
      <c r="T201" s="8">
        <f t="shared" ca="1" si="340"/>
        <v>372462.15956001484</v>
      </c>
      <c r="U201" s="8">
        <f t="shared" ca="1" si="340"/>
        <v>335022.09016209241</v>
      </c>
      <c r="V201" s="8">
        <f t="shared" ca="1" si="340"/>
        <v>295308.03835375386</v>
      </c>
      <c r="W201" s="8">
        <f t="shared" ca="1" si="340"/>
        <v>253263.15457473893</v>
      </c>
      <c r="X201" s="8">
        <f t="shared" ca="1" si="340"/>
        <v>208829.1680257805</v>
      </c>
      <c r="Y201" s="8">
        <f t="shared" ca="1" si="340"/>
        <v>161946.35113763015</v>
      </c>
      <c r="Z201" s="8">
        <f t="shared" ca="1" si="340"/>
        <v>112553.48315180809</v>
      </c>
      <c r="AA201" s="8">
        <f t="shared" ca="1" si="340"/>
        <v>60587.812790872355</v>
      </c>
      <c r="AB201" s="8">
        <f t="shared" ca="1" si="340"/>
        <v>7194.2227591943811</v>
      </c>
      <c r="AC201" s="8">
        <f t="shared" ca="1" si="340"/>
        <v>-47534.20702327555</v>
      </c>
      <c r="AD201" s="8">
        <f t="shared" ca="1" si="340"/>
        <v>-103630.84755030723</v>
      </c>
      <c r="AE201" s="8">
        <f t="shared" ca="1" si="340"/>
        <v>-151147.42899672867</v>
      </c>
      <c r="AF201" s="8">
        <f t="shared" ca="1" si="340"/>
        <v>-199851.92497931066</v>
      </c>
      <c r="AG201" s="8">
        <f t="shared" ca="1" si="340"/>
        <v>-249774.03336145723</v>
      </c>
      <c r="AH201" s="8">
        <f t="shared" ca="1" si="340"/>
        <v>-300944.19445315743</v>
      </c>
      <c r="AI201" s="8">
        <f t="shared" ca="1" si="340"/>
        <v>-353393.60957215016</v>
      </c>
      <c r="AJ201" s="8">
        <f t="shared" ca="1" si="340"/>
        <v>-407154.26006911776</v>
      </c>
      <c r="AK201" s="8">
        <f t="shared" ca="1" si="340"/>
        <v>-462258.9268285096</v>
      </c>
      <c r="AL201" s="8">
        <f t="shared" ca="1" si="340"/>
        <v>-518741.2102568862</v>
      </c>
      <c r="AM201" s="8">
        <f t="shared" ca="1" si="340"/>
        <v>-576635.55077097192</v>
      </c>
      <c r="AN201" s="8">
        <f t="shared" ref="AN201:AV201" ca="1" si="341">AN183</f>
        <v>-635977.24979791022</v>
      </c>
      <c r="AO201" s="8">
        <f t="shared" ca="1" si="341"/>
        <v>-696802.49130052165</v>
      </c>
      <c r="AP201" s="8">
        <f t="shared" ca="1" si="341"/>
        <v>-759148.3638406985</v>
      </c>
      <c r="AQ201" s="8">
        <f t="shared" ca="1" si="341"/>
        <v>-823052.88319437974</v>
      </c>
      <c r="AR201" s="8">
        <f t="shared" ca="1" si="341"/>
        <v>-888555.0155319029</v>
      </c>
      <c r="AS201" s="8">
        <f t="shared" ca="1" si="341"/>
        <v>-955694.7011778641</v>
      </c>
      <c r="AT201" s="8">
        <f t="shared" ca="1" si="341"/>
        <v>-1024512.8789649743</v>
      </c>
      <c r="AU201" s="8">
        <f t="shared" ca="1" si="341"/>
        <v>-1095051.5111967626</v>
      </c>
      <c r="AV201" s="8">
        <f t="shared" ca="1" si="341"/>
        <v>-1167353.6092343454</v>
      </c>
      <c r="AW201" s="8">
        <f t="shared" ref="AW201" ca="1" si="342">AW183</f>
        <v>-1241463.2597228677</v>
      </c>
    </row>
    <row r="202" spans="1:49" x14ac:dyDescent="0.2">
      <c r="A202" s="18" t="s">
        <v>29</v>
      </c>
      <c r="C202" s="8">
        <f ca="1">C184</f>
        <v>968981.94138270128</v>
      </c>
      <c r="D202" s="8">
        <f t="shared" ca="1" si="339"/>
        <v>1009855.5963523956</v>
      </c>
      <c r="E202" s="8">
        <f t="shared" ca="1" si="339"/>
        <v>1052713.1778108226</v>
      </c>
      <c r="F202" s="8">
        <f t="shared" ca="1" si="339"/>
        <v>1097651.5917861115</v>
      </c>
      <c r="G202" s="8">
        <f t="shared" ca="1" si="339"/>
        <v>1144772.700802363</v>
      </c>
      <c r="H202" s="8">
        <f t="shared" ref="H202:AM202" ca="1" si="343">H184</f>
        <v>1194183.603946965</v>
      </c>
      <c r="I202" s="8">
        <f t="shared" ca="1" si="343"/>
        <v>1245996.9348095595</v>
      </c>
      <c r="J202" s="8">
        <f t="shared" ca="1" si="343"/>
        <v>1300331.178554723</v>
      </c>
      <c r="K202" s="8">
        <f t="shared" ca="1" si="343"/>
        <v>1357311.0094854354</v>
      </c>
      <c r="L202" s="8">
        <f t="shared" ca="1" si="343"/>
        <v>1417067.6505567974</v>
      </c>
      <c r="M202" s="8">
        <f t="shared" ca="1" si="343"/>
        <v>1479739.2564098446</v>
      </c>
      <c r="N202" s="8">
        <f t="shared" ca="1" si="343"/>
        <v>1461379.1139677668</v>
      </c>
      <c r="O202" s="8">
        <f t="shared" ca="1" si="343"/>
        <v>1441607.6292236468</v>
      </c>
      <c r="P202" s="8">
        <f t="shared" ca="1" si="343"/>
        <v>1420395.0016198535</v>
      </c>
      <c r="Q202" s="8">
        <f t="shared" ca="1" si="343"/>
        <v>1394872.8691688532</v>
      </c>
      <c r="R202" s="8">
        <f t="shared" ca="1" si="343"/>
        <v>1284742.242514536</v>
      </c>
      <c r="S202" s="8">
        <f t="shared" ca="1" si="343"/>
        <v>1241715.6169749021</v>
      </c>
      <c r="T202" s="8">
        <f t="shared" ca="1" si="343"/>
        <v>1223678.6901799669</v>
      </c>
      <c r="U202" s="8">
        <f t="shared" ca="1" si="343"/>
        <v>1211775.116700643</v>
      </c>
      <c r="V202" s="8">
        <f t="shared" ca="1" si="343"/>
        <v>1198363.6556884609</v>
      </c>
      <c r="W202" s="8">
        <f t="shared" ca="1" si="343"/>
        <v>1183410.4404294873</v>
      </c>
      <c r="X202" s="8">
        <f t="shared" ca="1" si="343"/>
        <v>1166880.8724561713</v>
      </c>
      <c r="Y202" s="8">
        <f t="shared" ca="1" si="343"/>
        <v>1148739.6067009326</v>
      </c>
      <c r="Z202" s="8">
        <f t="shared" ca="1" si="343"/>
        <v>1128950.5363820097</v>
      </c>
      <c r="AA202" s="8">
        <f t="shared" ca="1" si="343"/>
        <v>1107476.77761798</v>
      </c>
      <c r="AB202" s="8">
        <f t="shared" ca="1" si="343"/>
        <v>1085489.8565311152</v>
      </c>
      <c r="AC202" s="8">
        <f t="shared" ca="1" si="343"/>
        <v>1063110.2957618029</v>
      </c>
      <c r="AD202" s="8">
        <f t="shared" ca="1" si="343"/>
        <v>1040332.9903183237</v>
      </c>
      <c r="AE202" s="8">
        <f t="shared" ca="1" si="343"/>
        <v>1027135.3240079612</v>
      </c>
      <c r="AF202" s="8">
        <f t="shared" ca="1" si="343"/>
        <v>1013779.31061552</v>
      </c>
      <c r="AG202" s="8">
        <f t="shared" ca="1" si="343"/>
        <v>1000266.1393012183</v>
      </c>
      <c r="AH202" s="8">
        <f t="shared" ca="1" si="343"/>
        <v>986597.1833893985</v>
      </c>
      <c r="AI202" s="8">
        <f t="shared" ca="1" si="343"/>
        <v>972774.00960568257</v>
      </c>
      <c r="AJ202" s="8">
        <f t="shared" ca="1" si="343"/>
        <v>958798.3876840499</v>
      </c>
      <c r="AK202" s="8">
        <f t="shared" ca="1" si="343"/>
        <v>944672.30035725306</v>
      </c>
      <c r="AL202" s="8">
        <f t="shared" ca="1" si="343"/>
        <v>930397.95374444942</v>
      </c>
      <c r="AM202" s="8">
        <f t="shared" ca="1" si="343"/>
        <v>915977.78815040388</v>
      </c>
      <c r="AN202" s="8">
        <f t="shared" ref="AN202:AV202" ca="1" si="344">AN184</f>
        <v>901414.48929110682</v>
      </c>
      <c r="AO202" s="8">
        <f t="shared" ca="1" si="344"/>
        <v>886710.99996116594</v>
      </c>
      <c r="AP202" s="8">
        <f t="shared" ca="1" si="344"/>
        <v>871870.53215883975</v>
      </c>
      <c r="AQ202" s="8">
        <f t="shared" ca="1" si="344"/>
        <v>856896.57968514459</v>
      </c>
      <c r="AR202" s="8">
        <f t="shared" ca="1" si="344"/>
        <v>841792.93123400724</v>
      </c>
      <c r="AS202" s="8">
        <f t="shared" ca="1" si="344"/>
        <v>826563.68399102334</v>
      </c>
      <c r="AT202" s="8">
        <f t="shared" ca="1" si="344"/>
        <v>811213.25775897969</v>
      </c>
      <c r="AU202" s="8">
        <f t="shared" ca="1" si="344"/>
        <v>795746.40962891001</v>
      </c>
      <c r="AV202" s="8">
        <f t="shared" ca="1" si="344"/>
        <v>780168.24921609741</v>
      </c>
      <c r="AW202" s="8">
        <f t="shared" ref="AW202" ca="1" si="345">AW184</f>
        <v>764484.25448108837</v>
      </c>
    </row>
    <row r="203" spans="1:49" x14ac:dyDescent="0.2">
      <c r="A203" s="5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2"/>
      <c r="AS206" s="82"/>
      <c r="AT206" s="82"/>
      <c r="AU206" s="82"/>
      <c r="AV206" s="82"/>
      <c r="AW206" s="82"/>
    </row>
    <row r="207" spans="1:49" x14ac:dyDescent="0.2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3:49" x14ac:dyDescent="0.2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3:49" x14ac:dyDescent="0.2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3:49" x14ac:dyDescent="0.2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3:49" x14ac:dyDescent="0.2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3:49" x14ac:dyDescent="0.2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3:49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3:49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3:49" x14ac:dyDescent="0.2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3:49" x14ac:dyDescent="0.2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3:49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3:49" x14ac:dyDescent="0.2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3:49" x14ac:dyDescent="0.2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3:49" x14ac:dyDescent="0.2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3:49" x14ac:dyDescent="0.2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3:49" x14ac:dyDescent="0.2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3:49" x14ac:dyDescent="0.2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3:49" x14ac:dyDescent="0.2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3:49" x14ac:dyDescent="0.2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3:49" x14ac:dyDescent="0.2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3:49" x14ac:dyDescent="0.2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3:49" x14ac:dyDescent="0.2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3:49" x14ac:dyDescent="0.2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3:49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3:49" x14ac:dyDescent="0.2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3:49" x14ac:dyDescent="0.2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3:49" x14ac:dyDescent="0.2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3:49" x14ac:dyDescent="0.2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3:49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3:49" x14ac:dyDescent="0.2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3:49" x14ac:dyDescent="0.2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3:49" x14ac:dyDescent="0.2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3:49" x14ac:dyDescent="0.2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3:49" x14ac:dyDescent="0.2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3:49" x14ac:dyDescent="0.2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3:49" x14ac:dyDescent="0.2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3:49" x14ac:dyDescent="0.2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3:49" x14ac:dyDescent="0.2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3:49" x14ac:dyDescent="0.2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3:49" x14ac:dyDescent="0.2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3:49" x14ac:dyDescent="0.2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3:49" x14ac:dyDescent="0.2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3:49" x14ac:dyDescent="0.2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3:49" x14ac:dyDescent="0.2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3:49" x14ac:dyDescent="0.2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3:49" x14ac:dyDescent="0.2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3:49" x14ac:dyDescent="0.2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3:49" x14ac:dyDescent="0.2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3:49" x14ac:dyDescent="0.2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3:49" x14ac:dyDescent="0.2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3:49" x14ac:dyDescent="0.2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3:49" x14ac:dyDescent="0.2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3:49" x14ac:dyDescent="0.2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3:49" x14ac:dyDescent="0.2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3:49" x14ac:dyDescent="0.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3:49" x14ac:dyDescent="0.2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3:49" x14ac:dyDescent="0.2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3:49" x14ac:dyDescent="0.2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3:49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3:49" x14ac:dyDescent="0.2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3:49" x14ac:dyDescent="0.2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3:49" x14ac:dyDescent="0.2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3:49" x14ac:dyDescent="0.2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3:49" x14ac:dyDescent="0.2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3:49" x14ac:dyDescent="0.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3:49" x14ac:dyDescent="0.2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3:49" x14ac:dyDescent="0.2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3:49" x14ac:dyDescent="0.2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3:49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3:49" x14ac:dyDescent="0.2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3:49" x14ac:dyDescent="0.2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3:49" x14ac:dyDescent="0.2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3:49" x14ac:dyDescent="0.2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3:49" x14ac:dyDescent="0.2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3:49" x14ac:dyDescent="0.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3:49" x14ac:dyDescent="0.2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3:49" x14ac:dyDescent="0.2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3:49" x14ac:dyDescent="0.2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3:49" x14ac:dyDescent="0.2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3:49" x14ac:dyDescent="0.2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3:49" x14ac:dyDescent="0.2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3:49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3:49" x14ac:dyDescent="0.2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3:49" x14ac:dyDescent="0.2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3:49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3:49" x14ac:dyDescent="0.2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3:49" x14ac:dyDescent="0.2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3:49" x14ac:dyDescent="0.2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3:49" x14ac:dyDescent="0.2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3:49" x14ac:dyDescent="0.2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3:49" x14ac:dyDescent="0.2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3:49" x14ac:dyDescent="0.2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3:49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3:49" x14ac:dyDescent="0.2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3:49" x14ac:dyDescent="0.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3:49" x14ac:dyDescent="0.2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3:49" x14ac:dyDescent="0.2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3:49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3:49" x14ac:dyDescent="0.2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3:49" x14ac:dyDescent="0.2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3:49" x14ac:dyDescent="0.2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3:49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3:49" x14ac:dyDescent="0.2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3:49" x14ac:dyDescent="0.2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3:49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3:49" x14ac:dyDescent="0.2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3:49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3:49" x14ac:dyDescent="0.2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3:49" x14ac:dyDescent="0.2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3:49" x14ac:dyDescent="0.2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3:49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3:49" x14ac:dyDescent="0.2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3:49" x14ac:dyDescent="0.2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3:49" x14ac:dyDescent="0.2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3:49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3:49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3:49" x14ac:dyDescent="0.2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3:49" x14ac:dyDescent="0.2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3:49" x14ac:dyDescent="0.2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3:49" x14ac:dyDescent="0.2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3:49" x14ac:dyDescent="0.2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3:49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3:49" x14ac:dyDescent="0.2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3:49" x14ac:dyDescent="0.2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3:49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3:49" x14ac:dyDescent="0.2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3:49" x14ac:dyDescent="0.2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3:49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3:49" x14ac:dyDescent="0.2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3:49" x14ac:dyDescent="0.2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3:49" x14ac:dyDescent="0.2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3:49" x14ac:dyDescent="0.2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3:49" x14ac:dyDescent="0.2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3:49" x14ac:dyDescent="0.2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3:49" x14ac:dyDescent="0.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3:49" x14ac:dyDescent="0.2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3:49" x14ac:dyDescent="0.2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3:49" x14ac:dyDescent="0.2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3:49" x14ac:dyDescent="0.2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3:49" x14ac:dyDescent="0.2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3:49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Inputs</vt:lpstr>
      <vt:lpstr>Output</vt:lpstr>
      <vt:lpstr>RetNorm_Engine</vt:lpstr>
      <vt:lpstr>RetEarly_Engine</vt:lpstr>
      <vt:lpstr>buffer</vt:lpstr>
      <vt:lpstr>EndAge</vt:lpstr>
      <vt:lpstr>inf</vt:lpstr>
      <vt:lpstr>princ</vt:lpstr>
      <vt:lpstr>RetAge</vt:lpstr>
      <vt:lpstr>rinc</vt:lpstr>
      <vt:lpstr>sincr</vt:lpstr>
      <vt:lpstr>stinc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Bonnici</dc:creator>
  <cp:lastModifiedBy>Kenneth Bonnici</cp:lastModifiedBy>
  <dcterms:created xsi:type="dcterms:W3CDTF">2026-01-26T20:28:02Z</dcterms:created>
  <dcterms:modified xsi:type="dcterms:W3CDTF">2026-02-28T21:25:23Z</dcterms:modified>
</cp:coreProperties>
</file>