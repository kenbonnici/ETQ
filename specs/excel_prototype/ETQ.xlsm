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41b091ba8138230/Desktop/"/>
    </mc:Choice>
  </mc:AlternateContent>
  <xr:revisionPtr revIDLastSave="10459" documentId="8_{187D2304-D3CF-C34F-993E-E849A89B9AD5}" xr6:coauthVersionLast="47" xr6:coauthVersionMax="47" xr10:uidLastSave="{5AE7CE78-081E-D142-8BCC-E0BE58991F9C}"/>
  <bookViews>
    <workbookView xWindow="0" yWindow="600" windowWidth="38400" windowHeight="19740" activeTab="2" xr2:uid="{66CD462A-5593-B541-B64D-6AAD48C341ED}"/>
  </bookViews>
  <sheets>
    <sheet name="Inputs" sheetId="3" r:id="rId1"/>
    <sheet name="RetNorm" sheetId="4" r:id="rId2"/>
    <sheet name="RetEarly" sheetId="8" r:id="rId3"/>
    <sheet name="Charts" sheetId="6" r:id="rId4"/>
  </sheets>
  <definedNames>
    <definedName name="_xleta.IF" hidden="1" xlm="1">#NAME?</definedName>
    <definedName name="_xleta.MAX" hidden="1" xlm="1">#NAME?</definedName>
    <definedName name="_xleta.YEAR" hidden="1" xlm="1">#NAME?</definedName>
    <definedName name="_xlpm.ages" hidden="1" xlm="1">#NAME?</definedName>
    <definedName name="_xlpm.emp" hidden="1" xlm="1">#NAME?</definedName>
    <definedName name="_xlpm.r" hidden="1" xlm="1">#NAME?</definedName>
    <definedName name="_xlpm.rate" hidden="1" xlm="1">#NAME?</definedName>
    <definedName name="_xlpm.retAge" hidden="1" xlm="1">#NAME?</definedName>
    <definedName name="AgeRange" localSheetId="2">RetEarly!$C$3:INDEX(RetEarly!$C$3:$XFD$3, COUNTA(RetEarly!$C$3:$XFD$3))</definedName>
    <definedName name="AgeRange">RetNorm!$C$3:INDEX(RetNorm!$C$3:$XFD$3, COUNTA(RetNorm!$C$3:$XFD$3))</definedName>
    <definedName name="ChartCashLiq" localSheetId="2">RetEarly!$C$193:INDEX(RetEarly!$C$193:$XFD$193, COUNTA(RetEarly!$C$193:$XFD$193))</definedName>
    <definedName name="ChartCashLiq">RetNorm!$C$193:INDEX(RetNorm!$C$193:$XFD$193, COUNTA(RetNorm!$C$193:$XFD$193))</definedName>
    <definedName name="ChartCashNoLiq" localSheetId="2">RetEarly!$C$190:INDEX(RetEarly!$C$190:$XFD$190, COUNTA(RetEarly!$C$190:$XFD$190))</definedName>
    <definedName name="ChartCashNoLiq">RetNorm!$C$190:INDEX(RetNorm!$C$190:$XFD$190, COUNTA(RetNorm!$C$190:$XFD$190))</definedName>
    <definedName name="ChartNWLiq" localSheetId="2">RetEarly!$C$194:INDEX(RetEarly!$C$194:$XFD$194, COUNTA(RetEarly!$C$194:$XFD$194))</definedName>
    <definedName name="ChartNWLiq">RetNorm!$C$194:INDEX(RetNorm!$C$194:$XFD$194, COUNTA(RetNorm!$C$194:$XFD$194))</definedName>
    <definedName name="ChartNWnoLiq" localSheetId="2">RetEarly!$C$191:INDEX(RetEarly!$C$191:$XFD$191, COUNTA(RetEarly!$C$191:$XFD$191))</definedName>
    <definedName name="ChartNWnoLiq">RetNorm!$C$191:INDEX(RetNorm!$C$191:$XFD$191, COUNTA(RetNorm!$C$191:$XFD$191))</definedName>
    <definedName name="EndAge">Inputs!$C$134</definedName>
    <definedName name="inf">Inputs!$C$145</definedName>
    <definedName name="princ">Inputs!$C$147</definedName>
    <definedName name="RetAge">Inputs!$C$19</definedName>
    <definedName name="rinc">Inputs!$C$155</definedName>
    <definedName name="sincr">Inputs!$C$153</definedName>
    <definedName name="stinc">Inputs!$C$151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8" l="1"/>
  <c r="C44" i="8" s="1"/>
  <c r="C2" i="4"/>
  <c r="AM114" i="8"/>
  <c r="AM117" i="8" s="1"/>
  <c r="AM100" i="8"/>
  <c r="AM103" i="8" s="1"/>
  <c r="AM86" i="8"/>
  <c r="AM89" i="8" s="1"/>
  <c r="AM114" i="4"/>
  <c r="AM100" i="4"/>
  <c r="AM86" i="4"/>
  <c r="AM89" i="4" s="1"/>
  <c r="C65" i="8"/>
  <c r="C163" i="8" s="1"/>
  <c r="C65" i="4"/>
  <c r="C64" i="8"/>
  <c r="C64" i="4"/>
  <c r="C63" i="8"/>
  <c r="C63" i="4"/>
  <c r="C62" i="8"/>
  <c r="C62" i="4"/>
  <c r="C60" i="8"/>
  <c r="C158" i="8" s="1"/>
  <c r="C60" i="4"/>
  <c r="C59" i="8"/>
  <c r="D59" i="8" s="1"/>
  <c r="E59" i="8" s="1"/>
  <c r="F59" i="8" s="1"/>
  <c r="G59" i="8" s="1"/>
  <c r="H59" i="8" s="1"/>
  <c r="I59" i="8" s="1"/>
  <c r="J59" i="8" s="1"/>
  <c r="K59" i="8" s="1"/>
  <c r="L59" i="8" s="1"/>
  <c r="M59" i="8" s="1"/>
  <c r="N59" i="8" s="1"/>
  <c r="O59" i="8" s="1"/>
  <c r="P59" i="8" s="1"/>
  <c r="Q59" i="8" s="1"/>
  <c r="R59" i="8" s="1"/>
  <c r="S59" i="8" s="1"/>
  <c r="T59" i="8" s="1"/>
  <c r="U59" i="8" s="1"/>
  <c r="V59" i="8" s="1"/>
  <c r="W59" i="8" s="1"/>
  <c r="X59" i="8" s="1"/>
  <c r="Y59" i="8" s="1"/>
  <c r="Z59" i="8" s="1"/>
  <c r="AA59" i="8" s="1"/>
  <c r="AB59" i="8" s="1"/>
  <c r="AC59" i="8" s="1"/>
  <c r="AD59" i="8" s="1"/>
  <c r="AE59" i="8" s="1"/>
  <c r="AF59" i="8" s="1"/>
  <c r="AG59" i="8" s="1"/>
  <c r="AH59" i="8" s="1"/>
  <c r="AI59" i="8" s="1"/>
  <c r="AJ59" i="8" s="1"/>
  <c r="AK59" i="8" s="1"/>
  <c r="AL59" i="8" s="1"/>
  <c r="AM59" i="8" s="1"/>
  <c r="C59" i="4"/>
  <c r="C58" i="8"/>
  <c r="D58" i="8" s="1"/>
  <c r="E58" i="8" s="1"/>
  <c r="F58" i="8" s="1"/>
  <c r="G58" i="8" s="1"/>
  <c r="H58" i="8" s="1"/>
  <c r="I58" i="8" s="1"/>
  <c r="J58" i="8" s="1"/>
  <c r="K58" i="8" s="1"/>
  <c r="L58" i="8" s="1"/>
  <c r="M58" i="8" s="1"/>
  <c r="N58" i="8" s="1"/>
  <c r="O58" i="8" s="1"/>
  <c r="P58" i="8" s="1"/>
  <c r="Q58" i="8" s="1"/>
  <c r="R58" i="8" s="1"/>
  <c r="S58" i="8" s="1"/>
  <c r="T58" i="8" s="1"/>
  <c r="U58" i="8" s="1"/>
  <c r="V58" i="8" s="1"/>
  <c r="W58" i="8" s="1"/>
  <c r="X58" i="8" s="1"/>
  <c r="Y58" i="8" s="1"/>
  <c r="Z58" i="8" s="1"/>
  <c r="AA58" i="8" s="1"/>
  <c r="AB58" i="8" s="1"/>
  <c r="AC58" i="8" s="1"/>
  <c r="AD58" i="8" s="1"/>
  <c r="AE58" i="8" s="1"/>
  <c r="AF58" i="8" s="1"/>
  <c r="AG58" i="8" s="1"/>
  <c r="AH58" i="8" s="1"/>
  <c r="AI58" i="8" s="1"/>
  <c r="AJ58" i="8" s="1"/>
  <c r="AK58" i="8" s="1"/>
  <c r="AL58" i="8" s="1"/>
  <c r="AM58" i="8" s="1"/>
  <c r="C58" i="4"/>
  <c r="C57" i="8"/>
  <c r="D57" i="8" s="1"/>
  <c r="E57" i="8" s="1"/>
  <c r="F57" i="8" s="1"/>
  <c r="G57" i="8" s="1"/>
  <c r="H57" i="8" s="1"/>
  <c r="I57" i="8" s="1"/>
  <c r="J57" i="8" s="1"/>
  <c r="K57" i="8" s="1"/>
  <c r="L57" i="8" s="1"/>
  <c r="M57" i="8" s="1"/>
  <c r="N57" i="8" s="1"/>
  <c r="O57" i="8" s="1"/>
  <c r="P57" i="8" s="1"/>
  <c r="Q57" i="8" s="1"/>
  <c r="R57" i="8" s="1"/>
  <c r="S57" i="8" s="1"/>
  <c r="T57" i="8" s="1"/>
  <c r="U57" i="8" s="1"/>
  <c r="V57" i="8" s="1"/>
  <c r="W57" i="8" s="1"/>
  <c r="X57" i="8" s="1"/>
  <c r="Y57" i="8" s="1"/>
  <c r="Z57" i="8" s="1"/>
  <c r="AA57" i="8" s="1"/>
  <c r="AB57" i="8" s="1"/>
  <c r="AC57" i="8" s="1"/>
  <c r="AD57" i="8" s="1"/>
  <c r="AE57" i="8" s="1"/>
  <c r="AF57" i="8" s="1"/>
  <c r="AG57" i="8" s="1"/>
  <c r="AH57" i="8" s="1"/>
  <c r="AI57" i="8" s="1"/>
  <c r="AJ57" i="8" s="1"/>
  <c r="AK57" i="8" s="1"/>
  <c r="AL57" i="8" s="1"/>
  <c r="AM57" i="8" s="1"/>
  <c r="C57" i="4"/>
  <c r="C56" i="8"/>
  <c r="D56" i="8" s="1"/>
  <c r="E56" i="8" s="1"/>
  <c r="F56" i="8" s="1"/>
  <c r="G56" i="8" s="1"/>
  <c r="H56" i="8" s="1"/>
  <c r="I56" i="8" s="1"/>
  <c r="J56" i="8" s="1"/>
  <c r="K56" i="8" s="1"/>
  <c r="L56" i="8" s="1"/>
  <c r="M56" i="8" s="1"/>
  <c r="N56" i="8" s="1"/>
  <c r="O56" i="8" s="1"/>
  <c r="P56" i="8" s="1"/>
  <c r="Q56" i="8" s="1"/>
  <c r="R56" i="8" s="1"/>
  <c r="S56" i="8" s="1"/>
  <c r="T56" i="8" s="1"/>
  <c r="U56" i="8" s="1"/>
  <c r="V56" i="8" s="1"/>
  <c r="W56" i="8" s="1"/>
  <c r="X56" i="8" s="1"/>
  <c r="Y56" i="8" s="1"/>
  <c r="Z56" i="8" s="1"/>
  <c r="AA56" i="8" s="1"/>
  <c r="AB56" i="8" s="1"/>
  <c r="AC56" i="8" s="1"/>
  <c r="AD56" i="8" s="1"/>
  <c r="AE56" i="8" s="1"/>
  <c r="AF56" i="8" s="1"/>
  <c r="AG56" i="8" s="1"/>
  <c r="AH56" i="8" s="1"/>
  <c r="AI56" i="8" s="1"/>
  <c r="AJ56" i="8" s="1"/>
  <c r="AK56" i="8" s="1"/>
  <c r="AL56" i="8" s="1"/>
  <c r="AM56" i="8" s="1"/>
  <c r="C56" i="4"/>
  <c r="C54" i="8"/>
  <c r="C54" i="4"/>
  <c r="C3" i="8"/>
  <c r="C3" i="4"/>
  <c r="P168" i="3"/>
  <c r="P167" i="3"/>
  <c r="B87" i="3"/>
  <c r="B82" i="3"/>
  <c r="B77" i="3"/>
  <c r="A163" i="8"/>
  <c r="A159" i="8"/>
  <c r="A158" i="8"/>
  <c r="A157" i="8"/>
  <c r="A153" i="8"/>
  <c r="A152" i="8"/>
  <c r="A151" i="8"/>
  <c r="A64" i="8"/>
  <c r="A162" i="8" s="1"/>
  <c r="A63" i="8"/>
  <c r="A161" i="8" s="1"/>
  <c r="A62" i="8"/>
  <c r="A160" i="8" s="1"/>
  <c r="A58" i="8"/>
  <c r="A148" i="8" s="1"/>
  <c r="A57" i="8"/>
  <c r="A147" i="8" s="1"/>
  <c r="A56" i="8"/>
  <c r="A146" i="8" s="1"/>
  <c r="A45" i="8"/>
  <c r="A44" i="8"/>
  <c r="A43" i="8"/>
  <c r="A41" i="8"/>
  <c r="A40" i="8"/>
  <c r="A39" i="8"/>
  <c r="A36" i="8"/>
  <c r="A35" i="8"/>
  <c r="A34" i="8"/>
  <c r="A31" i="8"/>
  <c r="A30" i="8"/>
  <c r="A29" i="8"/>
  <c r="A26" i="8"/>
  <c r="A25" i="8"/>
  <c r="A24" i="8"/>
  <c r="A17" i="8"/>
  <c r="A16" i="8"/>
  <c r="A15" i="8"/>
  <c r="A10" i="8"/>
  <c r="A9" i="8"/>
  <c r="A8" i="8"/>
  <c r="A64" i="4"/>
  <c r="A63" i="4"/>
  <c r="A62" i="4"/>
  <c r="A58" i="4"/>
  <c r="A57" i="4"/>
  <c r="A56" i="4"/>
  <c r="A45" i="4"/>
  <c r="A44" i="4"/>
  <c r="A43" i="4"/>
  <c r="A36" i="4"/>
  <c r="A35" i="4"/>
  <c r="A34" i="4"/>
  <c r="A26" i="4"/>
  <c r="A25" i="4"/>
  <c r="A24" i="4"/>
  <c r="A10" i="4"/>
  <c r="A9" i="4"/>
  <c r="A8" i="4"/>
  <c r="A17" i="4"/>
  <c r="A16" i="4"/>
  <c r="A15" i="4"/>
  <c r="P166" i="3"/>
  <c r="B168" i="3"/>
  <c r="B167" i="3"/>
  <c r="B166" i="3"/>
  <c r="B68" i="3"/>
  <c r="B67" i="3"/>
  <c r="B66" i="3"/>
  <c r="C10" i="8"/>
  <c r="D10" i="8" s="1"/>
  <c r="E10" i="8" s="1"/>
  <c r="F10" i="8" s="1"/>
  <c r="G10" i="8" s="1"/>
  <c r="H10" i="8" s="1"/>
  <c r="I10" i="8" s="1"/>
  <c r="J10" i="8" s="1"/>
  <c r="K10" i="8" s="1"/>
  <c r="L10" i="8" s="1"/>
  <c r="M10" i="8" s="1"/>
  <c r="N10" i="8" s="1"/>
  <c r="O10" i="8" s="1"/>
  <c r="P10" i="8" s="1"/>
  <c r="Q10" i="8" s="1"/>
  <c r="R10" i="8" s="1"/>
  <c r="S10" i="8" s="1"/>
  <c r="T10" i="8" s="1"/>
  <c r="U10" i="8" s="1"/>
  <c r="V10" i="8" s="1"/>
  <c r="W10" i="8" s="1"/>
  <c r="X10" i="8" s="1"/>
  <c r="Y10" i="8" s="1"/>
  <c r="Z10" i="8" s="1"/>
  <c r="AA10" i="8" s="1"/>
  <c r="AB10" i="8" s="1"/>
  <c r="AC10" i="8" s="1"/>
  <c r="AD10" i="8" s="1"/>
  <c r="AE10" i="8" s="1"/>
  <c r="AF10" i="8" s="1"/>
  <c r="AG10" i="8" s="1"/>
  <c r="AH10" i="8" s="1"/>
  <c r="AI10" i="8" s="1"/>
  <c r="AJ10" i="8" s="1"/>
  <c r="AK10" i="8" s="1"/>
  <c r="AL10" i="8" s="1"/>
  <c r="AM10" i="8" s="1"/>
  <c r="C9" i="8"/>
  <c r="D9" i="8" s="1"/>
  <c r="E9" i="8" s="1"/>
  <c r="F9" i="8" s="1"/>
  <c r="G9" i="8" s="1"/>
  <c r="H9" i="8" s="1"/>
  <c r="I9" i="8" s="1"/>
  <c r="J9" i="8" s="1"/>
  <c r="K9" i="8" s="1"/>
  <c r="L9" i="8" s="1"/>
  <c r="M9" i="8" s="1"/>
  <c r="N9" i="8" s="1"/>
  <c r="O9" i="8" s="1"/>
  <c r="P9" i="8" s="1"/>
  <c r="Q9" i="8" s="1"/>
  <c r="R9" i="8" s="1"/>
  <c r="S9" i="8" s="1"/>
  <c r="T9" i="8" s="1"/>
  <c r="U9" i="8" s="1"/>
  <c r="V9" i="8" s="1"/>
  <c r="W9" i="8" s="1"/>
  <c r="X9" i="8" s="1"/>
  <c r="Y9" i="8" s="1"/>
  <c r="Z9" i="8" s="1"/>
  <c r="AA9" i="8" s="1"/>
  <c r="AB9" i="8" s="1"/>
  <c r="AC9" i="8" s="1"/>
  <c r="AD9" i="8" s="1"/>
  <c r="AE9" i="8" s="1"/>
  <c r="AF9" i="8" s="1"/>
  <c r="AG9" i="8" s="1"/>
  <c r="AH9" i="8" s="1"/>
  <c r="AI9" i="8" s="1"/>
  <c r="AJ9" i="8" s="1"/>
  <c r="AK9" i="8" s="1"/>
  <c r="AL9" i="8" s="1"/>
  <c r="AM9" i="8" s="1"/>
  <c r="C8" i="8"/>
  <c r="D8" i="8" s="1"/>
  <c r="E8" i="8" s="1"/>
  <c r="F8" i="8" s="1"/>
  <c r="G8" i="8" s="1"/>
  <c r="H8" i="8" s="1"/>
  <c r="I8" i="8" s="1"/>
  <c r="J8" i="8" s="1"/>
  <c r="K8" i="8" s="1"/>
  <c r="L8" i="8" s="1"/>
  <c r="M8" i="8" s="1"/>
  <c r="N8" i="8" s="1"/>
  <c r="O8" i="8" s="1"/>
  <c r="P8" i="8" s="1"/>
  <c r="Q8" i="8" s="1"/>
  <c r="R8" i="8" s="1"/>
  <c r="S8" i="8" s="1"/>
  <c r="T8" i="8" s="1"/>
  <c r="U8" i="8" s="1"/>
  <c r="V8" i="8" s="1"/>
  <c r="W8" i="8" s="1"/>
  <c r="X8" i="8" s="1"/>
  <c r="Y8" i="8" s="1"/>
  <c r="Z8" i="8" s="1"/>
  <c r="AA8" i="8" s="1"/>
  <c r="AB8" i="8" s="1"/>
  <c r="AC8" i="8" s="1"/>
  <c r="AD8" i="8" s="1"/>
  <c r="AE8" i="8" s="1"/>
  <c r="AF8" i="8" s="1"/>
  <c r="AG8" i="8" s="1"/>
  <c r="AH8" i="8" s="1"/>
  <c r="AI8" i="8" s="1"/>
  <c r="AJ8" i="8" s="1"/>
  <c r="AK8" i="8" s="1"/>
  <c r="AL8" i="8" s="1"/>
  <c r="AM8" i="8" s="1"/>
  <c r="H83" i="3"/>
  <c r="H84" i="3" s="1"/>
  <c r="H88" i="3"/>
  <c r="H89" i="3" s="1"/>
  <c r="H78" i="3"/>
  <c r="H79" i="3" s="1"/>
  <c r="C31" i="4"/>
  <c r="C30" i="4"/>
  <c r="C29" i="4"/>
  <c r="C31" i="8"/>
  <c r="C30" i="8"/>
  <c r="C29" i="8"/>
  <c r="AA3" i="6"/>
  <c r="AA2" i="6"/>
  <c r="AA1" i="6"/>
  <c r="C49" i="8"/>
  <c r="D36" i="8"/>
  <c r="C36" i="8"/>
  <c r="D35" i="8"/>
  <c r="C35" i="8"/>
  <c r="D34" i="8"/>
  <c r="C34" i="8"/>
  <c r="D32" i="8"/>
  <c r="C32" i="8"/>
  <c r="C21" i="8"/>
  <c r="D1" i="8"/>
  <c r="B3" i="4"/>
  <c r="H15" i="3"/>
  <c r="AM117" i="4" l="1"/>
  <c r="AM103" i="4"/>
  <c r="E36" i="8"/>
  <c r="D65" i="8"/>
  <c r="D163" i="8" s="1"/>
  <c r="D64" i="8"/>
  <c r="D63" i="8"/>
  <c r="D62" i="8"/>
  <c r="D60" i="8"/>
  <c r="D158" i="8" s="1"/>
  <c r="O166" i="3"/>
  <c r="C166" i="3" s="1"/>
  <c r="O168" i="3"/>
  <c r="C168" i="3" s="1"/>
  <c r="O167" i="3"/>
  <c r="C167" i="3" s="1"/>
  <c r="E1" i="8"/>
  <c r="D30" i="8"/>
  <c r="D31" i="8"/>
  <c r="D29" i="8"/>
  <c r="E32" i="8"/>
  <c r="E35" i="8"/>
  <c r="A155" i="8"/>
  <c r="A154" i="8"/>
  <c r="A138" i="8"/>
  <c r="A136" i="8"/>
  <c r="A137" i="8"/>
  <c r="A156" i="8"/>
  <c r="C24" i="4"/>
  <c r="C26" i="4"/>
  <c r="C25" i="4"/>
  <c r="C26" i="8"/>
  <c r="D26" i="8"/>
  <c r="C25" i="8"/>
  <c r="D25" i="8"/>
  <c r="C24" i="8"/>
  <c r="D24" i="8"/>
  <c r="C41" i="8"/>
  <c r="C5" i="8"/>
  <c r="C40" i="8"/>
  <c r="C74" i="8"/>
  <c r="D22" i="8"/>
  <c r="C22" i="8"/>
  <c r="C6" i="8"/>
  <c r="D3" i="8"/>
  <c r="C11" i="8"/>
  <c r="C12" i="8" s="1"/>
  <c r="C13" i="8"/>
  <c r="D2" i="8"/>
  <c r="D44" i="8" s="1"/>
  <c r="C16" i="8"/>
  <c r="A185" i="8"/>
  <c r="C45" i="8"/>
  <c r="C17" i="8"/>
  <c r="C43" i="8"/>
  <c r="A184" i="8"/>
  <c r="C152" i="8"/>
  <c r="D54" i="8"/>
  <c r="C15" i="8"/>
  <c r="E34" i="8"/>
  <c r="C188" i="8"/>
  <c r="A183" i="8"/>
  <c r="E64" i="8" l="1"/>
  <c r="E63" i="8"/>
  <c r="E62" i="8"/>
  <c r="E65" i="8"/>
  <c r="E163" i="8" s="1"/>
  <c r="E22" i="8"/>
  <c r="E60" i="8"/>
  <c r="E158" i="8" s="1"/>
  <c r="C165" i="3"/>
  <c r="F36" i="8"/>
  <c r="F34" i="8"/>
  <c r="E24" i="8"/>
  <c r="F1" i="8"/>
  <c r="E29" i="8"/>
  <c r="E26" i="8"/>
  <c r="F35" i="8"/>
  <c r="E30" i="8"/>
  <c r="E31" i="8"/>
  <c r="F32" i="8"/>
  <c r="E25" i="8"/>
  <c r="D188" i="8"/>
  <c r="D41" i="8"/>
  <c r="D40" i="8"/>
  <c r="D5" i="8"/>
  <c r="D15" i="8"/>
  <c r="D16" i="8"/>
  <c r="D11" i="8"/>
  <c r="D12" i="8" s="1"/>
  <c r="D6" i="8"/>
  <c r="D13" i="8"/>
  <c r="D17" i="8"/>
  <c r="D45" i="8"/>
  <c r="E3" i="8"/>
  <c r="D43" i="8"/>
  <c r="E2" i="8"/>
  <c r="E16" i="8" s="1"/>
  <c r="D152" i="8"/>
  <c r="E54" i="8"/>
  <c r="A162" i="4"/>
  <c r="A161" i="4"/>
  <c r="A160" i="4"/>
  <c r="A138" i="4"/>
  <c r="A137" i="4"/>
  <c r="A136" i="4"/>
  <c r="A31" i="4"/>
  <c r="A30" i="4"/>
  <c r="A29" i="4"/>
  <c r="H93" i="3"/>
  <c r="A163" i="4"/>
  <c r="A159" i="4"/>
  <c r="A158" i="4"/>
  <c r="A157" i="4"/>
  <c r="A153" i="4"/>
  <c r="A152" i="4"/>
  <c r="A151" i="4"/>
  <c r="A41" i="4"/>
  <c r="A40" i="4"/>
  <c r="A39" i="4"/>
  <c r="D36" i="4"/>
  <c r="D35" i="4"/>
  <c r="D34" i="4"/>
  <c r="C35" i="4"/>
  <c r="C36" i="4"/>
  <c r="C34" i="4"/>
  <c r="D32" i="4"/>
  <c r="C32" i="4"/>
  <c r="C163" i="4"/>
  <c r="C10" i="4"/>
  <c r="D10" i="4" s="1"/>
  <c r="E10" i="4" s="1"/>
  <c r="F10" i="4" s="1"/>
  <c r="G10" i="4" s="1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AK10" i="4" s="1"/>
  <c r="AL10" i="4" s="1"/>
  <c r="AM10" i="4" s="1"/>
  <c r="C9" i="4"/>
  <c r="D9" i="4" s="1"/>
  <c r="E9" i="4" s="1"/>
  <c r="F9" i="4" s="1"/>
  <c r="G9" i="4" s="1"/>
  <c r="H9" i="4" s="1"/>
  <c r="I9" i="4" s="1"/>
  <c r="J9" i="4" s="1"/>
  <c r="K9" i="4" s="1"/>
  <c r="L9" i="4" s="1"/>
  <c r="M9" i="4" s="1"/>
  <c r="N9" i="4" s="1"/>
  <c r="O9" i="4" s="1"/>
  <c r="P9" i="4" s="1"/>
  <c r="Q9" i="4" s="1"/>
  <c r="R9" i="4" s="1"/>
  <c r="S9" i="4" s="1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AF9" i="4" s="1"/>
  <c r="AG9" i="4" s="1"/>
  <c r="AH9" i="4" s="1"/>
  <c r="AI9" i="4" s="1"/>
  <c r="AJ9" i="4" s="1"/>
  <c r="AK9" i="4" s="1"/>
  <c r="AL9" i="4" s="1"/>
  <c r="AM9" i="4" s="1"/>
  <c r="D57" i="4"/>
  <c r="E57" i="4" s="1"/>
  <c r="F57" i="4" s="1"/>
  <c r="G57" i="4" s="1"/>
  <c r="H57" i="4" s="1"/>
  <c r="I57" i="4" s="1"/>
  <c r="J57" i="4" s="1"/>
  <c r="K57" i="4" s="1"/>
  <c r="L57" i="4" s="1"/>
  <c r="M57" i="4" s="1"/>
  <c r="N57" i="4" s="1"/>
  <c r="O57" i="4" s="1"/>
  <c r="P57" i="4" s="1"/>
  <c r="Q57" i="4" s="1"/>
  <c r="R57" i="4" s="1"/>
  <c r="S57" i="4" s="1"/>
  <c r="T57" i="4" s="1"/>
  <c r="U57" i="4" s="1"/>
  <c r="V57" i="4" s="1"/>
  <c r="W57" i="4" s="1"/>
  <c r="X57" i="4" s="1"/>
  <c r="Y57" i="4" s="1"/>
  <c r="Z57" i="4" s="1"/>
  <c r="AA57" i="4" s="1"/>
  <c r="AB57" i="4" s="1"/>
  <c r="AC57" i="4" s="1"/>
  <c r="AD57" i="4" s="1"/>
  <c r="AE57" i="4" s="1"/>
  <c r="AF57" i="4" s="1"/>
  <c r="AG57" i="4" s="1"/>
  <c r="AH57" i="4" s="1"/>
  <c r="AI57" i="4" s="1"/>
  <c r="AJ57" i="4" s="1"/>
  <c r="AK57" i="4" s="1"/>
  <c r="AL57" i="4" s="1"/>
  <c r="AM57" i="4" s="1"/>
  <c r="D1" i="4"/>
  <c r="C8" i="4"/>
  <c r="D8" i="4" s="1"/>
  <c r="E8" i="4" s="1"/>
  <c r="F8" i="4" s="1"/>
  <c r="G8" i="4" s="1"/>
  <c r="H8" i="4" s="1"/>
  <c r="I8" i="4" s="1"/>
  <c r="J8" i="4" s="1"/>
  <c r="K8" i="4" s="1"/>
  <c r="L8" i="4" s="1"/>
  <c r="M8" i="4" s="1"/>
  <c r="N8" i="4" s="1"/>
  <c r="O8" i="4" s="1"/>
  <c r="P8" i="4" s="1"/>
  <c r="Q8" i="4" s="1"/>
  <c r="R8" i="4" s="1"/>
  <c r="S8" i="4" s="1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AF8" i="4" s="1"/>
  <c r="AG8" i="4" s="1"/>
  <c r="AH8" i="4" s="1"/>
  <c r="AI8" i="4" s="1"/>
  <c r="AJ8" i="4" s="1"/>
  <c r="AK8" i="4" s="1"/>
  <c r="AL8" i="4" s="1"/>
  <c r="AM8" i="4" s="1"/>
  <c r="C21" i="4"/>
  <c r="C74" i="4"/>
  <c r="C49" i="4"/>
  <c r="D56" i="4"/>
  <c r="E56" i="4" s="1"/>
  <c r="F56" i="4" s="1"/>
  <c r="G56" i="4" s="1"/>
  <c r="H56" i="4" s="1"/>
  <c r="I56" i="4" s="1"/>
  <c r="J56" i="4" s="1"/>
  <c r="K56" i="4" s="1"/>
  <c r="L56" i="4" s="1"/>
  <c r="M56" i="4" s="1"/>
  <c r="N56" i="4" s="1"/>
  <c r="O56" i="4" s="1"/>
  <c r="P56" i="4" s="1"/>
  <c r="Q56" i="4" s="1"/>
  <c r="R56" i="4" s="1"/>
  <c r="S56" i="4" s="1"/>
  <c r="T56" i="4" s="1"/>
  <c r="U56" i="4" s="1"/>
  <c r="V56" i="4" s="1"/>
  <c r="W56" i="4" s="1"/>
  <c r="X56" i="4" s="1"/>
  <c r="Y56" i="4" s="1"/>
  <c r="Z56" i="4" s="1"/>
  <c r="AA56" i="4" s="1"/>
  <c r="AB56" i="4" s="1"/>
  <c r="AC56" i="4" s="1"/>
  <c r="AD56" i="4" s="1"/>
  <c r="AE56" i="4" s="1"/>
  <c r="AF56" i="4" s="1"/>
  <c r="AG56" i="4" s="1"/>
  <c r="AH56" i="4" s="1"/>
  <c r="AI56" i="4" s="1"/>
  <c r="AJ56" i="4" s="1"/>
  <c r="AK56" i="4" s="1"/>
  <c r="AL56" i="4" s="1"/>
  <c r="AM56" i="4" s="1"/>
  <c r="F63" i="8" l="1"/>
  <c r="F62" i="8"/>
  <c r="F65" i="8"/>
  <c r="F163" i="8" s="1"/>
  <c r="F64" i="8"/>
  <c r="D60" i="4"/>
  <c r="D158" i="4" s="1"/>
  <c r="D65" i="4"/>
  <c r="D163" i="4" s="1"/>
  <c r="D62" i="4"/>
  <c r="D63" i="4"/>
  <c r="D64" i="4"/>
  <c r="F26" i="8"/>
  <c r="F60" i="8"/>
  <c r="F158" i="8" s="1"/>
  <c r="A84" i="8"/>
  <c r="A98" i="8"/>
  <c r="A84" i="4"/>
  <c r="B92" i="4" s="1"/>
  <c r="A131" i="4" s="1"/>
  <c r="A112" i="8"/>
  <c r="A112" i="4"/>
  <c r="A98" i="4"/>
  <c r="B106" i="4" s="1"/>
  <c r="A132" i="4" s="1"/>
  <c r="F30" i="8"/>
  <c r="F29" i="8"/>
  <c r="G32" i="8"/>
  <c r="G1" i="8"/>
  <c r="G35" i="8"/>
  <c r="G34" i="8"/>
  <c r="F24" i="8"/>
  <c r="F25" i="8"/>
  <c r="G36" i="8"/>
  <c r="F22" i="8"/>
  <c r="F31" i="8"/>
  <c r="D31" i="4"/>
  <c r="D30" i="4"/>
  <c r="D29" i="4"/>
  <c r="D24" i="4"/>
  <c r="D26" i="4"/>
  <c r="D25" i="4"/>
  <c r="E41" i="8"/>
  <c r="E40" i="8"/>
  <c r="E5" i="8"/>
  <c r="C40" i="4"/>
  <c r="C41" i="4"/>
  <c r="C5" i="4"/>
  <c r="F27" i="8"/>
  <c r="C27" i="8"/>
  <c r="D27" i="8"/>
  <c r="E27" i="8"/>
  <c r="E45" i="8"/>
  <c r="C188" i="4"/>
  <c r="E44" i="8"/>
  <c r="E43" i="8"/>
  <c r="F3" i="8"/>
  <c r="E6" i="8"/>
  <c r="E13" i="8"/>
  <c r="E11" i="8"/>
  <c r="E12" i="8" s="1"/>
  <c r="E188" i="8"/>
  <c r="E17" i="8"/>
  <c r="E15" i="8"/>
  <c r="F2" i="8"/>
  <c r="F43" i="8" s="1"/>
  <c r="F54" i="8"/>
  <c r="E152" i="8"/>
  <c r="H94" i="3"/>
  <c r="H16" i="3"/>
  <c r="E36" i="4"/>
  <c r="D54" i="4"/>
  <c r="D152" i="4" s="1"/>
  <c r="D58" i="4"/>
  <c r="C158" i="4"/>
  <c r="C45" i="4"/>
  <c r="C44" i="4"/>
  <c r="C15" i="4"/>
  <c r="C43" i="4"/>
  <c r="C17" i="4"/>
  <c r="C16" i="4"/>
  <c r="D2" i="4"/>
  <c r="A183" i="4"/>
  <c r="A184" i="4"/>
  <c r="A185" i="4"/>
  <c r="A146" i="4"/>
  <c r="A148" i="4"/>
  <c r="A147" i="4"/>
  <c r="A154" i="4"/>
  <c r="A155" i="4"/>
  <c r="A156" i="4"/>
  <c r="C152" i="4"/>
  <c r="E34" i="4"/>
  <c r="E35" i="4"/>
  <c r="E32" i="4"/>
  <c r="E1" i="4"/>
  <c r="D3" i="4"/>
  <c r="C13" i="4"/>
  <c r="C27" i="4"/>
  <c r="D27" i="4"/>
  <c r="D59" i="4"/>
  <c r="E59" i="4" s="1"/>
  <c r="F59" i="4" s="1"/>
  <c r="G59" i="4" s="1"/>
  <c r="H59" i="4" s="1"/>
  <c r="I59" i="4" s="1"/>
  <c r="J59" i="4" s="1"/>
  <c r="K59" i="4" s="1"/>
  <c r="L59" i="4" s="1"/>
  <c r="M59" i="4" s="1"/>
  <c r="N59" i="4" s="1"/>
  <c r="O59" i="4" s="1"/>
  <c r="P59" i="4" s="1"/>
  <c r="Q59" i="4" s="1"/>
  <c r="R59" i="4" s="1"/>
  <c r="S59" i="4" s="1"/>
  <c r="T59" i="4" s="1"/>
  <c r="U59" i="4" s="1"/>
  <c r="V59" i="4" s="1"/>
  <c r="W59" i="4" s="1"/>
  <c r="X59" i="4" s="1"/>
  <c r="Y59" i="4" s="1"/>
  <c r="Z59" i="4" s="1"/>
  <c r="AA59" i="4" s="1"/>
  <c r="AB59" i="4" s="1"/>
  <c r="AC59" i="4" s="1"/>
  <c r="AD59" i="4" s="1"/>
  <c r="AE59" i="4" s="1"/>
  <c r="AF59" i="4" s="1"/>
  <c r="AG59" i="4" s="1"/>
  <c r="AH59" i="4" s="1"/>
  <c r="AI59" i="4" s="1"/>
  <c r="AJ59" i="4" s="1"/>
  <c r="AK59" i="4" s="1"/>
  <c r="AL59" i="4" s="1"/>
  <c r="AM59" i="4" s="1"/>
  <c r="C22" i="4"/>
  <c r="D22" i="4"/>
  <c r="C6" i="4"/>
  <c r="C11" i="4"/>
  <c r="H38" i="8" l="1"/>
  <c r="H32" i="8"/>
  <c r="H36" i="8"/>
  <c r="H35" i="8"/>
  <c r="H34" i="8"/>
  <c r="H1" i="8"/>
  <c r="G60" i="8"/>
  <c r="G158" i="8" s="1"/>
  <c r="G62" i="8"/>
  <c r="G65" i="8"/>
  <c r="G163" i="8" s="1"/>
  <c r="G64" i="8"/>
  <c r="G63" i="8"/>
  <c r="E60" i="4"/>
  <c r="E158" i="4" s="1"/>
  <c r="E65" i="4"/>
  <c r="E163" i="4" s="1"/>
  <c r="E64" i="4"/>
  <c r="E63" i="4"/>
  <c r="E62" i="4"/>
  <c r="C12" i="4"/>
  <c r="G30" i="8"/>
  <c r="G22" i="8"/>
  <c r="G25" i="8"/>
  <c r="G27" i="8"/>
  <c r="G31" i="8"/>
  <c r="G24" i="8"/>
  <c r="G26" i="8"/>
  <c r="G29" i="8"/>
  <c r="E31" i="4"/>
  <c r="E30" i="4"/>
  <c r="E29" i="4"/>
  <c r="E24" i="4"/>
  <c r="E26" i="4"/>
  <c r="E25" i="4"/>
  <c r="D40" i="4"/>
  <c r="D41" i="4"/>
  <c r="D5" i="4"/>
  <c r="F41" i="8"/>
  <c r="F40" i="8"/>
  <c r="F5" i="8"/>
  <c r="C99" i="4"/>
  <c r="C104" i="4" s="1"/>
  <c r="A141" i="4"/>
  <c r="C85" i="4"/>
  <c r="C91" i="4" s="1"/>
  <c r="D38" i="8"/>
  <c r="D39" i="8" s="1"/>
  <c r="C38" i="8"/>
  <c r="C39" i="8" s="1"/>
  <c r="F38" i="8"/>
  <c r="F39" i="8" s="1"/>
  <c r="E38" i="8"/>
  <c r="G38" i="8"/>
  <c r="B106" i="8"/>
  <c r="C99" i="8"/>
  <c r="C113" i="8"/>
  <c r="B120" i="8"/>
  <c r="B92" i="8"/>
  <c r="C85" i="8"/>
  <c r="F15" i="8"/>
  <c r="G2" i="8"/>
  <c r="H2" i="8" s="1"/>
  <c r="I2" i="8" s="1"/>
  <c r="J2" i="8" s="1"/>
  <c r="K2" i="8" s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F17" i="8"/>
  <c r="G3" i="8"/>
  <c r="H3" i="8" s="1"/>
  <c r="I3" i="8" s="1"/>
  <c r="J3" i="8" s="1"/>
  <c r="K3" i="8" s="1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F13" i="8"/>
  <c r="F6" i="8"/>
  <c r="F11" i="8"/>
  <c r="F12" i="8" s="1"/>
  <c r="F188" i="8"/>
  <c r="F45" i="8"/>
  <c r="F16" i="8"/>
  <c r="F44" i="8"/>
  <c r="D6" i="4"/>
  <c r="G54" i="8"/>
  <c r="H54" i="8" s="1"/>
  <c r="F152" i="8"/>
  <c r="B120" i="4"/>
  <c r="A143" i="4" s="1"/>
  <c r="C113" i="4"/>
  <c r="E54" i="4"/>
  <c r="E58" i="4"/>
  <c r="D44" i="4"/>
  <c r="D43" i="4"/>
  <c r="D45" i="4"/>
  <c r="A142" i="4"/>
  <c r="D13" i="4"/>
  <c r="D188" i="4"/>
  <c r="E2" i="4"/>
  <c r="D17" i="4"/>
  <c r="D15" i="4"/>
  <c r="D16" i="4"/>
  <c r="E22" i="4"/>
  <c r="E27" i="4"/>
  <c r="F35" i="4"/>
  <c r="F34" i="4"/>
  <c r="F32" i="4"/>
  <c r="F36" i="4"/>
  <c r="D11" i="4"/>
  <c r="D12" i="4" s="1"/>
  <c r="E3" i="4"/>
  <c r="F1" i="4"/>
  <c r="F38" i="4"/>
  <c r="C38" i="4"/>
  <c r="C39" i="4" s="1"/>
  <c r="E38" i="4"/>
  <c r="D38" i="4"/>
  <c r="D39" i="4" s="1"/>
  <c r="AM40" i="8" l="1"/>
  <c r="AM39" i="8"/>
  <c r="AM5" i="8"/>
  <c r="AM188" i="8"/>
  <c r="AM13" i="8"/>
  <c r="AL40" i="8"/>
  <c r="AL39" i="8"/>
  <c r="AL188" i="8"/>
  <c r="AL5" i="8"/>
  <c r="AL13" i="8"/>
  <c r="AK40" i="8"/>
  <c r="AK39" i="8"/>
  <c r="AK188" i="8"/>
  <c r="AK5" i="8"/>
  <c r="AK13" i="8"/>
  <c r="AJ40" i="8"/>
  <c r="AJ39" i="8"/>
  <c r="AJ5" i="8"/>
  <c r="AJ188" i="8"/>
  <c r="AJ13" i="8"/>
  <c r="AI40" i="8"/>
  <c r="AI39" i="8"/>
  <c r="AI13" i="8"/>
  <c r="AI188" i="8"/>
  <c r="AI5" i="8"/>
  <c r="AH40" i="8"/>
  <c r="AH39" i="8"/>
  <c r="AH188" i="8"/>
  <c r="AH5" i="8"/>
  <c r="AH13" i="8"/>
  <c r="AG40" i="8"/>
  <c r="AG39" i="8"/>
  <c r="AG188" i="8"/>
  <c r="AG5" i="8"/>
  <c r="AG13" i="8"/>
  <c r="AF39" i="8"/>
  <c r="AF40" i="8"/>
  <c r="AF5" i="8"/>
  <c r="AF188" i="8"/>
  <c r="AF13" i="8"/>
  <c r="AE40" i="8"/>
  <c r="AE39" i="8"/>
  <c r="AE188" i="8"/>
  <c r="AE5" i="8"/>
  <c r="AE13" i="8"/>
  <c r="AD40" i="8"/>
  <c r="AD39" i="8"/>
  <c r="AD188" i="8"/>
  <c r="AD5" i="8"/>
  <c r="AD13" i="8"/>
  <c r="AC41" i="8"/>
  <c r="AC39" i="8"/>
  <c r="AC188" i="8"/>
  <c r="AC5" i="8"/>
  <c r="AC13" i="8"/>
  <c r="AB41" i="8"/>
  <c r="AB188" i="8"/>
  <c r="AB5" i="8"/>
  <c r="AB13" i="8"/>
  <c r="AB39" i="8"/>
  <c r="AA41" i="8"/>
  <c r="AA39" i="8"/>
  <c r="AA188" i="8"/>
  <c r="AA5" i="8"/>
  <c r="AA13" i="8"/>
  <c r="Z41" i="8"/>
  <c r="Z39" i="8"/>
  <c r="Z188" i="8"/>
  <c r="Z5" i="8"/>
  <c r="Z13" i="8"/>
  <c r="Y41" i="8"/>
  <c r="Y39" i="8"/>
  <c r="Y188" i="8"/>
  <c r="Y5" i="8"/>
  <c r="Y13" i="8"/>
  <c r="X41" i="8"/>
  <c r="X39" i="8"/>
  <c r="X188" i="8"/>
  <c r="X5" i="8"/>
  <c r="X13" i="8"/>
  <c r="W41" i="8"/>
  <c r="W39" i="8"/>
  <c r="W188" i="8"/>
  <c r="W5" i="8"/>
  <c r="W13" i="8"/>
  <c r="V41" i="8"/>
  <c r="V13" i="8"/>
  <c r="V39" i="8"/>
  <c r="V188" i="8"/>
  <c r="V5" i="8"/>
  <c r="U41" i="8"/>
  <c r="U39" i="8"/>
  <c r="U188" i="8"/>
  <c r="U5" i="8"/>
  <c r="U13" i="8"/>
  <c r="T41" i="8"/>
  <c r="T39" i="8"/>
  <c r="T13" i="8"/>
  <c r="T188" i="8"/>
  <c r="T5" i="8"/>
  <c r="S41" i="8"/>
  <c r="S40" i="8"/>
  <c r="S188" i="8"/>
  <c r="S5" i="8"/>
  <c r="S13" i="8"/>
  <c r="R41" i="8"/>
  <c r="R40" i="8"/>
  <c r="R188" i="8"/>
  <c r="R5" i="8"/>
  <c r="R13" i="8"/>
  <c r="Q41" i="8"/>
  <c r="Q40" i="8"/>
  <c r="Q5" i="8"/>
  <c r="Q188" i="8"/>
  <c r="Q13" i="8"/>
  <c r="P41" i="8"/>
  <c r="P40" i="8"/>
  <c r="P188" i="8"/>
  <c r="P5" i="8"/>
  <c r="P13" i="8"/>
  <c r="O41" i="8"/>
  <c r="O40" i="8"/>
  <c r="O188" i="8"/>
  <c r="O5" i="8"/>
  <c r="O13" i="8"/>
  <c r="N41" i="8"/>
  <c r="N40" i="8"/>
  <c r="N188" i="8"/>
  <c r="N5" i="8"/>
  <c r="M41" i="8"/>
  <c r="M40" i="8"/>
  <c r="M188" i="8"/>
  <c r="M5" i="8"/>
  <c r="L41" i="8"/>
  <c r="L40" i="8"/>
  <c r="L188" i="8"/>
  <c r="L5" i="8"/>
  <c r="K41" i="8"/>
  <c r="K40" i="8"/>
  <c r="K188" i="8"/>
  <c r="K5" i="8"/>
  <c r="J41" i="8"/>
  <c r="J40" i="8"/>
  <c r="J188" i="8"/>
  <c r="J5" i="8"/>
  <c r="I38" i="8"/>
  <c r="I39" i="8" s="1"/>
  <c r="I32" i="8"/>
  <c r="I1" i="8"/>
  <c r="J16" i="8" s="1"/>
  <c r="I36" i="8"/>
  <c r="I35" i="8"/>
  <c r="I34" i="8"/>
  <c r="H152" i="8"/>
  <c r="I54" i="8"/>
  <c r="I11" i="8"/>
  <c r="I12" i="8" s="1"/>
  <c r="I41" i="8"/>
  <c r="I40" i="8"/>
  <c r="I6" i="8"/>
  <c r="I188" i="8"/>
  <c r="I5" i="8"/>
  <c r="I13" i="8"/>
  <c r="I43" i="8"/>
  <c r="I16" i="8"/>
  <c r="I17" i="8"/>
  <c r="I15" i="8"/>
  <c r="I45" i="8"/>
  <c r="I44" i="8"/>
  <c r="H27" i="8"/>
  <c r="H24" i="8"/>
  <c r="H26" i="8"/>
  <c r="H25" i="8"/>
  <c r="H22" i="8"/>
  <c r="H64" i="8"/>
  <c r="H65" i="8"/>
  <c r="H163" i="8" s="1"/>
  <c r="H63" i="8"/>
  <c r="H31" i="8"/>
  <c r="H62" i="8"/>
  <c r="H30" i="8"/>
  <c r="H60" i="8"/>
  <c r="H158" i="8" s="1"/>
  <c r="H29" i="8"/>
  <c r="H11" i="8"/>
  <c r="H12" i="8" s="1"/>
  <c r="H6" i="8"/>
  <c r="H41" i="8"/>
  <c r="H39" i="8"/>
  <c r="H40" i="8"/>
  <c r="H188" i="8"/>
  <c r="H5" i="8"/>
  <c r="H13" i="8"/>
  <c r="H43" i="8"/>
  <c r="H17" i="8"/>
  <c r="H16" i="8"/>
  <c r="H15" i="8"/>
  <c r="H45" i="8"/>
  <c r="H44" i="8"/>
  <c r="F60" i="4"/>
  <c r="F158" i="4" s="1"/>
  <c r="F65" i="4"/>
  <c r="F163" i="4" s="1"/>
  <c r="F64" i="4"/>
  <c r="F63" i="4"/>
  <c r="F62" i="4"/>
  <c r="F29" i="4"/>
  <c r="F31" i="4"/>
  <c r="F30" i="4"/>
  <c r="F25" i="4"/>
  <c r="F24" i="4"/>
  <c r="F26" i="4"/>
  <c r="A131" i="8"/>
  <c r="A141" i="8"/>
  <c r="A132" i="8"/>
  <c r="A142" i="8"/>
  <c r="A133" i="8"/>
  <c r="A143" i="8"/>
  <c r="E39" i="8"/>
  <c r="E46" i="8" s="1"/>
  <c r="E39" i="4"/>
  <c r="E40" i="4"/>
  <c r="E41" i="4"/>
  <c r="E5" i="4"/>
  <c r="G39" i="8"/>
  <c r="G40" i="8"/>
  <c r="G41" i="8"/>
  <c r="G5" i="8"/>
  <c r="C105" i="4"/>
  <c r="C90" i="4"/>
  <c r="C46" i="8"/>
  <c r="D46" i="8"/>
  <c r="C118" i="8"/>
  <c r="C119" i="8"/>
  <c r="C105" i="8"/>
  <c r="C104" i="8"/>
  <c r="C90" i="8"/>
  <c r="C91" i="8"/>
  <c r="G16" i="8"/>
  <c r="G44" i="8"/>
  <c r="G17" i="8"/>
  <c r="G15" i="8"/>
  <c r="G45" i="8"/>
  <c r="G43" i="8"/>
  <c r="F46" i="8"/>
  <c r="G6" i="8"/>
  <c r="G188" i="8"/>
  <c r="G13" i="8"/>
  <c r="G11" i="8"/>
  <c r="G12" i="8" s="1"/>
  <c r="E188" i="4"/>
  <c r="E6" i="4"/>
  <c r="A133" i="4"/>
  <c r="G152" i="8"/>
  <c r="C119" i="4"/>
  <c r="C118" i="4"/>
  <c r="F54" i="4"/>
  <c r="E152" i="4"/>
  <c r="F58" i="4"/>
  <c r="E43" i="4"/>
  <c r="E44" i="4"/>
  <c r="E45" i="4"/>
  <c r="F2" i="4"/>
  <c r="E17" i="4"/>
  <c r="E15" i="4"/>
  <c r="E16" i="4"/>
  <c r="G38" i="4"/>
  <c r="G35" i="4"/>
  <c r="G32" i="4"/>
  <c r="G36" i="4"/>
  <c r="G34" i="4"/>
  <c r="G1" i="4"/>
  <c r="F22" i="4"/>
  <c r="F27" i="4"/>
  <c r="F3" i="4"/>
  <c r="E11" i="4"/>
  <c r="E12" i="4" s="1"/>
  <c r="E13" i="4"/>
  <c r="J45" i="8" l="1"/>
  <c r="J15" i="8"/>
  <c r="I152" i="8"/>
  <c r="J54" i="8"/>
  <c r="J6" i="8"/>
  <c r="J11" i="8"/>
  <c r="J12" i="8" s="1"/>
  <c r="J44" i="8"/>
  <c r="J17" i="8"/>
  <c r="J13" i="8"/>
  <c r="J38" i="8"/>
  <c r="J39" i="8" s="1"/>
  <c r="J36" i="8"/>
  <c r="J32" i="8"/>
  <c r="J1" i="8"/>
  <c r="J35" i="8"/>
  <c r="J34" i="8"/>
  <c r="J43" i="8"/>
  <c r="I27" i="8"/>
  <c r="I26" i="8"/>
  <c r="I25" i="8"/>
  <c r="I22" i="8"/>
  <c r="I24" i="8"/>
  <c r="I64" i="8"/>
  <c r="I65" i="8"/>
  <c r="I163" i="8" s="1"/>
  <c r="I63" i="8"/>
  <c r="I31" i="8"/>
  <c r="I62" i="8"/>
  <c r="I30" i="8"/>
  <c r="I60" i="8"/>
  <c r="I158" i="8" s="1"/>
  <c r="I29" i="8"/>
  <c r="H46" i="8"/>
  <c r="H34" i="4"/>
  <c r="H38" i="4"/>
  <c r="H36" i="4"/>
  <c r="H35" i="4"/>
  <c r="H32" i="4"/>
  <c r="H1" i="4"/>
  <c r="G60" i="4"/>
  <c r="G158" i="4" s="1"/>
  <c r="G65" i="4"/>
  <c r="G163" i="4" s="1"/>
  <c r="G64" i="4"/>
  <c r="G63" i="4"/>
  <c r="G62" i="4"/>
  <c r="G30" i="4"/>
  <c r="G29" i="4"/>
  <c r="G31" i="4"/>
  <c r="G24" i="4"/>
  <c r="G26" i="4"/>
  <c r="G25" i="4"/>
  <c r="C18" i="8"/>
  <c r="C19" i="8" s="1"/>
  <c r="C48" i="8" s="1"/>
  <c r="C50" i="8" s="1"/>
  <c r="D49" i="8" s="1"/>
  <c r="F39" i="4"/>
  <c r="F41" i="4"/>
  <c r="F40" i="4"/>
  <c r="F5" i="4"/>
  <c r="G46" i="8"/>
  <c r="F188" i="4"/>
  <c r="G54" i="4"/>
  <c r="H54" i="4" s="1"/>
  <c r="F152" i="4"/>
  <c r="G58" i="4"/>
  <c r="H58" i="4" s="1"/>
  <c r="I58" i="4" s="1"/>
  <c r="J58" i="4" s="1"/>
  <c r="K58" i="4" s="1"/>
  <c r="L58" i="4" s="1"/>
  <c r="M58" i="4" s="1"/>
  <c r="N58" i="4" s="1"/>
  <c r="O58" i="4" s="1"/>
  <c r="P58" i="4" s="1"/>
  <c r="Q58" i="4" s="1"/>
  <c r="R58" i="4" s="1"/>
  <c r="S58" i="4" s="1"/>
  <c r="T58" i="4" s="1"/>
  <c r="U58" i="4" s="1"/>
  <c r="V58" i="4" s="1"/>
  <c r="W58" i="4" s="1"/>
  <c r="X58" i="4" s="1"/>
  <c r="Y58" i="4" s="1"/>
  <c r="Z58" i="4" s="1"/>
  <c r="AA58" i="4" s="1"/>
  <c r="AB58" i="4" s="1"/>
  <c r="AC58" i="4" s="1"/>
  <c r="AD58" i="4" s="1"/>
  <c r="AE58" i="4" s="1"/>
  <c r="AF58" i="4" s="1"/>
  <c r="AG58" i="4" s="1"/>
  <c r="AH58" i="4" s="1"/>
  <c r="AI58" i="4" s="1"/>
  <c r="AJ58" i="4" s="1"/>
  <c r="AK58" i="4" s="1"/>
  <c r="AL58" i="4" s="1"/>
  <c r="AM58" i="4" s="1"/>
  <c r="F43" i="4"/>
  <c r="F44" i="4"/>
  <c r="F45" i="4"/>
  <c r="G2" i="4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AF2" i="4" s="1"/>
  <c r="AG2" i="4" s="1"/>
  <c r="AH2" i="4" s="1"/>
  <c r="AI2" i="4" s="1"/>
  <c r="AJ2" i="4" s="1"/>
  <c r="AK2" i="4" s="1"/>
  <c r="AL2" i="4" s="1"/>
  <c r="AM2" i="4" s="1"/>
  <c r="F16" i="4"/>
  <c r="F15" i="4"/>
  <c r="F17" i="4"/>
  <c r="G3" i="4"/>
  <c r="H3" i="4" s="1"/>
  <c r="I3" i="4" s="1"/>
  <c r="J3" i="4" s="1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X3" i="4" s="1"/>
  <c r="Y3" i="4" s="1"/>
  <c r="Z3" i="4" s="1"/>
  <c r="AA3" i="4" s="1"/>
  <c r="AB3" i="4" s="1"/>
  <c r="AC3" i="4" s="1"/>
  <c r="AD3" i="4" s="1"/>
  <c r="AE3" i="4" s="1"/>
  <c r="AF3" i="4" s="1"/>
  <c r="AG3" i="4" s="1"/>
  <c r="AH3" i="4" s="1"/>
  <c r="AI3" i="4" s="1"/>
  <c r="AJ3" i="4" s="1"/>
  <c r="AK3" i="4" s="1"/>
  <c r="AL3" i="4" s="1"/>
  <c r="AM3" i="4" s="1"/>
  <c r="F13" i="4"/>
  <c r="F6" i="4"/>
  <c r="F11" i="4"/>
  <c r="F12" i="4" s="1"/>
  <c r="G27" i="4"/>
  <c r="G22" i="4"/>
  <c r="D46" i="4"/>
  <c r="C46" i="4"/>
  <c r="C18" i="4" s="1"/>
  <c r="E46" i="4"/>
  <c r="J152" i="8" l="1"/>
  <c r="K54" i="8"/>
  <c r="K38" i="8"/>
  <c r="K39" i="8" s="1"/>
  <c r="K36" i="8"/>
  <c r="K35" i="8"/>
  <c r="K34" i="8"/>
  <c r="K32" i="8"/>
  <c r="K1" i="8"/>
  <c r="K11" i="8"/>
  <c r="K12" i="8" s="1"/>
  <c r="K45" i="8"/>
  <c r="K44" i="8"/>
  <c r="K17" i="8"/>
  <c r="K13" i="8"/>
  <c r="K6" i="8"/>
  <c r="K43" i="8"/>
  <c r="K16" i="8"/>
  <c r="K15" i="8"/>
  <c r="J27" i="8"/>
  <c r="J26" i="8"/>
  <c r="J25" i="8"/>
  <c r="J24" i="8"/>
  <c r="J64" i="8"/>
  <c r="J65" i="8"/>
  <c r="J163" i="8" s="1"/>
  <c r="J63" i="8"/>
  <c r="J31" i="8"/>
  <c r="J22" i="8"/>
  <c r="J62" i="8"/>
  <c r="J30" i="8"/>
  <c r="J60" i="8"/>
  <c r="J158" i="8" s="1"/>
  <c r="J29" i="8"/>
  <c r="I46" i="8"/>
  <c r="AM40" i="4"/>
  <c r="AM39" i="4"/>
  <c r="AM188" i="4"/>
  <c r="AM5" i="4"/>
  <c r="AM13" i="4"/>
  <c r="AL39" i="4"/>
  <c r="AL40" i="4"/>
  <c r="AL188" i="4"/>
  <c r="AL5" i="4"/>
  <c r="AL13" i="4"/>
  <c r="AK39" i="4"/>
  <c r="AK40" i="4"/>
  <c r="AK5" i="4"/>
  <c r="AK188" i="4"/>
  <c r="AK13" i="4"/>
  <c r="AJ40" i="4"/>
  <c r="AJ39" i="4"/>
  <c r="AJ188" i="4"/>
  <c r="AJ5" i="4"/>
  <c r="AJ13" i="4"/>
  <c r="AI5" i="4"/>
  <c r="AI40" i="4"/>
  <c r="AI39" i="4"/>
  <c r="AI188" i="4"/>
  <c r="AI13" i="4"/>
  <c r="AH40" i="4"/>
  <c r="AH39" i="4"/>
  <c r="AH188" i="4"/>
  <c r="AH5" i="4"/>
  <c r="AH13" i="4"/>
  <c r="AG40" i="4"/>
  <c r="AG39" i="4"/>
  <c r="AG188" i="4"/>
  <c r="AG5" i="4"/>
  <c r="AG13" i="4"/>
  <c r="AF39" i="4"/>
  <c r="AF40" i="4"/>
  <c r="AF188" i="4"/>
  <c r="AF5" i="4"/>
  <c r="AF13" i="4"/>
  <c r="AE5" i="4"/>
  <c r="AE39" i="4"/>
  <c r="AE40" i="4"/>
  <c r="AE188" i="4"/>
  <c r="AE13" i="4"/>
  <c r="AD40" i="4"/>
  <c r="AD39" i="4"/>
  <c r="AD188" i="4"/>
  <c r="AD5" i="4"/>
  <c r="AD13" i="4"/>
  <c r="AC39" i="4"/>
  <c r="AC41" i="4"/>
  <c r="AC188" i="4"/>
  <c r="AC13" i="4"/>
  <c r="AC5" i="4"/>
  <c r="AB41" i="4"/>
  <c r="AB39" i="4"/>
  <c r="AB188" i="4"/>
  <c r="AB5" i="4"/>
  <c r="AB13" i="4"/>
  <c r="AA41" i="4"/>
  <c r="AA39" i="4"/>
  <c r="AA188" i="4"/>
  <c r="AA5" i="4"/>
  <c r="AA13" i="4"/>
  <c r="Z41" i="4"/>
  <c r="Z39" i="4"/>
  <c r="Z188" i="4"/>
  <c r="Z5" i="4"/>
  <c r="Z13" i="4"/>
  <c r="Y41" i="4"/>
  <c r="Y39" i="4"/>
  <c r="Y188" i="4"/>
  <c r="Y5" i="4"/>
  <c r="Y13" i="4"/>
  <c r="X41" i="4"/>
  <c r="X39" i="4"/>
  <c r="X188" i="4"/>
  <c r="X5" i="4"/>
  <c r="X13" i="4"/>
  <c r="W5" i="4"/>
  <c r="W41" i="4"/>
  <c r="W39" i="4"/>
  <c r="W188" i="4"/>
  <c r="W13" i="4"/>
  <c r="V41" i="4"/>
  <c r="V39" i="4"/>
  <c r="V188" i="4"/>
  <c r="V5" i="4"/>
  <c r="V13" i="4"/>
  <c r="U41" i="4"/>
  <c r="U39" i="4"/>
  <c r="U188" i="4"/>
  <c r="U5" i="4"/>
  <c r="U13" i="4"/>
  <c r="T41" i="4"/>
  <c r="T39" i="4"/>
  <c r="T188" i="4"/>
  <c r="T5" i="4"/>
  <c r="T13" i="4"/>
  <c r="S41" i="4"/>
  <c r="S40" i="4"/>
  <c r="S188" i="4"/>
  <c r="S5" i="4"/>
  <c r="S13" i="4"/>
  <c r="R41" i="4"/>
  <c r="R40" i="4"/>
  <c r="R188" i="4"/>
  <c r="R13" i="4"/>
  <c r="Q41" i="4"/>
  <c r="Q40" i="4"/>
  <c r="Q188" i="4"/>
  <c r="Q13" i="4"/>
  <c r="P41" i="4"/>
  <c r="P40" i="4"/>
  <c r="P188" i="4"/>
  <c r="P13" i="4"/>
  <c r="O41" i="4"/>
  <c r="O40" i="4"/>
  <c r="O188" i="4"/>
  <c r="O13" i="4"/>
  <c r="N41" i="4"/>
  <c r="N40" i="4"/>
  <c r="N188" i="4"/>
  <c r="M41" i="4"/>
  <c r="M40" i="4"/>
  <c r="M188" i="4"/>
  <c r="L41" i="4"/>
  <c r="L40" i="4"/>
  <c r="L188" i="4"/>
  <c r="K41" i="4"/>
  <c r="K40" i="4"/>
  <c r="K188" i="4"/>
  <c r="J41" i="4"/>
  <c r="J40" i="4"/>
  <c r="J188" i="4"/>
  <c r="I34" i="4"/>
  <c r="I38" i="4"/>
  <c r="I39" i="4" s="1"/>
  <c r="I35" i="4"/>
  <c r="I32" i="4"/>
  <c r="I1" i="4"/>
  <c r="J45" i="4" s="1"/>
  <c r="I36" i="4"/>
  <c r="H152" i="4"/>
  <c r="I54" i="4"/>
  <c r="I43" i="4"/>
  <c r="I17" i="4"/>
  <c r="I16" i="4"/>
  <c r="I15" i="4"/>
  <c r="I44" i="4"/>
  <c r="I45" i="4"/>
  <c r="I11" i="4"/>
  <c r="I12" i="4" s="1"/>
  <c r="I41" i="4"/>
  <c r="I40" i="4"/>
  <c r="I188" i="4"/>
  <c r="I6" i="4"/>
  <c r="I5" i="4"/>
  <c r="I13" i="4"/>
  <c r="H11" i="4"/>
  <c r="H12" i="4" s="1"/>
  <c r="H41" i="4"/>
  <c r="H40" i="4"/>
  <c r="H39" i="4"/>
  <c r="H188" i="4"/>
  <c r="H6" i="4"/>
  <c r="H5" i="4"/>
  <c r="H13" i="4"/>
  <c r="H27" i="4"/>
  <c r="H26" i="4"/>
  <c r="H25" i="4"/>
  <c r="H24" i="4"/>
  <c r="H65" i="4"/>
  <c r="H163" i="4" s="1"/>
  <c r="H22" i="4"/>
  <c r="H64" i="4"/>
  <c r="H63" i="4"/>
  <c r="H31" i="4"/>
  <c r="H62" i="4"/>
  <c r="H30" i="4"/>
  <c r="H60" i="4"/>
  <c r="H158" i="4" s="1"/>
  <c r="H29" i="4"/>
  <c r="H43" i="4"/>
  <c r="H17" i="4"/>
  <c r="H16" i="4"/>
  <c r="H15" i="4"/>
  <c r="H45" i="4"/>
  <c r="H44" i="4"/>
  <c r="D18" i="8"/>
  <c r="D19" i="8" s="1"/>
  <c r="D48" i="8" s="1"/>
  <c r="D50" i="8" s="1"/>
  <c r="D53" i="8" s="1"/>
  <c r="D68" i="8" s="1"/>
  <c r="C53" i="8"/>
  <c r="C68" i="8" s="1"/>
  <c r="G40" i="4"/>
  <c r="G41" i="4"/>
  <c r="G39" i="4"/>
  <c r="G5" i="4"/>
  <c r="G152" i="4"/>
  <c r="G45" i="4"/>
  <c r="G44" i="4"/>
  <c r="G43" i="4"/>
  <c r="G188" i="4"/>
  <c r="G16" i="4"/>
  <c r="G17" i="4"/>
  <c r="G15" i="4"/>
  <c r="G13" i="4"/>
  <c r="G6" i="4"/>
  <c r="G11" i="4"/>
  <c r="G12" i="4" s="1"/>
  <c r="F46" i="4"/>
  <c r="L38" i="8" l="1"/>
  <c r="L39" i="8" s="1"/>
  <c r="L36" i="8"/>
  <c r="L35" i="8"/>
  <c r="L34" i="8"/>
  <c r="L32" i="8"/>
  <c r="L1" i="8"/>
  <c r="L11" i="8"/>
  <c r="L12" i="8" s="1"/>
  <c r="L45" i="8"/>
  <c r="L13" i="8"/>
  <c r="L44" i="8"/>
  <c r="L6" i="8"/>
  <c r="L43" i="8"/>
  <c r="L17" i="8"/>
  <c r="L16" i="8"/>
  <c r="L15" i="8"/>
  <c r="K152" i="8"/>
  <c r="L54" i="8"/>
  <c r="K27" i="8"/>
  <c r="K26" i="8"/>
  <c r="K25" i="8"/>
  <c r="K24" i="8"/>
  <c r="K22" i="8"/>
  <c r="K65" i="8"/>
  <c r="K163" i="8" s="1"/>
  <c r="K64" i="8"/>
  <c r="K63" i="8"/>
  <c r="K31" i="8"/>
  <c r="K62" i="8"/>
  <c r="K30" i="8"/>
  <c r="K60" i="8"/>
  <c r="K158" i="8" s="1"/>
  <c r="K29" i="8"/>
  <c r="J46" i="8"/>
  <c r="J13" i="4"/>
  <c r="J16" i="4"/>
  <c r="J17" i="4"/>
  <c r="J43" i="4"/>
  <c r="I152" i="4"/>
  <c r="J54" i="4"/>
  <c r="J34" i="4"/>
  <c r="J38" i="4"/>
  <c r="J39" i="4" s="1"/>
  <c r="J36" i="4"/>
  <c r="J35" i="4"/>
  <c r="J32" i="4"/>
  <c r="J1" i="4"/>
  <c r="J5" i="4"/>
  <c r="J6" i="4"/>
  <c r="J44" i="4"/>
  <c r="J15" i="4"/>
  <c r="J11" i="4"/>
  <c r="J12" i="4" s="1"/>
  <c r="I27" i="4"/>
  <c r="I24" i="4"/>
  <c r="I26" i="4"/>
  <c r="I25" i="4"/>
  <c r="I65" i="4"/>
  <c r="I163" i="4" s="1"/>
  <c r="I22" i="4"/>
  <c r="I64" i="4"/>
  <c r="I60" i="4"/>
  <c r="I158" i="4" s="1"/>
  <c r="I63" i="4"/>
  <c r="I31" i="4"/>
  <c r="I62" i="4"/>
  <c r="I30" i="4"/>
  <c r="I29" i="4"/>
  <c r="H46" i="4"/>
  <c r="D169" i="8"/>
  <c r="D190" i="8" s="1"/>
  <c r="D66" i="8"/>
  <c r="D170" i="8" s="1"/>
  <c r="D191" i="8" s="1"/>
  <c r="E49" i="8"/>
  <c r="E18" i="8" s="1"/>
  <c r="E19" i="8" s="1"/>
  <c r="E48" i="8" s="1"/>
  <c r="E50" i="8" s="1"/>
  <c r="F49" i="8" s="1"/>
  <c r="F18" i="8" s="1"/>
  <c r="F19" i="8" s="1"/>
  <c r="F48" i="8" s="1"/>
  <c r="F50" i="8" s="1"/>
  <c r="F53" i="8" s="1"/>
  <c r="F66" i="8" s="1"/>
  <c r="F170" i="8" s="1"/>
  <c r="F191" i="8" s="1"/>
  <c r="C66" i="8"/>
  <c r="C170" i="8" s="1"/>
  <c r="C191" i="8" s="1"/>
  <c r="C169" i="8"/>
  <c r="C190" i="8" s="1"/>
  <c r="C69" i="8"/>
  <c r="C75" i="8" s="1"/>
  <c r="G46" i="4"/>
  <c r="M38" i="8" l="1"/>
  <c r="M39" i="8" s="1"/>
  <c r="M36" i="8"/>
  <c r="M35" i="8"/>
  <c r="M34" i="8"/>
  <c r="M32" i="8"/>
  <c r="M1" i="8"/>
  <c r="M11" i="8"/>
  <c r="M12" i="8" s="1"/>
  <c r="M45" i="8"/>
  <c r="M44" i="8"/>
  <c r="M43" i="8"/>
  <c r="M6" i="8"/>
  <c r="M13" i="8"/>
  <c r="M17" i="8"/>
  <c r="M15" i="8"/>
  <c r="M16" i="8"/>
  <c r="L152" i="8"/>
  <c r="M54" i="8"/>
  <c r="L27" i="8"/>
  <c r="L26" i="8"/>
  <c r="L25" i="8"/>
  <c r="L24" i="8"/>
  <c r="L22" i="8"/>
  <c r="L65" i="8"/>
  <c r="L163" i="8" s="1"/>
  <c r="L64" i="8"/>
  <c r="L63" i="8"/>
  <c r="L31" i="8"/>
  <c r="L62" i="8"/>
  <c r="L30" i="8"/>
  <c r="L60" i="8"/>
  <c r="L158" i="8" s="1"/>
  <c r="L29" i="8"/>
  <c r="K46" i="8"/>
  <c r="K38" i="4"/>
  <c r="K39" i="4" s="1"/>
  <c r="K36" i="4"/>
  <c r="K35" i="4"/>
  <c r="K34" i="4"/>
  <c r="K32" i="4"/>
  <c r="K1" i="4"/>
  <c r="K11" i="4"/>
  <c r="K12" i="4" s="1"/>
  <c r="K15" i="4"/>
  <c r="K45" i="4"/>
  <c r="K6" i="4"/>
  <c r="K5" i="4"/>
  <c r="K13" i="4"/>
  <c r="K43" i="4"/>
  <c r="K44" i="4"/>
  <c r="K17" i="4"/>
  <c r="K16" i="4"/>
  <c r="J152" i="4"/>
  <c r="K54" i="4"/>
  <c r="J27" i="4"/>
  <c r="J24" i="4"/>
  <c r="J26" i="4"/>
  <c r="J25" i="4"/>
  <c r="J65" i="4"/>
  <c r="J163" i="4" s="1"/>
  <c r="J22" i="4"/>
  <c r="J64" i="4"/>
  <c r="J62" i="4"/>
  <c r="J30" i="4"/>
  <c r="J63" i="4"/>
  <c r="J31" i="4"/>
  <c r="J60" i="4"/>
  <c r="J158" i="4" s="1"/>
  <c r="J29" i="4"/>
  <c r="I46" i="4"/>
  <c r="E53" i="8"/>
  <c r="E68" i="8" s="1"/>
  <c r="G49" i="8"/>
  <c r="G18" i="8" s="1"/>
  <c r="G19" i="8" s="1"/>
  <c r="G48" i="8" s="1"/>
  <c r="G50" i="8" s="1"/>
  <c r="H49" i="8" s="1"/>
  <c r="H18" i="8" s="1"/>
  <c r="H19" i="8" s="1"/>
  <c r="H48" i="8" s="1"/>
  <c r="H50" i="8" s="1"/>
  <c r="F68" i="8"/>
  <c r="F169" i="8"/>
  <c r="F190" i="8" s="1"/>
  <c r="D69" i="8"/>
  <c r="C77" i="8"/>
  <c r="C78" i="8"/>
  <c r="C79" i="8" s="1"/>
  <c r="C81" i="8" s="1"/>
  <c r="C82" i="8" s="1"/>
  <c r="N38" i="8" l="1"/>
  <c r="N39" i="8" s="1"/>
  <c r="N36" i="8"/>
  <c r="N35" i="8"/>
  <c r="N34" i="8"/>
  <c r="N32" i="8"/>
  <c r="N1" i="8"/>
  <c r="N11" i="8"/>
  <c r="N12" i="8" s="1"/>
  <c r="N45" i="8"/>
  <c r="N13" i="8"/>
  <c r="N44" i="8"/>
  <c r="N6" i="8"/>
  <c r="N43" i="8"/>
  <c r="N17" i="8"/>
  <c r="N16" i="8"/>
  <c r="N15" i="8"/>
  <c r="M152" i="8"/>
  <c r="N54" i="8"/>
  <c r="M27" i="8"/>
  <c r="M26" i="8"/>
  <c r="M25" i="8"/>
  <c r="M24" i="8"/>
  <c r="M22" i="8"/>
  <c r="M65" i="8"/>
  <c r="M163" i="8" s="1"/>
  <c r="M63" i="8"/>
  <c r="M31" i="8"/>
  <c r="M64" i="8"/>
  <c r="M62" i="8"/>
  <c r="M30" i="8"/>
  <c r="M60" i="8"/>
  <c r="M158" i="8" s="1"/>
  <c r="M29" i="8"/>
  <c r="L46" i="8"/>
  <c r="H53" i="8"/>
  <c r="H66" i="8" s="1"/>
  <c r="H170" i="8" s="1"/>
  <c r="H191" i="8" s="1"/>
  <c r="I49" i="8"/>
  <c r="I18" i="8" s="1"/>
  <c r="I19" i="8" s="1"/>
  <c r="I48" i="8" s="1"/>
  <c r="I50" i="8" s="1"/>
  <c r="K152" i="4"/>
  <c r="L54" i="4"/>
  <c r="L38" i="4"/>
  <c r="L39" i="4" s="1"/>
  <c r="L36" i="4"/>
  <c r="L35" i="4"/>
  <c r="L34" i="4"/>
  <c r="L32" i="4"/>
  <c r="L1" i="4"/>
  <c r="L11" i="4"/>
  <c r="L12" i="4" s="1"/>
  <c r="L45" i="4"/>
  <c r="L44" i="4"/>
  <c r="L16" i="4"/>
  <c r="L6" i="4"/>
  <c r="L5" i="4"/>
  <c r="L13" i="4"/>
  <c r="L43" i="4"/>
  <c r="L17" i="4"/>
  <c r="L15" i="4"/>
  <c r="K27" i="4"/>
  <c r="K26" i="4"/>
  <c r="K25" i="4"/>
  <c r="K24" i="4"/>
  <c r="K22" i="4"/>
  <c r="K60" i="4"/>
  <c r="K158" i="4" s="1"/>
  <c r="K65" i="4"/>
  <c r="K163" i="4" s="1"/>
  <c r="K64" i="4"/>
  <c r="K29" i="4"/>
  <c r="K63" i="4"/>
  <c r="K31" i="4"/>
  <c r="K62" i="4"/>
  <c r="K30" i="4"/>
  <c r="J46" i="4"/>
  <c r="E169" i="8"/>
  <c r="E190" i="8" s="1"/>
  <c r="E66" i="8"/>
  <c r="E170" i="8" s="1"/>
  <c r="E191" i="8" s="1"/>
  <c r="G53" i="8"/>
  <c r="G66" i="8" s="1"/>
  <c r="G170" i="8" s="1"/>
  <c r="G191" i="8" s="1"/>
  <c r="E69" i="8"/>
  <c r="F69" i="8" s="1"/>
  <c r="D74" i="8"/>
  <c r="D75" i="8" s="1"/>
  <c r="C157" i="8"/>
  <c r="H68" i="8" l="1"/>
  <c r="O38" i="8"/>
  <c r="O39" i="8" s="1"/>
  <c r="O36" i="8"/>
  <c r="O35" i="8"/>
  <c r="O34" i="8"/>
  <c r="O32" i="8"/>
  <c r="O1" i="8"/>
  <c r="O11" i="8"/>
  <c r="O12" i="8" s="1"/>
  <c r="O45" i="8"/>
  <c r="O6" i="8"/>
  <c r="O44" i="8"/>
  <c r="O15" i="8"/>
  <c r="O43" i="8"/>
  <c r="O17" i="8"/>
  <c r="O16" i="8"/>
  <c r="N152" i="8"/>
  <c r="O54" i="8"/>
  <c r="N27" i="8"/>
  <c r="N62" i="8"/>
  <c r="N26" i="8"/>
  <c r="N25" i="8"/>
  <c r="N24" i="8"/>
  <c r="N30" i="8"/>
  <c r="N22" i="8"/>
  <c r="N63" i="8"/>
  <c r="N31" i="8"/>
  <c r="N65" i="8"/>
  <c r="N163" i="8" s="1"/>
  <c r="N64" i="8"/>
  <c r="N60" i="8"/>
  <c r="N158" i="8" s="1"/>
  <c r="N29" i="8"/>
  <c r="M46" i="8"/>
  <c r="H169" i="8"/>
  <c r="H190" i="8" s="1"/>
  <c r="I53" i="8"/>
  <c r="I169" i="8" s="1"/>
  <c r="I190" i="8" s="1"/>
  <c r="J49" i="8"/>
  <c r="J18" i="8" s="1"/>
  <c r="J19" i="8" s="1"/>
  <c r="J48" i="8" s="1"/>
  <c r="J50" i="8" s="1"/>
  <c r="K46" i="4"/>
  <c r="M38" i="4"/>
  <c r="M39" i="4" s="1"/>
  <c r="M36" i="4"/>
  <c r="M35" i="4"/>
  <c r="M34" i="4"/>
  <c r="M32" i="4"/>
  <c r="M1" i="4"/>
  <c r="M11" i="4"/>
  <c r="M12" i="4" s="1"/>
  <c r="M45" i="4"/>
  <c r="M15" i="4"/>
  <c r="M44" i="4"/>
  <c r="M43" i="4"/>
  <c r="M17" i="4"/>
  <c r="M6" i="4"/>
  <c r="M13" i="4"/>
  <c r="M5" i="4"/>
  <c r="M16" i="4"/>
  <c r="L152" i="4"/>
  <c r="M54" i="4"/>
  <c r="L27" i="4"/>
  <c r="L26" i="4"/>
  <c r="L25" i="4"/>
  <c r="L24" i="4"/>
  <c r="L22" i="4"/>
  <c r="L65" i="4"/>
  <c r="L163" i="4" s="1"/>
  <c r="L64" i="4"/>
  <c r="L63" i="4"/>
  <c r="L31" i="4"/>
  <c r="L62" i="4"/>
  <c r="L30" i="4"/>
  <c r="L60" i="4"/>
  <c r="L158" i="4" s="1"/>
  <c r="L29" i="4"/>
  <c r="G68" i="8"/>
  <c r="G69" i="8" s="1"/>
  <c r="G169" i="8"/>
  <c r="G190" i="8" s="1"/>
  <c r="D78" i="8"/>
  <c r="D79" i="8" s="1"/>
  <c r="H69" i="8" l="1"/>
  <c r="P38" i="8"/>
  <c r="P39" i="8" s="1"/>
  <c r="P34" i="8"/>
  <c r="P32" i="8"/>
  <c r="P1" i="8"/>
  <c r="P36" i="8"/>
  <c r="P35" i="8"/>
  <c r="P11" i="8"/>
  <c r="P12" i="8" s="1"/>
  <c r="P45" i="8"/>
  <c r="P6" i="8"/>
  <c r="P44" i="8"/>
  <c r="P43" i="8"/>
  <c r="P17" i="8"/>
  <c r="P15" i="8"/>
  <c r="P16" i="8"/>
  <c r="O152" i="8"/>
  <c r="P54" i="8"/>
  <c r="O27" i="8"/>
  <c r="O22" i="8"/>
  <c r="O26" i="8"/>
  <c r="O25" i="8"/>
  <c r="O24" i="8"/>
  <c r="O65" i="8"/>
  <c r="O163" i="8" s="1"/>
  <c r="O64" i="8"/>
  <c r="O63" i="8"/>
  <c r="O31" i="8"/>
  <c r="O62" i="8"/>
  <c r="O30" i="8"/>
  <c r="O60" i="8"/>
  <c r="O158" i="8" s="1"/>
  <c r="O29" i="8"/>
  <c r="N46" i="8"/>
  <c r="I66" i="8"/>
  <c r="I170" i="8" s="1"/>
  <c r="I191" i="8" s="1"/>
  <c r="I68" i="8"/>
  <c r="I69" i="8" s="1"/>
  <c r="J53" i="8"/>
  <c r="J68" i="8" s="1"/>
  <c r="K49" i="8"/>
  <c r="K18" i="8" s="1"/>
  <c r="K19" i="8" s="1"/>
  <c r="K48" i="8" s="1"/>
  <c r="K50" i="8" s="1"/>
  <c r="M152" i="4"/>
  <c r="N54" i="4"/>
  <c r="N38" i="4"/>
  <c r="N39" i="4" s="1"/>
  <c r="N36" i="4"/>
  <c r="N35" i="4"/>
  <c r="N34" i="4"/>
  <c r="N32" i="4"/>
  <c r="N1" i="4"/>
  <c r="N11" i="4"/>
  <c r="N12" i="4" s="1"/>
  <c r="N45" i="4"/>
  <c r="N44" i="4"/>
  <c r="N6" i="4"/>
  <c r="N5" i="4"/>
  <c r="N13" i="4"/>
  <c r="N43" i="4"/>
  <c r="N17" i="4"/>
  <c r="N16" i="4"/>
  <c r="N15" i="4"/>
  <c r="M27" i="4"/>
  <c r="M26" i="4"/>
  <c r="M24" i="4"/>
  <c r="M25" i="4"/>
  <c r="M22" i="4"/>
  <c r="M65" i="4"/>
  <c r="M163" i="4" s="1"/>
  <c r="M64" i="4"/>
  <c r="M63" i="4"/>
  <c r="M31" i="4"/>
  <c r="M62" i="4"/>
  <c r="M30" i="4"/>
  <c r="M60" i="4"/>
  <c r="M158" i="4" s="1"/>
  <c r="M29" i="4"/>
  <c r="L46" i="4"/>
  <c r="D81" i="8"/>
  <c r="D82" i="8" s="1"/>
  <c r="C86" i="8" s="1"/>
  <c r="D76" i="8"/>
  <c r="D77" i="8" s="1"/>
  <c r="P152" i="8" l="1"/>
  <c r="Q54" i="8"/>
  <c r="Q38" i="8"/>
  <c r="Q39" i="8" s="1"/>
  <c r="Q36" i="8"/>
  <c r="Q1" i="8"/>
  <c r="Q35" i="8"/>
  <c r="Q34" i="8"/>
  <c r="Q32" i="8"/>
  <c r="Q11" i="8"/>
  <c r="Q12" i="8" s="1"/>
  <c r="Q45" i="8"/>
  <c r="Q44" i="8"/>
  <c r="Q6" i="8"/>
  <c r="Q43" i="8"/>
  <c r="Q15" i="8"/>
  <c r="Q16" i="8"/>
  <c r="Q17" i="8"/>
  <c r="P27" i="8"/>
  <c r="P22" i="8"/>
  <c r="P65" i="8"/>
  <c r="P163" i="8" s="1"/>
  <c r="P26" i="8"/>
  <c r="P25" i="8"/>
  <c r="P24" i="8"/>
  <c r="P64" i="8"/>
  <c r="P63" i="8"/>
  <c r="P31" i="8"/>
  <c r="P62" i="8"/>
  <c r="P30" i="8"/>
  <c r="P60" i="8"/>
  <c r="P158" i="8" s="1"/>
  <c r="P29" i="8"/>
  <c r="O46" i="8"/>
  <c r="J66" i="8"/>
  <c r="J170" i="8" s="1"/>
  <c r="J191" i="8" s="1"/>
  <c r="J169" i="8"/>
  <c r="J190" i="8" s="1"/>
  <c r="K53" i="8"/>
  <c r="K66" i="8" s="1"/>
  <c r="K170" i="8" s="1"/>
  <c r="K191" i="8" s="1"/>
  <c r="L49" i="8"/>
  <c r="L18" i="8" s="1"/>
  <c r="L19" i="8" s="1"/>
  <c r="L48" i="8" s="1"/>
  <c r="L50" i="8" s="1"/>
  <c r="J69" i="8"/>
  <c r="O38" i="4"/>
  <c r="O39" i="4" s="1"/>
  <c r="O36" i="4"/>
  <c r="O35" i="4"/>
  <c r="O34" i="4"/>
  <c r="O32" i="4"/>
  <c r="O1" i="4"/>
  <c r="O11" i="4"/>
  <c r="O12" i="4" s="1"/>
  <c r="O45" i="4"/>
  <c r="O44" i="4"/>
  <c r="O15" i="4"/>
  <c r="O43" i="4"/>
  <c r="O6" i="4"/>
  <c r="O16" i="4"/>
  <c r="O5" i="4"/>
  <c r="O17" i="4"/>
  <c r="N152" i="4"/>
  <c r="O54" i="4"/>
  <c r="N27" i="4"/>
  <c r="N26" i="4"/>
  <c r="N25" i="4"/>
  <c r="N24" i="4"/>
  <c r="N22" i="4"/>
  <c r="N65" i="4"/>
  <c r="N163" i="4" s="1"/>
  <c r="N64" i="4"/>
  <c r="N63" i="4"/>
  <c r="N31" i="4"/>
  <c r="N62" i="4"/>
  <c r="N30" i="4"/>
  <c r="N60" i="4"/>
  <c r="N158" i="4" s="1"/>
  <c r="N29" i="4"/>
  <c r="M46" i="4"/>
  <c r="C88" i="8"/>
  <c r="C131" i="8"/>
  <c r="C89" i="8"/>
  <c r="E74" i="8"/>
  <c r="E75" i="8" s="1"/>
  <c r="D157" i="8"/>
  <c r="R35" i="8" l="1"/>
  <c r="R38" i="8"/>
  <c r="R39" i="8" s="1"/>
  <c r="R36" i="8"/>
  <c r="R34" i="8"/>
  <c r="R32" i="8"/>
  <c r="R1" i="8"/>
  <c r="R11" i="8"/>
  <c r="R12" i="8" s="1"/>
  <c r="R45" i="8"/>
  <c r="R44" i="8"/>
  <c r="R6" i="8"/>
  <c r="R43" i="8"/>
  <c r="R17" i="8"/>
  <c r="R16" i="8"/>
  <c r="R15" i="8"/>
  <c r="Q152" i="8"/>
  <c r="R54" i="8"/>
  <c r="Q27" i="8"/>
  <c r="Q24" i="8"/>
  <c r="Q63" i="8"/>
  <c r="Q31" i="8"/>
  <c r="Q26" i="8"/>
  <c r="Q25" i="8"/>
  <c r="Q64" i="8"/>
  <c r="Q22" i="8"/>
  <c r="Q65" i="8"/>
  <c r="Q163" i="8" s="1"/>
  <c r="Q62" i="8"/>
  <c r="Q30" i="8"/>
  <c r="Q60" i="8"/>
  <c r="Q158" i="8" s="1"/>
  <c r="Q29" i="8"/>
  <c r="K68" i="8"/>
  <c r="K69" i="8" s="1"/>
  <c r="K169" i="8"/>
  <c r="K190" i="8" s="1"/>
  <c r="P46" i="8"/>
  <c r="L53" i="8"/>
  <c r="L68" i="8" s="1"/>
  <c r="M49" i="8"/>
  <c r="M18" i="8" s="1"/>
  <c r="M19" i="8" s="1"/>
  <c r="M48" i="8" s="1"/>
  <c r="M50" i="8" s="1"/>
  <c r="P34" i="4"/>
  <c r="P38" i="4"/>
  <c r="P39" i="4" s="1"/>
  <c r="P36" i="4"/>
  <c r="P35" i="4"/>
  <c r="P32" i="4"/>
  <c r="P1" i="4"/>
  <c r="P43" i="4"/>
  <c r="P5" i="4"/>
  <c r="P17" i="4"/>
  <c r="P16" i="4"/>
  <c r="P15" i="4"/>
  <c r="P45" i="4"/>
  <c r="P44" i="4"/>
  <c r="P11" i="4"/>
  <c r="P12" i="4" s="1"/>
  <c r="P6" i="4"/>
  <c r="O152" i="4"/>
  <c r="P54" i="4"/>
  <c r="O27" i="4"/>
  <c r="O26" i="4"/>
  <c r="O25" i="4"/>
  <c r="O24" i="4"/>
  <c r="O22" i="4"/>
  <c r="O65" i="4"/>
  <c r="O163" i="4" s="1"/>
  <c r="O64" i="4"/>
  <c r="O63" i="4"/>
  <c r="O31" i="4"/>
  <c r="O62" i="4"/>
  <c r="O30" i="4"/>
  <c r="O60" i="4"/>
  <c r="O158" i="4" s="1"/>
  <c r="O29" i="4"/>
  <c r="N46" i="4"/>
  <c r="C92" i="8"/>
  <c r="D85" i="8"/>
  <c r="S34" i="8" l="1"/>
  <c r="S38" i="8"/>
  <c r="S39" i="8" s="1"/>
  <c r="S36" i="8"/>
  <c r="S35" i="8"/>
  <c r="S32" i="8"/>
  <c r="S1" i="8"/>
  <c r="S11" i="8"/>
  <c r="S12" i="8" s="1"/>
  <c r="S16" i="8"/>
  <c r="S44" i="8"/>
  <c r="S17" i="8"/>
  <c r="S6" i="8"/>
  <c r="S43" i="8"/>
  <c r="S15" i="8"/>
  <c r="S45" i="8"/>
  <c r="R152" i="8"/>
  <c r="S54" i="8"/>
  <c r="R27" i="8"/>
  <c r="R26" i="8"/>
  <c r="R25" i="8"/>
  <c r="R24" i="8"/>
  <c r="R22" i="8"/>
  <c r="R65" i="8"/>
  <c r="R163" i="8" s="1"/>
  <c r="R64" i="8"/>
  <c r="R63" i="8"/>
  <c r="R31" i="8"/>
  <c r="R62" i="8"/>
  <c r="R30" i="8"/>
  <c r="R60" i="8"/>
  <c r="R158" i="8" s="1"/>
  <c r="R29" i="8"/>
  <c r="Q46" i="8"/>
  <c r="L169" i="8"/>
  <c r="L190" i="8" s="1"/>
  <c r="L66" i="8"/>
  <c r="L170" i="8" s="1"/>
  <c r="L191" i="8" s="1"/>
  <c r="M53" i="8"/>
  <c r="M66" i="8" s="1"/>
  <c r="M170" i="8" s="1"/>
  <c r="M191" i="8" s="1"/>
  <c r="N49" i="8"/>
  <c r="N18" i="8" s="1"/>
  <c r="N19" i="8" s="1"/>
  <c r="N48" i="8" s="1"/>
  <c r="N50" i="8" s="1"/>
  <c r="L69" i="8"/>
  <c r="P152" i="4"/>
  <c r="Q54" i="4"/>
  <c r="Q38" i="4"/>
  <c r="Q39" i="4" s="1"/>
  <c r="Q36" i="4"/>
  <c r="Q35" i="4"/>
  <c r="Q32" i="4"/>
  <c r="Q1" i="4"/>
  <c r="Q34" i="4"/>
  <c r="Q11" i="4"/>
  <c r="Q12" i="4" s="1"/>
  <c r="Q45" i="4"/>
  <c r="Q16" i="4"/>
  <c r="Q44" i="4"/>
  <c r="Q6" i="4"/>
  <c r="Q5" i="4"/>
  <c r="Q43" i="4"/>
  <c r="Q15" i="4"/>
  <c r="Q17" i="4"/>
  <c r="P27" i="4"/>
  <c r="P26" i="4"/>
  <c r="P25" i="4"/>
  <c r="P24" i="4"/>
  <c r="P65" i="4"/>
  <c r="P163" i="4" s="1"/>
  <c r="P22" i="4"/>
  <c r="P64" i="4"/>
  <c r="P63" i="4"/>
  <c r="P31" i="4"/>
  <c r="P62" i="4"/>
  <c r="P30" i="4"/>
  <c r="P60" i="4"/>
  <c r="P158" i="4" s="1"/>
  <c r="P29" i="4"/>
  <c r="O46" i="4"/>
  <c r="D90" i="8"/>
  <c r="D91" i="8"/>
  <c r="C93" i="8"/>
  <c r="C95" i="8" s="1"/>
  <c r="C96" i="8" s="1"/>
  <c r="C141" i="8"/>
  <c r="E76" i="8"/>
  <c r="E77" i="8" s="1"/>
  <c r="E78" i="8"/>
  <c r="E79" i="8" s="1"/>
  <c r="M68" i="8" l="1"/>
  <c r="T38" i="8"/>
  <c r="T40" i="8" s="1"/>
  <c r="T36" i="8"/>
  <c r="T35" i="8"/>
  <c r="T34" i="8"/>
  <c r="T32" i="8"/>
  <c r="T1" i="8"/>
  <c r="T11" i="8"/>
  <c r="T12" i="8" s="1"/>
  <c r="T15" i="8"/>
  <c r="T44" i="8"/>
  <c r="T6" i="8"/>
  <c r="T43" i="8"/>
  <c r="T45" i="8"/>
  <c r="T17" i="8"/>
  <c r="T16" i="8"/>
  <c r="S152" i="8"/>
  <c r="T54" i="8"/>
  <c r="S27" i="8"/>
  <c r="S26" i="8"/>
  <c r="S25" i="8"/>
  <c r="S65" i="8"/>
  <c r="S163" i="8" s="1"/>
  <c r="S24" i="8"/>
  <c r="S22" i="8"/>
  <c r="S63" i="8"/>
  <c r="S64" i="8"/>
  <c r="S60" i="8"/>
  <c r="S158" i="8" s="1"/>
  <c r="S29" i="8"/>
  <c r="S31" i="8"/>
  <c r="S62" i="8"/>
  <c r="S30" i="8"/>
  <c r="M169" i="8"/>
  <c r="M190" i="8" s="1"/>
  <c r="R46" i="8"/>
  <c r="N53" i="8"/>
  <c r="N68" i="8" s="1"/>
  <c r="O49" i="8"/>
  <c r="O18" i="8" s="1"/>
  <c r="O19" i="8" s="1"/>
  <c r="O48" i="8" s="1"/>
  <c r="O50" i="8" s="1"/>
  <c r="M69" i="8"/>
  <c r="Q152" i="4"/>
  <c r="R54" i="4"/>
  <c r="R38" i="4"/>
  <c r="R39" i="4" s="1"/>
  <c r="R36" i="4"/>
  <c r="R35" i="4"/>
  <c r="R34" i="4"/>
  <c r="R32" i="4"/>
  <c r="R1" i="4"/>
  <c r="R11" i="4"/>
  <c r="R12" i="4" s="1"/>
  <c r="R45" i="4"/>
  <c r="R43" i="4"/>
  <c r="R17" i="4"/>
  <c r="R16" i="4"/>
  <c r="R15" i="4"/>
  <c r="R44" i="4"/>
  <c r="R6" i="4"/>
  <c r="R5" i="4"/>
  <c r="Q27" i="4"/>
  <c r="Q26" i="4"/>
  <c r="Q22" i="4"/>
  <c r="Q25" i="4"/>
  <c r="Q24" i="4"/>
  <c r="Q64" i="4"/>
  <c r="Q63" i="4"/>
  <c r="Q31" i="4"/>
  <c r="Q65" i="4"/>
  <c r="Q163" i="4" s="1"/>
  <c r="Q62" i="4"/>
  <c r="Q30" i="4"/>
  <c r="Q60" i="4"/>
  <c r="Q158" i="4" s="1"/>
  <c r="Q29" i="4"/>
  <c r="P46" i="4"/>
  <c r="E81" i="8"/>
  <c r="E82" i="8" s="1"/>
  <c r="D86" i="8" s="1"/>
  <c r="F74" i="8"/>
  <c r="F75" i="8" s="1"/>
  <c r="E157" i="8"/>
  <c r="U38" i="8" l="1"/>
  <c r="U40" i="8" s="1"/>
  <c r="U36" i="8"/>
  <c r="U34" i="8"/>
  <c r="U35" i="8"/>
  <c r="U32" i="8"/>
  <c r="U1" i="8"/>
  <c r="U11" i="8"/>
  <c r="U12" i="8" s="1"/>
  <c r="U45" i="8"/>
  <c r="U44" i="8"/>
  <c r="U17" i="8"/>
  <c r="U6" i="8"/>
  <c r="U43" i="8"/>
  <c r="U16" i="8"/>
  <c r="U15" i="8"/>
  <c r="T152" i="8"/>
  <c r="U54" i="8"/>
  <c r="T27" i="8"/>
  <c r="T26" i="8"/>
  <c r="T25" i="8"/>
  <c r="T24" i="8"/>
  <c r="T22" i="8"/>
  <c r="T30" i="8"/>
  <c r="T62" i="8"/>
  <c r="T65" i="8"/>
  <c r="T163" i="8" s="1"/>
  <c r="T64" i="8"/>
  <c r="T63" i="8"/>
  <c r="T31" i="8"/>
  <c r="T60" i="8"/>
  <c r="T158" i="8" s="1"/>
  <c r="T29" i="8"/>
  <c r="S46" i="8"/>
  <c r="N169" i="8"/>
  <c r="N190" i="8" s="1"/>
  <c r="N66" i="8"/>
  <c r="N170" i="8" s="1"/>
  <c r="N191" i="8" s="1"/>
  <c r="O53" i="8"/>
  <c r="O66" i="8" s="1"/>
  <c r="O170" i="8" s="1"/>
  <c r="O191" i="8" s="1"/>
  <c r="P49" i="8"/>
  <c r="P18" i="8" s="1"/>
  <c r="P19" i="8" s="1"/>
  <c r="P48" i="8" s="1"/>
  <c r="P50" i="8" s="1"/>
  <c r="N69" i="8"/>
  <c r="S34" i="4"/>
  <c r="S38" i="4"/>
  <c r="S39" i="4" s="1"/>
  <c r="S36" i="4"/>
  <c r="S35" i="4"/>
  <c r="S32" i="4"/>
  <c r="S1" i="4"/>
  <c r="S11" i="4"/>
  <c r="S12" i="4" s="1"/>
  <c r="S45" i="4"/>
  <c r="S44" i="4"/>
  <c r="S6" i="4"/>
  <c r="S43" i="4"/>
  <c r="S17" i="4"/>
  <c r="S16" i="4"/>
  <c r="S15" i="4"/>
  <c r="R152" i="4"/>
  <c r="S54" i="4"/>
  <c r="R27" i="4"/>
  <c r="R26" i="4"/>
  <c r="R25" i="4"/>
  <c r="R24" i="4"/>
  <c r="R22" i="4"/>
  <c r="R65" i="4"/>
  <c r="R163" i="4" s="1"/>
  <c r="R64" i="4"/>
  <c r="R63" i="4"/>
  <c r="R31" i="4"/>
  <c r="R62" i="4"/>
  <c r="R30" i="4"/>
  <c r="R60" i="4"/>
  <c r="R158" i="4" s="1"/>
  <c r="R29" i="4"/>
  <c r="Q46" i="4"/>
  <c r="D89" i="8"/>
  <c r="D87" i="8"/>
  <c r="D88" i="8" s="1"/>
  <c r="E85" i="8" s="1"/>
  <c r="D131" i="8"/>
  <c r="F78" i="8"/>
  <c r="F79" i="8" s="1"/>
  <c r="V34" i="8" l="1"/>
  <c r="V38" i="8"/>
  <c r="V40" i="8" s="1"/>
  <c r="V36" i="8"/>
  <c r="V35" i="8"/>
  <c r="V32" i="8"/>
  <c r="V1" i="8"/>
  <c r="V11" i="8"/>
  <c r="V12" i="8" s="1"/>
  <c r="V15" i="8"/>
  <c r="V44" i="8"/>
  <c r="V6" i="8"/>
  <c r="V43" i="8"/>
  <c r="V17" i="8"/>
  <c r="V45" i="8"/>
  <c r="V16" i="8"/>
  <c r="U152" i="8"/>
  <c r="V54" i="8"/>
  <c r="O68" i="8"/>
  <c r="O69" i="8" s="1"/>
  <c r="O169" i="8"/>
  <c r="O190" i="8" s="1"/>
  <c r="U27" i="8"/>
  <c r="U26" i="8"/>
  <c r="U25" i="8"/>
  <c r="U24" i="8"/>
  <c r="U22" i="8"/>
  <c r="U65" i="8"/>
  <c r="U163" i="8" s="1"/>
  <c r="U64" i="8"/>
  <c r="U63" i="8"/>
  <c r="U31" i="8"/>
  <c r="U62" i="8"/>
  <c r="U30" i="8"/>
  <c r="U60" i="8"/>
  <c r="U158" i="8" s="1"/>
  <c r="U29" i="8"/>
  <c r="T46" i="8"/>
  <c r="P53" i="8"/>
  <c r="P169" i="8" s="1"/>
  <c r="P190" i="8" s="1"/>
  <c r="Q49" i="8"/>
  <c r="Q18" i="8" s="1"/>
  <c r="Q19" i="8" s="1"/>
  <c r="Q48" i="8" s="1"/>
  <c r="Q50" i="8" s="1"/>
  <c r="T35" i="4"/>
  <c r="T34" i="4"/>
  <c r="T38" i="4"/>
  <c r="T40" i="4" s="1"/>
  <c r="T36" i="4"/>
  <c r="T32" i="4"/>
  <c r="T1" i="4"/>
  <c r="T11" i="4"/>
  <c r="T12" i="4" s="1"/>
  <c r="T45" i="4"/>
  <c r="T44" i="4"/>
  <c r="T6" i="4"/>
  <c r="T43" i="4"/>
  <c r="T17" i="4"/>
  <c r="T16" i="4"/>
  <c r="T15" i="4"/>
  <c r="S152" i="4"/>
  <c r="T54" i="4"/>
  <c r="R46" i="4"/>
  <c r="S27" i="4"/>
  <c r="S24" i="4"/>
  <c r="S65" i="4"/>
  <c r="S163" i="4" s="1"/>
  <c r="S26" i="4"/>
  <c r="S25" i="4"/>
  <c r="S22" i="4"/>
  <c r="S64" i="4"/>
  <c r="S63" i="4"/>
  <c r="S31" i="4"/>
  <c r="S62" i="4"/>
  <c r="S30" i="4"/>
  <c r="S60" i="4"/>
  <c r="S158" i="4" s="1"/>
  <c r="S29" i="4"/>
  <c r="D92" i="8"/>
  <c r="F81" i="8"/>
  <c r="F82" i="8" s="1"/>
  <c r="E86" i="8" s="1"/>
  <c r="F76" i="8"/>
  <c r="F77" i="8" s="1"/>
  <c r="E90" i="8"/>
  <c r="E91" i="8"/>
  <c r="U46" i="8" l="1"/>
  <c r="W38" i="8"/>
  <c r="W40" i="8" s="1"/>
  <c r="W35" i="8"/>
  <c r="W36" i="8"/>
  <c r="W34" i="8"/>
  <c r="W32" i="8"/>
  <c r="W1" i="8"/>
  <c r="W43" i="8"/>
  <c r="W17" i="8"/>
  <c r="W16" i="8"/>
  <c r="W15" i="8"/>
  <c r="W45" i="8"/>
  <c r="W44" i="8"/>
  <c r="W11" i="8"/>
  <c r="W12" i="8" s="1"/>
  <c r="W6" i="8"/>
  <c r="V152" i="8"/>
  <c r="W54" i="8"/>
  <c r="V27" i="8"/>
  <c r="V26" i="8"/>
  <c r="V65" i="8"/>
  <c r="V163" i="8" s="1"/>
  <c r="V62" i="8"/>
  <c r="V30" i="8"/>
  <c r="V25" i="8"/>
  <c r="V24" i="8"/>
  <c r="V22" i="8"/>
  <c r="V64" i="8"/>
  <c r="V63" i="8"/>
  <c r="V31" i="8"/>
  <c r="V60" i="8"/>
  <c r="V158" i="8" s="1"/>
  <c r="V29" i="8"/>
  <c r="P66" i="8"/>
  <c r="P170" i="8" s="1"/>
  <c r="P191" i="8" s="1"/>
  <c r="P68" i="8"/>
  <c r="P69" i="8" s="1"/>
  <c r="Q53" i="8"/>
  <c r="Q66" i="8" s="1"/>
  <c r="Q170" i="8" s="1"/>
  <c r="Q191" i="8" s="1"/>
  <c r="R49" i="8"/>
  <c r="R18" i="8" s="1"/>
  <c r="R19" i="8" s="1"/>
  <c r="R48" i="8" s="1"/>
  <c r="R50" i="8" s="1"/>
  <c r="U38" i="4"/>
  <c r="U40" i="4" s="1"/>
  <c r="U32" i="4"/>
  <c r="U1" i="4"/>
  <c r="U36" i="4"/>
  <c r="U34" i="4"/>
  <c r="U35" i="4"/>
  <c r="U11" i="4"/>
  <c r="U12" i="4" s="1"/>
  <c r="U45" i="4"/>
  <c r="U6" i="4"/>
  <c r="U44" i="4"/>
  <c r="U43" i="4"/>
  <c r="U16" i="4"/>
  <c r="U17" i="4"/>
  <c r="U15" i="4"/>
  <c r="T152" i="4"/>
  <c r="U54" i="4"/>
  <c r="T27" i="4"/>
  <c r="T26" i="4"/>
  <c r="T24" i="4"/>
  <c r="T25" i="4"/>
  <c r="T65" i="4"/>
  <c r="T163" i="4" s="1"/>
  <c r="T22" i="4"/>
  <c r="T64" i="4"/>
  <c r="T63" i="4"/>
  <c r="T31" i="4"/>
  <c r="T62" i="4"/>
  <c r="T30" i="4"/>
  <c r="T60" i="4"/>
  <c r="T158" i="4" s="1"/>
  <c r="T29" i="4"/>
  <c r="S46" i="4"/>
  <c r="D93" i="8"/>
  <c r="D95" i="8" s="1"/>
  <c r="D96" i="8" s="1"/>
  <c r="C100" i="8" s="1"/>
  <c r="D141" i="8"/>
  <c r="E89" i="8"/>
  <c r="E131" i="8"/>
  <c r="E87" i="8"/>
  <c r="E88" i="8" s="1"/>
  <c r="G74" i="8"/>
  <c r="G75" i="8" s="1"/>
  <c r="F157" i="8"/>
  <c r="Q68" i="8" l="1"/>
  <c r="X38" i="8"/>
  <c r="X40" i="8" s="1"/>
  <c r="X36" i="8"/>
  <c r="X35" i="8"/>
  <c r="X34" i="8"/>
  <c r="X32" i="8"/>
  <c r="X1" i="8"/>
  <c r="X11" i="8"/>
  <c r="X12" i="8" s="1"/>
  <c r="X45" i="8"/>
  <c r="X44" i="8"/>
  <c r="X6" i="8"/>
  <c r="X43" i="8"/>
  <c r="X15" i="8"/>
  <c r="X17" i="8"/>
  <c r="X16" i="8"/>
  <c r="W152" i="8"/>
  <c r="X54" i="8"/>
  <c r="W27" i="8"/>
  <c r="W26" i="8"/>
  <c r="W25" i="8"/>
  <c r="W24" i="8"/>
  <c r="W22" i="8"/>
  <c r="W65" i="8"/>
  <c r="W163" i="8" s="1"/>
  <c r="W64" i="8"/>
  <c r="W63" i="8"/>
  <c r="W31" i="8"/>
  <c r="W62" i="8"/>
  <c r="W30" i="8"/>
  <c r="W60" i="8"/>
  <c r="W158" i="8" s="1"/>
  <c r="W29" i="8"/>
  <c r="Q169" i="8"/>
  <c r="Q190" i="8" s="1"/>
  <c r="V46" i="8"/>
  <c r="R53" i="8"/>
  <c r="R66" i="8" s="1"/>
  <c r="R170" i="8" s="1"/>
  <c r="R191" i="8" s="1"/>
  <c r="S49" i="8"/>
  <c r="S18" i="8" s="1"/>
  <c r="S19" i="8" s="1"/>
  <c r="S48" i="8" s="1"/>
  <c r="S50" i="8" s="1"/>
  <c r="Q69" i="8"/>
  <c r="U152" i="4"/>
  <c r="V54" i="4"/>
  <c r="V38" i="4"/>
  <c r="V40" i="4" s="1"/>
  <c r="V32" i="4"/>
  <c r="V1" i="4"/>
  <c r="V36" i="4"/>
  <c r="V35" i="4"/>
  <c r="V34" i="4"/>
  <c r="V11" i="4"/>
  <c r="V12" i="4" s="1"/>
  <c r="V45" i="4"/>
  <c r="V44" i="4"/>
  <c r="V6" i="4"/>
  <c r="V43" i="4"/>
  <c r="V16" i="4"/>
  <c r="V17" i="4"/>
  <c r="V15" i="4"/>
  <c r="U27" i="4"/>
  <c r="U26" i="4"/>
  <c r="U22" i="4"/>
  <c r="U25" i="4"/>
  <c r="U24" i="4"/>
  <c r="U64" i="4"/>
  <c r="U65" i="4"/>
  <c r="U163" i="4" s="1"/>
  <c r="U63" i="4"/>
  <c r="U31" i="4"/>
  <c r="U62" i="4"/>
  <c r="U30" i="4"/>
  <c r="U60" i="4"/>
  <c r="U158" i="4" s="1"/>
  <c r="U29" i="4"/>
  <c r="T46" i="4"/>
  <c r="C102" i="8"/>
  <c r="D99" i="8" s="1"/>
  <c r="C132" i="8"/>
  <c r="C103" i="8"/>
  <c r="E92" i="8"/>
  <c r="F85" i="8"/>
  <c r="G78" i="8"/>
  <c r="G79" i="8" s="1"/>
  <c r="Y38" i="8" l="1"/>
  <c r="Y40" i="8" s="1"/>
  <c r="Y36" i="8"/>
  <c r="Y35" i="8"/>
  <c r="Y34" i="8"/>
  <c r="Y32" i="8"/>
  <c r="Y1" i="8"/>
  <c r="Y11" i="8"/>
  <c r="Y12" i="8" s="1"/>
  <c r="Y45" i="8"/>
  <c r="Y44" i="8"/>
  <c r="Y6" i="8"/>
  <c r="Y43" i="8"/>
  <c r="Y17" i="8"/>
  <c r="Y16" i="8"/>
  <c r="Y15" i="8"/>
  <c r="X152" i="8"/>
  <c r="Y54" i="8"/>
  <c r="X27" i="8"/>
  <c r="X26" i="8"/>
  <c r="X25" i="8"/>
  <c r="X24" i="8"/>
  <c r="X22" i="8"/>
  <c r="X65" i="8"/>
  <c r="X163" i="8" s="1"/>
  <c r="X31" i="8"/>
  <c r="X63" i="8"/>
  <c r="X64" i="8"/>
  <c r="X62" i="8"/>
  <c r="X30" i="8"/>
  <c r="X60" i="8"/>
  <c r="X158" i="8" s="1"/>
  <c r="X29" i="8"/>
  <c r="W46" i="8"/>
  <c r="R169" i="8"/>
  <c r="R190" i="8" s="1"/>
  <c r="R68" i="8"/>
  <c r="R69" i="8" s="1"/>
  <c r="S53" i="8"/>
  <c r="S68" i="8" s="1"/>
  <c r="T49" i="8"/>
  <c r="T18" i="8" s="1"/>
  <c r="T19" i="8" s="1"/>
  <c r="T48" i="8" s="1"/>
  <c r="T50" i="8" s="1"/>
  <c r="W38" i="4"/>
  <c r="W40" i="4" s="1"/>
  <c r="W36" i="4"/>
  <c r="W35" i="4"/>
  <c r="W32" i="4"/>
  <c r="W1" i="4"/>
  <c r="W34" i="4"/>
  <c r="W11" i="4"/>
  <c r="W12" i="4" s="1"/>
  <c r="W45" i="4"/>
  <c r="W44" i="4"/>
  <c r="W6" i="4"/>
  <c r="W43" i="4"/>
  <c r="W16" i="4"/>
  <c r="W17" i="4"/>
  <c r="W15" i="4"/>
  <c r="V152" i="4"/>
  <c r="W54" i="4"/>
  <c r="V27" i="4"/>
  <c r="V26" i="4"/>
  <c r="V25" i="4"/>
  <c r="V22" i="4"/>
  <c r="V24" i="4"/>
  <c r="V64" i="4"/>
  <c r="V65" i="4"/>
  <c r="V163" i="4" s="1"/>
  <c r="V63" i="4"/>
  <c r="V31" i="4"/>
  <c r="V62" i="4"/>
  <c r="V30" i="4"/>
  <c r="V60" i="4"/>
  <c r="V158" i="4" s="1"/>
  <c r="V29" i="4"/>
  <c r="U46" i="4"/>
  <c r="C106" i="8"/>
  <c r="F90" i="8"/>
  <c r="F91" i="8"/>
  <c r="E93" i="8"/>
  <c r="E95" i="8" s="1"/>
  <c r="E96" i="8" s="1"/>
  <c r="D100" i="8" s="1"/>
  <c r="E141" i="8"/>
  <c r="G76" i="8"/>
  <c r="G77" i="8" s="1"/>
  <c r="H74" i="8" s="1"/>
  <c r="G81" i="8"/>
  <c r="G82" i="8" s="1"/>
  <c r="F86" i="8" s="1"/>
  <c r="D105" i="8"/>
  <c r="D104" i="8"/>
  <c r="Z38" i="8" l="1"/>
  <c r="Z40" i="8" s="1"/>
  <c r="Z36" i="8"/>
  <c r="Z35" i="8"/>
  <c r="Z34" i="8"/>
  <c r="Z32" i="8"/>
  <c r="Z1" i="8"/>
  <c r="Z11" i="8"/>
  <c r="Z12" i="8" s="1"/>
  <c r="Z45" i="8"/>
  <c r="Z44" i="8"/>
  <c r="Z6" i="8"/>
  <c r="Z43" i="8"/>
  <c r="Z15" i="8"/>
  <c r="Z17" i="8"/>
  <c r="Z16" i="8"/>
  <c r="Y152" i="8"/>
  <c r="Z54" i="8"/>
  <c r="Y27" i="8"/>
  <c r="Y26" i="8"/>
  <c r="Y22" i="8"/>
  <c r="Y25" i="8"/>
  <c r="Y24" i="8"/>
  <c r="Y65" i="8"/>
  <c r="Y163" i="8" s="1"/>
  <c r="Y64" i="8"/>
  <c r="Y63" i="8"/>
  <c r="Y31" i="8"/>
  <c r="Y62" i="8"/>
  <c r="Y30" i="8"/>
  <c r="Y60" i="8"/>
  <c r="Y158" i="8" s="1"/>
  <c r="Y29" i="8"/>
  <c r="X46" i="8"/>
  <c r="S169" i="8"/>
  <c r="S190" i="8" s="1"/>
  <c r="S66" i="8"/>
  <c r="S170" i="8" s="1"/>
  <c r="S191" i="8" s="1"/>
  <c r="T53" i="8"/>
  <c r="T68" i="8" s="1"/>
  <c r="U49" i="8"/>
  <c r="U18" i="8" s="1"/>
  <c r="U19" i="8" s="1"/>
  <c r="U48" i="8" s="1"/>
  <c r="U50" i="8" s="1"/>
  <c r="S69" i="8"/>
  <c r="H75" i="8"/>
  <c r="X38" i="4"/>
  <c r="X40" i="4" s="1"/>
  <c r="X34" i="4"/>
  <c r="X36" i="4"/>
  <c r="X35" i="4"/>
  <c r="X32" i="4"/>
  <c r="X1" i="4"/>
  <c r="X11" i="4"/>
  <c r="X12" i="4" s="1"/>
  <c r="X45" i="4"/>
  <c r="X44" i="4"/>
  <c r="X15" i="4"/>
  <c r="X6" i="4"/>
  <c r="X43" i="4"/>
  <c r="X17" i="4"/>
  <c r="X16" i="4"/>
  <c r="W152" i="4"/>
  <c r="X54" i="4"/>
  <c r="W27" i="4"/>
  <c r="W26" i="4"/>
  <c r="W25" i="4"/>
  <c r="W24" i="4"/>
  <c r="W22" i="4"/>
  <c r="W64" i="4"/>
  <c r="W63" i="4"/>
  <c r="W31" i="4"/>
  <c r="W62" i="4"/>
  <c r="W30" i="4"/>
  <c r="W65" i="4"/>
  <c r="W163" i="4" s="1"/>
  <c r="W60" i="4"/>
  <c r="W158" i="4" s="1"/>
  <c r="W29" i="4"/>
  <c r="V46" i="4"/>
  <c r="C142" i="8"/>
  <c r="C107" i="8"/>
  <c r="C109" i="8" s="1"/>
  <c r="F87" i="8"/>
  <c r="F88" i="8" s="1"/>
  <c r="F89" i="8"/>
  <c r="F131" i="8"/>
  <c r="G157" i="8"/>
  <c r="D101" i="8"/>
  <c r="D102" i="8" s="1"/>
  <c r="E99" i="8" s="1"/>
  <c r="E105" i="8" s="1"/>
  <c r="D103" i="8"/>
  <c r="D132" i="8"/>
  <c r="AA32" i="8" l="1"/>
  <c r="AA1" i="8"/>
  <c r="AA38" i="8"/>
  <c r="AA40" i="8" s="1"/>
  <c r="AA36" i="8"/>
  <c r="AA35" i="8"/>
  <c r="AA34" i="8"/>
  <c r="AA11" i="8"/>
  <c r="AA12" i="8" s="1"/>
  <c r="AA45" i="8"/>
  <c r="AA44" i="8"/>
  <c r="AA6" i="8"/>
  <c r="AA43" i="8"/>
  <c r="AA16" i="8"/>
  <c r="AA17" i="8"/>
  <c r="AA15" i="8"/>
  <c r="Z152" i="8"/>
  <c r="AA54" i="8"/>
  <c r="Z27" i="8"/>
  <c r="Z26" i="8"/>
  <c r="Z25" i="8"/>
  <c r="Z24" i="8"/>
  <c r="Z22" i="8"/>
  <c r="Z65" i="8"/>
  <c r="Z163" i="8" s="1"/>
  <c r="Z64" i="8"/>
  <c r="Z63" i="8"/>
  <c r="Z31" i="8"/>
  <c r="Z62" i="8"/>
  <c r="Z30" i="8"/>
  <c r="Z60" i="8"/>
  <c r="Z158" i="8" s="1"/>
  <c r="Z29" i="8"/>
  <c r="T169" i="8"/>
  <c r="T190" i="8" s="1"/>
  <c r="Y46" i="8"/>
  <c r="U53" i="8"/>
  <c r="U169" i="8" s="1"/>
  <c r="U190" i="8" s="1"/>
  <c r="V49" i="8"/>
  <c r="V18" i="8" s="1"/>
  <c r="V19" i="8" s="1"/>
  <c r="V48" i="8" s="1"/>
  <c r="V50" i="8" s="1"/>
  <c r="T66" i="8"/>
  <c r="T170" i="8" s="1"/>
  <c r="T191" i="8" s="1"/>
  <c r="T69" i="8"/>
  <c r="H78" i="8"/>
  <c r="H79" i="8" s="1"/>
  <c r="H76" i="8"/>
  <c r="H77" i="8" s="1"/>
  <c r="Y35" i="4"/>
  <c r="Y38" i="4"/>
  <c r="Y40" i="4" s="1"/>
  <c r="Y36" i="4"/>
  <c r="Y34" i="4"/>
  <c r="Y32" i="4"/>
  <c r="Y1" i="4"/>
  <c r="Y11" i="4"/>
  <c r="Y12" i="4" s="1"/>
  <c r="Y44" i="4"/>
  <c r="Y15" i="4"/>
  <c r="Y6" i="4"/>
  <c r="Y43" i="4"/>
  <c r="Y17" i="4"/>
  <c r="Y45" i="4"/>
  <c r="Y16" i="4"/>
  <c r="X152" i="4"/>
  <c r="Y54" i="4"/>
  <c r="X27" i="4"/>
  <c r="X26" i="4"/>
  <c r="X24" i="4"/>
  <c r="X22" i="4"/>
  <c r="X25" i="4"/>
  <c r="X65" i="4"/>
  <c r="X163" i="4" s="1"/>
  <c r="X64" i="4"/>
  <c r="X63" i="4"/>
  <c r="X31" i="4"/>
  <c r="X62" i="4"/>
  <c r="X30" i="4"/>
  <c r="X60" i="4"/>
  <c r="X158" i="4" s="1"/>
  <c r="X29" i="4"/>
  <c r="W46" i="4"/>
  <c r="G85" i="8"/>
  <c r="F92" i="8"/>
  <c r="D106" i="8"/>
  <c r="E104" i="8"/>
  <c r="C110" i="8"/>
  <c r="AA152" i="8" l="1"/>
  <c r="AB54" i="8"/>
  <c r="AB38" i="8"/>
  <c r="AB40" i="8" s="1"/>
  <c r="AB36" i="8"/>
  <c r="AB35" i="8"/>
  <c r="AB34" i="8"/>
  <c r="AB32" i="8"/>
  <c r="AB1" i="8"/>
  <c r="AB11" i="8"/>
  <c r="AB12" i="8" s="1"/>
  <c r="AB45" i="8"/>
  <c r="AB44" i="8"/>
  <c r="AB6" i="8"/>
  <c r="AB43" i="8"/>
  <c r="AB17" i="8"/>
  <c r="AB16" i="8"/>
  <c r="AB15" i="8"/>
  <c r="AA27" i="8"/>
  <c r="AA26" i="8"/>
  <c r="AA25" i="8"/>
  <c r="AA64" i="8"/>
  <c r="AA24" i="8"/>
  <c r="AA22" i="8"/>
  <c r="AA65" i="8"/>
  <c r="AA163" i="8" s="1"/>
  <c r="AA63" i="8"/>
  <c r="AA31" i="8"/>
  <c r="AA62" i="8"/>
  <c r="AA30" i="8"/>
  <c r="AA60" i="8"/>
  <c r="AA158" i="8" s="1"/>
  <c r="AA29" i="8"/>
  <c r="U66" i="8"/>
  <c r="U170" i="8" s="1"/>
  <c r="U191" i="8" s="1"/>
  <c r="Z46" i="8"/>
  <c r="U68" i="8"/>
  <c r="U69" i="8" s="1"/>
  <c r="V53" i="8"/>
  <c r="V66" i="8" s="1"/>
  <c r="V170" i="8" s="1"/>
  <c r="V191" i="8" s="1"/>
  <c r="W49" i="8"/>
  <c r="W18" i="8" s="1"/>
  <c r="W19" i="8" s="1"/>
  <c r="W48" i="8" s="1"/>
  <c r="W50" i="8" s="1"/>
  <c r="H81" i="8"/>
  <c r="H82" i="8" s="1"/>
  <c r="G86" i="8" s="1"/>
  <c r="H157" i="8"/>
  <c r="I74" i="8"/>
  <c r="Z38" i="4"/>
  <c r="Z40" i="4" s="1"/>
  <c r="Z36" i="4"/>
  <c r="Z35" i="4"/>
  <c r="Z34" i="4"/>
  <c r="Z32" i="4"/>
  <c r="Z1" i="4"/>
  <c r="Z11" i="4"/>
  <c r="Z12" i="4" s="1"/>
  <c r="Z45" i="4"/>
  <c r="Z44" i="4"/>
  <c r="Z6" i="4"/>
  <c r="Z43" i="4"/>
  <c r="Z17" i="4"/>
  <c r="Z16" i="4"/>
  <c r="Z15" i="4"/>
  <c r="Y152" i="4"/>
  <c r="Z54" i="4"/>
  <c r="Y27" i="4"/>
  <c r="Y26" i="4"/>
  <c r="Y25" i="4"/>
  <c r="Y24" i="4"/>
  <c r="Y22" i="4"/>
  <c r="Y65" i="4"/>
  <c r="Y163" i="4" s="1"/>
  <c r="Y62" i="4"/>
  <c r="Y30" i="4"/>
  <c r="Y64" i="4"/>
  <c r="Y60" i="4"/>
  <c r="Y158" i="4" s="1"/>
  <c r="Y29" i="4"/>
  <c r="Y63" i="4"/>
  <c r="Y31" i="4"/>
  <c r="X46" i="4"/>
  <c r="G91" i="8"/>
  <c r="G90" i="8"/>
  <c r="F141" i="8"/>
  <c r="F93" i="8"/>
  <c r="F95" i="8" s="1"/>
  <c r="F96" i="8" s="1"/>
  <c r="E100" i="8" s="1"/>
  <c r="D107" i="8"/>
  <c r="D109" i="8" s="1"/>
  <c r="D110" i="8" s="1"/>
  <c r="C114" i="8" s="1"/>
  <c r="D142" i="8"/>
  <c r="V68" i="8" l="1"/>
  <c r="AC38" i="8"/>
  <c r="AC40" i="8" s="1"/>
  <c r="AC1" i="8"/>
  <c r="AC36" i="8"/>
  <c r="AC35" i="8"/>
  <c r="AC34" i="8"/>
  <c r="AC32" i="8"/>
  <c r="AC11" i="8"/>
  <c r="AC12" i="8" s="1"/>
  <c r="AC45" i="8"/>
  <c r="AC44" i="8"/>
  <c r="AC6" i="8"/>
  <c r="AC43" i="8"/>
  <c r="AC17" i="8"/>
  <c r="AC16" i="8"/>
  <c r="AC15" i="8"/>
  <c r="AB152" i="8"/>
  <c r="AC54" i="8"/>
  <c r="AB27" i="8"/>
  <c r="AB26" i="8"/>
  <c r="AB25" i="8"/>
  <c r="AB22" i="8"/>
  <c r="AB65" i="8"/>
  <c r="AB163" i="8" s="1"/>
  <c r="AB64" i="8"/>
  <c r="AB63" i="8"/>
  <c r="AB31" i="8"/>
  <c r="AB62" i="8"/>
  <c r="AB30" i="8"/>
  <c r="AB24" i="8"/>
  <c r="AB60" i="8"/>
  <c r="AB158" i="8" s="1"/>
  <c r="AB29" i="8"/>
  <c r="V169" i="8"/>
  <c r="V190" i="8" s="1"/>
  <c r="AA46" i="8"/>
  <c r="W53" i="8"/>
  <c r="W68" i="8" s="1"/>
  <c r="X49" i="8"/>
  <c r="X18" i="8" s="1"/>
  <c r="X19" i="8" s="1"/>
  <c r="X48" i="8" s="1"/>
  <c r="X50" i="8" s="1"/>
  <c r="V69" i="8"/>
  <c r="I75" i="8"/>
  <c r="I76" i="8" s="1"/>
  <c r="AA38" i="4"/>
  <c r="AA40" i="4" s="1"/>
  <c r="AA36" i="4"/>
  <c r="AA35" i="4"/>
  <c r="AA34" i="4"/>
  <c r="AA32" i="4"/>
  <c r="AA1" i="4"/>
  <c r="AA11" i="4"/>
  <c r="AA12" i="4" s="1"/>
  <c r="AA44" i="4"/>
  <c r="AA45" i="4"/>
  <c r="AA6" i="4"/>
  <c r="AA43" i="4"/>
  <c r="AA17" i="4"/>
  <c r="AA16" i="4"/>
  <c r="AA15" i="4"/>
  <c r="Z152" i="4"/>
  <c r="AA54" i="4"/>
  <c r="Z27" i="4"/>
  <c r="Z26" i="4"/>
  <c r="Z25" i="4"/>
  <c r="Z24" i="4"/>
  <c r="Z65" i="4"/>
  <c r="Z163" i="4" s="1"/>
  <c r="Z22" i="4"/>
  <c r="Z64" i="4"/>
  <c r="Z63" i="4"/>
  <c r="Z31" i="4"/>
  <c r="Z62" i="4"/>
  <c r="Z30" i="4"/>
  <c r="Z60" i="4"/>
  <c r="Z158" i="4" s="1"/>
  <c r="Z29" i="4"/>
  <c r="Y46" i="4"/>
  <c r="G131" i="8"/>
  <c r="G87" i="8"/>
  <c r="G88" i="8" s="1"/>
  <c r="H85" i="8" s="1"/>
  <c r="G89" i="8"/>
  <c r="C117" i="8"/>
  <c r="C133" i="8"/>
  <c r="C116" i="8"/>
  <c r="E103" i="8"/>
  <c r="E101" i="8"/>
  <c r="E102" i="8" s="1"/>
  <c r="E132" i="8"/>
  <c r="W66" i="8" l="1"/>
  <c r="W170" i="8" s="1"/>
  <c r="W191" i="8" s="1"/>
  <c r="AC152" i="8"/>
  <c r="AD54" i="8"/>
  <c r="AD38" i="8"/>
  <c r="AD41" i="8" s="1"/>
  <c r="AD36" i="8"/>
  <c r="AD35" i="8"/>
  <c r="AD34" i="8"/>
  <c r="AD32" i="8"/>
  <c r="AD1" i="8"/>
  <c r="AD11" i="8"/>
  <c r="AD12" i="8" s="1"/>
  <c r="AD45" i="8"/>
  <c r="AD44" i="8"/>
  <c r="AD6" i="8"/>
  <c r="AD43" i="8"/>
  <c r="AD17" i="8"/>
  <c r="AD16" i="8"/>
  <c r="AD15" i="8"/>
  <c r="W169" i="8"/>
  <c r="W190" i="8" s="1"/>
  <c r="AC27" i="8"/>
  <c r="AC26" i="8"/>
  <c r="AC22" i="8"/>
  <c r="AC64" i="8"/>
  <c r="AC25" i="8"/>
  <c r="AC24" i="8"/>
  <c r="AC65" i="8"/>
  <c r="AC163" i="8" s="1"/>
  <c r="AC63" i="8"/>
  <c r="AC31" i="8"/>
  <c r="AC62" i="8"/>
  <c r="AC30" i="8"/>
  <c r="AC60" i="8"/>
  <c r="AC158" i="8" s="1"/>
  <c r="AC29" i="8"/>
  <c r="AB46" i="8"/>
  <c r="X53" i="8"/>
  <c r="X68" i="8" s="1"/>
  <c r="Y49" i="8"/>
  <c r="Y18" i="8" s="1"/>
  <c r="Y19" i="8" s="1"/>
  <c r="Y48" i="8" s="1"/>
  <c r="Y50" i="8" s="1"/>
  <c r="W69" i="8"/>
  <c r="I78" i="8"/>
  <c r="I79" i="8" s="1"/>
  <c r="I77" i="8"/>
  <c r="H91" i="8"/>
  <c r="H90" i="8"/>
  <c r="AB1" i="4"/>
  <c r="AB38" i="4"/>
  <c r="AB40" i="4" s="1"/>
  <c r="AB36" i="4"/>
  <c r="AB35" i="4"/>
  <c r="AB34" i="4"/>
  <c r="AB32" i="4"/>
  <c r="AB11" i="4"/>
  <c r="AB12" i="4" s="1"/>
  <c r="AB45" i="4"/>
  <c r="AB44" i="4"/>
  <c r="AB16" i="4"/>
  <c r="AB6" i="4"/>
  <c r="AB43" i="4"/>
  <c r="AB17" i="4"/>
  <c r="AB15" i="4"/>
  <c r="AA152" i="4"/>
  <c r="AB54" i="4"/>
  <c r="AA27" i="4"/>
  <c r="AA26" i="4"/>
  <c r="AA25" i="4"/>
  <c r="AA24" i="4"/>
  <c r="AA22" i="4"/>
  <c r="AA65" i="4"/>
  <c r="AA163" i="4" s="1"/>
  <c r="AA64" i="4"/>
  <c r="AA63" i="4"/>
  <c r="AA31" i="4"/>
  <c r="AA60" i="4"/>
  <c r="AA158" i="4" s="1"/>
  <c r="AA29" i="4"/>
  <c r="AA62" i="4"/>
  <c r="AA30" i="4"/>
  <c r="Z46" i="4"/>
  <c r="G92" i="8"/>
  <c r="C138" i="8"/>
  <c r="C156" i="8" s="1"/>
  <c r="C136" i="8"/>
  <c r="C154" i="8" s="1"/>
  <c r="F99" i="8"/>
  <c r="E106" i="8"/>
  <c r="C137" i="8"/>
  <c r="D113" i="8"/>
  <c r="C120" i="8"/>
  <c r="AE38" i="8" l="1"/>
  <c r="AE41" i="8" s="1"/>
  <c r="AE36" i="8"/>
  <c r="AE35" i="8"/>
  <c r="AE34" i="8"/>
  <c r="AE32" i="8"/>
  <c r="AE1" i="8"/>
  <c r="AE11" i="8"/>
  <c r="AE12" i="8" s="1"/>
  <c r="AE45" i="8"/>
  <c r="AE44" i="8"/>
  <c r="AE6" i="8"/>
  <c r="AE43" i="8"/>
  <c r="AE17" i="8"/>
  <c r="AE16" i="8"/>
  <c r="AE15" i="8"/>
  <c r="AD152" i="8"/>
  <c r="AE54" i="8"/>
  <c r="AD27" i="8"/>
  <c r="AD25" i="8"/>
  <c r="AD26" i="8"/>
  <c r="AD24" i="8"/>
  <c r="AD22" i="8"/>
  <c r="AD65" i="8"/>
  <c r="AD163" i="8" s="1"/>
  <c r="AD64" i="8"/>
  <c r="AD63" i="8"/>
  <c r="AD31" i="8"/>
  <c r="AD62" i="8"/>
  <c r="AD30" i="8"/>
  <c r="AD60" i="8"/>
  <c r="AD158" i="8" s="1"/>
  <c r="AD29" i="8"/>
  <c r="X169" i="8"/>
  <c r="X190" i="8" s="1"/>
  <c r="X66" i="8"/>
  <c r="X170" i="8" s="1"/>
  <c r="X191" i="8" s="1"/>
  <c r="AC46" i="8"/>
  <c r="Y53" i="8"/>
  <c r="Y68" i="8" s="1"/>
  <c r="Z49" i="8"/>
  <c r="Z18" i="8" s="1"/>
  <c r="Z19" i="8" s="1"/>
  <c r="Z48" i="8" s="1"/>
  <c r="Z50" i="8" s="1"/>
  <c r="X69" i="8"/>
  <c r="I81" i="8"/>
  <c r="I82" i="8" s="1"/>
  <c r="H86" i="8" s="1"/>
  <c r="I157" i="8"/>
  <c r="J74" i="8"/>
  <c r="AB152" i="4"/>
  <c r="AC54" i="4"/>
  <c r="AC38" i="4"/>
  <c r="AC40" i="4" s="1"/>
  <c r="AC35" i="4"/>
  <c r="AC34" i="4"/>
  <c r="AC32" i="4"/>
  <c r="AC1" i="4"/>
  <c r="AC36" i="4"/>
  <c r="AC11" i="4"/>
  <c r="AC12" i="4" s="1"/>
  <c r="AC45" i="4"/>
  <c r="AC44" i="4"/>
  <c r="AC15" i="4"/>
  <c r="AC17" i="4"/>
  <c r="AC16" i="4"/>
  <c r="AC6" i="4"/>
  <c r="AC43" i="4"/>
  <c r="AB27" i="4"/>
  <c r="AB24" i="4"/>
  <c r="AB26" i="4"/>
  <c r="AB25" i="4"/>
  <c r="AB22" i="4"/>
  <c r="AB65" i="4"/>
  <c r="AB163" i="4" s="1"/>
  <c r="AB63" i="4"/>
  <c r="AB31" i="4"/>
  <c r="AB62" i="4"/>
  <c r="AB30" i="4"/>
  <c r="AB64" i="4"/>
  <c r="AB60" i="4"/>
  <c r="AB158" i="4" s="1"/>
  <c r="AB29" i="4"/>
  <c r="AA46" i="4"/>
  <c r="G141" i="8"/>
  <c r="G93" i="8"/>
  <c r="C121" i="8"/>
  <c r="D118" i="8"/>
  <c r="D119" i="8"/>
  <c r="C143" i="8"/>
  <c r="C146" i="8" s="1"/>
  <c r="C160" i="8" s="1"/>
  <c r="E142" i="8"/>
  <c r="E107" i="8"/>
  <c r="F104" i="8"/>
  <c r="F105" i="8"/>
  <c r="C155" i="8"/>
  <c r="AF36" i="8" l="1"/>
  <c r="AF38" i="8"/>
  <c r="AF41" i="8" s="1"/>
  <c r="AF35" i="8"/>
  <c r="AF34" i="8"/>
  <c r="AF32" i="8"/>
  <c r="AF1" i="8"/>
  <c r="AF43" i="8"/>
  <c r="AF6" i="8"/>
  <c r="AF45" i="8"/>
  <c r="AF17" i="8"/>
  <c r="AF16" i="8"/>
  <c r="AF15" i="8"/>
  <c r="AF44" i="8"/>
  <c r="AF11" i="8"/>
  <c r="AF12" i="8" s="1"/>
  <c r="AE152" i="8"/>
  <c r="AF54" i="8"/>
  <c r="AE27" i="8"/>
  <c r="AE26" i="8"/>
  <c r="AE25" i="8"/>
  <c r="AE24" i="8"/>
  <c r="AE22" i="8"/>
  <c r="AE65" i="8"/>
  <c r="AE163" i="8" s="1"/>
  <c r="AE64" i="8"/>
  <c r="AE63" i="8"/>
  <c r="AE31" i="8"/>
  <c r="AE62" i="8"/>
  <c r="AE30" i="8"/>
  <c r="AE60" i="8"/>
  <c r="AE158" i="8" s="1"/>
  <c r="AE29" i="8"/>
  <c r="AD46" i="8"/>
  <c r="Y169" i="8"/>
  <c r="Y190" i="8" s="1"/>
  <c r="Y66" i="8"/>
  <c r="Y170" i="8" s="1"/>
  <c r="Y191" i="8" s="1"/>
  <c r="Z53" i="8"/>
  <c r="Z169" i="8" s="1"/>
  <c r="Z190" i="8" s="1"/>
  <c r="AA49" i="8"/>
  <c r="AA18" i="8" s="1"/>
  <c r="AA19" i="8" s="1"/>
  <c r="AA48" i="8" s="1"/>
  <c r="AA50" i="8" s="1"/>
  <c r="Y69" i="8"/>
  <c r="J75" i="8"/>
  <c r="H89" i="8"/>
  <c r="H131" i="8"/>
  <c r="H87" i="8"/>
  <c r="H88" i="8" s="1"/>
  <c r="AD38" i="4"/>
  <c r="AD41" i="4" s="1"/>
  <c r="AD36" i="4"/>
  <c r="AD35" i="4"/>
  <c r="AD34" i="4"/>
  <c r="AD32" i="4"/>
  <c r="AD1" i="4"/>
  <c r="AD11" i="4"/>
  <c r="AD12" i="4" s="1"/>
  <c r="AD45" i="4"/>
  <c r="AD44" i="4"/>
  <c r="AD6" i="4"/>
  <c r="AD43" i="4"/>
  <c r="AD17" i="4"/>
  <c r="AD16" i="4"/>
  <c r="AD15" i="4"/>
  <c r="AC152" i="4"/>
  <c r="AD54" i="4"/>
  <c r="AC27" i="4"/>
  <c r="AC24" i="4"/>
  <c r="AC26" i="4"/>
  <c r="AC25" i="4"/>
  <c r="AC22" i="4"/>
  <c r="AC65" i="4"/>
  <c r="AC163" i="4" s="1"/>
  <c r="AC64" i="4"/>
  <c r="AC63" i="4"/>
  <c r="AC31" i="4"/>
  <c r="AC62" i="4"/>
  <c r="AC30" i="4"/>
  <c r="AC60" i="4"/>
  <c r="AC158" i="4" s="1"/>
  <c r="AC29" i="4"/>
  <c r="AB46" i="4"/>
  <c r="G95" i="8"/>
  <c r="G96" i="8" s="1"/>
  <c r="F100" i="8" s="1"/>
  <c r="C123" i="8"/>
  <c r="C124" i="8" s="1"/>
  <c r="C125" i="8" s="1"/>
  <c r="C126" i="8" s="1"/>
  <c r="C151" i="8" s="1"/>
  <c r="C175" i="8" s="1"/>
  <c r="C147" i="8"/>
  <c r="C161" i="8" s="1"/>
  <c r="C148" i="8"/>
  <c r="C162" i="8" s="1"/>
  <c r="E109" i="8"/>
  <c r="AF152" i="8" l="1"/>
  <c r="AG54" i="8"/>
  <c r="AG38" i="8"/>
  <c r="AG41" i="8" s="1"/>
  <c r="AG36" i="8"/>
  <c r="AG35" i="8"/>
  <c r="AG34" i="8"/>
  <c r="AG32" i="8"/>
  <c r="AG1" i="8"/>
  <c r="AG43" i="8"/>
  <c r="AG17" i="8"/>
  <c r="AG16" i="8"/>
  <c r="AG15" i="8"/>
  <c r="AG45" i="8"/>
  <c r="AG44" i="8"/>
  <c r="AG11" i="8"/>
  <c r="AG12" i="8" s="1"/>
  <c r="AG6" i="8"/>
  <c r="AF27" i="8"/>
  <c r="AF26" i="8"/>
  <c r="AF24" i="8"/>
  <c r="AF25" i="8"/>
  <c r="AF22" i="8"/>
  <c r="AF62" i="8"/>
  <c r="AF30" i="8"/>
  <c r="AF65" i="8"/>
  <c r="AF163" i="8" s="1"/>
  <c r="AF64" i="8"/>
  <c r="AF63" i="8"/>
  <c r="AF31" i="8"/>
  <c r="AF60" i="8"/>
  <c r="AF158" i="8" s="1"/>
  <c r="AF29" i="8"/>
  <c r="AE46" i="8"/>
  <c r="AA53" i="8"/>
  <c r="AA68" i="8" s="1"/>
  <c r="AB49" i="8"/>
  <c r="AB18" i="8" s="1"/>
  <c r="AB19" i="8" s="1"/>
  <c r="AB48" i="8" s="1"/>
  <c r="AB50" i="8" s="1"/>
  <c r="Z66" i="8"/>
  <c r="Z170" i="8" s="1"/>
  <c r="Z191" i="8" s="1"/>
  <c r="Z68" i="8"/>
  <c r="Z69" i="8" s="1"/>
  <c r="J78" i="8"/>
  <c r="J79" i="8" s="1"/>
  <c r="J76" i="8"/>
  <c r="J77" i="8" s="1"/>
  <c r="H92" i="8"/>
  <c r="H141" i="8" s="1"/>
  <c r="H148" i="8" s="1"/>
  <c r="H162" i="8" s="1"/>
  <c r="I85" i="8"/>
  <c r="AE36" i="4"/>
  <c r="AE38" i="4"/>
  <c r="AE41" i="4" s="1"/>
  <c r="AE34" i="4"/>
  <c r="AE32" i="4"/>
  <c r="AE35" i="4"/>
  <c r="AE1" i="4"/>
  <c r="AE11" i="4"/>
  <c r="AE12" i="4" s="1"/>
  <c r="AE44" i="4"/>
  <c r="AE45" i="4"/>
  <c r="AE6" i="4"/>
  <c r="AE43" i="4"/>
  <c r="AE17" i="4"/>
  <c r="AE16" i="4"/>
  <c r="AE15" i="4"/>
  <c r="AD152" i="4"/>
  <c r="AE54" i="4"/>
  <c r="AD27" i="4"/>
  <c r="AD26" i="4"/>
  <c r="AD25" i="4"/>
  <c r="AD24" i="4"/>
  <c r="AD22" i="4"/>
  <c r="AD65" i="4"/>
  <c r="AD163" i="4" s="1"/>
  <c r="AD64" i="4"/>
  <c r="AD63" i="4"/>
  <c r="AD31" i="4"/>
  <c r="AD62" i="4"/>
  <c r="AD30" i="4"/>
  <c r="AD60" i="4"/>
  <c r="AD158" i="4" s="1"/>
  <c r="AD29" i="4"/>
  <c r="AC46" i="4"/>
  <c r="F101" i="8"/>
  <c r="F102" i="8" s="1"/>
  <c r="G99" i="8" s="1"/>
  <c r="F132" i="8"/>
  <c r="F103" i="8"/>
  <c r="E110" i="8"/>
  <c r="D114" i="8" s="1"/>
  <c r="C164" i="8"/>
  <c r="AH38" i="8" l="1"/>
  <c r="AH41" i="8" s="1"/>
  <c r="AH36" i="8"/>
  <c r="AH35" i="8"/>
  <c r="AH34" i="8"/>
  <c r="AH32" i="8"/>
  <c r="AH1" i="8"/>
  <c r="AH11" i="8"/>
  <c r="AH12" i="8" s="1"/>
  <c r="AH16" i="8"/>
  <c r="AH45" i="8"/>
  <c r="AH6" i="8"/>
  <c r="AH43" i="8"/>
  <c r="AH17" i="8"/>
  <c r="AH15" i="8"/>
  <c r="AH44" i="8"/>
  <c r="AG152" i="8"/>
  <c r="AH54" i="8"/>
  <c r="AG27" i="8"/>
  <c r="AG26" i="8"/>
  <c r="AG25" i="8"/>
  <c r="AG24" i="8"/>
  <c r="AG22" i="8"/>
  <c r="AG65" i="8"/>
  <c r="AG163" i="8" s="1"/>
  <c r="AG64" i="8"/>
  <c r="AG63" i="8"/>
  <c r="AG31" i="8"/>
  <c r="AG62" i="8"/>
  <c r="AG30" i="8"/>
  <c r="AG60" i="8"/>
  <c r="AG158" i="8" s="1"/>
  <c r="AG29" i="8"/>
  <c r="AF46" i="8"/>
  <c r="AA169" i="8"/>
  <c r="AA190" i="8" s="1"/>
  <c r="AA66" i="8"/>
  <c r="AA170" i="8" s="1"/>
  <c r="AA191" i="8" s="1"/>
  <c r="AB53" i="8"/>
  <c r="AB66" i="8" s="1"/>
  <c r="AB170" i="8" s="1"/>
  <c r="AB191" i="8" s="1"/>
  <c r="AC49" i="8"/>
  <c r="AC18" i="8" s="1"/>
  <c r="AC19" i="8" s="1"/>
  <c r="AC48" i="8" s="1"/>
  <c r="AC50" i="8" s="1"/>
  <c r="AA69" i="8"/>
  <c r="J81" i="8"/>
  <c r="J82" i="8" s="1"/>
  <c r="I86" i="8" s="1"/>
  <c r="I87" i="8" s="1"/>
  <c r="I88" i="8" s="1"/>
  <c r="J157" i="8"/>
  <c r="K74" i="8"/>
  <c r="I91" i="8"/>
  <c r="I90" i="8"/>
  <c r="H93" i="8"/>
  <c r="AF36" i="4"/>
  <c r="AF38" i="4"/>
  <c r="AF41" i="4" s="1"/>
  <c r="AF35" i="4"/>
  <c r="AF34" i="4"/>
  <c r="AF32" i="4"/>
  <c r="AF1" i="4"/>
  <c r="AF11" i="4"/>
  <c r="AF12" i="4" s="1"/>
  <c r="AF45" i="4"/>
  <c r="AF44" i="4"/>
  <c r="AF6" i="4"/>
  <c r="AF15" i="4"/>
  <c r="AF43" i="4"/>
  <c r="AF17" i="4"/>
  <c r="AF16" i="4"/>
  <c r="AE152" i="4"/>
  <c r="AF54" i="4"/>
  <c r="AE27" i="4"/>
  <c r="AE26" i="4"/>
  <c r="AE24" i="4"/>
  <c r="AE25" i="4"/>
  <c r="AE22" i="4"/>
  <c r="AE65" i="4"/>
  <c r="AE163" i="4" s="1"/>
  <c r="AE64" i="4"/>
  <c r="AE63" i="4"/>
  <c r="AE31" i="4"/>
  <c r="AE60" i="4"/>
  <c r="AE158" i="4" s="1"/>
  <c r="AE29" i="4"/>
  <c r="AE62" i="4"/>
  <c r="AE30" i="4"/>
  <c r="AD46" i="4"/>
  <c r="F106" i="8"/>
  <c r="C176" i="8"/>
  <c r="C194" i="8" s="1"/>
  <c r="G104" i="8"/>
  <c r="G105" i="8"/>
  <c r="D117" i="8"/>
  <c r="D133" i="8"/>
  <c r="D115" i="8"/>
  <c r="D116" i="8" s="1"/>
  <c r="C193" i="8"/>
  <c r="AB68" i="8" l="1"/>
  <c r="AB69" i="8" s="1"/>
  <c r="AI38" i="8"/>
  <c r="AI41" i="8" s="1"/>
  <c r="AI36" i="8"/>
  <c r="AI34" i="8"/>
  <c r="AI35" i="8"/>
  <c r="AI32" i="8"/>
  <c r="AI1" i="8"/>
  <c r="AI11" i="8"/>
  <c r="AI12" i="8" s="1"/>
  <c r="AI16" i="8"/>
  <c r="AI44" i="8"/>
  <c r="AI6" i="8"/>
  <c r="AI43" i="8"/>
  <c r="AI45" i="8"/>
  <c r="AI17" i="8"/>
  <c r="AI15" i="8"/>
  <c r="AH152" i="8"/>
  <c r="AI54" i="8"/>
  <c r="AH27" i="8"/>
  <c r="AH26" i="8"/>
  <c r="AH25" i="8"/>
  <c r="AH24" i="8"/>
  <c r="AH22" i="8"/>
  <c r="AH65" i="8"/>
  <c r="AH163" i="8" s="1"/>
  <c r="AH63" i="8"/>
  <c r="AH31" i="8"/>
  <c r="AH60" i="8"/>
  <c r="AH158" i="8" s="1"/>
  <c r="AH29" i="8"/>
  <c r="AH64" i="8"/>
  <c r="AH62" i="8"/>
  <c r="AH30" i="8"/>
  <c r="AB169" i="8"/>
  <c r="AB190" i="8" s="1"/>
  <c r="AG46" i="8"/>
  <c r="AC53" i="8"/>
  <c r="AC68" i="8" s="1"/>
  <c r="AD49" i="8"/>
  <c r="AD18" i="8" s="1"/>
  <c r="AD19" i="8" s="1"/>
  <c r="AD48" i="8" s="1"/>
  <c r="AD50" i="8" s="1"/>
  <c r="K75" i="8"/>
  <c r="I92" i="8"/>
  <c r="I141" i="8" s="1"/>
  <c r="I148" i="8" s="1"/>
  <c r="I162" i="8" s="1"/>
  <c r="J85" i="8"/>
  <c r="I89" i="8"/>
  <c r="I131" i="8"/>
  <c r="I138" i="8" s="1"/>
  <c r="I156" i="8" s="1"/>
  <c r="H95" i="8"/>
  <c r="H96" i="8" s="1"/>
  <c r="G100" i="8" s="1"/>
  <c r="AG32" i="4"/>
  <c r="AG1" i="4"/>
  <c r="AG38" i="4"/>
  <c r="AG41" i="4" s="1"/>
  <c r="AG36" i="4"/>
  <c r="AG35" i="4"/>
  <c r="AG34" i="4"/>
  <c r="AG43" i="4"/>
  <c r="AG15" i="4"/>
  <c r="AG6" i="4"/>
  <c r="AG16" i="4"/>
  <c r="AG17" i="4"/>
  <c r="AG45" i="4"/>
  <c r="AG44" i="4"/>
  <c r="AG11" i="4"/>
  <c r="AG12" i="4" s="1"/>
  <c r="AF152" i="4"/>
  <c r="AG54" i="4"/>
  <c r="AF27" i="4"/>
  <c r="AF26" i="4"/>
  <c r="AF25" i="4"/>
  <c r="AF24" i="4"/>
  <c r="AF22" i="4"/>
  <c r="AF65" i="4"/>
  <c r="AF163" i="4" s="1"/>
  <c r="AF64" i="4"/>
  <c r="AF63" i="4"/>
  <c r="AF31" i="4"/>
  <c r="AF62" i="4"/>
  <c r="AF30" i="4"/>
  <c r="AF60" i="4"/>
  <c r="AF158" i="4" s="1"/>
  <c r="AF29" i="4"/>
  <c r="AE46" i="4"/>
  <c r="F142" i="8"/>
  <c r="F107" i="8"/>
  <c r="D138" i="8"/>
  <c r="D156" i="8" s="1"/>
  <c r="D136" i="8"/>
  <c r="D154" i="8" s="1"/>
  <c r="E113" i="8"/>
  <c r="D120" i="8"/>
  <c r="D137" i="8"/>
  <c r="AJ38" i="8" l="1"/>
  <c r="AJ41" i="8" s="1"/>
  <c r="AJ36" i="8"/>
  <c r="AJ35" i="8"/>
  <c r="AJ34" i="8"/>
  <c r="AJ32" i="8"/>
  <c r="AJ1" i="8"/>
  <c r="AJ11" i="8"/>
  <c r="AJ12" i="8" s="1"/>
  <c r="AJ45" i="8"/>
  <c r="AJ44" i="8"/>
  <c r="AJ6" i="8"/>
  <c r="AJ43" i="8"/>
  <c r="AJ17" i="8"/>
  <c r="AJ16" i="8"/>
  <c r="AJ15" i="8"/>
  <c r="AI152" i="8"/>
  <c r="AJ54" i="8"/>
  <c r="AI27" i="8"/>
  <c r="AI26" i="8"/>
  <c r="AI25" i="8"/>
  <c r="AI24" i="8"/>
  <c r="AI62" i="8"/>
  <c r="AI30" i="8"/>
  <c r="AI22" i="8"/>
  <c r="AI65" i="8"/>
  <c r="AI163" i="8" s="1"/>
  <c r="AI63" i="8"/>
  <c r="AI64" i="8"/>
  <c r="AI31" i="8"/>
  <c r="AI60" i="8"/>
  <c r="AI158" i="8" s="1"/>
  <c r="AI29" i="8"/>
  <c r="AH46" i="8"/>
  <c r="AC169" i="8"/>
  <c r="AC190" i="8" s="1"/>
  <c r="AC66" i="8"/>
  <c r="AC170" i="8" s="1"/>
  <c r="AC191" i="8" s="1"/>
  <c r="AD53" i="8"/>
  <c r="AD66" i="8" s="1"/>
  <c r="AD170" i="8" s="1"/>
  <c r="AD191" i="8" s="1"/>
  <c r="AE49" i="8"/>
  <c r="AE18" i="8" s="1"/>
  <c r="AE19" i="8" s="1"/>
  <c r="AE48" i="8" s="1"/>
  <c r="AE50" i="8" s="1"/>
  <c r="AC69" i="8"/>
  <c r="I93" i="8"/>
  <c r="I95" i="8" s="1"/>
  <c r="I96" i="8" s="1"/>
  <c r="H100" i="8" s="1"/>
  <c r="H132" i="8" s="1"/>
  <c r="H136" i="8" s="1"/>
  <c r="H154" i="8" s="1"/>
  <c r="K78" i="8"/>
  <c r="K79" i="8" s="1"/>
  <c r="K76" i="8"/>
  <c r="K77" i="8" s="1"/>
  <c r="J91" i="8"/>
  <c r="J90" i="8"/>
  <c r="AG152" i="4"/>
  <c r="AH54" i="4"/>
  <c r="AH38" i="4"/>
  <c r="AH41" i="4" s="1"/>
  <c r="AH34" i="4"/>
  <c r="AH36" i="4"/>
  <c r="AH35" i="4"/>
  <c r="AH32" i="4"/>
  <c r="AH1" i="4"/>
  <c r="AH11" i="4"/>
  <c r="AH12" i="4" s="1"/>
  <c r="AH15" i="4"/>
  <c r="AH45" i="4"/>
  <c r="AH6" i="4"/>
  <c r="AH17" i="4"/>
  <c r="AH44" i="4"/>
  <c r="AH43" i="4"/>
  <c r="AH16" i="4"/>
  <c r="AG27" i="4"/>
  <c r="AG64" i="4"/>
  <c r="AG26" i="4"/>
  <c r="AG25" i="4"/>
  <c r="AG22" i="4"/>
  <c r="AG24" i="4"/>
  <c r="AG65" i="4"/>
  <c r="AG163" i="4" s="1"/>
  <c r="AG63" i="4"/>
  <c r="AG31" i="4"/>
  <c r="AG62" i="4"/>
  <c r="AG30" i="4"/>
  <c r="AG60" i="4"/>
  <c r="AG158" i="4" s="1"/>
  <c r="AG29" i="4"/>
  <c r="AF46" i="4"/>
  <c r="G103" i="8"/>
  <c r="G101" i="8"/>
  <c r="G102" i="8" s="1"/>
  <c r="H99" i="8" s="1"/>
  <c r="G132" i="8"/>
  <c r="F109" i="8"/>
  <c r="F110" i="8" s="1"/>
  <c r="E114" i="8" s="1"/>
  <c r="D121" i="8"/>
  <c r="D123" i="8" s="1"/>
  <c r="D155" i="8"/>
  <c r="D143" i="8"/>
  <c r="D146" i="8" s="1"/>
  <c r="D160" i="8" s="1"/>
  <c r="E118" i="8"/>
  <c r="E119" i="8"/>
  <c r="AD68" i="8" l="1"/>
  <c r="AK38" i="8"/>
  <c r="AK41" i="8" s="1"/>
  <c r="AK36" i="8"/>
  <c r="AK35" i="8"/>
  <c r="AK34" i="8"/>
  <c r="AK32" i="8"/>
  <c r="AK1" i="8"/>
  <c r="AK11" i="8"/>
  <c r="AK12" i="8" s="1"/>
  <c r="AK45" i="8"/>
  <c r="AK44" i="8"/>
  <c r="AK6" i="8"/>
  <c r="AK43" i="8"/>
  <c r="AK17" i="8"/>
  <c r="AK16" i="8"/>
  <c r="AK15" i="8"/>
  <c r="AJ152" i="8"/>
  <c r="AK54" i="8"/>
  <c r="AD169" i="8"/>
  <c r="AD190" i="8" s="1"/>
  <c r="AJ27" i="8"/>
  <c r="AJ26" i="8"/>
  <c r="AJ25" i="8"/>
  <c r="AJ24" i="8"/>
  <c r="AJ22" i="8"/>
  <c r="AJ65" i="8"/>
  <c r="AJ163" i="8" s="1"/>
  <c r="AJ64" i="8"/>
  <c r="AJ63" i="8"/>
  <c r="AJ31" i="8"/>
  <c r="AJ62" i="8"/>
  <c r="AJ30" i="8"/>
  <c r="AJ60" i="8"/>
  <c r="AJ158" i="8" s="1"/>
  <c r="AJ29" i="8"/>
  <c r="AI46" i="8"/>
  <c r="AE53" i="8"/>
  <c r="AE68" i="8" s="1"/>
  <c r="AF49" i="8"/>
  <c r="AF18" i="8" s="1"/>
  <c r="AF19" i="8" s="1"/>
  <c r="AF48" i="8" s="1"/>
  <c r="AF50" i="8" s="1"/>
  <c r="AD69" i="8"/>
  <c r="K81" i="8"/>
  <c r="K82" i="8" s="1"/>
  <c r="J86" i="8" s="1"/>
  <c r="K157" i="8"/>
  <c r="L74" i="8"/>
  <c r="H103" i="8"/>
  <c r="H104" i="8"/>
  <c r="H105" i="8"/>
  <c r="H101" i="8"/>
  <c r="H102" i="8" s="1"/>
  <c r="AI36" i="4"/>
  <c r="AI38" i="4"/>
  <c r="AI41" i="4" s="1"/>
  <c r="AI32" i="4"/>
  <c r="AI1" i="4"/>
  <c r="AI35" i="4"/>
  <c r="AI34" i="4"/>
  <c r="AI43" i="4"/>
  <c r="AI6" i="4"/>
  <c r="AI16" i="4"/>
  <c r="AI45" i="4"/>
  <c r="AI15" i="4"/>
  <c r="AI17" i="4"/>
  <c r="AI44" i="4"/>
  <c r="AI11" i="4"/>
  <c r="AI12" i="4" s="1"/>
  <c r="AH152" i="4"/>
  <c r="AI54" i="4"/>
  <c r="AH27" i="4"/>
  <c r="AH22" i="4"/>
  <c r="AH26" i="4"/>
  <c r="AH25" i="4"/>
  <c r="AH65" i="4"/>
  <c r="AH163" i="4" s="1"/>
  <c r="AH60" i="4"/>
  <c r="AH158" i="4" s="1"/>
  <c r="AH29" i="4"/>
  <c r="AH24" i="4"/>
  <c r="AH64" i="4"/>
  <c r="AH63" i="4"/>
  <c r="AH31" i="4"/>
  <c r="AH62" i="4"/>
  <c r="AH30" i="4"/>
  <c r="AG46" i="4"/>
  <c r="G106" i="8"/>
  <c r="D147" i="8"/>
  <c r="D161" i="8" s="1"/>
  <c r="D148" i="8"/>
  <c r="D162" i="8" s="1"/>
  <c r="E115" i="8"/>
  <c r="E116" i="8" s="1"/>
  <c r="F113" i="8" s="1"/>
  <c r="F119" i="8" s="1"/>
  <c r="D124" i="8"/>
  <c r="D125" i="8" s="1"/>
  <c r="D126" i="8" s="1"/>
  <c r="D151" i="8" s="1"/>
  <c r="E117" i="8"/>
  <c r="E133" i="8"/>
  <c r="AL38" i="8" l="1"/>
  <c r="AL41" i="8" s="1"/>
  <c r="AL34" i="8"/>
  <c r="AL36" i="8"/>
  <c r="AL35" i="8"/>
  <c r="AL32" i="8"/>
  <c r="AL1" i="8"/>
  <c r="AL11" i="8"/>
  <c r="AL12" i="8" s="1"/>
  <c r="AL45" i="8"/>
  <c r="AL6" i="8"/>
  <c r="AL44" i="8"/>
  <c r="AL43" i="8"/>
  <c r="AL17" i="8"/>
  <c r="AL16" i="8"/>
  <c r="AL15" i="8"/>
  <c r="AK152" i="8"/>
  <c r="AL54" i="8"/>
  <c r="AK27" i="8"/>
  <c r="AK26" i="8"/>
  <c r="AK25" i="8"/>
  <c r="AK24" i="8"/>
  <c r="AK22" i="8"/>
  <c r="AK65" i="8"/>
  <c r="AK163" i="8" s="1"/>
  <c r="AK64" i="8"/>
  <c r="AK63" i="8"/>
  <c r="AK31" i="8"/>
  <c r="AK62" i="8"/>
  <c r="AK30" i="8"/>
  <c r="AK60" i="8"/>
  <c r="AK158" i="8" s="1"/>
  <c r="AK29" i="8"/>
  <c r="AJ46" i="8"/>
  <c r="AE169" i="8"/>
  <c r="AE190" i="8" s="1"/>
  <c r="AE66" i="8"/>
  <c r="AE170" i="8" s="1"/>
  <c r="AE191" i="8" s="1"/>
  <c r="AF53" i="8"/>
  <c r="AF68" i="8" s="1"/>
  <c r="AG49" i="8"/>
  <c r="AG18" i="8" s="1"/>
  <c r="AG19" i="8" s="1"/>
  <c r="AG48" i="8" s="1"/>
  <c r="AG50" i="8" s="1"/>
  <c r="AE69" i="8"/>
  <c r="L75" i="8"/>
  <c r="J89" i="8"/>
  <c r="J131" i="8"/>
  <c r="J138" i="8" s="1"/>
  <c r="J156" i="8" s="1"/>
  <c r="J87" i="8"/>
  <c r="J88" i="8" s="1"/>
  <c r="H106" i="8"/>
  <c r="H142" i="8" s="1"/>
  <c r="H146" i="8" s="1"/>
  <c r="H160" i="8" s="1"/>
  <c r="I99" i="8"/>
  <c r="AI152" i="4"/>
  <c r="AJ54" i="4"/>
  <c r="AJ38" i="4"/>
  <c r="AJ41" i="4" s="1"/>
  <c r="AJ36" i="4"/>
  <c r="AJ35" i="4"/>
  <c r="AJ34" i="4"/>
  <c r="AJ32" i="4"/>
  <c r="AJ1" i="4"/>
  <c r="AJ11" i="4"/>
  <c r="AJ12" i="4" s="1"/>
  <c r="AJ45" i="4"/>
  <c r="AJ44" i="4"/>
  <c r="AJ6" i="4"/>
  <c r="AJ43" i="4"/>
  <c r="AJ17" i="4"/>
  <c r="AJ16" i="4"/>
  <c r="AJ15" i="4"/>
  <c r="AI27" i="4"/>
  <c r="AI26" i="4"/>
  <c r="AI25" i="4"/>
  <c r="AI24" i="4"/>
  <c r="AI22" i="4"/>
  <c r="AI64" i="4"/>
  <c r="AI63" i="4"/>
  <c r="AI65" i="4"/>
  <c r="AI163" i="4" s="1"/>
  <c r="AI62" i="4"/>
  <c r="AI30" i="4"/>
  <c r="AI60" i="4"/>
  <c r="AI158" i="4" s="1"/>
  <c r="AI29" i="4"/>
  <c r="AI31" i="4"/>
  <c r="AH46" i="4"/>
  <c r="G142" i="8"/>
  <c r="G107" i="8"/>
  <c r="E138" i="8"/>
  <c r="E156" i="8" s="1"/>
  <c r="E136" i="8"/>
  <c r="E154" i="8" s="1"/>
  <c r="F118" i="8"/>
  <c r="E120" i="8"/>
  <c r="D175" i="8"/>
  <c r="D164" i="8"/>
  <c r="D176" i="8" s="1"/>
  <c r="D194" i="8" s="1"/>
  <c r="E137" i="8"/>
  <c r="AM38" i="8" l="1"/>
  <c r="AM41" i="8" s="1"/>
  <c r="AM36" i="8"/>
  <c r="AM35" i="8"/>
  <c r="AM34" i="8"/>
  <c r="AM32" i="8"/>
  <c r="AM1" i="8"/>
  <c r="AM11" i="8"/>
  <c r="AM12" i="8" s="1"/>
  <c r="AM45" i="8"/>
  <c r="AM44" i="8"/>
  <c r="AM6" i="8"/>
  <c r="AM43" i="8"/>
  <c r="AM17" i="8"/>
  <c r="AM16" i="8"/>
  <c r="AM15" i="8"/>
  <c r="AL152" i="8"/>
  <c r="AM54" i="8"/>
  <c r="AM152" i="8" s="1"/>
  <c r="AL27" i="8"/>
  <c r="AL22" i="8"/>
  <c r="AL65" i="8"/>
  <c r="AL163" i="8" s="1"/>
  <c r="AL26" i="8"/>
  <c r="AL25" i="8"/>
  <c r="AL24" i="8"/>
  <c r="AL64" i="8"/>
  <c r="AL63" i="8"/>
  <c r="AL31" i="8"/>
  <c r="AL62" i="8"/>
  <c r="AL30" i="8"/>
  <c r="AL60" i="8"/>
  <c r="AL158" i="8" s="1"/>
  <c r="AL29" i="8"/>
  <c r="AK46" i="8"/>
  <c r="AF66" i="8"/>
  <c r="AF170" i="8" s="1"/>
  <c r="AF191" i="8" s="1"/>
  <c r="AF169" i="8"/>
  <c r="AF190" i="8" s="1"/>
  <c r="AG53" i="8"/>
  <c r="AG66" i="8" s="1"/>
  <c r="AG170" i="8" s="1"/>
  <c r="AG191" i="8" s="1"/>
  <c r="AH49" i="8"/>
  <c r="AH18" i="8" s="1"/>
  <c r="AH19" i="8" s="1"/>
  <c r="AH48" i="8" s="1"/>
  <c r="AH50" i="8" s="1"/>
  <c r="AF69" i="8"/>
  <c r="H107" i="8"/>
  <c r="H109" i="8" s="1"/>
  <c r="L78" i="8"/>
  <c r="L79" i="8" s="1"/>
  <c r="L76" i="8"/>
  <c r="L77" i="8" s="1"/>
  <c r="J92" i="8"/>
  <c r="J141" i="8" s="1"/>
  <c r="J148" i="8" s="1"/>
  <c r="J162" i="8" s="1"/>
  <c r="K85" i="8"/>
  <c r="I105" i="8"/>
  <c r="I104" i="8"/>
  <c r="AK35" i="4"/>
  <c r="AK38" i="4"/>
  <c r="AK41" i="4" s="1"/>
  <c r="AK34" i="4"/>
  <c r="AK32" i="4"/>
  <c r="AK1" i="4"/>
  <c r="AK36" i="4"/>
  <c r="AK11" i="4"/>
  <c r="AK12" i="4" s="1"/>
  <c r="AK15" i="4"/>
  <c r="AK45" i="4"/>
  <c r="AK6" i="4"/>
  <c r="AK43" i="4"/>
  <c r="AK17" i="4"/>
  <c r="AK16" i="4"/>
  <c r="AK44" i="4"/>
  <c r="AJ152" i="4"/>
  <c r="AK54" i="4"/>
  <c r="AJ27" i="4"/>
  <c r="AJ26" i="4"/>
  <c r="AJ25" i="4"/>
  <c r="AJ24" i="4"/>
  <c r="AJ22" i="4"/>
  <c r="AJ65" i="4"/>
  <c r="AJ163" i="4" s="1"/>
  <c r="AJ64" i="4"/>
  <c r="AJ63" i="4"/>
  <c r="AJ31" i="4"/>
  <c r="AJ62" i="4"/>
  <c r="AJ30" i="4"/>
  <c r="AJ60" i="4"/>
  <c r="AJ158" i="4" s="1"/>
  <c r="AJ29" i="4"/>
  <c r="AI46" i="4"/>
  <c r="G109" i="8"/>
  <c r="G110" i="8" s="1"/>
  <c r="F114" i="8" s="1"/>
  <c r="E121" i="8"/>
  <c r="E143" i="8"/>
  <c r="E146" i="8" s="1"/>
  <c r="E160" i="8" s="1"/>
  <c r="D193" i="8"/>
  <c r="E155" i="8"/>
  <c r="AG68" i="8" l="1"/>
  <c r="AG69" i="8" s="1"/>
  <c r="AM27" i="8"/>
  <c r="AM26" i="8"/>
  <c r="AM25" i="8"/>
  <c r="AM24" i="8"/>
  <c r="AM22" i="8"/>
  <c r="AM65" i="8"/>
  <c r="AM163" i="8" s="1"/>
  <c r="AM63" i="8"/>
  <c r="AM31" i="8"/>
  <c r="AM64" i="8"/>
  <c r="AM62" i="8"/>
  <c r="AM30" i="8"/>
  <c r="AM60" i="8"/>
  <c r="AM158" i="8" s="1"/>
  <c r="AM29" i="8"/>
  <c r="AG169" i="8"/>
  <c r="AG190" i="8" s="1"/>
  <c r="AL46" i="8"/>
  <c r="AH53" i="8"/>
  <c r="AH68" i="8" s="1"/>
  <c r="AI49" i="8"/>
  <c r="AI18" i="8" s="1"/>
  <c r="AI19" i="8" s="1"/>
  <c r="AI48" i="8" s="1"/>
  <c r="AI50" i="8" s="1"/>
  <c r="L81" i="8"/>
  <c r="L82" i="8" s="1"/>
  <c r="K86" i="8" s="1"/>
  <c r="K87" i="8" s="1"/>
  <c r="K88" i="8" s="1"/>
  <c r="J93" i="8"/>
  <c r="J95" i="8" s="1"/>
  <c r="J96" i="8" s="1"/>
  <c r="I100" i="8" s="1"/>
  <c r="L157" i="8"/>
  <c r="M74" i="8"/>
  <c r="K91" i="8"/>
  <c r="K90" i="8"/>
  <c r="H110" i="8"/>
  <c r="AK152" i="4"/>
  <c r="AL54" i="4"/>
  <c r="AL38" i="4"/>
  <c r="AL41" i="4" s="1"/>
  <c r="AL36" i="4"/>
  <c r="AL35" i="4"/>
  <c r="AL34" i="4"/>
  <c r="AL32" i="4"/>
  <c r="AL1" i="4"/>
  <c r="AL11" i="4"/>
  <c r="AL12" i="4" s="1"/>
  <c r="AL44" i="4"/>
  <c r="AL45" i="4"/>
  <c r="AL16" i="4"/>
  <c r="AL17" i="4"/>
  <c r="AL6" i="4"/>
  <c r="AL43" i="4"/>
  <c r="AL15" i="4"/>
  <c r="AK27" i="4"/>
  <c r="AK24" i="4"/>
  <c r="AK26" i="4"/>
  <c r="AK25" i="4"/>
  <c r="AK22" i="4"/>
  <c r="AK65" i="4"/>
  <c r="AK163" i="4" s="1"/>
  <c r="AK64" i="4"/>
  <c r="AK60" i="4"/>
  <c r="AK158" i="4" s="1"/>
  <c r="AK29" i="4"/>
  <c r="AK63" i="4"/>
  <c r="AK31" i="4"/>
  <c r="AK62" i="4"/>
  <c r="AK30" i="4"/>
  <c r="AJ46" i="4"/>
  <c r="F115" i="8"/>
  <c r="F116" i="8" s="1"/>
  <c r="G113" i="8" s="1"/>
  <c r="F133" i="8"/>
  <c r="F136" i="8" s="1"/>
  <c r="F154" i="8" s="1"/>
  <c r="F117" i="8"/>
  <c r="E147" i="8"/>
  <c r="E161" i="8" s="1"/>
  <c r="E148" i="8"/>
  <c r="E162" i="8" s="1"/>
  <c r="E123" i="8"/>
  <c r="E124" i="8" s="1"/>
  <c r="E125" i="8" s="1"/>
  <c r="E126" i="8" s="1"/>
  <c r="E151" i="8" s="1"/>
  <c r="E175" i="8" s="1"/>
  <c r="AM46" i="8" l="1"/>
  <c r="AH66" i="8"/>
  <c r="AH170" i="8" s="1"/>
  <c r="AH191" i="8" s="1"/>
  <c r="AH169" i="8"/>
  <c r="AH190" i="8" s="1"/>
  <c r="AI53" i="8"/>
  <c r="AI68" i="8" s="1"/>
  <c r="AJ49" i="8"/>
  <c r="AJ18" i="8" s="1"/>
  <c r="AJ19" i="8" s="1"/>
  <c r="AJ48" i="8" s="1"/>
  <c r="AJ50" i="8" s="1"/>
  <c r="AH69" i="8"/>
  <c r="M75" i="8"/>
  <c r="K92" i="8"/>
  <c r="K141" i="8" s="1"/>
  <c r="K148" i="8" s="1"/>
  <c r="K162" i="8" s="1"/>
  <c r="L85" i="8"/>
  <c r="K89" i="8"/>
  <c r="K131" i="8"/>
  <c r="K138" i="8" s="1"/>
  <c r="K156" i="8" s="1"/>
  <c r="I103" i="8"/>
  <c r="I101" i="8"/>
  <c r="I102" i="8" s="1"/>
  <c r="I132" i="8"/>
  <c r="I136" i="8" s="1"/>
  <c r="I154" i="8" s="1"/>
  <c r="AM38" i="4"/>
  <c r="AM41" i="4" s="1"/>
  <c r="AM36" i="4"/>
  <c r="AM35" i="4"/>
  <c r="AM34" i="4"/>
  <c r="AM32" i="4"/>
  <c r="AM1" i="4"/>
  <c r="AM11" i="4"/>
  <c r="AM12" i="4" s="1"/>
  <c r="AM45" i="4"/>
  <c r="AM44" i="4"/>
  <c r="AM6" i="4"/>
  <c r="AM43" i="4"/>
  <c r="AM17" i="4"/>
  <c r="AM16" i="4"/>
  <c r="AM15" i="4"/>
  <c r="AL152" i="4"/>
  <c r="AM54" i="4"/>
  <c r="AM152" i="4" s="1"/>
  <c r="AL27" i="4"/>
  <c r="AL24" i="4"/>
  <c r="AL26" i="4"/>
  <c r="AL25" i="4"/>
  <c r="AL22" i="4"/>
  <c r="AL60" i="4"/>
  <c r="AL158" i="4" s="1"/>
  <c r="AL65" i="4"/>
  <c r="AL163" i="4" s="1"/>
  <c r="AL64" i="4"/>
  <c r="AL63" i="4"/>
  <c r="AL31" i="4"/>
  <c r="AL62" i="4"/>
  <c r="AL30" i="4"/>
  <c r="AL29" i="4"/>
  <c r="AK46" i="4"/>
  <c r="F120" i="8"/>
  <c r="F137" i="8"/>
  <c r="F155" i="8" s="1"/>
  <c r="F138" i="8"/>
  <c r="F156" i="8" s="1"/>
  <c r="G114" i="8"/>
  <c r="E164" i="8"/>
  <c r="E176" i="8" s="1"/>
  <c r="E194" i="8" s="1"/>
  <c r="G118" i="8"/>
  <c r="G119" i="8"/>
  <c r="E193" i="8"/>
  <c r="AI169" i="8" l="1"/>
  <c r="AI190" i="8" s="1"/>
  <c r="AI66" i="8"/>
  <c r="AI170" i="8" s="1"/>
  <c r="AI191" i="8" s="1"/>
  <c r="AJ53" i="8"/>
  <c r="AJ68" i="8" s="1"/>
  <c r="AK49" i="8"/>
  <c r="AK18" i="8" s="1"/>
  <c r="AK19" i="8" s="1"/>
  <c r="AK48" i="8" s="1"/>
  <c r="AK50" i="8" s="1"/>
  <c r="AI69" i="8"/>
  <c r="K93" i="8"/>
  <c r="K95" i="8" s="1"/>
  <c r="K96" i="8" s="1"/>
  <c r="J100" i="8" s="1"/>
  <c r="M78" i="8"/>
  <c r="M79" i="8" s="1"/>
  <c r="M76" i="8"/>
  <c r="M77" i="8" s="1"/>
  <c r="L91" i="8"/>
  <c r="L90" i="8"/>
  <c r="J99" i="8"/>
  <c r="I106" i="8"/>
  <c r="I142" i="8" s="1"/>
  <c r="I146" i="8" s="1"/>
  <c r="I160" i="8" s="1"/>
  <c r="H138" i="8"/>
  <c r="H156" i="8" s="1"/>
  <c r="AM27" i="4"/>
  <c r="AM26" i="4"/>
  <c r="AM25" i="4"/>
  <c r="AM24" i="4"/>
  <c r="AM22" i="4"/>
  <c r="AM65" i="4"/>
  <c r="AM163" i="4" s="1"/>
  <c r="AM64" i="4"/>
  <c r="AM63" i="4"/>
  <c r="AM31" i="4"/>
  <c r="AM62" i="4"/>
  <c r="AM30" i="4"/>
  <c r="AM60" i="4"/>
  <c r="AM158" i="4" s="1"/>
  <c r="AM29" i="4"/>
  <c r="AL46" i="4"/>
  <c r="F121" i="8"/>
  <c r="F143" i="8"/>
  <c r="F146" i="8" s="1"/>
  <c r="F160" i="8" s="1"/>
  <c r="G117" i="8"/>
  <c r="G115" i="8"/>
  <c r="G116" i="8" s="1"/>
  <c r="H113" i="8" s="1"/>
  <c r="G133" i="8"/>
  <c r="G136" i="8" s="1"/>
  <c r="G154" i="8" s="1"/>
  <c r="AJ169" i="8" l="1"/>
  <c r="AJ190" i="8" s="1"/>
  <c r="AJ66" i="8"/>
  <c r="AJ170" i="8" s="1"/>
  <c r="AJ191" i="8" s="1"/>
  <c r="AK53" i="8"/>
  <c r="AK68" i="8" s="1"/>
  <c r="AL49" i="8"/>
  <c r="AL18" i="8" s="1"/>
  <c r="AL19" i="8" s="1"/>
  <c r="AL48" i="8" s="1"/>
  <c r="AL50" i="8" s="1"/>
  <c r="AJ69" i="8"/>
  <c r="M81" i="8"/>
  <c r="M82" i="8" s="1"/>
  <c r="L86" i="8" s="1"/>
  <c r="M157" i="8"/>
  <c r="N74" i="8"/>
  <c r="J103" i="8"/>
  <c r="J132" i="8"/>
  <c r="J136" i="8" s="1"/>
  <c r="J154" i="8" s="1"/>
  <c r="I107" i="8"/>
  <c r="J101" i="8"/>
  <c r="J102" i="8" s="1"/>
  <c r="J105" i="8"/>
  <c r="J104" i="8"/>
  <c r="H118" i="8"/>
  <c r="H119" i="8"/>
  <c r="AM46" i="4"/>
  <c r="G137" i="8"/>
  <c r="G155" i="8" s="1"/>
  <c r="F147" i="8"/>
  <c r="F161" i="8" s="1"/>
  <c r="F123" i="8"/>
  <c r="F124" i="8" s="1"/>
  <c r="F125" i="8" s="1"/>
  <c r="F148" i="8"/>
  <c r="F162" i="8" s="1"/>
  <c r="G138" i="8"/>
  <c r="G156" i="8" s="1"/>
  <c r="G120" i="8"/>
  <c r="AK169" i="8" l="1"/>
  <c r="AK190" i="8" s="1"/>
  <c r="AK66" i="8"/>
  <c r="AK170" i="8" s="1"/>
  <c r="AK191" i="8" s="1"/>
  <c r="AL53" i="8"/>
  <c r="AL68" i="8" s="1"/>
  <c r="AM49" i="8"/>
  <c r="AM18" i="8" s="1"/>
  <c r="AM19" i="8" s="1"/>
  <c r="AM48" i="8" s="1"/>
  <c r="AM50" i="8" s="1"/>
  <c r="AM53" i="8" s="1"/>
  <c r="AL66" i="8"/>
  <c r="AL170" i="8" s="1"/>
  <c r="AL191" i="8" s="1"/>
  <c r="AL169" i="8"/>
  <c r="AL190" i="8" s="1"/>
  <c r="AK69" i="8"/>
  <c r="N75" i="8"/>
  <c r="L89" i="8"/>
  <c r="L131" i="8"/>
  <c r="L138" i="8" s="1"/>
  <c r="L156" i="8" s="1"/>
  <c r="L87" i="8"/>
  <c r="L88" i="8" s="1"/>
  <c r="J106" i="8"/>
  <c r="J142" i="8" s="1"/>
  <c r="J146" i="8" s="1"/>
  <c r="J160" i="8" s="1"/>
  <c r="K99" i="8"/>
  <c r="I109" i="8"/>
  <c r="I110" i="8" s="1"/>
  <c r="H114" i="8" s="1"/>
  <c r="G143" i="8"/>
  <c r="G146" i="8" s="1"/>
  <c r="G160" i="8" s="1"/>
  <c r="G121" i="8"/>
  <c r="F126" i="8"/>
  <c r="F151" i="8" s="1"/>
  <c r="AM68" i="8" l="1"/>
  <c r="AM66" i="8"/>
  <c r="AM170" i="8" s="1"/>
  <c r="AM191" i="8" s="1"/>
  <c r="AM169" i="8"/>
  <c r="AM190" i="8" s="1"/>
  <c r="AL69" i="8"/>
  <c r="N78" i="8"/>
  <c r="N79" i="8" s="1"/>
  <c r="N76" i="8"/>
  <c r="N77" i="8" s="1"/>
  <c r="L92" i="8"/>
  <c r="L141" i="8" s="1"/>
  <c r="L148" i="8" s="1"/>
  <c r="L162" i="8" s="1"/>
  <c r="M85" i="8"/>
  <c r="H133" i="8"/>
  <c r="H137" i="8" s="1"/>
  <c r="H155" i="8" s="1"/>
  <c r="H117" i="8"/>
  <c r="H115" i="8"/>
  <c r="H116" i="8" s="1"/>
  <c r="K105" i="8"/>
  <c r="K104" i="8"/>
  <c r="J107" i="8"/>
  <c r="G147" i="8"/>
  <c r="G161" i="8" s="1"/>
  <c r="G148" i="8"/>
  <c r="G162" i="8" s="1"/>
  <c r="G123" i="8"/>
  <c r="G124" i="8" s="1"/>
  <c r="G125" i="8" s="1"/>
  <c r="F175" i="8"/>
  <c r="F164" i="8"/>
  <c r="F176" i="8" s="1"/>
  <c r="F194" i="8" s="1"/>
  <c r="AM69" i="8" l="1"/>
  <c r="N81" i="8"/>
  <c r="N82" i="8" s="1"/>
  <c r="M86" i="8" s="1"/>
  <c r="M87" i="8" s="1"/>
  <c r="M88" i="8" s="1"/>
  <c r="L93" i="8"/>
  <c r="L95" i="8" s="1"/>
  <c r="L96" i="8" s="1"/>
  <c r="K100" i="8" s="1"/>
  <c r="N157" i="8"/>
  <c r="O74" i="8"/>
  <c r="M91" i="8"/>
  <c r="M90" i="8"/>
  <c r="H120" i="8"/>
  <c r="H143" i="8" s="1"/>
  <c r="H147" i="8" s="1"/>
  <c r="H161" i="8" s="1"/>
  <c r="I113" i="8"/>
  <c r="J109" i="8"/>
  <c r="J110" i="8" s="1"/>
  <c r="I114" i="8" s="1"/>
  <c r="G126" i="8"/>
  <c r="G151" i="8" s="1"/>
  <c r="G175" i="8" s="1"/>
  <c r="G193" i="8" s="1"/>
  <c r="F193" i="8"/>
  <c r="O75" i="8" l="1"/>
  <c r="M92" i="8"/>
  <c r="M141" i="8" s="1"/>
  <c r="M148" i="8" s="1"/>
  <c r="M162" i="8" s="1"/>
  <c r="N85" i="8"/>
  <c r="M89" i="8"/>
  <c r="M93" i="8" s="1"/>
  <c r="M131" i="8"/>
  <c r="M138" i="8" s="1"/>
  <c r="M156" i="8" s="1"/>
  <c r="H121" i="8"/>
  <c r="H123" i="8" s="1"/>
  <c r="H124" i="8" s="1"/>
  <c r="H125" i="8" s="1"/>
  <c r="H126" i="8" s="1"/>
  <c r="H151" i="8" s="1"/>
  <c r="H164" i="8" s="1"/>
  <c r="H176" i="8" s="1"/>
  <c r="H194" i="8" s="1"/>
  <c r="K103" i="8"/>
  <c r="K132" i="8"/>
  <c r="K136" i="8" s="1"/>
  <c r="K154" i="8" s="1"/>
  <c r="K101" i="8"/>
  <c r="K102" i="8" s="1"/>
  <c r="I117" i="8"/>
  <c r="I133" i="8"/>
  <c r="I137" i="8" s="1"/>
  <c r="I155" i="8" s="1"/>
  <c r="I115" i="8"/>
  <c r="I116" i="8" s="1"/>
  <c r="I119" i="8"/>
  <c r="I118" i="8"/>
  <c r="G164" i="8"/>
  <c r="G176" i="8" s="1"/>
  <c r="G194" i="8" s="1"/>
  <c r="C19" i="4"/>
  <c r="C48" i="4" s="1"/>
  <c r="C50" i="4" s="1"/>
  <c r="O78" i="8" l="1"/>
  <c r="O79" i="8" s="1"/>
  <c r="O76" i="8"/>
  <c r="O77" i="8" s="1"/>
  <c r="H175" i="8"/>
  <c r="H193" i="8" s="1"/>
  <c r="M95" i="8"/>
  <c r="M96" i="8" s="1"/>
  <c r="L100" i="8" s="1"/>
  <c r="N91" i="8"/>
  <c r="N90" i="8"/>
  <c r="K106" i="8"/>
  <c r="K142" i="8" s="1"/>
  <c r="K146" i="8" s="1"/>
  <c r="K160" i="8" s="1"/>
  <c r="L99" i="8"/>
  <c r="J113" i="8"/>
  <c r="I120" i="8"/>
  <c r="I143" i="8" s="1"/>
  <c r="I147" i="8" s="1"/>
  <c r="I161" i="8" s="1"/>
  <c r="D49" i="4"/>
  <c r="D18" i="4" s="1"/>
  <c r="D19" i="4" s="1"/>
  <c r="D48" i="4" s="1"/>
  <c r="D50" i="4" s="1"/>
  <c r="C53" i="4"/>
  <c r="C169" i="4" s="1"/>
  <c r="O81" i="8" l="1"/>
  <c r="O82" i="8" s="1"/>
  <c r="N86" i="8" s="1"/>
  <c r="O157" i="8"/>
  <c r="P74" i="8"/>
  <c r="I121" i="8"/>
  <c r="I123" i="8" s="1"/>
  <c r="I124" i="8" s="1"/>
  <c r="I125" i="8" s="1"/>
  <c r="I126" i="8" s="1"/>
  <c r="I151" i="8" s="1"/>
  <c r="L103" i="8"/>
  <c r="L132" i="8"/>
  <c r="L136" i="8" s="1"/>
  <c r="L154" i="8" s="1"/>
  <c r="K107" i="8"/>
  <c r="L104" i="8"/>
  <c r="L101" i="8"/>
  <c r="L102" i="8" s="1"/>
  <c r="L105" i="8"/>
  <c r="J119" i="8"/>
  <c r="J118" i="8"/>
  <c r="E49" i="4"/>
  <c r="E18" i="4" s="1"/>
  <c r="E19" i="4" s="1"/>
  <c r="E48" i="4" s="1"/>
  <c r="E50" i="4" s="1"/>
  <c r="D53" i="4"/>
  <c r="C66" i="4"/>
  <c r="C68" i="4"/>
  <c r="C69" i="4" s="1"/>
  <c r="C75" i="4" s="1"/>
  <c r="P75" i="8" l="1"/>
  <c r="N89" i="8"/>
  <c r="N131" i="8"/>
  <c r="N138" i="8" s="1"/>
  <c r="N156" i="8" s="1"/>
  <c r="N87" i="8"/>
  <c r="N88" i="8" s="1"/>
  <c r="L106" i="8"/>
  <c r="L142" i="8" s="1"/>
  <c r="L146" i="8" s="1"/>
  <c r="L160" i="8" s="1"/>
  <c r="M99" i="8"/>
  <c r="K109" i="8"/>
  <c r="K110" i="8" s="1"/>
  <c r="J114" i="8" s="1"/>
  <c r="I175" i="8"/>
  <c r="I193" i="8" s="1"/>
  <c r="I164" i="8"/>
  <c r="I176" i="8" s="1"/>
  <c r="I194" i="8" s="1"/>
  <c r="C170" i="4"/>
  <c r="C191" i="4" s="1"/>
  <c r="F49" i="4"/>
  <c r="F18" i="4" s="1"/>
  <c r="F19" i="4" s="1"/>
  <c r="F48" i="4" s="1"/>
  <c r="F50" i="4" s="1"/>
  <c r="E53" i="4"/>
  <c r="C190" i="4"/>
  <c r="D169" i="4"/>
  <c r="D68" i="4"/>
  <c r="D69" i="4" s="1"/>
  <c r="D66" i="4"/>
  <c r="D170" i="4" s="1"/>
  <c r="D191" i="4" s="1"/>
  <c r="L107" i="8" l="1"/>
  <c r="L109" i="8" s="1"/>
  <c r="L110" i="8" s="1"/>
  <c r="K114" i="8" s="1"/>
  <c r="P78" i="8"/>
  <c r="P79" i="8" s="1"/>
  <c r="P81" i="8" s="1"/>
  <c r="P76" i="8"/>
  <c r="P77" i="8" s="1"/>
  <c r="N92" i="8"/>
  <c r="N141" i="8" s="1"/>
  <c r="N148" i="8" s="1"/>
  <c r="N162" i="8" s="1"/>
  <c r="O85" i="8"/>
  <c r="J117" i="8"/>
  <c r="J133" i="8"/>
  <c r="J137" i="8" s="1"/>
  <c r="J155" i="8" s="1"/>
  <c r="J115" i="8"/>
  <c r="J116" i="8" s="1"/>
  <c r="M105" i="8"/>
  <c r="M104" i="8"/>
  <c r="D190" i="4"/>
  <c r="E169" i="4"/>
  <c r="E190" i="4" s="1"/>
  <c r="E66" i="4"/>
  <c r="E170" i="4" s="1"/>
  <c r="E191" i="4" s="1"/>
  <c r="E68" i="4"/>
  <c r="E69" i="4" s="1"/>
  <c r="G49" i="4"/>
  <c r="G18" i="4" s="1"/>
  <c r="G19" i="4" s="1"/>
  <c r="G48" i="4" s="1"/>
  <c r="G50" i="4" s="1"/>
  <c r="H49" i="4" s="1"/>
  <c r="H18" i="4" s="1"/>
  <c r="H19" i="4" s="1"/>
  <c r="H48" i="4" s="1"/>
  <c r="H50" i="4" s="1"/>
  <c r="F53" i="4"/>
  <c r="K117" i="8" l="1"/>
  <c r="K133" i="8"/>
  <c r="K137" i="8" s="1"/>
  <c r="K155" i="8" s="1"/>
  <c r="P157" i="8"/>
  <c r="Q74" i="8"/>
  <c r="P82" i="8"/>
  <c r="O86" i="8" s="1"/>
  <c r="O87" i="8" s="1"/>
  <c r="O88" i="8" s="1"/>
  <c r="O91" i="8"/>
  <c r="O90" i="8"/>
  <c r="N93" i="8"/>
  <c r="K113" i="8"/>
  <c r="J120" i="8"/>
  <c r="H53" i="4"/>
  <c r="H169" i="4" s="1"/>
  <c r="H190" i="4" s="1"/>
  <c r="I49" i="4"/>
  <c r="I18" i="4" s="1"/>
  <c r="I19" i="4" s="1"/>
  <c r="I48" i="4" s="1"/>
  <c r="I50" i="4" s="1"/>
  <c r="F68" i="4"/>
  <c r="F69" i="4" s="1"/>
  <c r="F169" i="4"/>
  <c r="F190" i="4" s="1"/>
  <c r="F66" i="4"/>
  <c r="F170" i="4" s="1"/>
  <c r="F191" i="4" s="1"/>
  <c r="G53" i="4"/>
  <c r="H66" i="4" l="1"/>
  <c r="H170" i="4" s="1"/>
  <c r="H191" i="4" s="1"/>
  <c r="H68" i="4"/>
  <c r="Q75" i="8"/>
  <c r="O92" i="8"/>
  <c r="O141" i="8" s="1"/>
  <c r="O148" i="8" s="1"/>
  <c r="O162" i="8" s="1"/>
  <c r="P85" i="8"/>
  <c r="O89" i="8"/>
  <c r="O131" i="8"/>
  <c r="O138" i="8" s="1"/>
  <c r="O156" i="8" s="1"/>
  <c r="N95" i="8"/>
  <c r="N96" i="8" s="1"/>
  <c r="M100" i="8" s="1"/>
  <c r="K119" i="8"/>
  <c r="K115" i="8"/>
  <c r="K116" i="8" s="1"/>
  <c r="K118" i="8"/>
  <c r="J143" i="8"/>
  <c r="J147" i="8" s="1"/>
  <c r="J161" i="8" s="1"/>
  <c r="J121" i="8"/>
  <c r="J123" i="8" s="1"/>
  <c r="J124" i="8" s="1"/>
  <c r="J125" i="8" s="1"/>
  <c r="J126" i="8" s="1"/>
  <c r="J151" i="8" s="1"/>
  <c r="I53" i="4"/>
  <c r="I169" i="4" s="1"/>
  <c r="I190" i="4" s="1"/>
  <c r="J49" i="4"/>
  <c r="J18" i="4" s="1"/>
  <c r="J19" i="4" s="1"/>
  <c r="J48" i="4" s="1"/>
  <c r="J50" i="4" s="1"/>
  <c r="G66" i="4"/>
  <c r="G170" i="4" s="1"/>
  <c r="G191" i="4" s="1"/>
  <c r="G68" i="4"/>
  <c r="G69" i="4" s="1"/>
  <c r="G169" i="4"/>
  <c r="I68" i="4" l="1"/>
  <c r="H69" i="4"/>
  <c r="I66" i="4"/>
  <c r="I170" i="4" s="1"/>
  <c r="I191" i="4" s="1"/>
  <c r="J164" i="8"/>
  <c r="J176" i="8" s="1"/>
  <c r="J194" i="8" s="1"/>
  <c r="O93" i="8"/>
  <c r="O95" i="8" s="1"/>
  <c r="O96" i="8" s="1"/>
  <c r="Q78" i="8"/>
  <c r="Q79" i="8" s="1"/>
  <c r="Q81" i="8" s="1"/>
  <c r="Q76" i="8"/>
  <c r="Q77" i="8" s="1"/>
  <c r="P91" i="8"/>
  <c r="P90" i="8"/>
  <c r="M101" i="8"/>
  <c r="M102" i="8" s="1"/>
  <c r="M103" i="8"/>
  <c r="M132" i="8"/>
  <c r="M136" i="8" s="1"/>
  <c r="M154" i="8" s="1"/>
  <c r="L113" i="8"/>
  <c r="K120" i="8"/>
  <c r="K143" i="8" s="1"/>
  <c r="K147" i="8" s="1"/>
  <c r="K161" i="8" s="1"/>
  <c r="J175" i="8"/>
  <c r="J193" i="8" s="1"/>
  <c r="J53" i="4"/>
  <c r="J68" i="4" s="1"/>
  <c r="K49" i="4"/>
  <c r="K18" i="4" s="1"/>
  <c r="K19" i="4" s="1"/>
  <c r="K48" i="4" s="1"/>
  <c r="K50" i="4" s="1"/>
  <c r="G190" i="4"/>
  <c r="I69" i="4" l="1"/>
  <c r="J66" i="4"/>
  <c r="J170" i="4" s="1"/>
  <c r="J191" i="4" s="1"/>
  <c r="J169" i="4"/>
  <c r="J190" i="4" s="1"/>
  <c r="Q157" i="8"/>
  <c r="R74" i="8"/>
  <c r="Q82" i="8"/>
  <c r="P86" i="8" s="1"/>
  <c r="N99" i="8"/>
  <c r="N100" i="8" s="1"/>
  <c r="M106" i="8"/>
  <c r="L118" i="8"/>
  <c r="L119" i="8"/>
  <c r="K121" i="8"/>
  <c r="K53" i="4"/>
  <c r="K66" i="4" s="1"/>
  <c r="K170" i="4" s="1"/>
  <c r="K191" i="4" s="1"/>
  <c r="L49" i="4"/>
  <c r="L18" i="4" s="1"/>
  <c r="L19" i="4" s="1"/>
  <c r="L48" i="4" s="1"/>
  <c r="L50" i="4" s="1"/>
  <c r="J69" i="4"/>
  <c r="N132" i="8" l="1"/>
  <c r="N136" i="8" s="1"/>
  <c r="N154" i="8" s="1"/>
  <c r="N103" i="8"/>
  <c r="K169" i="4"/>
  <c r="K190" i="4" s="1"/>
  <c r="K68" i="4"/>
  <c r="K69" i="4" s="1"/>
  <c r="R75" i="8"/>
  <c r="P89" i="8"/>
  <c r="P131" i="8"/>
  <c r="P138" i="8" s="1"/>
  <c r="P156" i="8" s="1"/>
  <c r="P87" i="8"/>
  <c r="P88" i="8" s="1"/>
  <c r="M142" i="8"/>
  <c r="M146" i="8" s="1"/>
  <c r="M160" i="8" s="1"/>
  <c r="M107" i="8"/>
  <c r="N105" i="8"/>
  <c r="N104" i="8"/>
  <c r="N101" i="8"/>
  <c r="N102" i="8" s="1"/>
  <c r="K123" i="8"/>
  <c r="K124" i="8" s="1"/>
  <c r="K125" i="8" s="1"/>
  <c r="K126" i="8" s="1"/>
  <c r="K151" i="8" s="1"/>
  <c r="L53" i="4"/>
  <c r="L68" i="4" s="1"/>
  <c r="M49" i="4"/>
  <c r="M18" i="4" s="1"/>
  <c r="M19" i="4" s="1"/>
  <c r="M48" i="4" s="1"/>
  <c r="M50" i="4" s="1"/>
  <c r="L66" i="4" l="1"/>
  <c r="L170" i="4" s="1"/>
  <c r="L191" i="4" s="1"/>
  <c r="L169" i="4"/>
  <c r="L190" i="4" s="1"/>
  <c r="R78" i="8"/>
  <c r="R79" i="8" s="1"/>
  <c r="R81" i="8" s="1"/>
  <c r="R76" i="8"/>
  <c r="R77" i="8" s="1"/>
  <c r="P92" i="8"/>
  <c r="P141" i="8" s="1"/>
  <c r="P148" i="8" s="1"/>
  <c r="P162" i="8" s="1"/>
  <c r="Q85" i="8"/>
  <c r="N106" i="8"/>
  <c r="N142" i="8" s="1"/>
  <c r="N146" i="8" s="1"/>
  <c r="N160" i="8" s="1"/>
  <c r="O99" i="8"/>
  <c r="M109" i="8"/>
  <c r="M110" i="8" s="1"/>
  <c r="L114" i="8" s="1"/>
  <c r="K175" i="8"/>
  <c r="K193" i="8" s="1"/>
  <c r="K164" i="8"/>
  <c r="K176" i="8" s="1"/>
  <c r="K194" i="8" s="1"/>
  <c r="M53" i="4"/>
  <c r="M66" i="4" s="1"/>
  <c r="M170" i="4" s="1"/>
  <c r="M191" i="4" s="1"/>
  <c r="N49" i="4"/>
  <c r="N18" i="4" s="1"/>
  <c r="N19" i="4" s="1"/>
  <c r="N48" i="4" s="1"/>
  <c r="N50" i="4" s="1"/>
  <c r="L69" i="4"/>
  <c r="M68" i="4" l="1"/>
  <c r="M169" i="4"/>
  <c r="M190" i="4" s="1"/>
  <c r="P93" i="8"/>
  <c r="P95" i="8" s="1"/>
  <c r="P96" i="8" s="1"/>
  <c r="O100" i="8" s="1"/>
  <c r="O101" i="8" s="1"/>
  <c r="O102" i="8" s="1"/>
  <c r="R157" i="8"/>
  <c r="S74" i="8"/>
  <c r="R82" i="8"/>
  <c r="Q86" i="8" s="1"/>
  <c r="Q87" i="8" s="1"/>
  <c r="Q88" i="8" s="1"/>
  <c r="Q91" i="8"/>
  <c r="Q90" i="8"/>
  <c r="L117" i="8"/>
  <c r="L133" i="8"/>
  <c r="L137" i="8" s="1"/>
  <c r="L155" i="8" s="1"/>
  <c r="L115" i="8"/>
  <c r="L116" i="8" s="1"/>
  <c r="O105" i="8"/>
  <c r="O104" i="8"/>
  <c r="N107" i="8"/>
  <c r="N53" i="4"/>
  <c r="N169" i="4" s="1"/>
  <c r="N190" i="4" s="1"/>
  <c r="O49" i="4"/>
  <c r="O18" i="4" s="1"/>
  <c r="O19" i="4" s="1"/>
  <c r="O48" i="4" s="1"/>
  <c r="O50" i="4" s="1"/>
  <c r="M69" i="4"/>
  <c r="N68" i="4" l="1"/>
  <c r="N66" i="4"/>
  <c r="N170" i="4" s="1"/>
  <c r="N191" i="4" s="1"/>
  <c r="S75" i="8"/>
  <c r="Q92" i="8"/>
  <c r="Q141" i="8" s="1"/>
  <c r="Q148" i="8" s="1"/>
  <c r="Q162" i="8" s="1"/>
  <c r="R85" i="8"/>
  <c r="Q89" i="8"/>
  <c r="Q131" i="8"/>
  <c r="Q138" i="8" s="1"/>
  <c r="Q156" i="8" s="1"/>
  <c r="O103" i="8"/>
  <c r="O132" i="8"/>
  <c r="O136" i="8" s="1"/>
  <c r="O154" i="8" s="1"/>
  <c r="O106" i="8"/>
  <c r="O142" i="8" s="1"/>
  <c r="O146" i="8" s="1"/>
  <c r="O160" i="8" s="1"/>
  <c r="P99" i="8"/>
  <c r="L120" i="8"/>
  <c r="L143" i="8" s="1"/>
  <c r="L147" i="8" s="1"/>
  <c r="L161" i="8" s="1"/>
  <c r="M113" i="8"/>
  <c r="N109" i="8"/>
  <c r="N110" i="8" s="1"/>
  <c r="M114" i="8" s="1"/>
  <c r="O53" i="4"/>
  <c r="O68" i="4" s="1"/>
  <c r="P49" i="4"/>
  <c r="P18" i="4" s="1"/>
  <c r="P19" i="4" s="1"/>
  <c r="P48" i="4" s="1"/>
  <c r="P50" i="4" s="1"/>
  <c r="N69" i="4"/>
  <c r="O169" i="4" l="1"/>
  <c r="O190" i="4" s="1"/>
  <c r="O66" i="4"/>
  <c r="O170" i="4" s="1"/>
  <c r="O191" i="4" s="1"/>
  <c r="Q93" i="8"/>
  <c r="O107" i="8"/>
  <c r="O109" i="8" s="1"/>
  <c r="O110" i="8" s="1"/>
  <c r="N114" i="8" s="1"/>
  <c r="N133" i="8" s="1"/>
  <c r="N137" i="8" s="1"/>
  <c r="N155" i="8" s="1"/>
  <c r="S78" i="8"/>
  <c r="S79" i="8" s="1"/>
  <c r="S81" i="8" s="1"/>
  <c r="S76" i="8"/>
  <c r="S77" i="8" s="1"/>
  <c r="R91" i="8"/>
  <c r="R90" i="8"/>
  <c r="Q95" i="8"/>
  <c r="Q96" i="8" s="1"/>
  <c r="P100" i="8" s="1"/>
  <c r="P101" i="8" s="1"/>
  <c r="P102" i="8" s="1"/>
  <c r="L121" i="8"/>
  <c r="L123" i="8" s="1"/>
  <c r="L124" i="8" s="1"/>
  <c r="L125" i="8" s="1"/>
  <c r="L126" i="8" s="1"/>
  <c r="L151" i="8" s="1"/>
  <c r="L175" i="8" s="1"/>
  <c r="L193" i="8" s="1"/>
  <c r="P105" i="8"/>
  <c r="P104" i="8"/>
  <c r="M117" i="8"/>
  <c r="M133" i="8"/>
  <c r="M137" i="8" s="1"/>
  <c r="M155" i="8" s="1"/>
  <c r="M119" i="8"/>
  <c r="M115" i="8"/>
  <c r="M116" i="8" s="1"/>
  <c r="N113" i="8" s="1"/>
  <c r="M118" i="8"/>
  <c r="P53" i="4"/>
  <c r="P68" i="4" s="1"/>
  <c r="Q49" i="4"/>
  <c r="Q18" i="4" s="1"/>
  <c r="Q19" i="4" s="1"/>
  <c r="Q48" i="4" s="1"/>
  <c r="Q50" i="4" s="1"/>
  <c r="O69" i="4"/>
  <c r="P169" i="4" l="1"/>
  <c r="P190" i="4" s="1"/>
  <c r="P66" i="4"/>
  <c r="P170" i="4" s="1"/>
  <c r="P191" i="4" s="1"/>
  <c r="S157" i="8"/>
  <c r="T74" i="8"/>
  <c r="S82" i="8"/>
  <c r="R86" i="8" s="1"/>
  <c r="L164" i="8"/>
  <c r="L176" i="8" s="1"/>
  <c r="L194" i="8" s="1"/>
  <c r="P106" i="8"/>
  <c r="P142" i="8" s="1"/>
  <c r="P146" i="8" s="1"/>
  <c r="P160" i="8" s="1"/>
  <c r="Q99" i="8"/>
  <c r="P103" i="8"/>
  <c r="P132" i="8"/>
  <c r="P136" i="8" s="1"/>
  <c r="P154" i="8" s="1"/>
  <c r="M120" i="8"/>
  <c r="M143" i="8" s="1"/>
  <c r="M147" i="8" s="1"/>
  <c r="M161" i="8" s="1"/>
  <c r="N117" i="8"/>
  <c r="N119" i="8"/>
  <c r="N118" i="8"/>
  <c r="N115" i="8"/>
  <c r="N116" i="8" s="1"/>
  <c r="Q53" i="4"/>
  <c r="Q68" i="4" s="1"/>
  <c r="R49" i="4"/>
  <c r="R18" i="4" s="1"/>
  <c r="R19" i="4" s="1"/>
  <c r="R48" i="4" s="1"/>
  <c r="R50" i="4" s="1"/>
  <c r="P69" i="4"/>
  <c r="P107" i="8" l="1"/>
  <c r="T75" i="8"/>
  <c r="R89" i="8"/>
  <c r="R131" i="8"/>
  <c r="R138" i="8" s="1"/>
  <c r="R156" i="8" s="1"/>
  <c r="R87" i="8"/>
  <c r="R88" i="8" s="1"/>
  <c r="P109" i="8"/>
  <c r="P110" i="8" s="1"/>
  <c r="O114" i="8" s="1"/>
  <c r="Q104" i="8"/>
  <c r="Q105" i="8"/>
  <c r="M121" i="8"/>
  <c r="M123" i="8" s="1"/>
  <c r="M124" i="8" s="1"/>
  <c r="M125" i="8" s="1"/>
  <c r="M126" i="8" s="1"/>
  <c r="M151" i="8" s="1"/>
  <c r="M175" i="8" s="1"/>
  <c r="M193" i="8" s="1"/>
  <c r="N120" i="8"/>
  <c r="N143" i="8" s="1"/>
  <c r="N147" i="8" s="1"/>
  <c r="N161" i="8" s="1"/>
  <c r="O113" i="8"/>
  <c r="Q169" i="4"/>
  <c r="Q190" i="4" s="1"/>
  <c r="Q66" i="4"/>
  <c r="Q170" i="4" s="1"/>
  <c r="Q191" i="4" s="1"/>
  <c r="R53" i="4"/>
  <c r="R68" i="4" s="1"/>
  <c r="S49" i="4"/>
  <c r="S18" i="4" s="1"/>
  <c r="S19" i="4" s="1"/>
  <c r="S48" i="4" s="1"/>
  <c r="S50" i="4" s="1"/>
  <c r="Q69" i="4"/>
  <c r="R66" i="4" l="1"/>
  <c r="R170" i="4" s="1"/>
  <c r="R191" i="4" s="1"/>
  <c r="R169" i="4"/>
  <c r="R190" i="4" s="1"/>
  <c r="T78" i="8"/>
  <c r="T79" i="8" s="1"/>
  <c r="T81" i="8" s="1"/>
  <c r="T76" i="8"/>
  <c r="T77" i="8" s="1"/>
  <c r="N121" i="8"/>
  <c r="N123" i="8" s="1"/>
  <c r="N124" i="8" s="1"/>
  <c r="N125" i="8" s="1"/>
  <c r="N126" i="8" s="1"/>
  <c r="N151" i="8" s="1"/>
  <c r="R92" i="8"/>
  <c r="R141" i="8" s="1"/>
  <c r="R148" i="8" s="1"/>
  <c r="R162" i="8" s="1"/>
  <c r="S85" i="8"/>
  <c r="M164" i="8"/>
  <c r="M176" i="8" s="1"/>
  <c r="M194" i="8" s="1"/>
  <c r="O117" i="8"/>
  <c r="O133" i="8"/>
  <c r="O137" i="8" s="1"/>
  <c r="O155" i="8" s="1"/>
  <c r="O118" i="8"/>
  <c r="O119" i="8"/>
  <c r="O115" i="8"/>
  <c r="O116" i="8" s="1"/>
  <c r="S53" i="4"/>
  <c r="S169" i="4" s="1"/>
  <c r="S190" i="4" s="1"/>
  <c r="T49" i="4"/>
  <c r="T18" i="4" s="1"/>
  <c r="T19" i="4" s="1"/>
  <c r="T48" i="4" s="1"/>
  <c r="T50" i="4" s="1"/>
  <c r="R69" i="4"/>
  <c r="S66" i="4" l="1"/>
  <c r="S170" i="4" s="1"/>
  <c r="S191" i="4" s="1"/>
  <c r="S68" i="4"/>
  <c r="R93" i="8"/>
  <c r="R95" i="8" s="1"/>
  <c r="R96" i="8" s="1"/>
  <c r="Q100" i="8" s="1"/>
  <c r="T157" i="8"/>
  <c r="U74" i="8"/>
  <c r="T82" i="8"/>
  <c r="S86" i="8" s="1"/>
  <c r="S87" i="8" s="1"/>
  <c r="S88" i="8" s="1"/>
  <c r="S91" i="8"/>
  <c r="S90" i="8"/>
  <c r="O120" i="8"/>
  <c r="O143" i="8" s="1"/>
  <c r="O147" i="8" s="1"/>
  <c r="O161" i="8" s="1"/>
  <c r="P113" i="8"/>
  <c r="N164" i="8"/>
  <c r="N176" i="8" s="1"/>
  <c r="N194" i="8" s="1"/>
  <c r="N175" i="8"/>
  <c r="N193" i="8" s="1"/>
  <c r="T53" i="4"/>
  <c r="T66" i="4" s="1"/>
  <c r="T170" i="4" s="1"/>
  <c r="T191" i="4" s="1"/>
  <c r="U49" i="4"/>
  <c r="U18" i="4" s="1"/>
  <c r="U19" i="4" s="1"/>
  <c r="U48" i="4" s="1"/>
  <c r="U50" i="4" s="1"/>
  <c r="S69" i="4"/>
  <c r="T169" i="4" l="1"/>
  <c r="T190" i="4" s="1"/>
  <c r="T68" i="4"/>
  <c r="T69" i="4" s="1"/>
  <c r="O121" i="8"/>
  <c r="U75" i="8"/>
  <c r="S89" i="8"/>
  <c r="S131" i="8"/>
  <c r="S138" i="8" s="1"/>
  <c r="S156" i="8" s="1"/>
  <c r="S92" i="8"/>
  <c r="S141" i="8" s="1"/>
  <c r="S148" i="8" s="1"/>
  <c r="S162" i="8" s="1"/>
  <c r="T85" i="8"/>
  <c r="Q101" i="8"/>
  <c r="Q102" i="8" s="1"/>
  <c r="Q103" i="8"/>
  <c r="Q132" i="8"/>
  <c r="Q136" i="8" s="1"/>
  <c r="Q154" i="8" s="1"/>
  <c r="O123" i="8"/>
  <c r="O124" i="8" s="1"/>
  <c r="O125" i="8" s="1"/>
  <c r="O126" i="8" s="1"/>
  <c r="O151" i="8" s="1"/>
  <c r="P118" i="8"/>
  <c r="P119" i="8"/>
  <c r="U53" i="4"/>
  <c r="U68" i="4" s="1"/>
  <c r="V49" i="4"/>
  <c r="V18" i="4" s="1"/>
  <c r="V19" i="4" s="1"/>
  <c r="V48" i="4" s="1"/>
  <c r="V50" i="4" s="1"/>
  <c r="U169" i="4" l="1"/>
  <c r="U190" i="4" s="1"/>
  <c r="U66" i="4"/>
  <c r="U170" i="4" s="1"/>
  <c r="U191" i="4" s="1"/>
  <c r="U78" i="8"/>
  <c r="U79" i="8" s="1"/>
  <c r="U81" i="8" s="1"/>
  <c r="S93" i="8"/>
  <c r="S95" i="8" s="1"/>
  <c r="S96" i="8" s="1"/>
  <c r="U76" i="8"/>
  <c r="U77" i="8" s="1"/>
  <c r="T91" i="8"/>
  <c r="T90" i="8"/>
  <c r="Q106" i="8"/>
  <c r="R99" i="8"/>
  <c r="O175" i="8"/>
  <c r="O193" i="8" s="1"/>
  <c r="O164" i="8"/>
  <c r="O176" i="8" s="1"/>
  <c r="O194" i="8" s="1"/>
  <c r="V53" i="4"/>
  <c r="V68" i="4" s="1"/>
  <c r="W49" i="4"/>
  <c r="W18" i="4" s="1"/>
  <c r="W19" i="4" s="1"/>
  <c r="W48" i="4" s="1"/>
  <c r="W50" i="4" s="1"/>
  <c r="U69" i="4"/>
  <c r="R100" i="8" l="1"/>
  <c r="R132" i="8" s="1"/>
  <c r="R136" i="8" s="1"/>
  <c r="R154" i="8" s="1"/>
  <c r="V169" i="4"/>
  <c r="V190" i="4" s="1"/>
  <c r="V66" i="4"/>
  <c r="V170" i="4" s="1"/>
  <c r="V191" i="4" s="1"/>
  <c r="U157" i="8"/>
  <c r="V74" i="8"/>
  <c r="U82" i="8"/>
  <c r="T86" i="8" s="1"/>
  <c r="R104" i="8"/>
  <c r="R105" i="8"/>
  <c r="Q142" i="8"/>
  <c r="Q146" i="8" s="1"/>
  <c r="Q160" i="8" s="1"/>
  <c r="Q107" i="8"/>
  <c r="W53" i="4"/>
  <c r="W68" i="4" s="1"/>
  <c r="X49" i="4"/>
  <c r="X18" i="4" s="1"/>
  <c r="X19" i="4" s="1"/>
  <c r="X48" i="4" s="1"/>
  <c r="X50" i="4" s="1"/>
  <c r="V69" i="4"/>
  <c r="W169" i="4" l="1"/>
  <c r="W190" i="4" s="1"/>
  <c r="R101" i="8"/>
  <c r="R102" i="8" s="1"/>
  <c r="R103" i="8"/>
  <c r="W66" i="4"/>
  <c r="W170" i="4" s="1"/>
  <c r="W191" i="4" s="1"/>
  <c r="V75" i="8"/>
  <c r="T89" i="8"/>
  <c r="T131" i="8"/>
  <c r="T138" i="8" s="1"/>
  <c r="T156" i="8" s="1"/>
  <c r="T87" i="8"/>
  <c r="T88" i="8" s="1"/>
  <c r="Q109" i="8"/>
  <c r="Q110" i="8" s="1"/>
  <c r="P114" i="8" s="1"/>
  <c r="R106" i="8"/>
  <c r="S99" i="8"/>
  <c r="X53" i="4"/>
  <c r="X169" i="4" s="1"/>
  <c r="X190" i="4" s="1"/>
  <c r="Y49" i="4"/>
  <c r="Y18" i="4" s="1"/>
  <c r="Y19" i="4" s="1"/>
  <c r="Y48" i="4" s="1"/>
  <c r="Y50" i="4" s="1"/>
  <c r="W69" i="4"/>
  <c r="X68" i="4" l="1"/>
  <c r="X69" i="4" s="1"/>
  <c r="X66" i="4"/>
  <c r="X170" i="4" s="1"/>
  <c r="X191" i="4" s="1"/>
  <c r="V78" i="8"/>
  <c r="V79" i="8" s="1"/>
  <c r="V81" i="8" s="1"/>
  <c r="V76" i="8"/>
  <c r="V77" i="8" s="1"/>
  <c r="T92" i="8"/>
  <c r="T141" i="8" s="1"/>
  <c r="T148" i="8" s="1"/>
  <c r="T162" i="8" s="1"/>
  <c r="U85" i="8"/>
  <c r="R142" i="8"/>
  <c r="R146" i="8" s="1"/>
  <c r="R160" i="8" s="1"/>
  <c r="R107" i="8"/>
  <c r="S105" i="8"/>
  <c r="S104" i="8"/>
  <c r="P117" i="8"/>
  <c r="P133" i="8"/>
  <c r="P137" i="8" s="1"/>
  <c r="P155" i="8" s="1"/>
  <c r="P115" i="8"/>
  <c r="P116" i="8" s="1"/>
  <c r="Y53" i="4"/>
  <c r="Y66" i="4" s="1"/>
  <c r="Y170" i="4" s="1"/>
  <c r="Y191" i="4" s="1"/>
  <c r="Z49" i="4"/>
  <c r="Z18" i="4" s="1"/>
  <c r="Z19" i="4" s="1"/>
  <c r="Z48" i="4" s="1"/>
  <c r="Z50" i="4" s="1"/>
  <c r="Y169" i="4" l="1"/>
  <c r="Y190" i="4" s="1"/>
  <c r="Y68" i="4"/>
  <c r="Y69" i="4" s="1"/>
  <c r="T93" i="8"/>
  <c r="T95" i="8" s="1"/>
  <c r="T96" i="8" s="1"/>
  <c r="S100" i="8" s="1"/>
  <c r="V157" i="8"/>
  <c r="W74" i="8"/>
  <c r="V82" i="8"/>
  <c r="U86" i="8" s="1"/>
  <c r="U87" i="8" s="1"/>
  <c r="U88" i="8" s="1"/>
  <c r="U91" i="8"/>
  <c r="U90" i="8"/>
  <c r="P120" i="8"/>
  <c r="Q113" i="8"/>
  <c r="R109" i="8"/>
  <c r="R110" i="8" s="1"/>
  <c r="Z53" i="4"/>
  <c r="Z68" i="4" s="1"/>
  <c r="AA49" i="4"/>
  <c r="AA18" i="4" s="1"/>
  <c r="AA19" i="4" s="1"/>
  <c r="AA48" i="4" s="1"/>
  <c r="AA50" i="4" s="1"/>
  <c r="Z169" i="4" l="1"/>
  <c r="Z190" i="4" s="1"/>
  <c r="Z66" i="4"/>
  <c r="Z170" i="4" s="1"/>
  <c r="Z191" i="4" s="1"/>
  <c r="Q114" i="8"/>
  <c r="Q133" i="8" s="1"/>
  <c r="Q137" i="8" s="1"/>
  <c r="Q155" i="8" s="1"/>
  <c r="W75" i="8"/>
  <c r="U89" i="8"/>
  <c r="U131" i="8"/>
  <c r="U138" i="8" s="1"/>
  <c r="U156" i="8" s="1"/>
  <c r="U92" i="8"/>
  <c r="U141" i="8" s="1"/>
  <c r="U148" i="8" s="1"/>
  <c r="U162" i="8" s="1"/>
  <c r="V85" i="8"/>
  <c r="S103" i="8"/>
  <c r="S132" i="8"/>
  <c r="S136" i="8" s="1"/>
  <c r="S154" i="8" s="1"/>
  <c r="S101" i="8"/>
  <c r="S102" i="8" s="1"/>
  <c r="Q117" i="8"/>
  <c r="Q119" i="8"/>
  <c r="Q118" i="8"/>
  <c r="P143" i="8"/>
  <c r="P147" i="8" s="1"/>
  <c r="P161" i="8" s="1"/>
  <c r="P121" i="8"/>
  <c r="AA53" i="4"/>
  <c r="AA66" i="4" s="1"/>
  <c r="AA170" i="4" s="1"/>
  <c r="AA191" i="4" s="1"/>
  <c r="AB49" i="4"/>
  <c r="AB18" i="4" s="1"/>
  <c r="AB19" i="4" s="1"/>
  <c r="AB48" i="4" s="1"/>
  <c r="AB50" i="4" s="1"/>
  <c r="Z69" i="4"/>
  <c r="AA68" i="4" l="1"/>
  <c r="AA169" i="4"/>
  <c r="AA190" i="4" s="1"/>
  <c r="Q115" i="8"/>
  <c r="Q116" i="8" s="1"/>
  <c r="R113" i="8" s="1"/>
  <c r="R118" i="8" s="1"/>
  <c r="U93" i="8"/>
  <c r="U95" i="8" s="1"/>
  <c r="U96" i="8" s="1"/>
  <c r="W78" i="8"/>
  <c r="W79" i="8" s="1"/>
  <c r="W81" i="8" s="1"/>
  <c r="W76" i="8"/>
  <c r="W77" i="8" s="1"/>
  <c r="V91" i="8"/>
  <c r="V90" i="8"/>
  <c r="T99" i="8"/>
  <c r="S106" i="8"/>
  <c r="S142" i="8" s="1"/>
  <c r="S146" i="8" s="1"/>
  <c r="S160" i="8" s="1"/>
  <c r="Q120" i="8"/>
  <c r="Q143" i="8" s="1"/>
  <c r="Q147" i="8" s="1"/>
  <c r="Q161" i="8" s="1"/>
  <c r="P123" i="8"/>
  <c r="P124" i="8" s="1"/>
  <c r="P125" i="8" s="1"/>
  <c r="P126" i="8" s="1"/>
  <c r="P151" i="8" s="1"/>
  <c r="AB53" i="4"/>
  <c r="AB66" i="4" s="1"/>
  <c r="AB170" i="4" s="1"/>
  <c r="AB191" i="4" s="1"/>
  <c r="AC49" i="4"/>
  <c r="AC18" i="4" s="1"/>
  <c r="AC19" i="4" s="1"/>
  <c r="AC48" i="4" s="1"/>
  <c r="AC50" i="4" s="1"/>
  <c r="AB68" i="4"/>
  <c r="AA69" i="4"/>
  <c r="AB169" i="4" l="1"/>
  <c r="AB190" i="4" s="1"/>
  <c r="R119" i="8"/>
  <c r="T100" i="8"/>
  <c r="T101" i="8" s="1"/>
  <c r="T102" i="8" s="1"/>
  <c r="S107" i="8"/>
  <c r="S109" i="8" s="1"/>
  <c r="S110" i="8" s="1"/>
  <c r="R114" i="8" s="1"/>
  <c r="R133" i="8" s="1"/>
  <c r="R137" i="8" s="1"/>
  <c r="R155" i="8" s="1"/>
  <c r="W157" i="8"/>
  <c r="X74" i="8"/>
  <c r="W82" i="8"/>
  <c r="V86" i="8" s="1"/>
  <c r="R117" i="8"/>
  <c r="Q121" i="8"/>
  <c r="Q123" i="8" s="1"/>
  <c r="Q124" i="8" s="1"/>
  <c r="Q125" i="8" s="1"/>
  <c r="Q126" i="8" s="1"/>
  <c r="Q151" i="8" s="1"/>
  <c r="Q164" i="8" s="1"/>
  <c r="Q176" i="8" s="1"/>
  <c r="Q194" i="8" s="1"/>
  <c r="T103" i="8"/>
  <c r="T132" i="8"/>
  <c r="T136" i="8" s="1"/>
  <c r="T154" i="8" s="1"/>
  <c r="R115" i="8"/>
  <c r="R116" i="8" s="1"/>
  <c r="R120" i="8" s="1"/>
  <c r="R143" i="8" s="1"/>
  <c r="R147" i="8" s="1"/>
  <c r="R161" i="8" s="1"/>
  <c r="T105" i="8"/>
  <c r="T104" i="8"/>
  <c r="P175" i="8"/>
  <c r="P193" i="8" s="1"/>
  <c r="P164" i="8"/>
  <c r="P176" i="8" s="1"/>
  <c r="P194" i="8" s="1"/>
  <c r="AC53" i="4"/>
  <c r="AC169" i="4" s="1"/>
  <c r="AC190" i="4" s="1"/>
  <c r="AD49" i="4"/>
  <c r="AB69" i="4"/>
  <c r="AD18" i="4" l="1"/>
  <c r="AD19" i="4" s="1"/>
  <c r="AD48" i="4" s="1"/>
  <c r="AD50" i="4" s="1"/>
  <c r="AD53" i="4" s="1"/>
  <c r="AD66" i="4" s="1"/>
  <c r="AD170" i="4" s="1"/>
  <c r="AD191" i="4" s="1"/>
  <c r="AC68" i="4"/>
  <c r="AC69" i="4" s="1"/>
  <c r="AC66" i="4"/>
  <c r="AC170" i="4" s="1"/>
  <c r="AC191" i="4" s="1"/>
  <c r="Q175" i="8"/>
  <c r="Q193" i="8" s="1"/>
  <c r="X75" i="8"/>
  <c r="V89" i="8"/>
  <c r="V131" i="8"/>
  <c r="V138" i="8" s="1"/>
  <c r="V156" i="8" s="1"/>
  <c r="V87" i="8"/>
  <c r="V88" i="8" s="1"/>
  <c r="S113" i="8"/>
  <c r="S119" i="8" s="1"/>
  <c r="T106" i="8"/>
  <c r="T142" i="8" s="1"/>
  <c r="T146" i="8" s="1"/>
  <c r="T160" i="8" s="1"/>
  <c r="U99" i="8"/>
  <c r="R121" i="8"/>
  <c r="AE49" i="4" l="1"/>
  <c r="AE18" i="4" s="1"/>
  <c r="AE19" i="4" s="1"/>
  <c r="AE48" i="4" s="1"/>
  <c r="AE50" i="4" s="1"/>
  <c r="AF49" i="4" s="1"/>
  <c r="AF18" i="4" s="1"/>
  <c r="AF19" i="4" s="1"/>
  <c r="AF48" i="4" s="1"/>
  <c r="AF50" i="4" s="1"/>
  <c r="AD68" i="4"/>
  <c r="AD69" i="4" s="1"/>
  <c r="AD169" i="4"/>
  <c r="AD190" i="4" s="1"/>
  <c r="S118" i="8"/>
  <c r="X78" i="8"/>
  <c r="X79" i="8" s="1"/>
  <c r="X81" i="8" s="1"/>
  <c r="X76" i="8"/>
  <c r="X77" i="8" s="1"/>
  <c r="V92" i="8"/>
  <c r="V141" i="8" s="1"/>
  <c r="V148" i="8" s="1"/>
  <c r="V162" i="8" s="1"/>
  <c r="W85" i="8"/>
  <c r="T107" i="8"/>
  <c r="T109" i="8" s="1"/>
  <c r="T110" i="8" s="1"/>
  <c r="S114" i="8" s="1"/>
  <c r="U105" i="8"/>
  <c r="U104" i="8"/>
  <c r="R123" i="8"/>
  <c r="R124" i="8" s="1"/>
  <c r="R125" i="8" s="1"/>
  <c r="R126" i="8" s="1"/>
  <c r="R151" i="8" s="1"/>
  <c r="AE53" i="4"/>
  <c r="AE68" i="4" s="1"/>
  <c r="AE169" i="4" l="1"/>
  <c r="AE190" i="4" s="1"/>
  <c r="AE66" i="4"/>
  <c r="AE170" i="4" s="1"/>
  <c r="AE191" i="4" s="1"/>
  <c r="V93" i="8"/>
  <c r="V95" i="8" s="1"/>
  <c r="V96" i="8" s="1"/>
  <c r="U100" i="8" s="1"/>
  <c r="X157" i="8"/>
  <c r="Y74" i="8"/>
  <c r="X82" i="8"/>
  <c r="W86" i="8" s="1"/>
  <c r="W87" i="8" s="1"/>
  <c r="W88" i="8" s="1"/>
  <c r="W91" i="8"/>
  <c r="W90" i="8"/>
  <c r="S117" i="8"/>
  <c r="S115" i="8"/>
  <c r="S116" i="8" s="1"/>
  <c r="S133" i="8"/>
  <c r="S137" i="8" s="1"/>
  <c r="S155" i="8" s="1"/>
  <c r="R175" i="8"/>
  <c r="R193" i="8" s="1"/>
  <c r="R164" i="8"/>
  <c r="R176" i="8" s="1"/>
  <c r="R194" i="8" s="1"/>
  <c r="AF53" i="4"/>
  <c r="AF68" i="4" s="1"/>
  <c r="AG49" i="4"/>
  <c r="AG18" i="4" s="1"/>
  <c r="AG19" i="4" s="1"/>
  <c r="AG48" i="4" s="1"/>
  <c r="AG50" i="4" s="1"/>
  <c r="AE69" i="4"/>
  <c r="AF169" i="4" l="1"/>
  <c r="AF190" i="4" s="1"/>
  <c r="AF66" i="4"/>
  <c r="AF170" i="4" s="1"/>
  <c r="AF191" i="4" s="1"/>
  <c r="Y75" i="8"/>
  <c r="Y76" i="8" s="1"/>
  <c r="W92" i="8"/>
  <c r="W141" i="8" s="1"/>
  <c r="W148" i="8" s="1"/>
  <c r="W162" i="8" s="1"/>
  <c r="X85" i="8"/>
  <c r="W89" i="8"/>
  <c r="W131" i="8"/>
  <c r="W138" i="8" s="1"/>
  <c r="W156" i="8" s="1"/>
  <c r="U103" i="8"/>
  <c r="U132" i="8"/>
  <c r="U136" i="8" s="1"/>
  <c r="U154" i="8" s="1"/>
  <c r="U101" i="8"/>
  <c r="U102" i="8" s="1"/>
  <c r="S120" i="8"/>
  <c r="S143" i="8" s="1"/>
  <c r="S147" i="8" s="1"/>
  <c r="S161" i="8" s="1"/>
  <c r="T113" i="8"/>
  <c r="AG53" i="4"/>
  <c r="AG68" i="4" s="1"/>
  <c r="AH49" i="4"/>
  <c r="AH18" i="4" s="1"/>
  <c r="AH19" i="4" s="1"/>
  <c r="AH48" i="4" s="1"/>
  <c r="AH50" i="4" s="1"/>
  <c r="AF69" i="4"/>
  <c r="W93" i="8" l="1"/>
  <c r="S121" i="8"/>
  <c r="S123" i="8" s="1"/>
  <c r="S124" i="8" s="1"/>
  <c r="S125" i="8" s="1"/>
  <c r="S126" i="8" s="1"/>
  <c r="S151" i="8" s="1"/>
  <c r="S175" i="8" s="1"/>
  <c r="S193" i="8" s="1"/>
  <c r="AG169" i="4"/>
  <c r="AG190" i="4" s="1"/>
  <c r="AG66" i="4"/>
  <c r="AG170" i="4" s="1"/>
  <c r="AG191" i="4" s="1"/>
  <c r="Y78" i="8"/>
  <c r="Y79" i="8" s="1"/>
  <c r="Y81" i="8" s="1"/>
  <c r="Y77" i="8"/>
  <c r="X91" i="8"/>
  <c r="X90" i="8"/>
  <c r="W95" i="8"/>
  <c r="W96" i="8" s="1"/>
  <c r="V100" i="8" s="1"/>
  <c r="U106" i="8"/>
  <c r="U142" i="8" s="1"/>
  <c r="U146" i="8" s="1"/>
  <c r="U160" i="8" s="1"/>
  <c r="V99" i="8"/>
  <c r="S164" i="8"/>
  <c r="S176" i="8" s="1"/>
  <c r="S194" i="8" s="1"/>
  <c r="T119" i="8"/>
  <c r="T118" i="8"/>
  <c r="AH53" i="4"/>
  <c r="AH66" i="4" s="1"/>
  <c r="AH170" i="4" s="1"/>
  <c r="AH191" i="4" s="1"/>
  <c r="AI49" i="4"/>
  <c r="AI18" i="4" s="1"/>
  <c r="AI19" i="4" s="1"/>
  <c r="AI48" i="4" s="1"/>
  <c r="AI50" i="4" s="1"/>
  <c r="AG69" i="4"/>
  <c r="AH68" i="4" l="1"/>
  <c r="AH69" i="4" s="1"/>
  <c r="AH169" i="4"/>
  <c r="AH190" i="4" s="1"/>
  <c r="U107" i="8"/>
  <c r="U109" i="8" s="1"/>
  <c r="U110" i="8" s="1"/>
  <c r="T114" i="8" s="1"/>
  <c r="T117" i="8" s="1"/>
  <c r="Y157" i="8"/>
  <c r="Z74" i="8"/>
  <c r="Y82" i="8"/>
  <c r="X86" i="8" s="1"/>
  <c r="V103" i="8"/>
  <c r="V132" i="8"/>
  <c r="V136" i="8" s="1"/>
  <c r="V154" i="8" s="1"/>
  <c r="V105" i="8"/>
  <c r="V101" i="8"/>
  <c r="V102" i="8" s="1"/>
  <c r="V104" i="8"/>
  <c r="AI53" i="4"/>
  <c r="AI169" i="4" s="1"/>
  <c r="AI190" i="4" s="1"/>
  <c r="AJ49" i="4"/>
  <c r="AJ18" i="4" s="1"/>
  <c r="AJ19" i="4" s="1"/>
  <c r="AJ48" i="4" s="1"/>
  <c r="AJ50" i="4" s="1"/>
  <c r="AI66" i="4" l="1"/>
  <c r="AI170" i="4" s="1"/>
  <c r="AI191" i="4" s="1"/>
  <c r="AI68" i="4"/>
  <c r="AI69" i="4" s="1"/>
  <c r="T115" i="8"/>
  <c r="T116" i="8" s="1"/>
  <c r="U113" i="8" s="1"/>
  <c r="T133" i="8"/>
  <c r="T137" i="8" s="1"/>
  <c r="T155" i="8" s="1"/>
  <c r="Z75" i="8"/>
  <c r="Z76" i="8" s="1"/>
  <c r="X89" i="8"/>
  <c r="X131" i="8"/>
  <c r="X138" i="8" s="1"/>
  <c r="X156" i="8" s="1"/>
  <c r="X87" i="8"/>
  <c r="X88" i="8" s="1"/>
  <c r="V106" i="8"/>
  <c r="V142" i="8" s="1"/>
  <c r="V146" i="8" s="1"/>
  <c r="V160" i="8" s="1"/>
  <c r="W99" i="8"/>
  <c r="U119" i="8"/>
  <c r="U118" i="8"/>
  <c r="AJ53" i="4"/>
  <c r="AJ68" i="4" s="1"/>
  <c r="AK49" i="4"/>
  <c r="AK18" i="4" s="1"/>
  <c r="AK19" i="4" s="1"/>
  <c r="AK48" i="4" s="1"/>
  <c r="AK50" i="4" s="1"/>
  <c r="AJ66" i="4" l="1"/>
  <c r="AJ170" i="4" s="1"/>
  <c r="AJ191" i="4" s="1"/>
  <c r="AJ169" i="4"/>
  <c r="AJ190" i="4" s="1"/>
  <c r="T120" i="8"/>
  <c r="V107" i="8"/>
  <c r="V109" i="8" s="1"/>
  <c r="V110" i="8" s="1"/>
  <c r="U114" i="8" s="1"/>
  <c r="Z78" i="8"/>
  <c r="Z79" i="8" s="1"/>
  <c r="Z81" i="8" s="1"/>
  <c r="Z77" i="8"/>
  <c r="X92" i="8"/>
  <c r="X141" i="8" s="1"/>
  <c r="X148" i="8" s="1"/>
  <c r="X162" i="8" s="1"/>
  <c r="Y85" i="8"/>
  <c r="W105" i="8"/>
  <c r="W104" i="8"/>
  <c r="AK53" i="4"/>
  <c r="AK68" i="4" s="1"/>
  <c r="AL49" i="4"/>
  <c r="AL18" i="4" s="1"/>
  <c r="AL19" i="4" s="1"/>
  <c r="AL48" i="4" s="1"/>
  <c r="AL50" i="4" s="1"/>
  <c r="AJ69" i="4"/>
  <c r="X93" i="8" l="1"/>
  <c r="X95" i="8" s="1"/>
  <c r="X96" i="8" s="1"/>
  <c r="W100" i="8" s="1"/>
  <c r="T143" i="8"/>
  <c r="T147" i="8" s="1"/>
  <c r="T161" i="8" s="1"/>
  <c r="T121" i="8"/>
  <c r="T123" i="8" s="1"/>
  <c r="T124" i="8" s="1"/>
  <c r="T125" i="8" s="1"/>
  <c r="T126" i="8" s="1"/>
  <c r="T151" i="8" s="1"/>
  <c r="AK169" i="4"/>
  <c r="AK190" i="4" s="1"/>
  <c r="AK66" i="4"/>
  <c r="AK170" i="4" s="1"/>
  <c r="AK191" i="4" s="1"/>
  <c r="Z157" i="8"/>
  <c r="AA74" i="8"/>
  <c r="Z82" i="8"/>
  <c r="Y86" i="8" s="1"/>
  <c r="Y87" i="8" s="1"/>
  <c r="Y88" i="8" s="1"/>
  <c r="Y91" i="8"/>
  <c r="Y90" i="8"/>
  <c r="U117" i="8"/>
  <c r="U115" i="8"/>
  <c r="U116" i="8" s="1"/>
  <c r="U133" i="8"/>
  <c r="U137" i="8" s="1"/>
  <c r="U155" i="8" s="1"/>
  <c r="AL53" i="4"/>
  <c r="AL68" i="4" s="1"/>
  <c r="AM49" i="4"/>
  <c r="AM18" i="4" s="1"/>
  <c r="AM19" i="4" s="1"/>
  <c r="AM48" i="4" s="1"/>
  <c r="AM50" i="4" s="1"/>
  <c r="AM53" i="4" s="1"/>
  <c r="AK69" i="4"/>
  <c r="AL169" i="4" l="1"/>
  <c r="AL190" i="4" s="1"/>
  <c r="AL66" i="4"/>
  <c r="AL170" i="4" s="1"/>
  <c r="AL191" i="4" s="1"/>
  <c r="T175" i="8"/>
  <c r="T193" i="8" s="1"/>
  <c r="T164" i="8"/>
  <c r="T176" i="8" s="1"/>
  <c r="T194" i="8" s="1"/>
  <c r="AA75" i="8"/>
  <c r="Y92" i="8"/>
  <c r="Y141" i="8" s="1"/>
  <c r="Y148" i="8" s="1"/>
  <c r="Y162" i="8" s="1"/>
  <c r="Z85" i="8"/>
  <c r="Y89" i="8"/>
  <c r="Y131" i="8"/>
  <c r="Y138" i="8" s="1"/>
  <c r="Y156" i="8" s="1"/>
  <c r="W103" i="8"/>
  <c r="W132" i="8"/>
  <c r="W136" i="8" s="1"/>
  <c r="W154" i="8" s="1"/>
  <c r="W101" i="8"/>
  <c r="W102" i="8" s="1"/>
  <c r="U120" i="8"/>
  <c r="U143" i="8" s="1"/>
  <c r="U147" i="8" s="1"/>
  <c r="U161" i="8" s="1"/>
  <c r="V113" i="8"/>
  <c r="AM68" i="4"/>
  <c r="AM66" i="4"/>
  <c r="AM170" i="4" s="1"/>
  <c r="AM191" i="4" s="1"/>
  <c r="AM169" i="4"/>
  <c r="AM190" i="4" s="1"/>
  <c r="AL69" i="4"/>
  <c r="Y93" i="8" l="1"/>
  <c r="Y95" i="8" s="1"/>
  <c r="Y96" i="8" s="1"/>
  <c r="X100" i="8" s="1"/>
  <c r="AA78" i="8"/>
  <c r="AA79" i="8" s="1"/>
  <c r="AA81" i="8" s="1"/>
  <c r="AA76" i="8"/>
  <c r="AA77" i="8" s="1"/>
  <c r="Z91" i="8"/>
  <c r="Z90" i="8"/>
  <c r="X99" i="8"/>
  <c r="W106" i="8"/>
  <c r="W142" i="8" s="1"/>
  <c r="W146" i="8" s="1"/>
  <c r="W160" i="8" s="1"/>
  <c r="V118" i="8"/>
  <c r="V119" i="8"/>
  <c r="U121" i="8"/>
  <c r="AM69" i="4"/>
  <c r="AA157" i="8" l="1"/>
  <c r="AB74" i="8"/>
  <c r="AA82" i="8"/>
  <c r="Z86" i="8" s="1"/>
  <c r="W107" i="8"/>
  <c r="W109" i="8" s="1"/>
  <c r="W110" i="8" s="1"/>
  <c r="V114" i="8" s="1"/>
  <c r="V133" i="8" s="1"/>
  <c r="V137" i="8" s="1"/>
  <c r="V155" i="8" s="1"/>
  <c r="X103" i="8"/>
  <c r="X132" i="8"/>
  <c r="X136" i="8" s="1"/>
  <c r="X154" i="8" s="1"/>
  <c r="X105" i="8"/>
  <c r="X104" i="8"/>
  <c r="X101" i="8"/>
  <c r="X102" i="8" s="1"/>
  <c r="U123" i="8"/>
  <c r="U124" i="8" s="1"/>
  <c r="U125" i="8" s="1"/>
  <c r="U126" i="8" s="1"/>
  <c r="U151" i="8" s="1"/>
  <c r="C172" i="8" a="1"/>
  <c r="C172" i="8" s="1"/>
  <c r="V115" i="8" l="1"/>
  <c r="V116" i="8" s="1"/>
  <c r="V120" i="8" s="1"/>
  <c r="V143" i="8" s="1"/>
  <c r="V147" i="8" s="1"/>
  <c r="V161" i="8" s="1"/>
  <c r="V117" i="8"/>
  <c r="AB75" i="8"/>
  <c r="Z89" i="8"/>
  <c r="Z131" i="8"/>
  <c r="Z138" i="8" s="1"/>
  <c r="Z156" i="8" s="1"/>
  <c r="Z87" i="8"/>
  <c r="Z88" i="8" s="1"/>
  <c r="X106" i="8"/>
  <c r="X142" i="8" s="1"/>
  <c r="X146" i="8" s="1"/>
  <c r="X160" i="8" s="1"/>
  <c r="Y99" i="8"/>
  <c r="U175" i="8"/>
  <c r="U193" i="8" s="1"/>
  <c r="U164" i="8"/>
  <c r="U176" i="8" s="1"/>
  <c r="U194" i="8" s="1"/>
  <c r="C171" i="8"/>
  <c r="V121" i="8" l="1"/>
  <c r="V123" i="8" s="1"/>
  <c r="V124" i="8" s="1"/>
  <c r="V125" i="8" s="1"/>
  <c r="V126" i="8" s="1"/>
  <c r="V151" i="8" s="1"/>
  <c r="V175" i="8" s="1"/>
  <c r="V193" i="8" s="1"/>
  <c r="W113" i="8"/>
  <c r="AB78" i="8"/>
  <c r="AB79" i="8" s="1"/>
  <c r="AB81" i="8" s="1"/>
  <c r="AB76" i="8"/>
  <c r="AB77" i="8" s="1"/>
  <c r="Z92" i="8"/>
  <c r="Z141" i="8" s="1"/>
  <c r="Z148" i="8" s="1"/>
  <c r="Z162" i="8" s="1"/>
  <c r="AA85" i="8"/>
  <c r="Y105" i="8"/>
  <c r="Y104" i="8"/>
  <c r="X107" i="8"/>
  <c r="C172" i="4" a="1"/>
  <c r="C172" i="4" s="1"/>
  <c r="V164" i="8" l="1"/>
  <c r="V176" i="8" s="1"/>
  <c r="V194" i="8" s="1"/>
  <c r="W118" i="8"/>
  <c r="W119" i="8"/>
  <c r="AB157" i="8"/>
  <c r="AC74" i="8"/>
  <c r="Z93" i="8"/>
  <c r="Z95" i="8" s="1"/>
  <c r="Z96" i="8" s="1"/>
  <c r="Y100" i="8" s="1"/>
  <c r="AB82" i="8"/>
  <c r="AA86" i="8" s="1"/>
  <c r="AA87" i="8" s="1"/>
  <c r="AA88" i="8" s="1"/>
  <c r="AA91" i="8"/>
  <c r="AA90" i="8"/>
  <c r="X109" i="8"/>
  <c r="X110" i="8" s="1"/>
  <c r="W114" i="8" s="1"/>
  <c r="C77" i="4"/>
  <c r="D74" i="4" s="1"/>
  <c r="C78" i="4"/>
  <c r="C79" i="4" s="1"/>
  <c r="Y101" i="8" l="1"/>
  <c r="Y102" i="8" s="1"/>
  <c r="Y103" i="8"/>
  <c r="Y132" i="8"/>
  <c r="Y136" i="8" s="1"/>
  <c r="Y154" i="8" s="1"/>
  <c r="AC75" i="8"/>
  <c r="AA92" i="8"/>
  <c r="AA141" i="8" s="1"/>
  <c r="AA148" i="8" s="1"/>
  <c r="AA162" i="8" s="1"/>
  <c r="AB85" i="8"/>
  <c r="AA89" i="8"/>
  <c r="AA131" i="8"/>
  <c r="AA138" i="8" s="1"/>
  <c r="AA156" i="8" s="1"/>
  <c r="W115" i="8"/>
  <c r="W116" i="8" s="1"/>
  <c r="W117" i="8"/>
  <c r="W133" i="8"/>
  <c r="W137" i="8" s="1"/>
  <c r="W155" i="8" s="1"/>
  <c r="D75" i="4"/>
  <c r="D76" i="4" s="1"/>
  <c r="D77" i="4" s="1"/>
  <c r="C157" i="4"/>
  <c r="C81" i="4"/>
  <c r="AA93" i="8" l="1"/>
  <c r="AC78" i="8"/>
  <c r="AC79" i="8" s="1"/>
  <c r="AC81" i="8" s="1"/>
  <c r="AC76" i="8"/>
  <c r="AC77" i="8" s="1"/>
  <c r="Z99" i="8"/>
  <c r="Y106" i="8"/>
  <c r="AA95" i="8"/>
  <c r="AA96" i="8" s="1"/>
  <c r="AB91" i="8"/>
  <c r="AB90" i="8"/>
  <c r="W120" i="8"/>
  <c r="X113" i="8"/>
  <c r="D78" i="4"/>
  <c r="D79" i="4" s="1"/>
  <c r="D157" i="4"/>
  <c r="E74" i="4"/>
  <c r="E75" i="4" s="1"/>
  <c r="C82" i="4"/>
  <c r="Z100" i="8" l="1"/>
  <c r="AC157" i="8"/>
  <c r="AD74" i="8"/>
  <c r="AC82" i="8"/>
  <c r="AB86" i="8" s="1"/>
  <c r="Y142" i="8"/>
  <c r="Y146" i="8" s="1"/>
  <c r="Y160" i="8" s="1"/>
  <c r="Y107" i="8"/>
  <c r="Y109" i="8" s="1"/>
  <c r="Y110" i="8" s="1"/>
  <c r="X114" i="8" s="1"/>
  <c r="Z105" i="8"/>
  <c r="Z104" i="8"/>
  <c r="Z103" i="8"/>
  <c r="Z132" i="8"/>
  <c r="Z136" i="8" s="1"/>
  <c r="Z154" i="8" s="1"/>
  <c r="Z101" i="8"/>
  <c r="Z102" i="8" s="1"/>
  <c r="X119" i="8"/>
  <c r="X118" i="8"/>
  <c r="W143" i="8"/>
  <c r="W147" i="8" s="1"/>
  <c r="W161" i="8" s="1"/>
  <c r="W121" i="8"/>
  <c r="D81" i="4"/>
  <c r="D82" i="4" s="1"/>
  <c r="C86" i="4" s="1"/>
  <c r="AD75" i="8" l="1"/>
  <c r="AD76" i="8" s="1"/>
  <c r="X133" i="8"/>
  <c r="X137" i="8" s="1"/>
  <c r="X155" i="8" s="1"/>
  <c r="X117" i="8"/>
  <c r="X115" i="8"/>
  <c r="X116" i="8" s="1"/>
  <c r="Y113" i="8" s="1"/>
  <c r="AB89" i="8"/>
  <c r="AB131" i="8"/>
  <c r="AB138" i="8" s="1"/>
  <c r="AB156" i="8" s="1"/>
  <c r="AB87" i="8"/>
  <c r="AB88" i="8" s="1"/>
  <c r="Z106" i="8"/>
  <c r="Z142" i="8" s="1"/>
  <c r="Z146" i="8" s="1"/>
  <c r="Z160" i="8" s="1"/>
  <c r="AA99" i="8"/>
  <c r="W123" i="8"/>
  <c r="W124" i="8" s="1"/>
  <c r="W125" i="8" s="1"/>
  <c r="W126" i="8" s="1"/>
  <c r="W151" i="8" s="1"/>
  <c r="C131" i="4"/>
  <c r="C89" i="4"/>
  <c r="C88" i="4"/>
  <c r="E78" i="4"/>
  <c r="E79" i="4" s="1"/>
  <c r="E76" i="4"/>
  <c r="E77" i="4" s="1"/>
  <c r="AD78" i="8" l="1"/>
  <c r="AD79" i="8" s="1"/>
  <c r="AD81" i="8" s="1"/>
  <c r="X120" i="8"/>
  <c r="X143" i="8" s="1"/>
  <c r="X147" i="8" s="1"/>
  <c r="X161" i="8" s="1"/>
  <c r="Z107" i="8"/>
  <c r="Z109" i="8" s="1"/>
  <c r="Z110" i="8" s="1"/>
  <c r="Y114" i="8" s="1"/>
  <c r="Y115" i="8" s="1"/>
  <c r="Y116" i="8" s="1"/>
  <c r="AD77" i="8"/>
  <c r="AB92" i="8"/>
  <c r="AB141" i="8" s="1"/>
  <c r="AB148" i="8" s="1"/>
  <c r="AB162" i="8" s="1"/>
  <c r="AC85" i="8"/>
  <c r="AA105" i="8"/>
  <c r="AA104" i="8"/>
  <c r="W175" i="8"/>
  <c r="W193" i="8" s="1"/>
  <c r="W164" i="8"/>
  <c r="W176" i="8" s="1"/>
  <c r="W194" i="8" s="1"/>
  <c r="Y119" i="8"/>
  <c r="Y118" i="8"/>
  <c r="E81" i="4"/>
  <c r="E157" i="4"/>
  <c r="F74" i="4"/>
  <c r="F75" i="4" s="1"/>
  <c r="D85" i="4"/>
  <c r="C92" i="4"/>
  <c r="AB93" i="8" l="1"/>
  <c r="X121" i="8"/>
  <c r="X123" i="8" s="1"/>
  <c r="X124" i="8" s="1"/>
  <c r="X125" i="8" s="1"/>
  <c r="X126" i="8" s="1"/>
  <c r="X151" i="8" s="1"/>
  <c r="AD157" i="8"/>
  <c r="AE74" i="8"/>
  <c r="AD82" i="8"/>
  <c r="AC86" i="8" s="1"/>
  <c r="AC87" i="8" s="1"/>
  <c r="AC88" i="8" s="1"/>
  <c r="AB95" i="8"/>
  <c r="AB96" i="8" s="1"/>
  <c r="AA100" i="8" s="1"/>
  <c r="AA101" i="8" s="1"/>
  <c r="AA102" i="8" s="1"/>
  <c r="AA106" i="8" s="1"/>
  <c r="AA142" i="8" s="1"/>
  <c r="AA146" i="8" s="1"/>
  <c r="AA160" i="8" s="1"/>
  <c r="AC91" i="8"/>
  <c r="AC90" i="8"/>
  <c r="Y117" i="8"/>
  <c r="Y133" i="8"/>
  <c r="Y137" i="8" s="1"/>
  <c r="Y155" i="8" s="1"/>
  <c r="Y120" i="8"/>
  <c r="Y143" i="8" s="1"/>
  <c r="Y147" i="8" s="1"/>
  <c r="Y161" i="8" s="1"/>
  <c r="Z113" i="8"/>
  <c r="E82" i="4"/>
  <c r="D86" i="4" s="1"/>
  <c r="F76" i="4"/>
  <c r="F77" i="4" s="1"/>
  <c r="C141" i="4"/>
  <c r="C93" i="4"/>
  <c r="D90" i="4"/>
  <c r="D91" i="4"/>
  <c r="AA132" i="8" l="1"/>
  <c r="AA136" i="8" s="1"/>
  <c r="AA154" i="8" s="1"/>
  <c r="AA103" i="8"/>
  <c r="AB99" i="8"/>
  <c r="Y121" i="8"/>
  <c r="Y123" i="8" s="1"/>
  <c r="Y124" i="8" s="1"/>
  <c r="Y125" i="8" s="1"/>
  <c r="Y126" i="8" s="1"/>
  <c r="Y151" i="8" s="1"/>
  <c r="AA107" i="8"/>
  <c r="AA109" i="8" s="1"/>
  <c r="AA110" i="8" s="1"/>
  <c r="Z114" i="8" s="1"/>
  <c r="Z115" i="8" s="1"/>
  <c r="Z116" i="8" s="1"/>
  <c r="AE75" i="8"/>
  <c r="AE76" i="8" s="1"/>
  <c r="AC92" i="8"/>
  <c r="AC141" i="8" s="1"/>
  <c r="AC148" i="8" s="1"/>
  <c r="AC162" i="8" s="1"/>
  <c r="AD85" i="8"/>
  <c r="AC89" i="8"/>
  <c r="AC131" i="8"/>
  <c r="AC138" i="8" s="1"/>
  <c r="AC156" i="8" s="1"/>
  <c r="AB105" i="8"/>
  <c r="AB104" i="8"/>
  <c r="Z119" i="8"/>
  <c r="Z118" i="8"/>
  <c r="X175" i="8"/>
  <c r="X193" i="8" s="1"/>
  <c r="X164" i="8"/>
  <c r="X176" i="8" s="1"/>
  <c r="X194" i="8" s="1"/>
  <c r="D87" i="4"/>
  <c r="D88" i="4" s="1"/>
  <c r="E85" i="4" s="1"/>
  <c r="F157" i="4"/>
  <c r="G74" i="4"/>
  <c r="G75" i="4" s="1"/>
  <c r="D89" i="4"/>
  <c r="D131" i="4"/>
  <c r="F78" i="4"/>
  <c r="F79" i="4" s="1"/>
  <c r="C95" i="4"/>
  <c r="AC93" i="8" l="1"/>
  <c r="AE78" i="8"/>
  <c r="AE79" i="8" s="1"/>
  <c r="AE81" i="8" s="1"/>
  <c r="AE77" i="8"/>
  <c r="AC95" i="8"/>
  <c r="AC96" i="8" s="1"/>
  <c r="AB100" i="8" s="1"/>
  <c r="AD90" i="8"/>
  <c r="AD91" i="8"/>
  <c r="Z120" i="8"/>
  <c r="Z143" i="8" s="1"/>
  <c r="Z147" i="8" s="1"/>
  <c r="Z161" i="8" s="1"/>
  <c r="AA113" i="8"/>
  <c r="Z117" i="8"/>
  <c r="Z133" i="8"/>
  <c r="Z137" i="8" s="1"/>
  <c r="Z155" i="8" s="1"/>
  <c r="Y175" i="8"/>
  <c r="Y193" i="8" s="1"/>
  <c r="Y164" i="8"/>
  <c r="Y176" i="8" s="1"/>
  <c r="Y194" i="8" s="1"/>
  <c r="D92" i="4"/>
  <c r="F81" i="4"/>
  <c r="C96" i="4"/>
  <c r="G76" i="4"/>
  <c r="E90" i="4"/>
  <c r="E91" i="4"/>
  <c r="Z121" i="8" l="1"/>
  <c r="AE157" i="8"/>
  <c r="AF74" i="8"/>
  <c r="AE82" i="8"/>
  <c r="AD86" i="8" s="1"/>
  <c r="AB103" i="8"/>
  <c r="AB132" i="8"/>
  <c r="AB136" i="8" s="1"/>
  <c r="AB154" i="8" s="1"/>
  <c r="AB101" i="8"/>
  <c r="AB102" i="8" s="1"/>
  <c r="Z123" i="8"/>
  <c r="Z124" i="8" s="1"/>
  <c r="Z125" i="8" s="1"/>
  <c r="Z126" i="8" s="1"/>
  <c r="Z151" i="8" s="1"/>
  <c r="AA119" i="8"/>
  <c r="AA118" i="8"/>
  <c r="D141" i="4"/>
  <c r="D93" i="4"/>
  <c r="D95" i="4" s="1"/>
  <c r="D96" i="4" s="1"/>
  <c r="C100" i="4" s="1"/>
  <c r="G77" i="4"/>
  <c r="H74" i="4" s="1"/>
  <c r="F82" i="4"/>
  <c r="E86" i="4" s="1"/>
  <c r="G78" i="4"/>
  <c r="G79" i="4" s="1"/>
  <c r="AF75" i="8" l="1"/>
  <c r="AD89" i="8"/>
  <c r="AD131" i="8"/>
  <c r="AD138" i="8" s="1"/>
  <c r="AD156" i="8" s="1"/>
  <c r="AD87" i="8"/>
  <c r="AD88" i="8" s="1"/>
  <c r="AB106" i="8"/>
  <c r="AB142" i="8" s="1"/>
  <c r="AB146" i="8" s="1"/>
  <c r="AB160" i="8" s="1"/>
  <c r="AC99" i="8"/>
  <c r="Z175" i="8"/>
  <c r="Z193" i="8" s="1"/>
  <c r="Z164" i="8"/>
  <c r="Z176" i="8" s="1"/>
  <c r="Z194" i="8" s="1"/>
  <c r="H75" i="4"/>
  <c r="G157" i="4"/>
  <c r="G81" i="4"/>
  <c r="C132" i="4"/>
  <c r="C103" i="4"/>
  <c r="C102" i="4"/>
  <c r="E89" i="4"/>
  <c r="E131" i="4"/>
  <c r="E87" i="4"/>
  <c r="E88" i="4" s="1"/>
  <c r="AB107" i="8" l="1"/>
  <c r="AB109" i="8" s="1"/>
  <c r="AB110" i="8" s="1"/>
  <c r="AA114" i="8" s="1"/>
  <c r="AF78" i="8"/>
  <c r="AF79" i="8" s="1"/>
  <c r="AF81" i="8" s="1"/>
  <c r="AF76" i="8"/>
  <c r="AF77" i="8" s="1"/>
  <c r="AD92" i="8"/>
  <c r="AD141" i="8" s="1"/>
  <c r="AD148" i="8" s="1"/>
  <c r="AD162" i="8" s="1"/>
  <c r="AE85" i="8"/>
  <c r="AC105" i="8"/>
  <c r="AC104" i="8"/>
  <c r="H78" i="4"/>
  <c r="H79" i="4" s="1"/>
  <c r="H81" i="4" s="1"/>
  <c r="H76" i="4"/>
  <c r="H77" i="4" s="1"/>
  <c r="F85" i="4"/>
  <c r="E92" i="4"/>
  <c r="G82" i="4"/>
  <c r="D99" i="4"/>
  <c r="C106" i="4"/>
  <c r="AD93" i="8" l="1"/>
  <c r="AD95" i="8" s="1"/>
  <c r="AD96" i="8" s="1"/>
  <c r="AC100" i="8" s="1"/>
  <c r="AC101" i="8" s="1"/>
  <c r="AC102" i="8" s="1"/>
  <c r="AD99" i="8" s="1"/>
  <c r="AF157" i="8"/>
  <c r="AG74" i="8"/>
  <c r="AF82" i="8"/>
  <c r="AE86" i="8" s="1"/>
  <c r="AE87" i="8" s="1"/>
  <c r="AE88" i="8" s="1"/>
  <c r="AE91" i="8"/>
  <c r="AE90" i="8"/>
  <c r="AA133" i="8"/>
  <c r="AA137" i="8" s="1"/>
  <c r="AA155" i="8" s="1"/>
  <c r="AA117" i="8"/>
  <c r="AA115" i="8"/>
  <c r="AA116" i="8" s="1"/>
  <c r="H157" i="4"/>
  <c r="I74" i="4"/>
  <c r="H82" i="4"/>
  <c r="F86" i="4"/>
  <c r="F87" i="4" s="1"/>
  <c r="F88" i="4" s="1"/>
  <c r="E93" i="4"/>
  <c r="E95" i="4" s="1"/>
  <c r="D104" i="4"/>
  <c r="D105" i="4"/>
  <c r="E141" i="4"/>
  <c r="C142" i="4"/>
  <c r="C107" i="4"/>
  <c r="F91" i="4"/>
  <c r="F90" i="4"/>
  <c r="AG75" i="8" l="1"/>
  <c r="AC106" i="8"/>
  <c r="AC142" i="8" s="1"/>
  <c r="AC146" i="8" s="1"/>
  <c r="AC160" i="8" s="1"/>
  <c r="AC132" i="8"/>
  <c r="AC136" i="8" s="1"/>
  <c r="AC154" i="8" s="1"/>
  <c r="AE92" i="8"/>
  <c r="AE141" i="8" s="1"/>
  <c r="AE148" i="8" s="1"/>
  <c r="AE162" i="8" s="1"/>
  <c r="AF85" i="8"/>
  <c r="AC103" i="8"/>
  <c r="AC107" i="8" s="1"/>
  <c r="AE89" i="8"/>
  <c r="AE131" i="8"/>
  <c r="AE138" i="8" s="1"/>
  <c r="AE156" i="8" s="1"/>
  <c r="AD105" i="8"/>
  <c r="AD104" i="8"/>
  <c r="AB113" i="8"/>
  <c r="AA120" i="8"/>
  <c r="I75" i="4"/>
  <c r="F131" i="4"/>
  <c r="F89" i="4"/>
  <c r="G85" i="4"/>
  <c r="G86" i="4" s="1"/>
  <c r="F92" i="4"/>
  <c r="C109" i="4"/>
  <c r="E96" i="4"/>
  <c r="D100" i="4" s="1"/>
  <c r="AE93" i="8" l="1"/>
  <c r="AG78" i="8"/>
  <c r="AG79" i="8" s="1"/>
  <c r="AG81" i="8" s="1"/>
  <c r="AG76" i="8"/>
  <c r="AG77" i="8" s="1"/>
  <c r="AE95" i="8"/>
  <c r="AE96" i="8" s="1"/>
  <c r="AD100" i="8" s="1"/>
  <c r="AF91" i="8"/>
  <c r="AF90" i="8"/>
  <c r="AC109" i="8"/>
  <c r="AC110" i="8" s="1"/>
  <c r="AB114" i="8" s="1"/>
  <c r="AB133" i="8" s="1"/>
  <c r="AB137" i="8" s="1"/>
  <c r="AB155" i="8" s="1"/>
  <c r="AA143" i="8"/>
  <c r="AA147" i="8" s="1"/>
  <c r="AA161" i="8" s="1"/>
  <c r="AA121" i="8"/>
  <c r="AB119" i="8"/>
  <c r="AB118" i="8"/>
  <c r="I78" i="4"/>
  <c r="I79" i="4" s="1"/>
  <c r="I81" i="4" s="1"/>
  <c r="I76" i="4"/>
  <c r="I77" i="4" s="1"/>
  <c r="G89" i="4"/>
  <c r="G131" i="4"/>
  <c r="C110" i="4"/>
  <c r="D103" i="4"/>
  <c r="D132" i="4"/>
  <c r="D101" i="4"/>
  <c r="D102" i="4" s="1"/>
  <c r="F141" i="4"/>
  <c r="G87" i="4"/>
  <c r="G88" i="4" s="1"/>
  <c r="H85" i="4" s="1"/>
  <c r="G90" i="4"/>
  <c r="G91" i="4"/>
  <c r="F93" i="4"/>
  <c r="AG157" i="8" l="1"/>
  <c r="AH74" i="8"/>
  <c r="AG82" i="8"/>
  <c r="AF86" i="8" s="1"/>
  <c r="AB117" i="8"/>
  <c r="AB115" i="8"/>
  <c r="AB116" i="8" s="1"/>
  <c r="AB120" i="8" s="1"/>
  <c r="AB143" i="8" s="1"/>
  <c r="AB147" i="8" s="1"/>
  <c r="AB161" i="8" s="1"/>
  <c r="AD103" i="8"/>
  <c r="AD132" i="8"/>
  <c r="AD136" i="8" s="1"/>
  <c r="AD154" i="8" s="1"/>
  <c r="AD101" i="8"/>
  <c r="AD102" i="8" s="1"/>
  <c r="AA123" i="8"/>
  <c r="AA124" i="8" s="1"/>
  <c r="AA125" i="8" s="1"/>
  <c r="AA126" i="8" s="1"/>
  <c r="AA151" i="8" s="1"/>
  <c r="I157" i="4"/>
  <c r="J74" i="4"/>
  <c r="I82" i="4"/>
  <c r="H86" i="4" s="1"/>
  <c r="H87" i="4" s="1"/>
  <c r="H88" i="4" s="1"/>
  <c r="H91" i="4"/>
  <c r="H90" i="4"/>
  <c r="E99" i="4"/>
  <c r="D106" i="4"/>
  <c r="G92" i="4"/>
  <c r="F95" i="4"/>
  <c r="AC113" i="8" l="1"/>
  <c r="AH75" i="8"/>
  <c r="AF89" i="8"/>
  <c r="AF131" i="8"/>
  <c r="AF138" i="8" s="1"/>
  <c r="AF156" i="8" s="1"/>
  <c r="AF87" i="8"/>
  <c r="AF88" i="8" s="1"/>
  <c r="AD106" i="8"/>
  <c r="AD142" i="8" s="1"/>
  <c r="AD146" i="8" s="1"/>
  <c r="AD160" i="8" s="1"/>
  <c r="AE99" i="8"/>
  <c r="AC118" i="8"/>
  <c r="AC119" i="8"/>
  <c r="AA164" i="8"/>
  <c r="AA176" i="8" s="1"/>
  <c r="AA194" i="8" s="1"/>
  <c r="AA175" i="8"/>
  <c r="AA193" i="8" s="1"/>
  <c r="AB121" i="8"/>
  <c r="J75" i="4"/>
  <c r="H92" i="4"/>
  <c r="H141" i="4" s="1"/>
  <c r="H148" i="4" s="1"/>
  <c r="H162" i="4" s="1"/>
  <c r="I85" i="4"/>
  <c r="H89" i="4"/>
  <c r="H131" i="4"/>
  <c r="H138" i="4" s="1"/>
  <c r="H156" i="4" s="1"/>
  <c r="G93" i="4"/>
  <c r="D142" i="4"/>
  <c r="D107" i="4"/>
  <c r="F96" i="4"/>
  <c r="E100" i="4" s="1"/>
  <c r="E105" i="4"/>
  <c r="E104" i="4"/>
  <c r="G141" i="4"/>
  <c r="AD107" i="8" l="1"/>
  <c r="AH78" i="8"/>
  <c r="AH79" i="8" s="1"/>
  <c r="AH81" i="8" s="1"/>
  <c r="AH76" i="8"/>
  <c r="AH77" i="8" s="1"/>
  <c r="AF92" i="8"/>
  <c r="AF141" i="8" s="1"/>
  <c r="AF148" i="8" s="1"/>
  <c r="AF162" i="8" s="1"/>
  <c r="AG85" i="8"/>
  <c r="AD109" i="8"/>
  <c r="AD110" i="8" s="1"/>
  <c r="AC114" i="8" s="1"/>
  <c r="AE105" i="8"/>
  <c r="AE104" i="8"/>
  <c r="AB123" i="8"/>
  <c r="AB124" i="8" s="1"/>
  <c r="AB125" i="8" s="1"/>
  <c r="AB126" i="8" s="1"/>
  <c r="AB151" i="8" s="1"/>
  <c r="H93" i="4"/>
  <c r="H95" i="4" s="1"/>
  <c r="J76" i="4"/>
  <c r="J77" i="4" s="1"/>
  <c r="J78" i="4"/>
  <c r="J79" i="4" s="1"/>
  <c r="J81" i="4" s="1"/>
  <c r="I91" i="4"/>
  <c r="I90" i="4"/>
  <c r="G95" i="4"/>
  <c r="G96" i="4" s="1"/>
  <c r="E101" i="4"/>
  <c r="E102" i="4" s="1"/>
  <c r="E103" i="4"/>
  <c r="E132" i="4"/>
  <c r="D109" i="4"/>
  <c r="AF93" i="8" l="1"/>
  <c r="AH157" i="8"/>
  <c r="AI74" i="8"/>
  <c r="AH82" i="8"/>
  <c r="AG86" i="8" s="1"/>
  <c r="AG87" i="8" s="1"/>
  <c r="AG88" i="8" s="1"/>
  <c r="AF95" i="8"/>
  <c r="AF96" i="8" s="1"/>
  <c r="AE100" i="8" s="1"/>
  <c r="AE101" i="8" s="1"/>
  <c r="AE102" i="8" s="1"/>
  <c r="AE106" i="8" s="1"/>
  <c r="AE142" i="8" s="1"/>
  <c r="AE146" i="8" s="1"/>
  <c r="AE160" i="8" s="1"/>
  <c r="AG91" i="8"/>
  <c r="AG90" i="8"/>
  <c r="AC117" i="8"/>
  <c r="AC115" i="8"/>
  <c r="AC116" i="8" s="1"/>
  <c r="AC133" i="8"/>
  <c r="AC137" i="8" s="1"/>
  <c r="AC155" i="8" s="1"/>
  <c r="AB175" i="8"/>
  <c r="AB193" i="8" s="1"/>
  <c r="AB164" i="8"/>
  <c r="AB176" i="8" s="1"/>
  <c r="AB194" i="8" s="1"/>
  <c r="J157" i="4"/>
  <c r="K74" i="4"/>
  <c r="J82" i="4"/>
  <c r="I86" i="4" s="1"/>
  <c r="H96" i="4"/>
  <c r="D110" i="4"/>
  <c r="C114" i="4" s="1"/>
  <c r="F99" i="4"/>
  <c r="F100" i="4" s="1"/>
  <c r="E106" i="4"/>
  <c r="AE132" i="8" l="1"/>
  <c r="AE136" i="8" s="1"/>
  <c r="AE154" i="8" s="1"/>
  <c r="AF99" i="8"/>
  <c r="AE103" i="8"/>
  <c r="AE107" i="8" s="1"/>
  <c r="AE109" i="8" s="1"/>
  <c r="AE110" i="8" s="1"/>
  <c r="AI75" i="8"/>
  <c r="AG92" i="8"/>
  <c r="AG141" i="8" s="1"/>
  <c r="AG148" i="8" s="1"/>
  <c r="AG162" i="8" s="1"/>
  <c r="AH85" i="8"/>
  <c r="AG89" i="8"/>
  <c r="AG131" i="8"/>
  <c r="AG138" i="8" s="1"/>
  <c r="AG156" i="8" s="1"/>
  <c r="AF104" i="8"/>
  <c r="AF105" i="8"/>
  <c r="AC120" i="8"/>
  <c r="AC143" i="8" s="1"/>
  <c r="AC147" i="8" s="1"/>
  <c r="AC161" i="8" s="1"/>
  <c r="AD113" i="8"/>
  <c r="K75" i="4"/>
  <c r="I89" i="4"/>
  <c r="I131" i="4"/>
  <c r="I138" i="4" s="1"/>
  <c r="I156" i="4" s="1"/>
  <c r="I87" i="4"/>
  <c r="I88" i="4" s="1"/>
  <c r="F132" i="4"/>
  <c r="F103" i="4"/>
  <c r="E142" i="4"/>
  <c r="F105" i="4"/>
  <c r="F104" i="4"/>
  <c r="F101" i="4"/>
  <c r="F102" i="4" s="1"/>
  <c r="C133" i="4"/>
  <c r="C117" i="4"/>
  <c r="C116" i="4"/>
  <c r="E107" i="4"/>
  <c r="AG93" i="8" l="1"/>
  <c r="AD114" i="8"/>
  <c r="AD115" i="8" s="1"/>
  <c r="AD116" i="8" s="1"/>
  <c r="AC121" i="8"/>
  <c r="AC123" i="8" s="1"/>
  <c r="AC124" i="8" s="1"/>
  <c r="AC125" i="8" s="1"/>
  <c r="AC126" i="8" s="1"/>
  <c r="AC151" i="8" s="1"/>
  <c r="AC175" i="8" s="1"/>
  <c r="AC193" i="8" s="1"/>
  <c r="AI78" i="8"/>
  <c r="AI79" i="8" s="1"/>
  <c r="AI81" i="8" s="1"/>
  <c r="AI76" i="8"/>
  <c r="AI77" i="8" s="1"/>
  <c r="AH91" i="8"/>
  <c r="AH90" i="8"/>
  <c r="AG95" i="8"/>
  <c r="AG96" i="8" s="1"/>
  <c r="AF100" i="8" s="1"/>
  <c r="AD119" i="8"/>
  <c r="AD118" i="8"/>
  <c r="K78" i="4"/>
  <c r="K79" i="4" s="1"/>
  <c r="K81" i="4" s="1"/>
  <c r="K76" i="4"/>
  <c r="K77" i="4" s="1"/>
  <c r="I92" i="4"/>
  <c r="I141" i="4" s="1"/>
  <c r="I148" i="4" s="1"/>
  <c r="I162" i="4" s="1"/>
  <c r="J85" i="4"/>
  <c r="C138" i="4"/>
  <c r="C156" i="4" s="1"/>
  <c r="C137" i="4"/>
  <c r="C155" i="4" s="1"/>
  <c r="G99" i="4"/>
  <c r="G100" i="4" s="1"/>
  <c r="F106" i="4"/>
  <c r="E109" i="4"/>
  <c r="C136" i="4"/>
  <c r="C120" i="4"/>
  <c r="D113" i="4"/>
  <c r="AD117" i="8" l="1"/>
  <c r="AD133" i="8"/>
  <c r="AD137" i="8" s="1"/>
  <c r="AD155" i="8" s="1"/>
  <c r="AC164" i="8"/>
  <c r="AC176" i="8" s="1"/>
  <c r="AC194" i="8" s="1"/>
  <c r="AI157" i="8"/>
  <c r="AJ74" i="8"/>
  <c r="AI82" i="8"/>
  <c r="AH86" i="8" s="1"/>
  <c r="AF103" i="8"/>
  <c r="AF132" i="8"/>
  <c r="AF136" i="8" s="1"/>
  <c r="AF154" i="8" s="1"/>
  <c r="AF101" i="8"/>
  <c r="AF102" i="8" s="1"/>
  <c r="AD120" i="8"/>
  <c r="AD143" i="8" s="1"/>
  <c r="AD147" i="8" s="1"/>
  <c r="AD161" i="8" s="1"/>
  <c r="AE113" i="8"/>
  <c r="I93" i="4"/>
  <c r="I95" i="4" s="1"/>
  <c r="I96" i="4" s="1"/>
  <c r="H100" i="4" s="1"/>
  <c r="H103" i="4" s="1"/>
  <c r="K157" i="4"/>
  <c r="L74" i="4"/>
  <c r="K82" i="4"/>
  <c r="J86" i="4" s="1"/>
  <c r="J87" i="4" s="1"/>
  <c r="J88" i="4" s="1"/>
  <c r="J91" i="4"/>
  <c r="J90" i="4"/>
  <c r="F107" i="4"/>
  <c r="G103" i="4"/>
  <c r="G132" i="4"/>
  <c r="E110" i="4"/>
  <c r="D114" i="4" s="1"/>
  <c r="D119" i="4"/>
  <c r="D118" i="4"/>
  <c r="C143" i="4"/>
  <c r="C147" i="4" s="1"/>
  <c r="C161" i="4" s="1"/>
  <c r="C121" i="4"/>
  <c r="C154" i="4"/>
  <c r="F142" i="4"/>
  <c r="G105" i="4"/>
  <c r="G104" i="4"/>
  <c r="G101" i="4"/>
  <c r="G102" i="4" s="1"/>
  <c r="H99" i="4" s="1"/>
  <c r="AD121" i="8" l="1"/>
  <c r="AJ75" i="8"/>
  <c r="AH89" i="8"/>
  <c r="AH131" i="8"/>
  <c r="AH138" i="8" s="1"/>
  <c r="AH156" i="8" s="1"/>
  <c r="AH87" i="8"/>
  <c r="AH88" i="8" s="1"/>
  <c r="AF106" i="8"/>
  <c r="AF142" i="8" s="1"/>
  <c r="AF146" i="8" s="1"/>
  <c r="AF160" i="8" s="1"/>
  <c r="AG99" i="8"/>
  <c r="AD123" i="8"/>
  <c r="AD124" i="8" s="1"/>
  <c r="AD125" i="8" s="1"/>
  <c r="AD126" i="8" s="1"/>
  <c r="AD151" i="8" s="1"/>
  <c r="AE119" i="8"/>
  <c r="AE118" i="8"/>
  <c r="L75" i="4"/>
  <c r="J92" i="4"/>
  <c r="J141" i="4" s="1"/>
  <c r="J148" i="4" s="1"/>
  <c r="J162" i="4" s="1"/>
  <c r="K85" i="4"/>
  <c r="J89" i="4"/>
  <c r="J131" i="4"/>
  <c r="J138" i="4" s="1"/>
  <c r="J156" i="4" s="1"/>
  <c r="H132" i="4"/>
  <c r="H136" i="4" s="1"/>
  <c r="H154" i="4" s="1"/>
  <c r="H105" i="4"/>
  <c r="H104" i="4"/>
  <c r="H101" i="4"/>
  <c r="H102" i="4" s="1"/>
  <c r="F109" i="4"/>
  <c r="F110" i="4" s="1"/>
  <c r="C146" i="4"/>
  <c r="C160" i="4" s="1"/>
  <c r="C148" i="4"/>
  <c r="C162" i="4" s="1"/>
  <c r="G106" i="4"/>
  <c r="C123" i="4"/>
  <c r="D117" i="4"/>
  <c r="D133" i="4"/>
  <c r="D115" i="4"/>
  <c r="D116" i="4" s="1"/>
  <c r="AF107" i="8" l="1"/>
  <c r="AF109" i="8" s="1"/>
  <c r="AF110" i="8" s="1"/>
  <c r="AE114" i="8" s="1"/>
  <c r="AJ78" i="8"/>
  <c r="AJ79" i="8" s="1"/>
  <c r="AJ81" i="8" s="1"/>
  <c r="AJ76" i="8"/>
  <c r="AJ77" i="8" s="1"/>
  <c r="AH92" i="8"/>
  <c r="AH141" i="8" s="1"/>
  <c r="AH148" i="8" s="1"/>
  <c r="AH162" i="8" s="1"/>
  <c r="AI85" i="8"/>
  <c r="AG105" i="8"/>
  <c r="AG104" i="8"/>
  <c r="AD175" i="8"/>
  <c r="AD193" i="8" s="1"/>
  <c r="AD164" i="8"/>
  <c r="AD176" i="8" s="1"/>
  <c r="AD194" i="8" s="1"/>
  <c r="J93" i="4"/>
  <c r="J95" i="4" s="1"/>
  <c r="J96" i="4" s="1"/>
  <c r="I100" i="4" s="1"/>
  <c r="L78" i="4"/>
  <c r="L79" i="4" s="1"/>
  <c r="L81" i="4" s="1"/>
  <c r="L76" i="4"/>
  <c r="L77" i="4" s="1"/>
  <c r="K91" i="4"/>
  <c r="K90" i="4"/>
  <c r="H106" i="4"/>
  <c r="H142" i="4" s="1"/>
  <c r="H146" i="4" s="1"/>
  <c r="H160" i="4" s="1"/>
  <c r="I99" i="4"/>
  <c r="G107" i="4"/>
  <c r="D138" i="4"/>
  <c r="D156" i="4" s="1"/>
  <c r="D137" i="4"/>
  <c r="D155" i="4" s="1"/>
  <c r="E113" i="4"/>
  <c r="E114" i="4" s="1"/>
  <c r="D120" i="4"/>
  <c r="C124" i="4"/>
  <c r="C125" i="4" s="1"/>
  <c r="C126" i="4" s="1"/>
  <c r="C151" i="4" s="1"/>
  <c r="D136" i="4"/>
  <c r="G142" i="4"/>
  <c r="AH93" i="8" l="1"/>
  <c r="AJ157" i="8"/>
  <c r="AK74" i="8"/>
  <c r="AJ82" i="8"/>
  <c r="AI86" i="8" s="1"/>
  <c r="AI87" i="8" s="1"/>
  <c r="AI88" i="8" s="1"/>
  <c r="AH95" i="8"/>
  <c r="AH96" i="8" s="1"/>
  <c r="AG100" i="8" s="1"/>
  <c r="AG101" i="8" s="1"/>
  <c r="AG102" i="8" s="1"/>
  <c r="AG106" i="8" s="1"/>
  <c r="AG142" i="8" s="1"/>
  <c r="AG146" i="8" s="1"/>
  <c r="AG160" i="8" s="1"/>
  <c r="AI91" i="8"/>
  <c r="AI90" i="8"/>
  <c r="AE117" i="8"/>
  <c r="AE115" i="8"/>
  <c r="AE116" i="8" s="1"/>
  <c r="AE133" i="8"/>
  <c r="AE137" i="8" s="1"/>
  <c r="AE155" i="8" s="1"/>
  <c r="L157" i="4"/>
  <c r="M74" i="4"/>
  <c r="H107" i="4"/>
  <c r="H109" i="4" s="1"/>
  <c r="L82" i="4"/>
  <c r="K86" i="4" s="1"/>
  <c r="I103" i="4"/>
  <c r="I132" i="4"/>
  <c r="I136" i="4" s="1"/>
  <c r="I154" i="4" s="1"/>
  <c r="I104" i="4"/>
  <c r="I105" i="4"/>
  <c r="I101" i="4"/>
  <c r="I102" i="4" s="1"/>
  <c r="G109" i="4"/>
  <c r="G110" i="4" s="1"/>
  <c r="E117" i="4"/>
  <c r="E133" i="4"/>
  <c r="E137" i="4" s="1"/>
  <c r="E155" i="4" s="1"/>
  <c r="C164" i="4"/>
  <c r="C176" i="4" s="1"/>
  <c r="C194" i="4" s="1"/>
  <c r="C175" i="4"/>
  <c r="D143" i="4"/>
  <c r="D147" i="4" s="1"/>
  <c r="D161" i="4" s="1"/>
  <c r="D121" i="4"/>
  <c r="D154" i="4"/>
  <c r="E115" i="4"/>
  <c r="E116" i="4" s="1"/>
  <c r="E118" i="4"/>
  <c r="E119" i="4"/>
  <c r="AH99" i="8" l="1"/>
  <c r="AH105" i="8" s="1"/>
  <c r="AG132" i="8"/>
  <c r="AG136" i="8" s="1"/>
  <c r="AG154" i="8" s="1"/>
  <c r="AG103" i="8"/>
  <c r="AG107" i="8" s="1"/>
  <c r="AG109" i="8" s="1"/>
  <c r="AG110" i="8" s="1"/>
  <c r="AK75" i="8"/>
  <c r="AK76" i="8" s="1"/>
  <c r="AI92" i="8"/>
  <c r="AI141" i="8" s="1"/>
  <c r="AI148" i="8" s="1"/>
  <c r="AI162" i="8" s="1"/>
  <c r="AJ85" i="8"/>
  <c r="AI89" i="8"/>
  <c r="AI131" i="8"/>
  <c r="AI138" i="8" s="1"/>
  <c r="AI156" i="8" s="1"/>
  <c r="AE120" i="8"/>
  <c r="AE143" i="8" s="1"/>
  <c r="AE147" i="8" s="1"/>
  <c r="AE161" i="8" s="1"/>
  <c r="AF113" i="8"/>
  <c r="M75" i="4"/>
  <c r="K89" i="4"/>
  <c r="K131" i="4"/>
  <c r="K138" i="4" s="1"/>
  <c r="K156" i="4" s="1"/>
  <c r="K87" i="4"/>
  <c r="K88" i="4" s="1"/>
  <c r="I106" i="4"/>
  <c r="I142" i="4" s="1"/>
  <c r="I146" i="4" s="1"/>
  <c r="I160" i="4" s="1"/>
  <c r="J99" i="4"/>
  <c r="H110" i="4"/>
  <c r="D146" i="4"/>
  <c r="D160" i="4" s="1"/>
  <c r="D148" i="4"/>
  <c r="D162" i="4" s="1"/>
  <c r="E136" i="4"/>
  <c r="E154" i="4" s="1"/>
  <c r="E138" i="4"/>
  <c r="E156" i="4" s="1"/>
  <c r="F113" i="4"/>
  <c r="F114" i="4" s="1"/>
  <c r="E120" i="4"/>
  <c r="C193" i="4"/>
  <c r="D123" i="4"/>
  <c r="AH104" i="8" l="1"/>
  <c r="AI93" i="8"/>
  <c r="AI95" i="8" s="1"/>
  <c r="AI96" i="8" s="1"/>
  <c r="AH100" i="8" s="1"/>
  <c r="AF114" i="8"/>
  <c r="AF117" i="8" s="1"/>
  <c r="AE121" i="8"/>
  <c r="AE123" i="8" s="1"/>
  <c r="AE124" i="8" s="1"/>
  <c r="AE125" i="8" s="1"/>
  <c r="AE126" i="8" s="1"/>
  <c r="AE151" i="8" s="1"/>
  <c r="AE164" i="8" s="1"/>
  <c r="AE176" i="8" s="1"/>
  <c r="AE194" i="8" s="1"/>
  <c r="AK78" i="8"/>
  <c r="AK79" i="8" s="1"/>
  <c r="AK81" i="8" s="1"/>
  <c r="AK77" i="8"/>
  <c r="AJ91" i="8"/>
  <c r="AJ90" i="8"/>
  <c r="AF119" i="8"/>
  <c r="AF118" i="8"/>
  <c r="M78" i="4"/>
  <c r="M79" i="4" s="1"/>
  <c r="M81" i="4" s="1"/>
  <c r="M76" i="4"/>
  <c r="M77" i="4" s="1"/>
  <c r="K92" i="4"/>
  <c r="K141" i="4" s="1"/>
  <c r="K148" i="4" s="1"/>
  <c r="K162" i="4" s="1"/>
  <c r="L85" i="4"/>
  <c r="I107" i="4"/>
  <c r="I109" i="4" s="1"/>
  <c r="I110" i="4" s="1"/>
  <c r="H114" i="4" s="1"/>
  <c r="J104" i="4"/>
  <c r="J105" i="4"/>
  <c r="F117" i="4"/>
  <c r="F133" i="4"/>
  <c r="F136" i="4" s="1"/>
  <c r="E121" i="4"/>
  <c r="D124" i="4"/>
  <c r="D125" i="4" s="1"/>
  <c r="E143" i="4"/>
  <c r="E147" i="4" s="1"/>
  <c r="E161" i="4" s="1"/>
  <c r="F115" i="4"/>
  <c r="F116" i="4" s="1"/>
  <c r="F119" i="4"/>
  <c r="F118" i="4"/>
  <c r="AF115" i="8" l="1"/>
  <c r="AF116" i="8" s="1"/>
  <c r="AE175" i="8"/>
  <c r="AE193" i="8" s="1"/>
  <c r="AF133" i="8"/>
  <c r="AF137" i="8" s="1"/>
  <c r="AF155" i="8" s="1"/>
  <c r="AK157" i="8"/>
  <c r="AL74" i="8"/>
  <c r="AK82" i="8"/>
  <c r="AJ86" i="8" s="1"/>
  <c r="AH103" i="8"/>
  <c r="AH132" i="8"/>
  <c r="AH136" i="8" s="1"/>
  <c r="AH154" i="8" s="1"/>
  <c r="AH101" i="8"/>
  <c r="AH102" i="8" s="1"/>
  <c r="AF120" i="8"/>
  <c r="AF143" i="8" s="1"/>
  <c r="AF147" i="8" s="1"/>
  <c r="AF161" i="8" s="1"/>
  <c r="AG113" i="8"/>
  <c r="K93" i="4"/>
  <c r="K95" i="4" s="1"/>
  <c r="K96" i="4" s="1"/>
  <c r="J100" i="4" s="1"/>
  <c r="M157" i="4"/>
  <c r="N74" i="4"/>
  <c r="M82" i="4"/>
  <c r="L86" i="4" s="1"/>
  <c r="L87" i="4" s="1"/>
  <c r="L88" i="4" s="1"/>
  <c r="L91" i="4"/>
  <c r="L90" i="4"/>
  <c r="H117" i="4"/>
  <c r="F138" i="4"/>
  <c r="F156" i="4" s="1"/>
  <c r="F137" i="4"/>
  <c r="F155" i="4" s="1"/>
  <c r="E146" i="4"/>
  <c r="E160" i="4" s="1"/>
  <c r="E148" i="4"/>
  <c r="E162" i="4" s="1"/>
  <c r="E123" i="4"/>
  <c r="E124" i="4" s="1"/>
  <c r="E125" i="4" s="1"/>
  <c r="E126" i="4" s="1"/>
  <c r="E151" i="4" s="1"/>
  <c r="E175" i="4" s="1"/>
  <c r="E193" i="4" s="1"/>
  <c r="G113" i="4"/>
  <c r="G118" i="4" s="1"/>
  <c r="F120" i="4"/>
  <c r="F154" i="4"/>
  <c r="D126" i="4"/>
  <c r="D151" i="4" s="1"/>
  <c r="G114" i="4"/>
  <c r="H133" i="4" s="1"/>
  <c r="H137" i="4" s="1"/>
  <c r="H155" i="4" s="1"/>
  <c r="AL75" i="8" l="1"/>
  <c r="AJ89" i="8"/>
  <c r="AJ131" i="8"/>
  <c r="AJ138" i="8" s="1"/>
  <c r="AJ156" i="8" s="1"/>
  <c r="AJ87" i="8"/>
  <c r="AJ88" i="8" s="1"/>
  <c r="AH106" i="8"/>
  <c r="AH142" i="8" s="1"/>
  <c r="AH146" i="8" s="1"/>
  <c r="AH160" i="8" s="1"/>
  <c r="AI99" i="8"/>
  <c r="AG119" i="8"/>
  <c r="AG118" i="8"/>
  <c r="AF121" i="8"/>
  <c r="N75" i="4"/>
  <c r="L92" i="4"/>
  <c r="L141" i="4" s="1"/>
  <c r="L148" i="4" s="1"/>
  <c r="L162" i="4" s="1"/>
  <c r="M85" i="4"/>
  <c r="L89" i="4"/>
  <c r="L131" i="4"/>
  <c r="L138" i="4" s="1"/>
  <c r="L156" i="4" s="1"/>
  <c r="J101" i="4"/>
  <c r="J102" i="4" s="1"/>
  <c r="J103" i="4"/>
  <c r="J132" i="4"/>
  <c r="J136" i="4" s="1"/>
  <c r="J154" i="4" s="1"/>
  <c r="F143" i="4"/>
  <c r="F147" i="4" s="1"/>
  <c r="F161" i="4" s="1"/>
  <c r="F146" i="4"/>
  <c r="F160" i="4" s="1"/>
  <c r="F121" i="4"/>
  <c r="E164" i="4"/>
  <c r="E176" i="4" s="1"/>
  <c r="E194" i="4" s="1"/>
  <c r="G119" i="4"/>
  <c r="D164" i="4"/>
  <c r="D176" i="4" s="1"/>
  <c r="D194" i="4" s="1"/>
  <c r="D175" i="4"/>
  <c r="G117" i="4"/>
  <c r="G133" i="4"/>
  <c r="G115" i="4"/>
  <c r="G116" i="4" s="1"/>
  <c r="H113" i="4" s="1"/>
  <c r="AH107" i="8" l="1"/>
  <c r="AH109" i="8" s="1"/>
  <c r="AH110" i="8" s="1"/>
  <c r="AG114" i="8" s="1"/>
  <c r="AG115" i="8" s="1"/>
  <c r="AG116" i="8" s="1"/>
  <c r="AG120" i="8" s="1"/>
  <c r="AG143" i="8" s="1"/>
  <c r="AG147" i="8" s="1"/>
  <c r="AG161" i="8" s="1"/>
  <c r="AL78" i="8"/>
  <c r="AL79" i="8" s="1"/>
  <c r="AL81" i="8" s="1"/>
  <c r="AL76" i="8"/>
  <c r="AL77" i="8" s="1"/>
  <c r="AJ92" i="8"/>
  <c r="AJ141" i="8" s="1"/>
  <c r="AJ148" i="8" s="1"/>
  <c r="AJ162" i="8" s="1"/>
  <c r="AK85" i="8"/>
  <c r="AI105" i="8"/>
  <c r="AI104" i="8"/>
  <c r="AF123" i="8"/>
  <c r="L93" i="4"/>
  <c r="L95" i="4" s="1"/>
  <c r="L96" i="4" s="1"/>
  <c r="K100" i="4" s="1"/>
  <c r="N78" i="4"/>
  <c r="N79" i="4" s="1"/>
  <c r="N81" i="4" s="1"/>
  <c r="N76" i="4"/>
  <c r="N77" i="4" s="1"/>
  <c r="M91" i="4"/>
  <c r="M90" i="4"/>
  <c r="J106" i="4"/>
  <c r="J142" i="4" s="1"/>
  <c r="J146" i="4" s="1"/>
  <c r="J160" i="4" s="1"/>
  <c r="K99" i="4"/>
  <c r="H115" i="4"/>
  <c r="H116" i="4" s="1"/>
  <c r="H119" i="4"/>
  <c r="H118" i="4"/>
  <c r="F148" i="4"/>
  <c r="F162" i="4" s="1"/>
  <c r="G138" i="4"/>
  <c r="G156" i="4" s="1"/>
  <c r="G137" i="4"/>
  <c r="G155" i="4" s="1"/>
  <c r="F123" i="4"/>
  <c r="F124" i="4" s="1"/>
  <c r="F125" i="4" s="1"/>
  <c r="F126" i="4" s="1"/>
  <c r="F151" i="4" s="1"/>
  <c r="F175" i="4" s="1"/>
  <c r="F193" i="4" s="1"/>
  <c r="D193" i="4"/>
  <c r="G136" i="4"/>
  <c r="G120" i="4"/>
  <c r="AJ93" i="8" l="1"/>
  <c r="AG117" i="8"/>
  <c r="AG121" i="8" s="1"/>
  <c r="AG123" i="8" s="1"/>
  <c r="AG124" i="8" s="1"/>
  <c r="AG125" i="8" s="1"/>
  <c r="AL157" i="8"/>
  <c r="AM74" i="8"/>
  <c r="AL82" i="8"/>
  <c r="AK86" i="8" s="1"/>
  <c r="AK87" i="8" s="1"/>
  <c r="AK88" i="8" s="1"/>
  <c r="AJ95" i="8"/>
  <c r="AJ96" i="8" s="1"/>
  <c r="AI100" i="8" s="1"/>
  <c r="AI101" i="8" s="1"/>
  <c r="AI102" i="8" s="1"/>
  <c r="AI106" i="8" s="1"/>
  <c r="AI142" i="8" s="1"/>
  <c r="AI146" i="8" s="1"/>
  <c r="AI160" i="8" s="1"/>
  <c r="AH113" i="8"/>
  <c r="AH119" i="8" s="1"/>
  <c r="AK91" i="8"/>
  <c r="AK90" i="8"/>
  <c r="AG133" i="8"/>
  <c r="AG137" i="8" s="1"/>
  <c r="AG155" i="8" s="1"/>
  <c r="AF124" i="8"/>
  <c r="AF125" i="8" s="1"/>
  <c r="J107" i="4"/>
  <c r="J109" i="4" s="1"/>
  <c r="J110" i="4" s="1"/>
  <c r="I114" i="4" s="1"/>
  <c r="I133" i="4" s="1"/>
  <c r="I137" i="4" s="1"/>
  <c r="I155" i="4" s="1"/>
  <c r="N157" i="4"/>
  <c r="O74" i="4"/>
  <c r="N82" i="4"/>
  <c r="M86" i="4" s="1"/>
  <c r="K103" i="4"/>
  <c r="K132" i="4"/>
  <c r="K136" i="4" s="1"/>
  <c r="K154" i="4" s="1"/>
  <c r="K104" i="4"/>
  <c r="K101" i="4"/>
  <c r="K102" i="4" s="1"/>
  <c r="K105" i="4"/>
  <c r="H120" i="4"/>
  <c r="H143" i="4" s="1"/>
  <c r="H147" i="4" s="1"/>
  <c r="H161" i="4" s="1"/>
  <c r="I113" i="4"/>
  <c r="F164" i="4"/>
  <c r="F176" i="4" s="1"/>
  <c r="F194" i="4" s="1"/>
  <c r="G143" i="4"/>
  <c r="G147" i="4" s="1"/>
  <c r="G161" i="4" s="1"/>
  <c r="G121" i="4"/>
  <c r="G154" i="4"/>
  <c r="AJ99" i="8" l="1"/>
  <c r="AM75" i="8"/>
  <c r="AI103" i="8"/>
  <c r="AI107" i="8" s="1"/>
  <c r="AI109" i="8" s="1"/>
  <c r="AI110" i="8" s="1"/>
  <c r="AH114" i="8" s="1"/>
  <c r="AK92" i="8"/>
  <c r="AK141" i="8" s="1"/>
  <c r="AK148" i="8" s="1"/>
  <c r="AK162" i="8" s="1"/>
  <c r="AL85" i="8"/>
  <c r="AH118" i="8"/>
  <c r="AI132" i="8"/>
  <c r="AI136" i="8" s="1"/>
  <c r="AI154" i="8" s="1"/>
  <c r="AK89" i="8"/>
  <c r="AK131" i="8"/>
  <c r="AK138" i="8" s="1"/>
  <c r="AK156" i="8" s="1"/>
  <c r="AG126" i="8"/>
  <c r="AG151" i="8" s="1"/>
  <c r="AG175" i="8" s="1"/>
  <c r="AG193" i="8" s="1"/>
  <c r="AJ105" i="8"/>
  <c r="AJ104" i="8"/>
  <c r="AF126" i="8"/>
  <c r="AF151" i="8" s="1"/>
  <c r="I117" i="4"/>
  <c r="O75" i="4"/>
  <c r="H121" i="4"/>
  <c r="H123" i="4" s="1"/>
  <c r="M89" i="4"/>
  <c r="M131" i="4"/>
  <c r="M138" i="4" s="1"/>
  <c r="M156" i="4" s="1"/>
  <c r="M87" i="4"/>
  <c r="M88" i="4" s="1"/>
  <c r="K106" i="4"/>
  <c r="K142" i="4" s="1"/>
  <c r="K146" i="4" s="1"/>
  <c r="K160" i="4" s="1"/>
  <c r="L99" i="4"/>
  <c r="I119" i="4"/>
  <c r="I118" i="4"/>
  <c r="I115" i="4"/>
  <c r="I116" i="4" s="1"/>
  <c r="G146" i="4"/>
  <c r="G160" i="4" s="1"/>
  <c r="G148" i="4"/>
  <c r="G162" i="4" s="1"/>
  <c r="G123" i="4"/>
  <c r="K107" i="4" l="1"/>
  <c r="AK93" i="8"/>
  <c r="AK95" i="8" s="1"/>
  <c r="AK96" i="8" s="1"/>
  <c r="AJ100" i="8" s="1"/>
  <c r="AM78" i="8"/>
  <c r="AM79" i="8" s="1"/>
  <c r="AM81" i="8" s="1"/>
  <c r="AM76" i="8"/>
  <c r="AM77" i="8" s="1"/>
  <c r="AM157" i="8" s="1"/>
  <c r="AG164" i="8"/>
  <c r="AG176" i="8" s="1"/>
  <c r="AG194" i="8" s="1"/>
  <c r="AL91" i="8"/>
  <c r="AL90" i="8"/>
  <c r="AH117" i="8"/>
  <c r="AH133" i="8"/>
  <c r="AH137" i="8" s="1"/>
  <c r="AH155" i="8" s="1"/>
  <c r="AH115" i="8"/>
  <c r="AH116" i="8" s="1"/>
  <c r="AF175" i="8"/>
  <c r="AF193" i="8" s="1"/>
  <c r="AF164" i="8"/>
  <c r="AF176" i="8" s="1"/>
  <c r="AF194" i="8" s="1"/>
  <c r="O78" i="4"/>
  <c r="O79" i="4" s="1"/>
  <c r="O81" i="4" s="1"/>
  <c r="O76" i="4"/>
  <c r="O77" i="4" s="1"/>
  <c r="M92" i="4"/>
  <c r="M141" i="4" s="1"/>
  <c r="M148" i="4" s="1"/>
  <c r="M162" i="4" s="1"/>
  <c r="N85" i="4"/>
  <c r="K109" i="4"/>
  <c r="K110" i="4" s="1"/>
  <c r="J114" i="4" s="1"/>
  <c r="L105" i="4"/>
  <c r="L104" i="4"/>
  <c r="I120" i="4"/>
  <c r="I143" i="4" s="1"/>
  <c r="I147" i="4" s="1"/>
  <c r="I161" i="4" s="1"/>
  <c r="J113" i="4"/>
  <c r="H124" i="4"/>
  <c r="H125" i="4" s="1"/>
  <c r="G124" i="4"/>
  <c r="G125" i="4" s="1"/>
  <c r="G126" i="4" s="1"/>
  <c r="G151" i="4" s="1"/>
  <c r="AM82" i="8" l="1"/>
  <c r="AL86" i="8" s="1"/>
  <c r="AJ103" i="8"/>
  <c r="AJ132" i="8"/>
  <c r="AJ136" i="8" s="1"/>
  <c r="AJ154" i="8" s="1"/>
  <c r="AJ101" i="8"/>
  <c r="AJ102" i="8" s="1"/>
  <c r="AH120" i="8"/>
  <c r="AH143" i="8" s="1"/>
  <c r="AH147" i="8" s="1"/>
  <c r="AH161" i="8" s="1"/>
  <c r="AI113" i="8"/>
  <c r="M93" i="4"/>
  <c r="M95" i="4" s="1"/>
  <c r="M96" i="4" s="1"/>
  <c r="L100" i="4" s="1"/>
  <c r="O157" i="4"/>
  <c r="P74" i="4"/>
  <c r="O82" i="4"/>
  <c r="N86" i="4" s="1"/>
  <c r="N87" i="4" s="1"/>
  <c r="N88" i="4" s="1"/>
  <c r="N91" i="4"/>
  <c r="N90" i="4"/>
  <c r="I121" i="4"/>
  <c r="I123" i="4" s="1"/>
  <c r="I124" i="4" s="1"/>
  <c r="I125" i="4" s="1"/>
  <c r="I126" i="4" s="1"/>
  <c r="I151" i="4" s="1"/>
  <c r="J117" i="4"/>
  <c r="J133" i="4"/>
  <c r="J137" i="4" s="1"/>
  <c r="J155" i="4" s="1"/>
  <c r="J119" i="4"/>
  <c r="J115" i="4"/>
  <c r="J116" i="4" s="1"/>
  <c r="J118" i="4"/>
  <c r="H126" i="4"/>
  <c r="H151" i="4" s="1"/>
  <c r="G175" i="4"/>
  <c r="G164" i="4"/>
  <c r="G176" i="4" s="1"/>
  <c r="G194" i="4" s="1"/>
  <c r="AH121" i="8" l="1"/>
  <c r="AL89" i="8"/>
  <c r="AM131" i="8"/>
  <c r="AM138" i="8" s="1"/>
  <c r="AM156" i="8" s="1"/>
  <c r="AL131" i="8"/>
  <c r="AL138" i="8" s="1"/>
  <c r="AL156" i="8" s="1"/>
  <c r="AL87" i="8"/>
  <c r="AL88" i="8" s="1"/>
  <c r="AJ106" i="8"/>
  <c r="AJ142" i="8" s="1"/>
  <c r="AJ146" i="8" s="1"/>
  <c r="AJ160" i="8" s="1"/>
  <c r="AK99" i="8"/>
  <c r="AH123" i="8"/>
  <c r="AH124" i="8" s="1"/>
  <c r="AH125" i="8" s="1"/>
  <c r="AH126" i="8" s="1"/>
  <c r="AH151" i="8" s="1"/>
  <c r="AI119" i="8"/>
  <c r="AI118" i="8"/>
  <c r="P75" i="4"/>
  <c r="N92" i="4"/>
  <c r="N141" i="4" s="1"/>
  <c r="N148" i="4" s="1"/>
  <c r="N162" i="4" s="1"/>
  <c r="O85" i="4"/>
  <c r="N89" i="4"/>
  <c r="N131" i="4"/>
  <c r="N138" i="4" s="1"/>
  <c r="N156" i="4" s="1"/>
  <c r="L132" i="4"/>
  <c r="L136" i="4" s="1"/>
  <c r="L154" i="4" s="1"/>
  <c r="L101" i="4"/>
  <c r="L102" i="4" s="1"/>
  <c r="L103" i="4"/>
  <c r="J120" i="4"/>
  <c r="J143" i="4" s="1"/>
  <c r="J147" i="4" s="1"/>
  <c r="J161" i="4" s="1"/>
  <c r="K113" i="4"/>
  <c r="I175" i="4"/>
  <c r="I193" i="4" s="1"/>
  <c r="I164" i="4"/>
  <c r="I176" i="4" s="1"/>
  <c r="I194" i="4" s="1"/>
  <c r="H175" i="4"/>
  <c r="H193" i="4" s="1"/>
  <c r="H164" i="4"/>
  <c r="H176" i="4" s="1"/>
  <c r="H194" i="4" s="1"/>
  <c r="G193" i="4"/>
  <c r="N93" i="4" l="1"/>
  <c r="AL92" i="8"/>
  <c r="AL141" i="8" s="1"/>
  <c r="AL148" i="8" s="1"/>
  <c r="AL162" i="8" s="1"/>
  <c r="AM85" i="8"/>
  <c r="AJ107" i="8"/>
  <c r="AJ109" i="8" s="1"/>
  <c r="AJ110" i="8" s="1"/>
  <c r="AI114" i="8" s="1"/>
  <c r="AI117" i="8" s="1"/>
  <c r="AK105" i="8"/>
  <c r="AK104" i="8"/>
  <c r="AH164" i="8"/>
  <c r="AH176" i="8" s="1"/>
  <c r="AH194" i="8" s="1"/>
  <c r="AH175" i="8"/>
  <c r="AH193" i="8" s="1"/>
  <c r="P78" i="4"/>
  <c r="P79" i="4" s="1"/>
  <c r="P81" i="4" s="1"/>
  <c r="P76" i="4"/>
  <c r="P77" i="4" s="1"/>
  <c r="O91" i="4"/>
  <c r="O90" i="4"/>
  <c r="N95" i="4"/>
  <c r="L106" i="4"/>
  <c r="L142" i="4" s="1"/>
  <c r="L146" i="4" s="1"/>
  <c r="L160" i="4" s="1"/>
  <c r="M99" i="4"/>
  <c r="J121" i="4"/>
  <c r="J123" i="4" s="1"/>
  <c r="J124" i="4" s="1"/>
  <c r="J125" i="4" s="1"/>
  <c r="J126" i="4" s="1"/>
  <c r="J151" i="4" s="1"/>
  <c r="N96" i="4"/>
  <c r="M100" i="4" s="1"/>
  <c r="K119" i="4"/>
  <c r="K118" i="4"/>
  <c r="C171" i="4"/>
  <c r="AI133" i="8" l="1"/>
  <c r="AI137" i="8" s="1"/>
  <c r="AI155" i="8" s="1"/>
  <c r="AM91" i="8"/>
  <c r="AM90" i="8"/>
  <c r="AM87" i="8"/>
  <c r="AM88" i="8" s="1"/>
  <c r="AM92" i="8" s="1"/>
  <c r="AM141" i="8" s="1"/>
  <c r="AM148" i="8" s="1"/>
  <c r="AM162" i="8" s="1"/>
  <c r="AL93" i="8"/>
  <c r="AI115" i="8"/>
  <c r="AI116" i="8" s="1"/>
  <c r="P157" i="4"/>
  <c r="Q74" i="4"/>
  <c r="P82" i="4"/>
  <c r="O86" i="4" s="1"/>
  <c r="M104" i="4"/>
  <c r="M105" i="4"/>
  <c r="M101" i="4"/>
  <c r="M102" i="4" s="1"/>
  <c r="M103" i="4"/>
  <c r="M132" i="4"/>
  <c r="M136" i="4" s="1"/>
  <c r="M154" i="4" s="1"/>
  <c r="L107" i="4"/>
  <c r="J175" i="4"/>
  <c r="J193" i="4" s="1"/>
  <c r="J164" i="4"/>
  <c r="J176" i="4" s="1"/>
  <c r="J194" i="4" s="1"/>
  <c r="C181" i="8"/>
  <c r="D181" i="8" a="1"/>
  <c r="D181" i="8" s="1"/>
  <c r="E181" i="8" a="1"/>
  <c r="E181" i="8" s="1"/>
  <c r="AL95" i="8" l="1"/>
  <c r="AL96" i="8" s="1"/>
  <c r="AK100" i="8" s="1"/>
  <c r="AM93" i="8"/>
  <c r="AM95" i="8" s="1"/>
  <c r="AI120" i="8"/>
  <c r="AJ113" i="8"/>
  <c r="Q75" i="4"/>
  <c r="O89" i="4"/>
  <c r="O131" i="4"/>
  <c r="O138" i="4" s="1"/>
  <c r="O156" i="4" s="1"/>
  <c r="O87" i="4"/>
  <c r="O88" i="4" s="1"/>
  <c r="L109" i="4"/>
  <c r="L110" i="4" s="1"/>
  <c r="K114" i="4" s="1"/>
  <c r="M106" i="4"/>
  <c r="M142" i="4" s="1"/>
  <c r="M146" i="4" s="1"/>
  <c r="M160" i="4" s="1"/>
  <c r="N99" i="4"/>
  <c r="AM96" i="8" l="1"/>
  <c r="AK101" i="8"/>
  <c r="AK102" i="8" s="1"/>
  <c r="AK103" i="8"/>
  <c r="AK132" i="8"/>
  <c r="AK136" i="8" s="1"/>
  <c r="AK154" i="8" s="1"/>
  <c r="AJ119" i="8"/>
  <c r="AJ118" i="8"/>
  <c r="AI143" i="8"/>
  <c r="AI147" i="8" s="1"/>
  <c r="AI161" i="8" s="1"/>
  <c r="AI121" i="8"/>
  <c r="Q78" i="4"/>
  <c r="Q79" i="4" s="1"/>
  <c r="Q81" i="4" s="1"/>
  <c r="Q76" i="4"/>
  <c r="Q77" i="4" s="1"/>
  <c r="O92" i="4"/>
  <c r="O141" i="4" s="1"/>
  <c r="O148" i="4" s="1"/>
  <c r="O162" i="4" s="1"/>
  <c r="P85" i="4"/>
  <c r="N105" i="4"/>
  <c r="N104" i="4"/>
  <c r="K115" i="4"/>
  <c r="K116" i="4" s="1"/>
  <c r="K133" i="4"/>
  <c r="K137" i="4" s="1"/>
  <c r="K155" i="4" s="1"/>
  <c r="K117" i="4"/>
  <c r="M107" i="4"/>
  <c r="C185" i="8"/>
  <c r="AL99" i="8" l="1"/>
  <c r="AL100" i="8" s="1"/>
  <c r="AK106" i="8"/>
  <c r="AK142" i="8" s="1"/>
  <c r="AK146" i="8" s="1"/>
  <c r="AK160" i="8" s="1"/>
  <c r="AI123" i="8"/>
  <c r="AI124" i="8" s="1"/>
  <c r="AI125" i="8" s="1"/>
  <c r="AI126" i="8" s="1"/>
  <c r="AI151" i="8" s="1"/>
  <c r="O93" i="4"/>
  <c r="O95" i="4" s="1"/>
  <c r="O96" i="4" s="1"/>
  <c r="N100" i="4" s="1"/>
  <c r="Q157" i="4"/>
  <c r="R74" i="4"/>
  <c r="Q82" i="4"/>
  <c r="P86" i="4" s="1"/>
  <c r="P87" i="4" s="1"/>
  <c r="P88" i="4" s="1"/>
  <c r="P91" i="4"/>
  <c r="P90" i="4"/>
  <c r="M109" i="4"/>
  <c r="M110" i="4" s="1"/>
  <c r="L114" i="4" s="1"/>
  <c r="K120" i="4"/>
  <c r="L113" i="4"/>
  <c r="AL103" i="8" l="1"/>
  <c r="AM132" i="8"/>
  <c r="AM136" i="8" s="1"/>
  <c r="AM154" i="8" s="1"/>
  <c r="AL132" i="8"/>
  <c r="AL136" i="8" s="1"/>
  <c r="AL154" i="8" s="1"/>
  <c r="AL105" i="8"/>
  <c r="AL101" i="8"/>
  <c r="AL102" i="8" s="1"/>
  <c r="AL104" i="8"/>
  <c r="AK107" i="8"/>
  <c r="AI175" i="8"/>
  <c r="AI193" i="8" s="1"/>
  <c r="AI164" i="8"/>
  <c r="AI176" i="8" s="1"/>
  <c r="AI194" i="8" s="1"/>
  <c r="R75" i="4"/>
  <c r="P92" i="4"/>
  <c r="P141" i="4" s="1"/>
  <c r="P148" i="4" s="1"/>
  <c r="P162" i="4" s="1"/>
  <c r="Q85" i="4"/>
  <c r="P89" i="4"/>
  <c r="P131" i="4"/>
  <c r="P138" i="4" s="1"/>
  <c r="P156" i="4" s="1"/>
  <c r="N132" i="4"/>
  <c r="N136" i="4" s="1"/>
  <c r="N154" i="4" s="1"/>
  <c r="N101" i="4"/>
  <c r="N102" i="4" s="1"/>
  <c r="N103" i="4"/>
  <c r="K143" i="4"/>
  <c r="K147" i="4" s="1"/>
  <c r="K161" i="4" s="1"/>
  <c r="K121" i="4"/>
  <c r="L119" i="4"/>
  <c r="L115" i="4"/>
  <c r="L116" i="4" s="1"/>
  <c r="M113" i="4" s="1"/>
  <c r="L118" i="4"/>
  <c r="L133" i="4"/>
  <c r="L137" i="4" s="1"/>
  <c r="L155" i="4" s="1"/>
  <c r="L117" i="4"/>
  <c r="D185" i="8" a="1"/>
  <c r="D185" i="8" s="1"/>
  <c r="E185" i="8" a="1"/>
  <c r="E185" i="8" s="1"/>
  <c r="P93" i="4" l="1"/>
  <c r="P95" i="4" s="1"/>
  <c r="P96" i="4" s="1"/>
  <c r="O100" i="4" s="1"/>
  <c r="AK109" i="8"/>
  <c r="AK110" i="8" s="1"/>
  <c r="AJ114" i="8" s="1"/>
  <c r="AL106" i="8"/>
  <c r="AL142" i="8" s="1"/>
  <c r="AL146" i="8" s="1"/>
  <c r="AL160" i="8" s="1"/>
  <c r="AM99" i="8"/>
  <c r="R78" i="4"/>
  <c r="R79" i="4" s="1"/>
  <c r="R81" i="4" s="1"/>
  <c r="R76" i="4"/>
  <c r="R77" i="4" s="1"/>
  <c r="Q91" i="4"/>
  <c r="Q90" i="4"/>
  <c r="N106" i="4"/>
  <c r="N142" i="4" s="1"/>
  <c r="N146" i="4" s="1"/>
  <c r="N160" i="4" s="1"/>
  <c r="O99" i="4"/>
  <c r="L120" i="4"/>
  <c r="L143" i="4" s="1"/>
  <c r="L147" i="4" s="1"/>
  <c r="L161" i="4" s="1"/>
  <c r="M118" i="4"/>
  <c r="M119" i="4"/>
  <c r="K123" i="4"/>
  <c r="C183" i="8"/>
  <c r="E183" i="8" a="1"/>
  <c r="E183" i="8" s="1"/>
  <c r="D183" i="8" a="1"/>
  <c r="D183" i="8" s="1"/>
  <c r="AM105" i="8" l="1"/>
  <c r="AM104" i="8"/>
  <c r="AM101" i="8"/>
  <c r="AM102" i="8" s="1"/>
  <c r="AM106" i="8" s="1"/>
  <c r="AM142" i="8" s="1"/>
  <c r="AM146" i="8" s="1"/>
  <c r="AM160" i="8" s="1"/>
  <c r="AJ117" i="8"/>
  <c r="AJ133" i="8"/>
  <c r="AJ137" i="8" s="1"/>
  <c r="AJ155" i="8" s="1"/>
  <c r="AJ115" i="8"/>
  <c r="AJ116" i="8" s="1"/>
  <c r="AL107" i="8"/>
  <c r="R157" i="4"/>
  <c r="S74" i="4"/>
  <c r="R82" i="4"/>
  <c r="Q86" i="4" s="1"/>
  <c r="O101" i="4"/>
  <c r="O102" i="4" s="1"/>
  <c r="O105" i="4"/>
  <c r="O104" i="4"/>
  <c r="O103" i="4"/>
  <c r="O132" i="4"/>
  <c r="O136" i="4" s="1"/>
  <c r="O154" i="4" s="1"/>
  <c r="N107" i="4"/>
  <c r="L121" i="4"/>
  <c r="L123" i="4" s="1"/>
  <c r="L124" i="4" s="1"/>
  <c r="L125" i="4" s="1"/>
  <c r="K124" i="4"/>
  <c r="K125" i="4" s="1"/>
  <c r="K126" i="4" s="1"/>
  <c r="K151" i="4" s="1"/>
  <c r="AL109" i="8" l="1"/>
  <c r="AL110" i="8" s="1"/>
  <c r="AK113" i="8"/>
  <c r="AJ120" i="8"/>
  <c r="AM107" i="8"/>
  <c r="AM109" i="8" s="1"/>
  <c r="S75" i="4"/>
  <c r="Q89" i="4"/>
  <c r="Q131" i="4"/>
  <c r="Q138" i="4" s="1"/>
  <c r="Q156" i="4" s="1"/>
  <c r="Q87" i="4"/>
  <c r="Q88" i="4" s="1"/>
  <c r="N109" i="4"/>
  <c r="N110" i="4" s="1"/>
  <c r="M114" i="4" s="1"/>
  <c r="O106" i="4"/>
  <c r="O142" i="4" s="1"/>
  <c r="O146" i="4" s="1"/>
  <c r="O160" i="4" s="1"/>
  <c r="P99" i="4"/>
  <c r="L126" i="4"/>
  <c r="L151" i="4" s="1"/>
  <c r="L175" i="4" s="1"/>
  <c r="L193" i="4" s="1"/>
  <c r="K175" i="4"/>
  <c r="K193" i="4" s="1"/>
  <c r="K164" i="4"/>
  <c r="K176" i="4" s="1"/>
  <c r="K194" i="4" s="1"/>
  <c r="AK114" i="8" l="1"/>
  <c r="AK117" i="8" s="1"/>
  <c r="AM110" i="8"/>
  <c r="AK118" i="8"/>
  <c r="AK119" i="8"/>
  <c r="AJ143" i="8"/>
  <c r="AJ147" i="8" s="1"/>
  <c r="AJ161" i="8" s="1"/>
  <c r="AJ121" i="8"/>
  <c r="AJ123" i="8" s="1"/>
  <c r="AJ124" i="8" s="1"/>
  <c r="AJ125" i="8" s="1"/>
  <c r="AJ126" i="8" s="1"/>
  <c r="AJ151" i="8" s="1"/>
  <c r="S78" i="4"/>
  <c r="S79" i="4" s="1"/>
  <c r="S81" i="4" s="1"/>
  <c r="S76" i="4"/>
  <c r="S77" i="4" s="1"/>
  <c r="Q92" i="4"/>
  <c r="Q141" i="4" s="1"/>
  <c r="Q148" i="4" s="1"/>
  <c r="Q162" i="4" s="1"/>
  <c r="R85" i="4"/>
  <c r="L164" i="4"/>
  <c r="L176" i="4" s="1"/>
  <c r="L194" i="4" s="1"/>
  <c r="P105" i="4"/>
  <c r="P104" i="4"/>
  <c r="O107" i="4"/>
  <c r="M133" i="4"/>
  <c r="M137" i="4" s="1"/>
  <c r="M155" i="4" s="1"/>
  <c r="M117" i="4"/>
  <c r="M115" i="4"/>
  <c r="M116" i="4" s="1"/>
  <c r="AK133" i="8" l="1"/>
  <c r="AK137" i="8" s="1"/>
  <c r="AK155" i="8" s="1"/>
  <c r="AK115" i="8"/>
  <c r="AK116" i="8" s="1"/>
  <c r="AL113" i="8" s="1"/>
  <c r="AL119" i="8" s="1"/>
  <c r="AJ175" i="8"/>
  <c r="AJ193" i="8" s="1"/>
  <c r="AJ164" i="8"/>
  <c r="AJ176" i="8" s="1"/>
  <c r="AJ194" i="8" s="1"/>
  <c r="Q93" i="4"/>
  <c r="Q95" i="4" s="1"/>
  <c r="Q96" i="4" s="1"/>
  <c r="P100" i="4" s="1"/>
  <c r="S157" i="4"/>
  <c r="T74" i="4"/>
  <c r="S82" i="4"/>
  <c r="R86" i="4" s="1"/>
  <c r="R87" i="4" s="1"/>
  <c r="R88" i="4" s="1"/>
  <c r="R91" i="4"/>
  <c r="R90" i="4"/>
  <c r="M120" i="4"/>
  <c r="M143" i="4" s="1"/>
  <c r="M147" i="4" s="1"/>
  <c r="M161" i="4" s="1"/>
  <c r="N113" i="4"/>
  <c r="O109" i="4"/>
  <c r="O110" i="4" s="1"/>
  <c r="N114" i="4" s="1"/>
  <c r="AL114" i="8" l="1"/>
  <c r="AL115" i="8" s="1"/>
  <c r="AL116" i="8" s="1"/>
  <c r="AL118" i="8"/>
  <c r="AK120" i="8"/>
  <c r="AK143" i="8" s="1"/>
  <c r="AK147" i="8" s="1"/>
  <c r="AK161" i="8" s="1"/>
  <c r="AL117" i="8"/>
  <c r="M121" i="4"/>
  <c r="M123" i="4" s="1"/>
  <c r="M124" i="4" s="1"/>
  <c r="M125" i="4" s="1"/>
  <c r="M126" i="4" s="1"/>
  <c r="M151" i="4" s="1"/>
  <c r="M175" i="4" s="1"/>
  <c r="M193" i="4" s="1"/>
  <c r="T75" i="4"/>
  <c r="R92" i="4"/>
  <c r="R141" i="4" s="1"/>
  <c r="R148" i="4" s="1"/>
  <c r="R162" i="4" s="1"/>
  <c r="S85" i="4"/>
  <c r="R89" i="4"/>
  <c r="R131" i="4"/>
  <c r="R138" i="4" s="1"/>
  <c r="R156" i="4" s="1"/>
  <c r="P103" i="4"/>
  <c r="P132" i="4"/>
  <c r="P136" i="4" s="1"/>
  <c r="P154" i="4" s="1"/>
  <c r="P101" i="4"/>
  <c r="P102" i="4" s="1"/>
  <c r="N117" i="4"/>
  <c r="N133" i="4"/>
  <c r="N137" i="4" s="1"/>
  <c r="N155" i="4" s="1"/>
  <c r="N119" i="4"/>
  <c r="N115" i="4"/>
  <c r="N116" i="4" s="1"/>
  <c r="O113" i="4" s="1"/>
  <c r="N118" i="4"/>
  <c r="E184" i="8" a="1"/>
  <c r="E184" i="8" s="1"/>
  <c r="D184" i="8" a="1"/>
  <c r="D184" i="8" s="1"/>
  <c r="AL133" i="8" l="1"/>
  <c r="AM133" i="8"/>
  <c r="AM137" i="8" s="1"/>
  <c r="AM155" i="8" s="1"/>
  <c r="AK121" i="8"/>
  <c r="AK123" i="8" s="1"/>
  <c r="AK124" i="8" s="1"/>
  <c r="AK125" i="8" s="1"/>
  <c r="AK126" i="8" s="1"/>
  <c r="AK151" i="8" s="1"/>
  <c r="AK164" i="8" s="1"/>
  <c r="AK176" i="8" s="1"/>
  <c r="AK194" i="8" s="1"/>
  <c r="R93" i="4"/>
  <c r="R95" i="4" s="1"/>
  <c r="R96" i="4" s="1"/>
  <c r="Q100" i="4" s="1"/>
  <c r="M164" i="4"/>
  <c r="M176" i="4" s="1"/>
  <c r="M194" i="4" s="1"/>
  <c r="AL120" i="8"/>
  <c r="AM113" i="8"/>
  <c r="AL137" i="8"/>
  <c r="AL155" i="8" s="1"/>
  <c r="N120" i="4"/>
  <c r="N143" i="4" s="1"/>
  <c r="N147" i="4" s="1"/>
  <c r="N161" i="4" s="1"/>
  <c r="T78" i="4"/>
  <c r="T79" i="4" s="1"/>
  <c r="T81" i="4" s="1"/>
  <c r="T76" i="4"/>
  <c r="T77" i="4" s="1"/>
  <c r="S91" i="4"/>
  <c r="S90" i="4"/>
  <c r="P106" i="4"/>
  <c r="P142" i="4" s="1"/>
  <c r="P146" i="4" s="1"/>
  <c r="P160" i="4" s="1"/>
  <c r="Q99" i="4"/>
  <c r="O119" i="4"/>
  <c r="O118" i="4"/>
  <c r="C184" i="8" l="1"/>
  <c r="C186" i="8" s="1"/>
  <c r="N121" i="4"/>
  <c r="N123" i="4" s="1"/>
  <c r="N124" i="4" s="1"/>
  <c r="N125" i="4" s="1"/>
  <c r="N126" i="4" s="1"/>
  <c r="N151" i="4" s="1"/>
  <c r="N164" i="4" s="1"/>
  <c r="N176" i="4" s="1"/>
  <c r="N194" i="4" s="1"/>
  <c r="AK175" i="8"/>
  <c r="AK193" i="8" s="1"/>
  <c r="P107" i="4"/>
  <c r="P109" i="4" s="1"/>
  <c r="P110" i="4" s="1"/>
  <c r="O114" i="4" s="1"/>
  <c r="O133" i="4" s="1"/>
  <c r="O137" i="4" s="1"/>
  <c r="O155" i="4" s="1"/>
  <c r="AM119" i="8"/>
  <c r="AM118" i="8"/>
  <c r="AM115" i="8"/>
  <c r="AM116" i="8" s="1"/>
  <c r="AM120" i="8" s="1"/>
  <c r="AM143" i="8" s="1"/>
  <c r="AM147" i="8" s="1"/>
  <c r="AM161" i="8" s="1"/>
  <c r="AL143" i="8"/>
  <c r="AL147" i="8" s="1"/>
  <c r="AL161" i="8" s="1"/>
  <c r="AL121" i="8"/>
  <c r="T157" i="4"/>
  <c r="U74" i="4"/>
  <c r="T82" i="4"/>
  <c r="S86" i="4" s="1"/>
  <c r="Q103" i="4"/>
  <c r="Q132" i="4"/>
  <c r="Q136" i="4" s="1"/>
  <c r="Q154" i="4" s="1"/>
  <c r="Q104" i="4"/>
  <c r="Q105" i="4"/>
  <c r="Q101" i="4"/>
  <c r="Q102" i="4" s="1"/>
  <c r="N175" i="4" l="1"/>
  <c r="N193" i="4" s="1"/>
  <c r="O117" i="4"/>
  <c r="O115" i="4"/>
  <c r="O116" i="4" s="1"/>
  <c r="P113" i="4" s="1"/>
  <c r="P118" i="4" s="1"/>
  <c r="AL123" i="8"/>
  <c r="AL124" i="8" s="1"/>
  <c r="AL125" i="8" s="1"/>
  <c r="AL126" i="8" s="1"/>
  <c r="AL151" i="8" s="1"/>
  <c r="AM121" i="8"/>
  <c r="AM123" i="8" s="1"/>
  <c r="U75" i="4"/>
  <c r="S89" i="4"/>
  <c r="S131" i="4"/>
  <c r="S138" i="4" s="1"/>
  <c r="S156" i="4" s="1"/>
  <c r="S87" i="4"/>
  <c r="S88" i="4" s="1"/>
  <c r="Q106" i="4"/>
  <c r="Q142" i="4" s="1"/>
  <c r="Q146" i="4" s="1"/>
  <c r="Q160" i="4" s="1"/>
  <c r="R99" i="4"/>
  <c r="P119" i="4" l="1"/>
  <c r="O120" i="4"/>
  <c r="AM124" i="8"/>
  <c r="AM125" i="8" s="1"/>
  <c r="AM126" i="8" s="1"/>
  <c r="AM151" i="8" s="1"/>
  <c r="AL175" i="8"/>
  <c r="AL193" i="8" s="1"/>
  <c r="AL164" i="8"/>
  <c r="AL176" i="8" s="1"/>
  <c r="AL194" i="8" s="1"/>
  <c r="U78" i="4"/>
  <c r="U79" i="4" s="1"/>
  <c r="U81" i="4" s="1"/>
  <c r="U76" i="4"/>
  <c r="U77" i="4" s="1"/>
  <c r="S92" i="4"/>
  <c r="S141" i="4" s="1"/>
  <c r="S148" i="4" s="1"/>
  <c r="S162" i="4" s="1"/>
  <c r="T85" i="4"/>
  <c r="Q107" i="4"/>
  <c r="Q109" i="4" s="1"/>
  <c r="Q110" i="4" s="1"/>
  <c r="P114" i="4" s="1"/>
  <c r="R105" i="4"/>
  <c r="R104" i="4"/>
  <c r="O143" i="4" l="1"/>
  <c r="O147" i="4" s="1"/>
  <c r="O161" i="4" s="1"/>
  <c r="O121" i="4"/>
  <c r="O123" i="4" s="1"/>
  <c r="O124" i="4" s="1"/>
  <c r="O125" i="4" s="1"/>
  <c r="O126" i="4" s="1"/>
  <c r="O151" i="4" s="1"/>
  <c r="AM175" i="8"/>
  <c r="AM164" i="8"/>
  <c r="AM176" i="8" s="1"/>
  <c r="AM194" i="8" s="1"/>
  <c r="S93" i="4"/>
  <c r="S95" i="4" s="1"/>
  <c r="S96" i="4" s="1"/>
  <c r="R100" i="4" s="1"/>
  <c r="U157" i="4"/>
  <c r="V74" i="4"/>
  <c r="U82" i="4"/>
  <c r="T86" i="4" s="1"/>
  <c r="T87" i="4" s="1"/>
  <c r="T88" i="4" s="1"/>
  <c r="T91" i="4"/>
  <c r="T90" i="4"/>
  <c r="P117" i="4"/>
  <c r="P133" i="4"/>
  <c r="P137" i="4" s="1"/>
  <c r="P155" i="4" s="1"/>
  <c r="P115" i="4"/>
  <c r="P116" i="4" s="1"/>
  <c r="O164" i="4" l="1"/>
  <c r="O176" i="4" s="1"/>
  <c r="O194" i="4" s="1"/>
  <c r="O175" i="4"/>
  <c r="O193" i="4" s="1"/>
  <c r="AM193" i="8"/>
  <c r="C178" i="8" a="1"/>
  <c r="C178" i="8" s="1"/>
  <c r="B4" i="8" s="1"/>
  <c r="C177" i="8"/>
  <c r="V75" i="4"/>
  <c r="T92" i="4"/>
  <c r="T141" i="4" s="1"/>
  <c r="T148" i="4" s="1"/>
  <c r="T162" i="4" s="1"/>
  <c r="U85" i="4"/>
  <c r="T89" i="4"/>
  <c r="T93" i="4" s="1"/>
  <c r="T131" i="4"/>
  <c r="T138" i="4" s="1"/>
  <c r="T156" i="4" s="1"/>
  <c r="R132" i="4"/>
  <c r="R136" i="4" s="1"/>
  <c r="R154" i="4" s="1"/>
  <c r="R103" i="4"/>
  <c r="R101" i="4"/>
  <c r="R102" i="4" s="1"/>
  <c r="P120" i="4"/>
  <c r="P143" i="4" s="1"/>
  <c r="P147" i="4" s="1"/>
  <c r="P161" i="4" s="1"/>
  <c r="Q113" i="4"/>
  <c r="P121" i="4" l="1"/>
  <c r="P123" i="4" s="1"/>
  <c r="P124" i="4" s="1"/>
  <c r="P125" i="4" s="1"/>
  <c r="P126" i="4" s="1"/>
  <c r="P151" i="4" s="1"/>
  <c r="P175" i="4" s="1"/>
  <c r="P193" i="4" s="1"/>
  <c r="V78" i="4"/>
  <c r="V79" i="4" s="1"/>
  <c r="V81" i="4" s="1"/>
  <c r="V76" i="4"/>
  <c r="V77" i="4" s="1"/>
  <c r="T95" i="4"/>
  <c r="T96" i="4" s="1"/>
  <c r="S100" i="4" s="1"/>
  <c r="U91" i="4"/>
  <c r="U90" i="4"/>
  <c r="S99" i="4"/>
  <c r="R106" i="4"/>
  <c r="R142" i="4" s="1"/>
  <c r="R146" i="4" s="1"/>
  <c r="R160" i="4" s="1"/>
  <c r="P164" i="4"/>
  <c r="P176" i="4" s="1"/>
  <c r="P194" i="4" s="1"/>
  <c r="Q118" i="4"/>
  <c r="Q119" i="4"/>
  <c r="V157" i="4" l="1"/>
  <c r="W74" i="4"/>
  <c r="V82" i="4"/>
  <c r="U86" i="4" s="1"/>
  <c r="R107" i="4"/>
  <c r="R109" i="4" s="1"/>
  <c r="R110" i="4" s="1"/>
  <c r="Q114" i="4" s="1"/>
  <c r="S103" i="4"/>
  <c r="S132" i="4"/>
  <c r="S136" i="4" s="1"/>
  <c r="S154" i="4" s="1"/>
  <c r="S105" i="4"/>
  <c r="S101" i="4"/>
  <c r="S102" i="4" s="1"/>
  <c r="S104" i="4"/>
  <c r="W75" i="4" l="1"/>
  <c r="U89" i="4"/>
  <c r="U131" i="4"/>
  <c r="U87" i="4"/>
  <c r="U88" i="4" s="1"/>
  <c r="Q117" i="4"/>
  <c r="Q115" i="4"/>
  <c r="Q116" i="4" s="1"/>
  <c r="Q133" i="4"/>
  <c r="Q137" i="4" s="1"/>
  <c r="Q155" i="4" s="1"/>
  <c r="S106" i="4"/>
  <c r="S142" i="4" s="1"/>
  <c r="S146" i="4" s="1"/>
  <c r="S160" i="4" s="1"/>
  <c r="T99" i="4"/>
  <c r="W78" i="4" l="1"/>
  <c r="W79" i="4" s="1"/>
  <c r="W81" i="4" s="1"/>
  <c r="W76" i="4"/>
  <c r="W77" i="4" s="1"/>
  <c r="S107" i="4"/>
  <c r="S109" i="4" s="1"/>
  <c r="S110" i="4" s="1"/>
  <c r="R114" i="4" s="1"/>
  <c r="U92" i="4"/>
  <c r="U141" i="4" s="1"/>
  <c r="U148" i="4" s="1"/>
  <c r="U162" i="4" s="1"/>
  <c r="V85" i="4"/>
  <c r="U138" i="4"/>
  <c r="Q120" i="4"/>
  <c r="R113" i="4"/>
  <c r="T104" i="4"/>
  <c r="T105" i="4"/>
  <c r="W157" i="4" l="1"/>
  <c r="X74" i="4"/>
  <c r="W82" i="4"/>
  <c r="V86" i="4" s="1"/>
  <c r="V87" i="4" s="1"/>
  <c r="V88" i="4" s="1"/>
  <c r="U93" i="4"/>
  <c r="U95" i="4" s="1"/>
  <c r="U96" i="4" s="1"/>
  <c r="T100" i="4" s="1"/>
  <c r="U156" i="4"/>
  <c r="V91" i="4"/>
  <c r="V90" i="4"/>
  <c r="Q143" i="4"/>
  <c r="Q147" i="4" s="1"/>
  <c r="Q161" i="4" s="1"/>
  <c r="Q121" i="4"/>
  <c r="Q123" i="4" s="1"/>
  <c r="Q124" i="4" s="1"/>
  <c r="Q125" i="4" s="1"/>
  <c r="Q126" i="4" s="1"/>
  <c r="Q151" i="4" s="1"/>
  <c r="Q175" i="4" s="1"/>
  <c r="Q193" i="4" s="1"/>
  <c r="R118" i="4"/>
  <c r="R119" i="4"/>
  <c r="R115" i="4"/>
  <c r="R116" i="4" s="1"/>
  <c r="R117" i="4"/>
  <c r="R133" i="4"/>
  <c r="X75" i="4" l="1"/>
  <c r="V92" i="4"/>
  <c r="V141" i="4" s="1"/>
  <c r="V148" i="4" s="1"/>
  <c r="V162" i="4" s="1"/>
  <c r="W85" i="4"/>
  <c r="V89" i="4"/>
  <c r="V93" i="4" s="1"/>
  <c r="V95" i="4" s="1"/>
  <c r="V131" i="4"/>
  <c r="T132" i="4"/>
  <c r="T101" i="4"/>
  <c r="T102" i="4" s="1"/>
  <c r="T103" i="4"/>
  <c r="Q164" i="4"/>
  <c r="Q176" i="4" s="1"/>
  <c r="Q194" i="4" s="1"/>
  <c r="R137" i="4"/>
  <c r="R120" i="4"/>
  <c r="R143" i="4" s="1"/>
  <c r="R147" i="4" s="1"/>
  <c r="R161" i="4" s="1"/>
  <c r="S113" i="4"/>
  <c r="X78" i="4" l="1"/>
  <c r="X79" i="4" s="1"/>
  <c r="X81" i="4" s="1"/>
  <c r="X76" i="4"/>
  <c r="X77" i="4" s="1"/>
  <c r="V138" i="4"/>
  <c r="W91" i="4"/>
  <c r="W90" i="4"/>
  <c r="T106" i="4"/>
  <c r="T142" i="4" s="1"/>
  <c r="T146" i="4" s="1"/>
  <c r="T160" i="4" s="1"/>
  <c r="U99" i="4"/>
  <c r="T136" i="4"/>
  <c r="V96" i="4"/>
  <c r="U100" i="4" s="1"/>
  <c r="S119" i="4"/>
  <c r="S118" i="4"/>
  <c r="R121" i="4"/>
  <c r="R155" i="4"/>
  <c r="X157" i="4" l="1"/>
  <c r="Y74" i="4"/>
  <c r="X82" i="4"/>
  <c r="W86" i="4" s="1"/>
  <c r="V156" i="4"/>
  <c r="T154" i="4"/>
  <c r="U103" i="4"/>
  <c r="U132" i="4"/>
  <c r="T107" i="4"/>
  <c r="U105" i="4"/>
  <c r="U104" i="4"/>
  <c r="U101" i="4"/>
  <c r="U102" i="4" s="1"/>
  <c r="R123" i="4"/>
  <c r="R124" i="4" s="1"/>
  <c r="R125" i="4" s="1"/>
  <c r="R126" i="4" s="1"/>
  <c r="R151" i="4" s="1"/>
  <c r="Y75" i="4" l="1"/>
  <c r="Y76" i="4" s="1"/>
  <c r="W89" i="4"/>
  <c r="W131" i="4"/>
  <c r="W87" i="4"/>
  <c r="W88" i="4" s="1"/>
  <c r="T109" i="4"/>
  <c r="T110" i="4" s="1"/>
  <c r="S114" i="4" s="1"/>
  <c r="U106" i="4"/>
  <c r="U142" i="4" s="1"/>
  <c r="U146" i="4" s="1"/>
  <c r="U160" i="4" s="1"/>
  <c r="V99" i="4"/>
  <c r="U136" i="4"/>
  <c r="R175" i="4"/>
  <c r="R193" i="4" s="1"/>
  <c r="R164" i="4"/>
  <c r="R176" i="4" s="1"/>
  <c r="R194" i="4" s="1"/>
  <c r="U107" i="4" l="1"/>
  <c r="U109" i="4" s="1"/>
  <c r="U110" i="4" s="1"/>
  <c r="T114" i="4" s="1"/>
  <c r="T117" i="4" s="1"/>
  <c r="Y78" i="4"/>
  <c r="Y79" i="4" s="1"/>
  <c r="Y81" i="4" s="1"/>
  <c r="Y77" i="4"/>
  <c r="W138" i="4"/>
  <c r="W92" i="4"/>
  <c r="W141" i="4" s="1"/>
  <c r="W148" i="4" s="1"/>
  <c r="W162" i="4" s="1"/>
  <c r="X85" i="4"/>
  <c r="W93" i="4"/>
  <c r="U154" i="4"/>
  <c r="V105" i="4"/>
  <c r="V104" i="4"/>
  <c r="S117" i="4"/>
  <c r="S133" i="4"/>
  <c r="S137" i="4" s="1"/>
  <c r="S155" i="4" s="1"/>
  <c r="S115" i="4"/>
  <c r="S116" i="4" s="1"/>
  <c r="T133" i="4" l="1"/>
  <c r="T137" i="4" s="1"/>
  <c r="Y157" i="4"/>
  <c r="Z74" i="4"/>
  <c r="Y82" i="4"/>
  <c r="X86" i="4" s="1"/>
  <c r="W95" i="4"/>
  <c r="W96" i="4" s="1"/>
  <c r="V100" i="4" s="1"/>
  <c r="X91" i="4"/>
  <c r="X90" i="4"/>
  <c r="X87" i="4"/>
  <c r="X88" i="4" s="1"/>
  <c r="W156" i="4"/>
  <c r="T113" i="4"/>
  <c r="S120" i="4"/>
  <c r="S143" i="4" s="1"/>
  <c r="S147" i="4" s="1"/>
  <c r="S161" i="4" s="1"/>
  <c r="T155" i="4"/>
  <c r="Z75" i="4" l="1"/>
  <c r="X89" i="4"/>
  <c r="X131" i="4"/>
  <c r="X92" i="4"/>
  <c r="X141" i="4" s="1"/>
  <c r="X148" i="4" s="1"/>
  <c r="X162" i="4" s="1"/>
  <c r="Y85" i="4"/>
  <c r="V103" i="4"/>
  <c r="V132" i="4"/>
  <c r="V101" i="4"/>
  <c r="V102" i="4" s="1"/>
  <c r="S121" i="4"/>
  <c r="S123" i="4" s="1"/>
  <c r="S124" i="4" s="1"/>
  <c r="S125" i="4" s="1"/>
  <c r="S126" i="4" s="1"/>
  <c r="S151" i="4" s="1"/>
  <c r="T115" i="4"/>
  <c r="T116" i="4" s="1"/>
  <c r="U113" i="4" s="1"/>
  <c r="T119" i="4"/>
  <c r="T118" i="4"/>
  <c r="X93" i="4" l="1"/>
  <c r="X95" i="4" s="1"/>
  <c r="X96" i="4" s="1"/>
  <c r="W100" i="4" s="1"/>
  <c r="Z78" i="4"/>
  <c r="Z79" i="4" s="1"/>
  <c r="Z81" i="4" s="1"/>
  <c r="Z76" i="4"/>
  <c r="Z77" i="4" s="1"/>
  <c r="Y91" i="4"/>
  <c r="Y90" i="4"/>
  <c r="X138" i="4"/>
  <c r="V136" i="4"/>
  <c r="V106" i="4"/>
  <c r="V142" i="4" s="1"/>
  <c r="V146" i="4" s="1"/>
  <c r="V160" i="4" s="1"/>
  <c r="W99" i="4"/>
  <c r="T120" i="4"/>
  <c r="T143" i="4" s="1"/>
  <c r="T147" i="4" s="1"/>
  <c r="T161" i="4" s="1"/>
  <c r="U118" i="4"/>
  <c r="U119" i="4"/>
  <c r="S175" i="4"/>
  <c r="S193" i="4" s="1"/>
  <c r="S164" i="4"/>
  <c r="S176" i="4" s="1"/>
  <c r="S194" i="4" s="1"/>
  <c r="Z157" i="4" l="1"/>
  <c r="AA74" i="4"/>
  <c r="Z82" i="4"/>
  <c r="Y86" i="4" s="1"/>
  <c r="X156" i="4"/>
  <c r="W105" i="4"/>
  <c r="W101" i="4"/>
  <c r="W102" i="4" s="1"/>
  <c r="W104" i="4"/>
  <c r="W103" i="4"/>
  <c r="W132" i="4"/>
  <c r="V107" i="4"/>
  <c r="V154" i="4"/>
  <c r="T121" i="4"/>
  <c r="T123" i="4" s="1"/>
  <c r="T124" i="4" s="1"/>
  <c r="T125" i="4" s="1"/>
  <c r="T126" i="4" s="1"/>
  <c r="T151" i="4" s="1"/>
  <c r="AA75" i="4" l="1"/>
  <c r="Y89" i="4"/>
  <c r="Y131" i="4"/>
  <c r="Y87" i="4"/>
  <c r="Y88" i="4" s="1"/>
  <c r="W136" i="4"/>
  <c r="W106" i="4"/>
  <c r="W142" i="4" s="1"/>
  <c r="W146" i="4" s="1"/>
  <c r="W160" i="4" s="1"/>
  <c r="X99" i="4"/>
  <c r="V109" i="4"/>
  <c r="V110" i="4" s="1"/>
  <c r="U114" i="4" s="1"/>
  <c r="T175" i="4"/>
  <c r="T193" i="4" s="1"/>
  <c r="T164" i="4"/>
  <c r="T176" i="4" s="1"/>
  <c r="T194" i="4" s="1"/>
  <c r="W107" i="4" l="1"/>
  <c r="W109" i="4" s="1"/>
  <c r="W110" i="4" s="1"/>
  <c r="V114" i="4" s="1"/>
  <c r="V133" i="4" s="1"/>
  <c r="V137" i="4" s="1"/>
  <c r="AA78" i="4"/>
  <c r="AA79" i="4" s="1"/>
  <c r="AA81" i="4" s="1"/>
  <c r="AA76" i="4"/>
  <c r="AA77" i="4" s="1"/>
  <c r="Y138" i="4"/>
  <c r="Y92" i="4"/>
  <c r="Y141" i="4" s="1"/>
  <c r="Y148" i="4" s="1"/>
  <c r="Y162" i="4" s="1"/>
  <c r="Z85" i="4"/>
  <c r="V117" i="4"/>
  <c r="U117" i="4"/>
  <c r="U133" i="4"/>
  <c r="U137" i="4" s="1"/>
  <c r="U155" i="4" s="1"/>
  <c r="U115" i="4"/>
  <c r="U116" i="4" s="1"/>
  <c r="X104" i="4"/>
  <c r="X105" i="4"/>
  <c r="W154" i="4"/>
  <c r="Y93" i="4" l="1"/>
  <c r="AA157" i="4"/>
  <c r="AB74" i="4"/>
  <c r="AA82" i="4"/>
  <c r="Z86" i="4" s="1"/>
  <c r="Y95" i="4"/>
  <c r="Y96" i="4" s="1"/>
  <c r="X100" i="4" s="1"/>
  <c r="Z91" i="4"/>
  <c r="Z90" i="4"/>
  <c r="Z87" i="4"/>
  <c r="Z88" i="4" s="1"/>
  <c r="Y156" i="4"/>
  <c r="U120" i="4"/>
  <c r="V113" i="4"/>
  <c r="V155" i="4"/>
  <c r="AB75" i="4" l="1"/>
  <c r="Z92" i="4"/>
  <c r="Z141" i="4" s="1"/>
  <c r="Z148" i="4" s="1"/>
  <c r="Z162" i="4" s="1"/>
  <c r="AA85" i="4"/>
  <c r="Z89" i="4"/>
  <c r="Z93" i="4" s="1"/>
  <c r="Z131" i="4"/>
  <c r="X101" i="4"/>
  <c r="X102" i="4" s="1"/>
  <c r="X132" i="4"/>
  <c r="X103" i="4"/>
  <c r="U143" i="4"/>
  <c r="U147" i="4" s="1"/>
  <c r="U161" i="4" s="1"/>
  <c r="U121" i="4"/>
  <c r="U123" i="4" s="1"/>
  <c r="U124" i="4" s="1"/>
  <c r="U125" i="4" s="1"/>
  <c r="U126" i="4" s="1"/>
  <c r="U151" i="4" s="1"/>
  <c r="V118" i="4"/>
  <c r="V119" i="4"/>
  <c r="V115" i="4"/>
  <c r="V116" i="4" s="1"/>
  <c r="W113" i="4" s="1"/>
  <c r="AB78" i="4" l="1"/>
  <c r="AB79" i="4" s="1"/>
  <c r="AB81" i="4" s="1"/>
  <c r="AB76" i="4"/>
  <c r="AB77" i="4" s="1"/>
  <c r="Z138" i="4"/>
  <c r="Z95" i="4"/>
  <c r="Z96" i="4" s="1"/>
  <c r="Y100" i="4" s="1"/>
  <c r="AA91" i="4"/>
  <c r="AA90" i="4"/>
  <c r="X136" i="4"/>
  <c r="X106" i="4"/>
  <c r="X142" i="4" s="1"/>
  <c r="X146" i="4" s="1"/>
  <c r="X160" i="4" s="1"/>
  <c r="Y99" i="4"/>
  <c r="V120" i="4"/>
  <c r="V143" i="4" s="1"/>
  <c r="V147" i="4" s="1"/>
  <c r="V161" i="4" s="1"/>
  <c r="U175" i="4"/>
  <c r="U193" i="4" s="1"/>
  <c r="U164" i="4"/>
  <c r="U176" i="4" s="1"/>
  <c r="U194" i="4" s="1"/>
  <c r="W119" i="4"/>
  <c r="W118" i="4"/>
  <c r="AB157" i="4" l="1"/>
  <c r="AC74" i="4"/>
  <c r="AB82" i="4"/>
  <c r="AA86" i="4" s="1"/>
  <c r="X107" i="4"/>
  <c r="X109" i="4" s="1"/>
  <c r="X110" i="4" s="1"/>
  <c r="W114" i="4" s="1"/>
  <c r="Z156" i="4"/>
  <c r="Y103" i="4"/>
  <c r="Y132" i="4"/>
  <c r="V121" i="4"/>
  <c r="V123" i="4" s="1"/>
  <c r="V124" i="4" s="1"/>
  <c r="V125" i="4" s="1"/>
  <c r="V126" i="4" s="1"/>
  <c r="V151" i="4" s="1"/>
  <c r="Y104" i="4"/>
  <c r="Y101" i="4"/>
  <c r="Y102" i="4" s="1"/>
  <c r="Y105" i="4"/>
  <c r="X154" i="4"/>
  <c r="AC75" i="4" l="1"/>
  <c r="AA89" i="4"/>
  <c r="AA131" i="4"/>
  <c r="AA87" i="4"/>
  <c r="AA88" i="4" s="1"/>
  <c r="W115" i="4"/>
  <c r="W116" i="4" s="1"/>
  <c r="W117" i="4"/>
  <c r="W133" i="4"/>
  <c r="W137" i="4" s="1"/>
  <c r="W155" i="4" s="1"/>
  <c r="Y106" i="4"/>
  <c r="Y142" i="4" s="1"/>
  <c r="Y146" i="4" s="1"/>
  <c r="Y160" i="4" s="1"/>
  <c r="Z99" i="4"/>
  <c r="Y136" i="4"/>
  <c r="V164" i="4"/>
  <c r="V176" i="4" s="1"/>
  <c r="V194" i="4" s="1"/>
  <c r="V175" i="4"/>
  <c r="V193" i="4" s="1"/>
  <c r="AC78" i="4" l="1"/>
  <c r="AC79" i="4" s="1"/>
  <c r="AC81" i="4" s="1"/>
  <c r="AC76" i="4"/>
  <c r="AC77" i="4" s="1"/>
  <c r="Y107" i="4"/>
  <c r="Y109" i="4" s="1"/>
  <c r="Y110" i="4" s="1"/>
  <c r="X114" i="4" s="1"/>
  <c r="AA138" i="4"/>
  <c r="AA92" i="4"/>
  <c r="AA141" i="4" s="1"/>
  <c r="AA148" i="4" s="1"/>
  <c r="AA162" i="4" s="1"/>
  <c r="AB85" i="4"/>
  <c r="W120" i="4"/>
  <c r="W143" i="4" s="1"/>
  <c r="W147" i="4" s="1"/>
  <c r="W161" i="4" s="1"/>
  <c r="X113" i="4"/>
  <c r="Y154" i="4"/>
  <c r="Z105" i="4"/>
  <c r="Z104" i="4"/>
  <c r="AC157" i="4" l="1"/>
  <c r="AD74" i="4"/>
  <c r="AC82" i="4"/>
  <c r="AB86" i="4" s="1"/>
  <c r="AB87" i="4" s="1"/>
  <c r="AB88" i="4" s="1"/>
  <c r="AA93" i="4"/>
  <c r="AA95" i="4" s="1"/>
  <c r="AA96" i="4" s="1"/>
  <c r="Z100" i="4" s="1"/>
  <c r="AB91" i="4"/>
  <c r="AB90" i="4"/>
  <c r="AA156" i="4"/>
  <c r="X118" i="4"/>
  <c r="X119" i="4"/>
  <c r="W121" i="4"/>
  <c r="W123" i="4" s="1"/>
  <c r="X115" i="4"/>
  <c r="X116" i="4" s="1"/>
  <c r="X117" i="4"/>
  <c r="X133" i="4"/>
  <c r="AD75" i="4" l="1"/>
  <c r="AB92" i="4"/>
  <c r="AB141" i="4" s="1"/>
  <c r="AB148" i="4" s="1"/>
  <c r="AB162" i="4" s="1"/>
  <c r="AC85" i="4"/>
  <c r="AB89" i="4"/>
  <c r="AB131" i="4"/>
  <c r="AB93" i="4"/>
  <c r="AB95" i="4" s="1"/>
  <c r="Z101" i="4"/>
  <c r="Z102" i="4" s="1"/>
  <c r="Z103" i="4"/>
  <c r="Z132" i="4"/>
  <c r="W124" i="4"/>
  <c r="W125" i="4" s="1"/>
  <c r="W126" i="4" s="1"/>
  <c r="W151" i="4" s="1"/>
  <c r="X137" i="4"/>
  <c r="X120" i="4"/>
  <c r="X143" i="4" s="1"/>
  <c r="X147" i="4" s="1"/>
  <c r="X161" i="4" s="1"/>
  <c r="Y113" i="4"/>
  <c r="AD78" i="4" l="1"/>
  <c r="AD79" i="4" s="1"/>
  <c r="AD81" i="4" s="1"/>
  <c r="AD76" i="4"/>
  <c r="AD77" i="4" s="1"/>
  <c r="AC91" i="4"/>
  <c r="AC90" i="4"/>
  <c r="AB138" i="4"/>
  <c r="Z136" i="4"/>
  <c r="Z106" i="4"/>
  <c r="Z142" i="4" s="1"/>
  <c r="Z146" i="4" s="1"/>
  <c r="Z160" i="4" s="1"/>
  <c r="AA99" i="4"/>
  <c r="AB96" i="4"/>
  <c r="AA100" i="4" s="1"/>
  <c r="W175" i="4"/>
  <c r="W193" i="4" s="1"/>
  <c r="W164" i="4"/>
  <c r="W176" i="4" s="1"/>
  <c r="W194" i="4" s="1"/>
  <c r="X155" i="4"/>
  <c r="Y118" i="4"/>
  <c r="Y119" i="4"/>
  <c r="X121" i="4"/>
  <c r="AD157" i="4" l="1"/>
  <c r="AE74" i="4"/>
  <c r="AD82" i="4"/>
  <c r="AC86" i="4" s="1"/>
  <c r="AB156" i="4"/>
  <c r="AA103" i="4"/>
  <c r="AA132" i="4"/>
  <c r="AA105" i="4"/>
  <c r="AA101" i="4"/>
  <c r="AA102" i="4" s="1"/>
  <c r="AA104" i="4"/>
  <c r="Z107" i="4"/>
  <c r="Z154" i="4"/>
  <c r="X123" i="4"/>
  <c r="X124" i="4" s="1"/>
  <c r="X125" i="4" s="1"/>
  <c r="X126" i="4" s="1"/>
  <c r="X151" i="4" s="1"/>
  <c r="AE75" i="4" l="1"/>
  <c r="AE76" i="4" s="1"/>
  <c r="AC89" i="4"/>
  <c r="AC131" i="4"/>
  <c r="AC87" i="4"/>
  <c r="AC88" i="4" s="1"/>
  <c r="AA106" i="4"/>
  <c r="AA142" i="4" s="1"/>
  <c r="AA146" i="4" s="1"/>
  <c r="AA160" i="4" s="1"/>
  <c r="AB99" i="4"/>
  <c r="AA136" i="4"/>
  <c r="Z109" i="4"/>
  <c r="Z110" i="4" s="1"/>
  <c r="Y114" i="4" s="1"/>
  <c r="AA107" i="4"/>
  <c r="AA109" i="4" s="1"/>
  <c r="X175" i="4"/>
  <c r="X193" i="4" s="1"/>
  <c r="X164" i="4"/>
  <c r="X176" i="4" s="1"/>
  <c r="X194" i="4" s="1"/>
  <c r="AA110" i="4" l="1"/>
  <c r="Z114" i="4" s="1"/>
  <c r="Z117" i="4" s="1"/>
  <c r="AE78" i="4"/>
  <c r="AE79" i="4" s="1"/>
  <c r="AE81" i="4" s="1"/>
  <c r="AE77" i="4"/>
  <c r="AC138" i="4"/>
  <c r="AC92" i="4"/>
  <c r="AC141" i="4" s="1"/>
  <c r="AC148" i="4" s="1"/>
  <c r="AC162" i="4" s="1"/>
  <c r="AD85" i="4"/>
  <c r="Z133" i="4"/>
  <c r="Z137" i="4" s="1"/>
  <c r="Y133" i="4"/>
  <c r="Y137" i="4" s="1"/>
  <c r="Y155" i="4" s="1"/>
  <c r="Y115" i="4"/>
  <c r="Y116" i="4" s="1"/>
  <c r="Y117" i="4"/>
  <c r="AA154" i="4"/>
  <c r="AB104" i="4"/>
  <c r="AB105" i="4"/>
  <c r="AE157" i="4" l="1"/>
  <c r="AF74" i="4"/>
  <c r="AE82" i="4"/>
  <c r="AD86" i="4" s="1"/>
  <c r="AD87" i="4" s="1"/>
  <c r="AD88" i="4" s="1"/>
  <c r="AC93" i="4"/>
  <c r="AD91" i="4"/>
  <c r="AD90" i="4"/>
  <c r="AC156" i="4"/>
  <c r="Z113" i="4"/>
  <c r="Y120" i="4"/>
  <c r="Y143" i="4" s="1"/>
  <c r="Y147" i="4" s="1"/>
  <c r="Y161" i="4" s="1"/>
  <c r="Z155" i="4"/>
  <c r="AF75" i="4" l="1"/>
  <c r="AD92" i="4"/>
  <c r="AD141" i="4" s="1"/>
  <c r="AD148" i="4" s="1"/>
  <c r="AD162" i="4" s="1"/>
  <c r="AE85" i="4"/>
  <c r="AD89" i="4"/>
  <c r="AD131" i="4"/>
  <c r="AD93" i="4"/>
  <c r="AC95" i="4"/>
  <c r="AC96" i="4" s="1"/>
  <c r="AB100" i="4" s="1"/>
  <c r="AD95" i="4"/>
  <c r="Y121" i="4"/>
  <c r="Y123" i="4" s="1"/>
  <c r="Y124" i="4" s="1"/>
  <c r="Y125" i="4" s="1"/>
  <c r="Y126" i="4" s="1"/>
  <c r="Y151" i="4" s="1"/>
  <c r="Z118" i="4"/>
  <c r="Z115" i="4"/>
  <c r="Z116" i="4" s="1"/>
  <c r="AA113" i="4" s="1"/>
  <c r="Z119" i="4"/>
  <c r="AF78" i="4" l="1"/>
  <c r="AF79" i="4" s="1"/>
  <c r="AF81" i="4" s="1"/>
  <c r="AF76" i="4"/>
  <c r="AF77" i="4" s="1"/>
  <c r="AD138" i="4"/>
  <c r="AE91" i="4"/>
  <c r="AE90" i="4"/>
  <c r="AD96" i="4"/>
  <c r="AC100" i="4" s="1"/>
  <c r="AC132" i="4" s="1"/>
  <c r="AC136" i="4" s="1"/>
  <c r="AC154" i="4" s="1"/>
  <c r="AB103" i="4"/>
  <c r="AB132" i="4"/>
  <c r="AB101" i="4"/>
  <c r="AB102" i="4" s="1"/>
  <c r="AA119" i="4"/>
  <c r="AA118" i="4"/>
  <c r="Z120" i="4"/>
  <c r="Z143" i="4" s="1"/>
  <c r="Z147" i="4" s="1"/>
  <c r="Z161" i="4" s="1"/>
  <c r="Y164" i="4"/>
  <c r="Y176" i="4" s="1"/>
  <c r="Y194" i="4" s="1"/>
  <c r="Y175" i="4"/>
  <c r="Y193" i="4" s="1"/>
  <c r="AF157" i="4" l="1"/>
  <c r="AG74" i="4"/>
  <c r="AF82" i="4"/>
  <c r="AE86" i="4" s="1"/>
  <c r="AD156" i="4"/>
  <c r="AB136" i="4"/>
  <c r="AC99" i="4"/>
  <c r="AB106" i="4"/>
  <c r="AB142" i="4" s="1"/>
  <c r="AB146" i="4" s="1"/>
  <c r="AB160" i="4" s="1"/>
  <c r="AC103" i="4"/>
  <c r="Z121" i="4"/>
  <c r="AB107" i="4" l="1"/>
  <c r="AB109" i="4" s="1"/>
  <c r="AB110" i="4" s="1"/>
  <c r="AA114" i="4" s="1"/>
  <c r="AG75" i="4"/>
  <c r="AE89" i="4"/>
  <c r="AE131" i="4"/>
  <c r="AE87" i="4"/>
  <c r="AE88" i="4" s="1"/>
  <c r="AC101" i="4"/>
  <c r="AC102" i="4" s="1"/>
  <c r="AC104" i="4"/>
  <c r="AC105" i="4"/>
  <c r="AB154" i="4"/>
  <c r="Z123" i="4"/>
  <c r="Z124" i="4" s="1"/>
  <c r="Z125" i="4" s="1"/>
  <c r="Z126" i="4" s="1"/>
  <c r="Z151" i="4" s="1"/>
  <c r="AG78" i="4" l="1"/>
  <c r="AG79" i="4" s="1"/>
  <c r="AG81" i="4" s="1"/>
  <c r="AG76" i="4"/>
  <c r="AG77" i="4" s="1"/>
  <c r="AE92" i="4"/>
  <c r="AE141" i="4" s="1"/>
  <c r="AE148" i="4" s="1"/>
  <c r="AE162" i="4" s="1"/>
  <c r="AF85" i="4"/>
  <c r="AE138" i="4"/>
  <c r="AE93" i="4"/>
  <c r="AC106" i="4"/>
  <c r="AC142" i="4" s="1"/>
  <c r="AC146" i="4" s="1"/>
  <c r="AC160" i="4" s="1"/>
  <c r="AD99" i="4"/>
  <c r="AA117" i="4"/>
  <c r="AA133" i="4"/>
  <c r="AA137" i="4" s="1"/>
  <c r="AA155" i="4" s="1"/>
  <c r="AA115" i="4"/>
  <c r="AA116" i="4" s="1"/>
  <c r="Z164" i="4"/>
  <c r="Z176" i="4" s="1"/>
  <c r="Z194" i="4" s="1"/>
  <c r="Z175" i="4"/>
  <c r="AG157" i="4" l="1"/>
  <c r="AH74" i="4"/>
  <c r="AG82" i="4"/>
  <c r="AF86" i="4" s="1"/>
  <c r="AF87" i="4" s="1"/>
  <c r="AF88" i="4" s="1"/>
  <c r="AE156" i="4"/>
  <c r="AF91" i="4"/>
  <c r="AF90" i="4"/>
  <c r="AE95" i="4"/>
  <c r="AE96" i="4" s="1"/>
  <c r="AD100" i="4" s="1"/>
  <c r="AB113" i="4"/>
  <c r="AA120" i="4"/>
  <c r="AA143" i="4" s="1"/>
  <c r="AA147" i="4" s="1"/>
  <c r="AA161" i="4" s="1"/>
  <c r="AD105" i="4"/>
  <c r="AD104" i="4"/>
  <c r="AC107" i="4"/>
  <c r="Z193" i="4"/>
  <c r="AH75" i="4" l="1"/>
  <c r="AF92" i="4"/>
  <c r="AF141" i="4" s="1"/>
  <c r="AF148" i="4" s="1"/>
  <c r="AF162" i="4" s="1"/>
  <c r="AG85" i="4"/>
  <c r="AA121" i="4"/>
  <c r="AA123" i="4" s="1"/>
  <c r="AA124" i="4" s="1"/>
  <c r="AA125" i="4" s="1"/>
  <c r="AA126" i="4" s="1"/>
  <c r="AA151" i="4" s="1"/>
  <c r="AF89" i="4"/>
  <c r="AF131" i="4"/>
  <c r="AD132" i="4"/>
  <c r="AD103" i="4"/>
  <c r="AD101" i="4"/>
  <c r="AD102" i="4" s="1"/>
  <c r="AD106" i="4" s="1"/>
  <c r="AC109" i="4"/>
  <c r="AC110" i="4" s="1"/>
  <c r="AB114" i="4" s="1"/>
  <c r="AB115" i="4" s="1"/>
  <c r="AB116" i="4" s="1"/>
  <c r="AC113" i="4" s="1"/>
  <c r="AB119" i="4"/>
  <c r="AB118" i="4"/>
  <c r="AF93" i="4" l="1"/>
  <c r="AH78" i="4"/>
  <c r="AH79" i="4" s="1"/>
  <c r="AH81" i="4" s="1"/>
  <c r="AH76" i="4"/>
  <c r="AH77" i="4" s="1"/>
  <c r="AF138" i="4"/>
  <c r="AF95" i="4"/>
  <c r="AF96" i="4" s="1"/>
  <c r="AE100" i="4" s="1"/>
  <c r="AG91" i="4"/>
  <c r="AG90" i="4"/>
  <c r="AD142" i="4"/>
  <c r="AD146" i="4" s="1"/>
  <c r="AD160" i="4" s="1"/>
  <c r="AD107" i="4"/>
  <c r="AD109" i="4" s="1"/>
  <c r="AD110" i="4" s="1"/>
  <c r="AC114" i="4" s="1"/>
  <c r="AC133" i="4" s="1"/>
  <c r="AC137" i="4" s="1"/>
  <c r="AC155" i="4" s="1"/>
  <c r="AD136" i="4"/>
  <c r="AE99" i="4"/>
  <c r="AE104" i="4" s="1"/>
  <c r="AC119" i="4"/>
  <c r="AC118" i="4"/>
  <c r="AB120" i="4"/>
  <c r="AB143" i="4" s="1"/>
  <c r="AB147" i="4" s="1"/>
  <c r="AB161" i="4" s="1"/>
  <c r="AA164" i="4"/>
  <c r="AA176" i="4" s="1"/>
  <c r="AA194" i="4" s="1"/>
  <c r="AA175" i="4"/>
  <c r="AA193" i="4" s="1"/>
  <c r="AB117" i="4"/>
  <c r="AB133" i="4"/>
  <c r="AE101" i="4" l="1"/>
  <c r="AE102" i="4" s="1"/>
  <c r="AE105" i="4"/>
  <c r="AH157" i="4"/>
  <c r="AI74" i="4"/>
  <c r="AH82" i="4"/>
  <c r="AG86" i="4" s="1"/>
  <c r="AF156" i="4"/>
  <c r="AE106" i="4"/>
  <c r="AE142" i="4" s="1"/>
  <c r="AE146" i="4" s="1"/>
  <c r="AE160" i="4" s="1"/>
  <c r="AF99" i="4"/>
  <c r="AE103" i="4"/>
  <c r="AE132" i="4"/>
  <c r="AD154" i="4"/>
  <c r="AE107" i="4"/>
  <c r="AB121" i="4"/>
  <c r="AB123" i="4" s="1"/>
  <c r="AB124" i="4" s="1"/>
  <c r="AB125" i="4" s="1"/>
  <c r="AB126" i="4" s="1"/>
  <c r="AB151" i="4" s="1"/>
  <c r="AB137" i="4"/>
  <c r="AC117" i="4"/>
  <c r="AC115" i="4"/>
  <c r="AC116" i="4" s="1"/>
  <c r="AI75" i="4" l="1"/>
  <c r="AG89" i="4"/>
  <c r="AG131" i="4"/>
  <c r="AG87" i="4"/>
  <c r="AG88" i="4" s="1"/>
  <c r="AE109" i="4"/>
  <c r="AE136" i="4"/>
  <c r="AF105" i="4"/>
  <c r="AF104" i="4"/>
  <c r="AE110" i="4"/>
  <c r="AD114" i="4" s="1"/>
  <c r="AC120" i="4"/>
  <c r="AD113" i="4"/>
  <c r="AB155" i="4"/>
  <c r="AB164" i="4" s="1"/>
  <c r="AB176" i="4" s="1"/>
  <c r="AB194" i="4" s="1"/>
  <c r="AB175" i="4"/>
  <c r="AB193" i="4" s="1"/>
  <c r="AI78" i="4" l="1"/>
  <c r="AI79" i="4" s="1"/>
  <c r="AI81" i="4" s="1"/>
  <c r="AI76" i="4"/>
  <c r="AI77" i="4" s="1"/>
  <c r="AG138" i="4"/>
  <c r="AG92" i="4"/>
  <c r="AG141" i="4" s="1"/>
  <c r="AG148" i="4" s="1"/>
  <c r="AG162" i="4" s="1"/>
  <c r="AH85" i="4"/>
  <c r="AE154" i="4"/>
  <c r="AD117" i="4"/>
  <c r="AD133" i="4"/>
  <c r="AD119" i="4"/>
  <c r="AD118" i="4"/>
  <c r="AD115" i="4"/>
  <c r="AD116" i="4" s="1"/>
  <c r="AC143" i="4"/>
  <c r="AC147" i="4" s="1"/>
  <c r="AC161" i="4" s="1"/>
  <c r="AC121" i="4"/>
  <c r="AG93" i="4" l="1"/>
  <c r="AI157" i="4"/>
  <c r="AJ74" i="4"/>
  <c r="AI82" i="4"/>
  <c r="AH86" i="4" s="1"/>
  <c r="AG95" i="4"/>
  <c r="AG96" i="4" s="1"/>
  <c r="AF100" i="4" s="1"/>
  <c r="AH91" i="4"/>
  <c r="AH90" i="4"/>
  <c r="AH87" i="4"/>
  <c r="AH88" i="4" s="1"/>
  <c r="AG156" i="4"/>
  <c r="AD120" i="4"/>
  <c r="AD143" i="4" s="1"/>
  <c r="AD147" i="4" s="1"/>
  <c r="AD161" i="4" s="1"/>
  <c r="AE113" i="4"/>
  <c r="AD137" i="4"/>
  <c r="AC123" i="4"/>
  <c r="AC124" i="4" s="1"/>
  <c r="AC125" i="4" s="1"/>
  <c r="AC126" i="4" s="1"/>
  <c r="AC151" i="4" s="1"/>
  <c r="AJ75" i="4" l="1"/>
  <c r="AH92" i="4"/>
  <c r="AH141" i="4" s="1"/>
  <c r="AH148" i="4" s="1"/>
  <c r="AH162" i="4" s="1"/>
  <c r="AI85" i="4"/>
  <c r="AH89" i="4"/>
  <c r="AH93" i="4" s="1"/>
  <c r="AH131" i="4"/>
  <c r="AF101" i="4"/>
  <c r="AF102" i="4" s="1"/>
  <c r="AF103" i="4"/>
  <c r="AF132" i="4"/>
  <c r="AD121" i="4"/>
  <c r="AD123" i="4" s="1"/>
  <c r="AD124" i="4" s="1"/>
  <c r="AD125" i="4" s="1"/>
  <c r="AD126" i="4" s="1"/>
  <c r="AD151" i="4" s="1"/>
  <c r="AD155" i="4"/>
  <c r="AE119" i="4"/>
  <c r="AE118" i="4"/>
  <c r="AC175" i="4"/>
  <c r="AC164" i="4"/>
  <c r="AC176" i="4" s="1"/>
  <c r="AC194" i="4" s="1"/>
  <c r="AJ78" i="4" l="1"/>
  <c r="AJ79" i="4" s="1"/>
  <c r="AJ81" i="4" s="1"/>
  <c r="AJ76" i="4"/>
  <c r="AJ77" i="4" s="1"/>
  <c r="AH95" i="4"/>
  <c r="AH96" i="4" s="1"/>
  <c r="AG100" i="4" s="1"/>
  <c r="AI91" i="4"/>
  <c r="AI90" i="4"/>
  <c r="AH138" i="4"/>
  <c r="AF136" i="4"/>
  <c r="AF106" i="4"/>
  <c r="AF142" i="4" s="1"/>
  <c r="AF146" i="4" s="1"/>
  <c r="AF160" i="4" s="1"/>
  <c r="AG99" i="4"/>
  <c r="AD175" i="4"/>
  <c r="AD193" i="4" s="1"/>
  <c r="AD164" i="4"/>
  <c r="AD176" i="4" s="1"/>
  <c r="AD194" i="4" s="1"/>
  <c r="AC193" i="4"/>
  <c r="AJ157" i="4" l="1"/>
  <c r="AK74" i="4"/>
  <c r="AJ82" i="4"/>
  <c r="AI86" i="4" s="1"/>
  <c r="AH156" i="4"/>
  <c r="AG103" i="4"/>
  <c r="AG132" i="4"/>
  <c r="AG105" i="4"/>
  <c r="AG104" i="4"/>
  <c r="AG101" i="4"/>
  <c r="AG102" i="4" s="1"/>
  <c r="AF154" i="4"/>
  <c r="AF107" i="4"/>
  <c r="AK75" i="4" l="1"/>
  <c r="AK76" i="4" s="1"/>
  <c r="AI89" i="4"/>
  <c r="AI131" i="4"/>
  <c r="AI87" i="4"/>
  <c r="AI88" i="4" s="1"/>
  <c r="AF109" i="4"/>
  <c r="AF110" i="4" s="1"/>
  <c r="AE114" i="4" s="1"/>
  <c r="AG106" i="4"/>
  <c r="AG142" i="4" s="1"/>
  <c r="AG146" i="4" s="1"/>
  <c r="AG160" i="4" s="1"/>
  <c r="AH99" i="4"/>
  <c r="AG136" i="4"/>
  <c r="AK78" i="4" l="1"/>
  <c r="AK79" i="4" s="1"/>
  <c r="AK81" i="4" s="1"/>
  <c r="AK77" i="4"/>
  <c r="AI92" i="4"/>
  <c r="AI141" i="4" s="1"/>
  <c r="AI148" i="4" s="1"/>
  <c r="AI162" i="4" s="1"/>
  <c r="AJ85" i="4"/>
  <c r="AI138" i="4"/>
  <c r="AG154" i="4"/>
  <c r="AH105" i="4"/>
  <c r="AH104" i="4"/>
  <c r="AE133" i="4"/>
  <c r="AE115" i="4"/>
  <c r="AE116" i="4" s="1"/>
  <c r="AE117" i="4"/>
  <c r="AG107" i="4"/>
  <c r="AI93" i="4" l="1"/>
  <c r="AI95" i="4" s="1"/>
  <c r="AI96" i="4" s="1"/>
  <c r="AH100" i="4" s="1"/>
  <c r="AK157" i="4"/>
  <c r="AL74" i="4"/>
  <c r="AK82" i="4"/>
  <c r="AJ86" i="4" s="1"/>
  <c r="AI156" i="4"/>
  <c r="AJ91" i="4"/>
  <c r="AJ90" i="4"/>
  <c r="AJ87" i="4"/>
  <c r="AJ88" i="4" s="1"/>
  <c r="AE120" i="4"/>
  <c r="AF113" i="4"/>
  <c r="AG109" i="4"/>
  <c r="AG110" i="4" s="1"/>
  <c r="AF114" i="4" s="1"/>
  <c r="AE137" i="4"/>
  <c r="AL75" i="4" l="1"/>
  <c r="AL76" i="4" s="1"/>
  <c r="AJ92" i="4"/>
  <c r="AJ141" i="4" s="1"/>
  <c r="AJ148" i="4" s="1"/>
  <c r="AJ162" i="4" s="1"/>
  <c r="AK85" i="4"/>
  <c r="AJ89" i="4"/>
  <c r="AJ131" i="4"/>
  <c r="AH132" i="4"/>
  <c r="AH103" i="4"/>
  <c r="AH101" i="4"/>
  <c r="AH102" i="4" s="1"/>
  <c r="AE155" i="4"/>
  <c r="AF119" i="4"/>
  <c r="AF115" i="4"/>
  <c r="AF116" i="4" s="1"/>
  <c r="AG113" i="4" s="1"/>
  <c r="AF118" i="4"/>
  <c r="AF117" i="4"/>
  <c r="AF133" i="4"/>
  <c r="AE143" i="4"/>
  <c r="AE147" i="4" s="1"/>
  <c r="AE161" i="4" s="1"/>
  <c r="AE121" i="4"/>
  <c r="AJ93" i="4" l="1"/>
  <c r="AL78" i="4"/>
  <c r="AL79" i="4" s="1"/>
  <c r="AL81" i="4" s="1"/>
  <c r="AL77" i="4"/>
  <c r="AJ138" i="4"/>
  <c r="AK91" i="4"/>
  <c r="AK90" i="4"/>
  <c r="AJ95" i="4"/>
  <c r="AJ96" i="4" s="1"/>
  <c r="AI100" i="4" s="1"/>
  <c r="AH106" i="4"/>
  <c r="AH142" i="4" s="1"/>
  <c r="AH146" i="4" s="1"/>
  <c r="AH160" i="4" s="1"/>
  <c r="AI99" i="4"/>
  <c r="AH136" i="4"/>
  <c r="AG119" i="4"/>
  <c r="AG118" i="4"/>
  <c r="AF120" i="4"/>
  <c r="AF143" i="4" s="1"/>
  <c r="AF147" i="4" s="1"/>
  <c r="AF161" i="4" s="1"/>
  <c r="AE123" i="4"/>
  <c r="AE124" i="4" s="1"/>
  <c r="AE125" i="4" s="1"/>
  <c r="AE126" i="4" s="1"/>
  <c r="AE151" i="4" s="1"/>
  <c r="AF137" i="4"/>
  <c r="AL157" i="4" l="1"/>
  <c r="AM74" i="4"/>
  <c r="AL82" i="4"/>
  <c r="AK86" i="4" s="1"/>
  <c r="AJ156" i="4"/>
  <c r="AI103" i="4"/>
  <c r="AI132" i="4"/>
  <c r="AI105" i="4"/>
  <c r="AI104" i="4"/>
  <c r="AI101" i="4"/>
  <c r="AI102" i="4" s="1"/>
  <c r="AH154" i="4"/>
  <c r="AH107" i="4"/>
  <c r="AE175" i="4"/>
  <c r="AE193" i="4" s="1"/>
  <c r="AE164" i="4"/>
  <c r="AE176" i="4" s="1"/>
  <c r="AE194" i="4" s="1"/>
  <c r="AF155" i="4"/>
  <c r="AF121" i="4"/>
  <c r="AM75" i="4" l="1"/>
  <c r="AM76" i="4" s="1"/>
  <c r="AK89" i="4"/>
  <c r="AK131" i="4"/>
  <c r="AK87" i="4"/>
  <c r="AK88" i="4" s="1"/>
  <c r="AI136" i="4"/>
  <c r="AH109" i="4"/>
  <c r="AH110" i="4" s="1"/>
  <c r="AG114" i="4" s="1"/>
  <c r="AI106" i="4"/>
  <c r="AI142" i="4" s="1"/>
  <c r="AI146" i="4" s="1"/>
  <c r="AI160" i="4" s="1"/>
  <c r="AJ99" i="4"/>
  <c r="AI107" i="4"/>
  <c r="AI109" i="4" s="1"/>
  <c r="AI110" i="4" s="1"/>
  <c r="AH114" i="4" s="1"/>
  <c r="AF123" i="4"/>
  <c r="AF124" i="4" s="1"/>
  <c r="AF125" i="4" s="1"/>
  <c r="AF126" i="4" s="1"/>
  <c r="AF151" i="4" s="1"/>
  <c r="AM78" i="4" l="1"/>
  <c r="AM79" i="4" s="1"/>
  <c r="AM81" i="4" s="1"/>
  <c r="C181" i="4"/>
  <c r="D181" i="4" a="1"/>
  <c r="D181" i="4" s="1"/>
  <c r="E181" i="4" a="1"/>
  <c r="E181" i="4" s="1"/>
  <c r="AM77" i="4"/>
  <c r="AM157" i="4" s="1"/>
  <c r="AK92" i="4"/>
  <c r="AK141" i="4" s="1"/>
  <c r="AK148" i="4" s="1"/>
  <c r="AK162" i="4" s="1"/>
  <c r="AL85" i="4"/>
  <c r="AK138" i="4"/>
  <c r="AJ105" i="4"/>
  <c r="AJ104" i="4"/>
  <c r="AH133" i="4"/>
  <c r="AH137" i="4" s="1"/>
  <c r="AH117" i="4"/>
  <c r="AG133" i="4"/>
  <c r="AG137" i="4" s="1"/>
  <c r="AG155" i="4" s="1"/>
  <c r="AG117" i="4"/>
  <c r="AG115" i="4"/>
  <c r="AG116" i="4" s="1"/>
  <c r="AI154" i="4"/>
  <c r="AF175" i="4"/>
  <c r="AF164" i="4"/>
  <c r="AF176" i="4" s="1"/>
  <c r="AF194" i="4" s="1"/>
  <c r="AK93" i="4" l="1"/>
  <c r="AM82" i="4"/>
  <c r="AL86" i="4" s="1"/>
  <c r="AL87" i="4" s="1"/>
  <c r="AL88" i="4" s="1"/>
  <c r="AK95" i="4"/>
  <c r="AK96" i="4" s="1"/>
  <c r="AJ100" i="4" s="1"/>
  <c r="AL91" i="4"/>
  <c r="AL90" i="4"/>
  <c r="AK156" i="4"/>
  <c r="AG120" i="4"/>
  <c r="AG143" i="4" s="1"/>
  <c r="AG147" i="4" s="1"/>
  <c r="AG161" i="4" s="1"/>
  <c r="AH113" i="4"/>
  <c r="AG121" i="4"/>
  <c r="AH155" i="4"/>
  <c r="AF193" i="4"/>
  <c r="AL92" i="4" l="1"/>
  <c r="AL141" i="4" s="1"/>
  <c r="AL148" i="4" s="1"/>
  <c r="AL162" i="4" s="1"/>
  <c r="AM85" i="4"/>
  <c r="AL89" i="4"/>
  <c r="AM131" i="4"/>
  <c r="AM138" i="4" s="1"/>
  <c r="AM156" i="4" s="1"/>
  <c r="AL131" i="4"/>
  <c r="AJ132" i="4"/>
  <c r="AJ101" i="4"/>
  <c r="AJ102" i="4" s="1"/>
  <c r="AJ103" i="4"/>
  <c r="AG123" i="4"/>
  <c r="AG124" i="4" s="1"/>
  <c r="AG125" i="4" s="1"/>
  <c r="AG126" i="4" s="1"/>
  <c r="AG151" i="4" s="1"/>
  <c r="AH115" i="4"/>
  <c r="AH116" i="4" s="1"/>
  <c r="AI113" i="4" s="1"/>
  <c r="AH119" i="4"/>
  <c r="AH118" i="4"/>
  <c r="AL93" i="4" l="1"/>
  <c r="AL138" i="4"/>
  <c r="C185" i="4"/>
  <c r="AH120" i="4"/>
  <c r="AH143" i="4" s="1"/>
  <c r="AH147" i="4" s="1"/>
  <c r="AH161" i="4" s="1"/>
  <c r="AM91" i="4"/>
  <c r="AM90" i="4"/>
  <c r="AM87" i="4"/>
  <c r="AM88" i="4" s="1"/>
  <c r="AM92" i="4" s="1"/>
  <c r="AM141" i="4" s="1"/>
  <c r="AM148" i="4" s="1"/>
  <c r="AM162" i="4" s="1"/>
  <c r="AL95" i="4"/>
  <c r="AL96" i="4" s="1"/>
  <c r="AK100" i="4" s="1"/>
  <c r="AJ106" i="4"/>
  <c r="AJ142" i="4" s="1"/>
  <c r="AJ146" i="4" s="1"/>
  <c r="AJ160" i="4" s="1"/>
  <c r="AK99" i="4"/>
  <c r="AJ136" i="4"/>
  <c r="AI119" i="4"/>
  <c r="AI118" i="4"/>
  <c r="AG164" i="4"/>
  <c r="AG176" i="4" s="1"/>
  <c r="AG194" i="4" s="1"/>
  <c r="AG175" i="4"/>
  <c r="AG193" i="4" s="1"/>
  <c r="AH121" i="4" l="1"/>
  <c r="AM93" i="4"/>
  <c r="AM95" i="4" s="1"/>
  <c r="AJ107" i="4"/>
  <c r="AJ109" i="4" s="1"/>
  <c r="AJ110" i="4" s="1"/>
  <c r="AI114" i="4" s="1"/>
  <c r="AL156" i="4"/>
  <c r="E185" i="4" a="1"/>
  <c r="E185" i="4" s="1"/>
  <c r="D185" i="4" a="1"/>
  <c r="D185" i="4" s="1"/>
  <c r="AK103" i="4"/>
  <c r="AK132" i="4"/>
  <c r="AJ154" i="4"/>
  <c r="AK104" i="4"/>
  <c r="AK101" i="4"/>
  <c r="AK102" i="4" s="1"/>
  <c r="AK105" i="4"/>
  <c r="AH123" i="4"/>
  <c r="AH124" i="4" s="1"/>
  <c r="AH125" i="4" s="1"/>
  <c r="AH126" i="4" s="1"/>
  <c r="AH151" i="4" s="1"/>
  <c r="AI133" i="4" l="1"/>
  <c r="AI137" i="4" s="1"/>
  <c r="AI155" i="4" s="1"/>
  <c r="AI117" i="4"/>
  <c r="AI115" i="4"/>
  <c r="AI116" i="4" s="1"/>
  <c r="AM96" i="4"/>
  <c r="AL100" i="4" s="1"/>
  <c r="AK106" i="4"/>
  <c r="AK142" i="4" s="1"/>
  <c r="AK146" i="4" s="1"/>
  <c r="AK160" i="4" s="1"/>
  <c r="AL99" i="4"/>
  <c r="AK136" i="4"/>
  <c r="AK107" i="4"/>
  <c r="AH175" i="4"/>
  <c r="AH193" i="4" s="1"/>
  <c r="AH164" i="4"/>
  <c r="AH176" i="4" s="1"/>
  <c r="AH194" i="4" s="1"/>
  <c r="AI120" i="4" l="1"/>
  <c r="AJ113" i="4"/>
  <c r="AL103" i="4"/>
  <c r="AM132" i="4"/>
  <c r="AM136" i="4" s="1"/>
  <c r="AM154" i="4" s="1"/>
  <c r="AL132" i="4"/>
  <c r="AK109" i="4"/>
  <c r="AK110" i="4" s="1"/>
  <c r="AJ114" i="4" s="1"/>
  <c r="AK154" i="4"/>
  <c r="AL104" i="4"/>
  <c r="AL105" i="4"/>
  <c r="AL101" i="4"/>
  <c r="AL102" i="4" s="1"/>
  <c r="AJ118" i="4" l="1"/>
  <c r="AJ119" i="4"/>
  <c r="AI143" i="4"/>
  <c r="AI147" i="4" s="1"/>
  <c r="AI161" i="4" s="1"/>
  <c r="AI121" i="4"/>
  <c r="AI123" i="4" s="1"/>
  <c r="AI124" i="4" s="1"/>
  <c r="AI125" i="4" s="1"/>
  <c r="AI126" i="4" s="1"/>
  <c r="AI151" i="4" s="1"/>
  <c r="AI175" i="4" s="1"/>
  <c r="AL136" i="4"/>
  <c r="C183" i="4"/>
  <c r="AL106" i="4"/>
  <c r="AL142" i="4" s="1"/>
  <c r="AL146" i="4" s="1"/>
  <c r="AL160" i="4" s="1"/>
  <c r="AM99" i="4"/>
  <c r="AJ117" i="4"/>
  <c r="AJ133" i="4"/>
  <c r="AJ115" i="4"/>
  <c r="AJ116" i="4" s="1"/>
  <c r="AL107" i="4" l="1"/>
  <c r="AL109" i="4" s="1"/>
  <c r="AL110" i="4" s="1"/>
  <c r="AK114" i="4" s="1"/>
  <c r="AM105" i="4"/>
  <c r="AM104" i="4"/>
  <c r="AM101" i="4"/>
  <c r="AM102" i="4" s="1"/>
  <c r="AM106" i="4" s="1"/>
  <c r="AM142" i="4" s="1"/>
  <c r="AM146" i="4" s="1"/>
  <c r="AM160" i="4" s="1"/>
  <c r="AL154" i="4"/>
  <c r="D183" i="4" a="1"/>
  <c r="D183" i="4" s="1"/>
  <c r="E183" i="4" a="1"/>
  <c r="E183" i="4" s="1"/>
  <c r="AI164" i="4"/>
  <c r="AI176" i="4" s="1"/>
  <c r="AI194" i="4" s="1"/>
  <c r="AJ137" i="4"/>
  <c r="AJ120" i="4"/>
  <c r="AJ143" i="4" s="1"/>
  <c r="AJ147" i="4" s="1"/>
  <c r="AJ161" i="4" s="1"/>
  <c r="AK113" i="4"/>
  <c r="AI193" i="4"/>
  <c r="AM107" i="4" l="1"/>
  <c r="AM109" i="4" s="1"/>
  <c r="AK117" i="4"/>
  <c r="AK133" i="4"/>
  <c r="AJ155" i="4"/>
  <c r="AK119" i="4"/>
  <c r="AK115" i="4"/>
  <c r="AK116" i="4" s="1"/>
  <c r="AK118" i="4"/>
  <c r="AJ121" i="4"/>
  <c r="AM110" i="4" l="1"/>
  <c r="AL114" i="4" s="1"/>
  <c r="AJ123" i="4"/>
  <c r="AJ124" i="4" s="1"/>
  <c r="AJ125" i="4" s="1"/>
  <c r="AJ126" i="4" s="1"/>
  <c r="AJ151" i="4" s="1"/>
  <c r="AK120" i="4"/>
  <c r="AK143" i="4" s="1"/>
  <c r="AK147" i="4" s="1"/>
  <c r="AK161" i="4" s="1"/>
  <c r="AL113" i="4"/>
  <c r="AK137" i="4"/>
  <c r="AL117" i="4" l="1"/>
  <c r="AM133" i="4"/>
  <c r="AM137" i="4" s="1"/>
  <c r="AM155" i="4" s="1"/>
  <c r="AL133" i="4"/>
  <c r="AK155" i="4"/>
  <c r="AJ175" i="4"/>
  <c r="AJ193" i="4" s="1"/>
  <c r="AJ164" i="4"/>
  <c r="AJ176" i="4" s="1"/>
  <c r="AJ194" i="4" s="1"/>
  <c r="AL119" i="4"/>
  <c r="AL118" i="4"/>
  <c r="AL115" i="4"/>
  <c r="AL116" i="4" s="1"/>
  <c r="AK121" i="4"/>
  <c r="AL120" i="4" l="1"/>
  <c r="AL143" i="4" s="1"/>
  <c r="AL147" i="4" s="1"/>
  <c r="AL161" i="4" s="1"/>
  <c r="AM113" i="4"/>
  <c r="AL137" i="4"/>
  <c r="C184" i="4"/>
  <c r="C186" i="4" s="1"/>
  <c r="AK123" i="4"/>
  <c r="AK124" i="4" s="1"/>
  <c r="AK125" i="4" s="1"/>
  <c r="AK126" i="4" s="1"/>
  <c r="AK151" i="4" s="1"/>
  <c r="AL121" i="4"/>
  <c r="AL123" i="4" s="1"/>
  <c r="AL155" i="4" l="1"/>
  <c r="D184" i="4" a="1"/>
  <c r="D184" i="4" s="1"/>
  <c r="E184" i="4" a="1"/>
  <c r="E184" i="4" s="1"/>
  <c r="AM119" i="4"/>
  <c r="AM118" i="4"/>
  <c r="AM115" i="4"/>
  <c r="AM116" i="4" s="1"/>
  <c r="AM120" i="4" s="1"/>
  <c r="AM143" i="4" s="1"/>
  <c r="AM147" i="4" s="1"/>
  <c r="AM161" i="4" s="1"/>
  <c r="AL124" i="4"/>
  <c r="AL125" i="4" s="1"/>
  <c r="AL126" i="4" s="1"/>
  <c r="AL151" i="4" s="1"/>
  <c r="AK175" i="4"/>
  <c r="AK164" i="4"/>
  <c r="AK176" i="4" s="1"/>
  <c r="AK194" i="4" s="1"/>
  <c r="AM121" i="4" l="1"/>
  <c r="AM123" i="4" s="1"/>
  <c r="AL175" i="4"/>
  <c r="AL193" i="4" s="1"/>
  <c r="AL164" i="4"/>
  <c r="AL176" i="4" s="1"/>
  <c r="AL194" i="4" s="1"/>
  <c r="AK193" i="4"/>
  <c r="AM124" i="4" l="1"/>
  <c r="AM125" i="4" s="1"/>
  <c r="AM126" i="4" s="1"/>
  <c r="AM151" i="4" s="1"/>
  <c r="AM175" i="4" l="1"/>
  <c r="AM164" i="4"/>
  <c r="AM176" i="4" s="1"/>
  <c r="AM194" i="4" s="1"/>
  <c r="AM193" i="4" l="1"/>
  <c r="C178" i="4" a="1"/>
  <c r="C178" i="4" s="1"/>
  <c r="C17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<sst xmlns="http://schemas.openxmlformats.org/spreadsheetml/2006/main" count="407" uniqueCount="168">
  <si>
    <t>Stock market investments</t>
  </si>
  <si>
    <t>Age</t>
  </si>
  <si>
    <t>Inheritance</t>
  </si>
  <si>
    <t>Home loan</t>
  </si>
  <si>
    <t>Credit card balances</t>
  </si>
  <si>
    <t>more / less than current</t>
  </si>
  <si>
    <t>Housing rent</t>
  </si>
  <si>
    <t>Year</t>
  </si>
  <si>
    <t>Home</t>
  </si>
  <si>
    <t>Interest on cash balances</t>
  </si>
  <si>
    <t>Cash</t>
  </si>
  <si>
    <t>Cash b/fwd</t>
  </si>
  <si>
    <t>Cash c/fwd</t>
  </si>
  <si>
    <t>Stock market equity investments</t>
  </si>
  <si>
    <t>Home loan repayment</t>
  </si>
  <si>
    <t>Net from other work</t>
  </si>
  <si>
    <t>Continue other work until age</t>
  </si>
  <si>
    <t>Living expenses</t>
  </si>
  <si>
    <t>Inflows</t>
  </si>
  <si>
    <t>Outflows</t>
  </si>
  <si>
    <t>Net Cash Flow</t>
  </si>
  <si>
    <t>General inflatiion</t>
  </si>
  <si>
    <t>Liquidation required</t>
  </si>
  <si>
    <t>Liquidations</t>
  </si>
  <si>
    <t>b/fwd</t>
  </si>
  <si>
    <t>Disposals</t>
  </si>
  <si>
    <t>Growth</t>
  </si>
  <si>
    <t>c/fwd</t>
  </si>
  <si>
    <t>Disposal costs</t>
  </si>
  <si>
    <t>Stock market equity</t>
  </si>
  <si>
    <t>Net worth</t>
  </si>
  <si>
    <t>Value</t>
  </si>
  <si>
    <t>Liquidations required to fund retirement</t>
  </si>
  <si>
    <t>Name</t>
  </si>
  <si>
    <t>Home current market value</t>
  </si>
  <si>
    <t>Rental income foregone</t>
  </si>
  <si>
    <t>Cash runs out at age</t>
  </si>
  <si>
    <t>Dependents</t>
  </si>
  <si>
    <t>Home loan (mortgage)</t>
  </si>
  <si>
    <t>Other loan</t>
  </si>
  <si>
    <t>Other loan repayment</t>
  </si>
  <si>
    <t>Loan repayment</t>
  </si>
  <si>
    <t>Net proceeds</t>
  </si>
  <si>
    <t>Balance</t>
  </si>
  <si>
    <t>Plan to live until age</t>
  </si>
  <si>
    <t>Dependent 1</t>
  </si>
  <si>
    <t>Dependent 2</t>
  </si>
  <si>
    <t>Dependent 3</t>
  </si>
  <si>
    <t>Property 1</t>
  </si>
  <si>
    <t>Property 2</t>
  </si>
  <si>
    <t>Property 3</t>
  </si>
  <si>
    <t>Amount</t>
  </si>
  <si>
    <t>Net employment / self-employment income</t>
  </si>
  <si>
    <t>Other post-retirement income</t>
  </si>
  <si>
    <t>if not a home owner</t>
  </si>
  <si>
    <t>Annual cost saved</t>
  </si>
  <si>
    <t>Cash balance after disposals</t>
  </si>
  <si>
    <t>Property loan balances after liquidations</t>
  </si>
  <si>
    <t>Other property</t>
  </si>
  <si>
    <t>Other property loans repayments</t>
  </si>
  <si>
    <t>Dependents cost</t>
  </si>
  <si>
    <t>Other property costs</t>
  </si>
  <si>
    <t>Current baseline</t>
  </si>
  <si>
    <t>from 66-75</t>
  </si>
  <si>
    <t>from age 76</t>
  </si>
  <si>
    <t>Spending adjustment (at today's euros)</t>
  </si>
  <si>
    <t>Major one-off expense events</t>
  </si>
  <si>
    <t>Other property loans</t>
  </si>
  <si>
    <t>Net worth adjustments after liquidations</t>
  </si>
  <si>
    <t>Cum property loan repayments on liquidations</t>
  </si>
  <si>
    <t>Adjusted net worth</t>
  </si>
  <si>
    <t>Cum property disposals</t>
  </si>
  <si>
    <t>Property values after liquidations</t>
  </si>
  <si>
    <t>Property</t>
  </si>
  <si>
    <t>Without liquidations</t>
  </si>
  <si>
    <t>With liquidations</t>
  </si>
  <si>
    <t>Can you finance retirement?</t>
  </si>
  <si>
    <t>At Age</t>
  </si>
  <si>
    <t>Year*</t>
  </si>
  <si>
    <t>*  year of fist liquidations in case of stocks</t>
  </si>
  <si>
    <t>Charts</t>
  </si>
  <si>
    <t>Net rental income from other properties</t>
  </si>
  <si>
    <t>Credit cards cleared</t>
  </si>
  <si>
    <t xml:space="preserve">Enough cash to finance retirement? </t>
  </si>
  <si>
    <t>Net Worth before liquidations</t>
  </si>
  <si>
    <t>from now to 65</t>
  </si>
  <si>
    <t>Extra cash</t>
  </si>
  <si>
    <t>Extra interest</t>
  </si>
  <si>
    <t>Adjusted cash balance after disposals</t>
  </si>
  <si>
    <t>Cash buffer at any time</t>
  </si>
  <si>
    <t>Cash available (after buffer)</t>
  </si>
  <si>
    <t>Outputs</t>
  </si>
  <si>
    <t>Full pension</t>
  </si>
  <si>
    <t>Pension reduction from early retirement</t>
  </si>
  <si>
    <t>QUICK START</t>
  </si>
  <si>
    <t>Your age</t>
  </si>
  <si>
    <t>Current net annual income</t>
  </si>
  <si>
    <t>Must be entered</t>
  </si>
  <si>
    <t>Net of tax, from employment or self-employment</t>
  </si>
  <si>
    <t>Total cash balances</t>
  </si>
  <si>
    <t>current and savings accounts, bonds, term deposits</t>
  </si>
  <si>
    <t>Current market value of equity portfolio</t>
  </si>
  <si>
    <t>Interest rate</t>
  </si>
  <si>
    <t>Monthly repayment</t>
  </si>
  <si>
    <t>Months remaining</t>
  </si>
  <si>
    <t>Years remaining</t>
  </si>
  <si>
    <t>Annual pension at retirement</t>
  </si>
  <si>
    <t>Net annual state pension entitlement</t>
  </si>
  <si>
    <t>Statutory retirement age</t>
  </si>
  <si>
    <t>Year at which pension starts</t>
  </si>
  <si>
    <t>DEEPER DIVE</t>
  </si>
  <si>
    <t>including inflation</t>
  </si>
  <si>
    <t>Years from now</t>
  </si>
  <si>
    <t>Leave blank if none</t>
  </si>
  <si>
    <t>Years to support</t>
  </si>
  <si>
    <t>Other income</t>
  </si>
  <si>
    <t>net annual after all costs and tax</t>
  </si>
  <si>
    <t>Annual living expenses</t>
  </si>
  <si>
    <t>Other loans</t>
  </si>
  <si>
    <t>Income Event 1</t>
  </si>
  <si>
    <t>Income Event 2</t>
  </si>
  <si>
    <t>Income Event 3</t>
  </si>
  <si>
    <t>Enter 0 or leave blank if none</t>
  </si>
  <si>
    <t>Expense Event 1</t>
  </si>
  <si>
    <t>Expense Event 2</t>
  </si>
  <si>
    <t>Expense Event 3</t>
  </si>
  <si>
    <t>Market value</t>
  </si>
  <si>
    <t>Annual costs</t>
  </si>
  <si>
    <t>Repairs, maintenance, etc.</t>
  </si>
  <si>
    <t xml:space="preserve">Investment Properties </t>
  </si>
  <si>
    <t>Other work income (net annual)</t>
  </si>
  <si>
    <t>FINER DETAILS</t>
  </si>
  <si>
    <t>Cash interest rate</t>
  </si>
  <si>
    <t>Stock market return</t>
  </si>
  <si>
    <t>Rental income annual increase</t>
  </si>
  <si>
    <t>Salary annual growth rate</t>
  </si>
  <si>
    <t>Property annual appreciation</t>
  </si>
  <si>
    <t>Pension reduction per year early</t>
  </si>
  <si>
    <t>From age</t>
  </si>
  <si>
    <t>To age</t>
  </si>
  <si>
    <t>Food, education, healthcare,
etc.</t>
  </si>
  <si>
    <t>Annual cost</t>
  </si>
  <si>
    <t>emergency reserve</t>
  </si>
  <si>
    <t>reduction in pension for each year retired early</t>
  </si>
  <si>
    <t>tax, broker and other fees</t>
  </si>
  <si>
    <t>Stock market selling costs</t>
  </si>
  <si>
    <t>Property disposal costs</t>
  </si>
  <si>
    <t xml:space="preserve">agency, tax, legal fees </t>
  </si>
  <si>
    <t>Property liquidation order</t>
  </si>
  <si>
    <t>0 = would never sell</t>
  </si>
  <si>
    <t>Major life expense events</t>
  </si>
  <si>
    <t>Major life income events</t>
  </si>
  <si>
    <t>Major one-off income events</t>
  </si>
  <si>
    <t>Part-time / consulting / side projects etc. Leave blank if none</t>
  </si>
  <si>
    <t>Assumed cleared in Year 1. Leave blank if none</t>
  </si>
  <si>
    <t>Leave blank if not a home owner</t>
  </si>
  <si>
    <t>Leave blank if no mortgage</t>
  </si>
  <si>
    <t xml:space="preserve">John </t>
  </si>
  <si>
    <t>Jack</t>
  </si>
  <si>
    <t>Bill</t>
  </si>
  <si>
    <t>Sliema</t>
  </si>
  <si>
    <t>Gzira</t>
  </si>
  <si>
    <t>Hamrun</t>
  </si>
  <si>
    <t>Sell Painting</t>
  </si>
  <si>
    <t>Sell Diamond</t>
  </si>
  <si>
    <t>Wedding</t>
  </si>
  <si>
    <t>Replace AC</t>
  </si>
  <si>
    <t>New 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</si>
</sst>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#,##0\ ;\(#,##0\);\ \ \ \-\ "/>
    <numFmt numFmtId="165" formatCode="#,##0.0\ ;\(#,##0.0\);\ \ \ \-\ "/>
    <numFmt numFmtId="166" formatCode="0.0%"/>
    <numFmt numFmtId="167" formatCode="#,##0.00\ ;\(#,##0.00\);\ \ \ \-\ "/>
    <numFmt numFmtId="168" formatCode="0;0;"/>
    <numFmt numFmtId="169" formatCode=";;"/>
  </numFmts>
  <fonts count="3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2"/>
      <color theme="1"/>
      <name val="Aptos Narrow"/>
      <scheme val="minor"/>
    </font>
    <font>
      <b/>
      <sz val="12"/>
      <color theme="0" tint="-0.499984740745262"/>
      <name val="Aptos Narrow"/>
      <scheme val="minor"/>
    </font>
    <font>
      <sz val="12"/>
      <color theme="0" tint="-0.499984740745262"/>
      <name val="Aptos Narrow"/>
      <scheme val="minor"/>
    </font>
    <font>
      <sz val="11"/>
      <color theme="0" tint="-0.499984740745262"/>
      <name val="Aptos Narrow"/>
      <scheme val="minor"/>
    </font>
    <font>
      <sz val="8"/>
      <name val="Aptos Narrow"/>
      <family val="2"/>
      <scheme val="minor"/>
    </font>
    <font>
      <sz val="12"/>
      <color rgb="FFC00000"/>
      <name val="Aptos Narrow"/>
      <scheme val="minor"/>
    </font>
    <font>
      <sz val="10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sz val="8"/>
      <color theme="0" tint="-0.249977111117893"/>
      <name val="Aptos Narrow"/>
      <scheme val="minor"/>
    </font>
    <font>
      <sz val="12"/>
      <name val="Aptos Narrow"/>
      <scheme val="minor"/>
    </font>
    <font>
      <i/>
      <sz val="10"/>
      <color theme="1"/>
      <name val="Aptos Narrow"/>
      <scheme val="minor"/>
    </font>
    <font>
      <sz val="12"/>
      <color rgb="FF9C57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3" tint="0.249977111117893"/>
      <name val="Aptos Narrow"/>
      <family val="2"/>
      <scheme val="minor"/>
    </font>
    <font>
      <i/>
      <sz val="8"/>
      <color rgb="FF535353"/>
      <name val="Arial"/>
      <family val="2"/>
    </font>
    <font>
      <sz val="10"/>
      <color theme="0" tint="-0.499984740745262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15.6"/>
      <color rgb="FF000000"/>
      <name val="Aptos Narrow"/>
    </font>
    <font>
      <sz val="12"/>
      <color rgb="FF00000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9"/>
      <color theme="0" tint="-0.14999847407452621"/>
      <name val="Aptos Narrow"/>
      <family val="2"/>
      <scheme val="minor"/>
    </font>
    <font>
      <sz val="11"/>
      <color theme="0" tint="-0.34998626667073579"/>
      <name val="Aptos Narrow"/>
      <scheme val="minor"/>
    </font>
    <font>
      <sz val="11"/>
      <color theme="0" tint="-0.34998626667073579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2"/>
      <color theme="0" tint="-0.14999847407452621"/>
      <name val="Aptos Narrow"/>
      <family val="2"/>
      <scheme val="minor"/>
    </font>
    <font>
      <sz val="10"/>
      <color theme="0" tint="-0.1499984740745262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EB9C"/>
      </patternFill>
    </fill>
    <fill>
      <patternFill patternType="solid">
        <fgColor rgb="FFFFFFCC"/>
        <bgColor rgb="FF000000"/>
      </patternFill>
    </fill>
  </fills>
  <borders count="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6" fillId="3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1"/>
    </xf>
    <xf numFmtId="0" fontId="3" fillId="0" borderId="0" xfId="0" applyFont="1" applyAlignment="1">
      <alignment horizontal="left" indent="1"/>
    </xf>
    <xf numFmtId="0" fontId="4" fillId="0" borderId="0" xfId="0" applyFont="1" applyAlignment="1">
      <alignment horizontal="left" indent="1"/>
    </xf>
    <xf numFmtId="0" fontId="3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left" indent="1"/>
    </xf>
    <xf numFmtId="164" fontId="0" fillId="0" borderId="0" xfId="0" applyNumberFormat="1" applyAlignment="1">
      <alignment horizontal="center"/>
    </xf>
    <xf numFmtId="164" fontId="7" fillId="0" borderId="0" xfId="0" applyNumberFormat="1" applyFont="1" applyAlignment="1">
      <alignment horizontal="right"/>
    </xf>
    <xf numFmtId="0" fontId="5" fillId="0" borderId="0" xfId="0" applyFont="1" applyAlignment="1">
      <alignment horizontal="left" indent="2"/>
    </xf>
    <xf numFmtId="0" fontId="5" fillId="0" borderId="0" xfId="0" applyFont="1" applyAlignment="1">
      <alignment horizontal="left" indent="1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164" fontId="5" fillId="0" borderId="2" xfId="0" applyNumberFormat="1" applyFont="1" applyBorder="1" applyAlignment="1">
      <alignment horizontal="right"/>
    </xf>
    <xf numFmtId="43" fontId="5" fillId="0" borderId="0" xfId="2" applyFont="1" applyAlignment="1">
      <alignment horizontal="right"/>
    </xf>
    <xf numFmtId="164" fontId="2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3" fontId="11" fillId="0" borderId="0" xfId="2" applyFont="1" applyAlignment="1">
      <alignment horizontal="right"/>
    </xf>
    <xf numFmtId="164" fontId="10" fillId="0" borderId="0" xfId="0" applyNumberFormat="1" applyFont="1" applyAlignment="1">
      <alignment horizontal="left"/>
    </xf>
    <xf numFmtId="0" fontId="12" fillId="0" borderId="0" xfId="0" applyFont="1"/>
    <xf numFmtId="164" fontId="0" fillId="0" borderId="0" xfId="0" applyNumberFormat="1" applyAlignment="1">
      <alignment horizontal="right"/>
    </xf>
    <xf numFmtId="0" fontId="13" fillId="0" borderId="0" xfId="0" applyFont="1" applyAlignment="1">
      <alignment horizontal="center"/>
    </xf>
    <xf numFmtId="0" fontId="2" fillId="0" borderId="0" xfId="0" applyFont="1" applyAlignment="1">
      <alignment horizontal="left" indent="1"/>
    </xf>
    <xf numFmtId="0" fontId="5" fillId="0" borderId="0" xfId="0" applyFont="1" applyAlignment="1">
      <alignment horizontal="left" indent="3"/>
    </xf>
    <xf numFmtId="0" fontId="5" fillId="0" borderId="0" xfId="0" applyFont="1" applyAlignment="1">
      <alignment horizontal="left" indent="4"/>
    </xf>
    <xf numFmtId="0" fontId="14" fillId="0" borderId="0" xfId="0" applyFont="1" applyAlignment="1">
      <alignment horizontal="left" indent="2"/>
    </xf>
    <xf numFmtId="0" fontId="14" fillId="0" borderId="0" xfId="0" applyFont="1" applyAlignment="1">
      <alignment horizontal="center"/>
    </xf>
    <xf numFmtId="164" fontId="14" fillId="0" borderId="0" xfId="0" applyNumberFormat="1" applyFont="1" applyAlignment="1">
      <alignment horizontal="right"/>
    </xf>
    <xf numFmtId="0" fontId="14" fillId="0" borderId="0" xfId="0" applyFont="1"/>
    <xf numFmtId="0" fontId="14" fillId="0" borderId="0" xfId="0" applyFont="1" applyAlignment="1">
      <alignment horizontal="left" indent="3"/>
    </xf>
    <xf numFmtId="0" fontId="0" fillId="0" borderId="0" xfId="0" applyAlignment="1">
      <alignment horizontal="left" indent="2"/>
    </xf>
    <xf numFmtId="43" fontId="5" fillId="0" borderId="0" xfId="2" applyFont="1" applyAlignment="1">
      <alignment horizontal="center"/>
    </xf>
    <xf numFmtId="164" fontId="5" fillId="0" borderId="0" xfId="2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167" fontId="15" fillId="0" borderId="0" xfId="0" quotePrefix="1" applyNumberFormat="1" applyFont="1" applyAlignment="1">
      <alignment horizontal="left" indent="1"/>
    </xf>
    <xf numFmtId="0" fontId="5" fillId="0" borderId="3" xfId="0" applyFont="1" applyBorder="1" applyAlignment="1">
      <alignment horizontal="left" indent="1"/>
    </xf>
    <xf numFmtId="0" fontId="12" fillId="0" borderId="3" xfId="0" applyFont="1" applyBorder="1"/>
    <xf numFmtId="0" fontId="5" fillId="0" borderId="3" xfId="0" applyFont="1" applyBorder="1" applyAlignment="1">
      <alignment horizontal="center"/>
    </xf>
    <xf numFmtId="164" fontId="5" fillId="0" borderId="3" xfId="0" applyNumberFormat="1" applyFont="1" applyBorder="1" applyAlignment="1">
      <alignment horizontal="right"/>
    </xf>
    <xf numFmtId="164" fontId="10" fillId="0" borderId="3" xfId="0" applyNumberFormat="1" applyFont="1" applyBorder="1" applyAlignment="1">
      <alignment horizontal="left"/>
    </xf>
    <xf numFmtId="0" fontId="2" fillId="0" borderId="3" xfId="0" applyFont="1" applyBorder="1" applyAlignment="1">
      <alignment horizontal="left" indent="1"/>
    </xf>
    <xf numFmtId="0" fontId="5" fillId="0" borderId="0" xfId="0" applyFont="1" applyAlignment="1">
      <alignment horizontal="left"/>
    </xf>
    <xf numFmtId="164" fontId="5" fillId="0" borderId="0" xfId="0" applyNumberFormat="1" applyFont="1"/>
    <xf numFmtId="0" fontId="1" fillId="3" borderId="0" xfId="3" applyFon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left"/>
    </xf>
    <xf numFmtId="0" fontId="7" fillId="0" borderId="0" xfId="0" applyFont="1" applyAlignment="1">
      <alignment horizontal="left" indent="1"/>
    </xf>
    <xf numFmtId="0" fontId="6" fillId="0" borderId="0" xfId="0" applyFont="1" applyAlignment="1">
      <alignment horizontal="left" indent="1"/>
    </xf>
    <xf numFmtId="164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166" fontId="0" fillId="2" borderId="1" xfId="0" applyNumberFormat="1" applyFill="1" applyBorder="1" applyAlignment="1" applyProtection="1">
      <alignment horizontal="center"/>
      <protection locked="0"/>
    </xf>
    <xf numFmtId="9" fontId="0" fillId="2" borderId="1" xfId="0" applyNumberForma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8" fillId="0" borderId="0" xfId="0" applyFont="1" applyAlignment="1">
      <alignment horizontal="left" indent="1"/>
    </xf>
    <xf numFmtId="0" fontId="19" fillId="0" borderId="0" xfId="0" applyFont="1"/>
    <xf numFmtId="43" fontId="20" fillId="0" borderId="0" xfId="2" applyFont="1" applyAlignment="1">
      <alignment horizontal="center"/>
    </xf>
    <xf numFmtId="0" fontId="21" fillId="0" borderId="0" xfId="0" applyFont="1" applyAlignment="1">
      <alignment horizontal="left" indent="1"/>
    </xf>
    <xf numFmtId="43" fontId="22" fillId="0" borderId="0" xfId="2" applyFont="1" applyAlignment="1">
      <alignment horizontal="left"/>
    </xf>
    <xf numFmtId="0" fontId="22" fillId="0" borderId="0" xfId="0" applyFont="1" applyAlignment="1">
      <alignment horizontal="left"/>
    </xf>
    <xf numFmtId="43" fontId="22" fillId="0" borderId="0" xfId="2" applyFont="1" applyAlignment="1">
      <alignment horizontal="right"/>
    </xf>
    <xf numFmtId="165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 indent="1"/>
    </xf>
    <xf numFmtId="0" fontId="2" fillId="0" borderId="0" xfId="0" applyFont="1" applyAlignment="1">
      <alignment horizontal="left"/>
    </xf>
    <xf numFmtId="0" fontId="0" fillId="0" borderId="3" xfId="0" applyBorder="1" applyAlignment="1">
      <alignment horizontal="left" indent="1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left" indent="1"/>
    </xf>
    <xf numFmtId="0" fontId="18" fillId="0" borderId="3" xfId="0" applyFont="1" applyBorder="1" applyAlignment="1">
      <alignment horizontal="left" indent="1"/>
    </xf>
    <xf numFmtId="0" fontId="3" fillId="0" borderId="3" xfId="0" applyFont="1" applyBorder="1" applyAlignment="1">
      <alignment horizontal="left" indent="1"/>
    </xf>
    <xf numFmtId="166" fontId="0" fillId="2" borderId="1" xfId="1" applyNumberFormat="1" applyFont="1" applyFill="1" applyBorder="1" applyAlignment="1" applyProtection="1">
      <alignment horizontal="center"/>
      <protection locked="0"/>
    </xf>
    <xf numFmtId="9" fontId="0" fillId="2" borderId="1" xfId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wrapText="1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left" indent="1"/>
    </xf>
    <xf numFmtId="0" fontId="24" fillId="0" borderId="0" xfId="0" applyFont="1" applyAlignment="1">
      <alignment horizontal="left" indent="2"/>
    </xf>
    <xf numFmtId="0" fontId="24" fillId="4" borderId="4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left" indent="1"/>
    </xf>
    <xf numFmtId="0" fontId="26" fillId="0" borderId="0" xfId="0" applyFont="1" applyAlignment="1">
      <alignment horizontal="center"/>
    </xf>
    <xf numFmtId="164" fontId="27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 applyAlignment="1">
      <alignment horizontal="center"/>
    </xf>
    <xf numFmtId="9" fontId="27" fillId="0" borderId="1" xfId="0" applyNumberFormat="1" applyFont="1" applyBorder="1" applyAlignment="1" applyProtection="1">
      <alignment horizontal="center"/>
      <protection locked="0"/>
    </xf>
    <xf numFmtId="166" fontId="27" fillId="0" borderId="1" xfId="0" applyNumberFormat="1" applyFont="1" applyBorder="1" applyAlignment="1" applyProtection="1">
      <alignment horizontal="center"/>
      <protection locked="0"/>
    </xf>
    <xf numFmtId="166" fontId="27" fillId="0" borderId="1" xfId="1" applyNumberFormat="1" applyFont="1" applyFill="1" applyBorder="1" applyAlignment="1" applyProtection="1">
      <alignment horizontal="center"/>
      <protection locked="0"/>
    </xf>
    <xf numFmtId="9" fontId="27" fillId="0" borderId="1" xfId="1" applyFont="1" applyFill="1" applyBorder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168" fontId="0" fillId="0" borderId="0" xfId="0" applyNumberFormat="1" applyAlignment="1">
      <alignment horizontal="left" indent="1"/>
    </xf>
    <xf numFmtId="43" fontId="29" fillId="0" borderId="0" xfId="2" applyFont="1" applyAlignment="1">
      <alignment horizontal="right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43" fontId="31" fillId="0" borderId="0" xfId="2" applyFont="1" applyAlignment="1">
      <alignment horizontal="center"/>
    </xf>
    <xf numFmtId="169" fontId="0" fillId="0" borderId="0" xfId="0" applyNumberFormat="1" applyAlignment="1">
      <alignment horizontal="left" indent="1"/>
    </xf>
    <xf numFmtId="168" fontId="0" fillId="2" borderId="1" xfId="2" applyNumberFormat="1" applyFont="1" applyFill="1" applyBorder="1" applyAlignment="1" applyProtection="1">
      <alignment horizontal="center"/>
      <protection locked="0"/>
    </xf>
    <xf numFmtId="0" fontId="12" fillId="0" borderId="3" xfId="0" applyFont="1" applyBorder="1" applyAlignment="1">
      <alignment horizontal="left" indent="1"/>
    </xf>
  </cellXfs>
  <cellStyles count="4">
    <cellStyle name="Comma" xfId="2" builtinId="3"/>
    <cellStyle name="Neutral" xfId="3" builtinId="28"/>
    <cellStyle name="Normal" xfId="0" builtinId="0"/>
    <cellStyle name="Per cent" xfId="1" builtinId="5"/>
  </cellStyles>
  <dxfs count="18"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  <dxf>
      <font>
        <strike val="0"/>
        <color theme="0" tint="-0.1499679555650502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ED6"/>
      <color rgb="FFFFF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Without Selling Anything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RetNorm!$A$190</c:f>
              <c:strCache>
                <c:ptCount val="1"/>
                <c:pt idx="0">
                  <c:v>Cash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[0]!ChartCashNoLiq</c:f>
              <c:numCache>
                <c:formatCode>#,##0\ ;\(#,##0\);\ \ \ \-\ </c:formatCode>
                <c:ptCount val="37"/>
                <c:pt idx="0">
                  <c:v>714578.8</c:v>
                </c:pt>
                <c:pt idx="1">
                  <c:v>824098.44559532881</c:v>
                </c:pt>
                <c:pt idx="2">
                  <c:v>995440.1709443531</c:v>
                </c:pt>
                <c:pt idx="3">
                  <c:v>1190110.0184140191</c:v>
                </c:pt>
                <c:pt idx="4">
                  <c:v>1354181.3950869064</c:v>
                </c:pt>
                <c:pt idx="5">
                  <c:v>1567917.714493009</c:v>
                </c:pt>
                <c:pt idx="6">
                  <c:v>1828871.6343659752</c:v>
                </c:pt>
                <c:pt idx="7">
                  <c:v>2073997.9163702845</c:v>
                </c:pt>
                <c:pt idx="8">
                  <c:v>2301632.8826445597</c:v>
                </c:pt>
                <c:pt idx="9">
                  <c:v>2573245.7366445996</c:v>
                </c:pt>
                <c:pt idx="10">
                  <c:v>2859326.8920514602</c:v>
                </c:pt>
                <c:pt idx="11">
                  <c:v>3168702.5795119987</c:v>
                </c:pt>
                <c:pt idx="12">
                  <c:v>3502780.7015976864</c:v>
                </c:pt>
                <c:pt idx="13">
                  <c:v>3853294.3799924105</c:v>
                </c:pt>
                <c:pt idx="14">
                  <c:v>4220907.9563648272</c:v>
                </c:pt>
                <c:pt idx="15">
                  <c:v>4606310.2581247194</c:v>
                </c:pt>
                <c:pt idx="16">
                  <c:v>4707808.3289191956</c:v>
                </c:pt>
                <c:pt idx="17">
                  <c:v>4821048.3966188617</c:v>
                </c:pt>
                <c:pt idx="18">
                  <c:v>4937319.3600282837</c:v>
                </c:pt>
                <c:pt idx="19">
                  <c:v>5056711.3270665482</c:v>
                </c:pt>
                <c:pt idx="20">
                  <c:v>5179317.296884154</c:v>
                </c:pt>
                <c:pt idx="21">
                  <c:v>5305233.2565114927</c:v>
                </c:pt>
                <c:pt idx="22">
                  <c:v>5434558.280784863</c:v>
                </c:pt>
                <c:pt idx="23">
                  <c:v>5567394.6356610563</c:v>
                </c:pt>
                <c:pt idx="24">
                  <c:v>5703847.8850352764</c:v>
                </c:pt>
                <c:pt idx="25">
                  <c:v>5844027.0011810185</c:v>
                </c:pt>
                <c:pt idx="26">
                  <c:v>5988044.4789345022</c:v>
                </c:pt>
                <c:pt idx="27">
                  <c:v>6147849.338861553</c:v>
                </c:pt>
                <c:pt idx="28">
                  <c:v>6312320.238237597</c:v>
                </c:pt>
                <c:pt idx="29">
                  <c:v>6481603.1507251877</c:v>
                </c:pt>
                <c:pt idx="30">
                  <c:v>6655848.8088871781</c:v>
                </c:pt>
                <c:pt idx="31">
                  <c:v>6835212.8621929521</c:v>
                </c:pt>
                <c:pt idx="32">
                  <c:v>7019856.0402894933</c:v>
                </c:pt>
                <c:pt idx="33">
                  <c:v>7209944.3217119556</c:v>
                </c:pt>
                <c:pt idx="34">
                  <c:v>7405649.1082141232</c:v>
                </c:pt>
                <c:pt idx="35">
                  <c:v>7607147.4049051059</c:v>
                </c:pt>
                <c:pt idx="36">
                  <c:v>7814622.0063847229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0-C94B-93B6-9E84AE83035F}"/>
            </c:ext>
          </c:extLst>
        </c:ser>
        <c:ser>
          <c:idx val="2"/>
          <c:order val="1"/>
          <c:tx>
            <c:strRef>
              <c:f>RetNorm!$A$191</c:f>
              <c:strCache>
                <c:ptCount val="1"/>
                <c:pt idx="0">
                  <c:v>Net worth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[0]!ChartNWnoLiq</c:f>
              <c:numCache>
                <c:formatCode>#,##0\ ;\(#,##0\);\ \ \ \-\ </c:formatCode>
                <c:ptCount val="37"/>
                <c:pt idx="0">
                  <c:v>1544949.5962261481</c:v>
                </c:pt>
                <c:pt idx="1">
                  <c:v>1726427.4576191471</c:v>
                </c:pt>
                <c:pt idx="2">
                  <c:v>1965287.0323570464</c:v>
                </c:pt>
                <c:pt idx="3">
                  <c:v>2225168.6603477281</c:v>
                </c:pt>
                <c:pt idx="4">
                  <c:v>2452966.418409036</c:v>
                </c:pt>
                <c:pt idx="5">
                  <c:v>2732331.2514202618</c:v>
                </c:pt>
                <c:pt idx="6">
                  <c:v>3060878.5915706824</c:v>
                </c:pt>
                <c:pt idx="7">
                  <c:v>3375628.4790040124</c:v>
                </c:pt>
                <c:pt idx="8">
                  <c:v>3674985.1472916864</c:v>
                </c:pt>
                <c:pt idx="9">
                  <c:v>4020488.4814833445</c:v>
                </c:pt>
                <c:pt idx="10">
                  <c:v>4382702.4931035973</c:v>
                </c:pt>
                <c:pt idx="11">
                  <c:v>4756036.2178685591</c:v>
                </c:pt>
                <c:pt idx="12">
                  <c:v>5140252.5192217631</c:v>
                </c:pt>
                <c:pt idx="13">
                  <c:v>5542609.9758713739</c:v>
                </c:pt>
                <c:pt idx="14">
                  <c:v>5963840.2137444168</c:v>
                </c:pt>
                <c:pt idx="15">
                  <c:v>6404702.6523398962</c:v>
                </c:pt>
                <c:pt idx="16">
                  <c:v>6563578.43760416</c:v>
                </c:pt>
                <c:pt idx="17">
                  <c:v>6736191.6266191779</c:v>
                </c:pt>
                <c:pt idx="18">
                  <c:v>6913912.9064277941</c:v>
                </c:pt>
                <c:pt idx="19">
                  <c:v>7096918.3809171626</c:v>
                </c:pt>
                <c:pt idx="20">
                  <c:v>7285391.5194941368</c:v>
                </c:pt>
                <c:pt idx="21">
                  <c:v>7479523.539515133</c:v>
                </c:pt>
                <c:pt idx="22">
                  <c:v>7679513.8126911987</c:v>
                </c:pt>
                <c:pt idx="23">
                  <c:v>7885570.2971701743</c:v>
                </c:pt>
                <c:pt idx="24">
                  <c:v>8097909.9971269071</c:v>
                </c:pt>
                <c:pt idx="25">
                  <c:v>8316759.4518316174</c:v>
                </c:pt>
                <c:pt idx="26">
                  <c:v>8542355.2563165352</c:v>
                </c:pt>
                <c:pt idx="27">
                  <c:v>8786777.5010339189</c:v>
                </c:pt>
                <c:pt idx="28">
                  <c:v>9039043.3516615126</c:v>
                </c:pt>
                <c:pt idx="29">
                  <c:v>9299445.2324491125</c:v>
                </c:pt>
                <c:pt idx="30">
                  <c:v>9568288.809951894</c:v>
                </c:pt>
                <c:pt idx="31">
                  <c:v>9845893.7327298094</c:v>
                </c:pt>
                <c:pt idx="32">
                  <c:v>10132594.419937873</c:v>
                </c:pt>
                <c:pt idx="33">
                  <c:v>10428740.902384833</c:v>
                </c:pt>
                <c:pt idx="34">
                  <c:v>10734699.719913041</c:v>
                </c:pt>
                <c:pt idx="35">
                  <c:v>11050854.879249312</c:v>
                </c:pt>
                <c:pt idx="36">
                  <c:v>11377608.876797121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0-C94B-93B6-9E84AE830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642623"/>
        <c:axId val="1403644863"/>
      </c:lineChart>
      <c:catAx>
        <c:axId val="140364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4863"/>
        <c:crosses val="autoZero"/>
        <c:auto val="1"/>
        <c:lblAlgn val="ctr"/>
        <c:lblOffset val="100"/>
        <c:tickLblSkip val="2"/>
        <c:noMultiLvlLbl val="0"/>
      </c:catAx>
      <c:valAx>
        <c:axId val="1403644863"/>
        <c:scaling>
          <c:orientation val="minMax"/>
          <c:max val="12000000"/>
          <c:min val="-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;\(#,##0\);\ \ \ 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2623"/>
        <c:crosses val="autoZero"/>
        <c:crossBetween val="between"/>
        <c:majorUnit val="2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Selling Assets as Needed to Fund</a:t>
            </a:r>
            <a:r>
              <a:rPr lang="en-GB" sz="1600" baseline="0"/>
              <a:t> Retirement</a:t>
            </a:r>
            <a:endParaRPr lang="en-GB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RetNorm!$A$190</c:f>
              <c:strCache>
                <c:ptCount val="1"/>
                <c:pt idx="0">
                  <c:v>Cash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[0]!ChartCashLiq</c:f>
              <c:numCache>
                <c:formatCode>#,##0\ ;\(#,##0\);\ \ \ \-\ </c:formatCode>
                <c:ptCount val="37"/>
                <c:pt idx="0">
                  <c:v>714578.8</c:v>
                </c:pt>
                <c:pt idx="1">
                  <c:v>824098.44559532881</c:v>
                </c:pt>
                <c:pt idx="2">
                  <c:v>995440.1709443531</c:v>
                </c:pt>
                <c:pt idx="3">
                  <c:v>1190110.0184140191</c:v>
                </c:pt>
                <c:pt idx="4">
                  <c:v>1354181.3950869064</c:v>
                </c:pt>
                <c:pt idx="5">
                  <c:v>1567917.714493009</c:v>
                </c:pt>
                <c:pt idx="6">
                  <c:v>1828871.6343659752</c:v>
                </c:pt>
                <c:pt idx="7">
                  <c:v>2073997.9163702845</c:v>
                </c:pt>
                <c:pt idx="8">
                  <c:v>2301632.8826445597</c:v>
                </c:pt>
                <c:pt idx="9">
                  <c:v>2573245.7366445996</c:v>
                </c:pt>
                <c:pt idx="10">
                  <c:v>2859326.8920514602</c:v>
                </c:pt>
                <c:pt idx="11">
                  <c:v>3168702.5795119987</c:v>
                </c:pt>
                <c:pt idx="12">
                  <c:v>3502780.7015976864</c:v>
                </c:pt>
                <c:pt idx="13">
                  <c:v>3853294.3799924105</c:v>
                </c:pt>
                <c:pt idx="14">
                  <c:v>4220907.9563648272</c:v>
                </c:pt>
                <c:pt idx="15">
                  <c:v>4606310.2581247194</c:v>
                </c:pt>
                <c:pt idx="16">
                  <c:v>4707808.3289191956</c:v>
                </c:pt>
                <c:pt idx="17">
                  <c:v>4821048.3966188617</c:v>
                </c:pt>
                <c:pt idx="18">
                  <c:v>4937319.3600282837</c:v>
                </c:pt>
                <c:pt idx="19">
                  <c:v>5056711.3270665482</c:v>
                </c:pt>
                <c:pt idx="20">
                  <c:v>5179317.296884154</c:v>
                </c:pt>
                <c:pt idx="21">
                  <c:v>5305233.2565114927</c:v>
                </c:pt>
                <c:pt idx="22">
                  <c:v>5434558.280784863</c:v>
                </c:pt>
                <c:pt idx="23">
                  <c:v>5567394.6356610563</c:v>
                </c:pt>
                <c:pt idx="24">
                  <c:v>5703847.8850352764</c:v>
                </c:pt>
                <c:pt idx="25">
                  <c:v>5844027.0011810185</c:v>
                </c:pt>
                <c:pt idx="26">
                  <c:v>5988044.4789345022</c:v>
                </c:pt>
                <c:pt idx="27">
                  <c:v>6147849.338861553</c:v>
                </c:pt>
                <c:pt idx="28">
                  <c:v>6312320.238237597</c:v>
                </c:pt>
                <c:pt idx="29">
                  <c:v>6481603.1507251877</c:v>
                </c:pt>
                <c:pt idx="30">
                  <c:v>6655848.8088871781</c:v>
                </c:pt>
                <c:pt idx="31">
                  <c:v>6835212.8621929521</c:v>
                </c:pt>
                <c:pt idx="32">
                  <c:v>7019856.0402894933</c:v>
                </c:pt>
                <c:pt idx="33">
                  <c:v>7209944.3217119556</c:v>
                </c:pt>
                <c:pt idx="34">
                  <c:v>7405649.1082141232</c:v>
                </c:pt>
                <c:pt idx="35">
                  <c:v>7607147.4049051059</c:v>
                </c:pt>
                <c:pt idx="36">
                  <c:v>7814622.0063847229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0-C94B-93B6-9E84AE83035F}"/>
            </c:ext>
          </c:extLst>
        </c:ser>
        <c:ser>
          <c:idx val="2"/>
          <c:order val="1"/>
          <c:tx>
            <c:strRef>
              <c:f>RetNorm!$A$191</c:f>
              <c:strCache>
                <c:ptCount val="1"/>
                <c:pt idx="0">
                  <c:v>Net worth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[0]!ChartNWLiq</c:f>
              <c:numCache>
                <c:formatCode>#,##0\ ;\(#,##0\);\ \ \ \-\ </c:formatCode>
                <c:ptCount val="37"/>
                <c:pt idx="0">
                  <c:v>1544949.5962261481</c:v>
                </c:pt>
                <c:pt idx="1">
                  <c:v>1726427.4576191471</c:v>
                </c:pt>
                <c:pt idx="2">
                  <c:v>1965287.0323570464</c:v>
                </c:pt>
                <c:pt idx="3">
                  <c:v>2225168.6603477281</c:v>
                </c:pt>
                <c:pt idx="4">
                  <c:v>2452966.418409036</c:v>
                </c:pt>
                <c:pt idx="5">
                  <c:v>2732331.2514202618</c:v>
                </c:pt>
                <c:pt idx="6">
                  <c:v>3060878.5915706824</c:v>
                </c:pt>
                <c:pt idx="7">
                  <c:v>3375628.4790040124</c:v>
                </c:pt>
                <c:pt idx="8">
                  <c:v>3674985.1472916864</c:v>
                </c:pt>
                <c:pt idx="9">
                  <c:v>4020488.4814833445</c:v>
                </c:pt>
                <c:pt idx="10">
                  <c:v>4382702.4931035973</c:v>
                </c:pt>
                <c:pt idx="11">
                  <c:v>4756036.2178685591</c:v>
                </c:pt>
                <c:pt idx="12">
                  <c:v>5140252.5192217631</c:v>
                </c:pt>
                <c:pt idx="13">
                  <c:v>5542609.9758713739</c:v>
                </c:pt>
                <c:pt idx="14">
                  <c:v>5963840.2137444168</c:v>
                </c:pt>
                <c:pt idx="15">
                  <c:v>6404702.6523398953</c:v>
                </c:pt>
                <c:pt idx="16">
                  <c:v>6563578.43760416</c:v>
                </c:pt>
                <c:pt idx="17">
                  <c:v>6736191.6266191779</c:v>
                </c:pt>
                <c:pt idx="18">
                  <c:v>6913912.9064277941</c:v>
                </c:pt>
                <c:pt idx="19">
                  <c:v>7096918.3809171626</c:v>
                </c:pt>
                <c:pt idx="20">
                  <c:v>7285391.5194941368</c:v>
                </c:pt>
                <c:pt idx="21">
                  <c:v>7479523.5395151321</c:v>
                </c:pt>
                <c:pt idx="22">
                  <c:v>7679513.8126911987</c:v>
                </c:pt>
                <c:pt idx="23">
                  <c:v>7885570.2971701743</c:v>
                </c:pt>
                <c:pt idx="24">
                  <c:v>8097909.9971269071</c:v>
                </c:pt>
                <c:pt idx="25">
                  <c:v>8316759.4518316165</c:v>
                </c:pt>
                <c:pt idx="26">
                  <c:v>8542355.2563165352</c:v>
                </c:pt>
                <c:pt idx="27">
                  <c:v>8786777.5010339189</c:v>
                </c:pt>
                <c:pt idx="28">
                  <c:v>9039043.3516615126</c:v>
                </c:pt>
                <c:pt idx="29">
                  <c:v>9299445.2324491125</c:v>
                </c:pt>
                <c:pt idx="30">
                  <c:v>9568288.809951894</c:v>
                </c:pt>
                <c:pt idx="31">
                  <c:v>9845893.7327298094</c:v>
                </c:pt>
                <c:pt idx="32">
                  <c:v>10132594.419937873</c:v>
                </c:pt>
                <c:pt idx="33">
                  <c:v>10428740.902384833</c:v>
                </c:pt>
                <c:pt idx="34">
                  <c:v>10734699.719913039</c:v>
                </c:pt>
                <c:pt idx="35">
                  <c:v>11050854.879249312</c:v>
                </c:pt>
                <c:pt idx="36">
                  <c:v>11377608.876797119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0-C94B-93B6-9E84AE830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642623"/>
        <c:axId val="1403644863"/>
      </c:lineChart>
      <c:catAx>
        <c:axId val="140364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4863"/>
        <c:crosses val="autoZero"/>
        <c:auto val="1"/>
        <c:lblAlgn val="ctr"/>
        <c:lblOffset val="100"/>
        <c:tickLblSkip val="2"/>
        <c:noMultiLvlLbl val="0"/>
      </c:catAx>
      <c:valAx>
        <c:axId val="1403644863"/>
        <c:scaling>
          <c:orientation val="minMax"/>
          <c:max val="12000000"/>
          <c:min val="-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;\(#,##0\);\ \ \ 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2623"/>
        <c:crosses val="autoZero"/>
        <c:crossBetween val="between"/>
        <c:majorUnit val="2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Without Selling Anything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RetEarly!$A$190</c:f>
              <c:strCache>
                <c:ptCount val="1"/>
                <c:pt idx="0">
                  <c:v>Cash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RetEarly!AgeRange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RetEarly!ChartCashNoLiq</c:f>
              <c:numCache>
                <c:formatCode>#,##0\ ;\(#,##0\);\ \ \ \-\ </c:formatCode>
                <c:ptCount val="37"/>
                <c:pt idx="0">
                  <c:v>714578.8</c:v>
                </c:pt>
                <c:pt idx="1">
                  <c:v>615523.44559532881</c:v>
                </c:pt>
                <c:pt idx="2">
                  <c:v>566818.54594435322</c:v>
                </c:pt>
                <c:pt idx="3">
                  <c:v>529495.63528901932</c:v>
                </c:pt>
                <c:pt idx="4">
                  <c:v>449136.11835878156</c:v>
                </c:pt>
                <c:pt idx="5">
                  <c:v>405493.30580093106</c:v>
                </c:pt>
                <c:pt idx="6">
                  <c:v>395591.02540947287</c:v>
                </c:pt>
                <c:pt idx="7">
                  <c:v>355835.83444133337</c:v>
                </c:pt>
                <c:pt idx="8">
                  <c:v>283995.80718639237</c:v>
                </c:pt>
                <c:pt idx="9">
                  <c:v>240951.16457455605</c:v>
                </c:pt>
                <c:pt idx="10">
                  <c:v>196581.88886248111</c:v>
                </c:pt>
                <c:pt idx="11">
                  <c:v>159081.59242159489</c:v>
                </c:pt>
                <c:pt idx="12">
                  <c:v>129202.61024367121</c:v>
                </c:pt>
                <c:pt idx="13">
                  <c:v>97998.759380603165</c:v>
                </c:pt>
                <c:pt idx="14">
                  <c:v>65430.525954565201</c:v>
                </c:pt>
                <c:pt idx="15">
                  <c:v>31457.490092545777</c:v>
                </c:pt>
                <c:pt idx="16">
                  <c:v>7311.2771293262776</c:v>
                </c:pt>
                <c:pt idx="17">
                  <c:v>-8500.9986179600528</c:v>
                </c:pt>
                <c:pt idx="18">
                  <c:v>-24401.151599326025</c:v>
                </c:pt>
                <c:pt idx="19">
                  <c:v>-40382.155855835503</c:v>
                </c:pt>
                <c:pt idx="20">
                  <c:v>-56436.533092885351</c:v>
                </c:pt>
                <c:pt idx="21">
                  <c:v>-72556.333071212925</c:v>
                </c:pt>
                <c:pt idx="22">
                  <c:v>-88733.113258660698</c:v>
                </c:pt>
                <c:pt idx="23">
                  <c:v>-104957.91771674658</c:v>
                </c:pt>
                <c:pt idx="24">
                  <c:v>-121221.25519521507</c:v>
                </c:pt>
                <c:pt idx="25">
                  <c:v>-137513.07640684361</c:v>
                </c:pt>
                <c:pt idx="26">
                  <c:v>-153822.75045384717</c:v>
                </c:pt>
                <c:pt idx="27">
                  <c:v>-158452.24026646439</c:v>
                </c:pt>
                <c:pt idx="28">
                  <c:v>-162784.30756936097</c:v>
                </c:pt>
                <c:pt idx="29">
                  <c:v>-166799.12200714284</c:v>
                </c:pt>
                <c:pt idx="30">
                  <c:v>-170475.98562175149</c:v>
                </c:pt>
                <c:pt idx="31">
                  <c:v>-173793.30000708409</c:v>
                </c:pt>
                <c:pt idx="32">
                  <c:v>-176728.53230781946</c:v>
                </c:pt>
                <c:pt idx="33">
                  <c:v>-179258.1800235158</c:v>
                </c:pt>
                <c:pt idx="34">
                  <c:v>-181357.7345777704</c:v>
                </c:pt>
                <c:pt idx="35">
                  <c:v>-183001.64361091712</c:v>
                </c:pt>
                <c:pt idx="36">
                  <c:v>-184163.27195337944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0-C94B-93B6-9E84AE83035F}"/>
            </c:ext>
          </c:extLst>
        </c:ser>
        <c:ser>
          <c:idx val="2"/>
          <c:order val="1"/>
          <c:tx>
            <c:strRef>
              <c:f>RetEarly!$A$191</c:f>
              <c:strCache>
                <c:ptCount val="1"/>
                <c:pt idx="0">
                  <c:v>Net worth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RetEarly!AgeRange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RetEarly!ChartNWnoLiq</c:f>
              <c:numCache>
                <c:formatCode>#,##0\ ;\(#,##0\);\ \ \ \-\ </c:formatCode>
                <c:ptCount val="37"/>
                <c:pt idx="0">
                  <c:v>1544949.5962261481</c:v>
                </c:pt>
                <c:pt idx="1">
                  <c:v>1517852.4576191471</c:v>
                </c:pt>
                <c:pt idx="2">
                  <c:v>1536665.4073570457</c:v>
                </c:pt>
                <c:pt idx="3">
                  <c:v>1564554.2772227281</c:v>
                </c:pt>
                <c:pt idx="4">
                  <c:v>1547921.1416809112</c:v>
                </c:pt>
                <c:pt idx="5">
                  <c:v>1569906.8427281843</c:v>
                </c:pt>
                <c:pt idx="6">
                  <c:v>1627597.9826141801</c:v>
                </c:pt>
                <c:pt idx="7">
                  <c:v>1657466.3970750612</c:v>
                </c:pt>
                <c:pt idx="8">
                  <c:v>1657348.0718335188</c:v>
                </c:pt>
                <c:pt idx="9">
                  <c:v>1688193.9094133012</c:v>
                </c:pt>
                <c:pt idx="10">
                  <c:v>1719957.4899146184</c:v>
                </c:pt>
                <c:pt idx="11">
                  <c:v>1746415.2307781556</c:v>
                </c:pt>
                <c:pt idx="12">
                  <c:v>1766674.4278677478</c:v>
                </c:pt>
                <c:pt idx="13">
                  <c:v>1787314.3552595668</c:v>
                </c:pt>
                <c:pt idx="14">
                  <c:v>1808362.7833341551</c:v>
                </c:pt>
                <c:pt idx="15">
                  <c:v>1829849.8843077219</c:v>
                </c:pt>
                <c:pt idx="16">
                  <c:v>1863081.3858142919</c:v>
                </c:pt>
                <c:pt idx="17">
                  <c:v>1906642.2313823556</c:v>
                </c:pt>
                <c:pt idx="18">
                  <c:v>1952192.3948001836</c:v>
                </c:pt>
                <c:pt idx="19">
                  <c:v>1999824.8979947795</c:v>
                </c:pt>
                <c:pt idx="20">
                  <c:v>2049637.6895170973</c:v>
                </c:pt>
                <c:pt idx="21">
                  <c:v>2101733.9499324267</c:v>
                </c:pt>
                <c:pt idx="22">
                  <c:v>2156222.4186476739</c:v>
                </c:pt>
                <c:pt idx="23">
                  <c:v>2213217.7437923704</c:v>
                </c:pt>
                <c:pt idx="24">
                  <c:v>2272840.8568964163</c:v>
                </c:pt>
                <c:pt idx="25">
                  <c:v>2335219.3742437558</c:v>
                </c:pt>
                <c:pt idx="26">
                  <c:v>2400488.0269281873</c:v>
                </c:pt>
                <c:pt idx="27">
                  <c:v>2480475.9219059017</c:v>
                </c:pt>
                <c:pt idx="28">
                  <c:v>2563938.8058545557</c:v>
                </c:pt>
                <c:pt idx="29">
                  <c:v>2651042.9597167815</c:v>
                </c:pt>
                <c:pt idx="30">
                  <c:v>2741964.0154429642</c:v>
                </c:pt>
                <c:pt idx="31">
                  <c:v>2836887.5705297729</c:v>
                </c:pt>
                <c:pt idx="32">
                  <c:v>2936009.8473405582</c:v>
                </c:pt>
                <c:pt idx="33">
                  <c:v>3039538.4006493622</c:v>
                </c:pt>
                <c:pt idx="34">
                  <c:v>3147692.8771211458</c:v>
                </c:pt>
                <c:pt idx="35">
                  <c:v>3260705.8307332876</c:v>
                </c:pt>
                <c:pt idx="36">
                  <c:v>3378823.5984590179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0-C94B-93B6-9E84AE83035F}"/>
            </c:ext>
          </c:extLst>
        </c:ser>
        <c:ser>
          <c:idx val="0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RetEarly!AgeRange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01E-8E46-848D-D17580E72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642623"/>
        <c:axId val="1403644863"/>
      </c:lineChart>
      <c:catAx>
        <c:axId val="140364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4863"/>
        <c:crosses val="autoZero"/>
        <c:auto val="1"/>
        <c:lblAlgn val="ctr"/>
        <c:lblOffset val="100"/>
        <c:tickLblSkip val="2"/>
        <c:noMultiLvlLbl val="0"/>
      </c:catAx>
      <c:valAx>
        <c:axId val="1403644863"/>
        <c:scaling>
          <c:orientation val="minMax"/>
          <c:max val="12000000"/>
          <c:min val="-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;\(#,##0\);\ \ \ 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2623"/>
        <c:crosses val="autoZero"/>
        <c:crossBetween val="between"/>
        <c:majorUnit val="2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Selling Assets as Needed to Fund Retirement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RetEarly!$A$190</c:f>
              <c:strCache>
                <c:ptCount val="1"/>
                <c:pt idx="0">
                  <c:v>Cash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RetEarly!AgeRange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RetEarly!ChartCashLiq</c:f>
              <c:numCache>
                <c:formatCode>#,##0\ ;\(#,##0\);\ \ \ \-\ </c:formatCode>
                <c:ptCount val="37"/>
                <c:pt idx="0">
                  <c:v>714578.8</c:v>
                </c:pt>
                <c:pt idx="1">
                  <c:v>615523.44559532881</c:v>
                </c:pt>
                <c:pt idx="2">
                  <c:v>566818.54594435322</c:v>
                </c:pt>
                <c:pt idx="3">
                  <c:v>529495.63528901932</c:v>
                </c:pt>
                <c:pt idx="4">
                  <c:v>449136.11835878156</c:v>
                </c:pt>
                <c:pt idx="5">
                  <c:v>405493.30580093106</c:v>
                </c:pt>
                <c:pt idx="6">
                  <c:v>395591.02540947287</c:v>
                </c:pt>
                <c:pt idx="7">
                  <c:v>355835.83444133337</c:v>
                </c:pt>
                <c:pt idx="8">
                  <c:v>283995.80718639237</c:v>
                </c:pt>
                <c:pt idx="9">
                  <c:v>240951.16457455605</c:v>
                </c:pt>
                <c:pt idx="10">
                  <c:v>196581.88886248111</c:v>
                </c:pt>
                <c:pt idx="11">
                  <c:v>159081.59242159489</c:v>
                </c:pt>
                <c:pt idx="12">
                  <c:v>129202.61024367121</c:v>
                </c:pt>
                <c:pt idx="13">
                  <c:v>97998.759380603165</c:v>
                </c:pt>
                <c:pt idx="14">
                  <c:v>65430.525954565201</c:v>
                </c:pt>
                <c:pt idx="15">
                  <c:v>50463.562747686359</c:v>
                </c:pt>
                <c:pt idx="16">
                  <c:v>51530.780819453197</c:v>
                </c:pt>
                <c:pt idx="17">
                  <c:v>52780.780819453197</c:v>
                </c:pt>
                <c:pt idx="18">
                  <c:v>45240.990341074481</c:v>
                </c:pt>
                <c:pt idx="19">
                  <c:v>29896.075844533276</c:v>
                </c:pt>
                <c:pt idx="20">
                  <c:v>58136.512506285799</c:v>
                </c:pt>
                <c:pt idx="21">
                  <c:v>34384.971093022825</c:v>
                </c:pt>
                <c:pt idx="22">
                  <c:v>343581.77262858348</c:v>
                </c:pt>
                <c:pt idx="23">
                  <c:v>303635.20740181976</c:v>
                </c:pt>
                <c:pt idx="24">
                  <c:v>261511.85376063696</c:v>
                </c:pt>
                <c:pt idx="25">
                  <c:v>217168.29473947425</c:v>
                </c:pt>
                <c:pt idx="26">
                  <c:v>170560.35803097562</c:v>
                </c:pt>
                <c:pt idx="27">
                  <c:v>133622.07711745868</c:v>
                </c:pt>
                <c:pt idx="28">
                  <c:v>94920.416280316305</c:v>
                </c:pt>
                <c:pt idx="29">
                  <c:v>773028.86869639892</c:v>
                </c:pt>
                <c:pt idx="30">
                  <c:v>703848.01677959471</c:v>
                </c:pt>
                <c:pt idx="31">
                  <c:v>630366.49583580438</c:v>
                </c:pt>
                <c:pt idx="32">
                  <c:v>552476.78913935332</c:v>
                </c:pt>
                <c:pt idx="33">
                  <c:v>470068.69204642484</c:v>
                </c:pt>
                <c:pt idx="34">
                  <c:v>383029.24479710718</c:v>
                </c:pt>
                <c:pt idx="35">
                  <c:v>291242.66363749065</c:v>
                </c:pt>
                <c:pt idx="36">
                  <c:v>194590.27021981761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0-C94B-93B6-9E84AE83035F}"/>
            </c:ext>
          </c:extLst>
        </c:ser>
        <c:ser>
          <c:idx val="2"/>
          <c:order val="1"/>
          <c:tx>
            <c:strRef>
              <c:f>RetEarly!$A$191</c:f>
              <c:strCache>
                <c:ptCount val="1"/>
                <c:pt idx="0">
                  <c:v>Net worth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RetEarly!AgeRange</c:f>
              <c:numCache>
                <c:formatCode>General</c:formatCode>
                <c:ptCount val="37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</c:numCache>
            </c:numRef>
          </c:cat>
          <c:val>
            <c:numRef>
              <c:f>RetEarly!ChartNWLiq</c:f>
              <c:numCache>
                <c:formatCode>#,##0\ ;\(#,##0\);\ \ \ \-\ </c:formatCode>
                <c:ptCount val="37"/>
                <c:pt idx="0">
                  <c:v>1544949.5962261481</c:v>
                </c:pt>
                <c:pt idx="1">
                  <c:v>1517852.4576191471</c:v>
                </c:pt>
                <c:pt idx="2">
                  <c:v>1536665.4073570457</c:v>
                </c:pt>
                <c:pt idx="3">
                  <c:v>1564554.2772227281</c:v>
                </c:pt>
                <c:pt idx="4">
                  <c:v>1547921.1416809112</c:v>
                </c:pt>
                <c:pt idx="5">
                  <c:v>1569906.8427281841</c:v>
                </c:pt>
                <c:pt idx="6">
                  <c:v>1627597.9826141801</c:v>
                </c:pt>
                <c:pt idx="7">
                  <c:v>1657466.3970750612</c:v>
                </c:pt>
                <c:pt idx="8">
                  <c:v>1657348.0718335188</c:v>
                </c:pt>
                <c:pt idx="9">
                  <c:v>1688193.9094133012</c:v>
                </c:pt>
                <c:pt idx="10">
                  <c:v>1719957.4899146184</c:v>
                </c:pt>
                <c:pt idx="11">
                  <c:v>1746415.2307781556</c:v>
                </c:pt>
                <c:pt idx="12">
                  <c:v>1766674.4278677478</c:v>
                </c:pt>
                <c:pt idx="13">
                  <c:v>1787314.3552595668</c:v>
                </c:pt>
                <c:pt idx="14">
                  <c:v>1808362.7833341551</c:v>
                </c:pt>
                <c:pt idx="15">
                  <c:v>1827776.0509628095</c:v>
                </c:pt>
                <c:pt idx="16">
                  <c:v>1857084.1594451221</c:v>
                </c:pt>
                <c:pt idx="17">
                  <c:v>1895713.8815061816</c:v>
                </c:pt>
                <c:pt idx="18">
                  <c:v>1935520.5155581899</c:v>
                </c:pt>
                <c:pt idx="19">
                  <c:v>1976883.986818162</c:v>
                </c:pt>
                <c:pt idx="20">
                  <c:v>2011445.8128012577</c:v>
                </c:pt>
                <c:pt idx="21">
                  <c:v>2046293.5503968438</c:v>
                </c:pt>
                <c:pt idx="22">
                  <c:v>2021130.3070861981</c:v>
                </c:pt>
                <c:pt idx="23">
                  <c:v>2031510.1978931627</c:v>
                </c:pt>
                <c:pt idx="24">
                  <c:v>2041223.0939667204</c:v>
                </c:pt>
                <c:pt idx="25">
                  <c:v>2050270.8721517404</c:v>
                </c:pt>
                <c:pt idx="26">
                  <c:v>2058656.0127656097</c:v>
                </c:pt>
                <c:pt idx="27">
                  <c:v>2078360.6014941316</c:v>
                </c:pt>
                <c:pt idx="28">
                  <c:v>2098001.0963882897</c:v>
                </c:pt>
                <c:pt idx="29">
                  <c:v>1986660.1042912295</c:v>
                </c:pt>
                <c:pt idx="30">
                  <c:v>1953888.1894422704</c:v>
                </c:pt>
                <c:pt idx="31">
                  <c:v>1917907.8736783604</c:v>
                </c:pt>
                <c:pt idx="32">
                  <c:v>1878644.4083171859</c:v>
                </c:pt>
                <c:pt idx="33">
                  <c:v>1836021.3397995925</c:v>
                </c:pt>
                <c:pt idx="34">
                  <c:v>1789960.4719828698</c:v>
                </c:pt>
                <c:pt idx="35">
                  <c:v>1740381.8276388263</c:v>
                </c:pt>
                <c:pt idx="36">
                  <c:v>1687203.6091411933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0-C94B-93B6-9E84AE830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642623"/>
        <c:axId val="1403644863"/>
      </c:lineChart>
      <c:catAx>
        <c:axId val="140364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4863"/>
        <c:crosses val="autoZero"/>
        <c:auto val="1"/>
        <c:lblAlgn val="ctr"/>
        <c:lblOffset val="100"/>
        <c:tickLblSkip val="2"/>
        <c:noMultiLvlLbl val="0"/>
      </c:catAx>
      <c:valAx>
        <c:axId val="1403644863"/>
        <c:scaling>
          <c:orientation val="minMax"/>
          <c:max val="12000000"/>
          <c:min val="-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;\(#,##0\);\ \ \ 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T"/>
          </a:p>
        </c:txPr>
        <c:crossAx val="1403642623"/>
        <c:crosses val="autoZero"/>
        <c:crossBetween val="between"/>
        <c:majorUnit val="2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241300</xdr:colOff>
          <xdr:row>167</xdr:row>
          <xdr:rowOff>190500</xdr:rowOff>
        </xdr:from>
        <xdr:to>
          <xdr:col>7</xdr:col>
          <xdr:colOff>736600</xdr:colOff>
          <xdr:row>169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5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Can I retire?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5245100</xdr:colOff>
          <xdr:row>0</xdr:row>
          <xdr:rowOff>114300</xdr:rowOff>
        </xdr:from>
        <xdr:to>
          <xdr:col>2</xdr:col>
          <xdr:colOff>749300</xdr:colOff>
          <xdr:row>1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38100</xdr:rowOff>
        </xdr:from>
        <xdr:to>
          <xdr:col>7</xdr:col>
          <xdr:colOff>711200</xdr:colOff>
          <xdr:row>27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5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Can I retire?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129</xdr:row>
          <xdr:rowOff>76200</xdr:rowOff>
        </xdr:from>
        <xdr:to>
          <xdr:col>7</xdr:col>
          <xdr:colOff>723900</xdr:colOff>
          <xdr:row>131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56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Can I retire?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241300</xdr:colOff>
          <xdr:row>132</xdr:row>
          <xdr:rowOff>76200</xdr:rowOff>
        </xdr:from>
        <xdr:to>
          <xdr:col>7</xdr:col>
          <xdr:colOff>736600</xdr:colOff>
          <xdr:row>133</xdr:row>
          <xdr:rowOff>114300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Restore Defaults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128162</xdr:rowOff>
    </xdr:from>
    <xdr:to>
      <xdr:col>23</xdr:col>
      <xdr:colOff>819727</xdr:colOff>
      <xdr:row>21</xdr:row>
      <xdr:rowOff>116178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A05A91-16E4-6948-B348-A4D56D61F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14583</xdr:rowOff>
    </xdr:from>
    <xdr:to>
      <xdr:col>23</xdr:col>
      <xdr:colOff>819727</xdr:colOff>
      <xdr:row>41</xdr:row>
      <xdr:rowOff>728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293636-C0A5-4DAC-F2DE-4F2700C45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5304</xdr:colOff>
      <xdr:row>2</xdr:row>
      <xdr:rowOff>128162</xdr:rowOff>
    </xdr:from>
    <xdr:to>
      <xdr:col>15</xdr:col>
      <xdr:colOff>817542</xdr:colOff>
      <xdr:row>21</xdr:row>
      <xdr:rowOff>116178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4EF6F3C-5549-FFD1-5465-CCE02109B7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5304</xdr:colOff>
      <xdr:row>22</xdr:row>
      <xdr:rowOff>14583</xdr:rowOff>
    </xdr:from>
    <xdr:to>
      <xdr:col>15</xdr:col>
      <xdr:colOff>817542</xdr:colOff>
      <xdr:row>41</xdr:row>
      <xdr:rowOff>728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A0CE789-FB25-0743-B8D1-F466F70663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0</xdr:row>
      <xdr:rowOff>34324</xdr:rowOff>
    </xdr:from>
    <xdr:to>
      <xdr:col>24</xdr:col>
      <xdr:colOff>0</xdr:colOff>
      <xdr:row>1</xdr:row>
      <xdr:rowOff>148739</xdr:rowOff>
    </xdr:to>
    <xdr:sp macro="" textlink="Charts!AA3">
      <xdr:nvSpPr>
        <xdr:cNvPr id="12" name="TextBox 11">
          <a:extLst>
            <a:ext uri="{FF2B5EF4-FFF2-40B4-BE49-F238E27FC236}">
              <a16:creationId xmlns:a16="http://schemas.microsoft.com/office/drawing/2014/main" id="{46FFE000-4554-ACE2-FB4B-D194F2363B51}"/>
            </a:ext>
          </a:extLst>
        </xdr:cNvPr>
        <xdr:cNvSpPr txBox="1"/>
      </xdr:nvSpPr>
      <xdr:spPr>
        <a:xfrm>
          <a:off x="12082162" y="34324"/>
          <a:ext cx="5766487" cy="32036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56992D40-3FCE-934C-BD67-43408CE94737}" type="TxLink">
            <a:rPr lang="en-US" sz="1600" b="1" i="0" u="none" strike="noStrike">
              <a:solidFill>
                <a:srgbClr val="000000"/>
              </a:solidFill>
              <a:latin typeface="Aptos Narrow"/>
            </a:rPr>
            <a:pPr algn="ctr"/>
            <a:t>RETIRE AT 65</a:t>
          </a:fld>
          <a:endParaRPr lang="en-GB" sz="2000" b="1"/>
        </a:p>
      </xdr:txBody>
    </xdr:sp>
    <xdr:clientData/>
  </xdr:twoCellAnchor>
  <xdr:twoCellAnchor>
    <xdr:from>
      <xdr:col>9</xdr:col>
      <xdr:colOff>1</xdr:colOff>
      <xdr:row>0</xdr:row>
      <xdr:rowOff>34324</xdr:rowOff>
    </xdr:from>
    <xdr:to>
      <xdr:col>15</xdr:col>
      <xdr:colOff>800902</xdr:colOff>
      <xdr:row>1</xdr:row>
      <xdr:rowOff>148739</xdr:rowOff>
    </xdr:to>
    <xdr:sp macro="" textlink="Charts!AA2">
      <xdr:nvSpPr>
        <xdr:cNvPr id="14" name="TextBox 13">
          <a:extLst>
            <a:ext uri="{FF2B5EF4-FFF2-40B4-BE49-F238E27FC236}">
              <a16:creationId xmlns:a16="http://schemas.microsoft.com/office/drawing/2014/main" id="{CDAEA491-F951-46B2-21AB-D4538FA1EBE7}"/>
            </a:ext>
          </a:extLst>
        </xdr:cNvPr>
        <xdr:cNvSpPr txBox="1"/>
      </xdr:nvSpPr>
      <xdr:spPr>
        <a:xfrm>
          <a:off x="14118740" y="34324"/>
          <a:ext cx="6567387" cy="32036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9ECAF8D-E559-DA4F-A5A3-7661B24B1B57}" type="TxLink">
            <a:rPr lang="en-US" sz="1600" b="1" i="0" u="none" strike="noStrike">
              <a:solidFill>
                <a:srgbClr val="000000"/>
              </a:solidFill>
              <a:latin typeface="Aptos Narrow"/>
            </a:rPr>
            <a:pPr algn="ctr"/>
            <a:t>RETIRE AT 50</a:t>
          </a:fld>
          <a:endParaRPr lang="en-GB" sz="2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6C09A-970C-8B4A-8DAA-2452C038377E}">
  <sheetPr codeName="Sheet1">
    <tabColor rgb="FFFFFF00"/>
  </sheetPr>
  <dimension ref="A2:P180"/>
  <sheetViews>
    <sheetView topLeftCell="A118" zoomScale="130" zoomScaleNormal="130" workbookViewId="0">
      <selection activeCell="H15" sqref="H15"/>
    </sheetView>
  </sheetViews>
  <sheetFormatPr baseColWidth="10" defaultRowHeight="16" x14ac:dyDescent="0.2"/>
  <cols>
    <col min="1" max="1" width="2" style="28" customWidth="1"/>
    <col min="2" max="2" width="37.83203125" style="3" customWidth="1"/>
    <col min="3" max="3" width="11.6640625" style="1" customWidth="1"/>
    <col min="4" max="7" width="10.1640625" style="1" customWidth="1"/>
    <col min="8" max="8" width="10.33203125" style="4" customWidth="1"/>
  </cols>
  <sheetData>
    <row r="2" spans="1:8" ht="19" x14ac:dyDescent="0.25">
      <c r="A2" s="98" t="s">
        <v>94</v>
      </c>
      <c r="B2" s="70"/>
      <c r="C2" s="71"/>
      <c r="D2" s="71"/>
      <c r="E2" s="71"/>
      <c r="F2" s="71"/>
      <c r="G2" s="71"/>
      <c r="H2" s="72"/>
    </row>
    <row r="3" spans="1:8" x14ac:dyDescent="0.2">
      <c r="D3" s="59"/>
    </row>
    <row r="4" spans="1:8" x14ac:dyDescent="0.2">
      <c r="B4" s="58" t="s">
        <v>95</v>
      </c>
      <c r="C4" s="54">
        <v>48</v>
      </c>
      <c r="D4" s="62" t="s">
        <v>97</v>
      </c>
    </row>
    <row r="5" spans="1:8" x14ac:dyDescent="0.2">
      <c r="B5" s="58"/>
      <c r="D5" s="62"/>
    </row>
    <row r="6" spans="1:8" x14ac:dyDescent="0.2">
      <c r="B6" s="58" t="s">
        <v>96</v>
      </c>
      <c r="C6" s="54">
        <v>200000</v>
      </c>
      <c r="D6" s="62" t="s">
        <v>98</v>
      </c>
    </row>
    <row r="7" spans="1:8" x14ac:dyDescent="0.2">
      <c r="B7" s="58"/>
      <c r="D7" s="62"/>
    </row>
    <row r="8" spans="1:8" x14ac:dyDescent="0.2">
      <c r="B8" s="58" t="s">
        <v>99</v>
      </c>
      <c r="C8" s="54">
        <v>500000</v>
      </c>
      <c r="D8" s="62" t="s">
        <v>100</v>
      </c>
    </row>
    <row r="9" spans="1:8" x14ac:dyDescent="0.2">
      <c r="B9" s="58"/>
      <c r="D9" s="62"/>
    </row>
    <row r="10" spans="1:8" x14ac:dyDescent="0.2">
      <c r="B10" s="58" t="s">
        <v>0</v>
      </c>
      <c r="C10" s="54">
        <v>20000</v>
      </c>
      <c r="D10" s="62" t="s">
        <v>101</v>
      </c>
      <c r="E10" s="11"/>
    </row>
    <row r="11" spans="1:8" x14ac:dyDescent="0.2">
      <c r="B11" s="58"/>
      <c r="D11" s="62"/>
    </row>
    <row r="12" spans="1:8" x14ac:dyDescent="0.2">
      <c r="B12" s="58" t="s">
        <v>34</v>
      </c>
      <c r="C12" s="54">
        <v>500000</v>
      </c>
      <c r="D12" s="62" t="s">
        <v>155</v>
      </c>
    </row>
    <row r="13" spans="1:8" x14ac:dyDescent="0.2">
      <c r="B13" s="58"/>
      <c r="D13" s="59"/>
    </row>
    <row r="14" spans="1:8" x14ac:dyDescent="0.2">
      <c r="B14" s="58" t="s">
        <v>38</v>
      </c>
      <c r="F14" s="63"/>
      <c r="G14" s="61"/>
    </row>
    <row r="15" spans="1:8" x14ac:dyDescent="0.2">
      <c r="B15" s="3" t="s">
        <v>43</v>
      </c>
      <c r="C15" s="54">
        <v>300000</v>
      </c>
      <c r="D15" s="62" t="s">
        <v>156</v>
      </c>
      <c r="G15" s="65" t="s">
        <v>104</v>
      </c>
      <c r="H15" s="66">
        <f>IFERROR(NPER(C16/12,-C17,C15),"")</f>
        <v>138.23118592022686</v>
      </c>
    </row>
    <row r="16" spans="1:8" x14ac:dyDescent="0.2">
      <c r="B16" s="3" t="s">
        <v>102</v>
      </c>
      <c r="C16" s="56">
        <v>2.5000000000000001E-2</v>
      </c>
      <c r="D16" s="62"/>
      <c r="G16" s="65" t="s">
        <v>105</v>
      </c>
      <c r="H16" s="66">
        <f>IFERROR(H15/12,"")</f>
        <v>11.519265493352238</v>
      </c>
    </row>
    <row r="17" spans="1:8" x14ac:dyDescent="0.2">
      <c r="B17" s="3" t="s">
        <v>103</v>
      </c>
      <c r="C17" s="54">
        <v>2500</v>
      </c>
      <c r="D17" s="62"/>
      <c r="F17" s="64"/>
      <c r="G17" s="67"/>
      <c r="H17" s="68"/>
    </row>
    <row r="18" spans="1:8" x14ac:dyDescent="0.2">
      <c r="B18" s="58"/>
      <c r="D18" s="62"/>
      <c r="F18" s="64"/>
    </row>
    <row r="19" spans="1:8" x14ac:dyDescent="0.2">
      <c r="B19" s="58" t="s">
        <v>108</v>
      </c>
      <c r="C19" s="54">
        <v>65</v>
      </c>
      <c r="D19" s="62" t="s">
        <v>109</v>
      </c>
      <c r="E19" s="22"/>
    </row>
    <row r="20" spans="1:8" x14ac:dyDescent="0.2">
      <c r="B20" s="58"/>
      <c r="C20" s="11"/>
      <c r="D20" s="62"/>
      <c r="E20" s="22"/>
    </row>
    <row r="21" spans="1:8" x14ac:dyDescent="0.2">
      <c r="B21" s="58" t="s">
        <v>106</v>
      </c>
      <c r="C21" s="54">
        <v>15000</v>
      </c>
      <c r="D21" s="62" t="s">
        <v>107</v>
      </c>
    </row>
    <row r="22" spans="1:8" x14ac:dyDescent="0.2">
      <c r="B22" s="58"/>
      <c r="D22" s="62"/>
    </row>
    <row r="23" spans="1:8" x14ac:dyDescent="0.2">
      <c r="B23" s="58" t="s">
        <v>6</v>
      </c>
      <c r="C23" s="54"/>
      <c r="D23" s="62" t="s">
        <v>54</v>
      </c>
    </row>
    <row r="24" spans="1:8" x14ac:dyDescent="0.2">
      <c r="B24" s="58"/>
      <c r="D24" s="62"/>
    </row>
    <row r="25" spans="1:8" x14ac:dyDescent="0.2">
      <c r="B25" s="58" t="s">
        <v>117</v>
      </c>
      <c r="C25" s="54">
        <v>60000</v>
      </c>
      <c r="D25" s="62"/>
      <c r="F25" s="64"/>
    </row>
    <row r="26" spans="1:8" x14ac:dyDescent="0.2">
      <c r="D26" s="62"/>
    </row>
    <row r="27" spans="1:8" x14ac:dyDescent="0.2">
      <c r="D27" s="59"/>
    </row>
    <row r="28" spans="1:8" ht="19" x14ac:dyDescent="0.25">
      <c r="A28" s="98" t="s">
        <v>110</v>
      </c>
      <c r="B28" s="70"/>
      <c r="C28" s="71"/>
      <c r="D28" s="73"/>
      <c r="E28" s="71"/>
      <c r="F28" s="71"/>
      <c r="G28" s="71"/>
      <c r="H28" s="74"/>
    </row>
    <row r="29" spans="1:8" x14ac:dyDescent="0.2">
      <c r="D29" s="59"/>
    </row>
    <row r="30" spans="1:8" x14ac:dyDescent="0.2">
      <c r="B30" s="69" t="s">
        <v>37</v>
      </c>
      <c r="D30" s="59"/>
    </row>
    <row r="31" spans="1:8" x14ac:dyDescent="0.2">
      <c r="D31" s="59"/>
    </row>
    <row r="32" spans="1:8" x14ac:dyDescent="0.2">
      <c r="B32" s="3" t="s">
        <v>45</v>
      </c>
      <c r="F32" s="60"/>
    </row>
    <row r="33" spans="2:8" x14ac:dyDescent="0.2">
      <c r="B33" s="36" t="s">
        <v>33</v>
      </c>
      <c r="C33" s="55" t="s">
        <v>157</v>
      </c>
      <c r="D33" s="62" t="s">
        <v>113</v>
      </c>
    </row>
    <row r="34" spans="2:8" x14ac:dyDescent="0.2">
      <c r="B34" s="36" t="s">
        <v>141</v>
      </c>
      <c r="C34" s="54">
        <v>5000</v>
      </c>
      <c r="D34" s="62" t="s">
        <v>140</v>
      </c>
    </row>
    <row r="35" spans="2:8" x14ac:dyDescent="0.2">
      <c r="B35" s="36" t="s">
        <v>114</v>
      </c>
      <c r="C35" s="54">
        <v>2</v>
      </c>
      <c r="D35" s="62" t="s">
        <v>112</v>
      </c>
      <c r="H35" s="11"/>
    </row>
    <row r="36" spans="2:8" x14ac:dyDescent="0.2">
      <c r="H36" s="11"/>
    </row>
    <row r="37" spans="2:8" x14ac:dyDescent="0.2">
      <c r="B37" s="3" t="s">
        <v>46</v>
      </c>
      <c r="F37" s="60"/>
      <c r="H37" s="11"/>
    </row>
    <row r="38" spans="2:8" x14ac:dyDescent="0.2">
      <c r="B38" s="36" t="s">
        <v>33</v>
      </c>
      <c r="C38" s="55" t="s">
        <v>158</v>
      </c>
      <c r="D38" s="62" t="s">
        <v>113</v>
      </c>
    </row>
    <row r="39" spans="2:8" x14ac:dyDescent="0.2">
      <c r="B39" s="36" t="s">
        <v>141</v>
      </c>
      <c r="C39" s="54">
        <v>4000</v>
      </c>
      <c r="D39" s="62" t="s">
        <v>140</v>
      </c>
    </row>
    <row r="40" spans="2:8" x14ac:dyDescent="0.2">
      <c r="B40" s="36" t="s">
        <v>114</v>
      </c>
      <c r="C40" s="54">
        <v>1</v>
      </c>
      <c r="D40" s="62" t="s">
        <v>112</v>
      </c>
    </row>
    <row r="42" spans="2:8" x14ac:dyDescent="0.2">
      <c r="B42" s="3" t="s">
        <v>47</v>
      </c>
      <c r="F42" s="60"/>
    </row>
    <row r="43" spans="2:8" x14ac:dyDescent="0.2">
      <c r="B43" s="36" t="s">
        <v>33</v>
      </c>
      <c r="C43" s="55" t="s">
        <v>159</v>
      </c>
      <c r="D43" s="62" t="s">
        <v>113</v>
      </c>
    </row>
    <row r="44" spans="2:8" x14ac:dyDescent="0.2">
      <c r="B44" s="36" t="s">
        <v>141</v>
      </c>
      <c r="C44" s="54">
        <v>2500</v>
      </c>
      <c r="D44" s="62" t="s">
        <v>140</v>
      </c>
    </row>
    <row r="45" spans="2:8" x14ac:dyDescent="0.2">
      <c r="B45" s="36" t="s">
        <v>114</v>
      </c>
      <c r="C45" s="54">
        <v>4</v>
      </c>
      <c r="D45" s="62" t="s">
        <v>112</v>
      </c>
    </row>
    <row r="46" spans="2:8" x14ac:dyDescent="0.2">
      <c r="B46" s="36"/>
      <c r="C46" s="62"/>
      <c r="D46" s="62"/>
    </row>
    <row r="47" spans="2:8" x14ac:dyDescent="0.2">
      <c r="B47" s="69" t="s">
        <v>129</v>
      </c>
      <c r="D47" s="62"/>
    </row>
    <row r="48" spans="2:8" x14ac:dyDescent="0.2">
      <c r="B48" s="69"/>
      <c r="D48" s="62"/>
    </row>
    <row r="49" spans="2:6" x14ac:dyDescent="0.2">
      <c r="B49" s="3" t="s">
        <v>48</v>
      </c>
      <c r="D49" s="62"/>
    </row>
    <row r="50" spans="2:6" x14ac:dyDescent="0.2">
      <c r="B50" s="36" t="s">
        <v>33</v>
      </c>
      <c r="C50" s="55" t="s">
        <v>160</v>
      </c>
      <c r="D50" s="62" t="s">
        <v>113</v>
      </c>
    </row>
    <row r="51" spans="2:6" x14ac:dyDescent="0.2">
      <c r="B51" s="36" t="s">
        <v>126</v>
      </c>
      <c r="C51" s="54">
        <v>200000</v>
      </c>
      <c r="D51" s="62"/>
    </row>
    <row r="52" spans="2:6" x14ac:dyDescent="0.2">
      <c r="B52" s="36" t="s">
        <v>127</v>
      </c>
      <c r="C52" s="54">
        <v>1000</v>
      </c>
      <c r="D52" s="62" t="s">
        <v>128</v>
      </c>
    </row>
    <row r="53" spans="2:6" x14ac:dyDescent="0.2">
      <c r="D53" s="62"/>
    </row>
    <row r="54" spans="2:6" x14ac:dyDescent="0.2">
      <c r="B54" s="3" t="s">
        <v>49</v>
      </c>
      <c r="D54" s="62"/>
    </row>
    <row r="55" spans="2:6" x14ac:dyDescent="0.2">
      <c r="B55" s="36" t="s">
        <v>33</v>
      </c>
      <c r="C55" s="55" t="s">
        <v>161</v>
      </c>
      <c r="D55" s="62" t="s">
        <v>113</v>
      </c>
    </row>
    <row r="56" spans="2:6" x14ac:dyDescent="0.2">
      <c r="B56" s="36" t="s">
        <v>126</v>
      </c>
      <c r="C56" s="54">
        <v>350000</v>
      </c>
      <c r="D56" s="62"/>
    </row>
    <row r="57" spans="2:6" x14ac:dyDescent="0.2">
      <c r="B57" s="36" t="s">
        <v>127</v>
      </c>
      <c r="C57" s="54">
        <v>2500</v>
      </c>
      <c r="D57" s="62" t="s">
        <v>128</v>
      </c>
    </row>
    <row r="58" spans="2:6" x14ac:dyDescent="0.2">
      <c r="D58" s="62"/>
    </row>
    <row r="59" spans="2:6" x14ac:dyDescent="0.2">
      <c r="B59" s="3" t="s">
        <v>50</v>
      </c>
      <c r="D59" s="62"/>
    </row>
    <row r="60" spans="2:6" x14ac:dyDescent="0.2">
      <c r="B60" s="36" t="s">
        <v>33</v>
      </c>
      <c r="C60" s="55" t="s">
        <v>162</v>
      </c>
      <c r="D60" s="62" t="s">
        <v>113</v>
      </c>
    </row>
    <row r="61" spans="2:6" x14ac:dyDescent="0.2">
      <c r="B61" s="36" t="s">
        <v>126</v>
      </c>
      <c r="C61" s="54">
        <v>28000</v>
      </c>
      <c r="D61" s="62"/>
    </row>
    <row r="62" spans="2:6" x14ac:dyDescent="0.2">
      <c r="B62" s="36" t="s">
        <v>127</v>
      </c>
      <c r="C62" s="54">
        <v>800</v>
      </c>
      <c r="D62" s="62" t="s">
        <v>128</v>
      </c>
    </row>
    <row r="63" spans="2:6" x14ac:dyDescent="0.2">
      <c r="B63" s="36"/>
      <c r="D63" s="62"/>
    </row>
    <row r="64" spans="2:6" x14ac:dyDescent="0.2">
      <c r="B64" s="69" t="s">
        <v>115</v>
      </c>
      <c r="F64" s="60"/>
    </row>
    <row r="65" spans="2:13" x14ac:dyDescent="0.2">
      <c r="D65" s="62"/>
    </row>
    <row r="66" spans="2:13" x14ac:dyDescent="0.2">
      <c r="B66" s="3" t="str">
        <f>"Rental income: "&amp;C50</f>
        <v>Rental income: Sliema</v>
      </c>
      <c r="C66" s="54">
        <v>12000</v>
      </c>
      <c r="D66" s="62" t="s">
        <v>116</v>
      </c>
    </row>
    <row r="67" spans="2:13" x14ac:dyDescent="0.2">
      <c r="B67" s="3" t="str">
        <f>"Rental income: "&amp;C55</f>
        <v>Rental income: Gzira</v>
      </c>
      <c r="C67" s="54">
        <v>20000</v>
      </c>
      <c r="D67" s="62" t="s">
        <v>116</v>
      </c>
    </row>
    <row r="68" spans="2:13" x14ac:dyDescent="0.2">
      <c r="B68" s="3" t="str">
        <f>"Rental income: "&amp;C60</f>
        <v>Rental income: Hamrun</v>
      </c>
      <c r="C68" s="54">
        <v>5200</v>
      </c>
      <c r="D68" s="62" t="s">
        <v>116</v>
      </c>
    </row>
    <row r="69" spans="2:13" x14ac:dyDescent="0.2">
      <c r="D69" s="62"/>
    </row>
    <row r="70" spans="2:13" x14ac:dyDescent="0.2">
      <c r="B70" s="3" t="s">
        <v>130</v>
      </c>
      <c r="C70" s="54">
        <v>4800</v>
      </c>
      <c r="D70" s="62" t="s">
        <v>153</v>
      </c>
    </row>
    <row r="71" spans="2:13" x14ac:dyDescent="0.2">
      <c r="B71" s="3" t="s">
        <v>16</v>
      </c>
      <c r="C71" s="54">
        <v>59</v>
      </c>
      <c r="D71" s="62"/>
    </row>
    <row r="72" spans="2:13" x14ac:dyDescent="0.2">
      <c r="D72" s="62"/>
    </row>
    <row r="73" spans="2:13" x14ac:dyDescent="0.2">
      <c r="B73" s="69" t="s">
        <v>118</v>
      </c>
      <c r="D73" s="62"/>
    </row>
    <row r="74" spans="2:13" x14ac:dyDescent="0.2">
      <c r="D74" s="62"/>
      <c r="M74" s="50"/>
    </row>
    <row r="75" spans="2:13" x14ac:dyDescent="0.2">
      <c r="B75" s="3" t="s">
        <v>4</v>
      </c>
      <c r="C75" s="54">
        <v>2000</v>
      </c>
      <c r="D75" s="62" t="s">
        <v>154</v>
      </c>
    </row>
    <row r="76" spans="2:13" x14ac:dyDescent="0.2">
      <c r="C76" s="6"/>
      <c r="D76" s="62"/>
    </row>
    <row r="77" spans="2:13" x14ac:dyDescent="0.2">
      <c r="B77" s="91" t="str">
        <f>C50</f>
        <v>Sliema</v>
      </c>
      <c r="F77" s="63"/>
      <c r="G77" s="61"/>
      <c r="M77" s="50"/>
    </row>
    <row r="78" spans="2:13" x14ac:dyDescent="0.2">
      <c r="B78" s="36" t="s">
        <v>43</v>
      </c>
      <c r="C78" s="54">
        <v>20000</v>
      </c>
      <c r="D78" s="62" t="s">
        <v>122</v>
      </c>
      <c r="G78" s="92" t="s">
        <v>104</v>
      </c>
      <c r="H78" s="66">
        <f>IFERROR(NPER(C79/12,-C80,C78),"")</f>
        <v>41.808951553088079</v>
      </c>
    </row>
    <row r="79" spans="2:13" x14ac:dyDescent="0.2">
      <c r="B79" s="36" t="s">
        <v>102</v>
      </c>
      <c r="C79" s="56">
        <v>2.5000000000000001E-2</v>
      </c>
      <c r="D79" s="62"/>
      <c r="G79" s="92" t="s">
        <v>105</v>
      </c>
      <c r="H79" s="66">
        <f>IFERROR(H78/12,"")</f>
        <v>3.4840792960906732</v>
      </c>
    </row>
    <row r="80" spans="2:13" x14ac:dyDescent="0.2">
      <c r="B80" s="36" t="s">
        <v>103</v>
      </c>
      <c r="C80" s="54">
        <v>500</v>
      </c>
      <c r="D80" s="62"/>
      <c r="F80" s="64"/>
      <c r="G80" s="93"/>
      <c r="H80" s="68"/>
      <c r="M80" s="50"/>
    </row>
    <row r="81" spans="2:13" x14ac:dyDescent="0.2">
      <c r="C81"/>
      <c r="D81" s="62"/>
      <c r="G81" s="94"/>
      <c r="M81" s="50"/>
    </row>
    <row r="82" spans="2:13" x14ac:dyDescent="0.2">
      <c r="B82" s="91" t="str">
        <f>C55</f>
        <v>Gzira</v>
      </c>
      <c r="C82"/>
      <c r="F82" s="63"/>
      <c r="G82" s="95"/>
    </row>
    <row r="83" spans="2:13" x14ac:dyDescent="0.2">
      <c r="B83" s="36" t="s">
        <v>43</v>
      </c>
      <c r="C83" s="54">
        <v>10000</v>
      </c>
      <c r="D83" s="62" t="s">
        <v>122</v>
      </c>
      <c r="G83" s="92" t="s">
        <v>104</v>
      </c>
      <c r="H83" s="66">
        <f>IFERROR(NPER(C84/12,-C85,C83),"")</f>
        <v>22.891932849758504</v>
      </c>
    </row>
    <row r="84" spans="2:13" x14ac:dyDescent="0.2">
      <c r="B84" s="36" t="s">
        <v>102</v>
      </c>
      <c r="C84" s="56">
        <v>0.03</v>
      </c>
      <c r="D84" s="62"/>
      <c r="G84" s="92" t="s">
        <v>105</v>
      </c>
      <c r="H84" s="66">
        <f>IFERROR(H83/12,"")</f>
        <v>1.9076610708132087</v>
      </c>
    </row>
    <row r="85" spans="2:13" x14ac:dyDescent="0.2">
      <c r="B85" s="36" t="s">
        <v>103</v>
      </c>
      <c r="C85" s="54">
        <v>450</v>
      </c>
      <c r="D85" s="62"/>
      <c r="F85" s="64"/>
      <c r="G85" s="93"/>
      <c r="H85" s="68"/>
    </row>
    <row r="86" spans="2:13" x14ac:dyDescent="0.2">
      <c r="D86" s="62"/>
      <c r="G86" s="94"/>
    </row>
    <row r="87" spans="2:13" x14ac:dyDescent="0.2">
      <c r="B87" s="91" t="str">
        <f>C60</f>
        <v>Hamrun</v>
      </c>
      <c r="C87"/>
      <c r="F87" s="63"/>
      <c r="G87" s="95"/>
    </row>
    <row r="88" spans="2:13" x14ac:dyDescent="0.2">
      <c r="B88" s="36" t="s">
        <v>43</v>
      </c>
      <c r="C88" s="54">
        <v>5000</v>
      </c>
      <c r="D88" s="62" t="s">
        <v>122</v>
      </c>
      <c r="G88" s="92" t="s">
        <v>104</v>
      </c>
      <c r="H88" s="66">
        <f>IFERROR(NPER(C89/12,-C90,C88),"")</f>
        <v>27.555555113521557</v>
      </c>
    </row>
    <row r="89" spans="2:13" x14ac:dyDescent="0.2">
      <c r="B89" s="36" t="s">
        <v>102</v>
      </c>
      <c r="C89" s="56">
        <v>0.03</v>
      </c>
      <c r="D89" s="62"/>
      <c r="G89" s="92" t="s">
        <v>105</v>
      </c>
      <c r="H89" s="66">
        <f>IFERROR(H88/12,"")</f>
        <v>2.2962962594601297</v>
      </c>
      <c r="M89" s="50"/>
    </row>
    <row r="90" spans="2:13" x14ac:dyDescent="0.2">
      <c r="B90" s="36" t="s">
        <v>103</v>
      </c>
      <c r="C90" s="54">
        <v>188</v>
      </c>
      <c r="D90" s="62"/>
      <c r="F90" s="64"/>
      <c r="G90" s="93"/>
      <c r="H90" s="68"/>
      <c r="M90" s="50"/>
    </row>
    <row r="91" spans="2:13" x14ac:dyDescent="0.2">
      <c r="C91"/>
      <c r="D91" s="62"/>
      <c r="G91" s="94"/>
    </row>
    <row r="92" spans="2:13" x14ac:dyDescent="0.2">
      <c r="B92" s="3" t="s">
        <v>39</v>
      </c>
      <c r="D92" s="62"/>
      <c r="G92" s="92"/>
      <c r="H92" s="66"/>
    </row>
    <row r="93" spans="2:13" x14ac:dyDescent="0.2">
      <c r="B93" s="36" t="s">
        <v>43</v>
      </c>
      <c r="C93" s="54">
        <v>3000</v>
      </c>
      <c r="D93" s="82" t="s">
        <v>113</v>
      </c>
      <c r="G93" s="92" t="s">
        <v>104</v>
      </c>
      <c r="H93" s="66">
        <f>IFERROR(NPER(C94/12,-C95,C93),"")</f>
        <v>41.631606337245429</v>
      </c>
    </row>
    <row r="94" spans="2:13" x14ac:dyDescent="0.2">
      <c r="B94" s="36" t="s">
        <v>102</v>
      </c>
      <c r="C94" s="56">
        <v>0.06</v>
      </c>
      <c r="D94" s="62"/>
      <c r="G94" s="92" t="s">
        <v>105</v>
      </c>
      <c r="H94" s="66">
        <f>IFERROR(H93/12,"")</f>
        <v>3.4693005281037856</v>
      </c>
    </row>
    <row r="95" spans="2:13" x14ac:dyDescent="0.2">
      <c r="B95" s="36" t="s">
        <v>103</v>
      </c>
      <c r="C95" s="54">
        <v>80</v>
      </c>
      <c r="D95" s="62"/>
      <c r="G95" s="65"/>
      <c r="H95" s="66"/>
    </row>
    <row r="96" spans="2:13" x14ac:dyDescent="0.2">
      <c r="D96" s="62"/>
      <c r="G96" s="65"/>
      <c r="H96" s="66"/>
    </row>
    <row r="97" spans="1:8" x14ac:dyDescent="0.2">
      <c r="B97" s="69" t="s">
        <v>151</v>
      </c>
      <c r="D97" s="62"/>
    </row>
    <row r="98" spans="1:8" x14ac:dyDescent="0.2">
      <c r="C98" s="62"/>
      <c r="E98" s="62"/>
      <c r="F98" s="62"/>
      <c r="G98" s="62"/>
    </row>
    <row r="99" spans="1:8" s="6" customFormat="1" x14ac:dyDescent="0.2">
      <c r="A99" s="28"/>
      <c r="B99" s="3" t="s">
        <v>119</v>
      </c>
      <c r="C99" s="62"/>
      <c r="E99" s="62"/>
      <c r="F99" s="62"/>
      <c r="G99" s="62"/>
      <c r="H99" s="3"/>
    </row>
    <row r="100" spans="1:8" s="6" customFormat="1" x14ac:dyDescent="0.2">
      <c r="A100" s="28"/>
      <c r="B100" s="80" t="s">
        <v>33</v>
      </c>
      <c r="C100" s="81" t="s">
        <v>2</v>
      </c>
      <c r="D100" s="82" t="s">
        <v>113</v>
      </c>
      <c r="E100" s="62"/>
      <c r="F100" s="62"/>
      <c r="G100" s="62"/>
      <c r="H100" s="3"/>
    </row>
    <row r="101" spans="1:8" s="6" customFormat="1" x14ac:dyDescent="0.2">
      <c r="A101" s="28"/>
      <c r="B101" s="36" t="s">
        <v>51</v>
      </c>
      <c r="C101" s="54">
        <v>80000</v>
      </c>
      <c r="D101" s="62" t="s">
        <v>122</v>
      </c>
      <c r="E101" s="62"/>
      <c r="F101" s="62"/>
      <c r="G101" s="62"/>
      <c r="H101" s="36"/>
    </row>
    <row r="102" spans="1:8" s="6" customFormat="1" x14ac:dyDescent="0.2">
      <c r="A102" s="28"/>
      <c r="B102" s="36" t="s">
        <v>7</v>
      </c>
      <c r="C102" s="55">
        <v>2027</v>
      </c>
      <c r="E102" s="62"/>
      <c r="F102" s="62"/>
      <c r="G102" s="62"/>
      <c r="H102" s="36"/>
    </row>
    <row r="103" spans="1:8" s="6" customFormat="1" x14ac:dyDescent="0.2">
      <c r="A103" s="28"/>
      <c r="B103" s="3"/>
      <c r="C103" s="62"/>
      <c r="E103" s="62"/>
      <c r="F103" s="62"/>
      <c r="G103" s="62"/>
      <c r="H103" s="36"/>
    </row>
    <row r="104" spans="1:8" s="6" customFormat="1" x14ac:dyDescent="0.2">
      <c r="A104" s="28"/>
      <c r="B104" s="3" t="s">
        <v>120</v>
      </c>
      <c r="C104" s="62"/>
      <c r="E104" s="62"/>
      <c r="F104" s="62"/>
      <c r="G104" s="62"/>
      <c r="H104" s="4"/>
    </row>
    <row r="105" spans="1:8" s="6" customFormat="1" x14ac:dyDescent="0.2">
      <c r="A105" s="28"/>
      <c r="B105" s="80" t="s">
        <v>33</v>
      </c>
      <c r="C105" s="81" t="s">
        <v>163</v>
      </c>
      <c r="D105" s="82" t="s">
        <v>113</v>
      </c>
      <c r="E105" s="62"/>
      <c r="F105" s="62"/>
      <c r="G105" s="62"/>
      <c r="H105" s="4"/>
    </row>
    <row r="106" spans="1:8" s="6" customFormat="1" x14ac:dyDescent="0.2">
      <c r="A106" s="28"/>
      <c r="B106" s="36" t="s">
        <v>51</v>
      </c>
      <c r="C106" s="54">
        <v>8000</v>
      </c>
      <c r="D106" s="62" t="s">
        <v>122</v>
      </c>
      <c r="E106" s="62"/>
      <c r="F106" s="62"/>
      <c r="G106" s="62"/>
      <c r="H106" s="4"/>
    </row>
    <row r="107" spans="1:8" s="6" customFormat="1" x14ac:dyDescent="0.2">
      <c r="A107" s="28"/>
      <c r="B107" s="36" t="s">
        <v>7</v>
      </c>
      <c r="C107" s="55">
        <v>2030</v>
      </c>
      <c r="E107" s="62"/>
      <c r="F107" s="62"/>
      <c r="G107" s="62"/>
      <c r="H107" s="4"/>
    </row>
    <row r="108" spans="1:8" s="6" customFormat="1" x14ac:dyDescent="0.2">
      <c r="A108" s="28"/>
      <c r="B108" s="3"/>
      <c r="C108" s="62"/>
      <c r="E108" s="62"/>
      <c r="F108" s="62"/>
      <c r="G108" s="62"/>
      <c r="H108" s="4"/>
    </row>
    <row r="109" spans="1:8" s="6" customFormat="1" x14ac:dyDescent="0.2">
      <c r="A109" s="28"/>
      <c r="B109" s="3" t="s">
        <v>121</v>
      </c>
      <c r="C109" s="62"/>
      <c r="E109" s="62"/>
      <c r="F109" s="62"/>
      <c r="G109" s="62"/>
      <c r="H109" s="4"/>
    </row>
    <row r="110" spans="1:8" s="6" customFormat="1" x14ac:dyDescent="0.2">
      <c r="A110" s="28"/>
      <c r="B110" s="80" t="s">
        <v>33</v>
      </c>
      <c r="C110" s="81" t="s">
        <v>164</v>
      </c>
      <c r="D110" s="82" t="s">
        <v>113</v>
      </c>
      <c r="E110" s="62"/>
      <c r="F110" s="62"/>
      <c r="G110" s="62"/>
      <c r="H110" s="4"/>
    </row>
    <row r="111" spans="1:8" s="6" customFormat="1" x14ac:dyDescent="0.2">
      <c r="A111" s="28"/>
      <c r="B111" s="36" t="s">
        <v>51</v>
      </c>
      <c r="C111" s="54">
        <v>25000</v>
      </c>
      <c r="D111" s="62" t="s">
        <v>122</v>
      </c>
      <c r="E111" s="62"/>
      <c r="F111" s="62"/>
      <c r="G111" s="62"/>
      <c r="H111" s="4"/>
    </row>
    <row r="112" spans="1:8" s="6" customFormat="1" x14ac:dyDescent="0.2">
      <c r="A112" s="28"/>
      <c r="B112" s="36" t="s">
        <v>7</v>
      </c>
      <c r="C112" s="55">
        <v>2033</v>
      </c>
      <c r="E112" s="62"/>
      <c r="F112" s="62"/>
      <c r="G112" s="62"/>
      <c r="H112" s="4"/>
    </row>
    <row r="113" spans="1:8" s="6" customFormat="1" x14ac:dyDescent="0.2">
      <c r="A113" s="28"/>
      <c r="B113" s="3"/>
      <c r="C113" s="62"/>
      <c r="E113" s="62"/>
      <c r="F113" s="62"/>
      <c r="G113" s="62"/>
      <c r="H113" s="4"/>
    </row>
    <row r="114" spans="1:8" x14ac:dyDescent="0.2">
      <c r="B114" s="69" t="s">
        <v>150</v>
      </c>
      <c r="C114" s="62"/>
      <c r="D114" s="6"/>
      <c r="E114" s="62"/>
      <c r="F114" s="62"/>
    </row>
    <row r="115" spans="1:8" x14ac:dyDescent="0.2">
      <c r="B115" s="80"/>
      <c r="C115" s="62"/>
      <c r="D115" s="6"/>
      <c r="E115" s="62"/>
      <c r="F115" s="62"/>
      <c r="G115" s="62"/>
    </row>
    <row r="116" spans="1:8" s="6" customFormat="1" x14ac:dyDescent="0.2">
      <c r="A116" s="28"/>
      <c r="B116" s="3" t="s">
        <v>123</v>
      </c>
      <c r="C116" s="62"/>
      <c r="E116" s="62"/>
      <c r="F116" s="62"/>
      <c r="G116" s="62"/>
      <c r="H116" s="4"/>
    </row>
    <row r="117" spans="1:8" s="6" customFormat="1" x14ac:dyDescent="0.2">
      <c r="A117" s="28"/>
      <c r="B117" s="80" t="s">
        <v>33</v>
      </c>
      <c r="C117" s="81" t="s">
        <v>165</v>
      </c>
      <c r="D117" s="82" t="s">
        <v>113</v>
      </c>
      <c r="E117" s="62"/>
      <c r="F117" s="62"/>
      <c r="G117" s="62"/>
      <c r="H117" s="4"/>
    </row>
    <row r="118" spans="1:8" s="6" customFormat="1" x14ac:dyDescent="0.2">
      <c r="A118" s="28"/>
      <c r="B118" s="36" t="s">
        <v>51</v>
      </c>
      <c r="C118" s="54">
        <v>40000</v>
      </c>
      <c r="D118" s="62" t="s">
        <v>122</v>
      </c>
      <c r="E118" s="1"/>
      <c r="F118" s="1"/>
      <c r="H118" s="4"/>
    </row>
    <row r="119" spans="1:8" s="6" customFormat="1" x14ac:dyDescent="0.2">
      <c r="A119" s="28"/>
      <c r="B119" s="36" t="s">
        <v>7</v>
      </c>
      <c r="C119" s="55">
        <v>2028</v>
      </c>
      <c r="G119" s="22"/>
      <c r="H119" s="4"/>
    </row>
    <row r="120" spans="1:8" s="6" customFormat="1" x14ac:dyDescent="0.2">
      <c r="A120" s="28"/>
      <c r="B120" s="3"/>
      <c r="C120" s="62"/>
      <c r="H120" s="4"/>
    </row>
    <row r="121" spans="1:8" s="6" customFormat="1" x14ac:dyDescent="0.2">
      <c r="A121" s="28"/>
      <c r="B121" s="3" t="s">
        <v>124</v>
      </c>
      <c r="C121" s="62"/>
      <c r="H121" s="4"/>
    </row>
    <row r="122" spans="1:8" s="6" customFormat="1" x14ac:dyDescent="0.2">
      <c r="A122" s="28"/>
      <c r="B122" s="80" t="s">
        <v>33</v>
      </c>
      <c r="C122" s="81" t="s">
        <v>166</v>
      </c>
      <c r="D122" s="82" t="s">
        <v>113</v>
      </c>
      <c r="E122" s="62"/>
      <c r="F122" s="62"/>
      <c r="H122" s="4"/>
    </row>
    <row r="123" spans="1:8" s="6" customFormat="1" x14ac:dyDescent="0.2">
      <c r="A123" s="28"/>
      <c r="B123" s="36" t="s">
        <v>51</v>
      </c>
      <c r="C123" s="54">
        <v>25000</v>
      </c>
      <c r="D123" s="62" t="s">
        <v>122</v>
      </c>
      <c r="H123" s="4"/>
    </row>
    <row r="124" spans="1:8" s="6" customFormat="1" x14ac:dyDescent="0.2">
      <c r="A124" s="28"/>
      <c r="B124" s="36" t="s">
        <v>7</v>
      </c>
      <c r="C124" s="55">
        <v>2035</v>
      </c>
      <c r="H124" s="4"/>
    </row>
    <row r="125" spans="1:8" x14ac:dyDescent="0.2">
      <c r="C125" s="62"/>
      <c r="D125" s="6"/>
    </row>
    <row r="126" spans="1:8" x14ac:dyDescent="0.2">
      <c r="B126" s="3" t="s">
        <v>125</v>
      </c>
      <c r="C126" s="62"/>
      <c r="D126" s="6"/>
    </row>
    <row r="127" spans="1:8" x14ac:dyDescent="0.2">
      <c r="B127" s="80" t="s">
        <v>33</v>
      </c>
      <c r="C127" s="81" t="s">
        <v>167</v>
      </c>
      <c r="D127" s="82" t="s">
        <v>113</v>
      </c>
      <c r="E127" s="62"/>
      <c r="F127" s="62"/>
    </row>
    <row r="128" spans="1:8" x14ac:dyDescent="0.2">
      <c r="B128" s="36" t="s">
        <v>51</v>
      </c>
      <c r="C128" s="54">
        <v>35000</v>
      </c>
      <c r="D128" s="62" t="s">
        <v>122</v>
      </c>
    </row>
    <row r="129" spans="1:15" x14ac:dyDescent="0.2">
      <c r="B129" s="36" t="s">
        <v>7</v>
      </c>
      <c r="C129" s="55">
        <v>2031</v>
      </c>
      <c r="D129" s="6"/>
    </row>
    <row r="130" spans="1:15" x14ac:dyDescent="0.2">
      <c r="B130" s="36"/>
      <c r="D130" s="62"/>
    </row>
    <row r="131" spans="1:15" x14ac:dyDescent="0.2">
      <c r="B131" s="36"/>
      <c r="D131" s="62"/>
    </row>
    <row r="132" spans="1:15" ht="19" x14ac:dyDescent="0.25">
      <c r="A132" s="98" t="s">
        <v>131</v>
      </c>
      <c r="B132" s="70"/>
      <c r="C132" s="71"/>
      <c r="D132" s="73"/>
      <c r="E132" s="71"/>
      <c r="F132" s="71"/>
      <c r="G132" s="71"/>
      <c r="H132" s="74"/>
    </row>
    <row r="133" spans="1:15" x14ac:dyDescent="0.2">
      <c r="D133" s="59"/>
    </row>
    <row r="134" spans="1:15" s="8" customFormat="1" x14ac:dyDescent="0.2">
      <c r="A134" s="28"/>
      <c r="B134" s="47" t="s">
        <v>44</v>
      </c>
      <c r="C134" s="54">
        <v>85</v>
      </c>
      <c r="D134" s="9"/>
      <c r="E134" s="9"/>
      <c r="F134" s="9"/>
      <c r="G134" s="9"/>
      <c r="O134" s="84">
        <v>85</v>
      </c>
    </row>
    <row r="135" spans="1:15" x14ac:dyDescent="0.2">
      <c r="B135" s="58"/>
      <c r="D135" s="59"/>
      <c r="O135" s="85"/>
    </row>
    <row r="136" spans="1:15" s="6" customFormat="1" x14ac:dyDescent="0.2">
      <c r="A136" s="28"/>
      <c r="B136" s="58" t="s">
        <v>65</v>
      </c>
      <c r="C136" s="1"/>
      <c r="O136" s="85"/>
    </row>
    <row r="137" spans="1:15" s="6" customFormat="1" x14ac:dyDescent="0.2">
      <c r="A137" s="4"/>
      <c r="B137" s="3" t="s">
        <v>85</v>
      </c>
      <c r="C137" s="57">
        <v>0</v>
      </c>
      <c r="D137" s="51" t="s">
        <v>5</v>
      </c>
      <c r="O137" s="86">
        <v>0</v>
      </c>
    </row>
    <row r="138" spans="1:15" s="6" customFormat="1" x14ac:dyDescent="0.2">
      <c r="A138" s="4"/>
      <c r="B138" s="3" t="s">
        <v>63</v>
      </c>
      <c r="C138" s="57">
        <v>-0.1</v>
      </c>
      <c r="D138" s="51" t="s">
        <v>5</v>
      </c>
      <c r="O138" s="86">
        <v>-0.1</v>
      </c>
    </row>
    <row r="139" spans="1:15" s="6" customFormat="1" x14ac:dyDescent="0.2">
      <c r="A139" s="5"/>
      <c r="B139" s="3" t="s">
        <v>64</v>
      </c>
      <c r="C139" s="57">
        <v>-0.2</v>
      </c>
      <c r="D139" s="51" t="s">
        <v>5</v>
      </c>
      <c r="O139" s="86">
        <v>-0.2</v>
      </c>
    </row>
    <row r="140" spans="1:15" x14ac:dyDescent="0.2">
      <c r="O140" s="85"/>
    </row>
    <row r="141" spans="1:15" x14ac:dyDescent="0.2">
      <c r="B141" s="58" t="s">
        <v>53</v>
      </c>
      <c r="C141" s="54">
        <v>5000</v>
      </c>
      <c r="D141" s="62" t="s">
        <v>122</v>
      </c>
      <c r="O141" s="84">
        <v>5000</v>
      </c>
    </row>
    <row r="142" spans="1:15" x14ac:dyDescent="0.2">
      <c r="B142" s="3" t="s">
        <v>138</v>
      </c>
      <c r="C142" s="54">
        <v>55</v>
      </c>
      <c r="D142" s="59"/>
      <c r="O142" s="84">
        <v>55</v>
      </c>
    </row>
    <row r="143" spans="1:15" x14ac:dyDescent="0.2">
      <c r="B143" s="3" t="s">
        <v>139</v>
      </c>
      <c r="C143" s="54">
        <v>60</v>
      </c>
      <c r="D143" s="59"/>
      <c r="O143" s="84">
        <v>60</v>
      </c>
    </row>
    <row r="144" spans="1:15" x14ac:dyDescent="0.2">
      <c r="D144" s="59"/>
      <c r="O144" s="85"/>
    </row>
    <row r="145" spans="1:15" s="8" customFormat="1" x14ac:dyDescent="0.2">
      <c r="A145" s="28"/>
      <c r="B145" s="47" t="s">
        <v>21</v>
      </c>
      <c r="C145" s="56">
        <v>2.5000000000000001E-2</v>
      </c>
      <c r="D145" s="9"/>
      <c r="E145" s="9"/>
      <c r="F145" s="9"/>
      <c r="G145" s="9"/>
      <c r="O145" s="87">
        <v>2.5000000000000001E-2</v>
      </c>
    </row>
    <row r="146" spans="1:15" x14ac:dyDescent="0.2">
      <c r="D146" s="62"/>
      <c r="O146" s="85"/>
    </row>
    <row r="147" spans="1:15" x14ac:dyDescent="0.2">
      <c r="B147" s="58" t="s">
        <v>136</v>
      </c>
      <c r="C147" s="56">
        <v>0.03</v>
      </c>
      <c r="D147" s="62" t="s">
        <v>111</v>
      </c>
      <c r="O147" s="87">
        <v>0.03</v>
      </c>
    </row>
    <row r="148" spans="1:15" x14ac:dyDescent="0.2">
      <c r="D148" s="62"/>
      <c r="O148" s="85"/>
    </row>
    <row r="149" spans="1:15" x14ac:dyDescent="0.2">
      <c r="B149" s="58" t="s">
        <v>132</v>
      </c>
      <c r="C149" s="75">
        <v>2.5000000000000001E-2</v>
      </c>
      <c r="D149" s="62" t="s">
        <v>111</v>
      </c>
      <c r="O149" s="88">
        <v>2.5000000000000001E-2</v>
      </c>
    </row>
    <row r="150" spans="1:15" x14ac:dyDescent="0.2">
      <c r="D150" s="62"/>
      <c r="O150" s="85"/>
    </row>
    <row r="151" spans="1:15" x14ac:dyDescent="0.2">
      <c r="B151" s="58" t="s">
        <v>133</v>
      </c>
      <c r="C151" s="76">
        <v>0.08</v>
      </c>
      <c r="D151" s="62" t="s">
        <v>111</v>
      </c>
      <c r="O151" s="89">
        <v>0.08</v>
      </c>
    </row>
    <row r="152" spans="1:15" x14ac:dyDescent="0.2">
      <c r="D152" s="62"/>
      <c r="O152" s="85"/>
    </row>
    <row r="153" spans="1:15" x14ac:dyDescent="0.2">
      <c r="B153" s="58" t="s">
        <v>135</v>
      </c>
      <c r="C153" s="57">
        <v>0.03</v>
      </c>
      <c r="D153" s="62" t="s">
        <v>111</v>
      </c>
      <c r="O153" s="86">
        <v>0.03</v>
      </c>
    </row>
    <row r="154" spans="1:15" x14ac:dyDescent="0.2">
      <c r="D154" s="62"/>
      <c r="O154" s="85"/>
    </row>
    <row r="155" spans="1:15" x14ac:dyDescent="0.2">
      <c r="B155" s="58" t="s">
        <v>134</v>
      </c>
      <c r="C155" s="57">
        <v>0.03</v>
      </c>
      <c r="O155" s="86">
        <v>0.03</v>
      </c>
    </row>
    <row r="156" spans="1:15" x14ac:dyDescent="0.2">
      <c r="D156" s="62"/>
      <c r="O156" s="85"/>
    </row>
    <row r="157" spans="1:15" ht="17" x14ac:dyDescent="0.2">
      <c r="B157" s="77" t="s">
        <v>137</v>
      </c>
      <c r="C157" s="54">
        <v>500</v>
      </c>
      <c r="D157" s="62" t="s">
        <v>143</v>
      </c>
      <c r="O157" s="84">
        <v>500</v>
      </c>
    </row>
    <row r="158" spans="1:15" x14ac:dyDescent="0.2">
      <c r="B158" s="58"/>
      <c r="D158" s="59"/>
      <c r="O158" s="85"/>
    </row>
    <row r="159" spans="1:15" x14ac:dyDescent="0.2">
      <c r="B159" t="s">
        <v>89</v>
      </c>
      <c r="C159" s="54">
        <v>50000</v>
      </c>
      <c r="D159" s="62" t="s">
        <v>142</v>
      </c>
      <c r="O159" s="84">
        <v>50000</v>
      </c>
    </row>
    <row r="160" spans="1:15" x14ac:dyDescent="0.2">
      <c r="D160" s="62"/>
      <c r="O160" s="85"/>
    </row>
    <row r="161" spans="1:16" x14ac:dyDescent="0.2">
      <c r="B161" t="s">
        <v>145</v>
      </c>
      <c r="C161" s="57">
        <v>0.05</v>
      </c>
      <c r="D161" s="62" t="s">
        <v>144</v>
      </c>
      <c r="O161" s="86">
        <v>0.05</v>
      </c>
    </row>
    <row r="162" spans="1:16" x14ac:dyDescent="0.2">
      <c r="B162" s="36"/>
      <c r="D162" s="6"/>
      <c r="O162" s="85"/>
    </row>
    <row r="163" spans="1:16" x14ac:dyDescent="0.2">
      <c r="B163" s="58" t="s">
        <v>146</v>
      </c>
      <c r="C163" s="57">
        <v>0.15</v>
      </c>
      <c r="D163" s="62" t="s">
        <v>147</v>
      </c>
      <c r="O163" s="86">
        <v>0.15</v>
      </c>
    </row>
    <row r="164" spans="1:16" s="8" customFormat="1" x14ac:dyDescent="0.2">
      <c r="A164" s="28"/>
      <c r="B164" s="14"/>
      <c r="C164" s="9"/>
      <c r="D164" s="9"/>
      <c r="E164" s="9"/>
      <c r="F164" s="9"/>
      <c r="G164" s="9"/>
      <c r="O164" s="85"/>
      <c r="P164" s="90"/>
    </row>
    <row r="165" spans="1:16" ht="17" x14ac:dyDescent="0.2">
      <c r="B165" s="77" t="s">
        <v>148</v>
      </c>
      <c r="C165" s="83">
        <f>SUM(C166:C168)</f>
        <v>6</v>
      </c>
      <c r="D165" s="23"/>
      <c r="O165" s="85"/>
      <c r="P165" s="90"/>
    </row>
    <row r="166" spans="1:16" x14ac:dyDescent="0.2">
      <c r="B166" s="96" t="str">
        <f>C50</f>
        <v>Sliema</v>
      </c>
      <c r="C166" s="97">
        <f>O166</f>
        <v>2</v>
      </c>
      <c r="D166" s="62" t="s">
        <v>149</v>
      </c>
      <c r="O166" s="90">
        <f>IF(P166&lt;=0,"",_xlfn.RANK.EQ(P166,$P$166:$P$168,1)-COUNTIF($P$166:$P$168,0))</f>
        <v>2</v>
      </c>
      <c r="P166" s="90">
        <f>C51</f>
        <v>200000</v>
      </c>
    </row>
    <row r="167" spans="1:16" x14ac:dyDescent="0.2">
      <c r="B167" s="96" t="str">
        <f>C55</f>
        <v>Gzira</v>
      </c>
      <c r="C167" s="97">
        <f>O167</f>
        <v>3</v>
      </c>
      <c r="D167" s="26"/>
      <c r="O167" s="90">
        <f>IF(P167&lt;=0,"",_xlfn.RANK.EQ(P167,$P$166:$P$168,1)-COUNTIF($P$166:$P$168,0))</f>
        <v>3</v>
      </c>
      <c r="P167" s="90">
        <f>C56</f>
        <v>350000</v>
      </c>
    </row>
    <row r="168" spans="1:16" x14ac:dyDescent="0.2">
      <c r="B168" s="96" t="str">
        <f>C60</f>
        <v>Hamrun</v>
      </c>
      <c r="C168" s="97">
        <f>O168</f>
        <v>1</v>
      </c>
      <c r="D168" s="26"/>
      <c r="O168" s="90">
        <f>IF(P168&lt;=0,"",_xlfn.RANK.EQ(P168,$P$166:$P$168,1)-COUNTIF($P$166:$P$168,0))</f>
        <v>1</v>
      </c>
      <c r="P168" s="90">
        <f>C61</f>
        <v>28000</v>
      </c>
    </row>
    <row r="169" spans="1:16" x14ac:dyDescent="0.2">
      <c r="B169" s="36"/>
      <c r="C169" s="6"/>
      <c r="P169" s="90"/>
    </row>
    <row r="170" spans="1:16" s="8" customFormat="1" x14ac:dyDescent="0.2">
      <c r="A170" s="28"/>
      <c r="B170" s="41"/>
      <c r="C170" s="78"/>
      <c r="D170" s="78"/>
      <c r="E170" s="78"/>
      <c r="F170" s="78"/>
      <c r="G170" s="78"/>
      <c r="H170" s="79"/>
      <c r="P170" s="90"/>
    </row>
    <row r="171" spans="1:16" s="8" customFormat="1" x14ac:dyDescent="0.2">
      <c r="A171" s="28"/>
      <c r="B171" s="52"/>
      <c r="C171" s="9"/>
      <c r="D171" s="9"/>
      <c r="E171" s="9"/>
      <c r="F171" s="9"/>
      <c r="G171" s="9"/>
      <c r="H171" s="10"/>
    </row>
    <row r="172" spans="1:16" s="8" customFormat="1" x14ac:dyDescent="0.2">
      <c r="A172" s="53"/>
      <c r="B172" s="52"/>
      <c r="C172" s="9"/>
      <c r="D172" s="9"/>
      <c r="E172" s="9"/>
      <c r="F172" s="9"/>
      <c r="G172" s="9"/>
      <c r="H172" s="10"/>
    </row>
    <row r="173" spans="1:16" s="8" customFormat="1" x14ac:dyDescent="0.2">
      <c r="A173" s="53"/>
      <c r="B173" s="52"/>
      <c r="C173" s="9"/>
      <c r="D173" s="9"/>
      <c r="E173" s="9"/>
      <c r="F173" s="9"/>
      <c r="G173" s="9"/>
      <c r="H173" s="10"/>
    </row>
    <row r="174" spans="1:16" s="8" customFormat="1" x14ac:dyDescent="0.2">
      <c r="A174" s="53"/>
      <c r="B174" s="14"/>
      <c r="C174" s="9"/>
      <c r="D174" s="9"/>
      <c r="E174" s="9"/>
      <c r="F174" s="9"/>
      <c r="G174" s="9"/>
      <c r="H174" s="10"/>
    </row>
    <row r="175" spans="1:16" s="8" customFormat="1" x14ac:dyDescent="0.2">
      <c r="A175" s="53"/>
      <c r="B175" s="14"/>
      <c r="C175" s="9"/>
      <c r="D175" s="9"/>
      <c r="E175" s="9"/>
      <c r="F175" s="9"/>
      <c r="G175" s="9"/>
      <c r="H175" s="10"/>
    </row>
    <row r="176" spans="1:16" s="8" customFormat="1" x14ac:dyDescent="0.2">
      <c r="A176" s="53"/>
      <c r="B176" s="14"/>
      <c r="C176" s="9"/>
      <c r="D176" s="9"/>
      <c r="E176" s="9"/>
      <c r="F176" s="9"/>
      <c r="G176" s="9"/>
      <c r="H176" s="10"/>
    </row>
    <row r="177" spans="1:8" s="8" customFormat="1" x14ac:dyDescent="0.2">
      <c r="A177" s="53"/>
      <c r="B177" s="14"/>
      <c r="C177" s="9"/>
      <c r="D177" s="9"/>
      <c r="E177" s="9"/>
      <c r="F177" s="9"/>
      <c r="G177" s="9"/>
      <c r="H177" s="10"/>
    </row>
    <row r="178" spans="1:8" s="8" customFormat="1" x14ac:dyDescent="0.2">
      <c r="A178" s="53"/>
      <c r="B178" s="14"/>
      <c r="C178" s="9"/>
      <c r="D178" s="9"/>
      <c r="E178" s="9"/>
      <c r="F178" s="9"/>
      <c r="G178" s="9"/>
      <c r="H178" s="10"/>
    </row>
    <row r="179" spans="1:8" s="8" customFormat="1" x14ac:dyDescent="0.2">
      <c r="A179" s="53"/>
      <c r="B179" s="52"/>
      <c r="C179" s="9"/>
      <c r="D179" s="9"/>
      <c r="E179" s="9"/>
      <c r="F179" s="9"/>
      <c r="G179" s="9"/>
      <c r="H179" s="10"/>
    </row>
    <row r="180" spans="1:8" s="8" customFormat="1" x14ac:dyDescent="0.2">
      <c r="A180" s="53"/>
      <c r="B180" s="52"/>
      <c r="C180" s="9"/>
      <c r="D180" s="9"/>
      <c r="E180" s="9"/>
      <c r="F180" s="9"/>
      <c r="G180" s="9"/>
      <c r="H180" s="10"/>
    </row>
  </sheetData>
  <phoneticPr fontId="9" type="noConversion"/>
  <conditionalFormatting sqref="A34:XFD35">
    <cfRule type="expression" dxfId="17" priority="17" stopIfTrue="1">
      <formula>$C$33=""</formula>
    </cfRule>
  </conditionalFormatting>
  <conditionalFormatting sqref="A39:XFD40">
    <cfRule type="expression" dxfId="16" priority="18">
      <formula>$C$38=""</formula>
    </cfRule>
  </conditionalFormatting>
  <conditionalFormatting sqref="A44:XFD45">
    <cfRule type="expression" dxfId="15" priority="16" stopIfTrue="1">
      <formula>$C$43=""</formula>
    </cfRule>
  </conditionalFormatting>
  <conditionalFormatting sqref="A23:XFD23">
    <cfRule type="expression" dxfId="14" priority="15" stopIfTrue="1">
      <formula>$C$12&gt;0</formula>
    </cfRule>
  </conditionalFormatting>
  <conditionalFormatting sqref="A66:XFD66 A77:XFD80 A166:O166 A51:XFD52 Q166:XFD166 P164:P170 C167:C168">
    <cfRule type="expression" dxfId="13" priority="12">
      <formula>$C$50=""</formula>
    </cfRule>
  </conditionalFormatting>
  <conditionalFormatting sqref="A62:XFD62 A68:XFD68 A88:XFD90 A168:O168 A61:B61 D61:XFD61 Q168:XFD168">
    <cfRule type="expression" dxfId="12" priority="13" stopIfTrue="1">
      <formula>$C$60=""</formula>
    </cfRule>
  </conditionalFormatting>
  <conditionalFormatting sqref="A57:XFD57 A67:XFD67 A83:XFD85 A167:O167 A56:B56 D56:XFD56 Q167:XFD167 C168">
    <cfRule type="expression" dxfId="11" priority="14" stopIfTrue="1">
      <formula>$C$55=""</formula>
    </cfRule>
  </conditionalFormatting>
  <conditionalFormatting sqref="A71:XFD71">
    <cfRule type="expression" dxfId="10" priority="11" stopIfTrue="1">
      <formula>$C$70=""</formula>
    </cfRule>
  </conditionalFormatting>
  <conditionalFormatting sqref="A94:XFD95">
    <cfRule type="expression" dxfId="9" priority="10" stopIfTrue="1">
      <formula>$C$93=0</formula>
    </cfRule>
  </conditionalFormatting>
  <conditionalFormatting sqref="A101:XFD102">
    <cfRule type="expression" dxfId="8" priority="7" stopIfTrue="1">
      <formula>$C$100=0</formula>
    </cfRule>
  </conditionalFormatting>
  <conditionalFormatting sqref="A106:XFD107">
    <cfRule type="expression" dxfId="7" priority="8">
      <formula>$C$105=0</formula>
    </cfRule>
  </conditionalFormatting>
  <conditionalFormatting sqref="A111:XFD112">
    <cfRule type="expression" dxfId="6" priority="9" stopIfTrue="1">
      <formula>$C$110=0</formula>
    </cfRule>
  </conditionalFormatting>
  <conditionalFormatting sqref="A118:XFD119">
    <cfRule type="expression" dxfId="5" priority="4">
      <formula>$C$117=0</formula>
    </cfRule>
  </conditionalFormatting>
  <conditionalFormatting sqref="A123:XFD124">
    <cfRule type="expression" dxfId="4" priority="5">
      <formula>$C$122=0</formula>
    </cfRule>
  </conditionalFormatting>
  <conditionalFormatting sqref="A128:XFD129">
    <cfRule type="expression" dxfId="3" priority="6" stopIfTrue="1">
      <formula>$C$127=0</formula>
    </cfRule>
  </conditionalFormatting>
  <conditionalFormatting sqref="Q165:XFD168 P164:P170 A165:O168">
    <cfRule type="expression" dxfId="2" priority="3" stopIfTrue="1">
      <formula>$C$165=0</formula>
    </cfRule>
  </conditionalFormatting>
  <conditionalFormatting sqref="C56">
    <cfRule type="expression" dxfId="1" priority="2">
      <formula>$C$50=""</formula>
    </cfRule>
  </conditionalFormatting>
  <conditionalFormatting sqref="C61">
    <cfRule type="expression" dxfId="0" priority="1">
      <formula>$C$50=""</formula>
    </cfRule>
  </conditionalFormatting>
  <dataValidations count="6">
    <dataValidation type="list" allowBlank="1" showInputMessage="1" showErrorMessage="1" sqref="C166:C168" xr:uid="{1C76E72A-4A74-9342-9CD6-96E686486B37}">
      <formula1>"0,1,2,3"</formula1>
    </dataValidation>
    <dataValidation type="whole" allowBlank="1" showInputMessage="1" showErrorMessage="1" sqref="C4" xr:uid="{CEBCBBEB-61E4-314B-B9D6-B93D3329E6F5}">
      <formula1>18</formula1>
      <formula2>100</formula2>
    </dataValidation>
    <dataValidation type="custom" allowBlank="1" showInputMessage="1" showErrorMessage="1" sqref="C134" xr:uid="{CFCAF581-183B-7347-97B6-0AC7B0FFD5E6}">
      <formula1>AND(C134&gt;C4,C134&lt;=100)</formula1>
    </dataValidation>
    <dataValidation type="decimal" allowBlank="1" showInputMessage="1" showErrorMessage="1" sqref="C147 O147" xr:uid="{A76CC167-ADB1-954D-BA8F-57DA6856622B}">
      <formula1>0</formula1>
      <formula2>0.5</formula2>
    </dataValidation>
    <dataValidation type="whole" allowBlank="1" showInputMessage="1" showErrorMessage="1" sqref="C35 C40 C45" xr:uid="{A3B04CD6-6A0C-9D4A-960A-19DFAACFBC84}">
      <formula1>1</formula1>
      <formula2>99</formula2>
    </dataValidation>
    <dataValidation type="custom" allowBlank="1" showInputMessage="1" showErrorMessage="1" sqref="O134" xr:uid="{78711C78-86C7-AC4E-B0D1-FA577F555676}">
      <formula1>AND(O134&gt;L4,O134&lt;=100)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AllMacros">
                <anchor moveWithCells="1" sizeWithCells="1">
                  <from>
                    <xdr:col>6</xdr:col>
                    <xdr:colOff>241300</xdr:colOff>
                    <xdr:row>167</xdr:row>
                    <xdr:rowOff>190500</xdr:rowOff>
                  </from>
                  <to>
                    <xdr:col>7</xdr:col>
                    <xdr:colOff>736600</xdr:colOff>
                    <xdr:row>169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learFFFFCC_OnInputs">
                <anchor moveWithCells="1" sizeWithCells="1">
                  <from>
                    <xdr:col>1</xdr:col>
                    <xdr:colOff>5245100</xdr:colOff>
                    <xdr:row>0</xdr:row>
                    <xdr:rowOff>114300</xdr:rowOff>
                  </from>
                  <to>
                    <xdr:col>2</xdr:col>
                    <xdr:colOff>749300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RunAllMacros">
                <anchor moveWithCells="1" sizeWithCells="1">
                  <from>
                    <xdr:col>6</xdr:col>
                    <xdr:colOff>12700</xdr:colOff>
                    <xdr:row>26</xdr:row>
                    <xdr:rowOff>38100</xdr:rowOff>
                  </from>
                  <to>
                    <xdr:col>7</xdr:col>
                    <xdr:colOff>711200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RunAllMacros">
                <anchor moveWithCells="1" sizeWithCells="1">
                  <from>
                    <xdr:col>6</xdr:col>
                    <xdr:colOff>228600</xdr:colOff>
                    <xdr:row>129</xdr:row>
                    <xdr:rowOff>76200</xdr:rowOff>
                  </from>
                  <to>
                    <xdr:col>7</xdr:col>
                    <xdr:colOff>723900</xdr:colOff>
                    <xdr:row>131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7" name="Button 31">
              <controlPr defaultSize="0" print="0" autoFill="0" autoPict="0" macro="[0]!RestoreDefaults">
                <anchor moveWithCells="1" sizeWithCells="1">
                  <from>
                    <xdr:col>6</xdr:col>
                    <xdr:colOff>241300</xdr:colOff>
                    <xdr:row>132</xdr:row>
                    <xdr:rowOff>76200</xdr:rowOff>
                  </from>
                  <to>
                    <xdr:col>7</xdr:col>
                    <xdr:colOff>736600</xdr:colOff>
                    <xdr:row>133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5D27E-B873-BD4B-AD92-1E837389CA3B}">
  <sheetPr codeName="Sheet2"/>
  <dimension ref="A1:AM340"/>
  <sheetViews>
    <sheetView zoomScale="120" zoomScaleNormal="120" workbookViewId="0">
      <pane xSplit="1" ySplit="3" topLeftCell="B41" activePane="bottomRight" state="frozen"/>
      <selection activeCell="G122" sqref="G122"/>
      <selection pane="topRight" activeCell="G122" sqref="G122"/>
      <selection pane="bottomLeft" activeCell="G122" sqref="G122"/>
      <selection pane="bottomRight" activeCell="E60" sqref="E60"/>
    </sheetView>
  </sheetViews>
  <sheetFormatPr baseColWidth="10" defaultRowHeight="16" x14ac:dyDescent="0.2"/>
  <cols>
    <col min="1" max="1" width="39.33203125" style="7" customWidth="1"/>
    <col min="2" max="2" width="4.33203125" style="16" customWidth="1"/>
    <col min="3" max="39" width="11.83203125" style="7" customWidth="1"/>
    <col min="40" max="2615" width="11.83203125" customWidth="1"/>
  </cols>
  <sheetData>
    <row r="1" spans="1:39" ht="19" customHeight="1" x14ac:dyDescent="0.2">
      <c r="B1" s="15">
        <v>0</v>
      </c>
      <c r="C1" s="7">
        <v>1</v>
      </c>
      <c r="D1" s="7">
        <f>C1+1</f>
        <v>2</v>
      </c>
      <c r="E1" s="7">
        <f t="shared" ref="E1:AM2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  <c r="AG1" s="7">
        <f t="shared" si="0"/>
        <v>31</v>
      </c>
      <c r="AH1" s="7">
        <f t="shared" si="0"/>
        <v>32</v>
      </c>
      <c r="AI1" s="7">
        <f t="shared" si="0"/>
        <v>33</v>
      </c>
      <c r="AJ1" s="7">
        <f t="shared" si="0"/>
        <v>34</v>
      </c>
      <c r="AK1" s="7">
        <f t="shared" si="0"/>
        <v>35</v>
      </c>
      <c r="AL1" s="7">
        <f t="shared" si="0"/>
        <v>36</v>
      </c>
      <c r="AM1" s="7">
        <f t="shared" si="0"/>
        <v>37</v>
      </c>
    </row>
    <row r="2" spans="1:39" x14ac:dyDescent="0.2">
      <c r="A2" s="21"/>
      <c r="B2" s="15" t="s">
        <v>7</v>
      </c>
      <c r="C2" s="7">
        <f ca="1">YEAR(TODAY())+1</f>
        <v>2027</v>
      </c>
      <c r="D2" s="7">
        <f ca="1">C2+1</f>
        <v>2028</v>
      </c>
      <c r="E2" s="7">
        <f t="shared" ca="1" si="0"/>
        <v>2029</v>
      </c>
      <c r="F2" s="7">
        <f t="shared" ca="1" si="0"/>
        <v>2030</v>
      </c>
      <c r="G2" s="7">
        <f t="shared" ca="1" si="0"/>
        <v>2031</v>
      </c>
      <c r="H2" s="7">
        <f t="shared" ca="1" si="0"/>
        <v>2032</v>
      </c>
      <c r="I2" s="7">
        <f t="shared" ca="1" si="0"/>
        <v>2033</v>
      </c>
      <c r="J2" s="7">
        <f t="shared" ca="1" si="0"/>
        <v>2034</v>
      </c>
      <c r="K2" s="7">
        <f t="shared" ca="1" si="0"/>
        <v>2035</v>
      </c>
      <c r="L2" s="7">
        <f t="shared" ca="1" si="0"/>
        <v>2036</v>
      </c>
      <c r="M2" s="7">
        <f t="shared" ca="1" si="0"/>
        <v>2037</v>
      </c>
      <c r="N2" s="7">
        <f t="shared" ca="1" si="0"/>
        <v>2038</v>
      </c>
      <c r="O2" s="7">
        <f t="shared" ca="1" si="0"/>
        <v>2039</v>
      </c>
      <c r="P2" s="7">
        <f t="shared" ca="1" si="0"/>
        <v>2040</v>
      </c>
      <c r="Q2" s="7">
        <f t="shared" ca="1" si="0"/>
        <v>2041</v>
      </c>
      <c r="R2" s="7">
        <f t="shared" ca="1" si="0"/>
        <v>2042</v>
      </c>
      <c r="S2" s="7">
        <f t="shared" ca="1" si="0"/>
        <v>2043</v>
      </c>
      <c r="T2" s="7">
        <f t="shared" ca="1" si="0"/>
        <v>2044</v>
      </c>
      <c r="U2" s="7">
        <f t="shared" ca="1" si="0"/>
        <v>2045</v>
      </c>
      <c r="V2" s="7">
        <f t="shared" ca="1" si="0"/>
        <v>2046</v>
      </c>
      <c r="W2" s="7">
        <f t="shared" ca="1" si="0"/>
        <v>2047</v>
      </c>
      <c r="X2" s="7">
        <f t="shared" ca="1" si="0"/>
        <v>2048</v>
      </c>
      <c r="Y2" s="7">
        <f t="shared" ca="1" si="0"/>
        <v>2049</v>
      </c>
      <c r="Z2" s="7">
        <f t="shared" ca="1" si="0"/>
        <v>2050</v>
      </c>
      <c r="AA2" s="7">
        <f t="shared" ca="1" si="0"/>
        <v>2051</v>
      </c>
      <c r="AB2" s="7">
        <f t="shared" ca="1" si="0"/>
        <v>2052</v>
      </c>
      <c r="AC2" s="7">
        <f t="shared" ca="1" si="0"/>
        <v>2053</v>
      </c>
      <c r="AD2" s="7">
        <f t="shared" ca="1" si="0"/>
        <v>2054</v>
      </c>
      <c r="AE2" s="7">
        <f t="shared" ca="1" si="0"/>
        <v>2055</v>
      </c>
      <c r="AF2" s="7">
        <f t="shared" ca="1" si="0"/>
        <v>2056</v>
      </c>
      <c r="AG2" s="7">
        <f t="shared" ca="1" si="0"/>
        <v>2057</v>
      </c>
      <c r="AH2" s="7">
        <f t="shared" ca="1" si="0"/>
        <v>2058</v>
      </c>
      <c r="AI2" s="7">
        <f t="shared" ca="1" si="0"/>
        <v>2059</v>
      </c>
      <c r="AJ2" s="7">
        <f t="shared" ca="1" si="0"/>
        <v>2060</v>
      </c>
      <c r="AK2" s="7">
        <f t="shared" ca="1" si="0"/>
        <v>2061</v>
      </c>
      <c r="AL2" s="7">
        <f t="shared" ca="1" si="0"/>
        <v>2062</v>
      </c>
      <c r="AM2" s="7">
        <f t="shared" ca="1" si="0"/>
        <v>2063</v>
      </c>
    </row>
    <row r="3" spans="1:39" x14ac:dyDescent="0.2">
      <c r="A3" s="48"/>
      <c r="B3" s="49">
        <f>Inputs!C19</f>
        <v>65</v>
      </c>
      <c r="C3" s="7">
        <f>Inputs!C4+1</f>
        <v>49</v>
      </c>
      <c r="D3" s="7">
        <f>C3+1</f>
        <v>50</v>
      </c>
      <c r="E3" s="7">
        <f t="shared" ref="E3:AM3" si="1">D3+1</f>
        <v>51</v>
      </c>
      <c r="F3" s="7">
        <f t="shared" si="1"/>
        <v>52</v>
      </c>
      <c r="G3" s="7">
        <f t="shared" si="1"/>
        <v>53</v>
      </c>
      <c r="H3" s="7">
        <f t="shared" si="1"/>
        <v>54</v>
      </c>
      <c r="I3" s="7">
        <f t="shared" si="1"/>
        <v>55</v>
      </c>
      <c r="J3" s="7">
        <f t="shared" si="1"/>
        <v>56</v>
      </c>
      <c r="K3" s="7">
        <f t="shared" si="1"/>
        <v>57</v>
      </c>
      <c r="L3" s="7">
        <f t="shared" si="1"/>
        <v>58</v>
      </c>
      <c r="M3" s="7">
        <f t="shared" si="1"/>
        <v>59</v>
      </c>
      <c r="N3" s="7">
        <f t="shared" si="1"/>
        <v>60</v>
      </c>
      <c r="O3" s="7">
        <f t="shared" si="1"/>
        <v>61</v>
      </c>
      <c r="P3" s="7">
        <f t="shared" si="1"/>
        <v>62</v>
      </c>
      <c r="Q3" s="7">
        <f t="shared" si="1"/>
        <v>63</v>
      </c>
      <c r="R3" s="7">
        <f t="shared" si="1"/>
        <v>64</v>
      </c>
      <c r="S3" s="7">
        <f t="shared" si="1"/>
        <v>65</v>
      </c>
      <c r="T3" s="7">
        <f t="shared" si="1"/>
        <v>66</v>
      </c>
      <c r="U3" s="7">
        <f t="shared" si="1"/>
        <v>67</v>
      </c>
      <c r="V3" s="7">
        <f t="shared" si="1"/>
        <v>68</v>
      </c>
      <c r="W3" s="7">
        <f t="shared" si="1"/>
        <v>69</v>
      </c>
      <c r="X3" s="7">
        <f t="shared" si="1"/>
        <v>70</v>
      </c>
      <c r="Y3" s="7">
        <f t="shared" si="1"/>
        <v>71</v>
      </c>
      <c r="Z3" s="7">
        <f t="shared" si="1"/>
        <v>72</v>
      </c>
      <c r="AA3" s="7">
        <f t="shared" si="1"/>
        <v>73</v>
      </c>
      <c r="AB3" s="7">
        <f t="shared" si="1"/>
        <v>74</v>
      </c>
      <c r="AC3" s="7">
        <f t="shared" si="1"/>
        <v>75</v>
      </c>
      <c r="AD3" s="7">
        <f t="shared" si="1"/>
        <v>76</v>
      </c>
      <c r="AE3" s="7">
        <f t="shared" si="1"/>
        <v>77</v>
      </c>
      <c r="AF3" s="7">
        <f t="shared" si="1"/>
        <v>78</v>
      </c>
      <c r="AG3" s="7">
        <f t="shared" si="1"/>
        <v>79</v>
      </c>
      <c r="AH3" s="7">
        <f t="shared" si="1"/>
        <v>80</v>
      </c>
      <c r="AI3" s="7">
        <f t="shared" si="1"/>
        <v>81</v>
      </c>
      <c r="AJ3" s="7">
        <f t="shared" si="1"/>
        <v>82</v>
      </c>
      <c r="AK3" s="7">
        <f t="shared" si="1"/>
        <v>83</v>
      </c>
      <c r="AL3" s="7">
        <f t="shared" si="1"/>
        <v>84</v>
      </c>
      <c r="AM3" s="7">
        <f t="shared" si="1"/>
        <v>85</v>
      </c>
    </row>
    <row r="4" spans="1:39" ht="19" x14ac:dyDescent="0.25">
      <c r="A4" s="25" t="s">
        <v>18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</row>
    <row r="5" spans="1:39" x14ac:dyDescent="0.2">
      <c r="A5" s="14" t="s">
        <v>52</v>
      </c>
      <c r="B5" s="18"/>
      <c r="C5" s="17">
        <f>IF(AND(Inputs!$C$19&gt;C3,$B$3&gt;C3),Inputs!$C$6*(1+sincr)^B1,0)</f>
        <v>200000</v>
      </c>
      <c r="D5" s="17">
        <f>IF(AND(Inputs!$C$19&gt;D3,$B$3&gt;D3),Inputs!$C$6*(1+sincr)^C1,0)</f>
        <v>206000</v>
      </c>
      <c r="E5" s="17">
        <f>IF(AND(Inputs!$C$19&gt;E3,$B$3&gt;E3),Inputs!$C$6*(1+sincr)^D1,0)</f>
        <v>212180</v>
      </c>
      <c r="F5" s="17">
        <f>IF(AND(Inputs!$C$19&gt;F3,$B$3&gt;F3),Inputs!$C$6*(1+sincr)^E1,0)</f>
        <v>218545.4</v>
      </c>
      <c r="G5" s="17">
        <f>IF(AND(Inputs!$C$19&gt;G3,$B$3&gt;G3),Inputs!$C$6*(1+sincr)^F1,0)</f>
        <v>225101.76199999999</v>
      </c>
      <c r="H5" s="17">
        <f>IF(AND(Inputs!$C$19&gt;H3,$B$3&gt;H3),Inputs!$C$6*(1+sincr)^G1,0)</f>
        <v>231854.81485999995</v>
      </c>
      <c r="I5" s="17">
        <f>IF(AND(Inputs!$C$19&gt;I3,$B$3&gt;I3),Inputs!$C$6*(1+sincr)^H1,0)</f>
        <v>238810.45930579997</v>
      </c>
      <c r="J5" s="17">
        <f>IF(AND(Inputs!$C$19&gt;J3,$B$3&gt;J3),Inputs!$C$6*(1+sincr)^I1,0)</f>
        <v>245974.773084974</v>
      </c>
      <c r="K5" s="17">
        <f>IF(AND(Inputs!$C$19&gt;K3,$B$3&gt;K3),Inputs!$C$6*(1+sincr)^J1,0)</f>
        <v>253354.01627752319</v>
      </c>
      <c r="L5" s="17">
        <f>IF(AND(Inputs!$C$19&gt;L3,$B$3&gt;L3),Inputs!$C$6*(1+sincr)^K1,0)</f>
        <v>260954.6367658489</v>
      </c>
      <c r="M5" s="17">
        <f>IF(AND(Inputs!$C$19&gt;M3,$B$3&gt;M3),Inputs!$C$6*(1+sincr)^L1,0)</f>
        <v>268783.27586882433</v>
      </c>
      <c r="N5" s="17">
        <f>IF(AND(Inputs!$C$19&gt;N3,$B$3&gt;N3),Inputs!$C$6*(1+sincr)^M1,0)</f>
        <v>276846.77414488909</v>
      </c>
      <c r="O5" s="17">
        <f>IF(AND(Inputs!$C$19&gt;O3,$B$3&gt;O3),Inputs!$C$6*(1+sincr)^N1,0)</f>
        <v>285152.17736923572</v>
      </c>
      <c r="P5" s="17">
        <f>IF(AND(Inputs!$C$19&gt;P3,$B$3&gt;P3),Inputs!$C$6*(1+sincr)^O1,0)</f>
        <v>293706.74269031279</v>
      </c>
      <c r="Q5" s="17">
        <f>IF(AND(Inputs!$C$19&gt;Q3,$B$3&gt;Q3),Inputs!$C$6*(1+sincr)^P1,0)</f>
        <v>302517.9449710222</v>
      </c>
      <c r="R5" s="17">
        <f>IF(AND(Inputs!$C$19&gt;R3,$B$3&gt;R3),Inputs!$C$6*(1+sincr)^Q1,0)</f>
        <v>311593.48332015291</v>
      </c>
      <c r="S5" s="17">
        <f>IF(AND(Inputs!$C$19&gt;S3,$B$3&gt;S3),Inputs!$C$6*(1+sincr)^R1,0)</f>
        <v>0</v>
      </c>
      <c r="T5" s="17">
        <f>IF(AND(Inputs!$C$19&gt;T3,$B$3&gt;T3),Inputs!$C$6*(1+sincr)^S1,0)</f>
        <v>0</v>
      </c>
      <c r="U5" s="17">
        <f>IF(AND(Inputs!$C$19&gt;U3,$B$3&gt;U3),Inputs!$C$6*(1+sincr)^T1,0)</f>
        <v>0</v>
      </c>
      <c r="V5" s="17">
        <f>IF(AND(Inputs!$C$19&gt;V3,$B$3&gt;V3),Inputs!$C$6*(1+sincr)^U1,0)</f>
        <v>0</v>
      </c>
      <c r="W5" s="17">
        <f>IF(AND(Inputs!$C$19&gt;W3,$B$3&gt;W3),Inputs!$C$6*(1+sincr)^V1,0)</f>
        <v>0</v>
      </c>
      <c r="X5" s="17">
        <f>IF(AND(Inputs!$C$19&gt;X3,$B$3&gt;X3),Inputs!$C$6*(1+sincr)^W1,0)</f>
        <v>0</v>
      </c>
      <c r="Y5" s="17">
        <f>IF(AND(Inputs!$C$19&gt;Y3,$B$3&gt;Y3),Inputs!$C$6*(1+sincr)^X1,0)</f>
        <v>0</v>
      </c>
      <c r="Z5" s="17">
        <f>IF(AND(Inputs!$C$19&gt;Z3,$B$3&gt;Z3),Inputs!$C$6*(1+sincr)^Y1,0)</f>
        <v>0</v>
      </c>
      <c r="AA5" s="17">
        <f>IF(AND(Inputs!$C$19&gt;AA3,$B$3&gt;AA3),Inputs!$C$6*(1+sincr)^Z1,0)</f>
        <v>0</v>
      </c>
      <c r="AB5" s="17">
        <f>IF(AND(Inputs!$C$19&gt;AB3,$B$3&gt;AB3),Inputs!$C$6*(1+sincr)^AA1,0)</f>
        <v>0</v>
      </c>
      <c r="AC5" s="17">
        <f>IF(AND(Inputs!$C$19&gt;AC3,$B$3&gt;AC3),Inputs!$C$6*(1+sincr)^AB1,0)</f>
        <v>0</v>
      </c>
      <c r="AD5" s="17">
        <f>IF(AND(Inputs!$C$19&gt;AD3,$B$3&gt;AD3),Inputs!$C$6*(1+sincr)^AC1,0)</f>
        <v>0</v>
      </c>
      <c r="AE5" s="17">
        <f>IF(AND(Inputs!$C$19&gt;AE3,$B$3&gt;AE3),Inputs!$C$6*(1+sincr)^AD1,0)</f>
        <v>0</v>
      </c>
      <c r="AF5" s="17">
        <f>IF(AND(Inputs!$C$19&gt;AF3,$B$3&gt;AF3),Inputs!$C$6*(1+sincr)^AE1,0)</f>
        <v>0</v>
      </c>
      <c r="AG5" s="17">
        <f>IF(AND(Inputs!$C$19&gt;AG3,$B$3&gt;AG3),Inputs!$C$6*(1+sincr)^AF1,0)</f>
        <v>0</v>
      </c>
      <c r="AH5" s="17">
        <f>IF(AND(Inputs!$C$19&gt;AH3,$B$3&gt;AH3),Inputs!$C$6*(1+sincr)^AG1,0)</f>
        <v>0</v>
      </c>
      <c r="AI5" s="17">
        <f>IF(AND(Inputs!$C$19&gt;AI3,$B$3&gt;AI3),Inputs!$C$6*(1+sincr)^AH1,0)</f>
        <v>0</v>
      </c>
      <c r="AJ5" s="17">
        <f>IF(AND(Inputs!$C$19&gt;AJ3,$B$3&gt;AJ3),Inputs!$C$6*(1+sincr)^AI1,0)</f>
        <v>0</v>
      </c>
      <c r="AK5" s="17">
        <f>IF(AND(Inputs!$C$19&gt;AK3,$B$3&gt;AK3),Inputs!$C$6*(1+sincr)^AJ1,0)</f>
        <v>0</v>
      </c>
      <c r="AL5" s="17">
        <f>IF(AND(Inputs!$C$19&gt;AL3,$B$3&gt;AL3),Inputs!$C$6*(1+sincr)^AK1,0)</f>
        <v>0</v>
      </c>
      <c r="AM5" s="17">
        <f>IF(AND(Inputs!$C$19&gt;AM3,$B$3&gt;AM3),Inputs!$C$6*(1+sincr)^AL1,0)</f>
        <v>0</v>
      </c>
    </row>
    <row r="6" spans="1:39" x14ac:dyDescent="0.2">
      <c r="A6" s="14" t="s">
        <v>15</v>
      </c>
      <c r="B6" s="18"/>
      <c r="C6" s="17">
        <f>IF(C$3&lt;=Inputs!$C$71,Inputs!$C$70,0)*(1+inf)^B$1</f>
        <v>4800</v>
      </c>
      <c r="D6" s="17">
        <f>IF(D$3&lt;=Inputs!$C$71,Inputs!$C$70,0)*(1+inf)^C$1</f>
        <v>4920</v>
      </c>
      <c r="E6" s="17">
        <f>IF(E$3&lt;=Inputs!$C$71,Inputs!$C$70,0)*(1+inf)^D$1</f>
        <v>5043</v>
      </c>
      <c r="F6" s="17">
        <f>IF(F$3&lt;=Inputs!$C$71,Inputs!$C$70,0)*(1+inf)^E$1</f>
        <v>5169.0749999999998</v>
      </c>
      <c r="G6" s="17">
        <f>IF(G$3&lt;=Inputs!$C$71,Inputs!$C$70,0)*(1+inf)^F$1</f>
        <v>5298.3018749999992</v>
      </c>
      <c r="H6" s="17">
        <f>IF(H$3&lt;=Inputs!$C$71,Inputs!$C$70,0)*(1+inf)^G$1</f>
        <v>5430.7594218749982</v>
      </c>
      <c r="I6" s="17">
        <f>IF(I$3&lt;=Inputs!$C$71,Inputs!$C$70,0)*(1+inf)^H$1</f>
        <v>5566.5284074218725</v>
      </c>
      <c r="J6" s="17">
        <f>IF(J$3&lt;=Inputs!$C$71,Inputs!$C$70,0)*(1+inf)^I$1</f>
        <v>5705.6916176074201</v>
      </c>
      <c r="K6" s="17">
        <f>IF(K$3&lt;=Inputs!$C$71,Inputs!$C$70,0)*(1+inf)^J$1</f>
        <v>5848.3339080476053</v>
      </c>
      <c r="L6" s="17">
        <f>IF(L$3&lt;=Inputs!$C$71,Inputs!$C$70,0)*(1+inf)^K$1</f>
        <v>5994.5422557487937</v>
      </c>
      <c r="M6" s="17">
        <f>IF(M$3&lt;=Inputs!$C$71,Inputs!$C$70,0)*(1+inf)^L$1</f>
        <v>6144.4058121425142</v>
      </c>
      <c r="N6" s="17">
        <f>IF(N$3&lt;=Inputs!$C$71,Inputs!$C$70,0)*(1+inf)^M$1</f>
        <v>0</v>
      </c>
      <c r="O6" s="17">
        <f>IF(O$3&lt;=Inputs!$C$71,Inputs!$C$70,0)*(1+inf)^N$1</f>
        <v>0</v>
      </c>
      <c r="P6" s="17">
        <f>IF(P$3&lt;=Inputs!$C$71,Inputs!$C$70,0)*(1+inf)^O$1</f>
        <v>0</v>
      </c>
      <c r="Q6" s="17">
        <f>IF(Q$3&lt;=Inputs!$C$71,Inputs!$C$70,0)*(1+inf)^P$1</f>
        <v>0</v>
      </c>
      <c r="R6" s="17">
        <f>IF(R$3&lt;=Inputs!$C$71,Inputs!$C$70,0)*(1+inf)^Q$1</f>
        <v>0</v>
      </c>
      <c r="S6" s="17">
        <f>IF(S$3&lt;=Inputs!$C$71,Inputs!$C$70,0)*(1+inf)^R$1</f>
        <v>0</v>
      </c>
      <c r="T6" s="17">
        <f>IF(T$3&lt;=Inputs!$C$71,Inputs!$C$70,0)*(1+inf)^S$1</f>
        <v>0</v>
      </c>
      <c r="U6" s="17">
        <f>IF(U$3&lt;=Inputs!$C$71,Inputs!$C$70,0)*(1+inf)^T$1</f>
        <v>0</v>
      </c>
      <c r="V6" s="17">
        <f>IF(V$3&lt;=Inputs!$C$71,Inputs!$C$70,0)*(1+inf)^U$1</f>
        <v>0</v>
      </c>
      <c r="W6" s="17">
        <f>IF(W$3&lt;=Inputs!$C$71,Inputs!$C$70,0)*(1+inf)^V$1</f>
        <v>0</v>
      </c>
      <c r="X6" s="17">
        <f>IF(X$3&lt;=Inputs!$C$71,Inputs!$C$70,0)*(1+inf)^W$1</f>
        <v>0</v>
      </c>
      <c r="Y6" s="17">
        <f>IF(Y$3&lt;=Inputs!$C$71,Inputs!$C$70,0)*(1+inf)^X$1</f>
        <v>0</v>
      </c>
      <c r="Z6" s="17">
        <f>IF(Z$3&lt;=Inputs!$C$71,Inputs!$C$70,0)*(1+inf)^Y$1</f>
        <v>0</v>
      </c>
      <c r="AA6" s="17">
        <f>IF(AA$3&lt;=Inputs!$C$71,Inputs!$C$70,0)*(1+inf)^Z$1</f>
        <v>0</v>
      </c>
      <c r="AB6" s="17">
        <f>IF(AB$3&lt;=Inputs!$C$71,Inputs!$C$70,0)*(1+inf)^AA$1</f>
        <v>0</v>
      </c>
      <c r="AC6" s="17">
        <f>IF(AC$3&lt;=Inputs!$C$71,Inputs!$C$70,0)*(1+inf)^AB$1</f>
        <v>0</v>
      </c>
      <c r="AD6" s="17">
        <f>IF(AD$3&lt;=Inputs!$C$71,Inputs!$C$70,0)*(1+inf)^AC$1</f>
        <v>0</v>
      </c>
      <c r="AE6" s="17">
        <f>IF(AE$3&lt;=Inputs!$C$71,Inputs!$C$70,0)*(1+inf)^AD$1</f>
        <v>0</v>
      </c>
      <c r="AF6" s="17">
        <f>IF(AF$3&lt;=Inputs!$C$71,Inputs!$C$70,0)*(1+inf)^AE$1</f>
        <v>0</v>
      </c>
      <c r="AG6" s="17">
        <f>IF(AG$3&lt;=Inputs!$C$71,Inputs!$C$70,0)*(1+inf)^AF$1</f>
        <v>0</v>
      </c>
      <c r="AH6" s="17">
        <f>IF(AH$3&lt;=Inputs!$C$71,Inputs!$C$70,0)*(1+inf)^AG$1</f>
        <v>0</v>
      </c>
      <c r="AI6" s="17">
        <f>IF(AI$3&lt;=Inputs!$C$71,Inputs!$C$70,0)*(1+inf)^AH$1</f>
        <v>0</v>
      </c>
      <c r="AJ6" s="17">
        <f>IF(AJ$3&lt;=Inputs!$C$71,Inputs!$C$70,0)*(1+inf)^AI$1</f>
        <v>0</v>
      </c>
      <c r="AK6" s="17">
        <f>IF(AK$3&lt;=Inputs!$C$71,Inputs!$C$70,0)*(1+inf)^AJ$1</f>
        <v>0</v>
      </c>
      <c r="AL6" s="17">
        <f>IF(AL$3&lt;=Inputs!$C$71,Inputs!$C$70,0)*(1+inf)^AK$1</f>
        <v>0</v>
      </c>
      <c r="AM6" s="17">
        <f>IF(AM$3&lt;=Inputs!$C$71,Inputs!$C$70,0)*(1+inf)^AL$1</f>
        <v>0</v>
      </c>
    </row>
    <row r="7" spans="1:39" x14ac:dyDescent="0.2">
      <c r="A7" s="14" t="s">
        <v>81</v>
      </c>
      <c r="B7" s="18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x14ac:dyDescent="0.2">
      <c r="A8" s="13" t="str">
        <f>TEXT(Inputs!$C$50,"")</f>
        <v>Sliema</v>
      </c>
      <c r="C8" s="17">
        <f>Inputs!C66</f>
        <v>12000</v>
      </c>
      <c r="D8" s="17">
        <f t="shared" ref="D8:AM8" si="2">C8*(1+rinc)</f>
        <v>12360</v>
      </c>
      <c r="E8" s="17">
        <f t="shared" si="2"/>
        <v>12730.800000000001</v>
      </c>
      <c r="F8" s="17">
        <f t="shared" si="2"/>
        <v>13112.724000000002</v>
      </c>
      <c r="G8" s="17">
        <f t="shared" si="2"/>
        <v>13506.105720000003</v>
      </c>
      <c r="H8" s="17">
        <f t="shared" si="2"/>
        <v>13911.288891600003</v>
      </c>
      <c r="I8" s="17">
        <f t="shared" si="2"/>
        <v>14328.627558348004</v>
      </c>
      <c r="J8" s="17">
        <f t="shared" si="2"/>
        <v>14758.486385098444</v>
      </c>
      <c r="K8" s="17">
        <f t="shared" si="2"/>
        <v>15201.240976651397</v>
      </c>
      <c r="L8" s="17">
        <f t="shared" si="2"/>
        <v>15657.278205950939</v>
      </c>
      <c r="M8" s="17">
        <f t="shared" si="2"/>
        <v>16126.996552129467</v>
      </c>
      <c r="N8" s="17">
        <f t="shared" si="2"/>
        <v>16610.806448693351</v>
      </c>
      <c r="O8" s="17">
        <f t="shared" si="2"/>
        <v>17109.130642154152</v>
      </c>
      <c r="P8" s="17">
        <f t="shared" si="2"/>
        <v>17622.404561418778</v>
      </c>
      <c r="Q8" s="17">
        <f t="shared" si="2"/>
        <v>18151.076698261342</v>
      </c>
      <c r="R8" s="17">
        <f t="shared" si="2"/>
        <v>18695.608999209184</v>
      </c>
      <c r="S8" s="17">
        <f t="shared" si="2"/>
        <v>19256.47726918546</v>
      </c>
      <c r="T8" s="17">
        <f t="shared" si="2"/>
        <v>19834.171587261026</v>
      </c>
      <c r="U8" s="17">
        <f t="shared" si="2"/>
        <v>20429.196734878857</v>
      </c>
      <c r="V8" s="17">
        <f t="shared" si="2"/>
        <v>21042.072636925222</v>
      </c>
      <c r="W8" s="17">
        <f t="shared" si="2"/>
        <v>21673.334816032981</v>
      </c>
      <c r="X8" s="17">
        <f t="shared" si="2"/>
        <v>22323.53486051397</v>
      </c>
      <c r="Y8" s="17">
        <f t="shared" si="2"/>
        <v>22993.240906329389</v>
      </c>
      <c r="Z8" s="17">
        <f t="shared" si="2"/>
        <v>23683.038133519272</v>
      </c>
      <c r="AA8" s="17">
        <f t="shared" si="2"/>
        <v>24393.529277524853</v>
      </c>
      <c r="AB8" s="17">
        <f t="shared" si="2"/>
        <v>25125.3351558506</v>
      </c>
      <c r="AC8" s="17">
        <f t="shared" si="2"/>
        <v>25879.09521052612</v>
      </c>
      <c r="AD8" s="17">
        <f t="shared" si="2"/>
        <v>26655.468066841906</v>
      </c>
      <c r="AE8" s="17">
        <f t="shared" si="2"/>
        <v>27455.132108847163</v>
      </c>
      <c r="AF8" s="17">
        <f t="shared" si="2"/>
        <v>28278.78607211258</v>
      </c>
      <c r="AG8" s="17">
        <f t="shared" si="2"/>
        <v>29127.14965427596</v>
      </c>
      <c r="AH8" s="17">
        <f t="shared" si="2"/>
        <v>30000.964143904239</v>
      </c>
      <c r="AI8" s="17">
        <f t="shared" si="2"/>
        <v>30900.993068221367</v>
      </c>
      <c r="AJ8" s="17">
        <f t="shared" si="2"/>
        <v>31828.022860268007</v>
      </c>
      <c r="AK8" s="17">
        <f t="shared" si="2"/>
        <v>32782.863546076049</v>
      </c>
      <c r="AL8" s="17">
        <f t="shared" si="2"/>
        <v>33766.349452458329</v>
      </c>
      <c r="AM8" s="17">
        <f t="shared" si="2"/>
        <v>34779.339936032084</v>
      </c>
    </row>
    <row r="9" spans="1:39" x14ac:dyDescent="0.2">
      <c r="A9" s="13" t="str">
        <f>TEXT(Inputs!$C$55,"")</f>
        <v>Gzira</v>
      </c>
      <c r="C9" s="17">
        <f>Inputs!C67</f>
        <v>20000</v>
      </c>
      <c r="D9" s="17">
        <f t="shared" ref="D9:AM9" si="3">C9*(1+rinc)</f>
        <v>20600</v>
      </c>
      <c r="E9" s="17">
        <f t="shared" si="3"/>
        <v>21218</v>
      </c>
      <c r="F9" s="17">
        <f t="shared" si="3"/>
        <v>21854.54</v>
      </c>
      <c r="G9" s="17">
        <f t="shared" si="3"/>
        <v>22510.176200000002</v>
      </c>
      <c r="H9" s="17">
        <f t="shared" si="3"/>
        <v>23185.481486000001</v>
      </c>
      <c r="I9" s="17">
        <f t="shared" si="3"/>
        <v>23881.04593058</v>
      </c>
      <c r="J9" s="17">
        <f t="shared" si="3"/>
        <v>24597.4773084974</v>
      </c>
      <c r="K9" s="17">
        <f t="shared" si="3"/>
        <v>25335.401627752322</v>
      </c>
      <c r="L9" s="17">
        <f t="shared" si="3"/>
        <v>26095.463676584892</v>
      </c>
      <c r="M9" s="17">
        <f t="shared" si="3"/>
        <v>26878.327586882438</v>
      </c>
      <c r="N9" s="17">
        <f t="shared" si="3"/>
        <v>27684.677414488913</v>
      </c>
      <c r="O9" s="17">
        <f t="shared" si="3"/>
        <v>28515.21773692358</v>
      </c>
      <c r="P9" s="17">
        <f t="shared" si="3"/>
        <v>29370.674269031289</v>
      </c>
      <c r="Q9" s="17">
        <f t="shared" si="3"/>
        <v>30251.79449710223</v>
      </c>
      <c r="R9" s="17">
        <f t="shared" si="3"/>
        <v>31159.348332015299</v>
      </c>
      <c r="S9" s="17">
        <f t="shared" si="3"/>
        <v>32094.12878197576</v>
      </c>
      <c r="T9" s="17">
        <f t="shared" si="3"/>
        <v>33056.952645435034</v>
      </c>
      <c r="U9" s="17">
        <f t="shared" si="3"/>
        <v>34048.661224798088</v>
      </c>
      <c r="V9" s="17">
        <f t="shared" si="3"/>
        <v>35070.121061542035</v>
      </c>
      <c r="W9" s="17">
        <f t="shared" si="3"/>
        <v>36122.2246933883</v>
      </c>
      <c r="X9" s="17">
        <f t="shared" si="3"/>
        <v>37205.891434189951</v>
      </c>
      <c r="Y9" s="17">
        <f t="shared" si="3"/>
        <v>38322.068177215653</v>
      </c>
      <c r="Z9" s="17">
        <f t="shared" si="3"/>
        <v>39471.730222532125</v>
      </c>
      <c r="AA9" s="17">
        <f t="shared" si="3"/>
        <v>40655.88212920809</v>
      </c>
      <c r="AB9" s="17">
        <f t="shared" si="3"/>
        <v>41875.558593084337</v>
      </c>
      <c r="AC9" s="17">
        <f t="shared" si="3"/>
        <v>43131.825350876868</v>
      </c>
      <c r="AD9" s="17">
        <f t="shared" si="3"/>
        <v>44425.780111403175</v>
      </c>
      <c r="AE9" s="17">
        <f t="shared" si="3"/>
        <v>45758.553514745268</v>
      </c>
      <c r="AF9" s="17">
        <f t="shared" si="3"/>
        <v>47131.310120187627</v>
      </c>
      <c r="AG9" s="17">
        <f t="shared" si="3"/>
        <v>48545.249423793255</v>
      </c>
      <c r="AH9" s="17">
        <f t="shared" si="3"/>
        <v>50001.606906507055</v>
      </c>
      <c r="AI9" s="17">
        <f t="shared" si="3"/>
        <v>51501.655113702269</v>
      </c>
      <c r="AJ9" s="17">
        <f t="shared" si="3"/>
        <v>53046.70476711334</v>
      </c>
      <c r="AK9" s="17">
        <f t="shared" si="3"/>
        <v>54638.105910126746</v>
      </c>
      <c r="AL9" s="17">
        <f t="shared" si="3"/>
        <v>56277.249087430551</v>
      </c>
      <c r="AM9" s="17">
        <f t="shared" si="3"/>
        <v>57965.56656005347</v>
      </c>
    </row>
    <row r="10" spans="1:39" x14ac:dyDescent="0.2">
      <c r="A10" s="13" t="str">
        <f>TEXT(Inputs!$C$60,"")</f>
        <v>Hamrun</v>
      </c>
      <c r="C10" s="17">
        <f>Inputs!C68</f>
        <v>5200</v>
      </c>
      <c r="D10" s="17">
        <f t="shared" ref="D10:AM10" si="4">C10*(1+rinc)</f>
        <v>5356</v>
      </c>
      <c r="E10" s="17">
        <f t="shared" si="4"/>
        <v>5516.68</v>
      </c>
      <c r="F10" s="17">
        <f t="shared" si="4"/>
        <v>5682.1804000000002</v>
      </c>
      <c r="G10" s="17">
        <f t="shared" si="4"/>
        <v>5852.6458120000007</v>
      </c>
      <c r="H10" s="17">
        <f t="shared" si="4"/>
        <v>6028.2251863600004</v>
      </c>
      <c r="I10" s="17">
        <f t="shared" si="4"/>
        <v>6209.0719419508005</v>
      </c>
      <c r="J10" s="17">
        <f t="shared" si="4"/>
        <v>6395.344100209325</v>
      </c>
      <c r="K10" s="17">
        <f t="shared" si="4"/>
        <v>6587.2044232156049</v>
      </c>
      <c r="L10" s="17">
        <f t="shared" si="4"/>
        <v>6784.8205559120734</v>
      </c>
      <c r="M10" s="17">
        <f t="shared" si="4"/>
        <v>6988.365172589436</v>
      </c>
      <c r="N10" s="17">
        <f t="shared" si="4"/>
        <v>7198.0161277671195</v>
      </c>
      <c r="O10" s="17">
        <f t="shared" si="4"/>
        <v>7413.9566116001333</v>
      </c>
      <c r="P10" s="17">
        <f t="shared" si="4"/>
        <v>7636.3753099481373</v>
      </c>
      <c r="Q10" s="17">
        <f t="shared" si="4"/>
        <v>7865.4665692465815</v>
      </c>
      <c r="R10" s="17">
        <f t="shared" si="4"/>
        <v>8101.4305663239793</v>
      </c>
      <c r="S10" s="17">
        <f t="shared" si="4"/>
        <v>8344.473483313699</v>
      </c>
      <c r="T10" s="17">
        <f t="shared" si="4"/>
        <v>8594.8076878131105</v>
      </c>
      <c r="U10" s="17">
        <f t="shared" si="4"/>
        <v>8852.6519184475037</v>
      </c>
      <c r="V10" s="17">
        <f t="shared" si="4"/>
        <v>9118.2314760009285</v>
      </c>
      <c r="W10" s="17">
        <f t="shared" si="4"/>
        <v>9391.7784202809562</v>
      </c>
      <c r="X10" s="17">
        <f t="shared" si="4"/>
        <v>9673.5317728893842</v>
      </c>
      <c r="Y10" s="17">
        <f t="shared" si="4"/>
        <v>9963.7377260760659</v>
      </c>
      <c r="Z10" s="17">
        <f t="shared" si="4"/>
        <v>10262.649857858349</v>
      </c>
      <c r="AA10" s="17">
        <f t="shared" si="4"/>
        <v>10570.5293535941</v>
      </c>
      <c r="AB10" s="17">
        <f t="shared" si="4"/>
        <v>10887.645234201924</v>
      </c>
      <c r="AC10" s="17">
        <f t="shared" si="4"/>
        <v>11214.274591227982</v>
      </c>
      <c r="AD10" s="17">
        <f t="shared" si="4"/>
        <v>11550.702828964822</v>
      </c>
      <c r="AE10" s="17">
        <f t="shared" si="4"/>
        <v>11897.223913833768</v>
      </c>
      <c r="AF10" s="17">
        <f t="shared" si="4"/>
        <v>12254.140631248782</v>
      </c>
      <c r="AG10" s="17">
        <f t="shared" si="4"/>
        <v>12621.764850186246</v>
      </c>
      <c r="AH10" s="17">
        <f t="shared" si="4"/>
        <v>13000.417795691834</v>
      </c>
      <c r="AI10" s="17">
        <f t="shared" si="4"/>
        <v>13390.430329562589</v>
      </c>
      <c r="AJ10" s="17">
        <f t="shared" si="4"/>
        <v>13792.143239449466</v>
      </c>
      <c r="AK10" s="17">
        <f t="shared" si="4"/>
        <v>14205.907536632951</v>
      </c>
      <c r="AL10" s="17">
        <f t="shared" si="4"/>
        <v>14632.08476273194</v>
      </c>
      <c r="AM10" s="17">
        <f t="shared" si="4"/>
        <v>15071.047305613898</v>
      </c>
    </row>
    <row r="11" spans="1:39" x14ac:dyDescent="0.2">
      <c r="A11" s="14" t="s">
        <v>92</v>
      </c>
      <c r="B11" s="18"/>
      <c r="C11" s="17">
        <f>IF(C$3&lt;Inputs!$C$19,0,Inputs!$C$21)*(1+inf)^B$1</f>
        <v>0</v>
      </c>
      <c r="D11" s="17">
        <f>IF(D$3&lt;Inputs!$C$19,0,Inputs!$C$21)*(1+inf)^C$1</f>
        <v>0</v>
      </c>
      <c r="E11" s="17">
        <f>IF(E$3&lt;Inputs!$C$19,0,Inputs!$C$21)*(1+inf)^D$1</f>
        <v>0</v>
      </c>
      <c r="F11" s="17">
        <f>IF(F$3&lt;Inputs!$C$19,0,Inputs!$C$21)*(1+inf)^E$1</f>
        <v>0</v>
      </c>
      <c r="G11" s="17">
        <f>IF(G$3&lt;Inputs!$C$19,0,Inputs!$C$21)*(1+inf)^F$1</f>
        <v>0</v>
      </c>
      <c r="H11" s="17">
        <f>IF(H$3&lt;Inputs!$C$19,0,Inputs!$C$21)*(1+inf)^G$1</f>
        <v>0</v>
      </c>
      <c r="I11" s="17">
        <f>IF(I$3&lt;Inputs!$C$19,0,Inputs!$C$21)*(1+inf)^H$1</f>
        <v>0</v>
      </c>
      <c r="J11" s="17">
        <f>IF(J$3&lt;Inputs!$C$19,0,Inputs!$C$21)*(1+inf)^I$1</f>
        <v>0</v>
      </c>
      <c r="K11" s="17">
        <f>IF(K$3&lt;Inputs!$C$19,0,Inputs!$C$21)*(1+inf)^J$1</f>
        <v>0</v>
      </c>
      <c r="L11" s="17">
        <f>IF(L$3&lt;Inputs!$C$19,0,Inputs!$C$21)*(1+inf)^K$1</f>
        <v>0</v>
      </c>
      <c r="M11" s="17">
        <f>IF(M$3&lt;Inputs!$C$19,0,Inputs!$C$21)*(1+inf)^L$1</f>
        <v>0</v>
      </c>
      <c r="N11" s="17">
        <f>IF(N$3&lt;Inputs!$C$19,0,Inputs!$C$21)*(1+inf)^M$1</f>
        <v>0</v>
      </c>
      <c r="O11" s="17">
        <f>IF(O$3&lt;Inputs!$C$19,0,Inputs!$C$21)*(1+inf)^N$1</f>
        <v>0</v>
      </c>
      <c r="P11" s="17">
        <f>IF(P$3&lt;Inputs!$C$19,0,Inputs!$C$21)*(1+inf)^O$1</f>
        <v>0</v>
      </c>
      <c r="Q11" s="17">
        <f>IF(Q$3&lt;Inputs!$C$19,0,Inputs!$C$21)*(1+inf)^P$1</f>
        <v>0</v>
      </c>
      <c r="R11" s="17">
        <f>IF(R$3&lt;Inputs!$C$19,0,Inputs!$C$21)*(1+inf)^Q$1</f>
        <v>0</v>
      </c>
      <c r="S11" s="17">
        <f>IF(S$3&lt;Inputs!$C$19,0,Inputs!$C$21)*(1+inf)^R$1</f>
        <v>22267.584309908449</v>
      </c>
      <c r="T11" s="17">
        <f>IF(T$3&lt;Inputs!$C$19,0,Inputs!$C$21)*(1+inf)^S$1</f>
        <v>22824.273917656155</v>
      </c>
      <c r="U11" s="17">
        <f>IF(U$3&lt;Inputs!$C$19,0,Inputs!$C$21)*(1+inf)^T$1</f>
        <v>23394.880765597562</v>
      </c>
      <c r="V11" s="17">
        <f>IF(V$3&lt;Inputs!$C$19,0,Inputs!$C$21)*(1+inf)^U$1</f>
        <v>23979.752784737499</v>
      </c>
      <c r="W11" s="17">
        <f>IF(W$3&lt;Inputs!$C$19,0,Inputs!$C$21)*(1+inf)^V$1</f>
        <v>24579.246604355933</v>
      </c>
      <c r="X11" s="17">
        <f>IF(X$3&lt;Inputs!$C$19,0,Inputs!$C$21)*(1+inf)^W$1</f>
        <v>25193.727769464829</v>
      </c>
      <c r="Y11" s="17">
        <f>IF(Y$3&lt;Inputs!$C$19,0,Inputs!$C$21)*(1+inf)^X$1</f>
        <v>25823.570963701448</v>
      </c>
      <c r="Z11" s="17">
        <f>IF(Z$3&lt;Inputs!$C$19,0,Inputs!$C$21)*(1+inf)^Y$1</f>
        <v>26469.160237793985</v>
      </c>
      <c r="AA11" s="17">
        <f>IF(AA$3&lt;Inputs!$C$19,0,Inputs!$C$21)*(1+inf)^Z$1</f>
        <v>27130.889243738835</v>
      </c>
      <c r="AB11" s="17">
        <f>IF(AB$3&lt;Inputs!$C$19,0,Inputs!$C$21)*(1+inf)^AA$1</f>
        <v>27809.161474832301</v>
      </c>
      <c r="AC11" s="17">
        <f>IF(AC$3&lt;Inputs!$C$19,0,Inputs!$C$21)*(1+inf)^AB$1</f>
        <v>28504.390511703106</v>
      </c>
      <c r="AD11" s="17">
        <f>IF(AD$3&lt;Inputs!$C$19,0,Inputs!$C$21)*(1+inf)^AC$1</f>
        <v>29217.000274495684</v>
      </c>
      <c r="AE11" s="17">
        <f>IF(AE$3&lt;Inputs!$C$19,0,Inputs!$C$21)*(1+inf)^AD$1</f>
        <v>29947.425281358072</v>
      </c>
      <c r="AF11" s="17">
        <f>IF(AF$3&lt;Inputs!$C$19,0,Inputs!$C$21)*(1+inf)^AE$1</f>
        <v>30696.110913392029</v>
      </c>
      <c r="AG11" s="17">
        <f>IF(AG$3&lt;Inputs!$C$19,0,Inputs!$C$21)*(1+inf)^AF$1</f>
        <v>31463.513686226819</v>
      </c>
      <c r="AH11" s="17">
        <f>IF(AH$3&lt;Inputs!$C$19,0,Inputs!$C$21)*(1+inf)^AG$1</f>
        <v>32250.1015283825</v>
      </c>
      <c r="AI11" s="17">
        <f>IF(AI$3&lt;Inputs!$C$19,0,Inputs!$C$21)*(1+inf)^AH$1</f>
        <v>33056.354066592052</v>
      </c>
      <c r="AJ11" s="17">
        <f>IF(AJ$3&lt;Inputs!$C$19,0,Inputs!$C$21)*(1+inf)^AI$1</f>
        <v>33882.762918256856</v>
      </c>
      <c r="AK11" s="17">
        <f>IF(AK$3&lt;Inputs!$C$19,0,Inputs!$C$21)*(1+inf)^AJ$1</f>
        <v>34729.831991213279</v>
      </c>
      <c r="AL11" s="17">
        <f>IF(AL$3&lt;Inputs!$C$19,0,Inputs!$C$21)*(1+inf)^AK$1</f>
        <v>35598.077790993601</v>
      </c>
      <c r="AM11" s="17">
        <f>IF(AM$3&lt;Inputs!$C$19,0,Inputs!$C$21)*(1+inf)^AL$1</f>
        <v>36488.029735768447</v>
      </c>
    </row>
    <row r="12" spans="1:39" x14ac:dyDescent="0.2">
      <c r="A12" s="14" t="s">
        <v>93</v>
      </c>
      <c r="B12" s="18"/>
      <c r="C12" s="17">
        <f>MIN(0,MAX(-IF(C11=0,0,(Inputs!$C$19-INDEX(3:3,MATCH(0,5:5,0))))*Inputs!$C$157*(1+inf)^B$1,-C11))</f>
        <v>0</v>
      </c>
      <c r="D12" s="17">
        <f>MIN(0,MAX(-IF(D11=0,0,(Inputs!$C$19-INDEX(3:3,MATCH(0,5:5,0))))*Inputs!$C$157*(1+inf)^C$1,-D11))</f>
        <v>0</v>
      </c>
      <c r="E12" s="17">
        <f>MIN(0,MAX(-IF(E11=0,0,(Inputs!$C$19-INDEX(3:3,MATCH(0,5:5,0))))*Inputs!$C$157*(1+inf)^D$1,-E11))</f>
        <v>0</v>
      </c>
      <c r="F12" s="17">
        <f>MIN(0,MAX(-IF(F11=0,0,(Inputs!$C$19-INDEX(3:3,MATCH(0,5:5,0))))*Inputs!$C$157*(1+inf)^E$1,-F11))</f>
        <v>0</v>
      </c>
      <c r="G12" s="17">
        <f>MIN(0,MAX(-IF(G11=0,0,(Inputs!$C$19-INDEX(3:3,MATCH(0,5:5,0))))*Inputs!$C$157*(1+inf)^F$1,-G11))</f>
        <v>0</v>
      </c>
      <c r="H12" s="17">
        <f>MIN(0,MAX(-IF(H11=0,0,(Inputs!$C$19-INDEX(3:3,MATCH(0,5:5,0))))*Inputs!$C$157*(1+inf)^G$1,-H11))</f>
        <v>0</v>
      </c>
      <c r="I12" s="17">
        <f>MIN(0,MAX(-IF(I11=0,0,(Inputs!$C$19-INDEX(3:3,MATCH(0,5:5,0))))*Inputs!$C$157*(1+inf)^H$1,-I11))</f>
        <v>0</v>
      </c>
      <c r="J12" s="17">
        <f>MIN(0,MAX(-IF(J11=0,0,(Inputs!$C$19-INDEX(3:3,MATCH(0,5:5,0))))*Inputs!$C$157*(1+inf)^I$1,-J11))</f>
        <v>0</v>
      </c>
      <c r="K12" s="17">
        <f>MIN(0,MAX(-IF(K11=0,0,(Inputs!$C$19-INDEX(3:3,MATCH(0,5:5,0))))*Inputs!$C$157*(1+inf)^J$1,-K11))</f>
        <v>0</v>
      </c>
      <c r="L12" s="17">
        <f>MIN(0,MAX(-IF(L11=0,0,(Inputs!$C$19-INDEX(3:3,MATCH(0,5:5,0))))*Inputs!$C$157*(1+inf)^K$1,-L11))</f>
        <v>0</v>
      </c>
      <c r="M12" s="17">
        <f>MIN(0,MAX(-IF(M11=0,0,(Inputs!$C$19-INDEX(3:3,MATCH(0,5:5,0))))*Inputs!$C$157*(1+inf)^L$1,-M11))</f>
        <v>0</v>
      </c>
      <c r="N12" s="17">
        <f>MIN(0,MAX(-IF(N11=0,0,(Inputs!$C$19-INDEX(3:3,MATCH(0,5:5,0))))*Inputs!$C$157*(1+inf)^M$1,-N11))</f>
        <v>0</v>
      </c>
      <c r="O12" s="17">
        <f>MIN(0,MAX(-IF(O11=0,0,(Inputs!$C$19-INDEX(3:3,MATCH(0,5:5,0))))*Inputs!$C$157*(1+inf)^N$1,-O11))</f>
        <v>0</v>
      </c>
      <c r="P12" s="17">
        <f>MIN(0,MAX(-IF(P11=0,0,(Inputs!$C$19-INDEX(3:3,MATCH(0,5:5,0))))*Inputs!$C$157*(1+inf)^O$1,-P11))</f>
        <v>0</v>
      </c>
      <c r="Q12" s="17">
        <f>MIN(0,MAX(-IF(Q11=0,0,(Inputs!$C$19-INDEX(3:3,MATCH(0,5:5,0))))*Inputs!$C$157*(1+inf)^P$1,-Q11))</f>
        <v>0</v>
      </c>
      <c r="R12" s="17">
        <f>MIN(0,MAX(-IF(R11=0,0,(Inputs!$C$19-INDEX(3:3,MATCH(0,5:5,0))))*Inputs!$C$157*(1+inf)^Q$1,-R11))</f>
        <v>0</v>
      </c>
      <c r="S12" s="17">
        <f>MIN(0,MAX(-IF(S11=0,0,(Inputs!$C$19-INDEX(3:3,MATCH(0,5:5,0))))*Inputs!$C$157*(1+inf)^R$1,-S11))</f>
        <v>0</v>
      </c>
      <c r="T12" s="17">
        <f>MIN(0,MAX(-IF(T11=0,0,(Inputs!$C$19-INDEX(3:3,MATCH(0,5:5,0))))*Inputs!$C$157*(1+inf)^S$1,-T11))</f>
        <v>0</v>
      </c>
      <c r="U12" s="17">
        <f>MIN(0,MAX(-IF(U11=0,0,(Inputs!$C$19-INDEX(3:3,MATCH(0,5:5,0))))*Inputs!$C$157*(1+inf)^T$1,-U11))</f>
        <v>0</v>
      </c>
      <c r="V12" s="17">
        <f>MIN(0,MAX(-IF(V11=0,0,(Inputs!$C$19-INDEX(3:3,MATCH(0,5:5,0))))*Inputs!$C$157*(1+inf)^U$1,-V11))</f>
        <v>0</v>
      </c>
      <c r="W12" s="17">
        <f>MIN(0,MAX(-IF(W11=0,0,(Inputs!$C$19-INDEX(3:3,MATCH(0,5:5,0))))*Inputs!$C$157*(1+inf)^V$1,-W11))</f>
        <v>0</v>
      </c>
      <c r="X12" s="17">
        <f>MIN(0,MAX(-IF(X11=0,0,(Inputs!$C$19-INDEX(3:3,MATCH(0,5:5,0))))*Inputs!$C$157*(1+inf)^W$1,-X11))</f>
        <v>0</v>
      </c>
      <c r="Y12" s="17">
        <f>MIN(0,MAX(-IF(Y11=0,0,(Inputs!$C$19-INDEX(3:3,MATCH(0,5:5,0))))*Inputs!$C$157*(1+inf)^X$1,-Y11))</f>
        <v>0</v>
      </c>
      <c r="Z12" s="17">
        <f>MIN(0,MAX(-IF(Z11=0,0,(Inputs!$C$19-INDEX(3:3,MATCH(0,5:5,0))))*Inputs!$C$157*(1+inf)^Y$1,-Z11))</f>
        <v>0</v>
      </c>
      <c r="AA12" s="17">
        <f>MIN(0,MAX(-IF(AA11=0,0,(Inputs!$C$19-INDEX(3:3,MATCH(0,5:5,0))))*Inputs!$C$157*(1+inf)^Z$1,-AA11))</f>
        <v>0</v>
      </c>
      <c r="AB12" s="17">
        <f>MIN(0,MAX(-IF(AB11=0,0,(Inputs!$C$19-INDEX(3:3,MATCH(0,5:5,0))))*Inputs!$C$157*(1+inf)^AA$1,-AB11))</f>
        <v>0</v>
      </c>
      <c r="AC12" s="17">
        <f>MIN(0,MAX(-IF(AC11=0,0,(Inputs!$C$19-INDEX(3:3,MATCH(0,5:5,0))))*Inputs!$C$157*(1+inf)^AB$1,-AC11))</f>
        <v>0</v>
      </c>
      <c r="AD12" s="17">
        <f>MIN(0,MAX(-IF(AD11=0,0,(Inputs!$C$19-INDEX(3:3,MATCH(0,5:5,0))))*Inputs!$C$157*(1+inf)^AC$1,-AD11))</f>
        <v>0</v>
      </c>
      <c r="AE12" s="17">
        <f>MIN(0,MAX(-IF(AE11=0,0,(Inputs!$C$19-INDEX(3:3,MATCH(0,5:5,0))))*Inputs!$C$157*(1+inf)^AD$1,-AE11))</f>
        <v>0</v>
      </c>
      <c r="AF12" s="17">
        <f>MIN(0,MAX(-IF(AF11=0,0,(Inputs!$C$19-INDEX(3:3,MATCH(0,5:5,0))))*Inputs!$C$157*(1+inf)^AE$1,-AF11))</f>
        <v>0</v>
      </c>
      <c r="AG12" s="17">
        <f>MIN(0,MAX(-IF(AG11=0,0,(Inputs!$C$19-INDEX(3:3,MATCH(0,5:5,0))))*Inputs!$C$157*(1+inf)^AF$1,-AG11))</f>
        <v>0</v>
      </c>
      <c r="AH12" s="17">
        <f>MIN(0,MAX(-IF(AH11=0,0,(Inputs!$C$19-INDEX(3:3,MATCH(0,5:5,0))))*Inputs!$C$157*(1+inf)^AG$1,-AH11))</f>
        <v>0</v>
      </c>
      <c r="AI12" s="17">
        <f>MIN(0,MAX(-IF(AI11=0,0,(Inputs!$C$19-INDEX(3:3,MATCH(0,5:5,0))))*Inputs!$C$157*(1+inf)^AH$1,-AI11))</f>
        <v>0</v>
      </c>
      <c r="AJ12" s="17">
        <f>MIN(0,MAX(-IF(AJ11=0,0,(Inputs!$C$19-INDEX(3:3,MATCH(0,5:5,0))))*Inputs!$C$157*(1+inf)^AI$1,-AJ11))</f>
        <v>0</v>
      </c>
      <c r="AK12" s="17">
        <f>MIN(0,MAX(-IF(AK11=0,0,(Inputs!$C$19-INDEX(3:3,MATCH(0,5:5,0))))*Inputs!$C$157*(1+inf)^AJ$1,-AK11))</f>
        <v>0</v>
      </c>
      <c r="AL12" s="17">
        <f>MIN(0,MAX(-IF(AL11=0,0,(Inputs!$C$19-INDEX(3:3,MATCH(0,5:5,0))))*Inputs!$C$157*(1+inf)^AK$1,-AL11))</f>
        <v>0</v>
      </c>
      <c r="AM12" s="17">
        <f>MIN(0,MAX(-IF(AM11=0,0,(Inputs!$C$19-INDEX(3:3,MATCH(0,5:5,0))))*Inputs!$C$157*(1+inf)^AL$1,-AM11))</f>
        <v>0</v>
      </c>
    </row>
    <row r="13" spans="1:39" x14ac:dyDescent="0.2">
      <c r="A13" s="14" t="s">
        <v>53</v>
      </c>
      <c r="B13" s="18"/>
      <c r="C13" s="17">
        <f>IF(AND(C$3&gt;=Inputs!$C$142,C$3&lt;=Inputs!$C$143),Inputs!$C$141*(1+inf)^B$1,0)</f>
        <v>0</v>
      </c>
      <c r="D13" s="17">
        <f>IF(AND(D$3&gt;=Inputs!$C$142,D$3&lt;=Inputs!$C$143),Inputs!$C$141*(1+inf)^C$1,0)</f>
        <v>0</v>
      </c>
      <c r="E13" s="17">
        <f>IF(AND(E$3&gt;=Inputs!$C$142,E$3&lt;=Inputs!$C$143),Inputs!$C$141*(1+inf)^D$1,0)</f>
        <v>0</v>
      </c>
      <c r="F13" s="17">
        <f>IF(AND(F$3&gt;=Inputs!$C$142,F$3&lt;=Inputs!$C$143),Inputs!$C$141*(1+inf)^E$1,0)</f>
        <v>0</v>
      </c>
      <c r="G13" s="17">
        <f>IF(AND(G$3&gt;=Inputs!$C$142,G$3&lt;=Inputs!$C$143),Inputs!$C$141*(1+inf)^F$1,0)</f>
        <v>0</v>
      </c>
      <c r="H13" s="17">
        <f>IF(AND(H$3&gt;=Inputs!$C$142,H$3&lt;=Inputs!$C$143),Inputs!$C$141*(1+inf)^G$1,0)</f>
        <v>0</v>
      </c>
      <c r="I13" s="17">
        <f>IF(AND(I$3&gt;=Inputs!$C$142,I$3&lt;=Inputs!$C$143),Inputs!$C$141*(1+inf)^H$1,0)</f>
        <v>5798.4670910644509</v>
      </c>
      <c r="J13" s="17">
        <f>IF(AND(J$3&gt;=Inputs!$C$142,J$3&lt;=Inputs!$C$143),Inputs!$C$141*(1+inf)^I$1,0)</f>
        <v>5943.4287683410621</v>
      </c>
      <c r="K13" s="17">
        <f>IF(AND(K$3&gt;=Inputs!$C$142,K$3&lt;=Inputs!$C$143),Inputs!$C$141*(1+inf)^J$1,0)</f>
        <v>6092.0144875495889</v>
      </c>
      <c r="L13" s="17">
        <f>IF(AND(L$3&gt;=Inputs!$C$142,L$3&lt;=Inputs!$C$143),Inputs!$C$141*(1+inf)^K$1,0)</f>
        <v>6244.3148497383272</v>
      </c>
      <c r="M13" s="17">
        <f>IF(AND(M$3&gt;=Inputs!$C$142,M$3&lt;=Inputs!$C$143),Inputs!$C$141*(1+inf)^L$1,0)</f>
        <v>6400.4227209817855</v>
      </c>
      <c r="N13" s="17">
        <f>IF(AND(N$3&gt;=Inputs!$C$142,N$3&lt;=Inputs!$C$143),Inputs!$C$141*(1+inf)^M$1,0)</f>
        <v>6560.4332890063297</v>
      </c>
      <c r="O13" s="17">
        <f>IF(AND(O$3&gt;=Inputs!$C$142,O$3&lt;=Inputs!$C$143),Inputs!$C$141*(1+inf)^N$1,0)</f>
        <v>0</v>
      </c>
      <c r="P13" s="17">
        <f>IF(AND(P$3&gt;=Inputs!$C$142,P$3&lt;=Inputs!$C$143),Inputs!$C$141*(1+inf)^O$1,0)</f>
        <v>0</v>
      </c>
      <c r="Q13" s="17">
        <f>IF(AND(Q$3&gt;=Inputs!$C$142,Q$3&lt;=Inputs!$C$143),Inputs!$C$141*(1+inf)^P$1,0)</f>
        <v>0</v>
      </c>
      <c r="R13" s="17">
        <f>IF(AND(R$3&gt;=Inputs!$C$142,R$3&lt;=Inputs!$C$143),Inputs!$C$141*(1+inf)^Q$1,0)</f>
        <v>0</v>
      </c>
      <c r="S13" s="17">
        <f>IF(AND(S$3&gt;=Inputs!$C$142,S$3&lt;=Inputs!$C$143),Inputs!$C$141*(1+inf)^R$1,0)</f>
        <v>0</v>
      </c>
      <c r="T13" s="17">
        <f>IF(AND(T$3&gt;=Inputs!$C$142,T$3&lt;=Inputs!$C$143),Inputs!$C$141*(1+inf)^S$1,0)</f>
        <v>0</v>
      </c>
      <c r="U13" s="17">
        <f>IF(AND(U$3&gt;=Inputs!$C$142,U$3&lt;=Inputs!$C$143),Inputs!$C$141*(1+inf)^T$1,0)</f>
        <v>0</v>
      </c>
      <c r="V13" s="17">
        <f>IF(AND(V$3&gt;=Inputs!$C$142,V$3&lt;=Inputs!$C$143),Inputs!$C$141*(1+inf)^U$1,0)</f>
        <v>0</v>
      </c>
      <c r="W13" s="17">
        <f>IF(AND(W$3&gt;=Inputs!$C$142,W$3&lt;=Inputs!$C$143),Inputs!$C$141*(1+inf)^V$1,0)</f>
        <v>0</v>
      </c>
      <c r="X13" s="17">
        <f>IF(AND(X$3&gt;=Inputs!$C$142,X$3&lt;=Inputs!$C$143),Inputs!$C$141*(1+inf)^W$1,0)</f>
        <v>0</v>
      </c>
      <c r="Y13" s="17">
        <f>IF(AND(Y$3&gt;=Inputs!$C$142,Y$3&lt;=Inputs!$C$143),Inputs!$C$141*(1+inf)^X$1,0)</f>
        <v>0</v>
      </c>
      <c r="Z13" s="17">
        <f>IF(AND(Z$3&gt;=Inputs!$C$142,Z$3&lt;=Inputs!$C$143),Inputs!$C$141*(1+inf)^Y$1,0)</f>
        <v>0</v>
      </c>
      <c r="AA13" s="17">
        <f>IF(AND(AA$3&gt;=Inputs!$C$142,AA$3&lt;=Inputs!$C$143),Inputs!$C$141*(1+inf)^Z$1,0)</f>
        <v>0</v>
      </c>
      <c r="AB13" s="17">
        <f>IF(AND(AB$3&gt;=Inputs!$C$142,AB$3&lt;=Inputs!$C$143),Inputs!$C$141*(1+inf)^AA$1,0)</f>
        <v>0</v>
      </c>
      <c r="AC13" s="17">
        <f>IF(AND(AC$3&gt;=Inputs!$C$142,AC$3&lt;=Inputs!$C$143),Inputs!$C$141*(1+inf)^AB$1,0)</f>
        <v>0</v>
      </c>
      <c r="AD13" s="17">
        <f>IF(AND(AD$3&gt;=Inputs!$C$142,AD$3&lt;=Inputs!$C$143),Inputs!$C$141*(1+inf)^AC$1,0)</f>
        <v>0</v>
      </c>
      <c r="AE13" s="17">
        <f>IF(AND(AE$3&gt;=Inputs!$C$142,AE$3&lt;=Inputs!$C$143),Inputs!$C$141*(1+inf)^AD$1,0)</f>
        <v>0</v>
      </c>
      <c r="AF13" s="17">
        <f>IF(AND(AF$3&gt;=Inputs!$C$142,AF$3&lt;=Inputs!$C$143),Inputs!$C$141*(1+inf)^AE$1,0)</f>
        <v>0</v>
      </c>
      <c r="AG13" s="17">
        <f>IF(AND(AG$3&gt;=Inputs!$C$142,AG$3&lt;=Inputs!$C$143),Inputs!$C$141*(1+inf)^AF$1,0)</f>
        <v>0</v>
      </c>
      <c r="AH13" s="17">
        <f>IF(AND(AH$3&gt;=Inputs!$C$142,AH$3&lt;=Inputs!$C$143),Inputs!$C$141*(1+inf)^AG$1,0)</f>
        <v>0</v>
      </c>
      <c r="AI13" s="17">
        <f>IF(AND(AI$3&gt;=Inputs!$C$142,AI$3&lt;=Inputs!$C$143),Inputs!$C$141*(1+inf)^AH$1,0)</f>
        <v>0</v>
      </c>
      <c r="AJ13" s="17">
        <f>IF(AND(AJ$3&gt;=Inputs!$C$142,AJ$3&lt;=Inputs!$C$143),Inputs!$C$141*(1+inf)^AI$1,0)</f>
        <v>0</v>
      </c>
      <c r="AK13" s="17">
        <f>IF(AND(AK$3&gt;=Inputs!$C$142,AK$3&lt;=Inputs!$C$143),Inputs!$C$141*(1+inf)^AJ$1,0)</f>
        <v>0</v>
      </c>
      <c r="AL13" s="17">
        <f>IF(AND(AL$3&gt;=Inputs!$C$142,AL$3&lt;=Inputs!$C$143),Inputs!$C$141*(1+inf)^AK$1,0)</f>
        <v>0</v>
      </c>
      <c r="AM13" s="17">
        <f>IF(AND(AM$3&gt;=Inputs!$C$142,AM$3&lt;=Inputs!$C$143),Inputs!$C$141*(1+inf)^AL$1,0)</f>
        <v>0</v>
      </c>
    </row>
    <row r="14" spans="1:39" x14ac:dyDescent="0.2">
      <c r="A14" s="14" t="s">
        <v>152</v>
      </c>
      <c r="B14" s="18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x14ac:dyDescent="0.2">
      <c r="A15" s="13" t="str">
        <f>TEXT(Inputs!C100,"")</f>
        <v>Inheritance</v>
      </c>
      <c r="B15" s="18"/>
      <c r="C15" s="17">
        <f ca="1">IF(C$2=Inputs!$C102,Inputs!$C101,0)*(1+inf)^B$1</f>
        <v>80000</v>
      </c>
      <c r="D15" s="17">
        <f ca="1">IF(D$2=Inputs!$C102,Inputs!$C101,0)*(1+inf)^C$1</f>
        <v>0</v>
      </c>
      <c r="E15" s="17">
        <f ca="1">IF(E$2=Inputs!$C102,Inputs!$C101,0)*(1+inf)^D$1</f>
        <v>0</v>
      </c>
      <c r="F15" s="17">
        <f ca="1">IF(F$2=Inputs!$C102,Inputs!$C101,0)*(1+inf)^E$1</f>
        <v>0</v>
      </c>
      <c r="G15" s="17">
        <f ca="1">IF(G$2=Inputs!$C102,Inputs!$C101,0)*(1+inf)^F$1</f>
        <v>0</v>
      </c>
      <c r="H15" s="17">
        <f ca="1">IF(H$2=Inputs!$C102,Inputs!$C101,0)*(1+inf)^G$1</f>
        <v>0</v>
      </c>
      <c r="I15" s="17">
        <f ca="1">IF(I$2=Inputs!$C102,Inputs!$C101,0)*(1+inf)^H$1</f>
        <v>0</v>
      </c>
      <c r="J15" s="17">
        <f ca="1">IF(J$2=Inputs!$C102,Inputs!$C101,0)*(1+inf)^I$1</f>
        <v>0</v>
      </c>
      <c r="K15" s="17">
        <f ca="1">IF(K$2=Inputs!$C102,Inputs!$C101,0)*(1+inf)^J$1</f>
        <v>0</v>
      </c>
      <c r="L15" s="17">
        <f ca="1">IF(L$2=Inputs!$C102,Inputs!$C101,0)*(1+inf)^K$1</f>
        <v>0</v>
      </c>
      <c r="M15" s="17">
        <f ca="1">IF(M$2=Inputs!$C102,Inputs!$C101,0)*(1+inf)^L$1</f>
        <v>0</v>
      </c>
      <c r="N15" s="17">
        <f ca="1">IF(N$2=Inputs!$C102,Inputs!$C101,0)*(1+inf)^M$1</f>
        <v>0</v>
      </c>
      <c r="O15" s="17">
        <f ca="1">IF(O$2=Inputs!$C102,Inputs!$C101,0)*(1+inf)^N$1</f>
        <v>0</v>
      </c>
      <c r="P15" s="17">
        <f ca="1">IF(P$2=Inputs!$C102,Inputs!$C101,0)*(1+inf)^O$1</f>
        <v>0</v>
      </c>
      <c r="Q15" s="17">
        <f ca="1">IF(Q$2=Inputs!$C102,Inputs!$C101,0)*(1+inf)^P$1</f>
        <v>0</v>
      </c>
      <c r="R15" s="17">
        <f ca="1">IF(R$2=Inputs!$C102,Inputs!$C101,0)*(1+inf)^Q$1</f>
        <v>0</v>
      </c>
      <c r="S15" s="17">
        <f ca="1">IF(S$2=Inputs!$C102,Inputs!$C101,0)*(1+inf)^R$1</f>
        <v>0</v>
      </c>
      <c r="T15" s="17">
        <f ca="1">IF(T$2=Inputs!$C102,Inputs!$C101,0)*(1+inf)^S$1</f>
        <v>0</v>
      </c>
      <c r="U15" s="17">
        <f ca="1">IF(U$2=Inputs!$C102,Inputs!$C101,0)*(1+inf)^T$1</f>
        <v>0</v>
      </c>
      <c r="V15" s="17">
        <f ca="1">IF(V$2=Inputs!$C102,Inputs!$C101,0)*(1+inf)^U$1</f>
        <v>0</v>
      </c>
      <c r="W15" s="17">
        <f ca="1">IF(W$2=Inputs!$C102,Inputs!$C101,0)*(1+inf)^V$1</f>
        <v>0</v>
      </c>
      <c r="X15" s="17">
        <f ca="1">IF(X$2=Inputs!$C102,Inputs!$C101,0)*(1+inf)^W$1</f>
        <v>0</v>
      </c>
      <c r="Y15" s="17">
        <f ca="1">IF(Y$2=Inputs!$C102,Inputs!$C101,0)*(1+inf)^X$1</f>
        <v>0</v>
      </c>
      <c r="Z15" s="17">
        <f ca="1">IF(Z$2=Inputs!$C102,Inputs!$C101,0)*(1+inf)^Y$1</f>
        <v>0</v>
      </c>
      <c r="AA15" s="17">
        <f ca="1">IF(AA$2=Inputs!$C102,Inputs!$C101,0)*(1+inf)^Z$1</f>
        <v>0</v>
      </c>
      <c r="AB15" s="17">
        <f ca="1">IF(AB$2=Inputs!$C102,Inputs!$C101,0)*(1+inf)^AA$1</f>
        <v>0</v>
      </c>
      <c r="AC15" s="17">
        <f ca="1">IF(AC$2=Inputs!$C102,Inputs!$C101,0)*(1+inf)^AB$1</f>
        <v>0</v>
      </c>
      <c r="AD15" s="17">
        <f ca="1">IF(AD$2=Inputs!$C102,Inputs!$C101,0)*(1+inf)^AC$1</f>
        <v>0</v>
      </c>
      <c r="AE15" s="17">
        <f ca="1">IF(AE$2=Inputs!$C102,Inputs!$C101,0)*(1+inf)^AD$1</f>
        <v>0</v>
      </c>
      <c r="AF15" s="17">
        <f ca="1">IF(AF$2=Inputs!$C102,Inputs!$C101,0)*(1+inf)^AE$1</f>
        <v>0</v>
      </c>
      <c r="AG15" s="17">
        <f ca="1">IF(AG$2=Inputs!$C102,Inputs!$C101,0)*(1+inf)^AF$1</f>
        <v>0</v>
      </c>
      <c r="AH15" s="17">
        <f ca="1">IF(AH$2=Inputs!$C102,Inputs!$C101,0)*(1+inf)^AG$1</f>
        <v>0</v>
      </c>
      <c r="AI15" s="17">
        <f ca="1">IF(AI$2=Inputs!$C102,Inputs!$C101,0)*(1+inf)^AH$1</f>
        <v>0</v>
      </c>
      <c r="AJ15" s="17">
        <f ca="1">IF(AJ$2=Inputs!$C102,Inputs!$C101,0)*(1+inf)^AI$1</f>
        <v>0</v>
      </c>
      <c r="AK15" s="17">
        <f ca="1">IF(AK$2=Inputs!$C102,Inputs!$C101,0)*(1+inf)^AJ$1</f>
        <v>0</v>
      </c>
      <c r="AL15" s="17">
        <f ca="1">IF(AL$2=Inputs!$C102,Inputs!$C101,0)*(1+inf)^AK$1</f>
        <v>0</v>
      </c>
      <c r="AM15" s="17">
        <f ca="1">IF(AM$2=Inputs!$C102,Inputs!$C101,0)*(1+inf)^AL$1</f>
        <v>0</v>
      </c>
    </row>
    <row r="16" spans="1:39" x14ac:dyDescent="0.2">
      <c r="A16" s="13" t="str">
        <f>TEXT(Inputs!C105,"")</f>
        <v>Sell Painting</v>
      </c>
      <c r="B16" s="18"/>
      <c r="C16" s="17">
        <f ca="1">IF(C$2=Inputs!$C107,Inputs!$C106,0)*(1+inf)^B$1</f>
        <v>0</v>
      </c>
      <c r="D16" s="17">
        <f ca="1">IF(D$2=Inputs!$C107,Inputs!$C106,0)*(1+inf)^C$1</f>
        <v>0</v>
      </c>
      <c r="E16" s="17">
        <f ca="1">IF(E$2=Inputs!$C107,Inputs!$C106,0)*(1+inf)^D$1</f>
        <v>0</v>
      </c>
      <c r="F16" s="17">
        <f ca="1">IF(F$2=Inputs!$C107,Inputs!$C106,0)*(1+inf)^E$1</f>
        <v>8615.1249999999982</v>
      </c>
      <c r="G16" s="17">
        <f ca="1">IF(G$2=Inputs!$C107,Inputs!$C106,0)*(1+inf)^F$1</f>
        <v>0</v>
      </c>
      <c r="H16" s="17">
        <f ca="1">IF(H$2=Inputs!$C107,Inputs!$C106,0)*(1+inf)^G$1</f>
        <v>0</v>
      </c>
      <c r="I16" s="17">
        <f ca="1">IF(I$2=Inputs!$C107,Inputs!$C106,0)*(1+inf)^H$1</f>
        <v>0</v>
      </c>
      <c r="J16" s="17">
        <f ca="1">IF(J$2=Inputs!$C107,Inputs!$C106,0)*(1+inf)^I$1</f>
        <v>0</v>
      </c>
      <c r="K16" s="17">
        <f ca="1">IF(K$2=Inputs!$C107,Inputs!$C106,0)*(1+inf)^J$1</f>
        <v>0</v>
      </c>
      <c r="L16" s="17">
        <f ca="1">IF(L$2=Inputs!$C107,Inputs!$C106,0)*(1+inf)^K$1</f>
        <v>0</v>
      </c>
      <c r="M16" s="17">
        <f ca="1">IF(M$2=Inputs!$C107,Inputs!$C106,0)*(1+inf)^L$1</f>
        <v>0</v>
      </c>
      <c r="N16" s="17">
        <f ca="1">IF(N$2=Inputs!$C107,Inputs!$C106,0)*(1+inf)^M$1</f>
        <v>0</v>
      </c>
      <c r="O16" s="17">
        <f ca="1">IF(O$2=Inputs!$C107,Inputs!$C106,0)*(1+inf)^N$1</f>
        <v>0</v>
      </c>
      <c r="P16" s="17">
        <f ca="1">IF(P$2=Inputs!$C107,Inputs!$C106,0)*(1+inf)^O$1</f>
        <v>0</v>
      </c>
      <c r="Q16" s="17">
        <f ca="1">IF(Q$2=Inputs!$C107,Inputs!$C106,0)*(1+inf)^P$1</f>
        <v>0</v>
      </c>
      <c r="R16" s="17">
        <f ca="1">IF(R$2=Inputs!$C107,Inputs!$C106,0)*(1+inf)^Q$1</f>
        <v>0</v>
      </c>
      <c r="S16" s="17">
        <f ca="1">IF(S$2=Inputs!$C107,Inputs!$C106,0)*(1+inf)^R$1</f>
        <v>0</v>
      </c>
      <c r="T16" s="17">
        <f ca="1">IF(T$2=Inputs!$C107,Inputs!$C106,0)*(1+inf)^S$1</f>
        <v>0</v>
      </c>
      <c r="U16" s="17">
        <f ca="1">IF(U$2=Inputs!$C107,Inputs!$C106,0)*(1+inf)^T$1</f>
        <v>0</v>
      </c>
      <c r="V16" s="17">
        <f ca="1">IF(V$2=Inputs!$C107,Inputs!$C106,0)*(1+inf)^U$1</f>
        <v>0</v>
      </c>
      <c r="W16" s="17">
        <f ca="1">IF(W$2=Inputs!$C107,Inputs!$C106,0)*(1+inf)^V$1</f>
        <v>0</v>
      </c>
      <c r="X16" s="17">
        <f ca="1">IF(X$2=Inputs!$C107,Inputs!$C106,0)*(1+inf)^W$1</f>
        <v>0</v>
      </c>
      <c r="Y16" s="17">
        <f ca="1">IF(Y$2=Inputs!$C107,Inputs!$C106,0)*(1+inf)^X$1</f>
        <v>0</v>
      </c>
      <c r="Z16" s="17">
        <f ca="1">IF(Z$2=Inputs!$C107,Inputs!$C106,0)*(1+inf)^Y$1</f>
        <v>0</v>
      </c>
      <c r="AA16" s="17">
        <f ca="1">IF(AA$2=Inputs!$C107,Inputs!$C106,0)*(1+inf)^Z$1</f>
        <v>0</v>
      </c>
      <c r="AB16" s="17">
        <f ca="1">IF(AB$2=Inputs!$C107,Inputs!$C106,0)*(1+inf)^AA$1</f>
        <v>0</v>
      </c>
      <c r="AC16" s="17">
        <f ca="1">IF(AC$2=Inputs!$C107,Inputs!$C106,0)*(1+inf)^AB$1</f>
        <v>0</v>
      </c>
      <c r="AD16" s="17">
        <f ca="1">IF(AD$2=Inputs!$C107,Inputs!$C106,0)*(1+inf)^AC$1</f>
        <v>0</v>
      </c>
      <c r="AE16" s="17">
        <f ca="1">IF(AE$2=Inputs!$C107,Inputs!$C106,0)*(1+inf)^AD$1</f>
        <v>0</v>
      </c>
      <c r="AF16" s="17">
        <f ca="1">IF(AF$2=Inputs!$C107,Inputs!$C106,0)*(1+inf)^AE$1</f>
        <v>0</v>
      </c>
      <c r="AG16" s="17">
        <f ca="1">IF(AG$2=Inputs!$C107,Inputs!$C106,0)*(1+inf)^AF$1</f>
        <v>0</v>
      </c>
      <c r="AH16" s="17">
        <f ca="1">IF(AH$2=Inputs!$C107,Inputs!$C106,0)*(1+inf)^AG$1</f>
        <v>0</v>
      </c>
      <c r="AI16" s="17">
        <f ca="1">IF(AI$2=Inputs!$C107,Inputs!$C106,0)*(1+inf)^AH$1</f>
        <v>0</v>
      </c>
      <c r="AJ16" s="17">
        <f ca="1">IF(AJ$2=Inputs!$C107,Inputs!$C106,0)*(1+inf)^AI$1</f>
        <v>0</v>
      </c>
      <c r="AK16" s="17">
        <f ca="1">IF(AK$2=Inputs!$C107,Inputs!$C106,0)*(1+inf)^AJ$1</f>
        <v>0</v>
      </c>
      <c r="AL16" s="17">
        <f ca="1">IF(AL$2=Inputs!$C107,Inputs!$C106,0)*(1+inf)^AK$1</f>
        <v>0</v>
      </c>
      <c r="AM16" s="17">
        <f ca="1">IF(AM$2=Inputs!$C107,Inputs!$C106,0)*(1+inf)^AL$1</f>
        <v>0</v>
      </c>
    </row>
    <row r="17" spans="1:39" x14ac:dyDescent="0.2">
      <c r="A17" s="13" t="str">
        <f>TEXT(Inputs!C110,"")</f>
        <v>Sell Diamond</v>
      </c>
      <c r="B17" s="18"/>
      <c r="C17" s="17">
        <f ca="1">IF(C$2=Inputs!$C112,Inputs!$C111,0)*(1+inf)^B$1</f>
        <v>0</v>
      </c>
      <c r="D17" s="17">
        <f ca="1">IF(D$2=Inputs!$C112,Inputs!$C111,0)*(1+inf)^C$1</f>
        <v>0</v>
      </c>
      <c r="E17" s="17">
        <f ca="1">IF(E$2=Inputs!$C112,Inputs!$C111,0)*(1+inf)^D$1</f>
        <v>0</v>
      </c>
      <c r="F17" s="17">
        <f ca="1">IF(F$2=Inputs!$C112,Inputs!$C111,0)*(1+inf)^E$1</f>
        <v>0</v>
      </c>
      <c r="G17" s="17">
        <f ca="1">IF(G$2=Inputs!$C112,Inputs!$C111,0)*(1+inf)^F$1</f>
        <v>0</v>
      </c>
      <c r="H17" s="17">
        <f ca="1">IF(H$2=Inputs!$C112,Inputs!$C111,0)*(1+inf)^G$1</f>
        <v>0</v>
      </c>
      <c r="I17" s="17">
        <f ca="1">IF(I$2=Inputs!$C112,Inputs!$C111,0)*(1+inf)^H$1</f>
        <v>28992.335455322256</v>
      </c>
      <c r="J17" s="17">
        <f ca="1">IF(J$2=Inputs!$C112,Inputs!$C111,0)*(1+inf)^I$1</f>
        <v>0</v>
      </c>
      <c r="K17" s="17">
        <f ca="1">IF(K$2=Inputs!$C112,Inputs!$C111,0)*(1+inf)^J$1</f>
        <v>0</v>
      </c>
      <c r="L17" s="17">
        <f ca="1">IF(L$2=Inputs!$C112,Inputs!$C111,0)*(1+inf)^K$1</f>
        <v>0</v>
      </c>
      <c r="M17" s="17">
        <f ca="1">IF(M$2=Inputs!$C112,Inputs!$C111,0)*(1+inf)^L$1</f>
        <v>0</v>
      </c>
      <c r="N17" s="17">
        <f ca="1">IF(N$2=Inputs!$C112,Inputs!$C111,0)*(1+inf)^M$1</f>
        <v>0</v>
      </c>
      <c r="O17" s="17">
        <f ca="1">IF(O$2=Inputs!$C112,Inputs!$C111,0)*(1+inf)^N$1</f>
        <v>0</v>
      </c>
      <c r="P17" s="17">
        <f ca="1">IF(P$2=Inputs!$C112,Inputs!$C111,0)*(1+inf)^O$1</f>
        <v>0</v>
      </c>
      <c r="Q17" s="17">
        <f ca="1">IF(Q$2=Inputs!$C112,Inputs!$C111,0)*(1+inf)^P$1</f>
        <v>0</v>
      </c>
      <c r="R17" s="17">
        <f ca="1">IF(R$2=Inputs!$C112,Inputs!$C111,0)*(1+inf)^Q$1</f>
        <v>0</v>
      </c>
      <c r="S17" s="17">
        <f ca="1">IF(S$2=Inputs!$C112,Inputs!$C111,0)*(1+inf)^R$1</f>
        <v>0</v>
      </c>
      <c r="T17" s="17">
        <f ca="1">IF(T$2=Inputs!$C112,Inputs!$C111,0)*(1+inf)^S$1</f>
        <v>0</v>
      </c>
      <c r="U17" s="17">
        <f ca="1">IF(U$2=Inputs!$C112,Inputs!$C111,0)*(1+inf)^T$1</f>
        <v>0</v>
      </c>
      <c r="V17" s="17">
        <f ca="1">IF(V$2=Inputs!$C112,Inputs!$C111,0)*(1+inf)^U$1</f>
        <v>0</v>
      </c>
      <c r="W17" s="17">
        <f ca="1">IF(W$2=Inputs!$C112,Inputs!$C111,0)*(1+inf)^V$1</f>
        <v>0</v>
      </c>
      <c r="X17" s="17">
        <f ca="1">IF(X$2=Inputs!$C112,Inputs!$C111,0)*(1+inf)^W$1</f>
        <v>0</v>
      </c>
      <c r="Y17" s="17">
        <f ca="1">IF(Y$2=Inputs!$C112,Inputs!$C111,0)*(1+inf)^X$1</f>
        <v>0</v>
      </c>
      <c r="Z17" s="17">
        <f ca="1">IF(Z$2=Inputs!$C112,Inputs!$C111,0)*(1+inf)^Y$1</f>
        <v>0</v>
      </c>
      <c r="AA17" s="17">
        <f ca="1">IF(AA$2=Inputs!$C112,Inputs!$C111,0)*(1+inf)^Z$1</f>
        <v>0</v>
      </c>
      <c r="AB17" s="17">
        <f ca="1">IF(AB$2=Inputs!$C112,Inputs!$C111,0)*(1+inf)^AA$1</f>
        <v>0</v>
      </c>
      <c r="AC17" s="17">
        <f ca="1">IF(AC$2=Inputs!$C112,Inputs!$C111,0)*(1+inf)^AB$1</f>
        <v>0</v>
      </c>
      <c r="AD17" s="17">
        <f ca="1">IF(AD$2=Inputs!$C112,Inputs!$C111,0)*(1+inf)^AC$1</f>
        <v>0</v>
      </c>
      <c r="AE17" s="17">
        <f ca="1">IF(AE$2=Inputs!$C112,Inputs!$C111,0)*(1+inf)^AD$1</f>
        <v>0</v>
      </c>
      <c r="AF17" s="17">
        <f ca="1">IF(AF$2=Inputs!$C112,Inputs!$C111,0)*(1+inf)^AE$1</f>
        <v>0</v>
      </c>
      <c r="AG17" s="17">
        <f ca="1">IF(AG$2=Inputs!$C112,Inputs!$C111,0)*(1+inf)^AF$1</f>
        <v>0</v>
      </c>
      <c r="AH17" s="17">
        <f ca="1">IF(AH$2=Inputs!$C112,Inputs!$C111,0)*(1+inf)^AG$1</f>
        <v>0</v>
      </c>
      <c r="AI17" s="17">
        <f ca="1">IF(AI$2=Inputs!$C112,Inputs!$C111,0)*(1+inf)^AH$1</f>
        <v>0</v>
      </c>
      <c r="AJ17" s="17">
        <f ca="1">IF(AJ$2=Inputs!$C112,Inputs!$C111,0)*(1+inf)^AI$1</f>
        <v>0</v>
      </c>
      <c r="AK17" s="17">
        <f ca="1">IF(AK$2=Inputs!$C112,Inputs!$C111,0)*(1+inf)^AJ$1</f>
        <v>0</v>
      </c>
      <c r="AL17" s="17">
        <f ca="1">IF(AL$2=Inputs!$C112,Inputs!$C111,0)*(1+inf)^AK$1</f>
        <v>0</v>
      </c>
      <c r="AM17" s="17">
        <f ca="1">IF(AM$2=Inputs!$C112,Inputs!$C111,0)*(1+inf)^AL$1</f>
        <v>0</v>
      </c>
    </row>
    <row r="18" spans="1:39" x14ac:dyDescent="0.2">
      <c r="A18" s="14" t="s">
        <v>9</v>
      </c>
      <c r="C18" s="17">
        <f ca="1">MAX(AVERAGE(C49,C49+SUM(C5:C17)-C46)*Inputs!$C$149,0)</f>
        <v>14994.800000000001</v>
      </c>
      <c r="D18" s="17">
        <f ca="1">MAX(AVERAGE(D49,D49+SUM(D5:D17)-D46)*Inputs!$C$149,0)</f>
        <v>18996.015377720109</v>
      </c>
      <c r="E18" s="17">
        <f ca="1">MAX(AVERAGE(E49,E49+SUM(E5:E17)-E46)*Inputs!$C$149,0)</f>
        <v>22463.439710366445</v>
      </c>
      <c r="F18" s="17">
        <f ca="1">MAX(AVERAGE(F49,F49+SUM(F5:F17)-F46)*Inputs!$C$149,0)</f>
        <v>26982.101103189787</v>
      </c>
      <c r="G18" s="17">
        <f ca="1">MAX(AVERAGE(G49,G49+SUM(G5:G17)-G46)*Inputs!$C$149,0)</f>
        <v>31411.005104949698</v>
      </c>
      <c r="H18" s="17">
        <f ca="1">MAX(AVERAGE(H49,H49+SUM(H5:H17)-H46)*Inputs!$C$149,0)</f>
        <v>36075.297649134758</v>
      </c>
      <c r="I18" s="17">
        <f ca="1">MAX(AVERAGE(I49,I49+SUM(I5:I17)-I46)*Inputs!$C$149,0)</f>
        <v>41935.670973567714</v>
      </c>
      <c r="J18" s="17">
        <f ca="1">MAX(AVERAGE(J49,J49+SUM(J5:J17)-J46)*Inputs!$C$149,0)</f>
        <v>48183.574700447651</v>
      </c>
      <c r="K18" s="17">
        <f ca="1">MAX(AVERAGE(K49,K49+SUM(K5:K17)-K46)*Inputs!$C$149,0)</f>
        <v>54020.133321170921</v>
      </c>
      <c r="L18" s="17">
        <f ca="1">MAX(AVERAGE(L49,L49+SUM(L5:L17)-L46)*Inputs!$C$149,0)</f>
        <v>60183.686657890852</v>
      </c>
      <c r="M18" s="17">
        <f ca="1">MAX(AVERAGE(M49,M49+SUM(M5:M17)-M46)*Inputs!$C$149,0)</f>
        <v>67068.797885136548</v>
      </c>
      <c r="N18" s="17">
        <f ca="1">MAX(AVERAGE(N49,N49+SUM(N5:N17)-N46)*Inputs!$C$149,0)</f>
        <v>74420.116932882214</v>
      </c>
      <c r="O18" s="17">
        <f ca="1">MAX(AVERAGE(O49,O49+SUM(O5:O17)-O46)*Inputs!$C$149,0)</f>
        <v>82363.991124810942</v>
      </c>
      <c r="P18" s="17">
        <f ca="1">MAX(AVERAGE(P49,P49+SUM(P5:P17)-P46)*Inputs!$C$149,0)</f>
        <v>90815.741748025888</v>
      </c>
      <c r="Q18" s="17">
        <f ca="1">MAX(AVERAGE(Q49,Q49+SUM(Q5:Q17)-Q46)*Inputs!$C$149,0)</f>
        <v>99681.51032539802</v>
      </c>
      <c r="R18" s="17">
        <f ca="1">MAX(AVERAGE(R49,R49+SUM(R5:R17)-R46)*Inputs!$C$149,0)</f>
        <v>108978.0026480191</v>
      </c>
      <c r="S18" s="17">
        <f ca="1">MAX(AVERAGE(S49,S49+SUM(S5:S17)-S46)*Inputs!$C$149,0)</f>
        <v>114989.11835856685</v>
      </c>
      <c r="T18" s="17">
        <f ca="1">MAX(AVERAGE(T49,T49+SUM(T5:T17)-T46)*Inputs!$C$149,0)</f>
        <v>117640.20648812417</v>
      </c>
      <c r="U18" s="17">
        <f ca="1">MAX(AVERAGE(U49,U49+SUM(U5:U17)-U46)*Inputs!$C$149,0)</f>
        <v>120473.67600798947</v>
      </c>
      <c r="V18" s="17">
        <f ca="1">MAX(AVERAGE(V49,V49+SUM(V5:V17)-V46)*Inputs!$C$149,0)</f>
        <v>123383.09490240534</v>
      </c>
      <c r="W18" s="17">
        <f ca="1">MAX(AVERAGE(W49,W49+SUM(W5:W17)-W46)*Inputs!$C$149,0)</f>
        <v>126370.72375247782</v>
      </c>
      <c r="X18" s="17">
        <f ca="1">MAX(AVERAGE(X49,X49+SUM(X5:X17)-X46)*Inputs!$C$149,0)</f>
        <v>129438.89572093391</v>
      </c>
      <c r="Y18" s="17">
        <f ca="1">MAX(AVERAGE(Y49,Y49+SUM(Y5:Y17)-Y46)*Inputs!$C$149,0)</f>
        <v>132590.01897896736</v>
      </c>
      <c r="Z18" s="17">
        <f ca="1">MAX(AVERAGE(Z49,Z49+SUM(Z5:Z17)-Z46)*Inputs!$C$149,0)</f>
        <v>135826.57921538173</v>
      </c>
      <c r="AA18" s="17">
        <f ca="1">MAX(AVERAGE(AA49,AA49+SUM(AA5:AA17)-AA46)*Inputs!$C$149,0)</f>
        <v>139151.14223081895</v>
      </c>
      <c r="AB18" s="17">
        <f ca="1">MAX(AVERAGE(AB49,AB49+SUM(AB5:AB17)-AB46)*Inputs!$C$149,0)</f>
        <v>142566.35661995425</v>
      </c>
      <c r="AC18" s="17">
        <f ca="1">MAX(AVERAGE(AC49,AC49+SUM(AC5:AC17)-AC46)*Inputs!$C$149,0)</f>
        <v>146074.95654463605</v>
      </c>
      <c r="AD18" s="17">
        <f ca="1">MAX(AVERAGE(AD49,AD49+SUM(AD5:AD17)-AD46)*Inputs!$C$149,0)</f>
        <v>149825.84960242044</v>
      </c>
      <c r="AE18" s="17">
        <f ca="1">MAX(AVERAGE(AE49,AE49+SUM(AE5:AE17)-AE46)*Inputs!$C$149,0)</f>
        <v>153829.2540382611</v>
      </c>
      <c r="AF18" s="17">
        <f ca="1">MAX(AVERAGE(AF49,AF49+SUM(AF5:AF17)-AF46)*Inputs!$C$149,0)</f>
        <v>157949.67146867636</v>
      </c>
      <c r="AG18" s="17">
        <f ca="1">MAX(AVERAGE(AG49,AG49+SUM(AG5:AG17)-AG46)*Inputs!$C$149,0)</f>
        <v>162190.764933486</v>
      </c>
      <c r="AH18" s="17">
        <f ca="1">MAX(AVERAGE(AH49,AH49+SUM(AH5:AH17)-AH46)*Inputs!$C$149,0)</f>
        <v>166556.3169269152</v>
      </c>
      <c r="AI18" s="17">
        <f ca="1">MAX(AVERAGE(AI49,AI49+SUM(AI5:AI17)-AI46)*Inputs!$C$149,0)</f>
        <v>171050.23336398081</v>
      </c>
      <c r="AJ18" s="17">
        <f ca="1">MAX(AVERAGE(AJ49,AJ49+SUM(AJ5:AJ17)-AJ46)*Inputs!$C$149,0)</f>
        <v>175676.54767903025</v>
      </c>
      <c r="AK18" s="17">
        <f ca="1">MAX(AVERAGE(AK49,AK49+SUM(AK5:AK17)-AK46)*Inputs!$C$149,0)</f>
        <v>180439.42506081579</v>
      </c>
      <c r="AL18" s="17">
        <f ca="1">MAX(AVERAGE(AL49,AL49+SUM(AL5:AL17)-AL46)*Inputs!$C$149,0)</f>
        <v>185343.16682863247</v>
      </c>
      <c r="AM18" s="17">
        <f ca="1">MAX(AVERAGE(AM49,AM49+SUM(AM5:AM17)-AM46)*Inputs!$C$149,0)</f>
        <v>190392.21495419543</v>
      </c>
    </row>
    <row r="19" spans="1:39" x14ac:dyDescent="0.2">
      <c r="C19" s="19">
        <f ca="1">SUM(C4:C18)</f>
        <v>336994.8</v>
      </c>
      <c r="D19" s="19">
        <f t="shared" ref="D19:G19" ca="1" si="5">SUM(D4:D18)</f>
        <v>268232.01537772012</v>
      </c>
      <c r="E19" s="19">
        <f t="shared" ca="1" si="5"/>
        <v>279151.9197103664</v>
      </c>
      <c r="F19" s="19">
        <f t="shared" ca="1" si="5"/>
        <v>299961.14550318982</v>
      </c>
      <c r="G19" s="19">
        <f t="shared" ca="1" si="5"/>
        <v>303679.99671194964</v>
      </c>
      <c r="H19" s="19">
        <f t="shared" ref="H19:AM19" ca="1" si="6">SUM(H4:H18)</f>
        <v>316485.86749496975</v>
      </c>
      <c r="I19" s="19">
        <f t="shared" ca="1" si="6"/>
        <v>365522.206664055</v>
      </c>
      <c r="J19" s="19">
        <f t="shared" ca="1" si="6"/>
        <v>351558.77596517536</v>
      </c>
      <c r="K19" s="19">
        <f t="shared" ca="1" si="6"/>
        <v>366438.34502191067</v>
      </c>
      <c r="L19" s="19">
        <f t="shared" ca="1" si="6"/>
        <v>381914.7429676748</v>
      </c>
      <c r="M19" s="19">
        <f t="shared" ca="1" si="6"/>
        <v>398390.59159868653</v>
      </c>
      <c r="N19" s="19">
        <f t="shared" ca="1" si="6"/>
        <v>409320.82435772702</v>
      </c>
      <c r="O19" s="19">
        <f t="shared" ca="1" si="6"/>
        <v>420554.47348472453</v>
      </c>
      <c r="P19" s="19">
        <f t="shared" ca="1" si="6"/>
        <v>439151.93857873685</v>
      </c>
      <c r="Q19" s="19">
        <f t="shared" ca="1" si="6"/>
        <v>458467.79306103033</v>
      </c>
      <c r="R19" s="19">
        <f t="shared" ca="1" si="6"/>
        <v>478527.87386572047</v>
      </c>
      <c r="S19" s="19">
        <f t="shared" ca="1" si="6"/>
        <v>196951.78220295021</v>
      </c>
      <c r="T19" s="19">
        <f t="shared" ca="1" si="6"/>
        <v>201950.41232628952</v>
      </c>
      <c r="U19" s="19">
        <f t="shared" ca="1" si="6"/>
        <v>207199.06665171147</v>
      </c>
      <c r="V19" s="19">
        <f t="shared" ca="1" si="6"/>
        <v>212593.27286161104</v>
      </c>
      <c r="W19" s="19">
        <f t="shared" ca="1" si="6"/>
        <v>218137.30828653599</v>
      </c>
      <c r="X19" s="19">
        <f t="shared" ca="1" si="6"/>
        <v>223835.58155799206</v>
      </c>
      <c r="Y19" s="19">
        <f t="shared" ca="1" si="6"/>
        <v>229692.63675228992</v>
      </c>
      <c r="Z19" s="19">
        <f t="shared" ca="1" si="6"/>
        <v>235713.15766708547</v>
      </c>
      <c r="AA19" s="19">
        <f t="shared" ca="1" si="6"/>
        <v>241901.97223488483</v>
      </c>
      <c r="AB19" s="19">
        <f t="shared" ca="1" si="6"/>
        <v>248264.05707792341</v>
      </c>
      <c r="AC19" s="19">
        <f t="shared" ca="1" si="6"/>
        <v>254804.54220897012</v>
      </c>
      <c r="AD19" s="19">
        <f t="shared" ca="1" si="6"/>
        <v>261674.80088412602</v>
      </c>
      <c r="AE19" s="19">
        <f t="shared" ca="1" si="6"/>
        <v>268887.5888570454</v>
      </c>
      <c r="AF19" s="19">
        <f t="shared" ca="1" si="6"/>
        <v>276310.01920561737</v>
      </c>
      <c r="AG19" s="19">
        <f t="shared" ca="1" si="6"/>
        <v>283948.44254796824</v>
      </c>
      <c r="AH19" s="19">
        <f t="shared" ca="1" si="6"/>
        <v>291809.40730140079</v>
      </c>
      <c r="AI19" s="19">
        <f t="shared" ca="1" si="6"/>
        <v>299899.66594205907</v>
      </c>
      <c r="AJ19" s="19">
        <f t="shared" ca="1" si="6"/>
        <v>308226.18146411795</v>
      </c>
      <c r="AK19" s="19">
        <f t="shared" ca="1" si="6"/>
        <v>316796.1340448648</v>
      </c>
      <c r="AL19" s="19">
        <f t="shared" ca="1" si="6"/>
        <v>325616.92792224692</v>
      </c>
      <c r="AM19" s="19">
        <f t="shared" ca="1" si="6"/>
        <v>334696.19849166332</v>
      </c>
    </row>
    <row r="20" spans="1:39" ht="19" x14ac:dyDescent="0.25">
      <c r="A20" s="25" t="s">
        <v>19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x14ac:dyDescent="0.2">
      <c r="A21" s="14" t="s">
        <v>82</v>
      </c>
      <c r="C21" s="17">
        <f>Inputs!C75</f>
        <v>2000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17">
        <v>0</v>
      </c>
      <c r="AH21" s="17">
        <v>0</v>
      </c>
      <c r="AI21" s="17">
        <v>0</v>
      </c>
      <c r="AJ21" s="17">
        <v>0</v>
      </c>
      <c r="AK21" s="17">
        <v>0</v>
      </c>
      <c r="AL21" s="17">
        <v>0</v>
      </c>
      <c r="AM21" s="17">
        <v>0</v>
      </c>
    </row>
    <row r="22" spans="1:39" x14ac:dyDescent="0.2">
      <c r="A22" s="14" t="s">
        <v>14</v>
      </c>
      <c r="C22" s="17">
        <f>MAX(IF(C$1*12&lt;=Inputs!$H$15,12,(Inputs!$H$15-B$1*12)),0)*Inputs!$C$17</f>
        <v>30000</v>
      </c>
      <c r="D22" s="17">
        <f>MAX(IF(D$1*12&lt;=Inputs!$H$15,12,(Inputs!$H$15-C$1*12)),0)*Inputs!$C$17</f>
        <v>30000</v>
      </c>
      <c r="E22" s="17">
        <f>MAX(IF(E$1*12&lt;=Inputs!$H$15,12,(Inputs!$H$15-D$1*12)),0)*Inputs!$C$17</f>
        <v>30000</v>
      </c>
      <c r="F22" s="17">
        <f>MAX(IF(F$1*12&lt;=Inputs!$H$15,12,(Inputs!$H$15-E$1*12)),0)*Inputs!$C$17</f>
        <v>30000</v>
      </c>
      <c r="G22" s="17">
        <f>MAX(IF(G$1*12&lt;=Inputs!$H$15,12,(Inputs!$H$15-F$1*12)),0)*Inputs!$C$17</f>
        <v>30000</v>
      </c>
      <c r="H22" s="17">
        <f>MAX(IF(H$1*12&lt;=Inputs!$H$15,12,(Inputs!$H$15-G$1*12)),0)*Inputs!$C$17</f>
        <v>30000</v>
      </c>
      <c r="I22" s="17">
        <f>MAX(IF(I$1*12&lt;=Inputs!$H$15,12,(Inputs!$H$15-H$1*12)),0)*Inputs!$C$17</f>
        <v>30000</v>
      </c>
      <c r="J22" s="17">
        <f>MAX(IF(J$1*12&lt;=Inputs!$H$15,12,(Inputs!$H$15-I$1*12)),0)*Inputs!$C$17</f>
        <v>30000</v>
      </c>
      <c r="K22" s="17">
        <f>MAX(IF(K$1*12&lt;=Inputs!$H$15,12,(Inputs!$H$15-J$1*12)),0)*Inputs!$C$17</f>
        <v>30000</v>
      </c>
      <c r="L22" s="17">
        <f>MAX(IF(L$1*12&lt;=Inputs!$H$15,12,(Inputs!$H$15-K$1*12)),0)*Inputs!$C$17</f>
        <v>30000</v>
      </c>
      <c r="M22" s="17">
        <f>MAX(IF(M$1*12&lt;=Inputs!$H$15,12,(Inputs!$H$15-L$1*12)),0)*Inputs!$C$17</f>
        <v>30000</v>
      </c>
      <c r="N22" s="17">
        <f>MAX(IF(N$1*12&lt;=Inputs!$H$15,12,(Inputs!$H$15-M$1*12)),0)*Inputs!$C$17</f>
        <v>15577.964800567159</v>
      </c>
      <c r="O22" s="17">
        <f>MAX(IF(O$1*12&lt;=Inputs!$H$15,12,(Inputs!$H$15-N$1*12)),0)*Inputs!$C$17</f>
        <v>0</v>
      </c>
      <c r="P22" s="17">
        <f>MAX(IF(P$1*12&lt;=Inputs!$H$15,12,(Inputs!$H$15-O$1*12)),0)*Inputs!$C$17</f>
        <v>0</v>
      </c>
      <c r="Q22" s="17">
        <f>MAX(IF(Q$1*12&lt;=Inputs!$H$15,12,(Inputs!$H$15-P$1*12)),0)*Inputs!$C$17</f>
        <v>0</v>
      </c>
      <c r="R22" s="17">
        <f>MAX(IF(R$1*12&lt;=Inputs!$H$15,12,(Inputs!$H$15-Q$1*12)),0)*Inputs!$C$17</f>
        <v>0</v>
      </c>
      <c r="S22" s="17">
        <f>MAX(IF(S$1*12&lt;=Inputs!$H$15,12,(Inputs!$H$15-R$1*12)),0)*Inputs!$C$17</f>
        <v>0</v>
      </c>
      <c r="T22" s="17">
        <f>MAX(IF(T$1*12&lt;=Inputs!$H$15,12,(Inputs!$H$15-S$1*12)),0)*Inputs!$C$17</f>
        <v>0</v>
      </c>
      <c r="U22" s="17">
        <f>MAX(IF(U$1*12&lt;=Inputs!$H$15,12,(Inputs!$H$15-T$1*12)),0)*Inputs!$C$17</f>
        <v>0</v>
      </c>
      <c r="V22" s="17">
        <f>MAX(IF(V$1*12&lt;=Inputs!$H$15,12,(Inputs!$H$15-U$1*12)),0)*Inputs!$C$17</f>
        <v>0</v>
      </c>
      <c r="W22" s="17">
        <f>MAX(IF(W$1*12&lt;=Inputs!$H$15,12,(Inputs!$H$15-V$1*12)),0)*Inputs!$C$17</f>
        <v>0</v>
      </c>
      <c r="X22" s="17">
        <f>MAX(IF(X$1*12&lt;=Inputs!$H$15,12,(Inputs!$H$15-W$1*12)),0)*Inputs!$C$17</f>
        <v>0</v>
      </c>
      <c r="Y22" s="17">
        <f>MAX(IF(Y$1*12&lt;=Inputs!$H$15,12,(Inputs!$H$15-X$1*12)),0)*Inputs!$C$17</f>
        <v>0</v>
      </c>
      <c r="Z22" s="17">
        <f>MAX(IF(Z$1*12&lt;=Inputs!$H$15,12,(Inputs!$H$15-Y$1*12)),0)*Inputs!$C$17</f>
        <v>0</v>
      </c>
      <c r="AA22" s="17">
        <f>MAX(IF(AA$1*12&lt;=Inputs!$H$15,12,(Inputs!$H$15-Z$1*12)),0)*Inputs!$C$17</f>
        <v>0</v>
      </c>
      <c r="AB22" s="17">
        <f>MAX(IF(AB$1*12&lt;=Inputs!$H$15,12,(Inputs!$H$15-AA$1*12)),0)*Inputs!$C$17</f>
        <v>0</v>
      </c>
      <c r="AC22" s="17">
        <f>MAX(IF(AC$1*12&lt;=Inputs!$H$15,12,(Inputs!$H$15-AB$1*12)),0)*Inputs!$C$17</f>
        <v>0</v>
      </c>
      <c r="AD22" s="17">
        <f>MAX(IF(AD$1*12&lt;=Inputs!$H$15,12,(Inputs!$H$15-AC$1*12)),0)*Inputs!$C$17</f>
        <v>0</v>
      </c>
      <c r="AE22" s="17">
        <f>MAX(IF(AE$1*12&lt;=Inputs!$H$15,12,(Inputs!$H$15-AD$1*12)),0)*Inputs!$C$17</f>
        <v>0</v>
      </c>
      <c r="AF22" s="17">
        <f>MAX(IF(AF$1*12&lt;=Inputs!$H$15,12,(Inputs!$H$15-AE$1*12)),0)*Inputs!$C$17</f>
        <v>0</v>
      </c>
      <c r="AG22" s="17">
        <f>MAX(IF(AG$1*12&lt;=Inputs!$H$15,12,(Inputs!$H$15-AF$1*12)),0)*Inputs!$C$17</f>
        <v>0</v>
      </c>
      <c r="AH22" s="17">
        <f>MAX(IF(AH$1*12&lt;=Inputs!$H$15,12,(Inputs!$H$15-AG$1*12)),0)*Inputs!$C$17</f>
        <v>0</v>
      </c>
      <c r="AI22" s="17">
        <f>MAX(IF(AI$1*12&lt;=Inputs!$H$15,12,(Inputs!$H$15-AH$1*12)),0)*Inputs!$C$17</f>
        <v>0</v>
      </c>
      <c r="AJ22" s="17">
        <f>MAX(IF(AJ$1*12&lt;=Inputs!$H$15,12,(Inputs!$H$15-AI$1*12)),0)*Inputs!$C$17</f>
        <v>0</v>
      </c>
      <c r="AK22" s="17">
        <f>MAX(IF(AK$1*12&lt;=Inputs!$H$15,12,(Inputs!$H$15-AJ$1*12)),0)*Inputs!$C$17</f>
        <v>0</v>
      </c>
      <c r="AL22" s="17">
        <f>MAX(IF(AL$1*12&lt;=Inputs!$H$15,12,(Inputs!$H$15-AK$1*12)),0)*Inputs!$C$17</f>
        <v>0</v>
      </c>
      <c r="AM22" s="17">
        <f>MAX(IF(AM$1*12&lt;=Inputs!$H$15,12,(Inputs!$H$15-AL$1*12)),0)*Inputs!$C$17</f>
        <v>0</v>
      </c>
    </row>
    <row r="23" spans="1:39" x14ac:dyDescent="0.2">
      <c r="A23" s="14" t="s">
        <v>59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x14ac:dyDescent="0.2">
      <c r="A24" s="13" t="str">
        <f>TEXT(Inputs!$C$50,"")</f>
        <v>Sliema</v>
      </c>
      <c r="C24" s="17">
        <f>MAX(IF(C$1*12&lt;=Inputs!$H$78,12,(Inputs!$H$78-B$1*12)),0)*Inputs!$C$80</f>
        <v>6000</v>
      </c>
      <c r="D24" s="17">
        <f>MAX(IF(D$1*12&lt;=Inputs!$H$78,12,(Inputs!$H$78-C$1*12)),0)*Inputs!$C$80</f>
        <v>6000</v>
      </c>
      <c r="E24" s="17">
        <f>MAX(IF(E$1*12&lt;=Inputs!$H$78,12,(Inputs!$H$78-D$1*12)),0)*Inputs!$C$80</f>
        <v>6000</v>
      </c>
      <c r="F24" s="17">
        <f>MAX(IF(F$1*12&lt;=Inputs!$H$78,12,(Inputs!$H$78-E$1*12)),0)*Inputs!$C$80</f>
        <v>2904.4757765440395</v>
      </c>
      <c r="G24" s="17">
        <f>MAX(IF(G$1*12&lt;=Inputs!$H$78,12,(Inputs!$H$78-F$1*12)),0)*Inputs!$C$80</f>
        <v>0</v>
      </c>
      <c r="H24" s="17">
        <f>MAX(IF(H$1*12&lt;=Inputs!$H$78,12,(Inputs!$H$78-G$1*12)),0)*Inputs!$C$80</f>
        <v>0</v>
      </c>
      <c r="I24" s="17">
        <f>MAX(IF(I$1*12&lt;=Inputs!$H$78,12,(Inputs!$H$78-H$1*12)),0)*Inputs!$C$80</f>
        <v>0</v>
      </c>
      <c r="J24" s="17">
        <f>MAX(IF(J$1*12&lt;=Inputs!$H$78,12,(Inputs!$H$78-I$1*12)),0)*Inputs!$C$80</f>
        <v>0</v>
      </c>
      <c r="K24" s="17">
        <f>MAX(IF(K$1*12&lt;=Inputs!$H$78,12,(Inputs!$H$78-J$1*12)),0)*Inputs!$C$80</f>
        <v>0</v>
      </c>
      <c r="L24" s="17">
        <f>MAX(IF(L$1*12&lt;=Inputs!$H$78,12,(Inputs!$H$78-K$1*12)),0)*Inputs!$C$80</f>
        <v>0</v>
      </c>
      <c r="M24" s="17">
        <f>MAX(IF(M$1*12&lt;=Inputs!$H$78,12,(Inputs!$H$78-L$1*12)),0)*Inputs!$C$80</f>
        <v>0</v>
      </c>
      <c r="N24" s="17">
        <f>MAX(IF(N$1*12&lt;=Inputs!$H$78,12,(Inputs!$H$78-M$1*12)),0)*Inputs!$C$80</f>
        <v>0</v>
      </c>
      <c r="O24" s="17">
        <f>MAX(IF(O$1*12&lt;=Inputs!$H$78,12,(Inputs!$H$78-N$1*12)),0)*Inputs!$C$80</f>
        <v>0</v>
      </c>
      <c r="P24" s="17">
        <f>MAX(IF(P$1*12&lt;=Inputs!$H$78,12,(Inputs!$H$78-O$1*12)),0)*Inputs!$C$80</f>
        <v>0</v>
      </c>
      <c r="Q24" s="17">
        <f>MAX(IF(Q$1*12&lt;=Inputs!$H$78,12,(Inputs!$H$78-P$1*12)),0)*Inputs!$C$80</f>
        <v>0</v>
      </c>
      <c r="R24" s="17">
        <f>MAX(IF(R$1*12&lt;=Inputs!$H$78,12,(Inputs!$H$78-Q$1*12)),0)*Inputs!$C$80</f>
        <v>0</v>
      </c>
      <c r="S24" s="17">
        <f>MAX(IF(S$1*12&lt;=Inputs!$H$78,12,(Inputs!$H$78-R$1*12)),0)*Inputs!$C$80</f>
        <v>0</v>
      </c>
      <c r="T24" s="17">
        <f>MAX(IF(T$1*12&lt;=Inputs!$H$78,12,(Inputs!$H$78-S$1*12)),0)*Inputs!$C$80</f>
        <v>0</v>
      </c>
      <c r="U24" s="17">
        <f>MAX(IF(U$1*12&lt;=Inputs!$H$78,12,(Inputs!$H$78-T$1*12)),0)*Inputs!$C$80</f>
        <v>0</v>
      </c>
      <c r="V24" s="17">
        <f>MAX(IF(V$1*12&lt;=Inputs!$H$78,12,(Inputs!$H$78-U$1*12)),0)*Inputs!$C$80</f>
        <v>0</v>
      </c>
      <c r="W24" s="17">
        <f>MAX(IF(W$1*12&lt;=Inputs!$H$78,12,(Inputs!$H$78-V$1*12)),0)*Inputs!$C$80</f>
        <v>0</v>
      </c>
      <c r="X24" s="17">
        <f>MAX(IF(X$1*12&lt;=Inputs!$H$78,12,(Inputs!$H$78-W$1*12)),0)*Inputs!$C$80</f>
        <v>0</v>
      </c>
      <c r="Y24" s="17">
        <f>MAX(IF(Y$1*12&lt;=Inputs!$H$78,12,(Inputs!$H$78-X$1*12)),0)*Inputs!$C$80</f>
        <v>0</v>
      </c>
      <c r="Z24" s="17">
        <f>MAX(IF(Z$1*12&lt;=Inputs!$H$78,12,(Inputs!$H$78-Y$1*12)),0)*Inputs!$C$80</f>
        <v>0</v>
      </c>
      <c r="AA24" s="17">
        <f>MAX(IF(AA$1*12&lt;=Inputs!$H$78,12,(Inputs!$H$78-Z$1*12)),0)*Inputs!$C$80</f>
        <v>0</v>
      </c>
      <c r="AB24" s="17">
        <f>MAX(IF(AB$1*12&lt;=Inputs!$H$78,12,(Inputs!$H$78-AA$1*12)),0)*Inputs!$C$80</f>
        <v>0</v>
      </c>
      <c r="AC24" s="17">
        <f>MAX(IF(AC$1*12&lt;=Inputs!$H$78,12,(Inputs!$H$78-AB$1*12)),0)*Inputs!$C$80</f>
        <v>0</v>
      </c>
      <c r="AD24" s="17">
        <f>MAX(IF(AD$1*12&lt;=Inputs!$H$78,12,(Inputs!$H$78-AC$1*12)),0)*Inputs!$C$80</f>
        <v>0</v>
      </c>
      <c r="AE24" s="17">
        <f>MAX(IF(AE$1*12&lt;=Inputs!$H$78,12,(Inputs!$H$78-AD$1*12)),0)*Inputs!$C$80</f>
        <v>0</v>
      </c>
      <c r="AF24" s="17">
        <f>MAX(IF(AF$1*12&lt;=Inputs!$H$78,12,(Inputs!$H$78-AE$1*12)),0)*Inputs!$C$80</f>
        <v>0</v>
      </c>
      <c r="AG24" s="17">
        <f>MAX(IF(AG$1*12&lt;=Inputs!$H$78,12,(Inputs!$H$78-AF$1*12)),0)*Inputs!$C$80</f>
        <v>0</v>
      </c>
      <c r="AH24" s="17">
        <f>MAX(IF(AH$1*12&lt;=Inputs!$H$78,12,(Inputs!$H$78-AG$1*12)),0)*Inputs!$C$80</f>
        <v>0</v>
      </c>
      <c r="AI24" s="17">
        <f>MAX(IF(AI$1*12&lt;=Inputs!$H$78,12,(Inputs!$H$78-AH$1*12)),0)*Inputs!$C$80</f>
        <v>0</v>
      </c>
      <c r="AJ24" s="17">
        <f>MAX(IF(AJ$1*12&lt;=Inputs!$H$78,12,(Inputs!$H$78-AI$1*12)),0)*Inputs!$C$80</f>
        <v>0</v>
      </c>
      <c r="AK24" s="17">
        <f>MAX(IF(AK$1*12&lt;=Inputs!$H$78,12,(Inputs!$H$78-AJ$1*12)),0)*Inputs!$C$80</f>
        <v>0</v>
      </c>
      <c r="AL24" s="17">
        <f>MAX(IF(AL$1*12&lt;=Inputs!$H$78,12,(Inputs!$H$78-AK$1*12)),0)*Inputs!$C$80</f>
        <v>0</v>
      </c>
      <c r="AM24" s="17">
        <f>MAX(IF(AM$1*12&lt;=Inputs!$H$78,12,(Inputs!$H$78-AL$1*12)),0)*Inputs!$C$80</f>
        <v>0</v>
      </c>
    </row>
    <row r="25" spans="1:39" x14ac:dyDescent="0.2">
      <c r="A25" s="13" t="str">
        <f>TEXT(Inputs!$C$55,"")</f>
        <v>Gzira</v>
      </c>
      <c r="C25" s="17">
        <f>MAX(IF(C$1*12&lt;=Inputs!$H$83,12,(Inputs!$H$83-B$1*12)),0)*Inputs!$C$85</f>
        <v>5400</v>
      </c>
      <c r="D25" s="17">
        <f>MAX(IF(D$1*12&lt;=Inputs!$H$83,12,(Inputs!$H$83-C$1*12)),0)*Inputs!$C$85</f>
        <v>4901.3697823913271</v>
      </c>
      <c r="E25" s="17">
        <f>MAX(IF(E$1*12&lt;=Inputs!$H$83,12,(Inputs!$H$83-D$1*12)),0)*Inputs!$C$85</f>
        <v>0</v>
      </c>
      <c r="F25" s="17">
        <f>MAX(IF(F$1*12&lt;=Inputs!$H$83,12,(Inputs!$H$83-E$1*12)),0)*Inputs!$C$85</f>
        <v>0</v>
      </c>
      <c r="G25" s="17">
        <f>MAX(IF(G$1*12&lt;=Inputs!$H$83,12,(Inputs!$H$83-F$1*12)),0)*Inputs!$C$85</f>
        <v>0</v>
      </c>
      <c r="H25" s="17">
        <f>MAX(IF(H$1*12&lt;=Inputs!$H$83,12,(Inputs!$H$83-G$1*12)),0)*Inputs!$C$85</f>
        <v>0</v>
      </c>
      <c r="I25" s="17">
        <f>MAX(IF(I$1*12&lt;=Inputs!$H$83,12,(Inputs!$H$83-H$1*12)),0)*Inputs!$C$85</f>
        <v>0</v>
      </c>
      <c r="J25" s="17">
        <f>MAX(IF(J$1*12&lt;=Inputs!$H$83,12,(Inputs!$H$83-I$1*12)),0)*Inputs!$C$85</f>
        <v>0</v>
      </c>
      <c r="K25" s="17">
        <f>MAX(IF(K$1*12&lt;=Inputs!$H$83,12,(Inputs!$H$83-J$1*12)),0)*Inputs!$C$85</f>
        <v>0</v>
      </c>
      <c r="L25" s="17">
        <f>MAX(IF(L$1*12&lt;=Inputs!$H$83,12,(Inputs!$H$83-K$1*12)),0)*Inputs!$C$85</f>
        <v>0</v>
      </c>
      <c r="M25" s="17">
        <f>MAX(IF(M$1*12&lt;=Inputs!$H$83,12,(Inputs!$H$83-L$1*12)),0)*Inputs!$C$85</f>
        <v>0</v>
      </c>
      <c r="N25" s="17">
        <f>MAX(IF(N$1*12&lt;=Inputs!$H$83,12,(Inputs!$H$83-M$1*12)),0)*Inputs!$C$85</f>
        <v>0</v>
      </c>
      <c r="O25" s="17">
        <f>MAX(IF(O$1*12&lt;=Inputs!$H$83,12,(Inputs!$H$83-N$1*12)),0)*Inputs!$C$85</f>
        <v>0</v>
      </c>
      <c r="P25" s="17">
        <f>MAX(IF(P$1*12&lt;=Inputs!$H$83,12,(Inputs!$H$83-O$1*12)),0)*Inputs!$C$85</f>
        <v>0</v>
      </c>
      <c r="Q25" s="17">
        <f>MAX(IF(Q$1*12&lt;=Inputs!$H$83,12,(Inputs!$H$83-P$1*12)),0)*Inputs!$C$85</f>
        <v>0</v>
      </c>
      <c r="R25" s="17">
        <f>MAX(IF(R$1*12&lt;=Inputs!$H$83,12,(Inputs!$H$83-Q$1*12)),0)*Inputs!$C$85</f>
        <v>0</v>
      </c>
      <c r="S25" s="17">
        <f>MAX(IF(S$1*12&lt;=Inputs!$H$83,12,(Inputs!$H$83-R$1*12)),0)*Inputs!$C$85</f>
        <v>0</v>
      </c>
      <c r="T25" s="17">
        <f>MAX(IF(T$1*12&lt;=Inputs!$H$83,12,(Inputs!$H$83-S$1*12)),0)*Inputs!$C$85</f>
        <v>0</v>
      </c>
      <c r="U25" s="17">
        <f>MAX(IF(U$1*12&lt;=Inputs!$H$83,12,(Inputs!$H$83-T$1*12)),0)*Inputs!$C$85</f>
        <v>0</v>
      </c>
      <c r="V25" s="17">
        <f>MAX(IF(V$1*12&lt;=Inputs!$H$83,12,(Inputs!$H$83-U$1*12)),0)*Inputs!$C$85</f>
        <v>0</v>
      </c>
      <c r="W25" s="17">
        <f>MAX(IF(W$1*12&lt;=Inputs!$H$83,12,(Inputs!$H$83-V$1*12)),0)*Inputs!$C$85</f>
        <v>0</v>
      </c>
      <c r="X25" s="17">
        <f>MAX(IF(X$1*12&lt;=Inputs!$H$83,12,(Inputs!$H$83-W$1*12)),0)*Inputs!$C$85</f>
        <v>0</v>
      </c>
      <c r="Y25" s="17">
        <f>MAX(IF(Y$1*12&lt;=Inputs!$H$83,12,(Inputs!$H$83-X$1*12)),0)*Inputs!$C$85</f>
        <v>0</v>
      </c>
      <c r="Z25" s="17">
        <f>MAX(IF(Z$1*12&lt;=Inputs!$H$83,12,(Inputs!$H$83-Y$1*12)),0)*Inputs!$C$85</f>
        <v>0</v>
      </c>
      <c r="AA25" s="17">
        <f>MAX(IF(AA$1*12&lt;=Inputs!$H$83,12,(Inputs!$H$83-Z$1*12)),0)*Inputs!$C$85</f>
        <v>0</v>
      </c>
      <c r="AB25" s="17">
        <f>MAX(IF(AB$1*12&lt;=Inputs!$H$83,12,(Inputs!$H$83-AA$1*12)),0)*Inputs!$C$85</f>
        <v>0</v>
      </c>
      <c r="AC25" s="17">
        <f>MAX(IF(AC$1*12&lt;=Inputs!$H$83,12,(Inputs!$H$83-AB$1*12)),0)*Inputs!$C$85</f>
        <v>0</v>
      </c>
      <c r="AD25" s="17">
        <f>MAX(IF(AD$1*12&lt;=Inputs!$H$83,12,(Inputs!$H$83-AC$1*12)),0)*Inputs!$C$85</f>
        <v>0</v>
      </c>
      <c r="AE25" s="17">
        <f>MAX(IF(AE$1*12&lt;=Inputs!$H$83,12,(Inputs!$H$83-AD$1*12)),0)*Inputs!$C$85</f>
        <v>0</v>
      </c>
      <c r="AF25" s="17">
        <f>MAX(IF(AF$1*12&lt;=Inputs!$H$83,12,(Inputs!$H$83-AE$1*12)),0)*Inputs!$C$85</f>
        <v>0</v>
      </c>
      <c r="AG25" s="17">
        <f>MAX(IF(AG$1*12&lt;=Inputs!$H$83,12,(Inputs!$H$83-AF$1*12)),0)*Inputs!$C$85</f>
        <v>0</v>
      </c>
      <c r="AH25" s="17">
        <f>MAX(IF(AH$1*12&lt;=Inputs!$H$83,12,(Inputs!$H$83-AG$1*12)),0)*Inputs!$C$85</f>
        <v>0</v>
      </c>
      <c r="AI25" s="17">
        <f>MAX(IF(AI$1*12&lt;=Inputs!$H$83,12,(Inputs!$H$83-AH$1*12)),0)*Inputs!$C$85</f>
        <v>0</v>
      </c>
      <c r="AJ25" s="17">
        <f>MAX(IF(AJ$1*12&lt;=Inputs!$H$83,12,(Inputs!$H$83-AI$1*12)),0)*Inputs!$C$85</f>
        <v>0</v>
      </c>
      <c r="AK25" s="17">
        <f>MAX(IF(AK$1*12&lt;=Inputs!$H$83,12,(Inputs!$H$83-AJ$1*12)),0)*Inputs!$C$85</f>
        <v>0</v>
      </c>
      <c r="AL25" s="17">
        <f>MAX(IF(AL$1*12&lt;=Inputs!$H$83,12,(Inputs!$H$83-AK$1*12)),0)*Inputs!$C$85</f>
        <v>0</v>
      </c>
      <c r="AM25" s="17">
        <f>MAX(IF(AM$1*12&lt;=Inputs!$H$83,12,(Inputs!$H$83-AL$1*12)),0)*Inputs!$C$85</f>
        <v>0</v>
      </c>
    </row>
    <row r="26" spans="1:39" x14ac:dyDescent="0.2">
      <c r="A26" s="13" t="str">
        <f>TEXT(Inputs!$C$60,"")</f>
        <v>Hamrun</v>
      </c>
      <c r="C26" s="17">
        <f>MAX(IF(C$1*12&lt;=Inputs!$H$88,12,(Inputs!$H$88-B$1*12)),0)*Inputs!$C$90</f>
        <v>2256</v>
      </c>
      <c r="D26" s="17">
        <f>MAX(IF(D$1*12&lt;=Inputs!$H$88,12,(Inputs!$H$88-C$1*12)),0)*Inputs!$C$90</f>
        <v>2256</v>
      </c>
      <c r="E26" s="17">
        <f>MAX(IF(E$1*12&lt;=Inputs!$H$88,12,(Inputs!$H$88-D$1*12)),0)*Inputs!$C$90</f>
        <v>668.44436134205262</v>
      </c>
      <c r="F26" s="17">
        <f>MAX(IF(F$1*12&lt;=Inputs!$H$88,12,(Inputs!$H$88-E$1*12)),0)*Inputs!$C$90</f>
        <v>0</v>
      </c>
      <c r="G26" s="17">
        <f>MAX(IF(G$1*12&lt;=Inputs!$H$88,12,(Inputs!$H$88-F$1*12)),0)*Inputs!$C$90</f>
        <v>0</v>
      </c>
      <c r="H26" s="17">
        <f>MAX(IF(H$1*12&lt;=Inputs!$H$88,12,(Inputs!$H$88-G$1*12)),0)*Inputs!$C$90</f>
        <v>0</v>
      </c>
      <c r="I26" s="17">
        <f>MAX(IF(I$1*12&lt;=Inputs!$H$88,12,(Inputs!$H$88-H$1*12)),0)*Inputs!$C$90</f>
        <v>0</v>
      </c>
      <c r="J26" s="17">
        <f>MAX(IF(J$1*12&lt;=Inputs!$H$88,12,(Inputs!$H$88-I$1*12)),0)*Inputs!$C$90</f>
        <v>0</v>
      </c>
      <c r="K26" s="17">
        <f>MAX(IF(K$1*12&lt;=Inputs!$H$88,12,(Inputs!$H$88-J$1*12)),0)*Inputs!$C$90</f>
        <v>0</v>
      </c>
      <c r="L26" s="17">
        <f>MAX(IF(L$1*12&lt;=Inputs!$H$88,12,(Inputs!$H$88-K$1*12)),0)*Inputs!$C$90</f>
        <v>0</v>
      </c>
      <c r="M26" s="17">
        <f>MAX(IF(M$1*12&lt;=Inputs!$H$88,12,(Inputs!$H$88-L$1*12)),0)*Inputs!$C$90</f>
        <v>0</v>
      </c>
      <c r="N26" s="17">
        <f>MAX(IF(N$1*12&lt;=Inputs!$H$88,12,(Inputs!$H$88-M$1*12)),0)*Inputs!$C$90</f>
        <v>0</v>
      </c>
      <c r="O26" s="17">
        <f>MAX(IF(O$1*12&lt;=Inputs!$H$88,12,(Inputs!$H$88-N$1*12)),0)*Inputs!$C$90</f>
        <v>0</v>
      </c>
      <c r="P26" s="17">
        <f>MAX(IF(P$1*12&lt;=Inputs!$H$88,12,(Inputs!$H$88-O$1*12)),0)*Inputs!$C$90</f>
        <v>0</v>
      </c>
      <c r="Q26" s="17">
        <f>MAX(IF(Q$1*12&lt;=Inputs!$H$88,12,(Inputs!$H$88-P$1*12)),0)*Inputs!$C$90</f>
        <v>0</v>
      </c>
      <c r="R26" s="17">
        <f>MAX(IF(R$1*12&lt;=Inputs!$H$88,12,(Inputs!$H$88-Q$1*12)),0)*Inputs!$C$90</f>
        <v>0</v>
      </c>
      <c r="S26" s="17">
        <f>MAX(IF(S$1*12&lt;=Inputs!$H$88,12,(Inputs!$H$88-R$1*12)),0)*Inputs!$C$90</f>
        <v>0</v>
      </c>
      <c r="T26" s="17">
        <f>MAX(IF(T$1*12&lt;=Inputs!$H$88,12,(Inputs!$H$88-S$1*12)),0)*Inputs!$C$90</f>
        <v>0</v>
      </c>
      <c r="U26" s="17">
        <f>MAX(IF(U$1*12&lt;=Inputs!$H$88,12,(Inputs!$H$88-T$1*12)),0)*Inputs!$C$90</f>
        <v>0</v>
      </c>
      <c r="V26" s="17">
        <f>MAX(IF(V$1*12&lt;=Inputs!$H$88,12,(Inputs!$H$88-U$1*12)),0)*Inputs!$C$90</f>
        <v>0</v>
      </c>
      <c r="W26" s="17">
        <f>MAX(IF(W$1*12&lt;=Inputs!$H$88,12,(Inputs!$H$88-V$1*12)),0)*Inputs!$C$90</f>
        <v>0</v>
      </c>
      <c r="X26" s="17">
        <f>MAX(IF(X$1*12&lt;=Inputs!$H$88,12,(Inputs!$H$88-W$1*12)),0)*Inputs!$C$90</f>
        <v>0</v>
      </c>
      <c r="Y26" s="17">
        <f>MAX(IF(Y$1*12&lt;=Inputs!$H$88,12,(Inputs!$H$88-X$1*12)),0)*Inputs!$C$90</f>
        <v>0</v>
      </c>
      <c r="Z26" s="17">
        <f>MAX(IF(Z$1*12&lt;=Inputs!$H$88,12,(Inputs!$H$88-Y$1*12)),0)*Inputs!$C$90</f>
        <v>0</v>
      </c>
      <c r="AA26" s="17">
        <f>MAX(IF(AA$1*12&lt;=Inputs!$H$88,12,(Inputs!$H$88-Z$1*12)),0)*Inputs!$C$90</f>
        <v>0</v>
      </c>
      <c r="AB26" s="17">
        <f>MAX(IF(AB$1*12&lt;=Inputs!$H$88,12,(Inputs!$H$88-AA$1*12)),0)*Inputs!$C$90</f>
        <v>0</v>
      </c>
      <c r="AC26" s="17">
        <f>MAX(IF(AC$1*12&lt;=Inputs!$H$88,12,(Inputs!$H$88-AB$1*12)),0)*Inputs!$C$90</f>
        <v>0</v>
      </c>
      <c r="AD26" s="17">
        <f>MAX(IF(AD$1*12&lt;=Inputs!$H$88,12,(Inputs!$H$88-AC$1*12)),0)*Inputs!$C$90</f>
        <v>0</v>
      </c>
      <c r="AE26" s="17">
        <f>MAX(IF(AE$1*12&lt;=Inputs!$H$88,12,(Inputs!$H$88-AD$1*12)),0)*Inputs!$C$90</f>
        <v>0</v>
      </c>
      <c r="AF26" s="17">
        <f>MAX(IF(AF$1*12&lt;=Inputs!$H$88,12,(Inputs!$H$88-AE$1*12)),0)*Inputs!$C$90</f>
        <v>0</v>
      </c>
      <c r="AG26" s="17">
        <f>MAX(IF(AG$1*12&lt;=Inputs!$H$88,12,(Inputs!$H$88-AF$1*12)),0)*Inputs!$C$90</f>
        <v>0</v>
      </c>
      <c r="AH26" s="17">
        <f>MAX(IF(AH$1*12&lt;=Inputs!$H$88,12,(Inputs!$H$88-AG$1*12)),0)*Inputs!$C$90</f>
        <v>0</v>
      </c>
      <c r="AI26" s="17">
        <f>MAX(IF(AI$1*12&lt;=Inputs!$H$88,12,(Inputs!$H$88-AH$1*12)),0)*Inputs!$C$90</f>
        <v>0</v>
      </c>
      <c r="AJ26" s="17">
        <f>MAX(IF(AJ$1*12&lt;=Inputs!$H$88,12,(Inputs!$H$88-AI$1*12)),0)*Inputs!$C$90</f>
        <v>0</v>
      </c>
      <c r="AK26" s="17">
        <f>MAX(IF(AK$1*12&lt;=Inputs!$H$88,12,(Inputs!$H$88-AJ$1*12)),0)*Inputs!$C$90</f>
        <v>0</v>
      </c>
      <c r="AL26" s="17">
        <f>MAX(IF(AL$1*12&lt;=Inputs!$H$88,12,(Inputs!$H$88-AK$1*12)),0)*Inputs!$C$90</f>
        <v>0</v>
      </c>
      <c r="AM26" s="17">
        <f>MAX(IF(AM$1*12&lt;=Inputs!$H$88,12,(Inputs!$H$88-AL$1*12)),0)*Inputs!$C$90</f>
        <v>0</v>
      </c>
    </row>
    <row r="27" spans="1:39" x14ac:dyDescent="0.2">
      <c r="A27" s="14" t="s">
        <v>40</v>
      </c>
      <c r="C27" s="17">
        <f>MAX(IF(C$1*12&lt;=Inputs!$H$93,12,(Inputs!$H$93-B$1*12)),0)*Inputs!$C$95</f>
        <v>960</v>
      </c>
      <c r="D27" s="17">
        <f>MAX(IF(D$1*12&lt;=Inputs!$H$93,12,(Inputs!$H$93-C$1*12)),0)*Inputs!$C$95</f>
        <v>960</v>
      </c>
      <c r="E27" s="17">
        <f>MAX(IF(E$1*12&lt;=Inputs!$H$93,12,(Inputs!$H$93-D$1*12)),0)*Inputs!$C$95</f>
        <v>960</v>
      </c>
      <c r="F27" s="17">
        <f>MAX(IF(F$1*12&lt;=Inputs!$H$93,12,(Inputs!$H$93-E$1*12)),0)*Inputs!$C$95</f>
        <v>450.52850697963436</v>
      </c>
      <c r="G27" s="17">
        <f>MAX(IF(G$1*12&lt;=Inputs!$H$93,12,(Inputs!$H$93-F$1*12)),0)*Inputs!$C$95</f>
        <v>0</v>
      </c>
      <c r="H27" s="17">
        <f>MAX(IF(H$1*12&lt;=Inputs!$H$93,12,(Inputs!$H$93-G$1*12)),0)*Inputs!$C$95</f>
        <v>0</v>
      </c>
      <c r="I27" s="17">
        <f>MAX(IF(I$1*12&lt;=Inputs!$H$93,12,(Inputs!$H$93-H$1*12)),0)*Inputs!$C$95</f>
        <v>0</v>
      </c>
      <c r="J27" s="17">
        <f>MAX(IF(J$1*12&lt;=Inputs!$H$93,12,(Inputs!$H$93-I$1*12)),0)*Inputs!$C$95</f>
        <v>0</v>
      </c>
      <c r="K27" s="17">
        <f>MAX(IF(K$1*12&lt;=Inputs!$H$93,12,(Inputs!$H$93-J$1*12)),0)*Inputs!$C$95</f>
        <v>0</v>
      </c>
      <c r="L27" s="17">
        <f>MAX(IF(L$1*12&lt;=Inputs!$H$93,12,(Inputs!$H$93-K$1*12)),0)*Inputs!$C$95</f>
        <v>0</v>
      </c>
      <c r="M27" s="17">
        <f>MAX(IF(M$1*12&lt;=Inputs!$H$93,12,(Inputs!$H$93-L$1*12)),0)*Inputs!$C$95</f>
        <v>0</v>
      </c>
      <c r="N27" s="17">
        <f>MAX(IF(N$1*12&lt;=Inputs!$H$93,12,(Inputs!$H$93-M$1*12)),0)*Inputs!$C$95</f>
        <v>0</v>
      </c>
      <c r="O27" s="17">
        <f>MAX(IF(O$1*12&lt;=Inputs!$H$93,12,(Inputs!$H$93-N$1*12)),0)*Inputs!$C$95</f>
        <v>0</v>
      </c>
      <c r="P27" s="17">
        <f>MAX(IF(P$1*12&lt;=Inputs!$H$93,12,(Inputs!$H$93-O$1*12)),0)*Inputs!$C$95</f>
        <v>0</v>
      </c>
      <c r="Q27" s="17">
        <f>MAX(IF(Q$1*12&lt;=Inputs!$H$93,12,(Inputs!$H$93-P$1*12)),0)*Inputs!$C$95</f>
        <v>0</v>
      </c>
      <c r="R27" s="17">
        <f>MAX(IF(R$1*12&lt;=Inputs!$H$93,12,(Inputs!$H$93-Q$1*12)),0)*Inputs!$C$95</f>
        <v>0</v>
      </c>
      <c r="S27" s="17">
        <f>MAX(IF(S$1*12&lt;=Inputs!$H$93,12,(Inputs!$H$93-R$1*12)),0)*Inputs!$C$95</f>
        <v>0</v>
      </c>
      <c r="T27" s="17">
        <f>MAX(IF(T$1*12&lt;=Inputs!$H$93,12,(Inputs!$H$93-S$1*12)),0)*Inputs!$C$95</f>
        <v>0</v>
      </c>
      <c r="U27" s="17">
        <f>MAX(IF(U$1*12&lt;=Inputs!$H$93,12,(Inputs!$H$93-T$1*12)),0)*Inputs!$C$95</f>
        <v>0</v>
      </c>
      <c r="V27" s="17">
        <f>MAX(IF(V$1*12&lt;=Inputs!$H$93,12,(Inputs!$H$93-U$1*12)),0)*Inputs!$C$95</f>
        <v>0</v>
      </c>
      <c r="W27" s="17">
        <f>MAX(IF(W$1*12&lt;=Inputs!$H$93,12,(Inputs!$H$93-V$1*12)),0)*Inputs!$C$95</f>
        <v>0</v>
      </c>
      <c r="X27" s="17">
        <f>MAX(IF(X$1*12&lt;=Inputs!$H$93,12,(Inputs!$H$93-W$1*12)),0)*Inputs!$C$95</f>
        <v>0</v>
      </c>
      <c r="Y27" s="17">
        <f>MAX(IF(Y$1*12&lt;=Inputs!$H$93,12,(Inputs!$H$93-X$1*12)),0)*Inputs!$C$95</f>
        <v>0</v>
      </c>
      <c r="Z27" s="17">
        <f>MAX(IF(Z$1*12&lt;=Inputs!$H$93,12,(Inputs!$H$93-Y$1*12)),0)*Inputs!$C$95</f>
        <v>0</v>
      </c>
      <c r="AA27" s="17">
        <f>MAX(IF(AA$1*12&lt;=Inputs!$H$93,12,(Inputs!$H$93-Z$1*12)),0)*Inputs!$C$95</f>
        <v>0</v>
      </c>
      <c r="AB27" s="17">
        <f>MAX(IF(AB$1*12&lt;=Inputs!$H$93,12,(Inputs!$H$93-AA$1*12)),0)*Inputs!$C$95</f>
        <v>0</v>
      </c>
      <c r="AC27" s="17">
        <f>MAX(IF(AC$1*12&lt;=Inputs!$H$93,12,(Inputs!$H$93-AB$1*12)),0)*Inputs!$C$95</f>
        <v>0</v>
      </c>
      <c r="AD27" s="17">
        <f>MAX(IF(AD$1*12&lt;=Inputs!$H$93,12,(Inputs!$H$93-AC$1*12)),0)*Inputs!$C$95</f>
        <v>0</v>
      </c>
      <c r="AE27" s="17">
        <f>MAX(IF(AE$1*12&lt;=Inputs!$H$93,12,(Inputs!$H$93-AD$1*12)),0)*Inputs!$C$95</f>
        <v>0</v>
      </c>
      <c r="AF27" s="17">
        <f>MAX(IF(AF$1*12&lt;=Inputs!$H$93,12,(Inputs!$H$93-AE$1*12)),0)*Inputs!$C$95</f>
        <v>0</v>
      </c>
      <c r="AG27" s="17">
        <f>MAX(IF(AG$1*12&lt;=Inputs!$H$93,12,(Inputs!$H$93-AF$1*12)),0)*Inputs!$C$95</f>
        <v>0</v>
      </c>
      <c r="AH27" s="17">
        <f>MAX(IF(AH$1*12&lt;=Inputs!$H$93,12,(Inputs!$H$93-AG$1*12)),0)*Inputs!$C$95</f>
        <v>0</v>
      </c>
      <c r="AI27" s="17">
        <f>MAX(IF(AI$1*12&lt;=Inputs!$H$93,12,(Inputs!$H$93-AH$1*12)),0)*Inputs!$C$95</f>
        <v>0</v>
      </c>
      <c r="AJ27" s="17">
        <f>MAX(IF(AJ$1*12&lt;=Inputs!$H$93,12,(Inputs!$H$93-AI$1*12)),0)*Inputs!$C$95</f>
        <v>0</v>
      </c>
      <c r="AK27" s="17">
        <f>MAX(IF(AK$1*12&lt;=Inputs!$H$93,12,(Inputs!$H$93-AJ$1*12)),0)*Inputs!$C$95</f>
        <v>0</v>
      </c>
      <c r="AL27" s="17">
        <f>MAX(IF(AL$1*12&lt;=Inputs!$H$93,12,(Inputs!$H$93-AK$1*12)),0)*Inputs!$C$95</f>
        <v>0</v>
      </c>
      <c r="AM27" s="17">
        <f>MAX(IF(AM$1*12&lt;=Inputs!$H$93,12,(Inputs!$H$93-AL$1*12)),0)*Inputs!$C$95</f>
        <v>0</v>
      </c>
    </row>
    <row r="28" spans="1:39" x14ac:dyDescent="0.2">
      <c r="A28" s="14" t="s">
        <v>60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x14ac:dyDescent="0.2">
      <c r="A29" s="13" t="str">
        <f>TEXT(Inputs!C33,"")</f>
        <v xml:space="preserve">John </v>
      </c>
      <c r="B29" s="18"/>
      <c r="C29" s="17">
        <f>IF(Inputs!$C$35&gt;=C$1,Inputs!$C$34,0)*(1+inf)^B$1</f>
        <v>5000</v>
      </c>
      <c r="D29" s="17">
        <f>IF(Inputs!$C$35&gt;=D$1,Inputs!$C$34,0)*(1+inf)^C$1</f>
        <v>5125</v>
      </c>
      <c r="E29" s="17">
        <f>IF(Inputs!$C$35&gt;=E$1,Inputs!$C$34,0)*(1+inf)^D$1</f>
        <v>0</v>
      </c>
      <c r="F29" s="17">
        <f>IF(Inputs!$C$35&gt;=F$1,Inputs!$C$34,0)*(1+inf)^E$1</f>
        <v>0</v>
      </c>
      <c r="G29" s="17">
        <f>IF(Inputs!$C$35&gt;=G$1,Inputs!$C$34,0)*(1+inf)^F$1</f>
        <v>0</v>
      </c>
      <c r="H29" s="17">
        <f>IF(Inputs!$C$35&gt;=H$1,Inputs!$C$34,0)*(1+inf)^G$1</f>
        <v>0</v>
      </c>
      <c r="I29" s="17">
        <f>IF(Inputs!$C$35&gt;=I$1,Inputs!$C$34,0)*(1+inf)^H$1</f>
        <v>0</v>
      </c>
      <c r="J29" s="17">
        <f>IF(Inputs!$C$35&gt;=J$1,Inputs!$C$34,0)*(1+inf)^I$1</f>
        <v>0</v>
      </c>
      <c r="K29" s="17">
        <f>IF(Inputs!$C$35&gt;=K$1,Inputs!$C$34,0)*(1+inf)^J$1</f>
        <v>0</v>
      </c>
      <c r="L29" s="17">
        <f>IF(Inputs!$C$35&gt;=L$1,Inputs!$C$34,0)*(1+inf)^K$1</f>
        <v>0</v>
      </c>
      <c r="M29" s="17">
        <f>IF(Inputs!$C$35&gt;=M$1,Inputs!$C$34,0)*(1+inf)^L$1</f>
        <v>0</v>
      </c>
      <c r="N29" s="17">
        <f>IF(Inputs!$C$35&gt;=N$1,Inputs!$C$34,0)*(1+inf)^M$1</f>
        <v>0</v>
      </c>
      <c r="O29" s="17">
        <f>IF(Inputs!$C$35&gt;=O$1,Inputs!$C$34,0)*(1+inf)^N$1</f>
        <v>0</v>
      </c>
      <c r="P29" s="17">
        <f>IF(Inputs!$C$35&gt;=P$1,Inputs!$C$34,0)*(1+inf)^O$1</f>
        <v>0</v>
      </c>
      <c r="Q29" s="17">
        <f>IF(Inputs!$C$35&gt;=Q$1,Inputs!$C$34,0)*(1+inf)^P$1</f>
        <v>0</v>
      </c>
      <c r="R29" s="17">
        <f>IF(Inputs!$C$35&gt;=R$1,Inputs!$C$34,0)*(1+inf)^Q$1</f>
        <v>0</v>
      </c>
      <c r="S29" s="17">
        <f>IF(Inputs!$C$35&gt;=S$1,Inputs!$C$34,0)*(1+inf)^R$1</f>
        <v>0</v>
      </c>
      <c r="T29" s="17">
        <f>IF(Inputs!$C$35&gt;=T$1,Inputs!$C$34,0)*(1+inf)^S$1</f>
        <v>0</v>
      </c>
      <c r="U29" s="17">
        <f>IF(Inputs!$C$35&gt;=U$1,Inputs!$C$34,0)*(1+inf)^T$1</f>
        <v>0</v>
      </c>
      <c r="V29" s="17">
        <f>IF(Inputs!$C$35&gt;=V$1,Inputs!$C$34,0)*(1+inf)^U$1</f>
        <v>0</v>
      </c>
      <c r="W29" s="17">
        <f>IF(Inputs!$C$35&gt;=W$1,Inputs!$C$34,0)*(1+inf)^V$1</f>
        <v>0</v>
      </c>
      <c r="X29" s="17">
        <f>IF(Inputs!$C$35&gt;=X$1,Inputs!$C$34,0)*(1+inf)^W$1</f>
        <v>0</v>
      </c>
      <c r="Y29" s="17">
        <f>IF(Inputs!$C$35&gt;=Y$1,Inputs!$C$34,0)*(1+inf)^X$1</f>
        <v>0</v>
      </c>
      <c r="Z29" s="17">
        <f>IF(Inputs!$C$35&gt;=Z$1,Inputs!$C$34,0)*(1+inf)^Y$1</f>
        <v>0</v>
      </c>
      <c r="AA29" s="17">
        <f>IF(Inputs!$C$35&gt;=AA$1,Inputs!$C$34,0)*(1+inf)^Z$1</f>
        <v>0</v>
      </c>
      <c r="AB29" s="17">
        <f>IF(Inputs!$C$35&gt;=AB$1,Inputs!$C$34,0)*(1+inf)^AA$1</f>
        <v>0</v>
      </c>
      <c r="AC29" s="17">
        <f>IF(Inputs!$C$35&gt;=AC$1,Inputs!$C$34,0)*(1+inf)^AB$1</f>
        <v>0</v>
      </c>
      <c r="AD29" s="17">
        <f>IF(Inputs!$C$35&gt;=AD$1,Inputs!$C$34,0)*(1+inf)^AC$1</f>
        <v>0</v>
      </c>
      <c r="AE29" s="17">
        <f>IF(Inputs!$C$35&gt;=AE$1,Inputs!$C$34,0)*(1+inf)^AD$1</f>
        <v>0</v>
      </c>
      <c r="AF29" s="17">
        <f>IF(Inputs!$C$35&gt;=AF$1,Inputs!$C$34,0)*(1+inf)^AE$1</f>
        <v>0</v>
      </c>
      <c r="AG29" s="17">
        <f>IF(Inputs!$C$35&gt;=AG$1,Inputs!$C$34,0)*(1+inf)^AF$1</f>
        <v>0</v>
      </c>
      <c r="AH29" s="17">
        <f>IF(Inputs!$C$35&gt;=AH$1,Inputs!$C$34,0)*(1+inf)^AG$1</f>
        <v>0</v>
      </c>
      <c r="AI29" s="17">
        <f>IF(Inputs!$C$35&gt;=AI$1,Inputs!$C$34,0)*(1+inf)^AH$1</f>
        <v>0</v>
      </c>
      <c r="AJ29" s="17">
        <f>IF(Inputs!$C$35&gt;=AJ$1,Inputs!$C$34,0)*(1+inf)^AI$1</f>
        <v>0</v>
      </c>
      <c r="AK29" s="17">
        <f>IF(Inputs!$C$35&gt;=AK$1,Inputs!$C$34,0)*(1+inf)^AJ$1</f>
        <v>0</v>
      </c>
      <c r="AL29" s="17">
        <f>IF(Inputs!$C$35&gt;=AL$1,Inputs!$C$34,0)*(1+inf)^AK$1</f>
        <v>0</v>
      </c>
      <c r="AM29" s="17">
        <f>IF(Inputs!$C$35&gt;=AM$1,Inputs!$C$34,0)*(1+inf)^AL$1</f>
        <v>0</v>
      </c>
    </row>
    <row r="30" spans="1:39" x14ac:dyDescent="0.2">
      <c r="A30" s="13" t="str">
        <f>TEXT(Inputs!C38,"")</f>
        <v>Jack</v>
      </c>
      <c r="B30" s="18"/>
      <c r="C30" s="17">
        <f>IF(Inputs!$C$40&gt;=C$1,Inputs!$C$39,0)*(1+inf)^B$1</f>
        <v>4000</v>
      </c>
      <c r="D30" s="17">
        <f>IF(Inputs!$C$40&gt;=D$1,Inputs!$C$39,0)*(1+inf)^C$1</f>
        <v>0</v>
      </c>
      <c r="E30" s="17">
        <f>IF(Inputs!$C$40&gt;=E$1,Inputs!$C$39,0)*(1+inf)^D$1</f>
        <v>0</v>
      </c>
      <c r="F30" s="17">
        <f>IF(Inputs!$C$40&gt;=F$1,Inputs!$C$39,0)*(1+inf)^E$1</f>
        <v>0</v>
      </c>
      <c r="G30" s="17">
        <f>IF(Inputs!$C$40&gt;=G$1,Inputs!$C$39,0)*(1+inf)^F$1</f>
        <v>0</v>
      </c>
      <c r="H30" s="17">
        <f>IF(Inputs!$C$40&gt;=H$1,Inputs!$C$39,0)*(1+inf)^G$1</f>
        <v>0</v>
      </c>
      <c r="I30" s="17">
        <f>IF(Inputs!$C$40&gt;=I$1,Inputs!$C$39,0)*(1+inf)^H$1</f>
        <v>0</v>
      </c>
      <c r="J30" s="17">
        <f>IF(Inputs!$C$40&gt;=J$1,Inputs!$C$39,0)*(1+inf)^I$1</f>
        <v>0</v>
      </c>
      <c r="K30" s="17">
        <f>IF(Inputs!$C$40&gt;=K$1,Inputs!$C$39,0)*(1+inf)^J$1</f>
        <v>0</v>
      </c>
      <c r="L30" s="17">
        <f>IF(Inputs!$C$40&gt;=L$1,Inputs!$C$39,0)*(1+inf)^K$1</f>
        <v>0</v>
      </c>
      <c r="M30" s="17">
        <f>IF(Inputs!$C$40&gt;=M$1,Inputs!$C$39,0)*(1+inf)^L$1</f>
        <v>0</v>
      </c>
      <c r="N30" s="17">
        <f>IF(Inputs!$C$40&gt;=N$1,Inputs!$C$39,0)*(1+inf)^M$1</f>
        <v>0</v>
      </c>
      <c r="O30" s="17">
        <f>IF(Inputs!$C$40&gt;=O$1,Inputs!$C$39,0)*(1+inf)^N$1</f>
        <v>0</v>
      </c>
      <c r="P30" s="17">
        <f>IF(Inputs!$C$40&gt;=P$1,Inputs!$C$39,0)*(1+inf)^O$1</f>
        <v>0</v>
      </c>
      <c r="Q30" s="17">
        <f>IF(Inputs!$C$40&gt;=Q$1,Inputs!$C$39,0)*(1+inf)^P$1</f>
        <v>0</v>
      </c>
      <c r="R30" s="17">
        <f>IF(Inputs!$C$40&gt;=R$1,Inputs!$C$39,0)*(1+inf)^Q$1</f>
        <v>0</v>
      </c>
      <c r="S30" s="17">
        <f>IF(Inputs!$C$40&gt;=S$1,Inputs!$C$39,0)*(1+inf)^R$1</f>
        <v>0</v>
      </c>
      <c r="T30" s="17">
        <f>IF(Inputs!$C$40&gt;=T$1,Inputs!$C$39,0)*(1+inf)^S$1</f>
        <v>0</v>
      </c>
      <c r="U30" s="17">
        <f>IF(Inputs!$C$40&gt;=U$1,Inputs!$C$39,0)*(1+inf)^T$1</f>
        <v>0</v>
      </c>
      <c r="V30" s="17">
        <f>IF(Inputs!$C$40&gt;=V$1,Inputs!$C$39,0)*(1+inf)^U$1</f>
        <v>0</v>
      </c>
      <c r="W30" s="17">
        <f>IF(Inputs!$C$40&gt;=W$1,Inputs!$C$39,0)*(1+inf)^V$1</f>
        <v>0</v>
      </c>
      <c r="X30" s="17">
        <f>IF(Inputs!$C$40&gt;=X$1,Inputs!$C$39,0)*(1+inf)^W$1</f>
        <v>0</v>
      </c>
      <c r="Y30" s="17">
        <f>IF(Inputs!$C$40&gt;=Y$1,Inputs!$C$39,0)*(1+inf)^X$1</f>
        <v>0</v>
      </c>
      <c r="Z30" s="17">
        <f>IF(Inputs!$C$40&gt;=Z$1,Inputs!$C$39,0)*(1+inf)^Y$1</f>
        <v>0</v>
      </c>
      <c r="AA30" s="17">
        <f>IF(Inputs!$C$40&gt;=AA$1,Inputs!$C$39,0)*(1+inf)^Z$1</f>
        <v>0</v>
      </c>
      <c r="AB30" s="17">
        <f>IF(Inputs!$C$40&gt;=AB$1,Inputs!$C$39,0)*(1+inf)^AA$1</f>
        <v>0</v>
      </c>
      <c r="AC30" s="17">
        <f>IF(Inputs!$C$40&gt;=AC$1,Inputs!$C$39,0)*(1+inf)^AB$1</f>
        <v>0</v>
      </c>
      <c r="AD30" s="17">
        <f>IF(Inputs!$C$40&gt;=AD$1,Inputs!$C$39,0)*(1+inf)^AC$1</f>
        <v>0</v>
      </c>
      <c r="AE30" s="17">
        <f>IF(Inputs!$C$40&gt;=AE$1,Inputs!$C$39,0)*(1+inf)^AD$1</f>
        <v>0</v>
      </c>
      <c r="AF30" s="17">
        <f>IF(Inputs!$C$40&gt;=AF$1,Inputs!$C$39,0)*(1+inf)^AE$1</f>
        <v>0</v>
      </c>
      <c r="AG30" s="17">
        <f>IF(Inputs!$C$40&gt;=AG$1,Inputs!$C$39,0)*(1+inf)^AF$1</f>
        <v>0</v>
      </c>
      <c r="AH30" s="17">
        <f>IF(Inputs!$C$40&gt;=AH$1,Inputs!$C$39,0)*(1+inf)^AG$1</f>
        <v>0</v>
      </c>
      <c r="AI30" s="17">
        <f>IF(Inputs!$C$40&gt;=AI$1,Inputs!$C$39,0)*(1+inf)^AH$1</f>
        <v>0</v>
      </c>
      <c r="AJ30" s="17">
        <f>IF(Inputs!$C$40&gt;=AJ$1,Inputs!$C$39,0)*(1+inf)^AI$1</f>
        <v>0</v>
      </c>
      <c r="AK30" s="17">
        <f>IF(Inputs!$C$40&gt;=AK$1,Inputs!$C$39,0)*(1+inf)^AJ$1</f>
        <v>0</v>
      </c>
      <c r="AL30" s="17">
        <f>IF(Inputs!$C$40&gt;=AL$1,Inputs!$C$39,0)*(1+inf)^AK$1</f>
        <v>0</v>
      </c>
      <c r="AM30" s="17">
        <f>IF(Inputs!$C$40&gt;=AM$1,Inputs!$C$39,0)*(1+inf)^AL$1</f>
        <v>0</v>
      </c>
    </row>
    <row r="31" spans="1:39" x14ac:dyDescent="0.2">
      <c r="A31" s="13" t="str">
        <f>TEXT(Inputs!C43,"")</f>
        <v>Bill</v>
      </c>
      <c r="B31" s="18"/>
      <c r="C31" s="17">
        <f>IF(Inputs!$C$45&gt;=C$1,Inputs!$C$44,0)*(1+inf)^B$1</f>
        <v>2500</v>
      </c>
      <c r="D31" s="17">
        <f>IF(Inputs!$C$45&gt;=D$1,Inputs!$C$44,0)*(1+inf)^C$1</f>
        <v>2562.5</v>
      </c>
      <c r="E31" s="17">
        <f>IF(Inputs!$C$45&gt;=E$1,Inputs!$C$44,0)*(1+inf)^D$1</f>
        <v>2626.5625</v>
      </c>
      <c r="F31" s="17">
        <f>IF(Inputs!$C$45&gt;=F$1,Inputs!$C$44,0)*(1+inf)^E$1</f>
        <v>2692.2265624999995</v>
      </c>
      <c r="G31" s="17">
        <f>IF(Inputs!$C$45&gt;=G$1,Inputs!$C$44,0)*(1+inf)^F$1</f>
        <v>0</v>
      </c>
      <c r="H31" s="17">
        <f>IF(Inputs!$C$45&gt;=H$1,Inputs!$C$44,0)*(1+inf)^G$1</f>
        <v>0</v>
      </c>
      <c r="I31" s="17">
        <f>IF(Inputs!$C$45&gt;=I$1,Inputs!$C$44,0)*(1+inf)^H$1</f>
        <v>0</v>
      </c>
      <c r="J31" s="17">
        <f>IF(Inputs!$C$45&gt;=J$1,Inputs!$C$44,0)*(1+inf)^I$1</f>
        <v>0</v>
      </c>
      <c r="K31" s="17">
        <f>IF(Inputs!$C$45&gt;=K$1,Inputs!$C$44,0)*(1+inf)^J$1</f>
        <v>0</v>
      </c>
      <c r="L31" s="17">
        <f>IF(Inputs!$C$45&gt;=L$1,Inputs!$C$44,0)*(1+inf)^K$1</f>
        <v>0</v>
      </c>
      <c r="M31" s="17">
        <f>IF(Inputs!$C$45&gt;=M$1,Inputs!$C$44,0)*(1+inf)^L$1</f>
        <v>0</v>
      </c>
      <c r="N31" s="17">
        <f>IF(Inputs!$C$45&gt;=N$1,Inputs!$C$44,0)*(1+inf)^M$1</f>
        <v>0</v>
      </c>
      <c r="O31" s="17">
        <f>IF(Inputs!$C$45&gt;=O$1,Inputs!$C$44,0)*(1+inf)^N$1</f>
        <v>0</v>
      </c>
      <c r="P31" s="17">
        <f>IF(Inputs!$C$45&gt;=P$1,Inputs!$C$44,0)*(1+inf)^O$1</f>
        <v>0</v>
      </c>
      <c r="Q31" s="17">
        <f>IF(Inputs!$C$45&gt;=Q$1,Inputs!$C$44,0)*(1+inf)^P$1</f>
        <v>0</v>
      </c>
      <c r="R31" s="17">
        <f>IF(Inputs!$C$45&gt;=R$1,Inputs!$C$44,0)*(1+inf)^Q$1</f>
        <v>0</v>
      </c>
      <c r="S31" s="17">
        <f>IF(Inputs!$C$45&gt;=S$1,Inputs!$C$44,0)*(1+inf)^R$1</f>
        <v>0</v>
      </c>
      <c r="T31" s="17">
        <f>IF(Inputs!$C$45&gt;=T$1,Inputs!$C$44,0)*(1+inf)^S$1</f>
        <v>0</v>
      </c>
      <c r="U31" s="17">
        <f>IF(Inputs!$C$45&gt;=U$1,Inputs!$C$44,0)*(1+inf)^T$1</f>
        <v>0</v>
      </c>
      <c r="V31" s="17">
        <f>IF(Inputs!$C$45&gt;=V$1,Inputs!$C$44,0)*(1+inf)^U$1</f>
        <v>0</v>
      </c>
      <c r="W31" s="17">
        <f>IF(Inputs!$C$45&gt;=W$1,Inputs!$C$44,0)*(1+inf)^V$1</f>
        <v>0</v>
      </c>
      <c r="X31" s="17">
        <f>IF(Inputs!$C$45&gt;=X$1,Inputs!$C$44,0)*(1+inf)^W$1</f>
        <v>0</v>
      </c>
      <c r="Y31" s="17">
        <f>IF(Inputs!$C$45&gt;=Y$1,Inputs!$C$44,0)*(1+inf)^X$1</f>
        <v>0</v>
      </c>
      <c r="Z31" s="17">
        <f>IF(Inputs!$C$45&gt;=Z$1,Inputs!$C$44,0)*(1+inf)^Y$1</f>
        <v>0</v>
      </c>
      <c r="AA31" s="17">
        <f>IF(Inputs!$C$45&gt;=AA$1,Inputs!$C$44,0)*(1+inf)^Z$1</f>
        <v>0</v>
      </c>
      <c r="AB31" s="17">
        <f>IF(Inputs!$C$45&gt;=AB$1,Inputs!$C$44,0)*(1+inf)^AA$1</f>
        <v>0</v>
      </c>
      <c r="AC31" s="17">
        <f>IF(Inputs!$C$45&gt;=AC$1,Inputs!$C$44,0)*(1+inf)^AB$1</f>
        <v>0</v>
      </c>
      <c r="AD31" s="17">
        <f>IF(Inputs!$C$45&gt;=AD$1,Inputs!$C$44,0)*(1+inf)^AC$1</f>
        <v>0</v>
      </c>
      <c r="AE31" s="17">
        <f>IF(Inputs!$C$45&gt;=AE$1,Inputs!$C$44,0)*(1+inf)^AD$1</f>
        <v>0</v>
      </c>
      <c r="AF31" s="17">
        <f>IF(Inputs!$C$45&gt;=AF$1,Inputs!$C$44,0)*(1+inf)^AE$1</f>
        <v>0</v>
      </c>
      <c r="AG31" s="17">
        <f>IF(Inputs!$C$45&gt;=AG$1,Inputs!$C$44,0)*(1+inf)^AF$1</f>
        <v>0</v>
      </c>
      <c r="AH31" s="17">
        <f>IF(Inputs!$C$45&gt;=AH$1,Inputs!$C$44,0)*(1+inf)^AG$1</f>
        <v>0</v>
      </c>
      <c r="AI31" s="17">
        <f>IF(Inputs!$C$45&gt;=AI$1,Inputs!$C$44,0)*(1+inf)^AH$1</f>
        <v>0</v>
      </c>
      <c r="AJ31" s="17">
        <f>IF(Inputs!$C$45&gt;=AJ$1,Inputs!$C$44,0)*(1+inf)^AI$1</f>
        <v>0</v>
      </c>
      <c r="AK31" s="17">
        <f>IF(Inputs!$C$45&gt;=AK$1,Inputs!$C$44,0)*(1+inf)^AJ$1</f>
        <v>0</v>
      </c>
      <c r="AL31" s="17">
        <f>IF(Inputs!$C$45&gt;=AL$1,Inputs!$C$44,0)*(1+inf)^AK$1</f>
        <v>0</v>
      </c>
      <c r="AM31" s="17">
        <f>IF(Inputs!$C$45&gt;=AM$1,Inputs!$C$44,0)*(1+inf)^AL$1</f>
        <v>0</v>
      </c>
    </row>
    <row r="32" spans="1:39" x14ac:dyDescent="0.2">
      <c r="A32" s="14" t="s">
        <v>6</v>
      </c>
      <c r="B32" s="18"/>
      <c r="C32" s="17">
        <f>Inputs!$C$23*(1+inf)^B$1</f>
        <v>0</v>
      </c>
      <c r="D32" s="17">
        <f>Inputs!$C$23*(1+inf)^C$1</f>
        <v>0</v>
      </c>
      <c r="E32" s="17">
        <f>Inputs!$C$23*(1+inf)^D$1</f>
        <v>0</v>
      </c>
      <c r="F32" s="17">
        <f>Inputs!$C$23*(1+inf)^E$1</f>
        <v>0</v>
      </c>
      <c r="G32" s="17">
        <f>Inputs!$C$23*(1+inf)^F$1</f>
        <v>0</v>
      </c>
      <c r="H32" s="17">
        <f>Inputs!$C$23*(1+inf)^G$1</f>
        <v>0</v>
      </c>
      <c r="I32" s="17">
        <f>Inputs!$C$23*(1+inf)^H$1</f>
        <v>0</v>
      </c>
      <c r="J32" s="17">
        <f>Inputs!$C$23*(1+inf)^I$1</f>
        <v>0</v>
      </c>
      <c r="K32" s="17">
        <f>Inputs!$C$23*(1+inf)^J$1</f>
        <v>0</v>
      </c>
      <c r="L32" s="17">
        <f>Inputs!$C$23*(1+inf)^K$1</f>
        <v>0</v>
      </c>
      <c r="M32" s="17">
        <f>Inputs!$C$23*(1+inf)^L$1</f>
        <v>0</v>
      </c>
      <c r="N32" s="17">
        <f>Inputs!$C$23*(1+inf)^M$1</f>
        <v>0</v>
      </c>
      <c r="O32" s="17">
        <f>Inputs!$C$23*(1+inf)^N$1</f>
        <v>0</v>
      </c>
      <c r="P32" s="17">
        <f>Inputs!$C$23*(1+inf)^O$1</f>
        <v>0</v>
      </c>
      <c r="Q32" s="17">
        <f>Inputs!$C$23*(1+inf)^P$1</f>
        <v>0</v>
      </c>
      <c r="R32" s="17">
        <f>Inputs!$C$23*(1+inf)^Q$1</f>
        <v>0</v>
      </c>
      <c r="S32" s="17">
        <f>Inputs!$C$23*(1+inf)^R$1</f>
        <v>0</v>
      </c>
      <c r="T32" s="17">
        <f>Inputs!$C$23*(1+inf)^S$1</f>
        <v>0</v>
      </c>
      <c r="U32" s="17">
        <f>Inputs!$C$23*(1+inf)^T$1</f>
        <v>0</v>
      </c>
      <c r="V32" s="17">
        <f>Inputs!$C$23*(1+inf)^U$1</f>
        <v>0</v>
      </c>
      <c r="W32" s="17">
        <f>Inputs!$C$23*(1+inf)^V$1</f>
        <v>0</v>
      </c>
      <c r="X32" s="17">
        <f>Inputs!$C$23*(1+inf)^W$1</f>
        <v>0</v>
      </c>
      <c r="Y32" s="17">
        <f>Inputs!$C$23*(1+inf)^X$1</f>
        <v>0</v>
      </c>
      <c r="Z32" s="17">
        <f>Inputs!$C$23*(1+inf)^Y$1</f>
        <v>0</v>
      </c>
      <c r="AA32" s="17">
        <f>Inputs!$C$23*(1+inf)^Z$1</f>
        <v>0</v>
      </c>
      <c r="AB32" s="17">
        <f>Inputs!$C$23*(1+inf)^AA$1</f>
        <v>0</v>
      </c>
      <c r="AC32" s="17">
        <f>Inputs!$C$23*(1+inf)^AB$1</f>
        <v>0</v>
      </c>
      <c r="AD32" s="17">
        <f>Inputs!$C$23*(1+inf)^AC$1</f>
        <v>0</v>
      </c>
      <c r="AE32" s="17">
        <f>Inputs!$C$23*(1+inf)^AD$1</f>
        <v>0</v>
      </c>
      <c r="AF32" s="17">
        <f>Inputs!$C$23*(1+inf)^AE$1</f>
        <v>0</v>
      </c>
      <c r="AG32" s="17">
        <f>Inputs!$C$23*(1+inf)^AF$1</f>
        <v>0</v>
      </c>
      <c r="AH32" s="17">
        <f>Inputs!$C$23*(1+inf)^AG$1</f>
        <v>0</v>
      </c>
      <c r="AI32" s="17">
        <f>Inputs!$C$23*(1+inf)^AH$1</f>
        <v>0</v>
      </c>
      <c r="AJ32" s="17">
        <f>Inputs!$C$23*(1+inf)^AI$1</f>
        <v>0</v>
      </c>
      <c r="AK32" s="17">
        <f>Inputs!$C$23*(1+inf)^AJ$1</f>
        <v>0</v>
      </c>
      <c r="AL32" s="17">
        <f>Inputs!$C$23*(1+inf)^AK$1</f>
        <v>0</v>
      </c>
      <c r="AM32" s="17">
        <f>Inputs!$C$23*(1+inf)^AL$1</f>
        <v>0</v>
      </c>
    </row>
    <row r="33" spans="1:39" x14ac:dyDescent="0.2">
      <c r="A33" s="14" t="s">
        <v>61</v>
      </c>
      <c r="B33" s="18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x14ac:dyDescent="0.2">
      <c r="A34" s="13" t="str">
        <f>TEXT(Inputs!$C$50,"")</f>
        <v>Sliema</v>
      </c>
      <c r="B34" s="18"/>
      <c r="C34" s="17">
        <f>Inputs!$C52*(1+inf)^B$1</f>
        <v>1000</v>
      </c>
      <c r="D34" s="17">
        <f>Inputs!$C52*(1+inf)^C$1</f>
        <v>1025</v>
      </c>
      <c r="E34" s="17">
        <f>Inputs!$C52*(1+inf)^D$1</f>
        <v>1050.625</v>
      </c>
      <c r="F34" s="17">
        <f>Inputs!$C52*(1+inf)^E$1</f>
        <v>1076.8906249999998</v>
      </c>
      <c r="G34" s="17">
        <f>Inputs!$C52*(1+inf)^F$1</f>
        <v>1103.8128906249997</v>
      </c>
      <c r="H34" s="17">
        <f>Inputs!$C52*(1+inf)^G$1</f>
        <v>1131.4082128906246</v>
      </c>
      <c r="I34" s="17">
        <f>Inputs!$C52*(1+inf)^H$1</f>
        <v>1159.6934182128903</v>
      </c>
      <c r="J34" s="17">
        <f>Inputs!$C52*(1+inf)^I$1</f>
        <v>1188.6857536682126</v>
      </c>
      <c r="K34" s="17">
        <f>Inputs!$C52*(1+inf)^J$1</f>
        <v>1218.4028975099177</v>
      </c>
      <c r="L34" s="17">
        <f>Inputs!$C52*(1+inf)^K$1</f>
        <v>1248.8629699476655</v>
      </c>
      <c r="M34" s="17">
        <f>Inputs!$C52*(1+inf)^L$1</f>
        <v>1280.084544196357</v>
      </c>
      <c r="N34" s="17">
        <f>Inputs!$C52*(1+inf)^M$1</f>
        <v>1312.086657801266</v>
      </c>
      <c r="O34" s="17">
        <f>Inputs!$C52*(1+inf)^N$1</f>
        <v>1344.8888242462974</v>
      </c>
      <c r="P34" s="17">
        <f>Inputs!$C52*(1+inf)^O$1</f>
        <v>1378.5110448524549</v>
      </c>
      <c r="Q34" s="17">
        <f>Inputs!$C52*(1+inf)^P$1</f>
        <v>1412.9738209737661</v>
      </c>
      <c r="R34" s="17">
        <f>Inputs!$C52*(1+inf)^Q$1</f>
        <v>1448.2981664981105</v>
      </c>
      <c r="S34" s="17">
        <f>Inputs!$C52*(1+inf)^R$1</f>
        <v>1484.5056206605632</v>
      </c>
      <c r="T34" s="17">
        <f>Inputs!$C52*(1+inf)^S$1</f>
        <v>1521.6182611770771</v>
      </c>
      <c r="U34" s="17">
        <f>Inputs!$C52*(1+inf)^T$1</f>
        <v>1559.6587177065039</v>
      </c>
      <c r="V34" s="17">
        <f>Inputs!$C52*(1+inf)^U$1</f>
        <v>1598.6501856491666</v>
      </c>
      <c r="W34" s="17">
        <f>Inputs!$C52*(1+inf)^V$1</f>
        <v>1638.6164402903955</v>
      </c>
      <c r="X34" s="17">
        <f>Inputs!$C52*(1+inf)^W$1</f>
        <v>1679.5818512976552</v>
      </c>
      <c r="Y34" s="17">
        <f>Inputs!$C52*(1+inf)^X$1</f>
        <v>1721.5713975800966</v>
      </c>
      <c r="Z34" s="17">
        <f>Inputs!$C52*(1+inf)^Y$1</f>
        <v>1764.6106825195991</v>
      </c>
      <c r="AA34" s="17">
        <f>Inputs!$C52*(1+inf)^Z$1</f>
        <v>1808.725949582589</v>
      </c>
      <c r="AB34" s="17">
        <f>Inputs!$C52*(1+inf)^AA$1</f>
        <v>1853.9440983221534</v>
      </c>
      <c r="AC34" s="17">
        <f>Inputs!$C52*(1+inf)^AB$1</f>
        <v>1900.292700780207</v>
      </c>
      <c r="AD34" s="17">
        <f>Inputs!$C52*(1+inf)^AC$1</f>
        <v>1947.8000182997121</v>
      </c>
      <c r="AE34" s="17">
        <f>Inputs!$C52*(1+inf)^AD$1</f>
        <v>1996.4950187572049</v>
      </c>
      <c r="AF34" s="17">
        <f>Inputs!$C52*(1+inf)^AE$1</f>
        <v>2046.4073942261352</v>
      </c>
      <c r="AG34" s="17">
        <f>Inputs!$C52*(1+inf)^AF$1</f>
        <v>2097.5675790817882</v>
      </c>
      <c r="AH34" s="17">
        <f>Inputs!$C52*(1+inf)^AG$1</f>
        <v>2150.0067685588333</v>
      </c>
      <c r="AI34" s="17">
        <f>Inputs!$C52*(1+inf)^AH$1</f>
        <v>2203.7569377728037</v>
      </c>
      <c r="AJ34" s="17">
        <f>Inputs!$C52*(1+inf)^AI$1</f>
        <v>2258.8508612171236</v>
      </c>
      <c r="AK34" s="17">
        <f>Inputs!$C52*(1+inf)^AJ$1</f>
        <v>2315.3221327475517</v>
      </c>
      <c r="AL34" s="17">
        <f>Inputs!$C52*(1+inf)^AK$1</f>
        <v>2373.20518606624</v>
      </c>
      <c r="AM34" s="17">
        <f>Inputs!$C52*(1+inf)^AL$1</f>
        <v>2432.5353157178965</v>
      </c>
    </row>
    <row r="35" spans="1:39" x14ac:dyDescent="0.2">
      <c r="A35" s="13" t="str">
        <f>TEXT(Inputs!$C$55,"")</f>
        <v>Gzira</v>
      </c>
      <c r="B35" s="18"/>
      <c r="C35" s="17">
        <f>Inputs!$C57*(1+inf)^B$1</f>
        <v>2500</v>
      </c>
      <c r="D35" s="17">
        <f>Inputs!$C57*(1+inf)^C$1</f>
        <v>2562.5</v>
      </c>
      <c r="E35" s="17">
        <f>Inputs!$C57*(1+inf)^D$1</f>
        <v>2626.5625</v>
      </c>
      <c r="F35" s="17">
        <f>Inputs!$C57*(1+inf)^E$1</f>
        <v>2692.2265624999995</v>
      </c>
      <c r="G35" s="17">
        <f>Inputs!$C57*(1+inf)^F$1</f>
        <v>2759.5322265624995</v>
      </c>
      <c r="H35" s="17">
        <f>Inputs!$C57*(1+inf)^G$1</f>
        <v>2828.5205322265615</v>
      </c>
      <c r="I35" s="17">
        <f>Inputs!$C57*(1+inf)^H$1</f>
        <v>2899.2335455322254</v>
      </c>
      <c r="J35" s="17">
        <f>Inputs!$C57*(1+inf)^I$1</f>
        <v>2971.714384170531</v>
      </c>
      <c r="K35" s="17">
        <f>Inputs!$C57*(1+inf)^J$1</f>
        <v>3046.0072437747945</v>
      </c>
      <c r="L35" s="17">
        <f>Inputs!$C57*(1+inf)^K$1</f>
        <v>3122.1574248691636</v>
      </c>
      <c r="M35" s="17">
        <f>Inputs!$C57*(1+inf)^L$1</f>
        <v>3200.2113604908927</v>
      </c>
      <c r="N35" s="17">
        <f>Inputs!$C57*(1+inf)^M$1</f>
        <v>3280.2166445031648</v>
      </c>
      <c r="O35" s="17">
        <f>Inputs!$C57*(1+inf)^N$1</f>
        <v>3362.2220606157439</v>
      </c>
      <c r="P35" s="17">
        <f>Inputs!$C57*(1+inf)^O$1</f>
        <v>3446.2776121311372</v>
      </c>
      <c r="Q35" s="17">
        <f>Inputs!$C57*(1+inf)^P$1</f>
        <v>3532.4345524344153</v>
      </c>
      <c r="R35" s="17">
        <f>Inputs!$C57*(1+inf)^Q$1</f>
        <v>3620.7454162452764</v>
      </c>
      <c r="S35" s="17">
        <f>Inputs!$C57*(1+inf)^R$1</f>
        <v>3711.264051651408</v>
      </c>
      <c r="T35" s="17">
        <f>Inputs!$C57*(1+inf)^S$1</f>
        <v>3804.0456529426924</v>
      </c>
      <c r="U35" s="17">
        <f>Inputs!$C57*(1+inf)^T$1</f>
        <v>3899.1467942662598</v>
      </c>
      <c r="V35" s="17">
        <f>Inputs!$C57*(1+inf)^U$1</f>
        <v>3996.6254641229166</v>
      </c>
      <c r="W35" s="17">
        <f>Inputs!$C57*(1+inf)^V$1</f>
        <v>4096.5411007259891</v>
      </c>
      <c r="X35" s="17">
        <f>Inputs!$C57*(1+inf)^W$1</f>
        <v>4198.9546282441379</v>
      </c>
      <c r="Y35" s="17">
        <f>Inputs!$C57*(1+inf)^X$1</f>
        <v>4303.9284939502413</v>
      </c>
      <c r="Z35" s="17">
        <f>Inputs!$C57*(1+inf)^Y$1</f>
        <v>4411.5267062989979</v>
      </c>
      <c r="AA35" s="17">
        <f>Inputs!$C57*(1+inf)^Z$1</f>
        <v>4521.8148739564722</v>
      </c>
      <c r="AB35" s="17">
        <f>Inputs!$C57*(1+inf)^AA$1</f>
        <v>4634.8602458053838</v>
      </c>
      <c r="AC35" s="17">
        <f>Inputs!$C57*(1+inf)^AB$1</f>
        <v>4750.7317519505177</v>
      </c>
      <c r="AD35" s="17">
        <f>Inputs!$C57*(1+inf)^AC$1</f>
        <v>4869.5000457492806</v>
      </c>
      <c r="AE35" s="17">
        <f>Inputs!$C57*(1+inf)^AD$1</f>
        <v>4991.2375468930122</v>
      </c>
      <c r="AF35" s="17">
        <f>Inputs!$C57*(1+inf)^AE$1</f>
        <v>5116.0184855653379</v>
      </c>
      <c r="AG35" s="17">
        <f>Inputs!$C57*(1+inf)^AF$1</f>
        <v>5243.9189477044702</v>
      </c>
      <c r="AH35" s="17">
        <f>Inputs!$C57*(1+inf)^AG$1</f>
        <v>5375.016921397083</v>
      </c>
      <c r="AI35" s="17">
        <f>Inputs!$C57*(1+inf)^AH$1</f>
        <v>5509.3923444320089</v>
      </c>
      <c r="AJ35" s="17">
        <f>Inputs!$C57*(1+inf)^AI$1</f>
        <v>5647.1271530428094</v>
      </c>
      <c r="AK35" s="17">
        <f>Inputs!$C57*(1+inf)^AJ$1</f>
        <v>5788.305331868879</v>
      </c>
      <c r="AL35" s="17">
        <f>Inputs!$C57*(1+inf)^AK$1</f>
        <v>5933.0129651656007</v>
      </c>
      <c r="AM35" s="17">
        <f>Inputs!$C57*(1+inf)^AL$1</f>
        <v>6081.3382892947411</v>
      </c>
    </row>
    <row r="36" spans="1:39" x14ac:dyDescent="0.2">
      <c r="A36" s="13" t="str">
        <f>TEXT(Inputs!$C$60,"")</f>
        <v>Hamrun</v>
      </c>
      <c r="B36" s="18"/>
      <c r="C36" s="17">
        <f>Inputs!$C62*(1+inf)^B$1</f>
        <v>800</v>
      </c>
      <c r="D36" s="17">
        <f>Inputs!$C62*(1+inf)^C$1</f>
        <v>819.99999999999989</v>
      </c>
      <c r="E36" s="17">
        <f>Inputs!$C62*(1+inf)^D$1</f>
        <v>840.49999999999989</v>
      </c>
      <c r="F36" s="17">
        <f>Inputs!$C62*(1+inf)^E$1</f>
        <v>861.51249999999993</v>
      </c>
      <c r="G36" s="17">
        <f>Inputs!$C62*(1+inf)^F$1</f>
        <v>883.05031249999979</v>
      </c>
      <c r="H36" s="17">
        <f>Inputs!$C62*(1+inf)^G$1</f>
        <v>905.12657031249978</v>
      </c>
      <c r="I36" s="17">
        <f>Inputs!$C62*(1+inf)^H$1</f>
        <v>927.75473457031217</v>
      </c>
      <c r="J36" s="17">
        <f>Inputs!$C62*(1+inf)^I$1</f>
        <v>950.94860293456998</v>
      </c>
      <c r="K36" s="17">
        <f>Inputs!$C62*(1+inf)^J$1</f>
        <v>974.72231800793418</v>
      </c>
      <c r="L36" s="17">
        <f>Inputs!$C62*(1+inf)^K$1</f>
        <v>999.09037595813231</v>
      </c>
      <c r="M36" s="17">
        <f>Inputs!$C62*(1+inf)^L$1</f>
        <v>1024.0676353570857</v>
      </c>
      <c r="N36" s="17">
        <f>Inputs!$C62*(1+inf)^M$1</f>
        <v>1049.6693262410129</v>
      </c>
      <c r="O36" s="17">
        <f>Inputs!$C62*(1+inf)^N$1</f>
        <v>1075.9110593970381</v>
      </c>
      <c r="P36" s="17">
        <f>Inputs!$C62*(1+inf)^O$1</f>
        <v>1102.8088358819639</v>
      </c>
      <c r="Q36" s="17">
        <f>Inputs!$C62*(1+inf)^P$1</f>
        <v>1130.3790567790129</v>
      </c>
      <c r="R36" s="17">
        <f>Inputs!$C62*(1+inf)^Q$1</f>
        <v>1158.6385331984884</v>
      </c>
      <c r="S36" s="17">
        <f>Inputs!$C62*(1+inf)^R$1</f>
        <v>1187.6044965284505</v>
      </c>
      <c r="T36" s="17">
        <f>Inputs!$C62*(1+inf)^S$1</f>
        <v>1217.2946089416616</v>
      </c>
      <c r="U36" s="17">
        <f>Inputs!$C62*(1+inf)^T$1</f>
        <v>1247.7269741652033</v>
      </c>
      <c r="V36" s="17">
        <f>Inputs!$C62*(1+inf)^U$1</f>
        <v>1278.9201485193332</v>
      </c>
      <c r="W36" s="17">
        <f>Inputs!$C62*(1+inf)^V$1</f>
        <v>1310.8931522323164</v>
      </c>
      <c r="X36" s="17">
        <f>Inputs!$C62*(1+inf)^W$1</f>
        <v>1343.6654810381242</v>
      </c>
      <c r="Y36" s="17">
        <f>Inputs!$C62*(1+inf)^X$1</f>
        <v>1377.2571180640773</v>
      </c>
      <c r="Z36" s="17">
        <f>Inputs!$C62*(1+inf)^Y$1</f>
        <v>1411.6885460156793</v>
      </c>
      <c r="AA36" s="17">
        <f>Inputs!$C62*(1+inf)^Z$1</f>
        <v>1446.9807596660712</v>
      </c>
      <c r="AB36" s="17">
        <f>Inputs!$C62*(1+inf)^AA$1</f>
        <v>1483.1552786577226</v>
      </c>
      <c r="AC36" s="17">
        <f>Inputs!$C62*(1+inf)^AB$1</f>
        <v>1520.2341606241657</v>
      </c>
      <c r="AD36" s="17">
        <f>Inputs!$C62*(1+inf)^AC$1</f>
        <v>1558.2400146397697</v>
      </c>
      <c r="AE36" s="17">
        <f>Inputs!$C62*(1+inf)^AD$1</f>
        <v>1597.1960150057639</v>
      </c>
      <c r="AF36" s="17">
        <f>Inputs!$C62*(1+inf)^AE$1</f>
        <v>1637.1259153809081</v>
      </c>
      <c r="AG36" s="17">
        <f>Inputs!$C62*(1+inf)^AF$1</f>
        <v>1678.0540632654304</v>
      </c>
      <c r="AH36" s="17">
        <f>Inputs!$C62*(1+inf)^AG$1</f>
        <v>1720.0054148470667</v>
      </c>
      <c r="AI36" s="17">
        <f>Inputs!$C62*(1+inf)^AH$1</f>
        <v>1763.0055502182429</v>
      </c>
      <c r="AJ36" s="17">
        <f>Inputs!$C62*(1+inf)^AI$1</f>
        <v>1807.0806889736989</v>
      </c>
      <c r="AK36" s="17">
        <f>Inputs!$C62*(1+inf)^AJ$1</f>
        <v>1852.2577061980414</v>
      </c>
      <c r="AL36" s="17">
        <f>Inputs!$C62*(1+inf)^AK$1</f>
        <v>1898.5641488529923</v>
      </c>
      <c r="AM36" s="17">
        <f>Inputs!$C62*(1+inf)^AL$1</f>
        <v>1946.0282525743171</v>
      </c>
    </row>
    <row r="37" spans="1:39" x14ac:dyDescent="0.2">
      <c r="A37" s="14" t="s">
        <v>17</v>
      </c>
      <c r="B37" s="18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x14ac:dyDescent="0.2">
      <c r="A38" s="13" t="s">
        <v>62</v>
      </c>
      <c r="B38" s="18"/>
      <c r="C38" s="17">
        <f>Inputs!$C$25*(1+inf)^B$1</f>
        <v>60000</v>
      </c>
      <c r="D38" s="17">
        <f>Inputs!$C$25*(1+inf)^C$1</f>
        <v>61499.999999999993</v>
      </c>
      <c r="E38" s="17">
        <f>Inputs!$C$25*(1+inf)^D$1</f>
        <v>63037.499999999993</v>
      </c>
      <c r="F38" s="17">
        <f>Inputs!$C$25*(1+inf)^E$1</f>
        <v>64613.437499999993</v>
      </c>
      <c r="G38" s="17">
        <f>Inputs!$C$25*(1+inf)^F$1</f>
        <v>66228.773437499985</v>
      </c>
      <c r="H38" s="17">
        <f>Inputs!$C$25*(1+inf)^G$1</f>
        <v>67884.49277343748</v>
      </c>
      <c r="I38" s="17">
        <f>Inputs!$C$25*(1+inf)^H$1</f>
        <v>69581.605092773418</v>
      </c>
      <c r="J38" s="17">
        <f>Inputs!$C$25*(1+inf)^I$1</f>
        <v>71321.145220092745</v>
      </c>
      <c r="K38" s="17">
        <f>Inputs!$C$25*(1+inf)^J$1</f>
        <v>73104.173850595063</v>
      </c>
      <c r="L38" s="17">
        <f>Inputs!$C$25*(1+inf)^K$1</f>
        <v>74931.77819685993</v>
      </c>
      <c r="M38" s="17">
        <f>Inputs!$C$25*(1+inf)^L$1</f>
        <v>76805.072651781418</v>
      </c>
      <c r="N38" s="17">
        <f>Inputs!$C$25*(1+inf)^M$1</f>
        <v>78725.199468075953</v>
      </c>
      <c r="O38" s="17">
        <f>Inputs!$C$25*(1+inf)^N$1</f>
        <v>80693.32945477785</v>
      </c>
      <c r="P38" s="17">
        <f>Inputs!$C$25*(1+inf)^O$1</f>
        <v>82710.662691147299</v>
      </c>
      <c r="Q38" s="17">
        <f>Inputs!$C$25*(1+inf)^P$1</f>
        <v>84778.429258425967</v>
      </c>
      <c r="R38" s="17">
        <f>Inputs!$C$25*(1+inf)^Q$1</f>
        <v>86897.889989886637</v>
      </c>
      <c r="S38" s="17">
        <f>Inputs!$C$25*(1+inf)^R$1</f>
        <v>89070.337239633795</v>
      </c>
      <c r="T38" s="17">
        <f>Inputs!$C$25*(1+inf)^S$1</f>
        <v>91297.095670624622</v>
      </c>
      <c r="U38" s="17">
        <f>Inputs!$C$25*(1+inf)^T$1</f>
        <v>93579.523062390246</v>
      </c>
      <c r="V38" s="17">
        <f>Inputs!$C$25*(1+inf)^U$1</f>
        <v>95919.011138949994</v>
      </c>
      <c r="W38" s="17">
        <f>Inputs!$C$25*(1+inf)^V$1</f>
        <v>98316.98641742373</v>
      </c>
      <c r="X38" s="17">
        <f>Inputs!$C$25*(1+inf)^W$1</f>
        <v>100774.91107785932</v>
      </c>
      <c r="Y38" s="17">
        <f>Inputs!$C$25*(1+inf)^X$1</f>
        <v>103294.28385480579</v>
      </c>
      <c r="Z38" s="17">
        <f>Inputs!$C$25*(1+inf)^Y$1</f>
        <v>105876.64095117594</v>
      </c>
      <c r="AA38" s="17">
        <f>Inputs!$C$25*(1+inf)^Z$1</f>
        <v>108523.55697495534</v>
      </c>
      <c r="AB38" s="17">
        <f>Inputs!$C$25*(1+inf)^AA$1</f>
        <v>111236.6458993292</v>
      </c>
      <c r="AC38" s="17">
        <f>Inputs!$C$25*(1+inf)^AB$1</f>
        <v>114017.56204681243</v>
      </c>
      <c r="AD38" s="17">
        <f>Inputs!$C$25*(1+inf)^AC$1</f>
        <v>116868.00109798273</v>
      </c>
      <c r="AE38" s="17">
        <f>Inputs!$C$25*(1+inf)^AD$1</f>
        <v>119789.70112543229</v>
      </c>
      <c r="AF38" s="17">
        <f>Inputs!$C$25*(1+inf)^AE$1</f>
        <v>122784.44365356812</v>
      </c>
      <c r="AG38" s="17">
        <f>Inputs!$C$25*(1+inf)^AF$1</f>
        <v>125854.05474490728</v>
      </c>
      <c r="AH38" s="17">
        <f>Inputs!$C$25*(1+inf)^AG$1</f>
        <v>129000.40611353</v>
      </c>
      <c r="AI38" s="17">
        <f>Inputs!$C$25*(1+inf)^AH$1</f>
        <v>132225.41626636821</v>
      </c>
      <c r="AJ38" s="17">
        <f>Inputs!$C$25*(1+inf)^AI$1</f>
        <v>135531.05167302742</v>
      </c>
      <c r="AK38" s="17">
        <f>Inputs!$C$25*(1+inf)^AJ$1</f>
        <v>138919.32796485312</v>
      </c>
      <c r="AL38" s="17">
        <f>Inputs!$C$25*(1+inf)^AK$1</f>
        <v>142392.3111639744</v>
      </c>
      <c r="AM38" s="17">
        <f>Inputs!$C$25*(1+inf)^AL$1</f>
        <v>145952.11894307379</v>
      </c>
    </row>
    <row r="39" spans="1:39" x14ac:dyDescent="0.2">
      <c r="A39" s="13" t="str">
        <f>"Adjustment "&amp;Inputs!B137</f>
        <v>Adjustment from now to 65</v>
      </c>
      <c r="B39" s="18"/>
      <c r="C39" s="17">
        <f>IF(C$3&lt;=65,Inputs!$C$137*C$38,0)</f>
        <v>0</v>
      </c>
      <c r="D39" s="17">
        <f>IF(D$3&lt;=65,Inputs!$C$137*D$38,0)</f>
        <v>0</v>
      </c>
      <c r="E39" s="17">
        <f>IF(E$3&lt;=65,Inputs!$C$137*E$38,0)</f>
        <v>0</v>
      </c>
      <c r="F39" s="17">
        <f>IF(F$3&lt;=65,Inputs!$C$137*F$38,0)</f>
        <v>0</v>
      </c>
      <c r="G39" s="17">
        <f>IF(G$3&lt;=65,Inputs!$C$137*G$38,0)</f>
        <v>0</v>
      </c>
      <c r="H39" s="17">
        <f>IF(H$3&lt;=65,Inputs!$C$137*H$38,0)</f>
        <v>0</v>
      </c>
      <c r="I39" s="17">
        <f>IF(I$3&lt;=65,Inputs!$C$137*I$38,0)</f>
        <v>0</v>
      </c>
      <c r="J39" s="17">
        <f>IF(J$3&lt;=65,Inputs!$C$137*J$38,0)</f>
        <v>0</v>
      </c>
      <c r="K39" s="17">
        <f>IF(K$3&lt;=65,Inputs!$C$137*K$38,0)</f>
        <v>0</v>
      </c>
      <c r="L39" s="17">
        <f>IF(L$3&lt;=65,Inputs!$C$137*L$38,0)</f>
        <v>0</v>
      </c>
      <c r="M39" s="17">
        <f>IF(M$3&lt;=65,Inputs!$C$137*M$38,0)</f>
        <v>0</v>
      </c>
      <c r="N39" s="17">
        <f>IF(N$3&lt;=65,Inputs!$C$137*N$38,0)</f>
        <v>0</v>
      </c>
      <c r="O39" s="17">
        <f>IF(O$3&lt;=65,Inputs!$C$137*O$38,0)</f>
        <v>0</v>
      </c>
      <c r="P39" s="17">
        <f>IF(P$3&lt;=65,Inputs!$C$137*P$38,0)</f>
        <v>0</v>
      </c>
      <c r="Q39" s="17">
        <f>IF(Q$3&lt;=65,Inputs!$C$137*Q$38,0)</f>
        <v>0</v>
      </c>
      <c r="R39" s="17">
        <f>IF(R$3&lt;=65,Inputs!$C$137*R$38,0)</f>
        <v>0</v>
      </c>
      <c r="S39" s="17">
        <f>IF(S$3&lt;=65,Inputs!$C$137*S$38,0)</f>
        <v>0</v>
      </c>
      <c r="T39" s="17">
        <f>IF(T$3&lt;=65,Inputs!$C$137*T$38,0)</f>
        <v>0</v>
      </c>
      <c r="U39" s="17">
        <f>IF(U$3&lt;=65,Inputs!$C$137*U$38,0)</f>
        <v>0</v>
      </c>
      <c r="V39" s="17">
        <f>IF(V$3&lt;=65,Inputs!$C$137*V$38,0)</f>
        <v>0</v>
      </c>
      <c r="W39" s="17">
        <f>IF(W$3&lt;=65,Inputs!$C$137*W$38,0)</f>
        <v>0</v>
      </c>
      <c r="X39" s="17">
        <f>IF(X$3&lt;=65,Inputs!$C$137*X$38,0)</f>
        <v>0</v>
      </c>
      <c r="Y39" s="17">
        <f>IF(Y$3&lt;=65,Inputs!$C$137*Y$38,0)</f>
        <v>0</v>
      </c>
      <c r="Z39" s="17">
        <f>IF(Z$3&lt;=65,Inputs!$C$137*Z$38,0)</f>
        <v>0</v>
      </c>
      <c r="AA39" s="17">
        <f>IF(AA$3&lt;=65,Inputs!$C$137*AA$38,0)</f>
        <v>0</v>
      </c>
      <c r="AB39" s="17">
        <f>IF(AB$3&lt;=65,Inputs!$C$137*AB$38,0)</f>
        <v>0</v>
      </c>
      <c r="AC39" s="17">
        <f>IF(AC$3&lt;=65,Inputs!$C$137*AC$38,0)</f>
        <v>0</v>
      </c>
      <c r="AD39" s="17">
        <f>IF(AD$3&lt;=65,Inputs!$C$137*AD$38,0)</f>
        <v>0</v>
      </c>
      <c r="AE39" s="17">
        <f>IF(AE$3&lt;=65,Inputs!$C$137*AE$38,0)</f>
        <v>0</v>
      </c>
      <c r="AF39" s="17">
        <f>IF(AF$3&lt;=65,Inputs!$C$137*AF$38,0)</f>
        <v>0</v>
      </c>
      <c r="AG39" s="17">
        <f>IF(AG$3&lt;=65,Inputs!$C$137*AG$38,0)</f>
        <v>0</v>
      </c>
      <c r="AH39" s="17">
        <f>IF(AH$3&lt;=65,Inputs!$C$137*AH$38,0)</f>
        <v>0</v>
      </c>
      <c r="AI39" s="17">
        <f>IF(AI$3&lt;=65,Inputs!$C$137*AI$38,0)</f>
        <v>0</v>
      </c>
      <c r="AJ39" s="17">
        <f>IF(AJ$3&lt;=65,Inputs!$C$137*AJ$38,0)</f>
        <v>0</v>
      </c>
      <c r="AK39" s="17">
        <f>IF(AK$3&lt;=65,Inputs!$C$137*AK$38,0)</f>
        <v>0</v>
      </c>
      <c r="AL39" s="17">
        <f>IF(AL$3&lt;=65,Inputs!$C$137*AL$38,0)</f>
        <v>0</v>
      </c>
      <c r="AM39" s="17">
        <f>IF(AM$3&lt;=65,Inputs!$C$137*AM$38,0)</f>
        <v>0</v>
      </c>
    </row>
    <row r="40" spans="1:39" x14ac:dyDescent="0.2">
      <c r="A40" s="13" t="str">
        <f>"Adjustment "&amp;Inputs!B138</f>
        <v>Adjustment from 66-75</v>
      </c>
      <c r="B40" s="18"/>
      <c r="C40" s="17">
        <f>IF(AND(C$3&gt;65,C$3&lt;=75),Inputs!$C$138*C38,0)</f>
        <v>0</v>
      </c>
      <c r="D40" s="17">
        <f>IF(AND(D$3&gt;65,D$3&lt;=75),Inputs!$C$138*D38,0)</f>
        <v>0</v>
      </c>
      <c r="E40" s="17">
        <f>IF(AND(E$3&gt;65,E$3&lt;=75),Inputs!$C$138*E38,0)</f>
        <v>0</v>
      </c>
      <c r="F40" s="17">
        <f>IF(AND(F$3&gt;65,F$3&lt;=75),Inputs!$C$138*F38,0)</f>
        <v>0</v>
      </c>
      <c r="G40" s="17">
        <f>IF(AND(G$3&gt;65,G$3&lt;=75),Inputs!$C$138*G38,0)</f>
        <v>0</v>
      </c>
      <c r="H40" s="17">
        <f>IF(AND(H$3&gt;65,H$3&lt;=75),Inputs!$C$138*H38,0)</f>
        <v>0</v>
      </c>
      <c r="I40" s="17">
        <f>IF(AND(I$3&gt;65,I$3&lt;=75),Inputs!$C$138*I38,0)</f>
        <v>0</v>
      </c>
      <c r="J40" s="17">
        <f>IF(AND(J$3&gt;65,J$3&lt;=75),Inputs!$C$138*J38,0)</f>
        <v>0</v>
      </c>
      <c r="K40" s="17">
        <f>IF(AND(K$3&gt;65,K$3&lt;=75),Inputs!$C$138*K38,0)</f>
        <v>0</v>
      </c>
      <c r="L40" s="17">
        <f>IF(AND(L$3&gt;65,L$3&lt;=75),Inputs!$C$138*L38,0)</f>
        <v>0</v>
      </c>
      <c r="M40" s="17">
        <f>IF(AND(M$3&gt;65,M$3&lt;=75),Inputs!$C$138*M38,0)</f>
        <v>0</v>
      </c>
      <c r="N40" s="17">
        <f>IF(AND(N$3&gt;65,N$3&lt;=75),Inputs!$C$138*N38,0)</f>
        <v>0</v>
      </c>
      <c r="O40" s="17">
        <f>IF(AND(O$3&gt;65,O$3&lt;=75),Inputs!$C$138*O38,0)</f>
        <v>0</v>
      </c>
      <c r="P40" s="17">
        <f>IF(AND(P$3&gt;65,P$3&lt;=75),Inputs!$C$138*P38,0)</f>
        <v>0</v>
      </c>
      <c r="Q40" s="17">
        <f>IF(AND(Q$3&gt;65,Q$3&lt;=75),Inputs!$C$138*Q38,0)</f>
        <v>0</v>
      </c>
      <c r="R40" s="17">
        <f>IF(AND(R$3&gt;65,R$3&lt;=75),Inputs!$C$138*R38,0)</f>
        <v>0</v>
      </c>
      <c r="S40" s="17">
        <f>IF(AND(S$3&gt;65,S$3&lt;=75),Inputs!$C$138*S38,0)</f>
        <v>0</v>
      </c>
      <c r="T40" s="17">
        <f>IF(AND(T$3&gt;65,T$3&lt;=75),Inputs!$C$138*T38,0)</f>
        <v>-9129.7095670624622</v>
      </c>
      <c r="U40" s="17">
        <f>IF(AND(U$3&gt;65,U$3&lt;=75),Inputs!$C$138*U38,0)</f>
        <v>-9357.9523062390253</v>
      </c>
      <c r="V40" s="17">
        <f>IF(AND(V$3&gt;65,V$3&lt;=75),Inputs!$C$138*V38,0)</f>
        <v>-9591.9011138949991</v>
      </c>
      <c r="W40" s="17">
        <f>IF(AND(W$3&gt;65,W$3&lt;=75),Inputs!$C$138*W38,0)</f>
        <v>-9831.6986417423741</v>
      </c>
      <c r="X40" s="17">
        <f>IF(AND(X$3&gt;65,X$3&lt;=75),Inputs!$C$138*X38,0)</f>
        <v>-10077.491107785932</v>
      </c>
      <c r="Y40" s="17">
        <f>IF(AND(Y$3&gt;65,Y$3&lt;=75),Inputs!$C$138*Y38,0)</f>
        <v>-10329.42838548058</v>
      </c>
      <c r="Z40" s="17">
        <f>IF(AND(Z$3&gt;65,Z$3&lt;=75),Inputs!$C$138*Z38,0)</f>
        <v>-10587.664095117594</v>
      </c>
      <c r="AA40" s="17">
        <f>IF(AND(AA$3&gt;65,AA$3&lt;=75),Inputs!$C$138*AA38,0)</f>
        <v>-10852.355697495535</v>
      </c>
      <c r="AB40" s="17">
        <f>IF(AND(AB$3&gt;65,AB$3&lt;=75),Inputs!$C$138*AB38,0)</f>
        <v>-11123.664589932921</v>
      </c>
      <c r="AC40" s="17">
        <f>IF(AND(AC$3&gt;65,AC$3&lt;=75),Inputs!$C$138*AC38,0)</f>
        <v>-11401.756204681244</v>
      </c>
      <c r="AD40" s="17">
        <f>IF(AND(AD$3&gt;65,AD$3&lt;=75),Inputs!$C$138*AD38,0)</f>
        <v>0</v>
      </c>
      <c r="AE40" s="17">
        <f>IF(AND(AE$3&gt;65,AE$3&lt;=75),Inputs!$C$138*AE38,0)</f>
        <v>0</v>
      </c>
      <c r="AF40" s="17">
        <f>IF(AND(AF$3&gt;65,AF$3&lt;=75),Inputs!$C$138*AF38,0)</f>
        <v>0</v>
      </c>
      <c r="AG40" s="17">
        <f>IF(AND(AG$3&gt;65,AG$3&lt;=75),Inputs!$C$138*AG38,0)</f>
        <v>0</v>
      </c>
      <c r="AH40" s="17">
        <f>IF(AND(AH$3&gt;65,AH$3&lt;=75),Inputs!$C$138*AH38,0)</f>
        <v>0</v>
      </c>
      <c r="AI40" s="17">
        <f>IF(AND(AI$3&gt;65,AI$3&lt;=75),Inputs!$C$138*AI38,0)</f>
        <v>0</v>
      </c>
      <c r="AJ40" s="17">
        <f>IF(AND(AJ$3&gt;65,AJ$3&lt;=75),Inputs!$C$138*AJ38,0)</f>
        <v>0</v>
      </c>
      <c r="AK40" s="17">
        <f>IF(AND(AK$3&gt;65,AK$3&lt;=75),Inputs!$C$138*AK38,0)</f>
        <v>0</v>
      </c>
      <c r="AL40" s="17">
        <f>IF(AND(AL$3&gt;65,AL$3&lt;=75),Inputs!$C$138*AL38,0)</f>
        <v>0</v>
      </c>
      <c r="AM40" s="17">
        <f>IF(AND(AM$3&gt;65,AM$3&lt;=75),Inputs!$C$138*AM38,0)</f>
        <v>0</v>
      </c>
    </row>
    <row r="41" spans="1:39" x14ac:dyDescent="0.2">
      <c r="A41" s="13" t="str">
        <f>"Adjustment "&amp;Inputs!B139</f>
        <v>Adjustment from age 76</v>
      </c>
      <c r="B41" s="18"/>
      <c r="C41" s="17">
        <f>IF(C$3&gt;75,Inputs!$C$139*C$38,0)</f>
        <v>0</v>
      </c>
      <c r="D41" s="17">
        <f>IF(D$3&gt;75,Inputs!$C$139*D$38,0)</f>
        <v>0</v>
      </c>
      <c r="E41" s="17">
        <f>IF(E$3&gt;75,Inputs!$C$139*E$38,0)</f>
        <v>0</v>
      </c>
      <c r="F41" s="17">
        <f>IF(F$3&gt;75,Inputs!$C$139*F$38,0)</f>
        <v>0</v>
      </c>
      <c r="G41" s="17">
        <f>IF(G$3&gt;75,Inputs!$C$139*G$38,0)</f>
        <v>0</v>
      </c>
      <c r="H41" s="17">
        <f>IF(H$3&gt;75,Inputs!$C$139*H$38,0)</f>
        <v>0</v>
      </c>
      <c r="I41" s="17">
        <f>IF(I$3&gt;75,Inputs!$C$139*I$38,0)</f>
        <v>0</v>
      </c>
      <c r="J41" s="17">
        <f>IF(J$3&gt;75,Inputs!$C$139*J$38,0)</f>
        <v>0</v>
      </c>
      <c r="K41" s="17">
        <f>IF(K$3&gt;75,Inputs!$C$139*K$38,0)</f>
        <v>0</v>
      </c>
      <c r="L41" s="17">
        <f>IF(L$3&gt;75,Inputs!$C$139*L$38,0)</f>
        <v>0</v>
      </c>
      <c r="M41" s="17">
        <f>IF(M$3&gt;75,Inputs!$C$139*M$38,0)</f>
        <v>0</v>
      </c>
      <c r="N41" s="17">
        <f>IF(N$3&gt;75,Inputs!$C$139*N$38,0)</f>
        <v>0</v>
      </c>
      <c r="O41" s="17">
        <f>IF(O$3&gt;75,Inputs!$C$139*O$38,0)</f>
        <v>0</v>
      </c>
      <c r="P41" s="17">
        <f>IF(P$3&gt;75,Inputs!$C$139*P$38,0)</f>
        <v>0</v>
      </c>
      <c r="Q41" s="17">
        <f>IF(Q$3&gt;75,Inputs!$C$139*Q$38,0)</f>
        <v>0</v>
      </c>
      <c r="R41" s="17">
        <f>IF(R$3&gt;75,Inputs!$C$139*R$38,0)</f>
        <v>0</v>
      </c>
      <c r="S41" s="17">
        <f>IF(S$3&gt;75,Inputs!$C$139*S$38,0)</f>
        <v>0</v>
      </c>
      <c r="T41" s="17">
        <f>IF(T$3&gt;75,Inputs!$C$139*T$38,0)</f>
        <v>0</v>
      </c>
      <c r="U41" s="17">
        <f>IF(U$3&gt;75,Inputs!$C$139*U$38,0)</f>
        <v>0</v>
      </c>
      <c r="V41" s="17">
        <f>IF(V$3&gt;75,Inputs!$C$139*V$38,0)</f>
        <v>0</v>
      </c>
      <c r="W41" s="17">
        <f>IF(W$3&gt;75,Inputs!$C$139*W$38,0)</f>
        <v>0</v>
      </c>
      <c r="X41" s="17">
        <f>IF(X$3&gt;75,Inputs!$C$139*X$38,0)</f>
        <v>0</v>
      </c>
      <c r="Y41" s="17">
        <f>IF(Y$3&gt;75,Inputs!$C$139*Y$38,0)</f>
        <v>0</v>
      </c>
      <c r="Z41" s="17">
        <f>IF(Z$3&gt;75,Inputs!$C$139*Z$38,0)</f>
        <v>0</v>
      </c>
      <c r="AA41" s="17">
        <f>IF(AA$3&gt;75,Inputs!$C$139*AA$38,0)</f>
        <v>0</v>
      </c>
      <c r="AB41" s="17">
        <f>IF(AB$3&gt;75,Inputs!$C$139*AB$38,0)</f>
        <v>0</v>
      </c>
      <c r="AC41" s="17">
        <f>IF(AC$3&gt;75,Inputs!$C$139*AC$38,0)</f>
        <v>0</v>
      </c>
      <c r="AD41" s="17">
        <f>IF(AD$3&gt;75,Inputs!$C$139*AD$38,0)</f>
        <v>-23373.600219596548</v>
      </c>
      <c r="AE41" s="17">
        <f>IF(AE$3&gt;75,Inputs!$C$139*AE$38,0)</f>
        <v>-23957.940225086459</v>
      </c>
      <c r="AF41" s="17">
        <f>IF(AF$3&gt;75,Inputs!$C$139*AF$38,0)</f>
        <v>-24556.888730713625</v>
      </c>
      <c r="AG41" s="17">
        <f>IF(AG$3&gt;75,Inputs!$C$139*AG$38,0)</f>
        <v>-25170.810948981456</v>
      </c>
      <c r="AH41" s="17">
        <f>IF(AH$3&gt;75,Inputs!$C$139*AH$38,0)</f>
        <v>-25800.081222706001</v>
      </c>
      <c r="AI41" s="17">
        <f>IF(AI$3&gt;75,Inputs!$C$139*AI$38,0)</f>
        <v>-26445.083253273642</v>
      </c>
      <c r="AJ41" s="17">
        <f>IF(AJ$3&gt;75,Inputs!$C$139*AJ$38,0)</f>
        <v>-27106.210334605486</v>
      </c>
      <c r="AK41" s="17">
        <f>IF(AK$3&gt;75,Inputs!$C$139*AK$38,0)</f>
        <v>-27783.865592970626</v>
      </c>
      <c r="AL41" s="17">
        <f>IF(AL$3&gt;75,Inputs!$C$139*AL$38,0)</f>
        <v>-28478.462232794882</v>
      </c>
      <c r="AM41" s="17">
        <f>IF(AM$3&gt;75,Inputs!$C$139*AM$38,0)</f>
        <v>-29190.42378861476</v>
      </c>
    </row>
    <row r="42" spans="1:39" x14ac:dyDescent="0.2">
      <c r="A42" s="14" t="s">
        <v>66</v>
      </c>
      <c r="B42" s="18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x14ac:dyDescent="0.2">
      <c r="A43" s="13" t="str">
        <f>TEXT(Inputs!$C$117,"")</f>
        <v>Wedding</v>
      </c>
      <c r="B43" s="18"/>
      <c r="C43" s="17">
        <f ca="1">IF(C$2=Inputs!$C119,Inputs!$C118,0)*(1+inf)^B$1</f>
        <v>0</v>
      </c>
      <c r="D43" s="17">
        <f ca="1">IF(D$2=Inputs!$C119,Inputs!$C118,0)*(1+inf)^C$1</f>
        <v>41000</v>
      </c>
      <c r="E43" s="17">
        <f ca="1">IF(E$2=Inputs!$C119,Inputs!$C118,0)*(1+inf)^D$1</f>
        <v>0</v>
      </c>
      <c r="F43" s="17">
        <f ca="1">IF(F$2=Inputs!$C119,Inputs!$C118,0)*(1+inf)^E$1</f>
        <v>0</v>
      </c>
      <c r="G43" s="17">
        <f ca="1">IF(G$2=Inputs!$C119,Inputs!$C118,0)*(1+inf)^F$1</f>
        <v>0</v>
      </c>
      <c r="H43" s="17">
        <f ca="1">IF(H$2=Inputs!$C119,Inputs!$C118,0)*(1+inf)^G$1</f>
        <v>0</v>
      </c>
      <c r="I43" s="17">
        <f ca="1">IF(I$2=Inputs!$C119,Inputs!$C118,0)*(1+inf)^H$1</f>
        <v>0</v>
      </c>
      <c r="J43" s="17">
        <f ca="1">IF(J$2=Inputs!$C119,Inputs!$C118,0)*(1+inf)^I$1</f>
        <v>0</v>
      </c>
      <c r="K43" s="17">
        <f ca="1">IF(K$2=Inputs!$C119,Inputs!$C118,0)*(1+inf)^J$1</f>
        <v>0</v>
      </c>
      <c r="L43" s="17">
        <f ca="1">IF(L$2=Inputs!$C119,Inputs!$C118,0)*(1+inf)^K$1</f>
        <v>0</v>
      </c>
      <c r="M43" s="17">
        <f ca="1">IF(M$2=Inputs!$C119,Inputs!$C118,0)*(1+inf)^L$1</f>
        <v>0</v>
      </c>
      <c r="N43" s="17">
        <f ca="1">IF(N$2=Inputs!$C119,Inputs!$C118,0)*(1+inf)^M$1</f>
        <v>0</v>
      </c>
      <c r="O43" s="17">
        <f ca="1">IF(O$2=Inputs!$C119,Inputs!$C118,0)*(1+inf)^N$1</f>
        <v>0</v>
      </c>
      <c r="P43" s="17">
        <f ca="1">IF(P$2=Inputs!$C119,Inputs!$C118,0)*(1+inf)^O$1</f>
        <v>0</v>
      </c>
      <c r="Q43" s="17">
        <f ca="1">IF(Q$2=Inputs!$C119,Inputs!$C118,0)*(1+inf)^P$1</f>
        <v>0</v>
      </c>
      <c r="R43" s="17">
        <f ca="1">IF(R$2=Inputs!$C119,Inputs!$C118,0)*(1+inf)^Q$1</f>
        <v>0</v>
      </c>
      <c r="S43" s="17">
        <f ca="1">IF(S$2=Inputs!$C119,Inputs!$C118,0)*(1+inf)^R$1</f>
        <v>0</v>
      </c>
      <c r="T43" s="17">
        <f ca="1">IF(T$2=Inputs!$C119,Inputs!$C118,0)*(1+inf)^S$1</f>
        <v>0</v>
      </c>
      <c r="U43" s="17">
        <f ca="1">IF(U$2=Inputs!$C119,Inputs!$C118,0)*(1+inf)^T$1</f>
        <v>0</v>
      </c>
      <c r="V43" s="17">
        <f ca="1">IF(V$2=Inputs!$C119,Inputs!$C118,0)*(1+inf)^U$1</f>
        <v>0</v>
      </c>
      <c r="W43" s="17">
        <f ca="1">IF(W$2=Inputs!$C119,Inputs!$C118,0)*(1+inf)^V$1</f>
        <v>0</v>
      </c>
      <c r="X43" s="17">
        <f ca="1">IF(X$2=Inputs!$C119,Inputs!$C118,0)*(1+inf)^W$1</f>
        <v>0</v>
      </c>
      <c r="Y43" s="17">
        <f ca="1">IF(Y$2=Inputs!$C119,Inputs!$C118,0)*(1+inf)^X$1</f>
        <v>0</v>
      </c>
      <c r="Z43" s="17">
        <f ca="1">IF(Z$2=Inputs!$C119,Inputs!$C118,0)*(1+inf)^Y$1</f>
        <v>0</v>
      </c>
      <c r="AA43" s="17">
        <f ca="1">IF(AA$2=Inputs!$C119,Inputs!$C118,0)*(1+inf)^Z$1</f>
        <v>0</v>
      </c>
      <c r="AB43" s="17">
        <f ca="1">IF(AB$2=Inputs!$C119,Inputs!$C118,0)*(1+inf)^AA$1</f>
        <v>0</v>
      </c>
      <c r="AC43" s="17">
        <f ca="1">IF(AC$2=Inputs!$C119,Inputs!$C118,0)*(1+inf)^AB$1</f>
        <v>0</v>
      </c>
      <c r="AD43" s="17">
        <f ca="1">IF(AD$2=Inputs!$C119,Inputs!$C118,0)*(1+inf)^AC$1</f>
        <v>0</v>
      </c>
      <c r="AE43" s="17">
        <f ca="1">IF(AE$2=Inputs!$C119,Inputs!$C118,0)*(1+inf)^AD$1</f>
        <v>0</v>
      </c>
      <c r="AF43" s="17">
        <f ca="1">IF(AF$2=Inputs!$C119,Inputs!$C118,0)*(1+inf)^AE$1</f>
        <v>0</v>
      </c>
      <c r="AG43" s="17">
        <f ca="1">IF(AG$2=Inputs!$C119,Inputs!$C118,0)*(1+inf)^AF$1</f>
        <v>0</v>
      </c>
      <c r="AH43" s="17">
        <f ca="1">IF(AH$2=Inputs!$C119,Inputs!$C118,0)*(1+inf)^AG$1</f>
        <v>0</v>
      </c>
      <c r="AI43" s="17">
        <f ca="1">IF(AI$2=Inputs!$C119,Inputs!$C118,0)*(1+inf)^AH$1</f>
        <v>0</v>
      </c>
      <c r="AJ43" s="17">
        <f ca="1">IF(AJ$2=Inputs!$C119,Inputs!$C118,0)*(1+inf)^AI$1</f>
        <v>0</v>
      </c>
      <c r="AK43" s="17">
        <f ca="1">IF(AK$2=Inputs!$C119,Inputs!$C118,0)*(1+inf)^AJ$1</f>
        <v>0</v>
      </c>
      <c r="AL43" s="17">
        <f ca="1">IF(AL$2=Inputs!$C119,Inputs!$C118,0)*(1+inf)^AK$1</f>
        <v>0</v>
      </c>
      <c r="AM43" s="17">
        <f ca="1">IF(AM$2=Inputs!$C119,Inputs!$C118,0)*(1+inf)^AL$1</f>
        <v>0</v>
      </c>
    </row>
    <row r="44" spans="1:39" x14ac:dyDescent="0.2">
      <c r="A44" s="13" t="str">
        <f>TEXT(Inputs!$C$122,"")</f>
        <v>Replace AC</v>
      </c>
      <c r="B44" s="18"/>
      <c r="C44" s="17">
        <f ca="1">IF(C$2=Inputs!$C124,Inputs!$C123,0)*(1+inf)^B$1</f>
        <v>0</v>
      </c>
      <c r="D44" s="17">
        <f ca="1">IF(D$2=Inputs!$C124,Inputs!$C123,0)*(1+inf)^C$1</f>
        <v>0</v>
      </c>
      <c r="E44" s="17">
        <f ca="1">IF(E$2=Inputs!$C124,Inputs!$C123,0)*(1+inf)^D$1</f>
        <v>0</v>
      </c>
      <c r="F44" s="17">
        <f ca="1">IF(F$2=Inputs!$C124,Inputs!$C123,0)*(1+inf)^E$1</f>
        <v>0</v>
      </c>
      <c r="G44" s="17">
        <f ca="1">IF(G$2=Inputs!$C124,Inputs!$C123,0)*(1+inf)^F$1</f>
        <v>0</v>
      </c>
      <c r="H44" s="17">
        <f ca="1">IF(H$2=Inputs!$C124,Inputs!$C123,0)*(1+inf)^G$1</f>
        <v>0</v>
      </c>
      <c r="I44" s="17">
        <f ca="1">IF(I$2=Inputs!$C124,Inputs!$C123,0)*(1+inf)^H$1</f>
        <v>0</v>
      </c>
      <c r="J44" s="17">
        <f ca="1">IF(J$2=Inputs!$C124,Inputs!$C123,0)*(1+inf)^I$1</f>
        <v>0</v>
      </c>
      <c r="K44" s="17">
        <f ca="1">IF(K$2=Inputs!$C124,Inputs!$C123,0)*(1+inf)^J$1</f>
        <v>30460.072437747942</v>
      </c>
      <c r="L44" s="17">
        <f ca="1">IF(L$2=Inputs!$C124,Inputs!$C123,0)*(1+inf)^K$1</f>
        <v>0</v>
      </c>
      <c r="M44" s="17">
        <f ca="1">IF(M$2=Inputs!$C124,Inputs!$C123,0)*(1+inf)^L$1</f>
        <v>0</v>
      </c>
      <c r="N44" s="17">
        <f ca="1">IF(N$2=Inputs!$C124,Inputs!$C123,0)*(1+inf)^M$1</f>
        <v>0</v>
      </c>
      <c r="O44" s="17">
        <f ca="1">IF(O$2=Inputs!$C124,Inputs!$C123,0)*(1+inf)^N$1</f>
        <v>0</v>
      </c>
      <c r="P44" s="17">
        <f ca="1">IF(P$2=Inputs!$C124,Inputs!$C123,0)*(1+inf)^O$1</f>
        <v>0</v>
      </c>
      <c r="Q44" s="17">
        <f ca="1">IF(Q$2=Inputs!$C124,Inputs!$C123,0)*(1+inf)^P$1</f>
        <v>0</v>
      </c>
      <c r="R44" s="17">
        <f ca="1">IF(R$2=Inputs!$C124,Inputs!$C123,0)*(1+inf)^Q$1</f>
        <v>0</v>
      </c>
      <c r="S44" s="17">
        <f ca="1">IF(S$2=Inputs!$C124,Inputs!$C123,0)*(1+inf)^R$1</f>
        <v>0</v>
      </c>
      <c r="T44" s="17">
        <f ca="1">IF(T$2=Inputs!$C124,Inputs!$C123,0)*(1+inf)^S$1</f>
        <v>0</v>
      </c>
      <c r="U44" s="17">
        <f ca="1">IF(U$2=Inputs!$C124,Inputs!$C123,0)*(1+inf)^T$1</f>
        <v>0</v>
      </c>
      <c r="V44" s="17">
        <f ca="1">IF(V$2=Inputs!$C124,Inputs!$C123,0)*(1+inf)^U$1</f>
        <v>0</v>
      </c>
      <c r="W44" s="17">
        <f ca="1">IF(W$2=Inputs!$C124,Inputs!$C123,0)*(1+inf)^V$1</f>
        <v>0</v>
      </c>
      <c r="X44" s="17">
        <f ca="1">IF(X$2=Inputs!$C124,Inputs!$C123,0)*(1+inf)^W$1</f>
        <v>0</v>
      </c>
      <c r="Y44" s="17">
        <f ca="1">IF(Y$2=Inputs!$C124,Inputs!$C123,0)*(1+inf)^X$1</f>
        <v>0</v>
      </c>
      <c r="Z44" s="17">
        <f ca="1">IF(Z$2=Inputs!$C124,Inputs!$C123,0)*(1+inf)^Y$1</f>
        <v>0</v>
      </c>
      <c r="AA44" s="17">
        <f ca="1">IF(AA$2=Inputs!$C124,Inputs!$C123,0)*(1+inf)^Z$1</f>
        <v>0</v>
      </c>
      <c r="AB44" s="17">
        <f ca="1">IF(AB$2=Inputs!$C124,Inputs!$C123,0)*(1+inf)^AA$1</f>
        <v>0</v>
      </c>
      <c r="AC44" s="17">
        <f ca="1">IF(AC$2=Inputs!$C124,Inputs!$C123,0)*(1+inf)^AB$1</f>
        <v>0</v>
      </c>
      <c r="AD44" s="17">
        <f ca="1">IF(AD$2=Inputs!$C124,Inputs!$C123,0)*(1+inf)^AC$1</f>
        <v>0</v>
      </c>
      <c r="AE44" s="17">
        <f ca="1">IF(AE$2=Inputs!$C124,Inputs!$C123,0)*(1+inf)^AD$1</f>
        <v>0</v>
      </c>
      <c r="AF44" s="17">
        <f ca="1">IF(AF$2=Inputs!$C124,Inputs!$C123,0)*(1+inf)^AE$1</f>
        <v>0</v>
      </c>
      <c r="AG44" s="17">
        <f ca="1">IF(AG$2=Inputs!$C124,Inputs!$C123,0)*(1+inf)^AF$1</f>
        <v>0</v>
      </c>
      <c r="AH44" s="17">
        <f ca="1">IF(AH$2=Inputs!$C124,Inputs!$C123,0)*(1+inf)^AG$1</f>
        <v>0</v>
      </c>
      <c r="AI44" s="17">
        <f ca="1">IF(AI$2=Inputs!$C124,Inputs!$C123,0)*(1+inf)^AH$1</f>
        <v>0</v>
      </c>
      <c r="AJ44" s="17">
        <f ca="1">IF(AJ$2=Inputs!$C124,Inputs!$C123,0)*(1+inf)^AI$1</f>
        <v>0</v>
      </c>
      <c r="AK44" s="17">
        <f ca="1">IF(AK$2=Inputs!$C124,Inputs!$C123,0)*(1+inf)^AJ$1</f>
        <v>0</v>
      </c>
      <c r="AL44" s="17">
        <f ca="1">IF(AL$2=Inputs!$C124,Inputs!$C123,0)*(1+inf)^AK$1</f>
        <v>0</v>
      </c>
      <c r="AM44" s="17">
        <f ca="1">IF(AM$2=Inputs!$C124,Inputs!$C123,0)*(1+inf)^AL$1</f>
        <v>0</v>
      </c>
    </row>
    <row r="45" spans="1:39" x14ac:dyDescent="0.2">
      <c r="A45" s="13" t="str">
        <f>TEXT(Inputs!$C$127,"")</f>
        <v>New Car</v>
      </c>
      <c r="B45" s="18"/>
      <c r="C45" s="17">
        <f ca="1">IF(C$2=Inputs!$C129,Inputs!$C128,0)*(1+inf)^B$1</f>
        <v>0</v>
      </c>
      <c r="D45" s="17">
        <f ca="1">IF(D$2=Inputs!$C129,Inputs!$C128,0)*(1+inf)^C$1</f>
        <v>0</v>
      </c>
      <c r="E45" s="17">
        <f ca="1">IF(E$2=Inputs!$C129,Inputs!$C128,0)*(1+inf)^D$1</f>
        <v>0</v>
      </c>
      <c r="F45" s="17">
        <f ca="1">IF(F$2=Inputs!$C129,Inputs!$C128,0)*(1+inf)^E$1</f>
        <v>0</v>
      </c>
      <c r="G45" s="17">
        <f ca="1">IF(G$2=Inputs!$C129,Inputs!$C128,0)*(1+inf)^F$1</f>
        <v>38633.451171874993</v>
      </c>
      <c r="H45" s="17">
        <f ca="1">IF(H$2=Inputs!$C129,Inputs!$C128,0)*(1+inf)^G$1</f>
        <v>0</v>
      </c>
      <c r="I45" s="17">
        <f ca="1">IF(I$2=Inputs!$C129,Inputs!$C128,0)*(1+inf)^H$1</f>
        <v>0</v>
      </c>
      <c r="J45" s="17">
        <f ca="1">IF(J$2=Inputs!$C129,Inputs!$C128,0)*(1+inf)^I$1</f>
        <v>0</v>
      </c>
      <c r="K45" s="17">
        <f ca="1">IF(K$2=Inputs!$C129,Inputs!$C128,0)*(1+inf)^J$1</f>
        <v>0</v>
      </c>
      <c r="L45" s="17">
        <f ca="1">IF(L$2=Inputs!$C129,Inputs!$C128,0)*(1+inf)^K$1</f>
        <v>0</v>
      </c>
      <c r="M45" s="17">
        <f ca="1">IF(M$2=Inputs!$C129,Inputs!$C128,0)*(1+inf)^L$1</f>
        <v>0</v>
      </c>
      <c r="N45" s="17">
        <f ca="1">IF(N$2=Inputs!$C129,Inputs!$C128,0)*(1+inf)^M$1</f>
        <v>0</v>
      </c>
      <c r="O45" s="17">
        <f ca="1">IF(O$2=Inputs!$C129,Inputs!$C128,0)*(1+inf)^N$1</f>
        <v>0</v>
      </c>
      <c r="P45" s="17">
        <f ca="1">IF(P$2=Inputs!$C129,Inputs!$C128,0)*(1+inf)^O$1</f>
        <v>0</v>
      </c>
      <c r="Q45" s="17">
        <f ca="1">IF(Q$2=Inputs!$C129,Inputs!$C128,0)*(1+inf)^P$1</f>
        <v>0</v>
      </c>
      <c r="R45" s="17">
        <f ca="1">IF(R$2=Inputs!$C129,Inputs!$C128,0)*(1+inf)^Q$1</f>
        <v>0</v>
      </c>
      <c r="S45" s="17">
        <f ca="1">IF(S$2=Inputs!$C129,Inputs!$C128,0)*(1+inf)^R$1</f>
        <v>0</v>
      </c>
      <c r="T45" s="17">
        <f ca="1">IF(T$2=Inputs!$C129,Inputs!$C128,0)*(1+inf)^S$1</f>
        <v>0</v>
      </c>
      <c r="U45" s="17">
        <f ca="1">IF(U$2=Inputs!$C129,Inputs!$C128,0)*(1+inf)^T$1</f>
        <v>0</v>
      </c>
      <c r="V45" s="17">
        <f ca="1">IF(V$2=Inputs!$C129,Inputs!$C128,0)*(1+inf)^U$1</f>
        <v>0</v>
      </c>
      <c r="W45" s="17">
        <f ca="1">IF(W$2=Inputs!$C129,Inputs!$C128,0)*(1+inf)^V$1</f>
        <v>0</v>
      </c>
      <c r="X45" s="17">
        <f ca="1">IF(X$2=Inputs!$C129,Inputs!$C128,0)*(1+inf)^W$1</f>
        <v>0</v>
      </c>
      <c r="Y45" s="17">
        <f ca="1">IF(Y$2=Inputs!$C129,Inputs!$C128,0)*(1+inf)^X$1</f>
        <v>0</v>
      </c>
      <c r="Z45" s="17">
        <f ca="1">IF(Z$2=Inputs!$C129,Inputs!$C128,0)*(1+inf)^Y$1</f>
        <v>0</v>
      </c>
      <c r="AA45" s="17">
        <f ca="1">IF(AA$2=Inputs!$C129,Inputs!$C128,0)*(1+inf)^Z$1</f>
        <v>0</v>
      </c>
      <c r="AB45" s="17">
        <f ca="1">IF(AB$2=Inputs!$C129,Inputs!$C128,0)*(1+inf)^AA$1</f>
        <v>0</v>
      </c>
      <c r="AC45" s="17">
        <f ca="1">IF(AC$2=Inputs!$C129,Inputs!$C128,0)*(1+inf)^AB$1</f>
        <v>0</v>
      </c>
      <c r="AD45" s="17">
        <f ca="1">IF(AD$2=Inputs!$C129,Inputs!$C128,0)*(1+inf)^AC$1</f>
        <v>0</v>
      </c>
      <c r="AE45" s="17">
        <f ca="1">IF(AE$2=Inputs!$C129,Inputs!$C128,0)*(1+inf)^AD$1</f>
        <v>0</v>
      </c>
      <c r="AF45" s="17">
        <f ca="1">IF(AF$2=Inputs!$C129,Inputs!$C128,0)*(1+inf)^AE$1</f>
        <v>0</v>
      </c>
      <c r="AG45" s="17">
        <f ca="1">IF(AG$2=Inputs!$C129,Inputs!$C128,0)*(1+inf)^AF$1</f>
        <v>0</v>
      </c>
      <c r="AH45" s="17">
        <f ca="1">IF(AH$2=Inputs!$C129,Inputs!$C128,0)*(1+inf)^AG$1</f>
        <v>0</v>
      </c>
      <c r="AI45" s="17">
        <f ca="1">IF(AI$2=Inputs!$C129,Inputs!$C128,0)*(1+inf)^AH$1</f>
        <v>0</v>
      </c>
      <c r="AJ45" s="17">
        <f ca="1">IF(AJ$2=Inputs!$C129,Inputs!$C128,0)*(1+inf)^AI$1</f>
        <v>0</v>
      </c>
      <c r="AK45" s="17">
        <f ca="1">IF(AK$2=Inputs!$C129,Inputs!$C128,0)*(1+inf)^AJ$1</f>
        <v>0</v>
      </c>
      <c r="AL45" s="17">
        <f ca="1">IF(AL$2=Inputs!$C129,Inputs!$C128,0)*(1+inf)^AK$1</f>
        <v>0</v>
      </c>
      <c r="AM45" s="17">
        <f ca="1">IF(AM$2=Inputs!$C129,Inputs!$C128,0)*(1+inf)^AL$1</f>
        <v>0</v>
      </c>
    </row>
    <row r="46" spans="1:39" x14ac:dyDescent="0.2">
      <c r="A46" s="14"/>
      <c r="C46" s="19">
        <f t="shared" ref="C46:G46" ca="1" si="7">SUM(C20:C45)</f>
        <v>122416</v>
      </c>
      <c r="D46" s="19">
        <f t="shared" ca="1" si="7"/>
        <v>158712.36978239132</v>
      </c>
      <c r="E46" s="19">
        <f t="shared" ca="1" si="7"/>
        <v>107810.19436134204</v>
      </c>
      <c r="F46" s="19">
        <f t="shared" ca="1" si="7"/>
        <v>105291.29803352366</v>
      </c>
      <c r="G46" s="19">
        <f t="shared" ca="1" si="7"/>
        <v>139608.62003906249</v>
      </c>
      <c r="H46" s="19">
        <f t="shared" ref="H46:AM46" ca="1" si="8">SUM(H20:H45)</f>
        <v>102749.54808886716</v>
      </c>
      <c r="I46" s="19">
        <f t="shared" ca="1" si="8"/>
        <v>104568.28679108885</v>
      </c>
      <c r="J46" s="19">
        <f t="shared" ca="1" si="8"/>
        <v>106432.49396086606</v>
      </c>
      <c r="K46" s="19">
        <f t="shared" ca="1" si="8"/>
        <v>138803.37874763564</v>
      </c>
      <c r="L46" s="19">
        <f t="shared" ca="1" si="8"/>
        <v>110301.88896763489</v>
      </c>
      <c r="M46" s="19">
        <f t="shared" ca="1" si="8"/>
        <v>112309.43619182575</v>
      </c>
      <c r="N46" s="19">
        <f t="shared" ca="1" si="8"/>
        <v>99945.136897188553</v>
      </c>
      <c r="O46" s="19">
        <f t="shared" ca="1" si="8"/>
        <v>86476.351399036925</v>
      </c>
      <c r="P46" s="19">
        <f t="shared" ca="1" si="8"/>
        <v>88638.260184012848</v>
      </c>
      <c r="Q46" s="19">
        <f t="shared" ca="1" si="8"/>
        <v>90854.21668861316</v>
      </c>
      <c r="R46" s="19">
        <f t="shared" ca="1" si="8"/>
        <v>93125.572105828513</v>
      </c>
      <c r="S46" s="19">
        <f t="shared" ca="1" si="8"/>
        <v>95453.711408474221</v>
      </c>
      <c r="T46" s="19">
        <f t="shared" ca="1" si="8"/>
        <v>88710.344626623584</v>
      </c>
      <c r="U46" s="19">
        <f t="shared" ca="1" si="8"/>
        <v>90928.103242289188</v>
      </c>
      <c r="V46" s="19">
        <f t="shared" ca="1" si="8"/>
        <v>93201.305823346411</v>
      </c>
      <c r="W46" s="19">
        <f t="shared" ca="1" si="8"/>
        <v>95531.338468930058</v>
      </c>
      <c r="X46" s="19">
        <f t="shared" ca="1" si="8"/>
        <v>97919.621930653302</v>
      </c>
      <c r="Y46" s="19">
        <f t="shared" ca="1" si="8"/>
        <v>100367.61247891962</v>
      </c>
      <c r="Z46" s="19">
        <f t="shared" ca="1" si="8"/>
        <v>102876.80279089263</v>
      </c>
      <c r="AA46" s="19">
        <f t="shared" ca="1" si="8"/>
        <v>105448.72286066494</v>
      </c>
      <c r="AB46" s="19">
        <f t="shared" ca="1" si="8"/>
        <v>108084.94093218155</v>
      </c>
      <c r="AC46" s="19">
        <f t="shared" ca="1" si="8"/>
        <v>110787.06445548608</v>
      </c>
      <c r="AD46" s="19">
        <f t="shared" ca="1" si="8"/>
        <v>101869.94095707496</v>
      </c>
      <c r="AE46" s="19">
        <f t="shared" ca="1" si="8"/>
        <v>104416.68948100181</v>
      </c>
      <c r="AF46" s="19">
        <f t="shared" ca="1" si="8"/>
        <v>107027.10671802686</v>
      </c>
      <c r="AG46" s="19">
        <f t="shared" ca="1" si="8"/>
        <v>109702.7843859775</v>
      </c>
      <c r="AH46" s="19">
        <f t="shared" ca="1" si="8"/>
        <v>112445.35399562697</v>
      </c>
      <c r="AI46" s="19">
        <f t="shared" ca="1" si="8"/>
        <v>115256.48784551762</v>
      </c>
      <c r="AJ46" s="19">
        <f t="shared" ca="1" si="8"/>
        <v>118137.90004165558</v>
      </c>
      <c r="AK46" s="19">
        <f t="shared" ca="1" si="8"/>
        <v>121091.34754269695</v>
      </c>
      <c r="AL46" s="19">
        <f t="shared" ca="1" si="8"/>
        <v>124118.63123126436</v>
      </c>
      <c r="AM46" s="19">
        <f t="shared" ca="1" si="8"/>
        <v>127221.59701204598</v>
      </c>
    </row>
    <row r="47" spans="1:39" x14ac:dyDescent="0.2">
      <c r="A47" s="14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ht="19" x14ac:dyDescent="0.25">
      <c r="A48" s="25" t="s">
        <v>20</v>
      </c>
      <c r="C48" s="17">
        <f t="shared" ref="C48:G48" ca="1" si="9">C19-C46</f>
        <v>214578.8</v>
      </c>
      <c r="D48" s="17">
        <f t="shared" ca="1" si="9"/>
        <v>109519.6455953288</v>
      </c>
      <c r="E48" s="17">
        <f t="shared" ca="1" si="9"/>
        <v>171341.72534902435</v>
      </c>
      <c r="F48" s="17">
        <f t="shared" ca="1" si="9"/>
        <v>194669.84746966616</v>
      </c>
      <c r="G48" s="17">
        <f t="shared" ca="1" si="9"/>
        <v>164071.37667288716</v>
      </c>
      <c r="H48" s="17">
        <f t="shared" ref="H48:AM48" ca="1" si="10">H19-H46</f>
        <v>213736.31940610259</v>
      </c>
      <c r="I48" s="17">
        <f t="shared" ca="1" si="10"/>
        <v>260953.91987296616</v>
      </c>
      <c r="J48" s="17">
        <f t="shared" ca="1" si="10"/>
        <v>245126.28200430929</v>
      </c>
      <c r="K48" s="17">
        <f t="shared" ca="1" si="10"/>
        <v>227634.96627427504</v>
      </c>
      <c r="L48" s="17">
        <f t="shared" ca="1" si="10"/>
        <v>271612.85400003992</v>
      </c>
      <c r="M48" s="17">
        <f t="shared" ca="1" si="10"/>
        <v>286081.15540686075</v>
      </c>
      <c r="N48" s="17">
        <f t="shared" ca="1" si="10"/>
        <v>309375.68746053847</v>
      </c>
      <c r="O48" s="17">
        <f t="shared" ca="1" si="10"/>
        <v>334078.12208568759</v>
      </c>
      <c r="P48" s="17">
        <f t="shared" ca="1" si="10"/>
        <v>350513.67839472403</v>
      </c>
      <c r="Q48" s="17">
        <f t="shared" ca="1" si="10"/>
        <v>367613.57637241716</v>
      </c>
      <c r="R48" s="17">
        <f t="shared" ca="1" si="10"/>
        <v>385402.30175989197</v>
      </c>
      <c r="S48" s="17">
        <f t="shared" ca="1" si="10"/>
        <v>101498.07079447599</v>
      </c>
      <c r="T48" s="17">
        <f t="shared" ca="1" si="10"/>
        <v>113240.06769966593</v>
      </c>
      <c r="U48" s="17">
        <f t="shared" ca="1" si="10"/>
        <v>116270.96340942229</v>
      </c>
      <c r="V48" s="17">
        <f t="shared" ca="1" si="10"/>
        <v>119391.96703826463</v>
      </c>
      <c r="W48" s="17">
        <f t="shared" ca="1" si="10"/>
        <v>122605.96981760593</v>
      </c>
      <c r="X48" s="17">
        <f t="shared" ca="1" si="10"/>
        <v>125915.95962733876</v>
      </c>
      <c r="Y48" s="17">
        <f t="shared" ca="1" si="10"/>
        <v>129325.02427337031</v>
      </c>
      <c r="Z48" s="17">
        <f t="shared" ca="1" si="10"/>
        <v>132836.35487619284</v>
      </c>
      <c r="AA48" s="17">
        <f t="shared" ca="1" si="10"/>
        <v>136453.24937421989</v>
      </c>
      <c r="AB48" s="17">
        <f t="shared" ca="1" si="10"/>
        <v>140179.11614574186</v>
      </c>
      <c r="AC48" s="17">
        <f t="shared" ca="1" si="10"/>
        <v>144017.47775348404</v>
      </c>
      <c r="AD48" s="17">
        <f t="shared" ca="1" si="10"/>
        <v>159804.85992705106</v>
      </c>
      <c r="AE48" s="17">
        <f t="shared" ca="1" si="10"/>
        <v>164470.89937604358</v>
      </c>
      <c r="AF48" s="17">
        <f t="shared" ca="1" si="10"/>
        <v>169282.91248759051</v>
      </c>
      <c r="AG48" s="17">
        <f t="shared" ca="1" si="10"/>
        <v>174245.65816199075</v>
      </c>
      <c r="AH48" s="17">
        <f t="shared" ca="1" si="10"/>
        <v>179364.05330577382</v>
      </c>
      <c r="AI48" s="17">
        <f t="shared" ca="1" si="10"/>
        <v>184643.17809654144</v>
      </c>
      <c r="AJ48" s="17">
        <f t="shared" ca="1" si="10"/>
        <v>190088.28142246237</v>
      </c>
      <c r="AK48" s="17">
        <f t="shared" ca="1" si="10"/>
        <v>195704.78650216784</v>
      </c>
      <c r="AL48" s="17">
        <f t="shared" ca="1" si="10"/>
        <v>201498.29669098256</v>
      </c>
      <c r="AM48" s="17">
        <f t="shared" ca="1" si="10"/>
        <v>207474.60147961735</v>
      </c>
    </row>
    <row r="49" spans="1:39" x14ac:dyDescent="0.2">
      <c r="A49" s="14" t="s">
        <v>11</v>
      </c>
      <c r="C49" s="17">
        <f>Inputs!C8</f>
        <v>500000</v>
      </c>
      <c r="D49" s="17">
        <f ca="1">C50</f>
        <v>714578.8</v>
      </c>
      <c r="E49" s="17">
        <f t="shared" ref="E49:AM49" ca="1" si="11">D50</f>
        <v>824098.44559532881</v>
      </c>
      <c r="F49" s="17">
        <f t="shared" ca="1" si="11"/>
        <v>995440.1709443531</v>
      </c>
      <c r="G49" s="17">
        <f t="shared" ca="1" si="11"/>
        <v>1190110.0184140191</v>
      </c>
      <c r="H49" s="17">
        <f t="shared" ca="1" si="11"/>
        <v>1354181.3950869064</v>
      </c>
      <c r="I49" s="17">
        <f t="shared" ca="1" si="11"/>
        <v>1567917.714493009</v>
      </c>
      <c r="J49" s="17">
        <f t="shared" ca="1" si="11"/>
        <v>1828871.6343659752</v>
      </c>
      <c r="K49" s="17">
        <f t="shared" ca="1" si="11"/>
        <v>2073997.9163702845</v>
      </c>
      <c r="L49" s="17">
        <f t="shared" ca="1" si="11"/>
        <v>2301632.8826445597</v>
      </c>
      <c r="M49" s="17">
        <f t="shared" ca="1" si="11"/>
        <v>2573245.7366445996</v>
      </c>
      <c r="N49" s="17">
        <f t="shared" ca="1" si="11"/>
        <v>2859326.8920514602</v>
      </c>
      <c r="O49" s="17">
        <f t="shared" ca="1" si="11"/>
        <v>3168702.5795119987</v>
      </c>
      <c r="P49" s="17">
        <f t="shared" ca="1" si="11"/>
        <v>3502780.7015976864</v>
      </c>
      <c r="Q49" s="17">
        <f t="shared" ca="1" si="11"/>
        <v>3853294.3799924105</v>
      </c>
      <c r="R49" s="17">
        <f t="shared" ca="1" si="11"/>
        <v>4220907.9563648272</v>
      </c>
      <c r="S49" s="17">
        <f t="shared" ca="1" si="11"/>
        <v>4606310.2581247194</v>
      </c>
      <c r="T49" s="17">
        <f t="shared" ca="1" si="11"/>
        <v>4707808.3289191956</v>
      </c>
      <c r="U49" s="17">
        <f t="shared" ca="1" si="11"/>
        <v>4821048.3966188617</v>
      </c>
      <c r="V49" s="17">
        <f t="shared" ca="1" si="11"/>
        <v>4937319.3600282837</v>
      </c>
      <c r="W49" s="17">
        <f t="shared" ca="1" si="11"/>
        <v>5056711.3270665482</v>
      </c>
      <c r="X49" s="17">
        <f t="shared" ca="1" si="11"/>
        <v>5179317.296884154</v>
      </c>
      <c r="Y49" s="17">
        <f t="shared" ca="1" si="11"/>
        <v>5305233.2565114927</v>
      </c>
      <c r="Z49" s="17">
        <f t="shared" ca="1" si="11"/>
        <v>5434558.280784863</v>
      </c>
      <c r="AA49" s="17">
        <f t="shared" ca="1" si="11"/>
        <v>5567394.6356610563</v>
      </c>
      <c r="AB49" s="17">
        <f t="shared" ca="1" si="11"/>
        <v>5703847.8850352764</v>
      </c>
      <c r="AC49" s="17">
        <f t="shared" ca="1" si="11"/>
        <v>5844027.0011810185</v>
      </c>
      <c r="AD49" s="17">
        <f t="shared" ca="1" si="11"/>
        <v>5988044.4789345022</v>
      </c>
      <c r="AE49" s="17">
        <f t="shared" ca="1" si="11"/>
        <v>6147849.338861553</v>
      </c>
      <c r="AF49" s="17">
        <f t="shared" ca="1" si="11"/>
        <v>6312320.238237597</v>
      </c>
      <c r="AG49" s="17">
        <f t="shared" ca="1" si="11"/>
        <v>6481603.1507251877</v>
      </c>
      <c r="AH49" s="17">
        <f t="shared" ca="1" si="11"/>
        <v>6655848.8088871781</v>
      </c>
      <c r="AI49" s="17">
        <f t="shared" ca="1" si="11"/>
        <v>6835212.8621929521</v>
      </c>
      <c r="AJ49" s="17">
        <f t="shared" ca="1" si="11"/>
        <v>7019856.0402894933</v>
      </c>
      <c r="AK49" s="17">
        <f t="shared" ca="1" si="11"/>
        <v>7209944.3217119556</v>
      </c>
      <c r="AL49" s="17">
        <f t="shared" ca="1" si="11"/>
        <v>7405649.1082141232</v>
      </c>
      <c r="AM49" s="17">
        <f t="shared" ca="1" si="11"/>
        <v>7607147.4049051059</v>
      </c>
    </row>
    <row r="50" spans="1:39" x14ac:dyDescent="0.2">
      <c r="A50" s="14" t="s">
        <v>12</v>
      </c>
      <c r="C50" s="19">
        <f ca="1">SUM(C48:C49)</f>
        <v>714578.8</v>
      </c>
      <c r="D50" s="19">
        <f t="shared" ref="D50:G50" ca="1" si="12">SUM(D48:D49)</f>
        <v>824098.44559532881</v>
      </c>
      <c r="E50" s="19">
        <f t="shared" ca="1" si="12"/>
        <v>995440.1709443531</v>
      </c>
      <c r="F50" s="19">
        <f t="shared" ca="1" si="12"/>
        <v>1190110.0184140191</v>
      </c>
      <c r="G50" s="19">
        <f t="shared" ca="1" si="12"/>
        <v>1354181.3950869064</v>
      </c>
      <c r="H50" s="19">
        <f t="shared" ref="H50:AM50" ca="1" si="13">SUM(H48:H49)</f>
        <v>1567917.714493009</v>
      </c>
      <c r="I50" s="19">
        <f t="shared" ca="1" si="13"/>
        <v>1828871.6343659752</v>
      </c>
      <c r="J50" s="19">
        <f t="shared" ca="1" si="13"/>
        <v>2073997.9163702845</v>
      </c>
      <c r="K50" s="19">
        <f t="shared" ca="1" si="13"/>
        <v>2301632.8826445597</v>
      </c>
      <c r="L50" s="19">
        <f t="shared" ca="1" si="13"/>
        <v>2573245.7366445996</v>
      </c>
      <c r="M50" s="19">
        <f t="shared" ca="1" si="13"/>
        <v>2859326.8920514602</v>
      </c>
      <c r="N50" s="19">
        <f t="shared" ca="1" si="13"/>
        <v>3168702.5795119987</v>
      </c>
      <c r="O50" s="19">
        <f t="shared" ca="1" si="13"/>
        <v>3502780.7015976864</v>
      </c>
      <c r="P50" s="19">
        <f t="shared" ca="1" si="13"/>
        <v>3853294.3799924105</v>
      </c>
      <c r="Q50" s="19">
        <f t="shared" ca="1" si="13"/>
        <v>4220907.9563648272</v>
      </c>
      <c r="R50" s="19">
        <f t="shared" ca="1" si="13"/>
        <v>4606310.2581247194</v>
      </c>
      <c r="S50" s="19">
        <f t="shared" ca="1" si="13"/>
        <v>4707808.3289191956</v>
      </c>
      <c r="T50" s="19">
        <f t="shared" ca="1" si="13"/>
        <v>4821048.3966188617</v>
      </c>
      <c r="U50" s="19">
        <f t="shared" ca="1" si="13"/>
        <v>4937319.3600282837</v>
      </c>
      <c r="V50" s="19">
        <f t="shared" ca="1" si="13"/>
        <v>5056711.3270665482</v>
      </c>
      <c r="W50" s="19">
        <f t="shared" ca="1" si="13"/>
        <v>5179317.296884154</v>
      </c>
      <c r="X50" s="19">
        <f t="shared" ca="1" si="13"/>
        <v>5305233.2565114927</v>
      </c>
      <c r="Y50" s="19">
        <f t="shared" ca="1" si="13"/>
        <v>5434558.280784863</v>
      </c>
      <c r="Z50" s="19">
        <f t="shared" ca="1" si="13"/>
        <v>5567394.6356610563</v>
      </c>
      <c r="AA50" s="19">
        <f t="shared" ca="1" si="13"/>
        <v>5703847.8850352764</v>
      </c>
      <c r="AB50" s="19">
        <f t="shared" ca="1" si="13"/>
        <v>5844027.0011810185</v>
      </c>
      <c r="AC50" s="19">
        <f t="shared" ca="1" si="13"/>
        <v>5988044.4789345022</v>
      </c>
      <c r="AD50" s="19">
        <f t="shared" ca="1" si="13"/>
        <v>6147849.338861553</v>
      </c>
      <c r="AE50" s="19">
        <f t="shared" ca="1" si="13"/>
        <v>6312320.238237597</v>
      </c>
      <c r="AF50" s="19">
        <f t="shared" ca="1" si="13"/>
        <v>6481603.1507251877</v>
      </c>
      <c r="AG50" s="19">
        <f t="shared" ca="1" si="13"/>
        <v>6655848.8088871781</v>
      </c>
      <c r="AH50" s="19">
        <f t="shared" ca="1" si="13"/>
        <v>6835212.8621929521</v>
      </c>
      <c r="AI50" s="19">
        <f t="shared" ca="1" si="13"/>
        <v>7019856.0402894933</v>
      </c>
      <c r="AJ50" s="19">
        <f t="shared" ca="1" si="13"/>
        <v>7209944.3217119556</v>
      </c>
      <c r="AK50" s="19">
        <f t="shared" ca="1" si="13"/>
        <v>7405649.1082141232</v>
      </c>
      <c r="AL50" s="19">
        <f t="shared" ca="1" si="13"/>
        <v>7607147.4049051059</v>
      </c>
      <c r="AM50" s="19">
        <f t="shared" ca="1" si="13"/>
        <v>7814622.0063847229</v>
      </c>
    </row>
    <row r="51" spans="1:39" x14ac:dyDescent="0.2"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ht="19" x14ac:dyDescent="0.25">
      <c r="A52" s="42" t="s">
        <v>84</v>
      </c>
      <c r="B52" s="43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</row>
    <row r="53" spans="1:39" x14ac:dyDescent="0.2">
      <c r="A53" s="14" t="s">
        <v>10</v>
      </c>
      <c r="C53" s="17">
        <f t="shared" ref="C53:G53" ca="1" si="14">C50</f>
        <v>714578.8</v>
      </c>
      <c r="D53" s="17">
        <f t="shared" ca="1" si="14"/>
        <v>824098.44559532881</v>
      </c>
      <c r="E53" s="17">
        <f t="shared" ca="1" si="14"/>
        <v>995440.1709443531</v>
      </c>
      <c r="F53" s="17">
        <f t="shared" ca="1" si="14"/>
        <v>1190110.0184140191</v>
      </c>
      <c r="G53" s="17">
        <f t="shared" ca="1" si="14"/>
        <v>1354181.3950869064</v>
      </c>
      <c r="H53" s="17">
        <f t="shared" ref="H53:AM53" ca="1" si="15">H50</f>
        <v>1567917.714493009</v>
      </c>
      <c r="I53" s="17">
        <f t="shared" ca="1" si="15"/>
        <v>1828871.6343659752</v>
      </c>
      <c r="J53" s="17">
        <f t="shared" ca="1" si="15"/>
        <v>2073997.9163702845</v>
      </c>
      <c r="K53" s="17">
        <f t="shared" ca="1" si="15"/>
        <v>2301632.8826445597</v>
      </c>
      <c r="L53" s="17">
        <f t="shared" ca="1" si="15"/>
        <v>2573245.7366445996</v>
      </c>
      <c r="M53" s="17">
        <f t="shared" ca="1" si="15"/>
        <v>2859326.8920514602</v>
      </c>
      <c r="N53" s="17">
        <f t="shared" ca="1" si="15"/>
        <v>3168702.5795119987</v>
      </c>
      <c r="O53" s="17">
        <f t="shared" ca="1" si="15"/>
        <v>3502780.7015976864</v>
      </c>
      <c r="P53" s="17">
        <f t="shared" ca="1" si="15"/>
        <v>3853294.3799924105</v>
      </c>
      <c r="Q53" s="17">
        <f t="shared" ca="1" si="15"/>
        <v>4220907.9563648272</v>
      </c>
      <c r="R53" s="17">
        <f t="shared" ca="1" si="15"/>
        <v>4606310.2581247194</v>
      </c>
      <c r="S53" s="17">
        <f t="shared" ca="1" si="15"/>
        <v>4707808.3289191956</v>
      </c>
      <c r="T53" s="17">
        <f t="shared" ca="1" si="15"/>
        <v>4821048.3966188617</v>
      </c>
      <c r="U53" s="17">
        <f t="shared" ca="1" si="15"/>
        <v>4937319.3600282837</v>
      </c>
      <c r="V53" s="17">
        <f t="shared" ca="1" si="15"/>
        <v>5056711.3270665482</v>
      </c>
      <c r="W53" s="17">
        <f t="shared" ca="1" si="15"/>
        <v>5179317.296884154</v>
      </c>
      <c r="X53" s="17">
        <f t="shared" ca="1" si="15"/>
        <v>5305233.2565114927</v>
      </c>
      <c r="Y53" s="17">
        <f t="shared" ca="1" si="15"/>
        <v>5434558.280784863</v>
      </c>
      <c r="Z53" s="17">
        <f t="shared" ca="1" si="15"/>
        <v>5567394.6356610563</v>
      </c>
      <c r="AA53" s="17">
        <f t="shared" ca="1" si="15"/>
        <v>5703847.8850352764</v>
      </c>
      <c r="AB53" s="17">
        <f t="shared" ca="1" si="15"/>
        <v>5844027.0011810185</v>
      </c>
      <c r="AC53" s="17">
        <f t="shared" ca="1" si="15"/>
        <v>5988044.4789345022</v>
      </c>
      <c r="AD53" s="17">
        <f t="shared" ca="1" si="15"/>
        <v>6147849.338861553</v>
      </c>
      <c r="AE53" s="17">
        <f t="shared" ca="1" si="15"/>
        <v>6312320.238237597</v>
      </c>
      <c r="AF53" s="17">
        <f t="shared" ca="1" si="15"/>
        <v>6481603.1507251877</v>
      </c>
      <c r="AG53" s="17">
        <f t="shared" ca="1" si="15"/>
        <v>6655848.8088871781</v>
      </c>
      <c r="AH53" s="17">
        <f t="shared" ca="1" si="15"/>
        <v>6835212.8621929521</v>
      </c>
      <c r="AI53" s="17">
        <f t="shared" ca="1" si="15"/>
        <v>7019856.0402894933</v>
      </c>
      <c r="AJ53" s="17">
        <f t="shared" ca="1" si="15"/>
        <v>7209944.3217119556</v>
      </c>
      <c r="AK53" s="17">
        <f t="shared" ca="1" si="15"/>
        <v>7405649.1082141232</v>
      </c>
      <c r="AL53" s="17">
        <f t="shared" ca="1" si="15"/>
        <v>7607147.4049051059</v>
      </c>
      <c r="AM53" s="17">
        <f t="shared" ca="1" si="15"/>
        <v>7814622.0063847229</v>
      </c>
    </row>
    <row r="54" spans="1:39" x14ac:dyDescent="0.2">
      <c r="A54" s="14" t="s">
        <v>8</v>
      </c>
      <c r="C54" s="17">
        <f>Inputs!C12*(1+princ)</f>
        <v>515000</v>
      </c>
      <c r="D54" s="17">
        <f t="shared" ref="D54:AM54" si="16">C54*(1+princ)</f>
        <v>530450</v>
      </c>
      <c r="E54" s="17">
        <f t="shared" si="16"/>
        <v>546363.5</v>
      </c>
      <c r="F54" s="17">
        <f t="shared" si="16"/>
        <v>562754.40500000003</v>
      </c>
      <c r="G54" s="17">
        <f t="shared" si="16"/>
        <v>579637.03714999999</v>
      </c>
      <c r="H54" s="17">
        <f t="shared" si="16"/>
        <v>597026.14826449996</v>
      </c>
      <c r="I54" s="17">
        <f t="shared" si="16"/>
        <v>614936.93271243502</v>
      </c>
      <c r="J54" s="17">
        <f t="shared" si="16"/>
        <v>633385.04069380811</v>
      </c>
      <c r="K54" s="17">
        <f t="shared" si="16"/>
        <v>652386.59191462235</v>
      </c>
      <c r="L54" s="17">
        <f t="shared" si="16"/>
        <v>671958.18967206101</v>
      </c>
      <c r="M54" s="17">
        <f t="shared" si="16"/>
        <v>692116.93536222284</v>
      </c>
      <c r="N54" s="17">
        <f t="shared" si="16"/>
        <v>712880.44342308957</v>
      </c>
      <c r="O54" s="17">
        <f t="shared" si="16"/>
        <v>734266.85672578227</v>
      </c>
      <c r="P54" s="17">
        <f t="shared" si="16"/>
        <v>756294.86242755572</v>
      </c>
      <c r="Q54" s="17">
        <f t="shared" si="16"/>
        <v>778983.70830038236</v>
      </c>
      <c r="R54" s="17">
        <f t="shared" si="16"/>
        <v>802353.21954939386</v>
      </c>
      <c r="S54" s="17">
        <f t="shared" si="16"/>
        <v>826423.81613587565</v>
      </c>
      <c r="T54" s="17">
        <f t="shared" si="16"/>
        <v>851216.5306199519</v>
      </c>
      <c r="U54" s="17">
        <f t="shared" si="16"/>
        <v>876753.0265385505</v>
      </c>
      <c r="V54" s="17">
        <f t="shared" si="16"/>
        <v>903055.61733470706</v>
      </c>
      <c r="W54" s="17">
        <f t="shared" si="16"/>
        <v>930147.28585474833</v>
      </c>
      <c r="X54" s="17">
        <f t="shared" si="16"/>
        <v>958051.70443039085</v>
      </c>
      <c r="Y54" s="17">
        <f t="shared" si="16"/>
        <v>986793.25556330255</v>
      </c>
      <c r="Z54" s="17">
        <f t="shared" si="16"/>
        <v>1016397.0532302016</v>
      </c>
      <c r="AA54" s="17">
        <f t="shared" si="16"/>
        <v>1046888.9648271076</v>
      </c>
      <c r="AB54" s="17">
        <f t="shared" si="16"/>
        <v>1078295.6337719208</v>
      </c>
      <c r="AC54" s="17">
        <f t="shared" si="16"/>
        <v>1110644.5027850785</v>
      </c>
      <c r="AD54" s="17">
        <f t="shared" si="16"/>
        <v>1143963.8378686309</v>
      </c>
      <c r="AE54" s="17">
        <f t="shared" si="16"/>
        <v>1178282.7530046899</v>
      </c>
      <c r="AF54" s="17">
        <f t="shared" si="16"/>
        <v>1213631.2355948307</v>
      </c>
      <c r="AG54" s="17">
        <f t="shared" si="16"/>
        <v>1250040.1726626756</v>
      </c>
      <c r="AH54" s="17">
        <f t="shared" si="16"/>
        <v>1287541.377842556</v>
      </c>
      <c r="AI54" s="17">
        <f t="shared" si="16"/>
        <v>1326167.6191778327</v>
      </c>
      <c r="AJ54" s="17">
        <f t="shared" si="16"/>
        <v>1365952.6477531677</v>
      </c>
      <c r="AK54" s="17">
        <f t="shared" si="16"/>
        <v>1406931.2271857627</v>
      </c>
      <c r="AL54" s="17">
        <f t="shared" si="16"/>
        <v>1449139.1640013356</v>
      </c>
      <c r="AM54" s="17">
        <f t="shared" si="16"/>
        <v>1492613.3389213758</v>
      </c>
    </row>
    <row r="55" spans="1:39" x14ac:dyDescent="0.2">
      <c r="A55" s="14" t="s">
        <v>58</v>
      </c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x14ac:dyDescent="0.2">
      <c r="A56" s="13" t="str">
        <f>TEXT(Inputs!$C$50,"")</f>
        <v>Sliema</v>
      </c>
      <c r="C56" s="17">
        <f>Inputs!C51*(1+princ)</f>
        <v>206000</v>
      </c>
      <c r="D56" s="17">
        <f t="shared" ref="D56:AM56" si="17">C56*(1+princ)</f>
        <v>212180</v>
      </c>
      <c r="E56" s="17">
        <f t="shared" si="17"/>
        <v>218545.4</v>
      </c>
      <c r="F56" s="17">
        <f t="shared" si="17"/>
        <v>225101.76199999999</v>
      </c>
      <c r="G56" s="17">
        <f t="shared" si="17"/>
        <v>231854.81485999998</v>
      </c>
      <c r="H56" s="17">
        <f t="shared" si="17"/>
        <v>238810.4593058</v>
      </c>
      <c r="I56" s="17">
        <f t="shared" si="17"/>
        <v>245974.773084974</v>
      </c>
      <c r="J56" s="17">
        <f t="shared" si="17"/>
        <v>253354.01627752322</v>
      </c>
      <c r="K56" s="17">
        <f t="shared" si="17"/>
        <v>260954.63676584893</v>
      </c>
      <c r="L56" s="17">
        <f t="shared" si="17"/>
        <v>268783.27586882439</v>
      </c>
      <c r="M56" s="17">
        <f t="shared" si="17"/>
        <v>276846.77414488915</v>
      </c>
      <c r="N56" s="17">
        <f t="shared" si="17"/>
        <v>285152.17736923584</v>
      </c>
      <c r="O56" s="17">
        <f t="shared" si="17"/>
        <v>293706.74269031291</v>
      </c>
      <c r="P56" s="17">
        <f t="shared" si="17"/>
        <v>302517.94497102231</v>
      </c>
      <c r="Q56" s="17">
        <f t="shared" si="17"/>
        <v>311593.48332015297</v>
      </c>
      <c r="R56" s="17">
        <f t="shared" si="17"/>
        <v>320941.28781975759</v>
      </c>
      <c r="S56" s="17">
        <f t="shared" si="17"/>
        <v>330569.52645435033</v>
      </c>
      <c r="T56" s="17">
        <f t="shared" si="17"/>
        <v>340486.61224798084</v>
      </c>
      <c r="U56" s="17">
        <f t="shared" si="17"/>
        <v>350701.21061542025</v>
      </c>
      <c r="V56" s="17">
        <f t="shared" si="17"/>
        <v>361222.24693388288</v>
      </c>
      <c r="W56" s="17">
        <f t="shared" si="17"/>
        <v>372058.91434189939</v>
      </c>
      <c r="X56" s="17">
        <f t="shared" si="17"/>
        <v>383220.68177215639</v>
      </c>
      <c r="Y56" s="17">
        <f t="shared" si="17"/>
        <v>394717.30222532107</v>
      </c>
      <c r="Z56" s="17">
        <f t="shared" si="17"/>
        <v>406558.82129208068</v>
      </c>
      <c r="AA56" s="17">
        <f t="shared" si="17"/>
        <v>418755.58593084314</v>
      </c>
      <c r="AB56" s="17">
        <f t="shared" si="17"/>
        <v>431318.25350876845</v>
      </c>
      <c r="AC56" s="17">
        <f t="shared" si="17"/>
        <v>444257.80111403152</v>
      </c>
      <c r="AD56" s="17">
        <f t="shared" si="17"/>
        <v>457585.53514745249</v>
      </c>
      <c r="AE56" s="17">
        <f t="shared" si="17"/>
        <v>471313.10120187607</v>
      </c>
      <c r="AF56" s="17">
        <f t="shared" si="17"/>
        <v>485452.49423793238</v>
      </c>
      <c r="AG56" s="17">
        <f t="shared" si="17"/>
        <v>500016.06906507036</v>
      </c>
      <c r="AH56" s="17">
        <f t="shared" si="17"/>
        <v>515016.5511370225</v>
      </c>
      <c r="AI56" s="17">
        <f t="shared" si="17"/>
        <v>530467.04767113319</v>
      </c>
      <c r="AJ56" s="17">
        <f t="shared" si="17"/>
        <v>546381.05910126725</v>
      </c>
      <c r="AK56" s="17">
        <f t="shared" si="17"/>
        <v>562772.49087430525</v>
      </c>
      <c r="AL56" s="17">
        <f t="shared" si="17"/>
        <v>579655.66560053441</v>
      </c>
      <c r="AM56" s="17">
        <f t="shared" si="17"/>
        <v>597045.33556855051</v>
      </c>
    </row>
    <row r="57" spans="1:39" x14ac:dyDescent="0.2">
      <c r="A57" s="13" t="str">
        <f>TEXT(Inputs!$C$55,"")</f>
        <v>Gzira</v>
      </c>
      <c r="C57" s="17">
        <f>Inputs!C56*(1+princ)</f>
        <v>360500</v>
      </c>
      <c r="D57" s="17">
        <f t="shared" ref="D57:AM57" si="18">C57*(1+princ)</f>
        <v>371315</v>
      </c>
      <c r="E57" s="17">
        <f t="shared" si="18"/>
        <v>382454.45</v>
      </c>
      <c r="F57" s="17">
        <f t="shared" si="18"/>
        <v>393928.08350000001</v>
      </c>
      <c r="G57" s="17">
        <f t="shared" si="18"/>
        <v>405745.92600500002</v>
      </c>
      <c r="H57" s="17">
        <f t="shared" si="18"/>
        <v>417918.30378515006</v>
      </c>
      <c r="I57" s="17">
        <f t="shared" si="18"/>
        <v>430455.85289870459</v>
      </c>
      <c r="J57" s="17">
        <f t="shared" si="18"/>
        <v>443369.52848566574</v>
      </c>
      <c r="K57" s="17">
        <f t="shared" si="18"/>
        <v>456670.61434023571</v>
      </c>
      <c r="L57" s="17">
        <f t="shared" si="18"/>
        <v>470370.73277044279</v>
      </c>
      <c r="M57" s="17">
        <f t="shared" si="18"/>
        <v>484481.85475355608</v>
      </c>
      <c r="N57" s="17">
        <f t="shared" si="18"/>
        <v>499016.31039616279</v>
      </c>
      <c r="O57" s="17">
        <f t="shared" si="18"/>
        <v>513986.79970804771</v>
      </c>
      <c r="P57" s="17">
        <f t="shared" si="18"/>
        <v>529406.40369928919</v>
      </c>
      <c r="Q57" s="17">
        <f t="shared" si="18"/>
        <v>545288.59581026784</v>
      </c>
      <c r="R57" s="17">
        <f t="shared" si="18"/>
        <v>561647.2536845759</v>
      </c>
      <c r="S57" s="17">
        <f t="shared" si="18"/>
        <v>578496.67129511316</v>
      </c>
      <c r="T57" s="17">
        <f t="shared" si="18"/>
        <v>595851.57143396663</v>
      </c>
      <c r="U57" s="17">
        <f t="shared" si="18"/>
        <v>613727.11857698567</v>
      </c>
      <c r="V57" s="17">
        <f t="shared" si="18"/>
        <v>632138.93213429523</v>
      </c>
      <c r="W57" s="17">
        <f t="shared" si="18"/>
        <v>651103.10009832412</v>
      </c>
      <c r="X57" s="17">
        <f t="shared" si="18"/>
        <v>670636.19310127385</v>
      </c>
      <c r="Y57" s="17">
        <f t="shared" si="18"/>
        <v>690755.2788943121</v>
      </c>
      <c r="Z57" s="17">
        <f t="shared" si="18"/>
        <v>711477.93726114149</v>
      </c>
      <c r="AA57" s="17">
        <f t="shared" si="18"/>
        <v>732822.27537897578</v>
      </c>
      <c r="AB57" s="17">
        <f t="shared" si="18"/>
        <v>754806.94364034513</v>
      </c>
      <c r="AC57" s="17">
        <f t="shared" si="18"/>
        <v>777451.1519495555</v>
      </c>
      <c r="AD57" s="17">
        <f t="shared" si="18"/>
        <v>800774.68650804216</v>
      </c>
      <c r="AE57" s="17">
        <f t="shared" si="18"/>
        <v>824797.92710328347</v>
      </c>
      <c r="AF57" s="17">
        <f t="shared" si="18"/>
        <v>849541.86491638201</v>
      </c>
      <c r="AG57" s="17">
        <f t="shared" si="18"/>
        <v>875028.12086387351</v>
      </c>
      <c r="AH57" s="17">
        <f t="shared" si="18"/>
        <v>901278.9644897898</v>
      </c>
      <c r="AI57" s="17">
        <f t="shared" si="18"/>
        <v>928317.33342448354</v>
      </c>
      <c r="AJ57" s="17">
        <f t="shared" si="18"/>
        <v>956166.85342721804</v>
      </c>
      <c r="AK57" s="17">
        <f t="shared" si="18"/>
        <v>984851.85903003463</v>
      </c>
      <c r="AL57" s="17">
        <f t="shared" si="18"/>
        <v>1014397.4148009357</v>
      </c>
      <c r="AM57" s="17">
        <f t="shared" si="18"/>
        <v>1044829.3372449637</v>
      </c>
    </row>
    <row r="58" spans="1:39" x14ac:dyDescent="0.2">
      <c r="A58" s="13" t="str">
        <f>TEXT(Inputs!$C$60,"")</f>
        <v>Hamrun</v>
      </c>
      <c r="C58" s="17">
        <f>Inputs!C61*(1+princ)</f>
        <v>28840</v>
      </c>
      <c r="D58" s="17">
        <f t="shared" ref="D58:AM58" si="19">C58*(1+princ)</f>
        <v>29705.200000000001</v>
      </c>
      <c r="E58" s="17">
        <f t="shared" si="19"/>
        <v>30596.356</v>
      </c>
      <c r="F58" s="17">
        <f t="shared" si="19"/>
        <v>31514.24668</v>
      </c>
      <c r="G58" s="17">
        <f t="shared" si="19"/>
        <v>32459.6740804</v>
      </c>
      <c r="H58" s="17">
        <f t="shared" si="19"/>
        <v>33433.464302812004</v>
      </c>
      <c r="I58" s="17">
        <f t="shared" si="19"/>
        <v>34436.468231896368</v>
      </c>
      <c r="J58" s="17">
        <f t="shared" si="19"/>
        <v>35469.562278853256</v>
      </c>
      <c r="K58" s="17">
        <f t="shared" si="19"/>
        <v>36533.649147218857</v>
      </c>
      <c r="L58" s="17">
        <f t="shared" si="19"/>
        <v>37629.658621635426</v>
      </c>
      <c r="M58" s="17">
        <f t="shared" si="19"/>
        <v>38758.54838028449</v>
      </c>
      <c r="N58" s="17">
        <f t="shared" si="19"/>
        <v>39921.304831693029</v>
      </c>
      <c r="O58" s="17">
        <f t="shared" si="19"/>
        <v>41118.943976643823</v>
      </c>
      <c r="P58" s="17">
        <f t="shared" si="19"/>
        <v>42352.512295943139</v>
      </c>
      <c r="Q58" s="17">
        <f t="shared" si="19"/>
        <v>43623.087664821433</v>
      </c>
      <c r="R58" s="17">
        <f t="shared" si="19"/>
        <v>44931.780294766075</v>
      </c>
      <c r="S58" s="17">
        <f t="shared" si="19"/>
        <v>46279.733703609061</v>
      </c>
      <c r="T58" s="17">
        <f t="shared" si="19"/>
        <v>47668.125714717331</v>
      </c>
      <c r="U58" s="17">
        <f t="shared" si="19"/>
        <v>49098.169486158855</v>
      </c>
      <c r="V58" s="17">
        <f t="shared" si="19"/>
        <v>50571.114570743623</v>
      </c>
      <c r="W58" s="17">
        <f t="shared" si="19"/>
        <v>52088.248007865936</v>
      </c>
      <c r="X58" s="17">
        <f t="shared" si="19"/>
        <v>53650.895448101917</v>
      </c>
      <c r="Y58" s="17">
        <f t="shared" si="19"/>
        <v>55260.422311544979</v>
      </c>
      <c r="Z58" s="17">
        <f t="shared" si="19"/>
        <v>56918.234980891328</v>
      </c>
      <c r="AA58" s="17">
        <f t="shared" si="19"/>
        <v>58625.782030318071</v>
      </c>
      <c r="AB58" s="17">
        <f t="shared" si="19"/>
        <v>60384.555491227613</v>
      </c>
      <c r="AC58" s="17">
        <f t="shared" si="19"/>
        <v>62196.092155964441</v>
      </c>
      <c r="AD58" s="17">
        <f t="shared" si="19"/>
        <v>64061.974920643377</v>
      </c>
      <c r="AE58" s="17">
        <f t="shared" si="19"/>
        <v>65983.834168262678</v>
      </c>
      <c r="AF58" s="17">
        <f t="shared" si="19"/>
        <v>67963.349193310554</v>
      </c>
      <c r="AG58" s="17">
        <f t="shared" si="19"/>
        <v>70002.249669109879</v>
      </c>
      <c r="AH58" s="17">
        <f t="shared" si="19"/>
        <v>72102.317159183178</v>
      </c>
      <c r="AI58" s="17">
        <f t="shared" si="19"/>
        <v>74265.386673958681</v>
      </c>
      <c r="AJ58" s="17">
        <f t="shared" si="19"/>
        <v>76493.34827417745</v>
      </c>
      <c r="AK58" s="17">
        <f t="shared" si="19"/>
        <v>78788.148722402781</v>
      </c>
      <c r="AL58" s="17">
        <f t="shared" si="19"/>
        <v>81151.793184074864</v>
      </c>
      <c r="AM58" s="17">
        <f t="shared" si="19"/>
        <v>83586.346979597118</v>
      </c>
    </row>
    <row r="59" spans="1:39" x14ac:dyDescent="0.2">
      <c r="A59" s="14" t="s">
        <v>13</v>
      </c>
      <c r="C59" s="17">
        <f>Inputs!C10*(1+stinc)</f>
        <v>21600</v>
      </c>
      <c r="D59" s="17">
        <f>C59*(1+stinc)</f>
        <v>23328</v>
      </c>
      <c r="E59" s="17">
        <f t="shared" ref="E59:AM59" si="20">D59*(1+stinc)</f>
        <v>25194.240000000002</v>
      </c>
      <c r="F59" s="17">
        <f t="shared" si="20"/>
        <v>27209.779200000004</v>
      </c>
      <c r="G59" s="17">
        <f t="shared" si="20"/>
        <v>29386.561536000008</v>
      </c>
      <c r="H59" s="17">
        <f t="shared" si="20"/>
        <v>31737.486458880012</v>
      </c>
      <c r="I59" s="17">
        <f t="shared" si="20"/>
        <v>34276.485375590419</v>
      </c>
      <c r="J59" s="17">
        <f t="shared" si="20"/>
        <v>37018.604205637654</v>
      </c>
      <c r="K59" s="17">
        <f t="shared" si="20"/>
        <v>39980.092542088671</v>
      </c>
      <c r="L59" s="17">
        <f t="shared" si="20"/>
        <v>43178.499945455769</v>
      </c>
      <c r="M59" s="17">
        <f t="shared" si="20"/>
        <v>46632.779941092231</v>
      </c>
      <c r="N59" s="17">
        <f t="shared" si="20"/>
        <v>50363.402336379615</v>
      </c>
      <c r="O59" s="17">
        <f t="shared" si="20"/>
        <v>54392.474523289988</v>
      </c>
      <c r="P59" s="17">
        <f t="shared" si="20"/>
        <v>58743.872485153188</v>
      </c>
      <c r="Q59" s="17">
        <f t="shared" si="20"/>
        <v>63443.382283965446</v>
      </c>
      <c r="R59" s="17">
        <f t="shared" si="20"/>
        <v>68518.85286668269</v>
      </c>
      <c r="S59" s="17">
        <f t="shared" si="20"/>
        <v>74000.36109601731</v>
      </c>
      <c r="T59" s="17">
        <f t="shared" si="20"/>
        <v>79920.389983698697</v>
      </c>
      <c r="U59" s="17">
        <f t="shared" si="20"/>
        <v>86314.021182394601</v>
      </c>
      <c r="V59" s="17">
        <f t="shared" si="20"/>
        <v>93219.142876986181</v>
      </c>
      <c r="W59" s="17">
        <f t="shared" si="20"/>
        <v>100676.67430714508</v>
      </c>
      <c r="X59" s="17">
        <f t="shared" si="20"/>
        <v>108730.80825171669</v>
      </c>
      <c r="Y59" s="17">
        <f t="shared" si="20"/>
        <v>117429.27291185403</v>
      </c>
      <c r="Z59" s="17">
        <f t="shared" si="20"/>
        <v>126823.61474480235</v>
      </c>
      <c r="AA59" s="17">
        <f t="shared" si="20"/>
        <v>136969.50392438655</v>
      </c>
      <c r="AB59" s="17">
        <f t="shared" si="20"/>
        <v>147927.06423833748</v>
      </c>
      <c r="AC59" s="17">
        <f t="shared" si="20"/>
        <v>159761.2293774045</v>
      </c>
      <c r="AD59" s="17">
        <f t="shared" si="20"/>
        <v>172542.12772759688</v>
      </c>
      <c r="AE59" s="17">
        <f t="shared" si="20"/>
        <v>186345.49794580464</v>
      </c>
      <c r="AF59" s="17">
        <f t="shared" si="20"/>
        <v>201253.13778146903</v>
      </c>
      <c r="AG59" s="17">
        <f t="shared" si="20"/>
        <v>217353.38880398657</v>
      </c>
      <c r="AH59" s="17">
        <f t="shared" si="20"/>
        <v>234741.6599083055</v>
      </c>
      <c r="AI59" s="17">
        <f t="shared" si="20"/>
        <v>253520.99270096997</v>
      </c>
      <c r="AJ59" s="17">
        <f t="shared" si="20"/>
        <v>273802.67211704759</v>
      </c>
      <c r="AK59" s="17">
        <f t="shared" si="20"/>
        <v>295706.88588641142</v>
      </c>
      <c r="AL59" s="17">
        <f t="shared" si="20"/>
        <v>319363.43675732432</v>
      </c>
      <c r="AM59" s="17">
        <f t="shared" si="20"/>
        <v>344912.51169791032</v>
      </c>
    </row>
    <row r="60" spans="1:39" x14ac:dyDescent="0.2">
      <c r="A60" s="14" t="s">
        <v>3</v>
      </c>
      <c r="C60" s="17">
        <f>-MAX(FV(Inputs!$C16/12,C$1*12,Inputs!$C17,-Inputs!$C15),0)</f>
        <v>-277240.38871503877</v>
      </c>
      <c r="D60" s="17">
        <f>-MAX(FV(Inputs!$C16/12,D$1*12,Inputs!$C17,-Inputs!$C15),0)</f>
        <v>-253905.22197914126</v>
      </c>
      <c r="E60" s="17">
        <f>-MAX(FV(Inputs!$C16/12,E$1*12,Inputs!$C17,-Inputs!$C15),0)</f>
        <v>-229979.94488304513</v>
      </c>
      <c r="F60" s="17">
        <f>-MAX(FV(Inputs!$C16/12,F$1*12,Inputs!$C17,-Inputs!$C15),0)</f>
        <v>-205449.63444629119</v>
      </c>
      <c r="G60" s="17">
        <f>-MAX(FV(Inputs!$C16/12,G$1*12,Inputs!$C17,-Inputs!$C15),0)</f>
        <v>-180298.99030927056</v>
      </c>
      <c r="H60" s="17">
        <f>-MAX(FV(Inputs!$C16/12,H$1*12,Inputs!$C17,-Inputs!$C15),0)</f>
        <v>-154512.32518988874</v>
      </c>
      <c r="I60" s="17">
        <f>-MAX(FV(Inputs!$C16/12,I$1*12,Inputs!$C17,-Inputs!$C15),0)</f>
        <v>-128073.55509889324</v>
      </c>
      <c r="J60" s="17">
        <f>-MAX(FV(Inputs!$C16/12,J$1*12,Inputs!$C17,-Inputs!$C15),0)</f>
        <v>-100966.1893077601</v>
      </c>
      <c r="K60" s="17">
        <f>-MAX(FV(Inputs!$C16/12,K$1*12,Inputs!$C17,-Inputs!$C15),0)</f>
        <v>-73173.320062887855</v>
      </c>
      <c r="L60" s="17">
        <f>-MAX(FV(Inputs!$C16/12,L$1*12,Inputs!$C17,-Inputs!$C15),0)</f>
        <v>-44677.612039674364</v>
      </c>
      <c r="M60" s="17">
        <f>-MAX(FV(Inputs!$C16/12,M$1*12,Inputs!$C17,-Inputs!$C15),0)</f>
        <v>-15461.291529907379</v>
      </c>
      <c r="N60" s="17">
        <f>-MAX(FV(Inputs!$C16/12,N$1*12,Inputs!$C17,-Inputs!$C15),0)</f>
        <v>0</v>
      </c>
      <c r="O60" s="17">
        <f>-MAX(FV(Inputs!$C16/12,O$1*12,Inputs!$C17,-Inputs!$C15),0)</f>
        <v>0</v>
      </c>
      <c r="P60" s="17">
        <f>-MAX(FV(Inputs!$C16/12,P$1*12,Inputs!$C17,-Inputs!$C15),0)</f>
        <v>0</v>
      </c>
      <c r="Q60" s="17">
        <f>-MAX(FV(Inputs!$C16/12,Q$1*12,Inputs!$C17,-Inputs!$C15),0)</f>
        <v>0</v>
      </c>
      <c r="R60" s="17">
        <f>-MAX(FV(Inputs!$C16/12,R$1*12,Inputs!$C17,-Inputs!$C15),0)</f>
        <v>0</v>
      </c>
      <c r="S60" s="17">
        <f>-MAX(FV(Inputs!$C16/12,S$1*12,Inputs!$C17,-Inputs!$C15),0)</f>
        <v>0</v>
      </c>
      <c r="T60" s="17">
        <f>-MAX(FV(Inputs!$C16/12,T$1*12,Inputs!$C17,-Inputs!$C15),0)</f>
        <v>0</v>
      </c>
      <c r="U60" s="17">
        <f>-MAX(FV(Inputs!$C16/12,U$1*12,Inputs!$C17,-Inputs!$C15),0)</f>
        <v>0</v>
      </c>
      <c r="V60" s="17">
        <f>-MAX(FV(Inputs!$C16/12,V$1*12,Inputs!$C17,-Inputs!$C15),0)</f>
        <v>0</v>
      </c>
      <c r="W60" s="17">
        <f>-MAX(FV(Inputs!$C16/12,W$1*12,Inputs!$C17,-Inputs!$C15),0)</f>
        <v>0</v>
      </c>
      <c r="X60" s="17">
        <f>-MAX(FV(Inputs!$C16/12,X$1*12,Inputs!$C17,-Inputs!$C15),0)</f>
        <v>0</v>
      </c>
      <c r="Y60" s="17">
        <f>-MAX(FV(Inputs!$C16/12,Y$1*12,Inputs!$C17,-Inputs!$C15),0)</f>
        <v>0</v>
      </c>
      <c r="Z60" s="17">
        <f>-MAX(FV(Inputs!$C16/12,Z$1*12,Inputs!$C17,-Inputs!$C15),0)</f>
        <v>0</v>
      </c>
      <c r="AA60" s="17">
        <f>-MAX(FV(Inputs!$C16/12,AA$1*12,Inputs!$C17,-Inputs!$C15),0)</f>
        <v>0</v>
      </c>
      <c r="AB60" s="17">
        <f>-MAX(FV(Inputs!$C16/12,AB$1*12,Inputs!$C17,-Inputs!$C15),0)</f>
        <v>0</v>
      </c>
      <c r="AC60" s="17">
        <f>-MAX(FV(Inputs!$C16/12,AC$1*12,Inputs!$C17,-Inputs!$C15),0)</f>
        <v>0</v>
      </c>
      <c r="AD60" s="17">
        <f>-MAX(FV(Inputs!$C16/12,AD$1*12,Inputs!$C17,-Inputs!$C15),0)</f>
        <v>0</v>
      </c>
      <c r="AE60" s="17">
        <f>-MAX(FV(Inputs!$C16/12,AE$1*12,Inputs!$C17,-Inputs!$C15),0)</f>
        <v>0</v>
      </c>
      <c r="AF60" s="17">
        <f>-MAX(FV(Inputs!$C16/12,AF$1*12,Inputs!$C17,-Inputs!$C15),0)</f>
        <v>0</v>
      </c>
      <c r="AG60" s="17">
        <f>-MAX(FV(Inputs!$C16/12,AG$1*12,Inputs!$C17,-Inputs!$C15),0)</f>
        <v>0</v>
      </c>
      <c r="AH60" s="17">
        <f>-MAX(FV(Inputs!$C16/12,AH$1*12,Inputs!$C17,-Inputs!$C15),0)</f>
        <v>0</v>
      </c>
      <c r="AI60" s="17">
        <f>-MAX(FV(Inputs!$C16/12,AI$1*12,Inputs!$C17,-Inputs!$C15),0)</f>
        <v>0</v>
      </c>
      <c r="AJ60" s="17">
        <f>-MAX(FV(Inputs!$C16/12,AJ$1*12,Inputs!$C17,-Inputs!$C15),0)</f>
        <v>0</v>
      </c>
      <c r="AK60" s="17">
        <f>-MAX(FV(Inputs!$C16/12,AK$1*12,Inputs!$C17,-Inputs!$C15),0)</f>
        <v>0</v>
      </c>
      <c r="AL60" s="17">
        <f>-MAX(FV(Inputs!$C16/12,AL$1*12,Inputs!$C17,-Inputs!$C15),0)</f>
        <v>0</v>
      </c>
      <c r="AM60" s="17">
        <f>-MAX(FV(Inputs!$C16/12,AM$1*12,Inputs!$C17,-Inputs!$C15),0)</f>
        <v>0</v>
      </c>
    </row>
    <row r="61" spans="1:39" x14ac:dyDescent="0.2">
      <c r="A61" s="14" t="s">
        <v>67</v>
      </c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</row>
    <row r="62" spans="1:39" x14ac:dyDescent="0.2">
      <c r="A62" s="13" t="str">
        <f>TEXT(Inputs!$C$50,"")</f>
        <v>Sliema</v>
      </c>
      <c r="C62" s="17">
        <f>-MAX(FV(Inputs!$C79/12,C$1*12,Inputs!$C80,-Inputs!$C78),0)</f>
        <v>-14436.539463676134</v>
      </c>
      <c r="D62" s="17">
        <f>-MAX(FV(Inputs!$C79/12,D$1*12,Inputs!$C80,-Inputs!$C78),0)</f>
        <v>-8732.3875949011945</v>
      </c>
      <c r="E62" s="17">
        <f>-MAX(FV(Inputs!$C79/12,E$1*12,Inputs!$C80,-Inputs!$C78),0)</f>
        <v>-2883.9865269665825</v>
      </c>
      <c r="F62" s="17">
        <f>-MAX(FV(Inputs!$C79/12,F$1*12,Inputs!$C80,-Inputs!$C78),0)</f>
        <v>0</v>
      </c>
      <c r="G62" s="17">
        <f>-MAX(FV(Inputs!$C79/12,G$1*12,Inputs!$C80,-Inputs!$C78),0)</f>
        <v>0</v>
      </c>
      <c r="H62" s="17">
        <f>-MAX(FV(Inputs!$C79/12,H$1*12,Inputs!$C80,-Inputs!$C78),0)</f>
        <v>0</v>
      </c>
      <c r="I62" s="17">
        <f>-MAX(FV(Inputs!$C79/12,I$1*12,Inputs!$C80,-Inputs!$C78),0)</f>
        <v>0</v>
      </c>
      <c r="J62" s="17">
        <f>-MAX(FV(Inputs!$C79/12,J$1*12,Inputs!$C80,-Inputs!$C78),0)</f>
        <v>0</v>
      </c>
      <c r="K62" s="17">
        <f>-MAX(FV(Inputs!$C79/12,K$1*12,Inputs!$C80,-Inputs!$C78),0)</f>
        <v>0</v>
      </c>
      <c r="L62" s="17">
        <f>-MAX(FV(Inputs!$C79/12,L$1*12,Inputs!$C80,-Inputs!$C78),0)</f>
        <v>0</v>
      </c>
      <c r="M62" s="17">
        <f>-MAX(FV(Inputs!$C79/12,M$1*12,Inputs!$C80,-Inputs!$C78),0)</f>
        <v>0</v>
      </c>
      <c r="N62" s="17">
        <f>-MAX(FV(Inputs!$C79/12,N$1*12,Inputs!$C80,-Inputs!$C78),0)</f>
        <v>0</v>
      </c>
      <c r="O62" s="17">
        <f>-MAX(FV(Inputs!$C79/12,O$1*12,Inputs!$C80,-Inputs!$C78),0)</f>
        <v>0</v>
      </c>
      <c r="P62" s="17">
        <f>-MAX(FV(Inputs!$C79/12,P$1*12,Inputs!$C80,-Inputs!$C78),0)</f>
        <v>0</v>
      </c>
      <c r="Q62" s="17">
        <f>-MAX(FV(Inputs!$C79/12,Q$1*12,Inputs!$C80,-Inputs!$C78),0)</f>
        <v>0</v>
      </c>
      <c r="R62" s="17">
        <f>-MAX(FV(Inputs!$C79/12,R$1*12,Inputs!$C80,-Inputs!$C78),0)</f>
        <v>0</v>
      </c>
      <c r="S62" s="17">
        <f>-MAX(FV(Inputs!$C79/12,S$1*12,Inputs!$C80,-Inputs!$C78),0)</f>
        <v>0</v>
      </c>
      <c r="T62" s="17">
        <f>-MAX(FV(Inputs!$C79/12,T$1*12,Inputs!$C80,-Inputs!$C78),0)</f>
        <v>0</v>
      </c>
      <c r="U62" s="17">
        <f>-MAX(FV(Inputs!$C79/12,U$1*12,Inputs!$C80,-Inputs!$C78),0)</f>
        <v>0</v>
      </c>
      <c r="V62" s="17">
        <f>-MAX(FV(Inputs!$C79/12,V$1*12,Inputs!$C80,-Inputs!$C78),0)</f>
        <v>0</v>
      </c>
      <c r="W62" s="17">
        <f>-MAX(FV(Inputs!$C79/12,W$1*12,Inputs!$C80,-Inputs!$C78),0)</f>
        <v>0</v>
      </c>
      <c r="X62" s="17">
        <f>-MAX(FV(Inputs!$C79/12,X$1*12,Inputs!$C80,-Inputs!$C78),0)</f>
        <v>0</v>
      </c>
      <c r="Y62" s="17">
        <f>-MAX(FV(Inputs!$C79/12,Y$1*12,Inputs!$C80,-Inputs!$C78),0)</f>
        <v>0</v>
      </c>
      <c r="Z62" s="17">
        <f>-MAX(FV(Inputs!$C79/12,Z$1*12,Inputs!$C80,-Inputs!$C78),0)</f>
        <v>0</v>
      </c>
      <c r="AA62" s="17">
        <f>-MAX(FV(Inputs!$C79/12,AA$1*12,Inputs!$C80,-Inputs!$C78),0)</f>
        <v>0</v>
      </c>
      <c r="AB62" s="17">
        <f>-MAX(FV(Inputs!$C79/12,AB$1*12,Inputs!$C80,-Inputs!$C78),0)</f>
        <v>0</v>
      </c>
      <c r="AC62" s="17">
        <f>-MAX(FV(Inputs!$C79/12,AC$1*12,Inputs!$C80,-Inputs!$C78),0)</f>
        <v>0</v>
      </c>
      <c r="AD62" s="17">
        <f>-MAX(FV(Inputs!$C79/12,AD$1*12,Inputs!$C80,-Inputs!$C78),0)</f>
        <v>0</v>
      </c>
      <c r="AE62" s="17">
        <f>-MAX(FV(Inputs!$C79/12,AE$1*12,Inputs!$C80,-Inputs!$C78),0)</f>
        <v>0</v>
      </c>
      <c r="AF62" s="17">
        <f>-MAX(FV(Inputs!$C79/12,AF$1*12,Inputs!$C80,-Inputs!$C78),0)</f>
        <v>0</v>
      </c>
      <c r="AG62" s="17">
        <f>-MAX(FV(Inputs!$C79/12,AG$1*12,Inputs!$C80,-Inputs!$C78),0)</f>
        <v>0</v>
      </c>
      <c r="AH62" s="17">
        <f>-MAX(FV(Inputs!$C79/12,AH$1*12,Inputs!$C80,-Inputs!$C78),0)</f>
        <v>0</v>
      </c>
      <c r="AI62" s="17">
        <f>-MAX(FV(Inputs!$C79/12,AI$1*12,Inputs!$C80,-Inputs!$C78),0)</f>
        <v>0</v>
      </c>
      <c r="AJ62" s="17">
        <f>-MAX(FV(Inputs!$C79/12,AJ$1*12,Inputs!$C80,-Inputs!$C78),0)</f>
        <v>0</v>
      </c>
      <c r="AK62" s="17">
        <f>-MAX(FV(Inputs!$C79/12,AK$1*12,Inputs!$C80,-Inputs!$C78),0)</f>
        <v>0</v>
      </c>
      <c r="AL62" s="17">
        <f>-MAX(FV(Inputs!$C79/12,AL$1*12,Inputs!$C80,-Inputs!$C78),0)</f>
        <v>0</v>
      </c>
      <c r="AM62" s="17">
        <f>-MAX(FV(Inputs!$C79/12,AM$1*12,Inputs!$C80,-Inputs!$C78),0)</f>
        <v>0</v>
      </c>
    </row>
    <row r="63" spans="1:39" x14ac:dyDescent="0.2">
      <c r="A63" s="13" t="str">
        <f>TEXT(Inputs!$C$55,"")</f>
        <v>Gzira</v>
      </c>
      <c r="C63" s="17">
        <f>-MAX(FV(Inputs!$C84/12,C$1*12,Inputs!$C85,-Inputs!$C83),0)</f>
        <v>-4829.2873247038542</v>
      </c>
      <c r="D63" s="17">
        <f>-MAX(FV(Inputs!$C84/12,D$1*12,Inputs!$C85,-Inputs!$C83),0)</f>
        <v>0</v>
      </c>
      <c r="E63" s="17">
        <f>-MAX(FV(Inputs!$C84/12,E$1*12,Inputs!$C85,-Inputs!$C83),0)</f>
        <v>0</v>
      </c>
      <c r="F63" s="17">
        <f>-MAX(FV(Inputs!$C84/12,F$1*12,Inputs!$C85,-Inputs!$C83),0)</f>
        <v>0</v>
      </c>
      <c r="G63" s="17">
        <f>-MAX(FV(Inputs!$C84/12,G$1*12,Inputs!$C85,-Inputs!$C83),0)</f>
        <v>0</v>
      </c>
      <c r="H63" s="17">
        <f>-MAX(FV(Inputs!$C84/12,H$1*12,Inputs!$C85,-Inputs!$C83),0)</f>
        <v>0</v>
      </c>
      <c r="I63" s="17">
        <f>-MAX(FV(Inputs!$C84/12,I$1*12,Inputs!$C85,-Inputs!$C83),0)</f>
        <v>0</v>
      </c>
      <c r="J63" s="17">
        <f>-MAX(FV(Inputs!$C84/12,J$1*12,Inputs!$C85,-Inputs!$C83),0)</f>
        <v>0</v>
      </c>
      <c r="K63" s="17">
        <f>-MAX(FV(Inputs!$C84/12,K$1*12,Inputs!$C85,-Inputs!$C83),0)</f>
        <v>0</v>
      </c>
      <c r="L63" s="17">
        <f>-MAX(FV(Inputs!$C84/12,L$1*12,Inputs!$C85,-Inputs!$C83),0)</f>
        <v>0</v>
      </c>
      <c r="M63" s="17">
        <f>-MAX(FV(Inputs!$C84/12,M$1*12,Inputs!$C85,-Inputs!$C83),0)</f>
        <v>0</v>
      </c>
      <c r="N63" s="17">
        <f>-MAX(FV(Inputs!$C84/12,N$1*12,Inputs!$C85,-Inputs!$C83),0)</f>
        <v>0</v>
      </c>
      <c r="O63" s="17">
        <f>-MAX(FV(Inputs!$C84/12,O$1*12,Inputs!$C85,-Inputs!$C83),0)</f>
        <v>0</v>
      </c>
      <c r="P63" s="17">
        <f>-MAX(FV(Inputs!$C84/12,P$1*12,Inputs!$C85,-Inputs!$C83),0)</f>
        <v>0</v>
      </c>
      <c r="Q63" s="17">
        <f>-MAX(FV(Inputs!$C84/12,Q$1*12,Inputs!$C85,-Inputs!$C83),0)</f>
        <v>0</v>
      </c>
      <c r="R63" s="17">
        <f>-MAX(FV(Inputs!$C84/12,R$1*12,Inputs!$C85,-Inputs!$C83),0)</f>
        <v>0</v>
      </c>
      <c r="S63" s="17">
        <f>-MAX(FV(Inputs!$C84/12,S$1*12,Inputs!$C85,-Inputs!$C83),0)</f>
        <v>0</v>
      </c>
      <c r="T63" s="17">
        <f>-MAX(FV(Inputs!$C84/12,T$1*12,Inputs!$C85,-Inputs!$C83),0)</f>
        <v>0</v>
      </c>
      <c r="U63" s="17">
        <f>-MAX(FV(Inputs!$C84/12,U$1*12,Inputs!$C85,-Inputs!$C83),0)</f>
        <v>0</v>
      </c>
      <c r="V63" s="17">
        <f>-MAX(FV(Inputs!$C84/12,V$1*12,Inputs!$C85,-Inputs!$C83),0)</f>
        <v>0</v>
      </c>
      <c r="W63" s="17">
        <f>-MAX(FV(Inputs!$C84/12,W$1*12,Inputs!$C85,-Inputs!$C83),0)</f>
        <v>0</v>
      </c>
      <c r="X63" s="17">
        <f>-MAX(FV(Inputs!$C84/12,X$1*12,Inputs!$C85,-Inputs!$C83),0)</f>
        <v>0</v>
      </c>
      <c r="Y63" s="17">
        <f>-MAX(FV(Inputs!$C84/12,Y$1*12,Inputs!$C85,-Inputs!$C83),0)</f>
        <v>0</v>
      </c>
      <c r="Z63" s="17">
        <f>-MAX(FV(Inputs!$C84/12,Z$1*12,Inputs!$C85,-Inputs!$C83),0)</f>
        <v>0</v>
      </c>
      <c r="AA63" s="17">
        <f>-MAX(FV(Inputs!$C84/12,AA$1*12,Inputs!$C85,-Inputs!$C83),0)</f>
        <v>0</v>
      </c>
      <c r="AB63" s="17">
        <f>-MAX(FV(Inputs!$C84/12,AB$1*12,Inputs!$C85,-Inputs!$C83),0)</f>
        <v>0</v>
      </c>
      <c r="AC63" s="17">
        <f>-MAX(FV(Inputs!$C84/12,AC$1*12,Inputs!$C85,-Inputs!$C83),0)</f>
        <v>0</v>
      </c>
      <c r="AD63" s="17">
        <f>-MAX(FV(Inputs!$C84/12,AD$1*12,Inputs!$C85,-Inputs!$C83),0)</f>
        <v>0</v>
      </c>
      <c r="AE63" s="17">
        <f>-MAX(FV(Inputs!$C84/12,AE$1*12,Inputs!$C85,-Inputs!$C83),0)</f>
        <v>0</v>
      </c>
      <c r="AF63" s="17">
        <f>-MAX(FV(Inputs!$C84/12,AF$1*12,Inputs!$C85,-Inputs!$C83),0)</f>
        <v>0</v>
      </c>
      <c r="AG63" s="17">
        <f>-MAX(FV(Inputs!$C84/12,AG$1*12,Inputs!$C85,-Inputs!$C83),0)</f>
        <v>0</v>
      </c>
      <c r="AH63" s="17">
        <f>-MAX(FV(Inputs!$C84/12,AH$1*12,Inputs!$C85,-Inputs!$C83),0)</f>
        <v>0</v>
      </c>
      <c r="AI63" s="17">
        <f>-MAX(FV(Inputs!$C84/12,AI$1*12,Inputs!$C85,-Inputs!$C83),0)</f>
        <v>0</v>
      </c>
      <c r="AJ63" s="17">
        <f>-MAX(FV(Inputs!$C84/12,AJ$1*12,Inputs!$C85,-Inputs!$C83),0)</f>
        <v>0</v>
      </c>
      <c r="AK63" s="17">
        <f>-MAX(FV(Inputs!$C84/12,AK$1*12,Inputs!$C85,-Inputs!$C83),0)</f>
        <v>0</v>
      </c>
      <c r="AL63" s="17">
        <f>-MAX(FV(Inputs!$C84/12,AL$1*12,Inputs!$C85,-Inputs!$C83),0)</f>
        <v>0</v>
      </c>
      <c r="AM63" s="17">
        <f>-MAX(FV(Inputs!$C84/12,AM$1*12,Inputs!$C85,-Inputs!$C83),0)</f>
        <v>0</v>
      </c>
    </row>
    <row r="64" spans="1:39" x14ac:dyDescent="0.2">
      <c r="A64" s="13" t="str">
        <f>TEXT(Inputs!$C$60,"")</f>
        <v>Hamrun</v>
      </c>
      <c r="C64" s="17">
        <f>-MAX(FV(Inputs!$C89/12,C$1*12,Inputs!$C90,-Inputs!$C88),0)</f>
        <v>-2864.7998246718266</v>
      </c>
      <c r="D64" s="17">
        <f>-MAX(FV(Inputs!$C89/12,D$1*12,Inputs!$C90,-Inputs!$C88),0)</f>
        <v>-664.65549280916548</v>
      </c>
      <c r="E64" s="17">
        <f>-MAX(FV(Inputs!$C89/12,E$1*12,Inputs!$C90,-Inputs!$C88),0)</f>
        <v>0</v>
      </c>
      <c r="F64" s="17">
        <f>-MAX(FV(Inputs!$C89/12,F$1*12,Inputs!$C90,-Inputs!$C88),0)</f>
        <v>0</v>
      </c>
      <c r="G64" s="17">
        <f>-MAX(FV(Inputs!$C89/12,G$1*12,Inputs!$C90,-Inputs!$C88),0)</f>
        <v>0</v>
      </c>
      <c r="H64" s="17">
        <f>-MAX(FV(Inputs!$C89/12,H$1*12,Inputs!$C90,-Inputs!$C88),0)</f>
        <v>0</v>
      </c>
      <c r="I64" s="17">
        <f>-MAX(FV(Inputs!$C89/12,I$1*12,Inputs!$C90,-Inputs!$C88),0)</f>
        <v>0</v>
      </c>
      <c r="J64" s="17">
        <f>-MAX(FV(Inputs!$C89/12,J$1*12,Inputs!$C90,-Inputs!$C88),0)</f>
        <v>0</v>
      </c>
      <c r="K64" s="17">
        <f>-MAX(FV(Inputs!$C89/12,K$1*12,Inputs!$C90,-Inputs!$C88),0)</f>
        <v>0</v>
      </c>
      <c r="L64" s="17">
        <f>-MAX(FV(Inputs!$C89/12,L$1*12,Inputs!$C90,-Inputs!$C88),0)</f>
        <v>0</v>
      </c>
      <c r="M64" s="17">
        <f>-MAX(FV(Inputs!$C89/12,M$1*12,Inputs!$C90,-Inputs!$C88),0)</f>
        <v>0</v>
      </c>
      <c r="N64" s="17">
        <f>-MAX(FV(Inputs!$C89/12,N$1*12,Inputs!$C90,-Inputs!$C88),0)</f>
        <v>0</v>
      </c>
      <c r="O64" s="17">
        <f>-MAX(FV(Inputs!$C89/12,O$1*12,Inputs!$C90,-Inputs!$C88),0)</f>
        <v>0</v>
      </c>
      <c r="P64" s="17">
        <f>-MAX(FV(Inputs!$C89/12,P$1*12,Inputs!$C90,-Inputs!$C88),0)</f>
        <v>0</v>
      </c>
      <c r="Q64" s="17">
        <f>-MAX(FV(Inputs!$C89/12,Q$1*12,Inputs!$C90,-Inputs!$C88),0)</f>
        <v>0</v>
      </c>
      <c r="R64" s="17">
        <f>-MAX(FV(Inputs!$C89/12,R$1*12,Inputs!$C90,-Inputs!$C88),0)</f>
        <v>0</v>
      </c>
      <c r="S64" s="17">
        <f>-MAX(FV(Inputs!$C89/12,S$1*12,Inputs!$C90,-Inputs!$C88),0)</f>
        <v>0</v>
      </c>
      <c r="T64" s="17">
        <f>-MAX(FV(Inputs!$C89/12,T$1*12,Inputs!$C90,-Inputs!$C88),0)</f>
        <v>0</v>
      </c>
      <c r="U64" s="17">
        <f>-MAX(FV(Inputs!$C89/12,U$1*12,Inputs!$C90,-Inputs!$C88),0)</f>
        <v>0</v>
      </c>
      <c r="V64" s="17">
        <f>-MAX(FV(Inputs!$C89/12,V$1*12,Inputs!$C90,-Inputs!$C88),0)</f>
        <v>0</v>
      </c>
      <c r="W64" s="17">
        <f>-MAX(FV(Inputs!$C89/12,W$1*12,Inputs!$C90,-Inputs!$C88),0)</f>
        <v>0</v>
      </c>
      <c r="X64" s="17">
        <f>-MAX(FV(Inputs!$C89/12,X$1*12,Inputs!$C90,-Inputs!$C88),0)</f>
        <v>0</v>
      </c>
      <c r="Y64" s="17">
        <f>-MAX(FV(Inputs!$C89/12,Y$1*12,Inputs!$C90,-Inputs!$C88),0)</f>
        <v>0</v>
      </c>
      <c r="Z64" s="17">
        <f>-MAX(FV(Inputs!$C89/12,Z$1*12,Inputs!$C90,-Inputs!$C88),0)</f>
        <v>0</v>
      </c>
      <c r="AA64" s="17">
        <f>-MAX(FV(Inputs!$C89/12,AA$1*12,Inputs!$C90,-Inputs!$C88),0)</f>
        <v>0</v>
      </c>
      <c r="AB64" s="17">
        <f>-MAX(FV(Inputs!$C89/12,AB$1*12,Inputs!$C90,-Inputs!$C88),0)</f>
        <v>0</v>
      </c>
      <c r="AC64" s="17">
        <f>-MAX(FV(Inputs!$C89/12,AC$1*12,Inputs!$C90,-Inputs!$C88),0)</f>
        <v>0</v>
      </c>
      <c r="AD64" s="17">
        <f>-MAX(FV(Inputs!$C89/12,AD$1*12,Inputs!$C90,-Inputs!$C88),0)</f>
        <v>0</v>
      </c>
      <c r="AE64" s="17">
        <f>-MAX(FV(Inputs!$C89/12,AE$1*12,Inputs!$C90,-Inputs!$C88),0)</f>
        <v>0</v>
      </c>
      <c r="AF64" s="17">
        <f>-MAX(FV(Inputs!$C89/12,AF$1*12,Inputs!$C90,-Inputs!$C88),0)</f>
        <v>0</v>
      </c>
      <c r="AG64" s="17">
        <f>-MAX(FV(Inputs!$C89/12,AG$1*12,Inputs!$C90,-Inputs!$C88),0)</f>
        <v>0</v>
      </c>
      <c r="AH64" s="17">
        <f>-MAX(FV(Inputs!$C89/12,AH$1*12,Inputs!$C90,-Inputs!$C88),0)</f>
        <v>0</v>
      </c>
      <c r="AI64" s="17">
        <f>-MAX(FV(Inputs!$C89/12,AI$1*12,Inputs!$C90,-Inputs!$C88),0)</f>
        <v>0</v>
      </c>
      <c r="AJ64" s="17">
        <f>-MAX(FV(Inputs!$C89/12,AJ$1*12,Inputs!$C90,-Inputs!$C88),0)</f>
        <v>0</v>
      </c>
      <c r="AK64" s="17">
        <f>-MAX(FV(Inputs!$C89/12,AK$1*12,Inputs!$C90,-Inputs!$C88),0)</f>
        <v>0</v>
      </c>
      <c r="AL64" s="17">
        <f>-MAX(FV(Inputs!$C89/12,AL$1*12,Inputs!$C90,-Inputs!$C88),0)</f>
        <v>0</v>
      </c>
      <c r="AM64" s="17">
        <f>-MAX(FV(Inputs!$C89/12,AM$1*12,Inputs!$C90,-Inputs!$C88),0)</f>
        <v>0</v>
      </c>
    </row>
    <row r="65" spans="1:39" x14ac:dyDescent="0.2">
      <c r="A65" s="14" t="s">
        <v>39</v>
      </c>
      <c r="C65" s="17">
        <f>-MAX(FV(Inputs!$C94/12,C$1*12,Inputs!$C95,-Inputs!$C93),0)</f>
        <v>-2198.1884457615311</v>
      </c>
      <c r="D65" s="17">
        <f>-MAX(FV(Inputs!$C94/12,D$1*12,Inputs!$C95,-Inputs!$C93),0)</f>
        <v>-1346.9229093299591</v>
      </c>
      <c r="E65" s="17">
        <f>-MAX(FV(Inputs!$C94/12,E$1*12,Inputs!$C95,-Inputs!$C93),0)</f>
        <v>-443.15317729563503</v>
      </c>
      <c r="F65" s="17">
        <f>-MAX(FV(Inputs!$C94/12,F$1*12,Inputs!$C95,-Inputs!$C93),0)</f>
        <v>0</v>
      </c>
      <c r="G65" s="17">
        <f>-MAX(FV(Inputs!$C94/12,G$1*12,Inputs!$C95,-Inputs!$C93),0)</f>
        <v>0</v>
      </c>
      <c r="H65" s="17">
        <f>-MAX(FV(Inputs!$C94/12,H$1*12,Inputs!$C95,-Inputs!$C93),0)</f>
        <v>0</v>
      </c>
      <c r="I65" s="17">
        <f>-MAX(FV(Inputs!$C94/12,I$1*12,Inputs!$C95,-Inputs!$C93),0)</f>
        <v>0</v>
      </c>
      <c r="J65" s="17">
        <f>-MAX(FV(Inputs!$C94/12,J$1*12,Inputs!$C95,-Inputs!$C93),0)</f>
        <v>0</v>
      </c>
      <c r="K65" s="17">
        <f>-MAX(FV(Inputs!$C94/12,K$1*12,Inputs!$C95,-Inputs!$C93),0)</f>
        <v>0</v>
      </c>
      <c r="L65" s="17">
        <f>-MAX(FV(Inputs!$C94/12,L$1*12,Inputs!$C95,-Inputs!$C93),0)</f>
        <v>0</v>
      </c>
      <c r="M65" s="17">
        <f>-MAX(FV(Inputs!$C94/12,M$1*12,Inputs!$C95,-Inputs!$C93),0)</f>
        <v>0</v>
      </c>
      <c r="N65" s="17">
        <f>-MAX(FV(Inputs!$C94/12,N$1*12,Inputs!$C95,-Inputs!$C93),0)</f>
        <v>0</v>
      </c>
      <c r="O65" s="17">
        <f>-MAX(FV(Inputs!$C94/12,O$1*12,Inputs!$C95,-Inputs!$C93),0)</f>
        <v>0</v>
      </c>
      <c r="P65" s="17">
        <f>-MAX(FV(Inputs!$C94/12,P$1*12,Inputs!$C95,-Inputs!$C93),0)</f>
        <v>0</v>
      </c>
      <c r="Q65" s="17">
        <f>-MAX(FV(Inputs!$C94/12,Q$1*12,Inputs!$C95,-Inputs!$C93),0)</f>
        <v>0</v>
      </c>
      <c r="R65" s="17">
        <f>-MAX(FV(Inputs!$C94/12,R$1*12,Inputs!$C95,-Inputs!$C93),0)</f>
        <v>0</v>
      </c>
      <c r="S65" s="17">
        <f>-MAX(FV(Inputs!$C94/12,S$1*12,Inputs!$C95,-Inputs!$C93),0)</f>
        <v>0</v>
      </c>
      <c r="T65" s="17">
        <f>-MAX(FV(Inputs!$C94/12,T$1*12,Inputs!$C95,-Inputs!$C93),0)</f>
        <v>0</v>
      </c>
      <c r="U65" s="17">
        <f>-MAX(FV(Inputs!$C94/12,U$1*12,Inputs!$C95,-Inputs!$C93),0)</f>
        <v>0</v>
      </c>
      <c r="V65" s="17">
        <f>-MAX(FV(Inputs!$C94/12,V$1*12,Inputs!$C95,-Inputs!$C93),0)</f>
        <v>0</v>
      </c>
      <c r="W65" s="17">
        <f>-MAX(FV(Inputs!$C94/12,W$1*12,Inputs!$C95,-Inputs!$C93),0)</f>
        <v>0</v>
      </c>
      <c r="X65" s="17">
        <f>-MAX(FV(Inputs!$C94/12,X$1*12,Inputs!$C95,-Inputs!$C93),0)</f>
        <v>0</v>
      </c>
      <c r="Y65" s="17">
        <f>-MAX(FV(Inputs!$C94/12,Y$1*12,Inputs!$C95,-Inputs!$C93),0)</f>
        <v>0</v>
      </c>
      <c r="Z65" s="17">
        <f>-MAX(FV(Inputs!$C94/12,Z$1*12,Inputs!$C95,-Inputs!$C93),0)</f>
        <v>0</v>
      </c>
      <c r="AA65" s="17">
        <f>-MAX(FV(Inputs!$C94/12,AA$1*12,Inputs!$C95,-Inputs!$C93),0)</f>
        <v>0</v>
      </c>
      <c r="AB65" s="17">
        <f>-MAX(FV(Inputs!$C94/12,AB$1*12,Inputs!$C95,-Inputs!$C93),0)</f>
        <v>0</v>
      </c>
      <c r="AC65" s="17">
        <f>-MAX(FV(Inputs!$C94/12,AC$1*12,Inputs!$C95,-Inputs!$C93),0)</f>
        <v>0</v>
      </c>
      <c r="AD65" s="17">
        <f>-MAX(FV(Inputs!$C94/12,AD$1*12,Inputs!$C95,-Inputs!$C93),0)</f>
        <v>0</v>
      </c>
      <c r="AE65" s="17">
        <f>-MAX(FV(Inputs!$C94/12,AE$1*12,Inputs!$C95,-Inputs!$C93),0)</f>
        <v>0</v>
      </c>
      <c r="AF65" s="17">
        <f>-MAX(FV(Inputs!$C94/12,AF$1*12,Inputs!$C95,-Inputs!$C93),0)</f>
        <v>0</v>
      </c>
      <c r="AG65" s="17">
        <f>-MAX(FV(Inputs!$C94/12,AG$1*12,Inputs!$C95,-Inputs!$C93),0)</f>
        <v>0</v>
      </c>
      <c r="AH65" s="17">
        <f>-MAX(FV(Inputs!$C94/12,AH$1*12,Inputs!$C95,-Inputs!$C93),0)</f>
        <v>0</v>
      </c>
      <c r="AI65" s="17">
        <f>-MAX(FV(Inputs!$C94/12,AI$1*12,Inputs!$C95,-Inputs!$C93),0)</f>
        <v>0</v>
      </c>
      <c r="AJ65" s="17">
        <f>-MAX(FV(Inputs!$C94/12,AJ$1*12,Inputs!$C95,-Inputs!$C93),0)</f>
        <v>0</v>
      </c>
      <c r="AK65" s="17">
        <f>-MAX(FV(Inputs!$C94/12,AK$1*12,Inputs!$C95,-Inputs!$C93),0)</f>
        <v>0</v>
      </c>
      <c r="AL65" s="17">
        <f>-MAX(FV(Inputs!$C94/12,AL$1*12,Inputs!$C95,-Inputs!$C93),0)</f>
        <v>0</v>
      </c>
      <c r="AM65" s="17">
        <f>-MAX(FV(Inputs!$C94/12,AM$1*12,Inputs!$C95,-Inputs!$C93),0)</f>
        <v>0</v>
      </c>
    </row>
    <row r="66" spans="1:39" x14ac:dyDescent="0.2">
      <c r="A66" s="14"/>
      <c r="C66" s="19">
        <f t="shared" ref="C66:G66" ca="1" si="21">SUM(C52:C65)</f>
        <v>1544949.5962261481</v>
      </c>
      <c r="D66" s="19">
        <f t="shared" ca="1" si="21"/>
        <v>1726427.4576191471</v>
      </c>
      <c r="E66" s="19">
        <f t="shared" ca="1" si="21"/>
        <v>1965287.0323570464</v>
      </c>
      <c r="F66" s="19">
        <f t="shared" ca="1" si="21"/>
        <v>2225168.6603477281</v>
      </c>
      <c r="G66" s="19">
        <f t="shared" ca="1" si="21"/>
        <v>2452966.418409036</v>
      </c>
      <c r="H66" s="19">
        <f t="shared" ref="H66:AM66" ca="1" si="22">SUM(H52:H65)</f>
        <v>2732331.2514202618</v>
      </c>
      <c r="I66" s="19">
        <f t="shared" ca="1" si="22"/>
        <v>3060878.5915706824</v>
      </c>
      <c r="J66" s="19">
        <f t="shared" ca="1" si="22"/>
        <v>3375628.4790040124</v>
      </c>
      <c r="K66" s="19">
        <f t="shared" ca="1" si="22"/>
        <v>3674985.1472916864</v>
      </c>
      <c r="L66" s="19">
        <f t="shared" ca="1" si="22"/>
        <v>4020488.4814833445</v>
      </c>
      <c r="M66" s="19">
        <f t="shared" ca="1" si="22"/>
        <v>4382702.4931035973</v>
      </c>
      <c r="N66" s="19">
        <f t="shared" ca="1" si="22"/>
        <v>4756036.2178685591</v>
      </c>
      <c r="O66" s="19">
        <f t="shared" ca="1" si="22"/>
        <v>5140252.5192217631</v>
      </c>
      <c r="P66" s="19">
        <f t="shared" ca="1" si="22"/>
        <v>5542609.9758713739</v>
      </c>
      <c r="Q66" s="19">
        <f t="shared" ca="1" si="22"/>
        <v>5963840.2137444168</v>
      </c>
      <c r="R66" s="19">
        <f t="shared" ca="1" si="22"/>
        <v>6404702.6523398962</v>
      </c>
      <c r="S66" s="19">
        <f t="shared" ca="1" si="22"/>
        <v>6563578.43760416</v>
      </c>
      <c r="T66" s="19">
        <f t="shared" ca="1" si="22"/>
        <v>6736191.6266191779</v>
      </c>
      <c r="U66" s="19">
        <f t="shared" ca="1" si="22"/>
        <v>6913912.9064277941</v>
      </c>
      <c r="V66" s="19">
        <f t="shared" ca="1" si="22"/>
        <v>7096918.3809171626</v>
      </c>
      <c r="W66" s="19">
        <f t="shared" ca="1" si="22"/>
        <v>7285391.5194941368</v>
      </c>
      <c r="X66" s="19">
        <f t="shared" ca="1" si="22"/>
        <v>7479523.539515133</v>
      </c>
      <c r="Y66" s="19">
        <f t="shared" ca="1" si="22"/>
        <v>7679513.8126911987</v>
      </c>
      <c r="Z66" s="19">
        <f t="shared" ca="1" si="22"/>
        <v>7885570.2971701743</v>
      </c>
      <c r="AA66" s="19">
        <f t="shared" ca="1" si="22"/>
        <v>8097909.9971269071</v>
      </c>
      <c r="AB66" s="19">
        <f t="shared" ca="1" si="22"/>
        <v>8316759.4518316174</v>
      </c>
      <c r="AC66" s="19">
        <f t="shared" ca="1" si="22"/>
        <v>8542355.2563165352</v>
      </c>
      <c r="AD66" s="19">
        <f t="shared" ca="1" si="22"/>
        <v>8786777.5010339189</v>
      </c>
      <c r="AE66" s="19">
        <f t="shared" ca="1" si="22"/>
        <v>9039043.3516615126</v>
      </c>
      <c r="AF66" s="19">
        <f t="shared" ca="1" si="22"/>
        <v>9299445.2324491125</v>
      </c>
      <c r="AG66" s="19">
        <f t="shared" ca="1" si="22"/>
        <v>9568288.809951894</v>
      </c>
      <c r="AH66" s="19">
        <f t="shared" ca="1" si="22"/>
        <v>9845893.7327298094</v>
      </c>
      <c r="AI66" s="19">
        <f t="shared" ca="1" si="22"/>
        <v>10132594.419937873</v>
      </c>
      <c r="AJ66" s="19">
        <f t="shared" ca="1" si="22"/>
        <v>10428740.902384833</v>
      </c>
      <c r="AK66" s="19">
        <f t="shared" ca="1" si="22"/>
        <v>10734699.719913041</v>
      </c>
      <c r="AL66" s="19">
        <f t="shared" ca="1" si="22"/>
        <v>11050854.879249312</v>
      </c>
      <c r="AM66" s="19">
        <f t="shared" ca="1" si="22"/>
        <v>11377608.876797121</v>
      </c>
    </row>
    <row r="67" spans="1:39" x14ac:dyDescent="0.2">
      <c r="A67" s="14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</row>
    <row r="68" spans="1:39" x14ac:dyDescent="0.2">
      <c r="A68" s="47" t="s">
        <v>90</v>
      </c>
      <c r="C68" s="17">
        <f ca="1">C53-Inputs!$C$159</f>
        <v>664578.80000000005</v>
      </c>
      <c r="D68" s="17">
        <f ca="1">D53-Inputs!$C$159</f>
        <v>774098.44559532881</v>
      </c>
      <c r="E68" s="17">
        <f ca="1">E53-Inputs!$C$159</f>
        <v>945440.1709443531</v>
      </c>
      <c r="F68" s="17">
        <f ca="1">F53-Inputs!$C$159</f>
        <v>1140110.0184140191</v>
      </c>
      <c r="G68" s="17">
        <f ca="1">G53-Inputs!$C$159</f>
        <v>1304181.3950869064</v>
      </c>
      <c r="H68" s="17">
        <f ca="1">H53-Inputs!$C$159</f>
        <v>1517917.714493009</v>
      </c>
      <c r="I68" s="17">
        <f ca="1">I53-Inputs!$C$159</f>
        <v>1778871.6343659752</v>
      </c>
      <c r="J68" s="17">
        <f ca="1">J53-Inputs!$C$159</f>
        <v>2023997.9163702845</v>
      </c>
      <c r="K68" s="17">
        <f ca="1">K53-Inputs!$C$159</f>
        <v>2251632.8826445597</v>
      </c>
      <c r="L68" s="17">
        <f ca="1">L53-Inputs!$C$159</f>
        <v>2523245.7366445996</v>
      </c>
      <c r="M68" s="17">
        <f ca="1">M53-Inputs!$C$159</f>
        <v>2809326.8920514602</v>
      </c>
      <c r="N68" s="17">
        <f ca="1">N53-Inputs!$C$159</f>
        <v>3118702.5795119987</v>
      </c>
      <c r="O68" s="17">
        <f ca="1">O53-Inputs!$C$159</f>
        <v>3452780.7015976864</v>
      </c>
      <c r="P68" s="17">
        <f ca="1">P53-Inputs!$C$159</f>
        <v>3803294.3799924105</v>
      </c>
      <c r="Q68" s="17">
        <f ca="1">Q53-Inputs!$C$159</f>
        <v>4170907.9563648272</v>
      </c>
      <c r="R68" s="17">
        <f ca="1">R53-Inputs!$C$159</f>
        <v>4556310.2581247194</v>
      </c>
      <c r="S68" s="17">
        <f ca="1">S53-Inputs!$C$159</f>
        <v>4657808.3289191956</v>
      </c>
      <c r="T68" s="17">
        <f ca="1">T53-Inputs!$C$159</f>
        <v>4771048.3966188617</v>
      </c>
      <c r="U68" s="17">
        <f ca="1">U53-Inputs!$C$159</f>
        <v>4887319.3600282837</v>
      </c>
      <c r="V68" s="17">
        <f ca="1">V53-Inputs!$C$159</f>
        <v>5006711.3270665482</v>
      </c>
      <c r="W68" s="17">
        <f ca="1">W53-Inputs!$C$159</f>
        <v>5129317.296884154</v>
      </c>
      <c r="X68" s="17">
        <f ca="1">X53-Inputs!$C$159</f>
        <v>5255233.2565114927</v>
      </c>
      <c r="Y68" s="17">
        <f ca="1">Y53-Inputs!$C$159</f>
        <v>5384558.280784863</v>
      </c>
      <c r="Z68" s="17">
        <f ca="1">Z53-Inputs!$C$159</f>
        <v>5517394.6356610563</v>
      </c>
      <c r="AA68" s="17">
        <f ca="1">AA53-Inputs!$C$159</f>
        <v>5653847.8850352764</v>
      </c>
      <c r="AB68" s="17">
        <f ca="1">AB53-Inputs!$C$159</f>
        <v>5794027.0011810185</v>
      </c>
      <c r="AC68" s="17">
        <f ca="1">AC53-Inputs!$C$159</f>
        <v>5938044.4789345022</v>
      </c>
      <c r="AD68" s="17">
        <f ca="1">AD53-Inputs!$C$159</f>
        <v>6097849.338861553</v>
      </c>
      <c r="AE68" s="17">
        <f ca="1">AE53-Inputs!$C$159</f>
        <v>6262320.238237597</v>
      </c>
      <c r="AF68" s="17">
        <f ca="1">AF53-Inputs!$C$159</f>
        <v>6431603.1507251877</v>
      </c>
      <c r="AG68" s="17">
        <f ca="1">AG53-Inputs!$C$159</f>
        <v>6605848.8088871781</v>
      </c>
      <c r="AH68" s="17">
        <f ca="1">AH53-Inputs!$C$159</f>
        <v>6785212.8621929521</v>
      </c>
      <c r="AI68" s="17">
        <f ca="1">AI53-Inputs!$C$159</f>
        <v>6969856.0402894933</v>
      </c>
      <c r="AJ68" s="17">
        <f ca="1">AJ53-Inputs!$C$159</f>
        <v>7159944.3217119556</v>
      </c>
      <c r="AK68" s="17">
        <f ca="1">AK53-Inputs!$C$159</f>
        <v>7355649.1082141232</v>
      </c>
      <c r="AL68" s="17">
        <f ca="1">AL53-Inputs!$C$159</f>
        <v>7557147.4049051059</v>
      </c>
      <c r="AM68" s="17">
        <f ca="1">AM53-Inputs!$C$159</f>
        <v>7764622.0063847229</v>
      </c>
    </row>
    <row r="69" spans="1:39" x14ac:dyDescent="0.2">
      <c r="A69" s="7" t="s">
        <v>22</v>
      </c>
      <c r="C69" s="17">
        <f ca="1">IF(C68&lt;0,C53,0)</f>
        <v>0</v>
      </c>
      <c r="D69" s="17">
        <f ca="1">IF(D68+SUM($C69:C69)&lt;0,-(D68+SUM($C69:C69)),0)</f>
        <v>0</v>
      </c>
      <c r="E69" s="17">
        <f ca="1">IF(E68+SUM($C69:D69)&lt;0,-(E68+SUM($C69:D69)),0)</f>
        <v>0</v>
      </c>
      <c r="F69" s="17">
        <f ca="1">IF(F68+SUM($C69:E69)&lt;0,-(F68+SUM($C69:E69)),0)</f>
        <v>0</v>
      </c>
      <c r="G69" s="17">
        <f ca="1">IF(G68+SUM($C69:F69)&lt;0,-(G68+SUM($C69:F69)),0)</f>
        <v>0</v>
      </c>
      <c r="H69" s="17">
        <f ca="1">IF(H68+SUM($C69:G69)&lt;0,-(H68+SUM($C69:G69)),0)</f>
        <v>0</v>
      </c>
      <c r="I69" s="17">
        <f ca="1">IF(I68+SUM($C69:H69)&lt;0,-(I68+SUM($C69:H69)),0)</f>
        <v>0</v>
      </c>
      <c r="J69" s="17">
        <f ca="1">IF(J68+SUM($C69:I69)&lt;0,-(J68+SUM($C69:I69)),0)</f>
        <v>0</v>
      </c>
      <c r="K69" s="17">
        <f ca="1">IF(K68+SUM($C69:J69)&lt;0,-(K68+SUM($C69:J69)),0)</f>
        <v>0</v>
      </c>
      <c r="L69" s="17">
        <f ca="1">IF(L68+SUM($C69:K69)&lt;0,-(L68+SUM($C69:K69)),0)</f>
        <v>0</v>
      </c>
      <c r="M69" s="17">
        <f ca="1">IF(M68+SUM($C69:L69)&lt;0,-(M68+SUM($C69:L69)),0)</f>
        <v>0</v>
      </c>
      <c r="N69" s="17">
        <f ca="1">IF(N68+SUM($C69:M69)&lt;0,-(N68+SUM($C69:M69)),0)</f>
        <v>0</v>
      </c>
      <c r="O69" s="17">
        <f ca="1">IF(O68+SUM($C69:N69)&lt;0,-(O68+SUM($C69:N69)),0)</f>
        <v>0</v>
      </c>
      <c r="P69" s="17">
        <f ca="1">IF(P68+SUM($C69:O69)&lt;0,-(P68+SUM($C69:O69)),0)</f>
        <v>0</v>
      </c>
      <c r="Q69" s="17">
        <f ca="1">IF(Q68+SUM($C69:P69)&lt;0,-(Q68+SUM($C69:P69)),0)</f>
        <v>0</v>
      </c>
      <c r="R69" s="17">
        <f ca="1">IF(R68+SUM($C69:Q69)&lt;0,-(R68+SUM($C69:Q69)),0)</f>
        <v>0</v>
      </c>
      <c r="S69" s="17">
        <f ca="1">IF(S68+SUM($C69:R69)&lt;0,-(S68+SUM($C69:R69)),0)</f>
        <v>0</v>
      </c>
      <c r="T69" s="17">
        <f ca="1">IF(T68+SUM($C69:S69)&lt;0,-(T68+SUM($C69:S69)),0)</f>
        <v>0</v>
      </c>
      <c r="U69" s="17">
        <f ca="1">IF(U68+SUM($C69:T69)&lt;0,-(U68+SUM($C69:T69)),0)</f>
        <v>0</v>
      </c>
      <c r="V69" s="17">
        <f ca="1">IF(V68+SUM($C69:U69)&lt;0,-(V68+SUM($C69:U69)),0)</f>
        <v>0</v>
      </c>
      <c r="W69" s="17">
        <f ca="1">IF(W68+SUM($C69:V69)&lt;0,-(W68+SUM($C69:V69)),0)</f>
        <v>0</v>
      </c>
      <c r="X69" s="17">
        <f ca="1">IF(X68+SUM($C69:W69)&lt;0,-(X68+SUM($C69:W69)),0)</f>
        <v>0</v>
      </c>
      <c r="Y69" s="17">
        <f ca="1">IF(Y68+SUM($C69:X69)&lt;0,-(Y68+SUM($C69:X69)),0)</f>
        <v>0</v>
      </c>
      <c r="Z69" s="17">
        <f ca="1">IF(Z68+SUM($C69:Y69)&lt;0,-(Z68+SUM($C69:Y69)),0)</f>
        <v>0</v>
      </c>
      <c r="AA69" s="17">
        <f ca="1">IF(AA68+SUM($C69:Z69)&lt;0,-(AA68+SUM($C69:Z69)),0)</f>
        <v>0</v>
      </c>
      <c r="AB69" s="17">
        <f ca="1">IF(AB68+SUM($C69:AA69)&lt;0,-(AB68+SUM($C69:AA69)),0)</f>
        <v>0</v>
      </c>
      <c r="AC69" s="17">
        <f ca="1">IF(AC68+SUM($C69:AB69)&lt;0,-(AC68+SUM($C69:AB69)),0)</f>
        <v>0</v>
      </c>
      <c r="AD69" s="17">
        <f ca="1">IF(AD68+SUM($C69:AC69)&lt;0,-(AD68+SUM($C69:AC69)),0)</f>
        <v>0</v>
      </c>
      <c r="AE69" s="17">
        <f ca="1">IF(AE68+SUM($C69:AD69)&lt;0,-(AE68+SUM($C69:AD69)),0)</f>
        <v>0</v>
      </c>
      <c r="AF69" s="17">
        <f ca="1">IF(AF68+SUM($C69:AE69)&lt;0,-(AF68+SUM($C69:AE69)),0)</f>
        <v>0</v>
      </c>
      <c r="AG69" s="17">
        <f ca="1">IF(AG68+SUM($C69:AF69)&lt;0,-(AG68+SUM($C69:AF69)),0)</f>
        <v>0</v>
      </c>
      <c r="AH69" s="17">
        <f ca="1">IF(AH68+SUM($C69:AG69)&lt;0,-(AH68+SUM($C69:AG69)),0)</f>
        <v>0</v>
      </c>
      <c r="AI69" s="17">
        <f ca="1">IF(AI68+SUM($C69:AH69)&lt;0,-(AI68+SUM($C69:AH69)),0)</f>
        <v>0</v>
      </c>
      <c r="AJ69" s="17">
        <f ca="1">IF(AJ68+SUM($C69:AI69)&lt;0,-(AJ68+SUM($C69:AI69)),0)</f>
        <v>0</v>
      </c>
      <c r="AK69" s="17">
        <f ca="1">IF(AK68+SUM($C69:AJ69)&lt;0,-(AK68+SUM($C69:AJ69)),0)</f>
        <v>0</v>
      </c>
      <c r="AL69" s="17">
        <f ca="1">IF(AL68+SUM($C69:AK69)&lt;0,-(AL68+SUM($C69:AK69)),0)</f>
        <v>0</v>
      </c>
      <c r="AM69" s="17">
        <f ca="1">IF(AM68+SUM($C69:AL69)&lt;0,-(AM68+SUM($C69:AL69)),0)</f>
        <v>0</v>
      </c>
    </row>
    <row r="70" spans="1:39" x14ac:dyDescent="0.2"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19" x14ac:dyDescent="0.25">
      <c r="A71" s="42" t="s">
        <v>23</v>
      </c>
      <c r="B71" s="43"/>
      <c r="C71" s="44"/>
      <c r="D71" s="45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</row>
    <row r="72" spans="1:39" x14ac:dyDescent="0.2">
      <c r="A72" s="2"/>
      <c r="C72" s="17"/>
      <c r="D72" s="24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x14ac:dyDescent="0.2">
      <c r="A73" s="41" t="s">
        <v>29</v>
      </c>
      <c r="B73" s="43"/>
      <c r="C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</row>
    <row r="74" spans="1:39" x14ac:dyDescent="0.2">
      <c r="A74" s="13" t="s">
        <v>24</v>
      </c>
      <c r="C74" s="17">
        <f>C59</f>
        <v>21600</v>
      </c>
      <c r="D74" s="17">
        <f t="shared" ref="D74:AM74" ca="1" si="23">C77</f>
        <v>21600</v>
      </c>
      <c r="E74" s="17">
        <f t="shared" ca="1" si="23"/>
        <v>23328</v>
      </c>
      <c r="F74" s="17">
        <f t="shared" ca="1" si="23"/>
        <v>25194.240000000002</v>
      </c>
      <c r="G74" s="17">
        <f t="shared" ca="1" si="23"/>
        <v>27209.779200000001</v>
      </c>
      <c r="H74" s="17">
        <f t="shared" ca="1" si="23"/>
        <v>29386.561536000001</v>
      </c>
      <c r="I74" s="17">
        <f t="shared" ca="1" si="23"/>
        <v>31737.486458880001</v>
      </c>
      <c r="J74" s="17">
        <f t="shared" ca="1" si="23"/>
        <v>34276.485375590404</v>
      </c>
      <c r="K74" s="17">
        <f t="shared" ca="1" si="23"/>
        <v>37018.604205637639</v>
      </c>
      <c r="L74" s="17">
        <f t="shared" ca="1" si="23"/>
        <v>39980.092542088649</v>
      </c>
      <c r="M74" s="17">
        <f t="shared" ca="1" si="23"/>
        <v>43178.49994545574</v>
      </c>
      <c r="N74" s="17">
        <f t="shared" ca="1" si="23"/>
        <v>46632.779941092202</v>
      </c>
      <c r="O74" s="17">
        <f t="shared" ca="1" si="23"/>
        <v>50363.402336379579</v>
      </c>
      <c r="P74" s="17">
        <f t="shared" ca="1" si="23"/>
        <v>54392.474523289944</v>
      </c>
      <c r="Q74" s="17">
        <f t="shared" ca="1" si="23"/>
        <v>58743.872485153137</v>
      </c>
      <c r="R74" s="17">
        <f t="shared" ca="1" si="23"/>
        <v>63443.382283965388</v>
      </c>
      <c r="S74" s="17">
        <f t="shared" ca="1" si="23"/>
        <v>68518.852866682617</v>
      </c>
      <c r="T74" s="17">
        <f t="shared" ca="1" si="23"/>
        <v>74000.361096017223</v>
      </c>
      <c r="U74" s="17">
        <f t="shared" ca="1" si="23"/>
        <v>79920.389983698595</v>
      </c>
      <c r="V74" s="17">
        <f t="shared" ca="1" si="23"/>
        <v>86314.021182394485</v>
      </c>
      <c r="W74" s="17">
        <f t="shared" ca="1" si="23"/>
        <v>93219.142876986036</v>
      </c>
      <c r="X74" s="17">
        <f t="shared" ca="1" si="23"/>
        <v>100676.67430714492</v>
      </c>
      <c r="Y74" s="17">
        <f t="shared" ca="1" si="23"/>
        <v>108730.80825171652</v>
      </c>
      <c r="Z74" s="17">
        <f t="shared" ca="1" si="23"/>
        <v>117429.27291185384</v>
      </c>
      <c r="AA74" s="17">
        <f t="shared" ca="1" si="23"/>
        <v>126823.61474480215</v>
      </c>
      <c r="AB74" s="17">
        <f t="shared" ca="1" si="23"/>
        <v>136969.50392438631</v>
      </c>
      <c r="AC74" s="17">
        <f t="shared" ca="1" si="23"/>
        <v>147927.06423833722</v>
      </c>
      <c r="AD74" s="17">
        <f t="shared" ca="1" si="23"/>
        <v>159761.2293774042</v>
      </c>
      <c r="AE74" s="17">
        <f t="shared" ca="1" si="23"/>
        <v>172542.12772759655</v>
      </c>
      <c r="AF74" s="17">
        <f t="shared" ca="1" si="23"/>
        <v>186345.49794580427</v>
      </c>
      <c r="AG74" s="17">
        <f t="shared" ca="1" si="23"/>
        <v>201253.1377814686</v>
      </c>
      <c r="AH74" s="17">
        <f t="shared" ca="1" si="23"/>
        <v>217353.38880398608</v>
      </c>
      <c r="AI74" s="17">
        <f t="shared" ca="1" si="23"/>
        <v>234741.65990830495</v>
      </c>
      <c r="AJ74" s="17">
        <f t="shared" ca="1" si="23"/>
        <v>253520.99270096933</v>
      </c>
      <c r="AK74" s="17">
        <f t="shared" ca="1" si="23"/>
        <v>273802.6721170469</v>
      </c>
      <c r="AL74" s="17">
        <f t="shared" ca="1" si="23"/>
        <v>295706.88588641066</v>
      </c>
      <c r="AM74" s="17">
        <f t="shared" ca="1" si="23"/>
        <v>319363.43675732351</v>
      </c>
    </row>
    <row r="75" spans="1:39" x14ac:dyDescent="0.2">
      <c r="A75" s="13" t="s">
        <v>25</v>
      </c>
      <c r="C75" s="17">
        <f ca="1">-MIN( IF(C74&gt;C69/ (1 - Inputs!$C$161), C69/ (1 - Inputs!$C$161), C74), C74/ (1 - Inputs!$C$161) )</f>
        <v>0</v>
      </c>
      <c r="D75" s="17">
        <f ca="1">-MIN( IF(D74&gt;D69/ (1 - Inputs!$C$161), D69/ (1 - Inputs!$C$161), D74), D74/ (1 - Inputs!$C$161) )</f>
        <v>0</v>
      </c>
      <c r="E75" s="17">
        <f ca="1">-MIN( IF(E74&gt;E69/ (1 - Inputs!$C$161), E69/ (1 - Inputs!$C$161), E74), E74/ (1 - Inputs!$C$161) )</f>
        <v>0</v>
      </c>
      <c r="F75" s="17">
        <f ca="1">-MIN( IF(F74&gt;F69/ (1 - Inputs!$C$161), F69/ (1 - Inputs!$C$161), F74), F74/ (1 - Inputs!$C$161) )</f>
        <v>0</v>
      </c>
      <c r="G75" s="17">
        <f ca="1">-MIN( IF(G74&gt;G69/ (1 - Inputs!$C$161), G69/ (1 - Inputs!$C$161), G74), G74/ (1 - Inputs!$C$161) )</f>
        <v>0</v>
      </c>
      <c r="H75" s="17">
        <f ca="1">-MIN( IF(H74&gt;H69/ (1 - Inputs!$C$161), H69/ (1 - Inputs!$C$161), H74), H74/ (1 - Inputs!$C$161) )</f>
        <v>0</v>
      </c>
      <c r="I75" s="17">
        <f ca="1">-MIN( IF(I74&gt;I69/ (1 - Inputs!$C$161), I69/ (1 - Inputs!$C$161), I74), I74/ (1 - Inputs!$C$161) )</f>
        <v>0</v>
      </c>
      <c r="J75" s="17">
        <f ca="1">-MIN( IF(J74&gt;J69/ (1 - Inputs!$C$161), J69/ (1 - Inputs!$C$161), J74), J74/ (1 - Inputs!$C$161) )</f>
        <v>0</v>
      </c>
      <c r="K75" s="17">
        <f ca="1">-MIN( IF(K74&gt;K69/ (1 - Inputs!$C$161), K69/ (1 - Inputs!$C$161), K74), K74/ (1 - Inputs!$C$161) )</f>
        <v>0</v>
      </c>
      <c r="L75" s="17">
        <f ca="1">-MIN( IF(L74&gt;L69/ (1 - Inputs!$C$161), L69/ (1 - Inputs!$C$161), L74), L74/ (1 - Inputs!$C$161) )</f>
        <v>0</v>
      </c>
      <c r="M75" s="17">
        <f ca="1">-MIN( IF(M74&gt;M69/ (1 - Inputs!$C$161), M69/ (1 - Inputs!$C$161), M74), M74/ (1 - Inputs!$C$161) )</f>
        <v>0</v>
      </c>
      <c r="N75" s="17">
        <f ca="1">-MIN( IF(N74&gt;N69/ (1 - Inputs!$C$161), N69/ (1 - Inputs!$C$161), N74), N74/ (1 - Inputs!$C$161) )</f>
        <v>0</v>
      </c>
      <c r="O75" s="17">
        <f ca="1">-MIN( IF(O74&gt;O69/ (1 - Inputs!$C$161), O69/ (1 - Inputs!$C$161), O74), O74/ (1 - Inputs!$C$161) )</f>
        <v>0</v>
      </c>
      <c r="P75" s="17">
        <f ca="1">-MIN( IF(P74&gt;P69/ (1 - Inputs!$C$161), P69/ (1 - Inputs!$C$161), P74), P74/ (1 - Inputs!$C$161) )</f>
        <v>0</v>
      </c>
      <c r="Q75" s="17">
        <f ca="1">-MIN( IF(Q74&gt;Q69/ (1 - Inputs!$C$161), Q69/ (1 - Inputs!$C$161), Q74), Q74/ (1 - Inputs!$C$161) )</f>
        <v>0</v>
      </c>
      <c r="R75" s="17">
        <f ca="1">-MIN( IF(R74&gt;R69/ (1 - Inputs!$C$161), R69/ (1 - Inputs!$C$161), R74), R74/ (1 - Inputs!$C$161) )</f>
        <v>0</v>
      </c>
      <c r="S75" s="17">
        <f ca="1">-MIN( IF(S74&gt;S69/ (1 - Inputs!$C$161), S69/ (1 - Inputs!$C$161), S74), S74/ (1 - Inputs!$C$161) )</f>
        <v>0</v>
      </c>
      <c r="T75" s="17">
        <f ca="1">-MIN( IF(T74&gt;T69/ (1 - Inputs!$C$161), T69/ (1 - Inputs!$C$161), T74), T74/ (1 - Inputs!$C$161) )</f>
        <v>0</v>
      </c>
      <c r="U75" s="17">
        <f ca="1">-MIN( IF(U74&gt;U69/ (1 - Inputs!$C$161), U69/ (1 - Inputs!$C$161), U74), U74/ (1 - Inputs!$C$161) )</f>
        <v>0</v>
      </c>
      <c r="V75" s="17">
        <f ca="1">-MIN( IF(V74&gt;V69/ (1 - Inputs!$C$161), V69/ (1 - Inputs!$C$161), V74), V74/ (1 - Inputs!$C$161) )</f>
        <v>0</v>
      </c>
      <c r="W75" s="17">
        <f ca="1">-MIN( IF(W74&gt;W69/ (1 - Inputs!$C$161), W69/ (1 - Inputs!$C$161), W74), W74/ (1 - Inputs!$C$161) )</f>
        <v>0</v>
      </c>
      <c r="X75" s="17">
        <f ca="1">-MIN( IF(X74&gt;X69/ (1 - Inputs!$C$161), X69/ (1 - Inputs!$C$161), X74), X74/ (1 - Inputs!$C$161) )</f>
        <v>0</v>
      </c>
      <c r="Y75" s="17">
        <f ca="1">-MIN( IF(Y74&gt;Y69/ (1 - Inputs!$C$161), Y69/ (1 - Inputs!$C$161), Y74), Y74/ (1 - Inputs!$C$161) )</f>
        <v>0</v>
      </c>
      <c r="Z75" s="17">
        <f ca="1">-MIN( IF(Z74&gt;Z69/ (1 - Inputs!$C$161), Z69/ (1 - Inputs!$C$161), Z74), Z74/ (1 - Inputs!$C$161) )</f>
        <v>0</v>
      </c>
      <c r="AA75" s="17">
        <f ca="1">-MIN( IF(AA74&gt;AA69/ (1 - Inputs!$C$161), AA69/ (1 - Inputs!$C$161), AA74), AA74/ (1 - Inputs!$C$161) )</f>
        <v>0</v>
      </c>
      <c r="AB75" s="17">
        <f ca="1">-MIN( IF(AB74&gt;AB69/ (1 - Inputs!$C$161), AB69/ (1 - Inputs!$C$161), AB74), AB74/ (1 - Inputs!$C$161) )</f>
        <v>0</v>
      </c>
      <c r="AC75" s="17">
        <f ca="1">-MIN( IF(AC74&gt;AC69/ (1 - Inputs!$C$161), AC69/ (1 - Inputs!$C$161), AC74), AC74/ (1 - Inputs!$C$161) )</f>
        <v>0</v>
      </c>
      <c r="AD75" s="17">
        <f ca="1">-MIN( IF(AD74&gt;AD69/ (1 - Inputs!$C$161), AD69/ (1 - Inputs!$C$161), AD74), AD74/ (1 - Inputs!$C$161) )</f>
        <v>0</v>
      </c>
      <c r="AE75" s="17">
        <f ca="1">-MIN( IF(AE74&gt;AE69/ (1 - Inputs!$C$161), AE69/ (1 - Inputs!$C$161), AE74), AE74/ (1 - Inputs!$C$161) )</f>
        <v>0</v>
      </c>
      <c r="AF75" s="17">
        <f ca="1">-MIN( IF(AF74&gt;AF69/ (1 - Inputs!$C$161), AF69/ (1 - Inputs!$C$161), AF74), AF74/ (1 - Inputs!$C$161) )</f>
        <v>0</v>
      </c>
      <c r="AG75" s="17">
        <f ca="1">-MIN( IF(AG74&gt;AG69/ (1 - Inputs!$C$161), AG69/ (1 - Inputs!$C$161), AG74), AG74/ (1 - Inputs!$C$161) )</f>
        <v>0</v>
      </c>
      <c r="AH75" s="17">
        <f ca="1">-MIN( IF(AH74&gt;AH69/ (1 - Inputs!$C$161), AH69/ (1 - Inputs!$C$161), AH74), AH74/ (1 - Inputs!$C$161) )</f>
        <v>0</v>
      </c>
      <c r="AI75" s="17">
        <f ca="1">-MIN( IF(AI74&gt;AI69/ (1 - Inputs!$C$161), AI69/ (1 - Inputs!$C$161), AI74), AI74/ (1 - Inputs!$C$161) )</f>
        <v>0</v>
      </c>
      <c r="AJ75" s="17">
        <f ca="1">-MIN( IF(AJ74&gt;AJ69/ (1 - Inputs!$C$161), AJ69/ (1 - Inputs!$C$161), AJ74), AJ74/ (1 - Inputs!$C$161) )</f>
        <v>0</v>
      </c>
      <c r="AK75" s="17">
        <f ca="1">-MIN( IF(AK74&gt;AK69/ (1 - Inputs!$C$161), AK69/ (1 - Inputs!$C$161), AK74), AK74/ (1 - Inputs!$C$161) )</f>
        <v>0</v>
      </c>
      <c r="AL75" s="17">
        <f ca="1">-MIN( IF(AL74&gt;AL69/ (1 - Inputs!$C$161), AL69/ (1 - Inputs!$C$161), AL74), AL74/ (1 - Inputs!$C$161) )</f>
        <v>0</v>
      </c>
      <c r="AM75" s="17">
        <f ca="1">-MIN( IF(AM74&gt;AM69/ (1 - Inputs!$C$161), AM69/ (1 - Inputs!$C$161), AM74), AM74/ (1 - Inputs!$C$161) )</f>
        <v>0</v>
      </c>
    </row>
    <row r="76" spans="1:39" x14ac:dyDescent="0.2">
      <c r="A76" s="13" t="s">
        <v>26</v>
      </c>
      <c r="C76" s="17">
        <v>0</v>
      </c>
      <c r="D76" s="17">
        <f t="shared" ref="D76:G76" ca="1" si="24">SUM(D74:D75)*stinc</f>
        <v>1728</v>
      </c>
      <c r="E76" s="17">
        <f t="shared" ca="1" si="24"/>
        <v>1866.24</v>
      </c>
      <c r="F76" s="17">
        <f t="shared" ca="1" si="24"/>
        <v>2015.5392000000002</v>
      </c>
      <c r="G76" s="17">
        <f t="shared" ca="1" si="24"/>
        <v>2176.7823360000002</v>
      </c>
      <c r="H76" s="17">
        <f t="shared" ref="H76:AM76" ca="1" si="25">SUM(H74:H75)*stinc</f>
        <v>2350.9249228799999</v>
      </c>
      <c r="I76" s="17">
        <f t="shared" ca="1" si="25"/>
        <v>2538.9989167104</v>
      </c>
      <c r="J76" s="17">
        <f t="shared" ca="1" si="25"/>
        <v>2742.1188300472322</v>
      </c>
      <c r="K76" s="17">
        <f t="shared" ca="1" si="25"/>
        <v>2961.488336451011</v>
      </c>
      <c r="L76" s="17">
        <f t="shared" ca="1" si="25"/>
        <v>3198.4074033670918</v>
      </c>
      <c r="M76" s="17">
        <f t="shared" ca="1" si="25"/>
        <v>3454.2799956364593</v>
      </c>
      <c r="N76" s="17">
        <f t="shared" ca="1" si="25"/>
        <v>3730.6223952873761</v>
      </c>
      <c r="O76" s="17">
        <f t="shared" ca="1" si="25"/>
        <v>4029.0721869103663</v>
      </c>
      <c r="P76" s="17">
        <f t="shared" ca="1" si="25"/>
        <v>4351.3979618631956</v>
      </c>
      <c r="Q76" s="17">
        <f t="shared" ca="1" si="25"/>
        <v>4699.5097988122507</v>
      </c>
      <c r="R76" s="17">
        <f t="shared" ca="1" si="25"/>
        <v>5075.4705827172311</v>
      </c>
      <c r="S76" s="17">
        <f t="shared" ca="1" si="25"/>
        <v>5481.5082293346095</v>
      </c>
      <c r="T76" s="17">
        <f t="shared" ca="1" si="25"/>
        <v>5920.0288876813784</v>
      </c>
      <c r="U76" s="17">
        <f t="shared" ca="1" si="25"/>
        <v>6393.6311986958881</v>
      </c>
      <c r="V76" s="17">
        <f t="shared" ca="1" si="25"/>
        <v>6905.1216945915585</v>
      </c>
      <c r="W76" s="17">
        <f t="shared" ca="1" si="25"/>
        <v>7457.5314301588833</v>
      </c>
      <c r="X76" s="17">
        <f t="shared" ca="1" si="25"/>
        <v>8054.1339445715939</v>
      </c>
      <c r="Y76" s="17">
        <f t="shared" ca="1" si="25"/>
        <v>8698.4646601373206</v>
      </c>
      <c r="Z76" s="17">
        <f t="shared" ca="1" si="25"/>
        <v>9394.3418329483084</v>
      </c>
      <c r="AA76" s="17">
        <f t="shared" ca="1" si="25"/>
        <v>10145.889179584172</v>
      </c>
      <c r="AB76" s="17">
        <f t="shared" ca="1" si="25"/>
        <v>10957.560313950906</v>
      </c>
      <c r="AC76" s="17">
        <f t="shared" ca="1" si="25"/>
        <v>11834.165139066978</v>
      </c>
      <c r="AD76" s="17">
        <f t="shared" ca="1" si="25"/>
        <v>12780.898350192336</v>
      </c>
      <c r="AE76" s="17">
        <f t="shared" ca="1" si="25"/>
        <v>13803.370218207725</v>
      </c>
      <c r="AF76" s="17">
        <f t="shared" ca="1" si="25"/>
        <v>14907.639835664342</v>
      </c>
      <c r="AG76" s="17">
        <f t="shared" ca="1" si="25"/>
        <v>16100.251022517488</v>
      </c>
      <c r="AH76" s="17">
        <f t="shared" ca="1" si="25"/>
        <v>17388.271104318887</v>
      </c>
      <c r="AI76" s="17">
        <f t="shared" ca="1" si="25"/>
        <v>18779.332792664398</v>
      </c>
      <c r="AJ76" s="17">
        <f t="shared" ca="1" si="25"/>
        <v>20281.679416077546</v>
      </c>
      <c r="AK76" s="17">
        <f t="shared" ca="1" si="25"/>
        <v>21904.213769363752</v>
      </c>
      <c r="AL76" s="17">
        <f t="shared" ca="1" si="25"/>
        <v>23656.550870912852</v>
      </c>
      <c r="AM76" s="17">
        <f t="shared" ca="1" si="25"/>
        <v>25549.074940585881</v>
      </c>
    </row>
    <row r="77" spans="1:39" x14ac:dyDescent="0.2">
      <c r="A77" s="13" t="s">
        <v>27</v>
      </c>
      <c r="C77" s="17">
        <f ca="1">SUM(C74:C76)</f>
        <v>21600</v>
      </c>
      <c r="D77" s="17">
        <f ca="1">SUM(D74:D76)</f>
        <v>23328</v>
      </c>
      <c r="E77" s="17">
        <f t="shared" ref="E77:G77" ca="1" si="26">SUM(E74:E76)</f>
        <v>25194.240000000002</v>
      </c>
      <c r="F77" s="17">
        <f t="shared" ca="1" si="26"/>
        <v>27209.779200000001</v>
      </c>
      <c r="G77" s="17">
        <f t="shared" ca="1" si="26"/>
        <v>29386.561536000001</v>
      </c>
      <c r="H77" s="17">
        <f t="shared" ref="H77:AM77" ca="1" si="27">SUM(H74:H76)</f>
        <v>31737.486458880001</v>
      </c>
      <c r="I77" s="17">
        <f t="shared" ca="1" si="27"/>
        <v>34276.485375590404</v>
      </c>
      <c r="J77" s="17">
        <f t="shared" ca="1" si="27"/>
        <v>37018.604205637639</v>
      </c>
      <c r="K77" s="17">
        <f t="shared" ca="1" si="27"/>
        <v>39980.092542088649</v>
      </c>
      <c r="L77" s="17">
        <f t="shared" ca="1" si="27"/>
        <v>43178.49994545574</v>
      </c>
      <c r="M77" s="17">
        <f t="shared" ca="1" si="27"/>
        <v>46632.779941092202</v>
      </c>
      <c r="N77" s="17">
        <f t="shared" ca="1" si="27"/>
        <v>50363.402336379579</v>
      </c>
      <c r="O77" s="17">
        <f t="shared" ca="1" si="27"/>
        <v>54392.474523289944</v>
      </c>
      <c r="P77" s="17">
        <f t="shared" ca="1" si="27"/>
        <v>58743.872485153137</v>
      </c>
      <c r="Q77" s="17">
        <f t="shared" ca="1" si="27"/>
        <v>63443.382283965388</v>
      </c>
      <c r="R77" s="17">
        <f t="shared" ca="1" si="27"/>
        <v>68518.852866682617</v>
      </c>
      <c r="S77" s="17">
        <f t="shared" ca="1" si="27"/>
        <v>74000.361096017223</v>
      </c>
      <c r="T77" s="17">
        <f t="shared" ca="1" si="27"/>
        <v>79920.389983698595</v>
      </c>
      <c r="U77" s="17">
        <f t="shared" ca="1" si="27"/>
        <v>86314.021182394485</v>
      </c>
      <c r="V77" s="17">
        <f t="shared" ca="1" si="27"/>
        <v>93219.142876986036</v>
      </c>
      <c r="W77" s="17">
        <f t="shared" ca="1" si="27"/>
        <v>100676.67430714492</v>
      </c>
      <c r="X77" s="17">
        <f t="shared" ca="1" si="27"/>
        <v>108730.80825171652</v>
      </c>
      <c r="Y77" s="17">
        <f t="shared" ca="1" si="27"/>
        <v>117429.27291185384</v>
      </c>
      <c r="Z77" s="17">
        <f t="shared" ca="1" si="27"/>
        <v>126823.61474480215</v>
      </c>
      <c r="AA77" s="17">
        <f t="shared" ca="1" si="27"/>
        <v>136969.50392438631</v>
      </c>
      <c r="AB77" s="17">
        <f t="shared" ca="1" si="27"/>
        <v>147927.06423833722</v>
      </c>
      <c r="AC77" s="17">
        <f t="shared" ca="1" si="27"/>
        <v>159761.2293774042</v>
      </c>
      <c r="AD77" s="17">
        <f t="shared" ca="1" si="27"/>
        <v>172542.12772759655</v>
      </c>
      <c r="AE77" s="17">
        <f t="shared" ca="1" si="27"/>
        <v>186345.49794580427</v>
      </c>
      <c r="AF77" s="17">
        <f t="shared" ca="1" si="27"/>
        <v>201253.1377814686</v>
      </c>
      <c r="AG77" s="17">
        <f t="shared" ca="1" si="27"/>
        <v>217353.38880398608</v>
      </c>
      <c r="AH77" s="17">
        <f t="shared" ca="1" si="27"/>
        <v>234741.65990830495</v>
      </c>
      <c r="AI77" s="17">
        <f t="shared" ca="1" si="27"/>
        <v>253520.99270096933</v>
      </c>
      <c r="AJ77" s="17">
        <f t="shared" ca="1" si="27"/>
        <v>273802.6721170469</v>
      </c>
      <c r="AK77" s="17">
        <f t="shared" ca="1" si="27"/>
        <v>295706.88588641066</v>
      </c>
      <c r="AL77" s="17">
        <f t="shared" ca="1" si="27"/>
        <v>319363.43675732351</v>
      </c>
      <c r="AM77" s="17">
        <f t="shared" ca="1" si="27"/>
        <v>344912.51169790939</v>
      </c>
    </row>
    <row r="78" spans="1:39" x14ac:dyDescent="0.2">
      <c r="A78" s="13" t="s">
        <v>28</v>
      </c>
      <c r="C78" s="17">
        <f ca="1">C75*Inputs!$C$161</f>
        <v>0</v>
      </c>
      <c r="D78" s="17">
        <f ca="1">D75*Inputs!$C$161</f>
        <v>0</v>
      </c>
      <c r="E78" s="17">
        <f ca="1">E75*Inputs!$C$161</f>
        <v>0</v>
      </c>
      <c r="F78" s="17">
        <f ca="1">F75*Inputs!$C$161</f>
        <v>0</v>
      </c>
      <c r="G78" s="17">
        <f ca="1">G75*Inputs!$C$161</f>
        <v>0</v>
      </c>
      <c r="H78" s="17">
        <f ca="1">H75*Inputs!$C$161</f>
        <v>0</v>
      </c>
      <c r="I78" s="17">
        <f ca="1">I75*Inputs!$C$161</f>
        <v>0</v>
      </c>
      <c r="J78" s="17">
        <f ca="1">J75*Inputs!$C$161</f>
        <v>0</v>
      </c>
      <c r="K78" s="17">
        <f ca="1">K75*Inputs!$C$161</f>
        <v>0</v>
      </c>
      <c r="L78" s="17">
        <f ca="1">L75*Inputs!$C$161</f>
        <v>0</v>
      </c>
      <c r="M78" s="17">
        <f ca="1">M75*Inputs!$C$161</f>
        <v>0</v>
      </c>
      <c r="N78" s="17">
        <f ca="1">N75*Inputs!$C$161</f>
        <v>0</v>
      </c>
      <c r="O78" s="17">
        <f ca="1">O75*Inputs!$C$161</f>
        <v>0</v>
      </c>
      <c r="P78" s="17">
        <f ca="1">P75*Inputs!$C$161</f>
        <v>0</v>
      </c>
      <c r="Q78" s="17">
        <f ca="1">Q75*Inputs!$C$161</f>
        <v>0</v>
      </c>
      <c r="R78" s="17">
        <f ca="1">R75*Inputs!$C$161</f>
        <v>0</v>
      </c>
      <c r="S78" s="17">
        <f ca="1">S75*Inputs!$C$161</f>
        <v>0</v>
      </c>
      <c r="T78" s="17">
        <f ca="1">T75*Inputs!$C$161</f>
        <v>0</v>
      </c>
      <c r="U78" s="17">
        <f ca="1">U75*Inputs!$C$161</f>
        <v>0</v>
      </c>
      <c r="V78" s="17">
        <f ca="1">V75*Inputs!$C$161</f>
        <v>0</v>
      </c>
      <c r="W78" s="17">
        <f ca="1">W75*Inputs!$C$161</f>
        <v>0</v>
      </c>
      <c r="X78" s="17">
        <f ca="1">X75*Inputs!$C$161</f>
        <v>0</v>
      </c>
      <c r="Y78" s="17">
        <f ca="1">Y75*Inputs!$C$161</f>
        <v>0</v>
      </c>
      <c r="Z78" s="17">
        <f ca="1">Z75*Inputs!$C$161</f>
        <v>0</v>
      </c>
      <c r="AA78" s="17">
        <f ca="1">AA75*Inputs!$C$161</f>
        <v>0</v>
      </c>
      <c r="AB78" s="17">
        <f ca="1">AB75*Inputs!$C$161</f>
        <v>0</v>
      </c>
      <c r="AC78" s="17">
        <f ca="1">AC75*Inputs!$C$161</f>
        <v>0</v>
      </c>
      <c r="AD78" s="17">
        <f ca="1">AD75*Inputs!$C$161</f>
        <v>0</v>
      </c>
      <c r="AE78" s="17">
        <f ca="1">AE75*Inputs!$C$161</f>
        <v>0</v>
      </c>
      <c r="AF78" s="17">
        <f ca="1">AF75*Inputs!$C$161</f>
        <v>0</v>
      </c>
      <c r="AG78" s="17">
        <f ca="1">AG75*Inputs!$C$161</f>
        <v>0</v>
      </c>
      <c r="AH78" s="17">
        <f ca="1">AH75*Inputs!$C$161</f>
        <v>0</v>
      </c>
      <c r="AI78" s="17">
        <f ca="1">AI75*Inputs!$C$161</f>
        <v>0</v>
      </c>
      <c r="AJ78" s="17">
        <f ca="1">AJ75*Inputs!$C$161</f>
        <v>0</v>
      </c>
      <c r="AK78" s="17">
        <f ca="1">AK75*Inputs!$C$161</f>
        <v>0</v>
      </c>
      <c r="AL78" s="17">
        <f ca="1">AL75*Inputs!$C$161</f>
        <v>0</v>
      </c>
      <c r="AM78" s="17">
        <f ca="1">AM75*Inputs!$C$161</f>
        <v>0</v>
      </c>
    </row>
    <row r="79" spans="1:39" x14ac:dyDescent="0.2">
      <c r="A79" s="13" t="s">
        <v>42</v>
      </c>
      <c r="C79" s="17">
        <f ca="1">-C75+C78</f>
        <v>0</v>
      </c>
      <c r="D79" s="17">
        <f t="shared" ref="D79:G79" ca="1" si="28">-D75+D78</f>
        <v>0</v>
      </c>
      <c r="E79" s="17">
        <f t="shared" ca="1" si="28"/>
        <v>0</v>
      </c>
      <c r="F79" s="17">
        <f t="shared" ca="1" si="28"/>
        <v>0</v>
      </c>
      <c r="G79" s="17">
        <f t="shared" ca="1" si="28"/>
        <v>0</v>
      </c>
      <c r="H79" s="17">
        <f t="shared" ref="H79:AM79" ca="1" si="29">-H75+H78</f>
        <v>0</v>
      </c>
      <c r="I79" s="17">
        <f t="shared" ca="1" si="29"/>
        <v>0</v>
      </c>
      <c r="J79" s="17">
        <f t="shared" ca="1" si="29"/>
        <v>0</v>
      </c>
      <c r="K79" s="17">
        <f t="shared" ca="1" si="29"/>
        <v>0</v>
      </c>
      <c r="L79" s="17">
        <f t="shared" ca="1" si="29"/>
        <v>0</v>
      </c>
      <c r="M79" s="17">
        <f t="shared" ca="1" si="29"/>
        <v>0</v>
      </c>
      <c r="N79" s="17">
        <f t="shared" ca="1" si="29"/>
        <v>0</v>
      </c>
      <c r="O79" s="17">
        <f t="shared" ca="1" si="29"/>
        <v>0</v>
      </c>
      <c r="P79" s="17">
        <f t="shared" ca="1" si="29"/>
        <v>0</v>
      </c>
      <c r="Q79" s="17">
        <f t="shared" ca="1" si="29"/>
        <v>0</v>
      </c>
      <c r="R79" s="17">
        <f t="shared" ca="1" si="29"/>
        <v>0</v>
      </c>
      <c r="S79" s="17">
        <f t="shared" ca="1" si="29"/>
        <v>0</v>
      </c>
      <c r="T79" s="17">
        <f t="shared" ca="1" si="29"/>
        <v>0</v>
      </c>
      <c r="U79" s="17">
        <f t="shared" ca="1" si="29"/>
        <v>0</v>
      </c>
      <c r="V79" s="17">
        <f t="shared" ca="1" si="29"/>
        <v>0</v>
      </c>
      <c r="W79" s="17">
        <f t="shared" ca="1" si="29"/>
        <v>0</v>
      </c>
      <c r="X79" s="17">
        <f t="shared" ca="1" si="29"/>
        <v>0</v>
      </c>
      <c r="Y79" s="17">
        <f t="shared" ca="1" si="29"/>
        <v>0</v>
      </c>
      <c r="Z79" s="17">
        <f t="shared" ca="1" si="29"/>
        <v>0</v>
      </c>
      <c r="AA79" s="17">
        <f t="shared" ca="1" si="29"/>
        <v>0</v>
      </c>
      <c r="AB79" s="17">
        <f t="shared" ca="1" si="29"/>
        <v>0</v>
      </c>
      <c r="AC79" s="17">
        <f t="shared" ca="1" si="29"/>
        <v>0</v>
      </c>
      <c r="AD79" s="17">
        <f t="shared" ca="1" si="29"/>
        <v>0</v>
      </c>
      <c r="AE79" s="17">
        <f t="shared" ca="1" si="29"/>
        <v>0</v>
      </c>
      <c r="AF79" s="17">
        <f t="shared" ca="1" si="29"/>
        <v>0</v>
      </c>
      <c r="AG79" s="17">
        <f t="shared" ca="1" si="29"/>
        <v>0</v>
      </c>
      <c r="AH79" s="17">
        <f t="shared" ca="1" si="29"/>
        <v>0</v>
      </c>
      <c r="AI79" s="17">
        <f t="shared" ca="1" si="29"/>
        <v>0</v>
      </c>
      <c r="AJ79" s="17">
        <f t="shared" ca="1" si="29"/>
        <v>0</v>
      </c>
      <c r="AK79" s="17">
        <f t="shared" ca="1" si="29"/>
        <v>0</v>
      </c>
      <c r="AL79" s="17">
        <f t="shared" ca="1" si="29"/>
        <v>0</v>
      </c>
      <c r="AM79" s="17">
        <f t="shared" ca="1" si="29"/>
        <v>0</v>
      </c>
    </row>
    <row r="80" spans="1:39" x14ac:dyDescent="0.2">
      <c r="A80" s="14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x14ac:dyDescent="0.2">
      <c r="A81" s="13" t="s">
        <v>56</v>
      </c>
      <c r="C81" s="17">
        <f ca="1">C53+SUM($C79:C79)</f>
        <v>714578.8</v>
      </c>
      <c r="D81" s="17">
        <f ca="1">D53+SUM($C79:D79)</f>
        <v>824098.44559532881</v>
      </c>
      <c r="E81" s="17">
        <f ca="1">E53+SUM($C79:E79)</f>
        <v>995440.1709443531</v>
      </c>
      <c r="F81" s="17">
        <f ca="1">F53+SUM($C79:F79)</f>
        <v>1190110.0184140191</v>
      </c>
      <c r="G81" s="17">
        <f ca="1">G53+SUM($C79:G79)</f>
        <v>1354181.3950869064</v>
      </c>
      <c r="H81" s="17">
        <f ca="1">H53+SUM($C79:H79)</f>
        <v>1567917.714493009</v>
      </c>
      <c r="I81" s="17">
        <f ca="1">I53+SUM($C79:I79)</f>
        <v>1828871.6343659752</v>
      </c>
      <c r="J81" s="17">
        <f ca="1">J53+SUM($C79:J79)</f>
        <v>2073997.9163702845</v>
      </c>
      <c r="K81" s="17">
        <f ca="1">K53+SUM($C79:K79)</f>
        <v>2301632.8826445597</v>
      </c>
      <c r="L81" s="17">
        <f ca="1">L53+SUM($C79:L79)</f>
        <v>2573245.7366445996</v>
      </c>
      <c r="M81" s="17">
        <f ca="1">M53+SUM($C79:M79)</f>
        <v>2859326.8920514602</v>
      </c>
      <c r="N81" s="17">
        <f ca="1">N53+SUM($C79:N79)</f>
        <v>3168702.5795119987</v>
      </c>
      <c r="O81" s="17">
        <f ca="1">O53+SUM($C79:O79)</f>
        <v>3502780.7015976864</v>
      </c>
      <c r="P81" s="17">
        <f ca="1">P53+SUM($C79:P79)</f>
        <v>3853294.3799924105</v>
      </c>
      <c r="Q81" s="17">
        <f ca="1">Q53+SUM($C79:Q79)</f>
        <v>4220907.9563648272</v>
      </c>
      <c r="R81" s="17">
        <f ca="1">R53+SUM($C79:R79)</f>
        <v>4606310.2581247194</v>
      </c>
      <c r="S81" s="17">
        <f ca="1">S53+SUM($C79:S79)</f>
        <v>4707808.3289191956</v>
      </c>
      <c r="T81" s="17">
        <f ca="1">T53+SUM($C79:T79)</f>
        <v>4821048.3966188617</v>
      </c>
      <c r="U81" s="17">
        <f ca="1">U53+SUM($C79:U79)</f>
        <v>4937319.3600282837</v>
      </c>
      <c r="V81" s="17">
        <f ca="1">V53+SUM($C79:V79)</f>
        <v>5056711.3270665482</v>
      </c>
      <c r="W81" s="17">
        <f ca="1">W53+SUM($C79:W79)</f>
        <v>5179317.296884154</v>
      </c>
      <c r="X81" s="17">
        <f ca="1">X53+SUM($C79:X79)</f>
        <v>5305233.2565114927</v>
      </c>
      <c r="Y81" s="17">
        <f ca="1">Y53+SUM($C79:Y79)</f>
        <v>5434558.280784863</v>
      </c>
      <c r="Z81" s="17">
        <f ca="1">Z53+SUM($C79:Z79)</f>
        <v>5567394.6356610563</v>
      </c>
      <c r="AA81" s="17">
        <f ca="1">AA53+SUM($C79:AA79)</f>
        <v>5703847.8850352764</v>
      </c>
      <c r="AB81" s="17">
        <f ca="1">AB53+SUM($C79:AB79)</f>
        <v>5844027.0011810185</v>
      </c>
      <c r="AC81" s="17">
        <f ca="1">AC53+SUM($C79:AC79)</f>
        <v>5988044.4789345022</v>
      </c>
      <c r="AD81" s="17">
        <f ca="1">AD53+SUM($C79:AD79)</f>
        <v>6147849.338861553</v>
      </c>
      <c r="AE81" s="17">
        <f ca="1">AE53+SUM($C79:AE79)</f>
        <v>6312320.238237597</v>
      </c>
      <c r="AF81" s="17">
        <f ca="1">AF53+SUM($C79:AF79)</f>
        <v>6481603.1507251877</v>
      </c>
      <c r="AG81" s="17">
        <f ca="1">AG53+SUM($C79:AG79)</f>
        <v>6655848.8088871781</v>
      </c>
      <c r="AH81" s="17">
        <f ca="1">AH53+SUM($C79:AH79)</f>
        <v>6835212.8621929521</v>
      </c>
      <c r="AI81" s="17">
        <f ca="1">AI53+SUM($C79:AI79)</f>
        <v>7019856.0402894933</v>
      </c>
      <c r="AJ81" s="17">
        <f ca="1">AJ53+SUM($C79:AJ79)</f>
        <v>7209944.3217119556</v>
      </c>
      <c r="AK81" s="17">
        <f ca="1">AK53+SUM($C79:AK79)</f>
        <v>7405649.1082141232</v>
      </c>
      <c r="AL81" s="17">
        <f ca="1">AL53+SUM($C79:AL79)</f>
        <v>7607147.4049051059</v>
      </c>
      <c r="AM81" s="17">
        <f ca="1">AM53+SUM($C79:AM79)</f>
        <v>7814622.0063847229</v>
      </c>
    </row>
    <row r="82" spans="1:39" x14ac:dyDescent="0.2">
      <c r="A82" s="13" t="s">
        <v>22</v>
      </c>
      <c r="C82" s="17">
        <f ca="1">IF(C81&lt;0,C81,0)</f>
        <v>0</v>
      </c>
      <c r="D82" s="17">
        <f ca="1">IF(D81+SUM($C82:C82)&lt;0,-(D81+SUM($C82:C82)),0)</f>
        <v>0</v>
      </c>
      <c r="E82" s="17">
        <f ca="1">IF(E81+SUM($C82:D82)&lt;0,-(E81+SUM($C82:D82)),0)</f>
        <v>0</v>
      </c>
      <c r="F82" s="17">
        <f ca="1">IF(F81+SUM($C82:E82)&lt;0,-(F81+SUM($C82:E82)),0)</f>
        <v>0</v>
      </c>
      <c r="G82" s="17">
        <f ca="1">IF(G81+SUM($C82:F82)&lt;0,-(G81+SUM($C82:F82)),0)</f>
        <v>0</v>
      </c>
      <c r="H82" s="17">
        <f ca="1">IF(H81+SUM($C82:G82)&lt;0,-(H81+SUM($C82:G82)),0)</f>
        <v>0</v>
      </c>
      <c r="I82" s="17">
        <f ca="1">IF(I81+SUM($C82:H82)&lt;0,-(I81+SUM($C82:H82)),0)</f>
        <v>0</v>
      </c>
      <c r="J82" s="17">
        <f ca="1">IF(J81+SUM($C82:I82)&lt;0,-(J81+SUM($C82:I82)),0)</f>
        <v>0</v>
      </c>
      <c r="K82" s="17">
        <f ca="1">IF(K81+SUM($C82:J82)&lt;0,-(K81+SUM($C82:J82)),0)</f>
        <v>0</v>
      </c>
      <c r="L82" s="17">
        <f ca="1">IF(L81+SUM($C82:K82)&lt;0,-(L81+SUM($C82:K82)),0)</f>
        <v>0</v>
      </c>
      <c r="M82" s="17">
        <f ca="1">IF(M81+SUM($C82:L82)&lt;0,-(M81+SUM($C82:L82)),0)</f>
        <v>0</v>
      </c>
      <c r="N82" s="17">
        <f ca="1">IF(N81+SUM($C82:M82)&lt;0,-(N81+SUM($C82:M82)),0)</f>
        <v>0</v>
      </c>
      <c r="O82" s="17">
        <f ca="1">IF(O81+SUM($C82:N82)&lt;0,-(O81+SUM($C82:N82)),0)</f>
        <v>0</v>
      </c>
      <c r="P82" s="17">
        <f ca="1">IF(P81+SUM($C82:O82)&lt;0,-(P81+SUM($C82:O82)),0)</f>
        <v>0</v>
      </c>
      <c r="Q82" s="17">
        <f ca="1">IF(Q81+SUM($C82:P82)&lt;0,-(Q81+SUM($C82:P82)),0)</f>
        <v>0</v>
      </c>
      <c r="R82" s="17">
        <f ca="1">IF(R81+SUM($C82:Q82)&lt;0,-(R81+SUM($C82:Q82)),0)</f>
        <v>0</v>
      </c>
      <c r="S82" s="17">
        <f ca="1">IF(S81+SUM($C82:R82)&lt;0,-(S81+SUM($C82:R82)),0)</f>
        <v>0</v>
      </c>
      <c r="T82" s="17">
        <f ca="1">IF(T81+SUM($C82:S82)&lt;0,-(T81+SUM($C82:S82)),0)</f>
        <v>0</v>
      </c>
      <c r="U82" s="17">
        <f ca="1">IF(U81+SUM($C82:T82)&lt;0,-(U81+SUM($C82:T82)),0)</f>
        <v>0</v>
      </c>
      <c r="V82" s="17">
        <f ca="1">IF(V81+SUM($C82:U82)&lt;0,-(V81+SUM($C82:U82)),0)</f>
        <v>0</v>
      </c>
      <c r="W82" s="17">
        <f ca="1">IF(W81+SUM($C82:V82)&lt;0,-(W81+SUM($C82:V82)),0)</f>
        <v>0</v>
      </c>
      <c r="X82" s="17">
        <f ca="1">IF(X81+SUM($C82:W82)&lt;0,-(X81+SUM($C82:W82)),0)</f>
        <v>0</v>
      </c>
      <c r="Y82" s="17">
        <f ca="1">IF(Y81+SUM($C82:X82)&lt;0,-(Y81+SUM($C82:X82)),0)</f>
        <v>0</v>
      </c>
      <c r="Z82" s="17">
        <f ca="1">IF(Z81+SUM($C82:Y82)&lt;0,-(Z81+SUM($C82:Y82)),0)</f>
        <v>0</v>
      </c>
      <c r="AA82" s="17">
        <f ca="1">IF(AA81+SUM($C82:Z82)&lt;0,-(AA81+SUM($C82:Z82)),0)</f>
        <v>0</v>
      </c>
      <c r="AB82" s="17">
        <f ca="1">IF(AB81+SUM($C82:AA82)&lt;0,-(AB81+SUM($C82:AA82)),0)</f>
        <v>0</v>
      </c>
      <c r="AC82" s="17">
        <f ca="1">IF(AC81+SUM($C82:AB82)&lt;0,-(AC81+SUM($C82:AB82)),0)</f>
        <v>0</v>
      </c>
      <c r="AD82" s="17">
        <f ca="1">IF(AD81+SUM($C82:AC82)&lt;0,-(AD81+SUM($C82:AC82)),0)</f>
        <v>0</v>
      </c>
      <c r="AE82" s="17">
        <f ca="1">IF(AE81+SUM($C82:AD82)&lt;0,-(AE81+SUM($C82:AD82)),0)</f>
        <v>0</v>
      </c>
      <c r="AF82" s="17">
        <f ca="1">IF(AF81+SUM($C82:AE82)&lt;0,-(AF81+SUM($C82:AE82)),0)</f>
        <v>0</v>
      </c>
      <c r="AG82" s="17">
        <f ca="1">IF(AG81+SUM($C82:AF82)&lt;0,-(AG81+SUM($C82:AF82)),0)</f>
        <v>0</v>
      </c>
      <c r="AH82" s="17">
        <f ca="1">IF(AH81+SUM($C82:AG82)&lt;0,-(AH81+SUM($C82:AG82)),0)</f>
        <v>0</v>
      </c>
      <c r="AI82" s="17">
        <f ca="1">IF(AI81+SUM($C82:AH82)&lt;0,-(AI81+SUM($C82:AH82)),0)</f>
        <v>0</v>
      </c>
      <c r="AJ82" s="17">
        <f ca="1">IF(AJ81+SUM($C82:AI82)&lt;0,-(AJ81+SUM($C82:AI82)),0)</f>
        <v>0</v>
      </c>
      <c r="AK82" s="17">
        <f ca="1">IF(AK81+SUM($C82:AJ82)&lt;0,-(AK81+SUM($C82:AJ82)),0)</f>
        <v>0</v>
      </c>
      <c r="AL82" s="17">
        <f ca="1">IF(AL81+SUM($C82:AK82)&lt;0,-(AL81+SUM($C82:AK82)),0)</f>
        <v>0</v>
      </c>
      <c r="AM82" s="17">
        <f ca="1">IF(AM81+SUM($C82:AL82)&lt;0,-(AM81+SUM($C82:AL82)),0)</f>
        <v>0</v>
      </c>
    </row>
    <row r="83" spans="1:39" x14ac:dyDescent="0.2">
      <c r="A83" s="1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x14ac:dyDescent="0.2">
      <c r="A84" s="41" t="str">
        <f>IF(Inputs!$C$165=6,IFERROR(_xlfn.XLOOKUP($B84,Inputs!$C$166:$C$168,Inputs!$B$166:$B$168,,0,1),""),IFERROR(_xlfn.XLOOKUP($B84,Inputs!$O$166:$O$168,Inputs!$B$166:$B$168,,0,1),""))</f>
        <v>Hamrun</v>
      </c>
      <c r="B84" s="43">
        <v>1</v>
      </c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</row>
    <row r="85" spans="1:39" x14ac:dyDescent="0.2">
      <c r="A85" s="13" t="s">
        <v>24</v>
      </c>
      <c r="C85" s="17">
        <f>IFERROR(VLOOKUP($A84,$A$52:$H$66,C$1+2,FALSE),0)</f>
        <v>28840</v>
      </c>
      <c r="D85" s="17">
        <f ca="1">C88</f>
        <v>28840</v>
      </c>
      <c r="E85" s="17">
        <f t="shared" ref="E85" ca="1" si="30">D88</f>
        <v>29705.200000000001</v>
      </c>
      <c r="F85" s="17">
        <f t="shared" ref="F85" ca="1" si="31">E88</f>
        <v>30596.356</v>
      </c>
      <c r="G85" s="17">
        <f t="shared" ref="G85:AM85" ca="1" si="32">F88</f>
        <v>31514.24668</v>
      </c>
      <c r="H85" s="17">
        <f t="shared" ca="1" si="32"/>
        <v>32459.6740804</v>
      </c>
      <c r="I85" s="17">
        <f t="shared" ca="1" si="32"/>
        <v>33433.464302811997</v>
      </c>
      <c r="J85" s="17">
        <f t="shared" ca="1" si="32"/>
        <v>34436.468231896361</v>
      </c>
      <c r="K85" s="17">
        <f t="shared" ca="1" si="32"/>
        <v>35469.562278853249</v>
      </c>
      <c r="L85" s="17">
        <f t="shared" ca="1" si="32"/>
        <v>36533.64914721885</v>
      </c>
      <c r="M85" s="17">
        <f t="shared" ca="1" si="32"/>
        <v>37629.658621635419</v>
      </c>
      <c r="N85" s="17">
        <f t="shared" ca="1" si="32"/>
        <v>38758.548380284483</v>
      </c>
      <c r="O85" s="17">
        <f t="shared" ca="1" si="32"/>
        <v>39921.304831693014</v>
      </c>
      <c r="P85" s="17">
        <f t="shared" ca="1" si="32"/>
        <v>41118.943976643808</v>
      </c>
      <c r="Q85" s="17">
        <f t="shared" ca="1" si="32"/>
        <v>42352.512295943125</v>
      </c>
      <c r="R85" s="17">
        <f t="shared" ca="1" si="32"/>
        <v>43623.087664821418</v>
      </c>
      <c r="S85" s="17">
        <f t="shared" ca="1" si="32"/>
        <v>44931.78029476606</v>
      </c>
      <c r="T85" s="17">
        <f t="shared" ca="1" si="32"/>
        <v>46279.733703609039</v>
      </c>
      <c r="U85" s="17">
        <f t="shared" ca="1" si="32"/>
        <v>47668.125714717309</v>
      </c>
      <c r="V85" s="17">
        <f t="shared" ca="1" si="32"/>
        <v>49098.169486158826</v>
      </c>
      <c r="W85" s="17">
        <f t="shared" ca="1" si="32"/>
        <v>50571.114570743594</v>
      </c>
      <c r="X85" s="17">
        <f t="shared" ca="1" si="32"/>
        <v>52088.248007865899</v>
      </c>
      <c r="Y85" s="17">
        <f t="shared" ca="1" si="32"/>
        <v>53650.895448101874</v>
      </c>
      <c r="Z85" s="17">
        <f t="shared" ca="1" si="32"/>
        <v>55260.422311544928</v>
      </c>
      <c r="AA85" s="17">
        <f t="shared" ca="1" si="32"/>
        <v>56918.234980891277</v>
      </c>
      <c r="AB85" s="17">
        <f t="shared" ca="1" si="32"/>
        <v>58625.782030318012</v>
      </c>
      <c r="AC85" s="17">
        <f t="shared" ca="1" si="32"/>
        <v>60384.555491227555</v>
      </c>
      <c r="AD85" s="17">
        <f t="shared" ca="1" si="32"/>
        <v>62196.092155964383</v>
      </c>
      <c r="AE85" s="17">
        <f t="shared" ca="1" si="32"/>
        <v>64061.974920643312</v>
      </c>
      <c r="AF85" s="17">
        <f t="shared" ca="1" si="32"/>
        <v>65983.834168262605</v>
      </c>
      <c r="AG85" s="17">
        <f t="shared" ca="1" si="32"/>
        <v>67963.349193310481</v>
      </c>
      <c r="AH85" s="17">
        <f t="shared" ca="1" si="32"/>
        <v>70002.249669109791</v>
      </c>
      <c r="AI85" s="17">
        <f t="shared" ca="1" si="32"/>
        <v>72102.317159183091</v>
      </c>
      <c r="AJ85" s="17">
        <f t="shared" ca="1" si="32"/>
        <v>74265.386673958579</v>
      </c>
      <c r="AK85" s="17">
        <f t="shared" ca="1" si="32"/>
        <v>76493.348274177333</v>
      </c>
      <c r="AL85" s="17">
        <f t="shared" ca="1" si="32"/>
        <v>78788.14872240265</v>
      </c>
      <c r="AM85" s="17">
        <f t="shared" ca="1" si="32"/>
        <v>81151.793184074733</v>
      </c>
    </row>
    <row r="86" spans="1:39" x14ac:dyDescent="0.2">
      <c r="A86" s="13" t="s">
        <v>25</v>
      </c>
      <c r="C86" s="17">
        <f ca="1">-IF(SUM(C82:D82)&gt;0,C85,0)</f>
        <v>0</v>
      </c>
      <c r="D86" s="17">
        <f ca="1">-IF(E82&gt;0,D85,0)</f>
        <v>0</v>
      </c>
      <c r="E86" s="17">
        <f ca="1">-IF(F82&gt;0,E85,0)</f>
        <v>0</v>
      </c>
      <c r="F86" s="17">
        <f ca="1">-IF(G82&gt;0,F85,0)</f>
        <v>0</v>
      </c>
      <c r="G86" s="17">
        <f t="shared" ref="G86:AM86" ca="1" si="33">-IF(H82&gt;0,G85,0)</f>
        <v>0</v>
      </c>
      <c r="H86" s="17">
        <f t="shared" ca="1" si="33"/>
        <v>0</v>
      </c>
      <c r="I86" s="17">
        <f t="shared" ca="1" si="33"/>
        <v>0</v>
      </c>
      <c r="J86" s="17">
        <f t="shared" ca="1" si="33"/>
        <v>0</v>
      </c>
      <c r="K86" s="17">
        <f t="shared" ca="1" si="33"/>
        <v>0</v>
      </c>
      <c r="L86" s="17">
        <f t="shared" ca="1" si="33"/>
        <v>0</v>
      </c>
      <c r="M86" s="17">
        <f t="shared" ca="1" si="33"/>
        <v>0</v>
      </c>
      <c r="N86" s="17">
        <f t="shared" ca="1" si="33"/>
        <v>0</v>
      </c>
      <c r="O86" s="17">
        <f t="shared" ca="1" si="33"/>
        <v>0</v>
      </c>
      <c r="P86" s="17">
        <f t="shared" ca="1" si="33"/>
        <v>0</v>
      </c>
      <c r="Q86" s="17">
        <f t="shared" ca="1" si="33"/>
        <v>0</v>
      </c>
      <c r="R86" s="17">
        <f t="shared" ca="1" si="33"/>
        <v>0</v>
      </c>
      <c r="S86" s="17">
        <f t="shared" ca="1" si="33"/>
        <v>0</v>
      </c>
      <c r="T86" s="17">
        <f t="shared" ca="1" si="33"/>
        <v>0</v>
      </c>
      <c r="U86" s="17">
        <f t="shared" ca="1" si="33"/>
        <v>0</v>
      </c>
      <c r="V86" s="17">
        <f t="shared" ca="1" si="33"/>
        <v>0</v>
      </c>
      <c r="W86" s="17">
        <f t="shared" ca="1" si="33"/>
        <v>0</v>
      </c>
      <c r="X86" s="17">
        <f t="shared" ca="1" si="33"/>
        <v>0</v>
      </c>
      <c r="Y86" s="17">
        <f t="shared" ca="1" si="33"/>
        <v>0</v>
      </c>
      <c r="Z86" s="17">
        <f t="shared" ca="1" si="33"/>
        <v>0</v>
      </c>
      <c r="AA86" s="17">
        <f t="shared" ca="1" si="33"/>
        <v>0</v>
      </c>
      <c r="AB86" s="17">
        <f t="shared" ca="1" si="33"/>
        <v>0</v>
      </c>
      <c r="AC86" s="17">
        <f t="shared" ca="1" si="33"/>
        <v>0</v>
      </c>
      <c r="AD86" s="17">
        <f t="shared" ca="1" si="33"/>
        <v>0</v>
      </c>
      <c r="AE86" s="17">
        <f t="shared" ca="1" si="33"/>
        <v>0</v>
      </c>
      <c r="AF86" s="17">
        <f t="shared" ca="1" si="33"/>
        <v>0</v>
      </c>
      <c r="AG86" s="17">
        <f t="shared" ca="1" si="33"/>
        <v>0</v>
      </c>
      <c r="AH86" s="17">
        <f t="shared" ca="1" si="33"/>
        <v>0</v>
      </c>
      <c r="AI86" s="17">
        <f t="shared" ca="1" si="33"/>
        <v>0</v>
      </c>
      <c r="AJ86" s="17">
        <f t="shared" ca="1" si="33"/>
        <v>0</v>
      </c>
      <c r="AK86" s="17">
        <f t="shared" ca="1" si="33"/>
        <v>0</v>
      </c>
      <c r="AL86" s="17">
        <f t="shared" ca="1" si="33"/>
        <v>0</v>
      </c>
      <c r="AM86" s="17">
        <f t="shared" si="33"/>
        <v>0</v>
      </c>
    </row>
    <row r="87" spans="1:39" x14ac:dyDescent="0.2">
      <c r="A87" s="13" t="s">
        <v>26</v>
      </c>
      <c r="C87" s="17">
        <v>0</v>
      </c>
      <c r="D87" s="17">
        <f t="shared" ref="D87:G87" ca="1" si="34">SUM(D85:D86)*princ</f>
        <v>865.19999999999993</v>
      </c>
      <c r="E87" s="17">
        <f t="shared" ca="1" si="34"/>
        <v>891.15599999999995</v>
      </c>
      <c r="F87" s="17">
        <f t="shared" ca="1" si="34"/>
        <v>917.89067999999997</v>
      </c>
      <c r="G87" s="17">
        <f t="shared" ca="1" si="34"/>
        <v>945.42740040000001</v>
      </c>
      <c r="H87" s="17">
        <f t="shared" ref="H87:AM87" ca="1" si="35">SUM(H85:H86)*princ</f>
        <v>973.79022241199993</v>
      </c>
      <c r="I87" s="17">
        <f t="shared" ca="1" si="35"/>
        <v>1003.0039290843599</v>
      </c>
      <c r="J87" s="17">
        <f t="shared" ca="1" si="35"/>
        <v>1033.0940469568907</v>
      </c>
      <c r="K87" s="17">
        <f t="shared" ca="1" si="35"/>
        <v>1064.0868683655974</v>
      </c>
      <c r="L87" s="17">
        <f t="shared" ca="1" si="35"/>
        <v>1096.0094744165654</v>
      </c>
      <c r="M87" s="17">
        <f t="shared" ca="1" si="35"/>
        <v>1128.8897586490625</v>
      </c>
      <c r="N87" s="17">
        <f t="shared" ca="1" si="35"/>
        <v>1162.7564514085345</v>
      </c>
      <c r="O87" s="17">
        <f t="shared" ca="1" si="35"/>
        <v>1197.6391449507903</v>
      </c>
      <c r="P87" s="17">
        <f t="shared" ca="1" si="35"/>
        <v>1233.5683192993142</v>
      </c>
      <c r="Q87" s="17">
        <f t="shared" ca="1" si="35"/>
        <v>1270.5753688782936</v>
      </c>
      <c r="R87" s="17">
        <f t="shared" ca="1" si="35"/>
        <v>1308.6926299446425</v>
      </c>
      <c r="S87" s="17">
        <f t="shared" ca="1" si="35"/>
        <v>1347.9534088429818</v>
      </c>
      <c r="T87" s="17">
        <f t="shared" ca="1" si="35"/>
        <v>1388.3920111082712</v>
      </c>
      <c r="U87" s="17">
        <f t="shared" ca="1" si="35"/>
        <v>1430.0437714415193</v>
      </c>
      <c r="V87" s="17">
        <f t="shared" ca="1" si="35"/>
        <v>1472.9450845847648</v>
      </c>
      <c r="W87" s="17">
        <f t="shared" ca="1" si="35"/>
        <v>1517.1334371223077</v>
      </c>
      <c r="X87" s="17">
        <f t="shared" ca="1" si="35"/>
        <v>1562.647440235977</v>
      </c>
      <c r="Y87" s="17">
        <f t="shared" ca="1" si="35"/>
        <v>1609.5268634430561</v>
      </c>
      <c r="Z87" s="17">
        <f t="shared" ca="1" si="35"/>
        <v>1657.8126693463478</v>
      </c>
      <c r="AA87" s="17">
        <f t="shared" ca="1" si="35"/>
        <v>1707.5470494267383</v>
      </c>
      <c r="AB87" s="17">
        <f t="shared" ca="1" si="35"/>
        <v>1758.7734609095403</v>
      </c>
      <c r="AC87" s="17">
        <f t="shared" ca="1" si="35"/>
        <v>1811.5366647368267</v>
      </c>
      <c r="AD87" s="17">
        <f t="shared" ca="1" si="35"/>
        <v>1865.8827646789314</v>
      </c>
      <c r="AE87" s="17">
        <f t="shared" ca="1" si="35"/>
        <v>1921.8592476192994</v>
      </c>
      <c r="AF87" s="17">
        <f t="shared" ca="1" si="35"/>
        <v>1979.515025047878</v>
      </c>
      <c r="AG87" s="17">
        <f t="shared" ca="1" si="35"/>
        <v>2038.9004757993143</v>
      </c>
      <c r="AH87" s="17">
        <f t="shared" ca="1" si="35"/>
        <v>2100.0674900732938</v>
      </c>
      <c r="AI87" s="17">
        <f t="shared" ca="1" si="35"/>
        <v>2163.0695147754927</v>
      </c>
      <c r="AJ87" s="17">
        <f t="shared" ca="1" si="35"/>
        <v>2227.9616002187572</v>
      </c>
      <c r="AK87" s="17">
        <f t="shared" ca="1" si="35"/>
        <v>2294.80044822532</v>
      </c>
      <c r="AL87" s="17">
        <f t="shared" ca="1" si="35"/>
        <v>2363.6444616720796</v>
      </c>
      <c r="AM87" s="17">
        <f t="shared" ca="1" si="35"/>
        <v>2434.5537955222421</v>
      </c>
    </row>
    <row r="88" spans="1:39" x14ac:dyDescent="0.2">
      <c r="A88" s="13" t="s">
        <v>27</v>
      </c>
      <c r="C88" s="17">
        <f ca="1">SUM(C85:C87)</f>
        <v>28840</v>
      </c>
      <c r="D88" s="17">
        <f t="shared" ref="D88" ca="1" si="36">SUM(D85:D87)</f>
        <v>29705.200000000001</v>
      </c>
      <c r="E88" s="17">
        <f t="shared" ref="E88" ca="1" si="37">SUM(E85:E87)</f>
        <v>30596.356</v>
      </c>
      <c r="F88" s="17">
        <f t="shared" ref="F88" ca="1" si="38">SUM(F85:F87)</f>
        <v>31514.24668</v>
      </c>
      <c r="G88" s="17">
        <f t="shared" ref="G88:H88" ca="1" si="39">SUM(G85:G87)</f>
        <v>32459.6740804</v>
      </c>
      <c r="H88" s="17">
        <f t="shared" ca="1" si="39"/>
        <v>33433.464302811997</v>
      </c>
      <c r="I88" s="17">
        <f t="shared" ref="I88:AM88" ca="1" si="40">SUM(I85:I87)</f>
        <v>34436.468231896361</v>
      </c>
      <c r="J88" s="17">
        <f t="shared" ca="1" si="40"/>
        <v>35469.562278853249</v>
      </c>
      <c r="K88" s="17">
        <f t="shared" ca="1" si="40"/>
        <v>36533.64914721885</v>
      </c>
      <c r="L88" s="17">
        <f t="shared" ca="1" si="40"/>
        <v>37629.658621635419</v>
      </c>
      <c r="M88" s="17">
        <f t="shared" ca="1" si="40"/>
        <v>38758.548380284483</v>
      </c>
      <c r="N88" s="17">
        <f t="shared" ca="1" si="40"/>
        <v>39921.304831693014</v>
      </c>
      <c r="O88" s="17">
        <f t="shared" ca="1" si="40"/>
        <v>41118.943976643808</v>
      </c>
      <c r="P88" s="17">
        <f t="shared" ca="1" si="40"/>
        <v>42352.512295943125</v>
      </c>
      <c r="Q88" s="17">
        <f t="shared" ca="1" si="40"/>
        <v>43623.087664821418</v>
      </c>
      <c r="R88" s="17">
        <f t="shared" ca="1" si="40"/>
        <v>44931.78029476606</v>
      </c>
      <c r="S88" s="17">
        <f t="shared" ca="1" si="40"/>
        <v>46279.733703609039</v>
      </c>
      <c r="T88" s="17">
        <f t="shared" ca="1" si="40"/>
        <v>47668.125714717309</v>
      </c>
      <c r="U88" s="17">
        <f t="shared" ca="1" si="40"/>
        <v>49098.169486158826</v>
      </c>
      <c r="V88" s="17">
        <f t="shared" ca="1" si="40"/>
        <v>50571.114570743594</v>
      </c>
      <c r="W88" s="17">
        <f t="shared" ca="1" si="40"/>
        <v>52088.248007865899</v>
      </c>
      <c r="X88" s="17">
        <f t="shared" ca="1" si="40"/>
        <v>53650.895448101874</v>
      </c>
      <c r="Y88" s="17">
        <f t="shared" ca="1" si="40"/>
        <v>55260.422311544928</v>
      </c>
      <c r="Z88" s="17">
        <f t="shared" ca="1" si="40"/>
        <v>56918.234980891277</v>
      </c>
      <c r="AA88" s="17">
        <f t="shared" ca="1" si="40"/>
        <v>58625.782030318012</v>
      </c>
      <c r="AB88" s="17">
        <f t="shared" ca="1" si="40"/>
        <v>60384.555491227555</v>
      </c>
      <c r="AC88" s="17">
        <f t="shared" ca="1" si="40"/>
        <v>62196.092155964383</v>
      </c>
      <c r="AD88" s="17">
        <f t="shared" ca="1" si="40"/>
        <v>64061.974920643312</v>
      </c>
      <c r="AE88" s="17">
        <f t="shared" ca="1" si="40"/>
        <v>65983.834168262605</v>
      </c>
      <c r="AF88" s="17">
        <f t="shared" ca="1" si="40"/>
        <v>67963.349193310481</v>
      </c>
      <c r="AG88" s="17">
        <f t="shared" ca="1" si="40"/>
        <v>70002.249669109791</v>
      </c>
      <c r="AH88" s="17">
        <f t="shared" ca="1" si="40"/>
        <v>72102.317159183091</v>
      </c>
      <c r="AI88" s="17">
        <f t="shared" ca="1" si="40"/>
        <v>74265.386673958579</v>
      </c>
      <c r="AJ88" s="17">
        <f t="shared" ca="1" si="40"/>
        <v>76493.348274177333</v>
      </c>
      <c r="AK88" s="17">
        <f t="shared" ca="1" si="40"/>
        <v>78788.14872240265</v>
      </c>
      <c r="AL88" s="17">
        <f t="shared" ca="1" si="40"/>
        <v>81151.793184074733</v>
      </c>
      <c r="AM88" s="17">
        <f t="shared" ca="1" si="40"/>
        <v>83586.346979596972</v>
      </c>
    </row>
    <row r="89" spans="1:39" x14ac:dyDescent="0.2">
      <c r="A89" s="13" t="s">
        <v>28</v>
      </c>
      <c r="C89" s="17">
        <f ca="1">C86*Inputs!$C$163</f>
        <v>0</v>
      </c>
      <c r="D89" s="17">
        <f ca="1">D86*Inputs!$C$163</f>
        <v>0</v>
      </c>
      <c r="E89" s="17">
        <f ca="1">E86*Inputs!$C$163</f>
        <v>0</v>
      </c>
      <c r="F89" s="17">
        <f ca="1">F86*Inputs!$C$163</f>
        <v>0</v>
      </c>
      <c r="G89" s="17">
        <f ca="1">G86*Inputs!$C$163</f>
        <v>0</v>
      </c>
      <c r="H89" s="17">
        <f ca="1">H86*Inputs!$C$163</f>
        <v>0</v>
      </c>
      <c r="I89" s="17">
        <f ca="1">I86*Inputs!$C$163</f>
        <v>0</v>
      </c>
      <c r="J89" s="17">
        <f ca="1">J86*Inputs!$C$163</f>
        <v>0</v>
      </c>
      <c r="K89" s="17">
        <f ca="1">K86*Inputs!$C$163</f>
        <v>0</v>
      </c>
      <c r="L89" s="17">
        <f ca="1">L86*Inputs!$C$163</f>
        <v>0</v>
      </c>
      <c r="M89" s="17">
        <f ca="1">M86*Inputs!$C$163</f>
        <v>0</v>
      </c>
      <c r="N89" s="17">
        <f ca="1">N86*Inputs!$C$163</f>
        <v>0</v>
      </c>
      <c r="O89" s="17">
        <f ca="1">O86*Inputs!$C$163</f>
        <v>0</v>
      </c>
      <c r="P89" s="17">
        <f ca="1">P86*Inputs!$C$163</f>
        <v>0</v>
      </c>
      <c r="Q89" s="17">
        <f ca="1">Q86*Inputs!$C$163</f>
        <v>0</v>
      </c>
      <c r="R89" s="17">
        <f ca="1">R86*Inputs!$C$163</f>
        <v>0</v>
      </c>
      <c r="S89" s="17">
        <f ca="1">S86*Inputs!$C$163</f>
        <v>0</v>
      </c>
      <c r="T89" s="17">
        <f ca="1">T86*Inputs!$C$163</f>
        <v>0</v>
      </c>
      <c r="U89" s="17">
        <f ca="1">U86*Inputs!$C$163</f>
        <v>0</v>
      </c>
      <c r="V89" s="17">
        <f ca="1">V86*Inputs!$C$163</f>
        <v>0</v>
      </c>
      <c r="W89" s="17">
        <f ca="1">W86*Inputs!$C$163</f>
        <v>0</v>
      </c>
      <c r="X89" s="17">
        <f ca="1">X86*Inputs!$C$163</f>
        <v>0</v>
      </c>
      <c r="Y89" s="17">
        <f ca="1">Y86*Inputs!$C$163</f>
        <v>0</v>
      </c>
      <c r="Z89" s="17">
        <f ca="1">Z86*Inputs!$C$163</f>
        <v>0</v>
      </c>
      <c r="AA89" s="17">
        <f ca="1">AA86*Inputs!$C$163</f>
        <v>0</v>
      </c>
      <c r="AB89" s="17">
        <f ca="1">AB86*Inputs!$C$163</f>
        <v>0</v>
      </c>
      <c r="AC89" s="17">
        <f ca="1">AC86*Inputs!$C$163</f>
        <v>0</v>
      </c>
      <c r="AD89" s="17">
        <f ca="1">AD86*Inputs!$C$163</f>
        <v>0</v>
      </c>
      <c r="AE89" s="17">
        <f ca="1">AE86*Inputs!$C$163</f>
        <v>0</v>
      </c>
      <c r="AF89" s="17">
        <f ca="1">AF86*Inputs!$C$163</f>
        <v>0</v>
      </c>
      <c r="AG89" s="17">
        <f ca="1">AG86*Inputs!$C$163</f>
        <v>0</v>
      </c>
      <c r="AH89" s="17">
        <f ca="1">AH86*Inputs!$C$163</f>
        <v>0</v>
      </c>
      <c r="AI89" s="17">
        <f ca="1">AI86*Inputs!$C$163</f>
        <v>0</v>
      </c>
      <c r="AJ89" s="17">
        <f ca="1">AJ86*Inputs!$C$163</f>
        <v>0</v>
      </c>
      <c r="AK89" s="17">
        <f ca="1">AK86*Inputs!$C$163</f>
        <v>0</v>
      </c>
      <c r="AL89" s="17">
        <f ca="1">AL86*Inputs!$C$163</f>
        <v>0</v>
      </c>
      <c r="AM89" s="17">
        <f>AM86*Inputs!$C$163</f>
        <v>0</v>
      </c>
    </row>
    <row r="90" spans="1:39" x14ac:dyDescent="0.2">
      <c r="A90" s="13" t="s">
        <v>35</v>
      </c>
      <c r="C90" s="17">
        <f>IFERROR(-IF(C85=0,VLOOKUP($A84,$7:$10,C$1+2,FALSE),0),0)</f>
        <v>0</v>
      </c>
      <c r="D90" s="17">
        <f t="shared" ref="D90:G90" ca="1" si="41">IFERROR(-IF(D85=0,VLOOKUP($A84,$7:$10,D$1+2,FALSE),0),0)</f>
        <v>0</v>
      </c>
      <c r="E90" s="17">
        <f t="shared" ca="1" si="41"/>
        <v>0</v>
      </c>
      <c r="F90" s="17">
        <f t="shared" ca="1" si="41"/>
        <v>0</v>
      </c>
      <c r="G90" s="17">
        <f t="shared" ca="1" si="41"/>
        <v>0</v>
      </c>
      <c r="H90" s="17">
        <f t="shared" ref="H90:AM90" ca="1" si="42">IFERROR(-IF(H85=0,VLOOKUP($A84,$7:$10,H$1+2,FALSE),0),0)</f>
        <v>0</v>
      </c>
      <c r="I90" s="17">
        <f t="shared" ca="1" si="42"/>
        <v>0</v>
      </c>
      <c r="J90" s="17">
        <f t="shared" ca="1" si="42"/>
        <v>0</v>
      </c>
      <c r="K90" s="17">
        <f t="shared" ca="1" si="42"/>
        <v>0</v>
      </c>
      <c r="L90" s="17">
        <f t="shared" ca="1" si="42"/>
        <v>0</v>
      </c>
      <c r="M90" s="17">
        <f t="shared" ca="1" si="42"/>
        <v>0</v>
      </c>
      <c r="N90" s="17">
        <f t="shared" ca="1" si="42"/>
        <v>0</v>
      </c>
      <c r="O90" s="17">
        <f t="shared" ca="1" si="42"/>
        <v>0</v>
      </c>
      <c r="P90" s="17">
        <f t="shared" ca="1" si="42"/>
        <v>0</v>
      </c>
      <c r="Q90" s="17">
        <f t="shared" ca="1" si="42"/>
        <v>0</v>
      </c>
      <c r="R90" s="17">
        <f t="shared" ca="1" si="42"/>
        <v>0</v>
      </c>
      <c r="S90" s="17">
        <f t="shared" ca="1" si="42"/>
        <v>0</v>
      </c>
      <c r="T90" s="17">
        <f t="shared" ca="1" si="42"/>
        <v>0</v>
      </c>
      <c r="U90" s="17">
        <f t="shared" ca="1" si="42"/>
        <v>0</v>
      </c>
      <c r="V90" s="17">
        <f t="shared" ca="1" si="42"/>
        <v>0</v>
      </c>
      <c r="W90" s="17">
        <f t="shared" ca="1" si="42"/>
        <v>0</v>
      </c>
      <c r="X90" s="17">
        <f t="shared" ca="1" si="42"/>
        <v>0</v>
      </c>
      <c r="Y90" s="17">
        <f t="shared" ca="1" si="42"/>
        <v>0</v>
      </c>
      <c r="Z90" s="17">
        <f t="shared" ca="1" si="42"/>
        <v>0</v>
      </c>
      <c r="AA90" s="17">
        <f t="shared" ca="1" si="42"/>
        <v>0</v>
      </c>
      <c r="AB90" s="17">
        <f t="shared" ca="1" si="42"/>
        <v>0</v>
      </c>
      <c r="AC90" s="17">
        <f t="shared" ca="1" si="42"/>
        <v>0</v>
      </c>
      <c r="AD90" s="17">
        <f t="shared" ca="1" si="42"/>
        <v>0</v>
      </c>
      <c r="AE90" s="17">
        <f t="shared" ca="1" si="42"/>
        <v>0</v>
      </c>
      <c r="AF90" s="17">
        <f t="shared" ca="1" si="42"/>
        <v>0</v>
      </c>
      <c r="AG90" s="17">
        <f t="shared" ca="1" si="42"/>
        <v>0</v>
      </c>
      <c r="AH90" s="17">
        <f t="shared" ca="1" si="42"/>
        <v>0</v>
      </c>
      <c r="AI90" s="17">
        <f t="shared" ca="1" si="42"/>
        <v>0</v>
      </c>
      <c r="AJ90" s="17">
        <f t="shared" ca="1" si="42"/>
        <v>0</v>
      </c>
      <c r="AK90" s="17">
        <f t="shared" ca="1" si="42"/>
        <v>0</v>
      </c>
      <c r="AL90" s="17">
        <f t="shared" ca="1" si="42"/>
        <v>0</v>
      </c>
      <c r="AM90" s="17">
        <f t="shared" ca="1" si="42"/>
        <v>0</v>
      </c>
    </row>
    <row r="91" spans="1:39" x14ac:dyDescent="0.2">
      <c r="A91" s="13" t="s">
        <v>55</v>
      </c>
      <c r="C91" s="17">
        <f>IFERROR(IF(C85=0,VLOOKUP($A84,$33:$36,C$1+2,FALSE),0),0)</f>
        <v>0</v>
      </c>
      <c r="D91" s="17">
        <f t="shared" ref="D91:G91" ca="1" si="43">IFERROR(IF(D85=0,VLOOKUP($A84,$33:$36,D$1+2,FALSE),0),0)</f>
        <v>0</v>
      </c>
      <c r="E91" s="17">
        <f t="shared" ca="1" si="43"/>
        <v>0</v>
      </c>
      <c r="F91" s="17">
        <f t="shared" ca="1" si="43"/>
        <v>0</v>
      </c>
      <c r="G91" s="17">
        <f t="shared" ca="1" si="43"/>
        <v>0</v>
      </c>
      <c r="H91" s="17">
        <f t="shared" ref="H91:AM91" ca="1" si="44">IFERROR(IF(H85=0,VLOOKUP($A84,$33:$36,H$1+2,FALSE),0),0)</f>
        <v>0</v>
      </c>
      <c r="I91" s="17">
        <f t="shared" ca="1" si="44"/>
        <v>0</v>
      </c>
      <c r="J91" s="17">
        <f t="shared" ca="1" si="44"/>
        <v>0</v>
      </c>
      <c r="K91" s="17">
        <f t="shared" ca="1" si="44"/>
        <v>0</v>
      </c>
      <c r="L91" s="17">
        <f t="shared" ca="1" si="44"/>
        <v>0</v>
      </c>
      <c r="M91" s="17">
        <f t="shared" ca="1" si="44"/>
        <v>0</v>
      </c>
      <c r="N91" s="17">
        <f t="shared" ca="1" si="44"/>
        <v>0</v>
      </c>
      <c r="O91" s="17">
        <f t="shared" ca="1" si="44"/>
        <v>0</v>
      </c>
      <c r="P91" s="17">
        <f t="shared" ca="1" si="44"/>
        <v>0</v>
      </c>
      <c r="Q91" s="17">
        <f t="shared" ca="1" si="44"/>
        <v>0</v>
      </c>
      <c r="R91" s="17">
        <f t="shared" ca="1" si="44"/>
        <v>0</v>
      </c>
      <c r="S91" s="17">
        <f t="shared" ca="1" si="44"/>
        <v>0</v>
      </c>
      <c r="T91" s="17">
        <f t="shared" ca="1" si="44"/>
        <v>0</v>
      </c>
      <c r="U91" s="17">
        <f t="shared" ca="1" si="44"/>
        <v>0</v>
      </c>
      <c r="V91" s="17">
        <f t="shared" ca="1" si="44"/>
        <v>0</v>
      </c>
      <c r="W91" s="17">
        <f t="shared" ca="1" si="44"/>
        <v>0</v>
      </c>
      <c r="X91" s="17">
        <f t="shared" ca="1" si="44"/>
        <v>0</v>
      </c>
      <c r="Y91" s="17">
        <f t="shared" ca="1" si="44"/>
        <v>0</v>
      </c>
      <c r="Z91" s="17">
        <f t="shared" ca="1" si="44"/>
        <v>0</v>
      </c>
      <c r="AA91" s="17">
        <f t="shared" ca="1" si="44"/>
        <v>0</v>
      </c>
      <c r="AB91" s="17">
        <f t="shared" ca="1" si="44"/>
        <v>0</v>
      </c>
      <c r="AC91" s="17">
        <f t="shared" ca="1" si="44"/>
        <v>0</v>
      </c>
      <c r="AD91" s="17">
        <f t="shared" ca="1" si="44"/>
        <v>0</v>
      </c>
      <c r="AE91" s="17">
        <f t="shared" ca="1" si="44"/>
        <v>0</v>
      </c>
      <c r="AF91" s="17">
        <f t="shared" ca="1" si="44"/>
        <v>0</v>
      </c>
      <c r="AG91" s="17">
        <f t="shared" ca="1" si="44"/>
        <v>0</v>
      </c>
      <c r="AH91" s="17">
        <f t="shared" ca="1" si="44"/>
        <v>0</v>
      </c>
      <c r="AI91" s="17">
        <f t="shared" ca="1" si="44"/>
        <v>0</v>
      </c>
      <c r="AJ91" s="17">
        <f t="shared" ca="1" si="44"/>
        <v>0</v>
      </c>
      <c r="AK91" s="17">
        <f t="shared" ca="1" si="44"/>
        <v>0</v>
      </c>
      <c r="AL91" s="17">
        <f t="shared" ca="1" si="44"/>
        <v>0</v>
      </c>
      <c r="AM91" s="17">
        <f t="shared" ca="1" si="44"/>
        <v>0</v>
      </c>
    </row>
    <row r="92" spans="1:39" x14ac:dyDescent="0.2">
      <c r="A92" s="13" t="s">
        <v>41</v>
      </c>
      <c r="B92" s="27" t="str">
        <f>A84</f>
        <v>Hamrun</v>
      </c>
      <c r="C92" s="17">
        <f ca="1">IF(AND(C85&gt;0,C88=0),VLOOKUP($A84,$61:$64,C$1+2,FALSE),0)</f>
        <v>0</v>
      </c>
      <c r="D92" s="17">
        <f t="shared" ref="D92:G92" ca="1" si="45">IF(AND(D85&gt;0,D88=0),VLOOKUP($A84,$61:$64,D$1+2,FALSE),0)</f>
        <v>0</v>
      </c>
      <c r="E92" s="17">
        <f t="shared" ca="1" si="45"/>
        <v>0</v>
      </c>
      <c r="F92" s="17">
        <f t="shared" ca="1" si="45"/>
        <v>0</v>
      </c>
      <c r="G92" s="17">
        <f t="shared" ca="1" si="45"/>
        <v>0</v>
      </c>
      <c r="H92" s="17">
        <f t="shared" ref="H92:AM92" ca="1" si="46">IF(AND(H85&gt;0,H88=0),VLOOKUP($A84,$61:$64,H$1+2,FALSE),0)</f>
        <v>0</v>
      </c>
      <c r="I92" s="17">
        <f t="shared" ca="1" si="46"/>
        <v>0</v>
      </c>
      <c r="J92" s="17">
        <f t="shared" ca="1" si="46"/>
        <v>0</v>
      </c>
      <c r="K92" s="17">
        <f t="shared" ca="1" si="46"/>
        <v>0</v>
      </c>
      <c r="L92" s="17">
        <f t="shared" ca="1" si="46"/>
        <v>0</v>
      </c>
      <c r="M92" s="17">
        <f t="shared" ca="1" si="46"/>
        <v>0</v>
      </c>
      <c r="N92" s="17">
        <f t="shared" ca="1" si="46"/>
        <v>0</v>
      </c>
      <c r="O92" s="17">
        <f t="shared" ca="1" si="46"/>
        <v>0</v>
      </c>
      <c r="P92" s="17">
        <f t="shared" ca="1" si="46"/>
        <v>0</v>
      </c>
      <c r="Q92" s="17">
        <f t="shared" ca="1" si="46"/>
        <v>0</v>
      </c>
      <c r="R92" s="17">
        <f t="shared" ca="1" si="46"/>
        <v>0</v>
      </c>
      <c r="S92" s="17">
        <f t="shared" ca="1" si="46"/>
        <v>0</v>
      </c>
      <c r="T92" s="17">
        <f t="shared" ca="1" si="46"/>
        <v>0</v>
      </c>
      <c r="U92" s="17">
        <f t="shared" ca="1" si="46"/>
        <v>0</v>
      </c>
      <c r="V92" s="17">
        <f t="shared" ca="1" si="46"/>
        <v>0</v>
      </c>
      <c r="W92" s="17">
        <f t="shared" ca="1" si="46"/>
        <v>0</v>
      </c>
      <c r="X92" s="17">
        <f t="shared" ca="1" si="46"/>
        <v>0</v>
      </c>
      <c r="Y92" s="17">
        <f t="shared" ca="1" si="46"/>
        <v>0</v>
      </c>
      <c r="Z92" s="17">
        <f t="shared" ca="1" si="46"/>
        <v>0</v>
      </c>
      <c r="AA92" s="17">
        <f t="shared" ca="1" si="46"/>
        <v>0</v>
      </c>
      <c r="AB92" s="17">
        <f t="shared" ca="1" si="46"/>
        <v>0</v>
      </c>
      <c r="AC92" s="17">
        <f t="shared" ca="1" si="46"/>
        <v>0</v>
      </c>
      <c r="AD92" s="17">
        <f t="shared" ca="1" si="46"/>
        <v>0</v>
      </c>
      <c r="AE92" s="17">
        <f t="shared" ca="1" si="46"/>
        <v>0</v>
      </c>
      <c r="AF92" s="17">
        <f t="shared" ca="1" si="46"/>
        <v>0</v>
      </c>
      <c r="AG92" s="17">
        <f t="shared" ca="1" si="46"/>
        <v>0</v>
      </c>
      <c r="AH92" s="17">
        <f t="shared" ca="1" si="46"/>
        <v>0</v>
      </c>
      <c r="AI92" s="17">
        <f t="shared" ca="1" si="46"/>
        <v>0</v>
      </c>
      <c r="AJ92" s="17">
        <f t="shared" ca="1" si="46"/>
        <v>0</v>
      </c>
      <c r="AK92" s="17">
        <f t="shared" ca="1" si="46"/>
        <v>0</v>
      </c>
      <c r="AL92" s="17">
        <f t="shared" ca="1" si="46"/>
        <v>0</v>
      </c>
      <c r="AM92" s="17">
        <f t="shared" ca="1" si="46"/>
        <v>0</v>
      </c>
    </row>
    <row r="93" spans="1:39" x14ac:dyDescent="0.2">
      <c r="A93" s="13" t="s">
        <v>42</v>
      </c>
      <c r="C93" s="17">
        <f ca="1">-C86+SUM(C89:C92)</f>
        <v>0</v>
      </c>
      <c r="D93" s="17">
        <f t="shared" ref="D93" ca="1" si="47">-D86+SUM(D89:D92)</f>
        <v>0</v>
      </c>
      <c r="E93" s="17">
        <f t="shared" ref="E93" ca="1" si="48">-E86+SUM(E89:E92)</f>
        <v>0</v>
      </c>
      <c r="F93" s="17">
        <f t="shared" ref="F93" ca="1" si="49">-F86+SUM(F89:F92)</f>
        <v>0</v>
      </c>
      <c r="G93" s="17">
        <f t="shared" ref="G93:H93" ca="1" si="50">-G86+SUM(G89:G92)</f>
        <v>0</v>
      </c>
      <c r="H93" s="17">
        <f t="shared" ca="1" si="50"/>
        <v>0</v>
      </c>
      <c r="I93" s="17">
        <f t="shared" ref="I93:AM93" ca="1" si="51">-I86+SUM(I89:I92)</f>
        <v>0</v>
      </c>
      <c r="J93" s="17">
        <f t="shared" ca="1" si="51"/>
        <v>0</v>
      </c>
      <c r="K93" s="17">
        <f t="shared" ca="1" si="51"/>
        <v>0</v>
      </c>
      <c r="L93" s="17">
        <f t="shared" ca="1" si="51"/>
        <v>0</v>
      </c>
      <c r="M93" s="17">
        <f t="shared" ca="1" si="51"/>
        <v>0</v>
      </c>
      <c r="N93" s="17">
        <f t="shared" ca="1" si="51"/>
        <v>0</v>
      </c>
      <c r="O93" s="17">
        <f t="shared" ca="1" si="51"/>
        <v>0</v>
      </c>
      <c r="P93" s="17">
        <f t="shared" ca="1" si="51"/>
        <v>0</v>
      </c>
      <c r="Q93" s="17">
        <f t="shared" ca="1" si="51"/>
        <v>0</v>
      </c>
      <c r="R93" s="17">
        <f t="shared" ca="1" si="51"/>
        <v>0</v>
      </c>
      <c r="S93" s="17">
        <f t="shared" ca="1" si="51"/>
        <v>0</v>
      </c>
      <c r="T93" s="17">
        <f t="shared" ca="1" si="51"/>
        <v>0</v>
      </c>
      <c r="U93" s="17">
        <f t="shared" ca="1" si="51"/>
        <v>0</v>
      </c>
      <c r="V93" s="17">
        <f t="shared" ca="1" si="51"/>
        <v>0</v>
      </c>
      <c r="W93" s="17">
        <f t="shared" ca="1" si="51"/>
        <v>0</v>
      </c>
      <c r="X93" s="17">
        <f t="shared" ca="1" si="51"/>
        <v>0</v>
      </c>
      <c r="Y93" s="17">
        <f t="shared" ca="1" si="51"/>
        <v>0</v>
      </c>
      <c r="Z93" s="17">
        <f t="shared" ca="1" si="51"/>
        <v>0</v>
      </c>
      <c r="AA93" s="17">
        <f t="shared" ca="1" si="51"/>
        <v>0</v>
      </c>
      <c r="AB93" s="17">
        <f t="shared" ca="1" si="51"/>
        <v>0</v>
      </c>
      <c r="AC93" s="17">
        <f t="shared" ca="1" si="51"/>
        <v>0</v>
      </c>
      <c r="AD93" s="17">
        <f t="shared" ca="1" si="51"/>
        <v>0</v>
      </c>
      <c r="AE93" s="17">
        <f t="shared" ca="1" si="51"/>
        <v>0</v>
      </c>
      <c r="AF93" s="17">
        <f t="shared" ca="1" si="51"/>
        <v>0</v>
      </c>
      <c r="AG93" s="17">
        <f t="shared" ca="1" si="51"/>
        <v>0</v>
      </c>
      <c r="AH93" s="17">
        <f t="shared" ca="1" si="51"/>
        <v>0</v>
      </c>
      <c r="AI93" s="17">
        <f t="shared" ca="1" si="51"/>
        <v>0</v>
      </c>
      <c r="AJ93" s="17">
        <f t="shared" ca="1" si="51"/>
        <v>0</v>
      </c>
      <c r="AK93" s="17">
        <f t="shared" ca="1" si="51"/>
        <v>0</v>
      </c>
      <c r="AL93" s="17">
        <f t="shared" ca="1" si="51"/>
        <v>0</v>
      </c>
      <c r="AM93" s="17">
        <f t="shared" ca="1" si="51"/>
        <v>0</v>
      </c>
    </row>
    <row r="94" spans="1:39" x14ac:dyDescent="0.2">
      <c r="A94" s="1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</row>
    <row r="95" spans="1:39" x14ac:dyDescent="0.2">
      <c r="A95" s="13" t="s">
        <v>56</v>
      </c>
      <c r="C95" s="17">
        <f ca="1">C81+SUM($C93:C93)</f>
        <v>714578.8</v>
      </c>
      <c r="D95" s="17">
        <f ca="1">D81+SUM($C93:D93)</f>
        <v>824098.44559532881</v>
      </c>
      <c r="E95" s="17">
        <f ca="1">E81+SUM($C93:E93)</f>
        <v>995440.1709443531</v>
      </c>
      <c r="F95" s="17">
        <f ca="1">F81+SUM($C93:F93)</f>
        <v>1190110.0184140191</v>
      </c>
      <c r="G95" s="17">
        <f ca="1">G81+SUM($C93:G93)</f>
        <v>1354181.3950869064</v>
      </c>
      <c r="H95" s="17">
        <f ca="1">H81+SUM($C93:H93)</f>
        <v>1567917.714493009</v>
      </c>
      <c r="I95" s="17">
        <f ca="1">I81+SUM($C93:I93)</f>
        <v>1828871.6343659752</v>
      </c>
      <c r="J95" s="17">
        <f ca="1">J81+SUM($C93:J93)</f>
        <v>2073997.9163702845</v>
      </c>
      <c r="K95" s="17">
        <f ca="1">K81+SUM($C93:K93)</f>
        <v>2301632.8826445597</v>
      </c>
      <c r="L95" s="17">
        <f ca="1">L81+SUM($C93:L93)</f>
        <v>2573245.7366445996</v>
      </c>
      <c r="M95" s="17">
        <f ca="1">M81+SUM($C93:M93)</f>
        <v>2859326.8920514602</v>
      </c>
      <c r="N95" s="17">
        <f ca="1">N81+SUM($C93:N93)</f>
        <v>3168702.5795119987</v>
      </c>
      <c r="O95" s="17">
        <f ca="1">O81+SUM($C93:O93)</f>
        <v>3502780.7015976864</v>
      </c>
      <c r="P95" s="17">
        <f ca="1">P81+SUM($C93:P93)</f>
        <v>3853294.3799924105</v>
      </c>
      <c r="Q95" s="17">
        <f ca="1">Q81+SUM($C93:Q93)</f>
        <v>4220907.9563648272</v>
      </c>
      <c r="R95" s="17">
        <f ca="1">R81+SUM($C93:R93)</f>
        <v>4606310.2581247194</v>
      </c>
      <c r="S95" s="17">
        <f ca="1">S81+SUM($C93:S93)</f>
        <v>4707808.3289191956</v>
      </c>
      <c r="T95" s="17">
        <f ca="1">T81+SUM($C93:T93)</f>
        <v>4821048.3966188617</v>
      </c>
      <c r="U95" s="17">
        <f ca="1">U81+SUM($C93:U93)</f>
        <v>4937319.3600282837</v>
      </c>
      <c r="V95" s="17">
        <f ca="1">V81+SUM($C93:V93)</f>
        <v>5056711.3270665482</v>
      </c>
      <c r="W95" s="17">
        <f ca="1">W81+SUM($C93:W93)</f>
        <v>5179317.296884154</v>
      </c>
      <c r="X95" s="17">
        <f ca="1">X81+SUM($C93:X93)</f>
        <v>5305233.2565114927</v>
      </c>
      <c r="Y95" s="17">
        <f ca="1">Y81+SUM($C93:Y93)</f>
        <v>5434558.280784863</v>
      </c>
      <c r="Z95" s="17">
        <f ca="1">Z81+SUM($C93:Z93)</f>
        <v>5567394.6356610563</v>
      </c>
      <c r="AA95" s="17">
        <f ca="1">AA81+SUM($C93:AA93)</f>
        <v>5703847.8850352764</v>
      </c>
      <c r="AB95" s="17">
        <f ca="1">AB81+SUM($C93:AB93)</f>
        <v>5844027.0011810185</v>
      </c>
      <c r="AC95" s="17">
        <f ca="1">AC81+SUM($C93:AC93)</f>
        <v>5988044.4789345022</v>
      </c>
      <c r="AD95" s="17">
        <f ca="1">AD81+SUM($C93:AD93)</f>
        <v>6147849.338861553</v>
      </c>
      <c r="AE95" s="17">
        <f ca="1">AE81+SUM($C93:AE93)</f>
        <v>6312320.238237597</v>
      </c>
      <c r="AF95" s="17">
        <f ca="1">AF81+SUM($C93:AF93)</f>
        <v>6481603.1507251877</v>
      </c>
      <c r="AG95" s="17">
        <f ca="1">AG81+SUM($C93:AG93)</f>
        <v>6655848.8088871781</v>
      </c>
      <c r="AH95" s="17">
        <f ca="1">AH81+SUM($C93:AH93)</f>
        <v>6835212.8621929521</v>
      </c>
      <c r="AI95" s="17">
        <f ca="1">AI81+SUM($C93:AI93)</f>
        <v>7019856.0402894933</v>
      </c>
      <c r="AJ95" s="17">
        <f ca="1">AJ81+SUM($C93:AJ93)</f>
        <v>7209944.3217119556</v>
      </c>
      <c r="AK95" s="17">
        <f ca="1">AK81+SUM($C93:AK93)</f>
        <v>7405649.1082141232</v>
      </c>
      <c r="AL95" s="17">
        <f ca="1">AL81+SUM($C93:AL93)</f>
        <v>7607147.4049051059</v>
      </c>
      <c r="AM95" s="17">
        <f ca="1">AM81+SUM($C93:AM93)</f>
        <v>7814622.0063847229</v>
      </c>
    </row>
    <row r="96" spans="1:39" x14ac:dyDescent="0.2">
      <c r="A96" s="13" t="s">
        <v>22</v>
      </c>
      <c r="C96" s="17">
        <f ca="1">IF(C95&lt;0,C95,0)</f>
        <v>0</v>
      </c>
      <c r="D96" s="17">
        <f ca="1">IF(D95+SUM($C96:C96)&lt;0,-(D95+SUM($C96:C96)),0)</f>
        <v>0</v>
      </c>
      <c r="E96" s="17">
        <f ca="1">IF(E95+SUM($C96:D96)&lt;0,-(E95+SUM($C96:D96)),0)</f>
        <v>0</v>
      </c>
      <c r="F96" s="17">
        <f ca="1">IF(F95+SUM($C96:E96)&lt;0,-(F95+SUM($C96:E96)),0)</f>
        <v>0</v>
      </c>
      <c r="G96" s="17">
        <f ca="1">IF(G95+SUM($C96:F96)&lt;0,-(G95+SUM($C96:F96)),0)</f>
        <v>0</v>
      </c>
      <c r="H96" s="17">
        <f ca="1">IF(H95+SUM($C96:G96)&lt;0,-(H95+SUM($C96:G96)),0)</f>
        <v>0</v>
      </c>
      <c r="I96" s="17">
        <f ca="1">IF(I95+SUM($C96:H96)&lt;0,-(I95+SUM($C96:H96)),0)</f>
        <v>0</v>
      </c>
      <c r="J96" s="17">
        <f ca="1">IF(J95+SUM($C96:I96)&lt;0,-(J95+SUM($C96:I96)),0)</f>
        <v>0</v>
      </c>
      <c r="K96" s="17">
        <f ca="1">IF(K95+SUM($C96:J96)&lt;0,-(K95+SUM($C96:J96)),0)</f>
        <v>0</v>
      </c>
      <c r="L96" s="17">
        <f ca="1">IF(L95+SUM($C96:K96)&lt;0,-(L95+SUM($C96:K96)),0)</f>
        <v>0</v>
      </c>
      <c r="M96" s="17">
        <f ca="1">IF(M95+SUM($C96:L96)&lt;0,-(M95+SUM($C96:L96)),0)</f>
        <v>0</v>
      </c>
      <c r="N96" s="17">
        <f ca="1">IF(N95+SUM($C96:M96)&lt;0,-(N95+SUM($C96:M96)),0)</f>
        <v>0</v>
      </c>
      <c r="O96" s="17">
        <f ca="1">IF(O95+SUM($C96:N96)&lt;0,-(O95+SUM($C96:N96)),0)</f>
        <v>0</v>
      </c>
      <c r="P96" s="17">
        <f ca="1">IF(P95+SUM($C96:O96)&lt;0,-(P95+SUM($C96:O96)),0)</f>
        <v>0</v>
      </c>
      <c r="Q96" s="17">
        <f ca="1">IF(Q95+SUM($C96:P96)&lt;0,-(Q95+SUM($C96:P96)),0)</f>
        <v>0</v>
      </c>
      <c r="R96" s="17">
        <f ca="1">IF(R95+SUM($C96:Q96)&lt;0,-(R95+SUM($C96:Q96)),0)</f>
        <v>0</v>
      </c>
      <c r="S96" s="17">
        <f ca="1">IF(S95+SUM($C96:R96)&lt;0,-(S95+SUM($C96:R96)),0)</f>
        <v>0</v>
      </c>
      <c r="T96" s="17">
        <f ca="1">IF(T95+SUM($C96:S96)&lt;0,-(T95+SUM($C96:S96)),0)</f>
        <v>0</v>
      </c>
      <c r="U96" s="17">
        <f ca="1">IF(U95+SUM($C96:T96)&lt;0,-(U95+SUM($C96:T96)),0)</f>
        <v>0</v>
      </c>
      <c r="V96" s="17">
        <f ca="1">IF(V95+SUM($C96:U96)&lt;0,-(V95+SUM($C96:U96)),0)</f>
        <v>0</v>
      </c>
      <c r="W96" s="17">
        <f ca="1">IF(W95+SUM($C96:V96)&lt;0,-(W95+SUM($C96:V96)),0)</f>
        <v>0</v>
      </c>
      <c r="X96" s="17">
        <f ca="1">IF(X95+SUM($C96:W96)&lt;0,-(X95+SUM($C96:W96)),0)</f>
        <v>0</v>
      </c>
      <c r="Y96" s="17">
        <f ca="1">IF(Y95+SUM($C96:X96)&lt;0,-(Y95+SUM($C96:X96)),0)</f>
        <v>0</v>
      </c>
      <c r="Z96" s="17">
        <f ca="1">IF(Z95+SUM($C96:Y96)&lt;0,-(Z95+SUM($C96:Y96)),0)</f>
        <v>0</v>
      </c>
      <c r="AA96" s="17">
        <f ca="1">IF(AA95+SUM($C96:Z96)&lt;0,-(AA95+SUM($C96:Z96)),0)</f>
        <v>0</v>
      </c>
      <c r="AB96" s="17">
        <f ca="1">IF(AB95+SUM($C96:AA96)&lt;0,-(AB95+SUM($C96:AA96)),0)</f>
        <v>0</v>
      </c>
      <c r="AC96" s="17">
        <f ca="1">IF(AC95+SUM($C96:AB96)&lt;0,-(AC95+SUM($C96:AB96)),0)</f>
        <v>0</v>
      </c>
      <c r="AD96" s="17">
        <f ca="1">IF(AD95+SUM($C96:AC96)&lt;0,-(AD95+SUM($C96:AC96)),0)</f>
        <v>0</v>
      </c>
      <c r="AE96" s="17">
        <f ca="1">IF(AE95+SUM($C96:AD96)&lt;0,-(AE95+SUM($C96:AD96)),0)</f>
        <v>0</v>
      </c>
      <c r="AF96" s="17">
        <f ca="1">IF(AF95+SUM($C96:AE96)&lt;0,-(AF95+SUM($C96:AE96)),0)</f>
        <v>0</v>
      </c>
      <c r="AG96" s="17">
        <f ca="1">IF(AG95+SUM($C96:AF96)&lt;0,-(AG95+SUM($C96:AF96)),0)</f>
        <v>0</v>
      </c>
      <c r="AH96" s="17">
        <f ca="1">IF(AH95+SUM($C96:AG96)&lt;0,-(AH95+SUM($C96:AG96)),0)</f>
        <v>0</v>
      </c>
      <c r="AI96" s="17">
        <f ca="1">IF(AI95+SUM($C96:AH96)&lt;0,-(AI95+SUM($C96:AH96)),0)</f>
        <v>0</v>
      </c>
      <c r="AJ96" s="17">
        <f ca="1">IF(AJ95+SUM($C96:AI96)&lt;0,-(AJ95+SUM($C96:AI96)),0)</f>
        <v>0</v>
      </c>
      <c r="AK96" s="17">
        <f ca="1">IF(AK95+SUM($C96:AJ96)&lt;0,-(AK95+SUM($C96:AJ96)),0)</f>
        <v>0</v>
      </c>
      <c r="AL96" s="17">
        <f ca="1">IF(AL95+SUM($C96:AK96)&lt;0,-(AL95+SUM($C96:AK96)),0)</f>
        <v>0</v>
      </c>
      <c r="AM96" s="17">
        <f ca="1">IF(AM95+SUM($C96:AL96)&lt;0,-(AM95+SUM($C96:AL96)),0)</f>
        <v>0</v>
      </c>
    </row>
    <row r="97" spans="1:39" x14ac:dyDescent="0.2"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</row>
    <row r="98" spans="1:39" x14ac:dyDescent="0.2">
      <c r="A98" s="41" t="str">
        <f>IF(Inputs!$C$165=6,IFERROR(_xlfn.XLOOKUP($B98,Inputs!$C$166:$C$168,Inputs!$B$166:$B$168,,0,1),""),IFERROR(_xlfn.XLOOKUP($B98,Inputs!$O$166:$O$168,Inputs!$B$166:$B$168,,0,1),""))</f>
        <v>Sliema</v>
      </c>
      <c r="B98" s="43">
        <v>2</v>
      </c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</row>
    <row r="99" spans="1:39" x14ac:dyDescent="0.2">
      <c r="A99" s="13" t="s">
        <v>24</v>
      </c>
      <c r="C99" s="17">
        <f>IFERROR(VLOOKUP($A98,$A$52:$H$66,C$1+2,FALSE),0)</f>
        <v>206000</v>
      </c>
      <c r="D99" s="17">
        <f ca="1">C102</f>
        <v>206000</v>
      </c>
      <c r="E99" s="17">
        <f t="shared" ref="E99" ca="1" si="52">D102</f>
        <v>212180</v>
      </c>
      <c r="F99" s="17">
        <f t="shared" ref="F99" ca="1" si="53">E102</f>
        <v>218545.4</v>
      </c>
      <c r="G99" s="17">
        <f t="shared" ref="G99:AM99" ca="1" si="54">F102</f>
        <v>225101.76199999999</v>
      </c>
      <c r="H99" s="17">
        <f t="shared" ca="1" si="54"/>
        <v>231854.81485999998</v>
      </c>
      <c r="I99" s="17">
        <f t="shared" ca="1" si="54"/>
        <v>238810.45930579997</v>
      </c>
      <c r="J99" s="17">
        <f t="shared" ca="1" si="54"/>
        <v>245974.77308497397</v>
      </c>
      <c r="K99" s="17">
        <f t="shared" ca="1" si="54"/>
        <v>253354.01627752319</v>
      </c>
      <c r="L99" s="17">
        <f t="shared" ca="1" si="54"/>
        <v>260954.63676584887</v>
      </c>
      <c r="M99" s="17">
        <f t="shared" ca="1" si="54"/>
        <v>268783.27586882433</v>
      </c>
      <c r="N99" s="17">
        <f t="shared" ca="1" si="54"/>
        <v>276846.77414488909</v>
      </c>
      <c r="O99" s="17">
        <f t="shared" ca="1" si="54"/>
        <v>285152.17736923578</v>
      </c>
      <c r="P99" s="17">
        <f t="shared" ca="1" si="54"/>
        <v>293706.74269031285</v>
      </c>
      <c r="Q99" s="17">
        <f t="shared" ca="1" si="54"/>
        <v>302517.94497102225</v>
      </c>
      <c r="R99" s="17">
        <f t="shared" ca="1" si="54"/>
        <v>311593.48332015291</v>
      </c>
      <c r="S99" s="17">
        <f t="shared" ca="1" si="54"/>
        <v>320941.28781975748</v>
      </c>
      <c r="T99" s="17">
        <f t="shared" ca="1" si="54"/>
        <v>330569.52645435021</v>
      </c>
      <c r="U99" s="17">
        <f t="shared" ca="1" si="54"/>
        <v>340486.61224798072</v>
      </c>
      <c r="V99" s="17">
        <f t="shared" ca="1" si="54"/>
        <v>350701.21061542013</v>
      </c>
      <c r="W99" s="17">
        <f t="shared" ca="1" si="54"/>
        <v>361222.24693388271</v>
      </c>
      <c r="X99" s="17">
        <f t="shared" ca="1" si="54"/>
        <v>372058.91434189922</v>
      </c>
      <c r="Y99" s="17">
        <f t="shared" ca="1" si="54"/>
        <v>383220.68177215621</v>
      </c>
      <c r="Z99" s="17">
        <f t="shared" ca="1" si="54"/>
        <v>394717.30222532089</v>
      </c>
      <c r="AA99" s="17">
        <f t="shared" ca="1" si="54"/>
        <v>406558.82129208051</v>
      </c>
      <c r="AB99" s="17">
        <f t="shared" ca="1" si="54"/>
        <v>418755.58593084291</v>
      </c>
      <c r="AC99" s="17">
        <f t="shared" ca="1" si="54"/>
        <v>431318.25350876822</v>
      </c>
      <c r="AD99" s="17">
        <f t="shared" ca="1" si="54"/>
        <v>444257.80111403129</v>
      </c>
      <c r="AE99" s="17">
        <f t="shared" ca="1" si="54"/>
        <v>457585.5351474522</v>
      </c>
      <c r="AF99" s="17">
        <f t="shared" ca="1" si="54"/>
        <v>471313.10120187578</v>
      </c>
      <c r="AG99" s="17">
        <f t="shared" ca="1" si="54"/>
        <v>485452.49423793203</v>
      </c>
      <c r="AH99" s="17">
        <f t="shared" ca="1" si="54"/>
        <v>500016.06906507001</v>
      </c>
      <c r="AI99" s="17">
        <f t="shared" ca="1" si="54"/>
        <v>515016.55113702209</v>
      </c>
      <c r="AJ99" s="17">
        <f t="shared" ca="1" si="54"/>
        <v>530467.04767113272</v>
      </c>
      <c r="AK99" s="17">
        <f t="shared" ca="1" si="54"/>
        <v>546381.05910126667</v>
      </c>
      <c r="AL99" s="17">
        <f t="shared" ca="1" si="54"/>
        <v>562772.49087430467</v>
      </c>
      <c r="AM99" s="17">
        <f t="shared" ca="1" si="54"/>
        <v>579655.66560053383</v>
      </c>
    </row>
    <row r="100" spans="1:39" x14ac:dyDescent="0.2">
      <c r="A100" s="13" t="s">
        <v>25</v>
      </c>
      <c r="C100" s="17">
        <f ca="1">-IF(SUM(C96:D96)&gt;0,C99,0)</f>
        <v>0</v>
      </c>
      <c r="D100" s="17">
        <f ca="1">-IF(E96&gt;0,D99,0)</f>
        <v>0</v>
      </c>
      <c r="E100" s="17">
        <f ca="1">-IF(F96&gt;0,E99,0)</f>
        <v>0</v>
      </c>
      <c r="F100" s="17">
        <f ca="1">-IF(G96&gt;0,F99,0)</f>
        <v>0</v>
      </c>
      <c r="G100" s="17">
        <f t="shared" ref="G100:AM100" ca="1" si="55">-IF(H96&gt;0,G99,0)</f>
        <v>0</v>
      </c>
      <c r="H100" s="17">
        <f t="shared" ca="1" si="55"/>
        <v>0</v>
      </c>
      <c r="I100" s="17">
        <f t="shared" ca="1" si="55"/>
        <v>0</v>
      </c>
      <c r="J100" s="17">
        <f t="shared" ca="1" si="55"/>
        <v>0</v>
      </c>
      <c r="K100" s="17">
        <f t="shared" ca="1" si="55"/>
        <v>0</v>
      </c>
      <c r="L100" s="17">
        <f t="shared" ca="1" si="55"/>
        <v>0</v>
      </c>
      <c r="M100" s="17">
        <f t="shared" ca="1" si="55"/>
        <v>0</v>
      </c>
      <c r="N100" s="17">
        <f t="shared" ca="1" si="55"/>
        <v>0</v>
      </c>
      <c r="O100" s="17">
        <f t="shared" ca="1" si="55"/>
        <v>0</v>
      </c>
      <c r="P100" s="17">
        <f t="shared" ca="1" si="55"/>
        <v>0</v>
      </c>
      <c r="Q100" s="17">
        <f t="shared" ca="1" si="55"/>
        <v>0</v>
      </c>
      <c r="R100" s="17">
        <f t="shared" ca="1" si="55"/>
        <v>0</v>
      </c>
      <c r="S100" s="17">
        <f t="shared" ca="1" si="55"/>
        <v>0</v>
      </c>
      <c r="T100" s="17">
        <f t="shared" ca="1" si="55"/>
        <v>0</v>
      </c>
      <c r="U100" s="17">
        <f t="shared" ca="1" si="55"/>
        <v>0</v>
      </c>
      <c r="V100" s="17">
        <f t="shared" ca="1" si="55"/>
        <v>0</v>
      </c>
      <c r="W100" s="17">
        <f t="shared" ca="1" si="55"/>
        <v>0</v>
      </c>
      <c r="X100" s="17">
        <f t="shared" ca="1" si="55"/>
        <v>0</v>
      </c>
      <c r="Y100" s="17">
        <f t="shared" ca="1" si="55"/>
        <v>0</v>
      </c>
      <c r="Z100" s="17">
        <f t="shared" ca="1" si="55"/>
        <v>0</v>
      </c>
      <c r="AA100" s="17">
        <f t="shared" ca="1" si="55"/>
        <v>0</v>
      </c>
      <c r="AB100" s="17">
        <f t="shared" ca="1" si="55"/>
        <v>0</v>
      </c>
      <c r="AC100" s="17">
        <f t="shared" ca="1" si="55"/>
        <v>0</v>
      </c>
      <c r="AD100" s="17">
        <f t="shared" ca="1" si="55"/>
        <v>0</v>
      </c>
      <c r="AE100" s="17">
        <f t="shared" ca="1" si="55"/>
        <v>0</v>
      </c>
      <c r="AF100" s="17">
        <f t="shared" ca="1" si="55"/>
        <v>0</v>
      </c>
      <c r="AG100" s="17">
        <f t="shared" ca="1" si="55"/>
        <v>0</v>
      </c>
      <c r="AH100" s="17">
        <f t="shared" ca="1" si="55"/>
        <v>0</v>
      </c>
      <c r="AI100" s="17">
        <f t="shared" ca="1" si="55"/>
        <v>0</v>
      </c>
      <c r="AJ100" s="17">
        <f t="shared" ca="1" si="55"/>
        <v>0</v>
      </c>
      <c r="AK100" s="17">
        <f t="shared" ca="1" si="55"/>
        <v>0</v>
      </c>
      <c r="AL100" s="17">
        <f t="shared" ca="1" si="55"/>
        <v>0</v>
      </c>
      <c r="AM100" s="17">
        <f t="shared" si="55"/>
        <v>0</v>
      </c>
    </row>
    <row r="101" spans="1:39" x14ac:dyDescent="0.2">
      <c r="A101" s="13" t="s">
        <v>26</v>
      </c>
      <c r="C101" s="17">
        <v>0</v>
      </c>
      <c r="D101" s="17">
        <f t="shared" ref="D101:G101" ca="1" si="56">SUM(D99:D100)*princ</f>
        <v>6180</v>
      </c>
      <c r="E101" s="17">
        <f t="shared" ca="1" si="56"/>
        <v>6365.4</v>
      </c>
      <c r="F101" s="17">
        <f t="shared" ca="1" si="56"/>
        <v>6556.3619999999992</v>
      </c>
      <c r="G101" s="17">
        <f t="shared" ca="1" si="56"/>
        <v>6753.0528599999998</v>
      </c>
      <c r="H101" s="17">
        <f t="shared" ref="H101:AM101" ca="1" si="57">SUM(H99:H100)*princ</f>
        <v>6955.6444457999996</v>
      </c>
      <c r="I101" s="17">
        <f t="shared" ca="1" si="57"/>
        <v>7164.3137791739991</v>
      </c>
      <c r="J101" s="17">
        <f t="shared" ca="1" si="57"/>
        <v>7379.2431925492192</v>
      </c>
      <c r="K101" s="17">
        <f t="shared" ca="1" si="57"/>
        <v>7600.6204883256951</v>
      </c>
      <c r="L101" s="17">
        <f t="shared" ca="1" si="57"/>
        <v>7828.6391029754659</v>
      </c>
      <c r="M101" s="17">
        <f t="shared" ca="1" si="57"/>
        <v>8063.4982760647299</v>
      </c>
      <c r="N101" s="17">
        <f t="shared" ca="1" si="57"/>
        <v>8305.4032243466718</v>
      </c>
      <c r="O101" s="17">
        <f t="shared" ca="1" si="57"/>
        <v>8554.5653210770724</v>
      </c>
      <c r="P101" s="17">
        <f t="shared" ca="1" si="57"/>
        <v>8811.2022807093854</v>
      </c>
      <c r="Q101" s="17">
        <f t="shared" ca="1" si="57"/>
        <v>9075.5383491306675</v>
      </c>
      <c r="R101" s="17">
        <f t="shared" ca="1" si="57"/>
        <v>9347.8044996045865</v>
      </c>
      <c r="S101" s="17">
        <f t="shared" ca="1" si="57"/>
        <v>9628.2386345927243</v>
      </c>
      <c r="T101" s="17">
        <f t="shared" ca="1" si="57"/>
        <v>9917.0857936305056</v>
      </c>
      <c r="U101" s="17">
        <f t="shared" ca="1" si="57"/>
        <v>10214.598367439421</v>
      </c>
      <c r="V101" s="17">
        <f t="shared" ca="1" si="57"/>
        <v>10521.036318462604</v>
      </c>
      <c r="W101" s="17">
        <f t="shared" ca="1" si="57"/>
        <v>10836.667408016481</v>
      </c>
      <c r="X101" s="17">
        <f t="shared" ca="1" si="57"/>
        <v>11161.767430256976</v>
      </c>
      <c r="Y101" s="17">
        <f t="shared" ca="1" si="57"/>
        <v>11496.620453164685</v>
      </c>
      <c r="Z101" s="17">
        <f t="shared" ca="1" si="57"/>
        <v>11841.519066759627</v>
      </c>
      <c r="AA101" s="17">
        <f t="shared" ca="1" si="57"/>
        <v>12196.764638762415</v>
      </c>
      <c r="AB101" s="17">
        <f t="shared" ca="1" si="57"/>
        <v>12562.667577925287</v>
      </c>
      <c r="AC101" s="17">
        <f t="shared" ca="1" si="57"/>
        <v>12939.547605263046</v>
      </c>
      <c r="AD101" s="17">
        <f t="shared" ca="1" si="57"/>
        <v>13327.734033420938</v>
      </c>
      <c r="AE101" s="17">
        <f t="shared" ca="1" si="57"/>
        <v>13727.566054423565</v>
      </c>
      <c r="AF101" s="17">
        <f t="shared" ca="1" si="57"/>
        <v>14139.393036056274</v>
      </c>
      <c r="AG101" s="17">
        <f t="shared" ca="1" si="57"/>
        <v>14563.57482713796</v>
      </c>
      <c r="AH101" s="17">
        <f t="shared" ca="1" si="57"/>
        <v>15000.482071952099</v>
      </c>
      <c r="AI101" s="17">
        <f t="shared" ca="1" si="57"/>
        <v>15450.496534110662</v>
      </c>
      <c r="AJ101" s="17">
        <f t="shared" ca="1" si="57"/>
        <v>15914.011430133982</v>
      </c>
      <c r="AK101" s="17">
        <f t="shared" ca="1" si="57"/>
        <v>16391.431773037999</v>
      </c>
      <c r="AL101" s="17">
        <f t="shared" ca="1" si="57"/>
        <v>16883.174726229139</v>
      </c>
      <c r="AM101" s="17">
        <f t="shared" ca="1" si="57"/>
        <v>17389.669968016013</v>
      </c>
    </row>
    <row r="102" spans="1:39" x14ac:dyDescent="0.2">
      <c r="A102" s="13" t="s">
        <v>27</v>
      </c>
      <c r="C102" s="17">
        <f ca="1">SUM(C99:C101)</f>
        <v>206000</v>
      </c>
      <c r="D102" s="17">
        <f t="shared" ref="D102:G102" ca="1" si="58">SUM(D99:D101)</f>
        <v>212180</v>
      </c>
      <c r="E102" s="17">
        <f t="shared" ca="1" si="58"/>
        <v>218545.4</v>
      </c>
      <c r="F102" s="17">
        <f t="shared" ca="1" si="58"/>
        <v>225101.76199999999</v>
      </c>
      <c r="G102" s="17">
        <f t="shared" ca="1" si="58"/>
        <v>231854.81485999998</v>
      </c>
      <c r="H102" s="17">
        <f t="shared" ref="H102:AM102" ca="1" si="59">SUM(H99:H101)</f>
        <v>238810.45930579997</v>
      </c>
      <c r="I102" s="17">
        <f t="shared" ca="1" si="59"/>
        <v>245974.77308497397</v>
      </c>
      <c r="J102" s="17">
        <f t="shared" ca="1" si="59"/>
        <v>253354.01627752319</v>
      </c>
      <c r="K102" s="17">
        <f t="shared" ca="1" si="59"/>
        <v>260954.63676584887</v>
      </c>
      <c r="L102" s="17">
        <f t="shared" ca="1" si="59"/>
        <v>268783.27586882433</v>
      </c>
      <c r="M102" s="17">
        <f t="shared" ca="1" si="59"/>
        <v>276846.77414488909</v>
      </c>
      <c r="N102" s="17">
        <f t="shared" ca="1" si="59"/>
        <v>285152.17736923578</v>
      </c>
      <c r="O102" s="17">
        <f t="shared" ca="1" si="59"/>
        <v>293706.74269031285</v>
      </c>
      <c r="P102" s="17">
        <f t="shared" ca="1" si="59"/>
        <v>302517.94497102225</v>
      </c>
      <c r="Q102" s="17">
        <f t="shared" ca="1" si="59"/>
        <v>311593.48332015291</v>
      </c>
      <c r="R102" s="17">
        <f t="shared" ca="1" si="59"/>
        <v>320941.28781975748</v>
      </c>
      <c r="S102" s="17">
        <f t="shared" ca="1" si="59"/>
        <v>330569.52645435021</v>
      </c>
      <c r="T102" s="17">
        <f t="shared" ca="1" si="59"/>
        <v>340486.61224798072</v>
      </c>
      <c r="U102" s="17">
        <f t="shared" ca="1" si="59"/>
        <v>350701.21061542013</v>
      </c>
      <c r="V102" s="17">
        <f t="shared" ca="1" si="59"/>
        <v>361222.24693388271</v>
      </c>
      <c r="W102" s="17">
        <f t="shared" ca="1" si="59"/>
        <v>372058.91434189922</v>
      </c>
      <c r="X102" s="17">
        <f t="shared" ca="1" si="59"/>
        <v>383220.68177215621</v>
      </c>
      <c r="Y102" s="17">
        <f t="shared" ca="1" si="59"/>
        <v>394717.30222532089</v>
      </c>
      <c r="Z102" s="17">
        <f t="shared" ca="1" si="59"/>
        <v>406558.82129208051</v>
      </c>
      <c r="AA102" s="17">
        <f t="shared" ca="1" si="59"/>
        <v>418755.58593084291</v>
      </c>
      <c r="AB102" s="17">
        <f t="shared" ca="1" si="59"/>
        <v>431318.25350876822</v>
      </c>
      <c r="AC102" s="17">
        <f t="shared" ca="1" si="59"/>
        <v>444257.80111403129</v>
      </c>
      <c r="AD102" s="17">
        <f t="shared" ca="1" si="59"/>
        <v>457585.5351474522</v>
      </c>
      <c r="AE102" s="17">
        <f t="shared" ca="1" si="59"/>
        <v>471313.10120187578</v>
      </c>
      <c r="AF102" s="17">
        <f t="shared" ca="1" si="59"/>
        <v>485452.49423793203</v>
      </c>
      <c r="AG102" s="17">
        <f t="shared" ca="1" si="59"/>
        <v>500016.06906507001</v>
      </c>
      <c r="AH102" s="17">
        <f t="shared" ca="1" si="59"/>
        <v>515016.55113702209</v>
      </c>
      <c r="AI102" s="17">
        <f t="shared" ca="1" si="59"/>
        <v>530467.04767113272</v>
      </c>
      <c r="AJ102" s="17">
        <f t="shared" ca="1" si="59"/>
        <v>546381.05910126667</v>
      </c>
      <c r="AK102" s="17">
        <f t="shared" ca="1" si="59"/>
        <v>562772.49087430467</v>
      </c>
      <c r="AL102" s="17">
        <f t="shared" ca="1" si="59"/>
        <v>579655.66560053383</v>
      </c>
      <c r="AM102" s="17">
        <f t="shared" ca="1" si="59"/>
        <v>597045.33556854981</v>
      </c>
    </row>
    <row r="103" spans="1:39" x14ac:dyDescent="0.2">
      <c r="A103" s="13" t="s">
        <v>28</v>
      </c>
      <c r="C103" s="17">
        <f ca="1">C100*Inputs!$C$163</f>
        <v>0</v>
      </c>
      <c r="D103" s="17">
        <f ca="1">D100*Inputs!$C$163</f>
        <v>0</v>
      </c>
      <c r="E103" s="17">
        <f ca="1">E100*Inputs!$C$163</f>
        <v>0</v>
      </c>
      <c r="F103" s="17">
        <f ca="1">F100*Inputs!$C$163</f>
        <v>0</v>
      </c>
      <c r="G103" s="17">
        <f ca="1">G100*Inputs!$C$163</f>
        <v>0</v>
      </c>
      <c r="H103" s="17">
        <f ca="1">H100*Inputs!$C$163</f>
        <v>0</v>
      </c>
      <c r="I103" s="17">
        <f ca="1">I100*Inputs!$C$163</f>
        <v>0</v>
      </c>
      <c r="J103" s="17">
        <f ca="1">J100*Inputs!$C$163</f>
        <v>0</v>
      </c>
      <c r="K103" s="17">
        <f ca="1">K100*Inputs!$C$163</f>
        <v>0</v>
      </c>
      <c r="L103" s="17">
        <f ca="1">L100*Inputs!$C$163</f>
        <v>0</v>
      </c>
      <c r="M103" s="17">
        <f ca="1">M100*Inputs!$C$163</f>
        <v>0</v>
      </c>
      <c r="N103" s="17">
        <f ca="1">N100*Inputs!$C$163</f>
        <v>0</v>
      </c>
      <c r="O103" s="17">
        <f ca="1">O100*Inputs!$C$163</f>
        <v>0</v>
      </c>
      <c r="P103" s="17">
        <f ca="1">P100*Inputs!$C$163</f>
        <v>0</v>
      </c>
      <c r="Q103" s="17">
        <f ca="1">Q100*Inputs!$C$163</f>
        <v>0</v>
      </c>
      <c r="R103" s="17">
        <f ca="1">R100*Inputs!$C$163</f>
        <v>0</v>
      </c>
      <c r="S103" s="17">
        <f ca="1">S100*Inputs!$C$163</f>
        <v>0</v>
      </c>
      <c r="T103" s="17">
        <f ca="1">T100*Inputs!$C$163</f>
        <v>0</v>
      </c>
      <c r="U103" s="17">
        <f ca="1">U100*Inputs!$C$163</f>
        <v>0</v>
      </c>
      <c r="V103" s="17">
        <f ca="1">V100*Inputs!$C$163</f>
        <v>0</v>
      </c>
      <c r="W103" s="17">
        <f ca="1">W100*Inputs!$C$163</f>
        <v>0</v>
      </c>
      <c r="X103" s="17">
        <f ca="1">X100*Inputs!$C$163</f>
        <v>0</v>
      </c>
      <c r="Y103" s="17">
        <f ca="1">Y100*Inputs!$C$163</f>
        <v>0</v>
      </c>
      <c r="Z103" s="17">
        <f ca="1">Z100*Inputs!$C$163</f>
        <v>0</v>
      </c>
      <c r="AA103" s="17">
        <f ca="1">AA100*Inputs!$C$163</f>
        <v>0</v>
      </c>
      <c r="AB103" s="17">
        <f ca="1">AB100*Inputs!$C$163</f>
        <v>0</v>
      </c>
      <c r="AC103" s="17">
        <f ca="1">AC100*Inputs!$C$163</f>
        <v>0</v>
      </c>
      <c r="AD103" s="17">
        <f ca="1">AD100*Inputs!$C$163</f>
        <v>0</v>
      </c>
      <c r="AE103" s="17">
        <f ca="1">AE100*Inputs!$C$163</f>
        <v>0</v>
      </c>
      <c r="AF103" s="17">
        <f ca="1">AF100*Inputs!$C$163</f>
        <v>0</v>
      </c>
      <c r="AG103" s="17">
        <f ca="1">AG100*Inputs!$C$163</f>
        <v>0</v>
      </c>
      <c r="AH103" s="17">
        <f ca="1">AH100*Inputs!$C$163</f>
        <v>0</v>
      </c>
      <c r="AI103" s="17">
        <f ca="1">AI100*Inputs!$C$163</f>
        <v>0</v>
      </c>
      <c r="AJ103" s="17">
        <f ca="1">AJ100*Inputs!$C$163</f>
        <v>0</v>
      </c>
      <c r="AK103" s="17">
        <f ca="1">AK100*Inputs!$C$163</f>
        <v>0</v>
      </c>
      <c r="AL103" s="17">
        <f ca="1">AL100*Inputs!$C$163</f>
        <v>0</v>
      </c>
      <c r="AM103" s="17">
        <f>AM100*Inputs!$C$163</f>
        <v>0</v>
      </c>
    </row>
    <row r="104" spans="1:39" x14ac:dyDescent="0.2">
      <c r="A104" s="13" t="s">
        <v>35</v>
      </c>
      <c r="C104" s="17">
        <f>IFERROR(-IF(C99=0,VLOOKUP($A98,$7:$10,C$1+2,FALSE),0),0)</f>
        <v>0</v>
      </c>
      <c r="D104" s="17">
        <f t="shared" ref="D104:G104" ca="1" si="60">IFERROR(-IF(D99=0,VLOOKUP($A98,$7:$10,D$1+2,FALSE),0),0)</f>
        <v>0</v>
      </c>
      <c r="E104" s="17">
        <f t="shared" ca="1" si="60"/>
        <v>0</v>
      </c>
      <c r="F104" s="17">
        <f t="shared" ca="1" si="60"/>
        <v>0</v>
      </c>
      <c r="G104" s="17">
        <f t="shared" ca="1" si="60"/>
        <v>0</v>
      </c>
      <c r="H104" s="17">
        <f t="shared" ref="H104:AM104" ca="1" si="61">IFERROR(-IF(H99=0,VLOOKUP($A98,$7:$10,H$1+2,FALSE),0),0)</f>
        <v>0</v>
      </c>
      <c r="I104" s="17">
        <f t="shared" ca="1" si="61"/>
        <v>0</v>
      </c>
      <c r="J104" s="17">
        <f t="shared" ca="1" si="61"/>
        <v>0</v>
      </c>
      <c r="K104" s="17">
        <f t="shared" ca="1" si="61"/>
        <v>0</v>
      </c>
      <c r="L104" s="17">
        <f t="shared" ca="1" si="61"/>
        <v>0</v>
      </c>
      <c r="M104" s="17">
        <f t="shared" ca="1" si="61"/>
        <v>0</v>
      </c>
      <c r="N104" s="17">
        <f t="shared" ca="1" si="61"/>
        <v>0</v>
      </c>
      <c r="O104" s="17">
        <f t="shared" ca="1" si="61"/>
        <v>0</v>
      </c>
      <c r="P104" s="17">
        <f t="shared" ca="1" si="61"/>
        <v>0</v>
      </c>
      <c r="Q104" s="17">
        <f t="shared" ca="1" si="61"/>
        <v>0</v>
      </c>
      <c r="R104" s="17">
        <f t="shared" ca="1" si="61"/>
        <v>0</v>
      </c>
      <c r="S104" s="17">
        <f t="shared" ca="1" si="61"/>
        <v>0</v>
      </c>
      <c r="T104" s="17">
        <f t="shared" ca="1" si="61"/>
        <v>0</v>
      </c>
      <c r="U104" s="17">
        <f t="shared" ca="1" si="61"/>
        <v>0</v>
      </c>
      <c r="V104" s="17">
        <f t="shared" ca="1" si="61"/>
        <v>0</v>
      </c>
      <c r="W104" s="17">
        <f t="shared" ca="1" si="61"/>
        <v>0</v>
      </c>
      <c r="X104" s="17">
        <f t="shared" ca="1" si="61"/>
        <v>0</v>
      </c>
      <c r="Y104" s="17">
        <f t="shared" ca="1" si="61"/>
        <v>0</v>
      </c>
      <c r="Z104" s="17">
        <f t="shared" ca="1" si="61"/>
        <v>0</v>
      </c>
      <c r="AA104" s="17">
        <f t="shared" ca="1" si="61"/>
        <v>0</v>
      </c>
      <c r="AB104" s="17">
        <f t="shared" ca="1" si="61"/>
        <v>0</v>
      </c>
      <c r="AC104" s="17">
        <f t="shared" ca="1" si="61"/>
        <v>0</v>
      </c>
      <c r="AD104" s="17">
        <f t="shared" ca="1" si="61"/>
        <v>0</v>
      </c>
      <c r="AE104" s="17">
        <f t="shared" ca="1" si="61"/>
        <v>0</v>
      </c>
      <c r="AF104" s="17">
        <f t="shared" ca="1" si="61"/>
        <v>0</v>
      </c>
      <c r="AG104" s="17">
        <f t="shared" ca="1" si="61"/>
        <v>0</v>
      </c>
      <c r="AH104" s="17">
        <f t="shared" ca="1" si="61"/>
        <v>0</v>
      </c>
      <c r="AI104" s="17">
        <f t="shared" ca="1" si="61"/>
        <v>0</v>
      </c>
      <c r="AJ104" s="17">
        <f t="shared" ca="1" si="61"/>
        <v>0</v>
      </c>
      <c r="AK104" s="17">
        <f t="shared" ca="1" si="61"/>
        <v>0</v>
      </c>
      <c r="AL104" s="17">
        <f t="shared" ca="1" si="61"/>
        <v>0</v>
      </c>
      <c r="AM104" s="17">
        <f t="shared" ca="1" si="61"/>
        <v>0</v>
      </c>
    </row>
    <row r="105" spans="1:39" x14ac:dyDescent="0.2">
      <c r="A105" s="13" t="s">
        <v>55</v>
      </c>
      <c r="C105" s="17">
        <f>IFERROR(IF(C99=0,VLOOKUP($A98,$33:$36,C$1+2,FALSE),0),0)</f>
        <v>0</v>
      </c>
      <c r="D105" s="17">
        <f t="shared" ref="D105:G105" ca="1" si="62">IFERROR(IF(D99=0,VLOOKUP($A98,$33:$36,D$1+2,FALSE),0),0)</f>
        <v>0</v>
      </c>
      <c r="E105" s="17">
        <f t="shared" ca="1" si="62"/>
        <v>0</v>
      </c>
      <c r="F105" s="17">
        <f t="shared" ca="1" si="62"/>
        <v>0</v>
      </c>
      <c r="G105" s="17">
        <f t="shared" ca="1" si="62"/>
        <v>0</v>
      </c>
      <c r="H105" s="17">
        <f t="shared" ref="H105:AM105" ca="1" si="63">IFERROR(IF(H99=0,VLOOKUP($A98,$33:$36,H$1+2,FALSE),0),0)</f>
        <v>0</v>
      </c>
      <c r="I105" s="17">
        <f t="shared" ca="1" si="63"/>
        <v>0</v>
      </c>
      <c r="J105" s="17">
        <f t="shared" ca="1" si="63"/>
        <v>0</v>
      </c>
      <c r="K105" s="17">
        <f t="shared" ca="1" si="63"/>
        <v>0</v>
      </c>
      <c r="L105" s="17">
        <f t="shared" ca="1" si="63"/>
        <v>0</v>
      </c>
      <c r="M105" s="17">
        <f t="shared" ca="1" si="63"/>
        <v>0</v>
      </c>
      <c r="N105" s="17">
        <f t="shared" ca="1" si="63"/>
        <v>0</v>
      </c>
      <c r="O105" s="17">
        <f t="shared" ca="1" si="63"/>
        <v>0</v>
      </c>
      <c r="P105" s="17">
        <f t="shared" ca="1" si="63"/>
        <v>0</v>
      </c>
      <c r="Q105" s="17">
        <f t="shared" ca="1" si="63"/>
        <v>0</v>
      </c>
      <c r="R105" s="17">
        <f t="shared" ca="1" si="63"/>
        <v>0</v>
      </c>
      <c r="S105" s="17">
        <f t="shared" ca="1" si="63"/>
        <v>0</v>
      </c>
      <c r="T105" s="17">
        <f t="shared" ca="1" si="63"/>
        <v>0</v>
      </c>
      <c r="U105" s="17">
        <f t="shared" ca="1" si="63"/>
        <v>0</v>
      </c>
      <c r="V105" s="17">
        <f t="shared" ca="1" si="63"/>
        <v>0</v>
      </c>
      <c r="W105" s="17">
        <f t="shared" ca="1" si="63"/>
        <v>0</v>
      </c>
      <c r="X105" s="17">
        <f t="shared" ca="1" si="63"/>
        <v>0</v>
      </c>
      <c r="Y105" s="17">
        <f t="shared" ca="1" si="63"/>
        <v>0</v>
      </c>
      <c r="Z105" s="17">
        <f t="shared" ca="1" si="63"/>
        <v>0</v>
      </c>
      <c r="AA105" s="17">
        <f t="shared" ca="1" si="63"/>
        <v>0</v>
      </c>
      <c r="AB105" s="17">
        <f t="shared" ca="1" si="63"/>
        <v>0</v>
      </c>
      <c r="AC105" s="17">
        <f t="shared" ca="1" si="63"/>
        <v>0</v>
      </c>
      <c r="AD105" s="17">
        <f t="shared" ca="1" si="63"/>
        <v>0</v>
      </c>
      <c r="AE105" s="17">
        <f t="shared" ca="1" si="63"/>
        <v>0</v>
      </c>
      <c r="AF105" s="17">
        <f t="shared" ca="1" si="63"/>
        <v>0</v>
      </c>
      <c r="AG105" s="17">
        <f t="shared" ca="1" si="63"/>
        <v>0</v>
      </c>
      <c r="AH105" s="17">
        <f t="shared" ca="1" si="63"/>
        <v>0</v>
      </c>
      <c r="AI105" s="17">
        <f t="shared" ca="1" si="63"/>
        <v>0</v>
      </c>
      <c r="AJ105" s="17">
        <f t="shared" ca="1" si="63"/>
        <v>0</v>
      </c>
      <c r="AK105" s="17">
        <f t="shared" ca="1" si="63"/>
        <v>0</v>
      </c>
      <c r="AL105" s="17">
        <f t="shared" ca="1" si="63"/>
        <v>0</v>
      </c>
      <c r="AM105" s="17">
        <f t="shared" ca="1" si="63"/>
        <v>0</v>
      </c>
    </row>
    <row r="106" spans="1:39" x14ac:dyDescent="0.2">
      <c r="A106" s="13" t="s">
        <v>41</v>
      </c>
      <c r="B106" s="27" t="str">
        <f>A98</f>
        <v>Sliema</v>
      </c>
      <c r="C106" s="17">
        <f ca="1">IF(AND(C99&gt;0,C102=0),VLOOKUP($A98,$61:$64,C$1+2,FALSE),0)</f>
        <v>0</v>
      </c>
      <c r="D106" s="17">
        <f t="shared" ref="D106:G106" ca="1" si="64">IF(AND(D99&gt;0,D102=0),VLOOKUP($A98,$61:$64,D$1+2,FALSE),0)</f>
        <v>0</v>
      </c>
      <c r="E106" s="17">
        <f t="shared" ca="1" si="64"/>
        <v>0</v>
      </c>
      <c r="F106" s="17">
        <f t="shared" ca="1" si="64"/>
        <v>0</v>
      </c>
      <c r="G106" s="17">
        <f t="shared" ca="1" si="64"/>
        <v>0</v>
      </c>
      <c r="H106" s="17">
        <f t="shared" ref="H106:AM106" ca="1" si="65">IF(AND(H99&gt;0,H102=0),VLOOKUP($A98,$61:$64,H$1+2,FALSE),0)</f>
        <v>0</v>
      </c>
      <c r="I106" s="17">
        <f t="shared" ca="1" si="65"/>
        <v>0</v>
      </c>
      <c r="J106" s="17">
        <f t="shared" ca="1" si="65"/>
        <v>0</v>
      </c>
      <c r="K106" s="17">
        <f t="shared" ca="1" si="65"/>
        <v>0</v>
      </c>
      <c r="L106" s="17">
        <f t="shared" ca="1" si="65"/>
        <v>0</v>
      </c>
      <c r="M106" s="17">
        <f t="shared" ca="1" si="65"/>
        <v>0</v>
      </c>
      <c r="N106" s="17">
        <f t="shared" ca="1" si="65"/>
        <v>0</v>
      </c>
      <c r="O106" s="17">
        <f t="shared" ca="1" si="65"/>
        <v>0</v>
      </c>
      <c r="P106" s="17">
        <f t="shared" ca="1" si="65"/>
        <v>0</v>
      </c>
      <c r="Q106" s="17">
        <f t="shared" ca="1" si="65"/>
        <v>0</v>
      </c>
      <c r="R106" s="17">
        <f t="shared" ca="1" si="65"/>
        <v>0</v>
      </c>
      <c r="S106" s="17">
        <f t="shared" ca="1" si="65"/>
        <v>0</v>
      </c>
      <c r="T106" s="17">
        <f t="shared" ca="1" si="65"/>
        <v>0</v>
      </c>
      <c r="U106" s="17">
        <f t="shared" ca="1" si="65"/>
        <v>0</v>
      </c>
      <c r="V106" s="17">
        <f t="shared" ca="1" si="65"/>
        <v>0</v>
      </c>
      <c r="W106" s="17">
        <f t="shared" ca="1" si="65"/>
        <v>0</v>
      </c>
      <c r="X106" s="17">
        <f t="shared" ca="1" si="65"/>
        <v>0</v>
      </c>
      <c r="Y106" s="17">
        <f t="shared" ca="1" si="65"/>
        <v>0</v>
      </c>
      <c r="Z106" s="17">
        <f t="shared" ca="1" si="65"/>
        <v>0</v>
      </c>
      <c r="AA106" s="17">
        <f t="shared" ca="1" si="65"/>
        <v>0</v>
      </c>
      <c r="AB106" s="17">
        <f t="shared" ca="1" si="65"/>
        <v>0</v>
      </c>
      <c r="AC106" s="17">
        <f t="shared" ca="1" si="65"/>
        <v>0</v>
      </c>
      <c r="AD106" s="17">
        <f t="shared" ca="1" si="65"/>
        <v>0</v>
      </c>
      <c r="AE106" s="17">
        <f t="shared" ca="1" si="65"/>
        <v>0</v>
      </c>
      <c r="AF106" s="17">
        <f t="shared" ca="1" si="65"/>
        <v>0</v>
      </c>
      <c r="AG106" s="17">
        <f t="shared" ca="1" si="65"/>
        <v>0</v>
      </c>
      <c r="AH106" s="17">
        <f t="shared" ca="1" si="65"/>
        <v>0</v>
      </c>
      <c r="AI106" s="17">
        <f t="shared" ca="1" si="65"/>
        <v>0</v>
      </c>
      <c r="AJ106" s="17">
        <f t="shared" ca="1" si="65"/>
        <v>0</v>
      </c>
      <c r="AK106" s="17">
        <f t="shared" ca="1" si="65"/>
        <v>0</v>
      </c>
      <c r="AL106" s="17">
        <f t="shared" ca="1" si="65"/>
        <v>0</v>
      </c>
      <c r="AM106" s="17">
        <f t="shared" ca="1" si="65"/>
        <v>0</v>
      </c>
    </row>
    <row r="107" spans="1:39" x14ac:dyDescent="0.2">
      <c r="A107" s="13" t="s">
        <v>42</v>
      </c>
      <c r="C107" s="17">
        <f ca="1">-C100+SUM(C103:C106)</f>
        <v>0</v>
      </c>
      <c r="D107" s="17">
        <f t="shared" ref="D107" ca="1" si="66">-D100+SUM(D103:D106)</f>
        <v>0</v>
      </c>
      <c r="E107" s="17">
        <f t="shared" ref="E107:G107" ca="1" si="67">-E100+SUM(E103:E106)</f>
        <v>0</v>
      </c>
      <c r="F107" s="17">
        <f t="shared" ca="1" si="67"/>
        <v>0</v>
      </c>
      <c r="G107" s="17">
        <f t="shared" ca="1" si="67"/>
        <v>0</v>
      </c>
      <c r="H107" s="17">
        <f t="shared" ref="H107:AM107" ca="1" si="68">-H100+SUM(H103:H106)</f>
        <v>0</v>
      </c>
      <c r="I107" s="17">
        <f t="shared" ca="1" si="68"/>
        <v>0</v>
      </c>
      <c r="J107" s="17">
        <f t="shared" ca="1" si="68"/>
        <v>0</v>
      </c>
      <c r="K107" s="17">
        <f t="shared" ca="1" si="68"/>
        <v>0</v>
      </c>
      <c r="L107" s="17">
        <f t="shared" ca="1" si="68"/>
        <v>0</v>
      </c>
      <c r="M107" s="17">
        <f t="shared" ca="1" si="68"/>
        <v>0</v>
      </c>
      <c r="N107" s="17">
        <f t="shared" ca="1" si="68"/>
        <v>0</v>
      </c>
      <c r="O107" s="17">
        <f t="shared" ca="1" si="68"/>
        <v>0</v>
      </c>
      <c r="P107" s="17">
        <f t="shared" ca="1" si="68"/>
        <v>0</v>
      </c>
      <c r="Q107" s="17">
        <f t="shared" ca="1" si="68"/>
        <v>0</v>
      </c>
      <c r="R107" s="17">
        <f t="shared" ca="1" si="68"/>
        <v>0</v>
      </c>
      <c r="S107" s="17">
        <f t="shared" ca="1" si="68"/>
        <v>0</v>
      </c>
      <c r="T107" s="17">
        <f t="shared" ca="1" si="68"/>
        <v>0</v>
      </c>
      <c r="U107" s="17">
        <f t="shared" ca="1" si="68"/>
        <v>0</v>
      </c>
      <c r="V107" s="17">
        <f t="shared" ca="1" si="68"/>
        <v>0</v>
      </c>
      <c r="W107" s="17">
        <f t="shared" ca="1" si="68"/>
        <v>0</v>
      </c>
      <c r="X107" s="17">
        <f t="shared" ca="1" si="68"/>
        <v>0</v>
      </c>
      <c r="Y107" s="17">
        <f t="shared" ca="1" si="68"/>
        <v>0</v>
      </c>
      <c r="Z107" s="17">
        <f t="shared" ca="1" si="68"/>
        <v>0</v>
      </c>
      <c r="AA107" s="17">
        <f t="shared" ca="1" si="68"/>
        <v>0</v>
      </c>
      <c r="AB107" s="17">
        <f t="shared" ca="1" si="68"/>
        <v>0</v>
      </c>
      <c r="AC107" s="17">
        <f t="shared" ca="1" si="68"/>
        <v>0</v>
      </c>
      <c r="AD107" s="17">
        <f t="shared" ca="1" si="68"/>
        <v>0</v>
      </c>
      <c r="AE107" s="17">
        <f t="shared" ca="1" si="68"/>
        <v>0</v>
      </c>
      <c r="AF107" s="17">
        <f t="shared" ca="1" si="68"/>
        <v>0</v>
      </c>
      <c r="AG107" s="17">
        <f t="shared" ca="1" si="68"/>
        <v>0</v>
      </c>
      <c r="AH107" s="17">
        <f t="shared" ca="1" si="68"/>
        <v>0</v>
      </c>
      <c r="AI107" s="17">
        <f t="shared" ca="1" si="68"/>
        <v>0</v>
      </c>
      <c r="AJ107" s="17">
        <f t="shared" ca="1" si="68"/>
        <v>0</v>
      </c>
      <c r="AK107" s="17">
        <f t="shared" ca="1" si="68"/>
        <v>0</v>
      </c>
      <c r="AL107" s="17">
        <f t="shared" ca="1" si="68"/>
        <v>0</v>
      </c>
      <c r="AM107" s="17">
        <f t="shared" ca="1" si="68"/>
        <v>0</v>
      </c>
    </row>
    <row r="108" spans="1:39" x14ac:dyDescent="0.2">
      <c r="A108" s="1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</row>
    <row r="109" spans="1:39" x14ac:dyDescent="0.2">
      <c r="A109" s="13" t="s">
        <v>56</v>
      </c>
      <c r="C109" s="17">
        <f ca="1">C95+SUM($C107:C107)</f>
        <v>714578.8</v>
      </c>
      <c r="D109" s="17">
        <f ca="1">D95+SUM($C107:D107)</f>
        <v>824098.44559532881</v>
      </c>
      <c r="E109" s="17">
        <f ca="1">E95+SUM($C107:E107)</f>
        <v>995440.1709443531</v>
      </c>
      <c r="F109" s="17">
        <f ca="1">F95+SUM($C107:F107)</f>
        <v>1190110.0184140191</v>
      </c>
      <c r="G109" s="17">
        <f ca="1">G95+SUM($C107:G107)</f>
        <v>1354181.3950869064</v>
      </c>
      <c r="H109" s="17">
        <f ca="1">H95+SUM($C107:H107)</f>
        <v>1567917.714493009</v>
      </c>
      <c r="I109" s="17">
        <f ca="1">I95+SUM($C107:I107)</f>
        <v>1828871.6343659752</v>
      </c>
      <c r="J109" s="17">
        <f ca="1">J95+SUM($C107:J107)</f>
        <v>2073997.9163702845</v>
      </c>
      <c r="K109" s="17">
        <f ca="1">K95+SUM($C107:K107)</f>
        <v>2301632.8826445597</v>
      </c>
      <c r="L109" s="17">
        <f ca="1">L95+SUM($C107:L107)</f>
        <v>2573245.7366445996</v>
      </c>
      <c r="M109" s="17">
        <f ca="1">M95+SUM($C107:M107)</f>
        <v>2859326.8920514602</v>
      </c>
      <c r="N109" s="17">
        <f ca="1">N95+SUM($C107:N107)</f>
        <v>3168702.5795119987</v>
      </c>
      <c r="O109" s="17">
        <f ca="1">O95+SUM($C107:O107)</f>
        <v>3502780.7015976864</v>
      </c>
      <c r="P109" s="17">
        <f ca="1">P95+SUM($C107:P107)</f>
        <v>3853294.3799924105</v>
      </c>
      <c r="Q109" s="17">
        <f ca="1">Q95+SUM($C107:Q107)</f>
        <v>4220907.9563648272</v>
      </c>
      <c r="R109" s="17">
        <f ca="1">R95+SUM($C107:R107)</f>
        <v>4606310.2581247194</v>
      </c>
      <c r="S109" s="17">
        <f ca="1">S95+SUM($C107:S107)</f>
        <v>4707808.3289191956</v>
      </c>
      <c r="T109" s="17">
        <f ca="1">T95+SUM($C107:T107)</f>
        <v>4821048.3966188617</v>
      </c>
      <c r="U109" s="17">
        <f ca="1">U95+SUM($C107:U107)</f>
        <v>4937319.3600282837</v>
      </c>
      <c r="V109" s="17">
        <f ca="1">V95+SUM($C107:V107)</f>
        <v>5056711.3270665482</v>
      </c>
      <c r="W109" s="17">
        <f ca="1">W95+SUM($C107:W107)</f>
        <v>5179317.296884154</v>
      </c>
      <c r="X109" s="17">
        <f ca="1">X95+SUM($C107:X107)</f>
        <v>5305233.2565114927</v>
      </c>
      <c r="Y109" s="17">
        <f ca="1">Y95+SUM($C107:Y107)</f>
        <v>5434558.280784863</v>
      </c>
      <c r="Z109" s="17">
        <f ca="1">Z95+SUM($C107:Z107)</f>
        <v>5567394.6356610563</v>
      </c>
      <c r="AA109" s="17">
        <f ca="1">AA95+SUM($C107:AA107)</f>
        <v>5703847.8850352764</v>
      </c>
      <c r="AB109" s="17">
        <f ca="1">AB95+SUM($C107:AB107)</f>
        <v>5844027.0011810185</v>
      </c>
      <c r="AC109" s="17">
        <f ca="1">AC95+SUM($C107:AC107)</f>
        <v>5988044.4789345022</v>
      </c>
      <c r="AD109" s="17">
        <f ca="1">AD95+SUM($C107:AD107)</f>
        <v>6147849.338861553</v>
      </c>
      <c r="AE109" s="17">
        <f ca="1">AE95+SUM($C107:AE107)</f>
        <v>6312320.238237597</v>
      </c>
      <c r="AF109" s="17">
        <f ca="1">AF95+SUM($C107:AF107)</f>
        <v>6481603.1507251877</v>
      </c>
      <c r="AG109" s="17">
        <f ca="1">AG95+SUM($C107:AG107)</f>
        <v>6655848.8088871781</v>
      </c>
      <c r="AH109" s="17">
        <f ca="1">AH95+SUM($C107:AH107)</f>
        <v>6835212.8621929521</v>
      </c>
      <c r="AI109" s="17">
        <f ca="1">AI95+SUM($C107:AI107)</f>
        <v>7019856.0402894933</v>
      </c>
      <c r="AJ109" s="17">
        <f ca="1">AJ95+SUM($C107:AJ107)</f>
        <v>7209944.3217119556</v>
      </c>
      <c r="AK109" s="17">
        <f ca="1">AK95+SUM($C107:AK107)</f>
        <v>7405649.1082141232</v>
      </c>
      <c r="AL109" s="17">
        <f ca="1">AL95+SUM($C107:AL107)</f>
        <v>7607147.4049051059</v>
      </c>
      <c r="AM109" s="17">
        <f ca="1">AM95+SUM($C107:AM107)</f>
        <v>7814622.0063847229</v>
      </c>
    </row>
    <row r="110" spans="1:39" x14ac:dyDescent="0.2">
      <c r="A110" s="13" t="s">
        <v>22</v>
      </c>
      <c r="C110" s="17">
        <f ca="1">IF(C109&lt;0,C109,0)</f>
        <v>0</v>
      </c>
      <c r="D110" s="17">
        <f ca="1">IF(D109+SUM($C110:C110)&lt;0,-(D109+SUM($C110:C110)),0)</f>
        <v>0</v>
      </c>
      <c r="E110" s="17">
        <f ca="1">IF(E109+SUM($C110:D110)&lt;0,-(E109+SUM($C110:D110)),0)</f>
        <v>0</v>
      </c>
      <c r="F110" s="17">
        <f ca="1">IF(F109+SUM($C110:E110)&lt;0,-(F109+SUM($C110:E110)),0)</f>
        <v>0</v>
      </c>
      <c r="G110" s="17">
        <f ca="1">IF(G109+SUM($C110:F110)&lt;0,-(G109+SUM($C110:F110)),0)</f>
        <v>0</v>
      </c>
      <c r="H110" s="17">
        <f ca="1">IF(H109+SUM($C110:G110)&lt;0,-(H109+SUM($C110:G110)),0)</f>
        <v>0</v>
      </c>
      <c r="I110" s="17">
        <f ca="1">IF(I109+SUM($C110:H110)&lt;0,-(I109+SUM($C110:H110)),0)</f>
        <v>0</v>
      </c>
      <c r="J110" s="17">
        <f ca="1">IF(J109+SUM($C110:I110)&lt;0,-(J109+SUM($C110:I110)),0)</f>
        <v>0</v>
      </c>
      <c r="K110" s="17">
        <f ca="1">IF(K109+SUM($C110:J110)&lt;0,-(K109+SUM($C110:J110)),0)</f>
        <v>0</v>
      </c>
      <c r="L110" s="17">
        <f ca="1">IF(L109+SUM($C110:K110)&lt;0,-(L109+SUM($C110:K110)),0)</f>
        <v>0</v>
      </c>
      <c r="M110" s="17">
        <f ca="1">IF(M109+SUM($C110:L110)&lt;0,-(M109+SUM($C110:L110)),0)</f>
        <v>0</v>
      </c>
      <c r="N110" s="17">
        <f ca="1">IF(N109+SUM($C110:M110)&lt;0,-(N109+SUM($C110:M110)),0)</f>
        <v>0</v>
      </c>
      <c r="O110" s="17">
        <f ca="1">IF(O109+SUM($C110:N110)&lt;0,-(O109+SUM($C110:N110)),0)</f>
        <v>0</v>
      </c>
      <c r="P110" s="17">
        <f ca="1">IF(P109+SUM($C110:O110)&lt;0,-(P109+SUM($C110:O110)),0)</f>
        <v>0</v>
      </c>
      <c r="Q110" s="17">
        <f ca="1">IF(Q109+SUM($C110:P110)&lt;0,-(Q109+SUM($C110:P110)),0)</f>
        <v>0</v>
      </c>
      <c r="R110" s="17">
        <f ca="1">IF(R109+SUM($C110:Q110)&lt;0,-(R109+SUM($C110:Q110)),0)</f>
        <v>0</v>
      </c>
      <c r="S110" s="17">
        <f ca="1">IF(S109+SUM($C110:R110)&lt;0,-(S109+SUM($C110:R110)),0)</f>
        <v>0</v>
      </c>
      <c r="T110" s="17">
        <f ca="1">IF(T109+SUM($C110:S110)&lt;0,-(T109+SUM($C110:S110)),0)</f>
        <v>0</v>
      </c>
      <c r="U110" s="17">
        <f ca="1">IF(U109+SUM($C110:T110)&lt;0,-(U109+SUM($C110:T110)),0)</f>
        <v>0</v>
      </c>
      <c r="V110" s="17">
        <f ca="1">IF(V109+SUM($C110:U110)&lt;0,-(V109+SUM($C110:U110)),0)</f>
        <v>0</v>
      </c>
      <c r="W110" s="17">
        <f ca="1">IF(W109+SUM($C110:V110)&lt;0,-(W109+SUM($C110:V110)),0)</f>
        <v>0</v>
      </c>
      <c r="X110" s="17">
        <f ca="1">IF(X109+SUM($C110:W110)&lt;0,-(X109+SUM($C110:W110)),0)</f>
        <v>0</v>
      </c>
      <c r="Y110" s="17">
        <f ca="1">IF(Y109+SUM($C110:X110)&lt;0,-(Y109+SUM($C110:X110)),0)</f>
        <v>0</v>
      </c>
      <c r="Z110" s="17">
        <f ca="1">IF(Z109+SUM($C110:Y110)&lt;0,-(Z109+SUM($C110:Y110)),0)</f>
        <v>0</v>
      </c>
      <c r="AA110" s="17">
        <f ca="1">IF(AA109+SUM($C110:Z110)&lt;0,-(AA109+SUM($C110:Z110)),0)</f>
        <v>0</v>
      </c>
      <c r="AB110" s="17">
        <f ca="1">IF(AB109+SUM($C110:AA110)&lt;0,-(AB109+SUM($C110:AA110)),0)</f>
        <v>0</v>
      </c>
      <c r="AC110" s="17">
        <f ca="1">IF(AC109+SUM($C110:AB110)&lt;0,-(AC109+SUM($C110:AB110)),0)</f>
        <v>0</v>
      </c>
      <c r="AD110" s="17">
        <f ca="1">IF(AD109+SUM($C110:AC110)&lt;0,-(AD109+SUM($C110:AC110)),0)</f>
        <v>0</v>
      </c>
      <c r="AE110" s="17">
        <f ca="1">IF(AE109+SUM($C110:AD110)&lt;0,-(AE109+SUM($C110:AD110)),0)</f>
        <v>0</v>
      </c>
      <c r="AF110" s="17">
        <f ca="1">IF(AF109+SUM($C110:AE110)&lt;0,-(AF109+SUM($C110:AE110)),0)</f>
        <v>0</v>
      </c>
      <c r="AG110" s="17">
        <f ca="1">IF(AG109+SUM($C110:AF110)&lt;0,-(AG109+SUM($C110:AF110)),0)</f>
        <v>0</v>
      </c>
      <c r="AH110" s="17">
        <f ca="1">IF(AH109+SUM($C110:AG110)&lt;0,-(AH109+SUM($C110:AG110)),0)</f>
        <v>0</v>
      </c>
      <c r="AI110" s="17">
        <f ca="1">IF(AI109+SUM($C110:AH110)&lt;0,-(AI109+SUM($C110:AH110)),0)</f>
        <v>0</v>
      </c>
      <c r="AJ110" s="17">
        <f ca="1">IF(AJ109+SUM($C110:AI110)&lt;0,-(AJ109+SUM($C110:AI110)),0)</f>
        <v>0</v>
      </c>
      <c r="AK110" s="17">
        <f ca="1">IF(AK109+SUM($C110:AJ110)&lt;0,-(AK109+SUM($C110:AJ110)),0)</f>
        <v>0</v>
      </c>
      <c r="AL110" s="17">
        <f ca="1">IF(AL109+SUM($C110:AK110)&lt;0,-(AL109+SUM($C110:AK110)),0)</f>
        <v>0</v>
      </c>
      <c r="AM110" s="17">
        <f ca="1">IF(AM109+SUM($C110:AL110)&lt;0,-(AM109+SUM($C110:AL110)),0)</f>
        <v>0</v>
      </c>
    </row>
    <row r="111" spans="1:39" x14ac:dyDescent="0.2"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</row>
    <row r="112" spans="1:39" x14ac:dyDescent="0.2">
      <c r="A112" s="41" t="str">
        <f>IF(Inputs!$C$165=6,IFERROR(_xlfn.XLOOKUP($B112,Inputs!$C$166:$C$168,Inputs!$B$166:$B$168,,0,1),""),IFERROR(_xlfn.XLOOKUP($B112,Inputs!$O$166:$O$168,Inputs!$B$166:$B$168,,0,1),""))</f>
        <v>Gzira</v>
      </c>
      <c r="B112" s="43">
        <v>3</v>
      </c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</row>
    <row r="113" spans="1:39" x14ac:dyDescent="0.2">
      <c r="A113" s="13" t="s">
        <v>24</v>
      </c>
      <c r="C113" s="17">
        <f>IFERROR(VLOOKUP($A112,$A$52:$H$66,C$1+2,FALSE),0)</f>
        <v>360500</v>
      </c>
      <c r="D113" s="17">
        <f ca="1">C116</f>
        <v>360500</v>
      </c>
      <c r="E113" s="17">
        <f t="shared" ref="E113" ca="1" si="69">D116</f>
        <v>371315</v>
      </c>
      <c r="F113" s="17">
        <f t="shared" ref="F113" ca="1" si="70">E116</f>
        <v>382454.45</v>
      </c>
      <c r="G113" s="17">
        <f t="shared" ref="G113:AM113" ca="1" si="71">F116</f>
        <v>393928.08350000001</v>
      </c>
      <c r="H113" s="17">
        <f t="shared" ca="1" si="71"/>
        <v>405745.92600500002</v>
      </c>
      <c r="I113" s="17">
        <f t="shared" ca="1" si="71"/>
        <v>417918.30378515</v>
      </c>
      <c r="J113" s="17">
        <f t="shared" ca="1" si="71"/>
        <v>430455.85289870447</v>
      </c>
      <c r="K113" s="17">
        <f t="shared" ca="1" si="71"/>
        <v>443369.52848566562</v>
      </c>
      <c r="L113" s="17">
        <f t="shared" ca="1" si="71"/>
        <v>456670.6143402356</v>
      </c>
      <c r="M113" s="17">
        <f t="shared" ca="1" si="71"/>
        <v>470370.73277044267</v>
      </c>
      <c r="N113" s="17">
        <f t="shared" ca="1" si="71"/>
        <v>484481.85475355596</v>
      </c>
      <c r="O113" s="17">
        <f t="shared" ca="1" si="71"/>
        <v>499016.31039616262</v>
      </c>
      <c r="P113" s="17">
        <f t="shared" ca="1" si="71"/>
        <v>513986.79970804747</v>
      </c>
      <c r="Q113" s="17">
        <f t="shared" ca="1" si="71"/>
        <v>529406.40369928884</v>
      </c>
      <c r="R113" s="17">
        <f t="shared" ca="1" si="71"/>
        <v>545288.59581026749</v>
      </c>
      <c r="S113" s="17">
        <f t="shared" ca="1" si="71"/>
        <v>561647.25368457555</v>
      </c>
      <c r="T113" s="17">
        <f t="shared" ca="1" si="71"/>
        <v>578496.67129511281</v>
      </c>
      <c r="U113" s="17">
        <f t="shared" ca="1" si="71"/>
        <v>595851.57143396616</v>
      </c>
      <c r="V113" s="17">
        <f t="shared" ca="1" si="71"/>
        <v>613727.1185769852</v>
      </c>
      <c r="W113" s="17">
        <f t="shared" ca="1" si="71"/>
        <v>632138.93213429477</v>
      </c>
      <c r="X113" s="17">
        <f t="shared" ca="1" si="71"/>
        <v>651103.10009832366</v>
      </c>
      <c r="Y113" s="17">
        <f t="shared" ca="1" si="71"/>
        <v>670636.19310127338</v>
      </c>
      <c r="Z113" s="17">
        <f t="shared" ca="1" si="71"/>
        <v>690755.27889431163</v>
      </c>
      <c r="AA113" s="17">
        <f t="shared" ca="1" si="71"/>
        <v>711477.93726114102</v>
      </c>
      <c r="AB113" s="17">
        <f t="shared" ca="1" si="71"/>
        <v>732822.2753789752</v>
      </c>
      <c r="AC113" s="17">
        <f t="shared" ca="1" si="71"/>
        <v>754806.94364034443</v>
      </c>
      <c r="AD113" s="17">
        <f t="shared" ca="1" si="71"/>
        <v>777451.1519495548</v>
      </c>
      <c r="AE113" s="17">
        <f t="shared" ca="1" si="71"/>
        <v>800774.68650804146</v>
      </c>
      <c r="AF113" s="17">
        <f t="shared" ca="1" si="71"/>
        <v>824797.92710328265</v>
      </c>
      <c r="AG113" s="17">
        <f t="shared" ca="1" si="71"/>
        <v>849541.86491638108</v>
      </c>
      <c r="AH113" s="17">
        <f t="shared" ca="1" si="71"/>
        <v>875028.12086387246</v>
      </c>
      <c r="AI113" s="17">
        <f t="shared" ca="1" si="71"/>
        <v>901278.96448978863</v>
      </c>
      <c r="AJ113" s="17">
        <f t="shared" ca="1" si="71"/>
        <v>928317.33342448226</v>
      </c>
      <c r="AK113" s="17">
        <f t="shared" ca="1" si="71"/>
        <v>956166.85342721676</v>
      </c>
      <c r="AL113" s="17">
        <f t="shared" ca="1" si="71"/>
        <v>984851.85903003323</v>
      </c>
      <c r="AM113" s="17">
        <f t="shared" ca="1" si="71"/>
        <v>1014397.4148009343</v>
      </c>
    </row>
    <row r="114" spans="1:39" x14ac:dyDescent="0.2">
      <c r="A114" s="13" t="s">
        <v>25</v>
      </c>
      <c r="C114" s="17">
        <f ca="1">-IF(SUM(C110:D110)&gt;0,C113,0)</f>
        <v>0</v>
      </c>
      <c r="D114" s="17">
        <f ca="1">-IF(E110&gt;0,D113,0)</f>
        <v>0</v>
      </c>
      <c r="E114" s="17">
        <f ca="1">-IF(F110&gt;0,E113,0)</f>
        <v>0</v>
      </c>
      <c r="F114" s="17">
        <f ca="1">-IF(G110&gt;0,F113,0)</f>
        <v>0</v>
      </c>
      <c r="G114" s="17">
        <f t="shared" ref="G114:AM114" ca="1" si="72">-IF(H110&gt;0,G113,0)</f>
        <v>0</v>
      </c>
      <c r="H114" s="17">
        <f t="shared" ca="1" si="72"/>
        <v>0</v>
      </c>
      <c r="I114" s="17">
        <f t="shared" ca="1" si="72"/>
        <v>0</v>
      </c>
      <c r="J114" s="17">
        <f t="shared" ca="1" si="72"/>
        <v>0</v>
      </c>
      <c r="K114" s="17">
        <f t="shared" ca="1" si="72"/>
        <v>0</v>
      </c>
      <c r="L114" s="17">
        <f t="shared" ca="1" si="72"/>
        <v>0</v>
      </c>
      <c r="M114" s="17">
        <f t="shared" ca="1" si="72"/>
        <v>0</v>
      </c>
      <c r="N114" s="17">
        <f t="shared" ca="1" si="72"/>
        <v>0</v>
      </c>
      <c r="O114" s="17">
        <f t="shared" ca="1" si="72"/>
        <v>0</v>
      </c>
      <c r="P114" s="17">
        <f t="shared" ca="1" si="72"/>
        <v>0</v>
      </c>
      <c r="Q114" s="17">
        <f t="shared" ca="1" si="72"/>
        <v>0</v>
      </c>
      <c r="R114" s="17">
        <f t="shared" ca="1" si="72"/>
        <v>0</v>
      </c>
      <c r="S114" s="17">
        <f t="shared" ca="1" si="72"/>
        <v>0</v>
      </c>
      <c r="T114" s="17">
        <f t="shared" ca="1" si="72"/>
        <v>0</v>
      </c>
      <c r="U114" s="17">
        <f t="shared" ca="1" si="72"/>
        <v>0</v>
      </c>
      <c r="V114" s="17">
        <f t="shared" ca="1" si="72"/>
        <v>0</v>
      </c>
      <c r="W114" s="17">
        <f t="shared" ca="1" si="72"/>
        <v>0</v>
      </c>
      <c r="X114" s="17">
        <f t="shared" ca="1" si="72"/>
        <v>0</v>
      </c>
      <c r="Y114" s="17">
        <f t="shared" ca="1" si="72"/>
        <v>0</v>
      </c>
      <c r="Z114" s="17">
        <f t="shared" ca="1" si="72"/>
        <v>0</v>
      </c>
      <c r="AA114" s="17">
        <f t="shared" ca="1" si="72"/>
        <v>0</v>
      </c>
      <c r="AB114" s="17">
        <f t="shared" ca="1" si="72"/>
        <v>0</v>
      </c>
      <c r="AC114" s="17">
        <f t="shared" ca="1" si="72"/>
        <v>0</v>
      </c>
      <c r="AD114" s="17">
        <f t="shared" ca="1" si="72"/>
        <v>0</v>
      </c>
      <c r="AE114" s="17">
        <f t="shared" ca="1" si="72"/>
        <v>0</v>
      </c>
      <c r="AF114" s="17">
        <f t="shared" ca="1" si="72"/>
        <v>0</v>
      </c>
      <c r="AG114" s="17">
        <f t="shared" ca="1" si="72"/>
        <v>0</v>
      </c>
      <c r="AH114" s="17">
        <f t="shared" ca="1" si="72"/>
        <v>0</v>
      </c>
      <c r="AI114" s="17">
        <f t="shared" ca="1" si="72"/>
        <v>0</v>
      </c>
      <c r="AJ114" s="17">
        <f t="shared" ca="1" si="72"/>
        <v>0</v>
      </c>
      <c r="AK114" s="17">
        <f t="shared" ca="1" si="72"/>
        <v>0</v>
      </c>
      <c r="AL114" s="17">
        <f t="shared" ca="1" si="72"/>
        <v>0</v>
      </c>
      <c r="AM114" s="17">
        <f t="shared" si="72"/>
        <v>0</v>
      </c>
    </row>
    <row r="115" spans="1:39" x14ac:dyDescent="0.2">
      <c r="A115" s="13" t="s">
        <v>26</v>
      </c>
      <c r="C115" s="17">
        <v>0</v>
      </c>
      <c r="D115" s="17">
        <f t="shared" ref="D115:G115" ca="1" si="73">SUM(D113:D114)*princ</f>
        <v>10815</v>
      </c>
      <c r="E115" s="17">
        <f t="shared" ca="1" si="73"/>
        <v>11139.449999999999</v>
      </c>
      <c r="F115" s="17">
        <f t="shared" ca="1" si="73"/>
        <v>11473.6335</v>
      </c>
      <c r="G115" s="17">
        <f t="shared" ca="1" si="73"/>
        <v>11817.842505000001</v>
      </c>
      <c r="H115" s="17">
        <f t="shared" ref="H115:AM115" ca="1" si="74">SUM(H113:H114)*princ</f>
        <v>12172.37778015</v>
      </c>
      <c r="I115" s="17">
        <f t="shared" ca="1" si="74"/>
        <v>12537.5491135545</v>
      </c>
      <c r="J115" s="17">
        <f t="shared" ca="1" si="74"/>
        <v>12913.675586961133</v>
      </c>
      <c r="K115" s="17">
        <f t="shared" ca="1" si="74"/>
        <v>13301.085854569968</v>
      </c>
      <c r="L115" s="17">
        <f t="shared" ca="1" si="74"/>
        <v>13700.118430207067</v>
      </c>
      <c r="M115" s="17">
        <f t="shared" ca="1" si="74"/>
        <v>14111.12198311328</v>
      </c>
      <c r="N115" s="17">
        <f t="shared" ca="1" si="74"/>
        <v>14534.455642606679</v>
      </c>
      <c r="O115" s="17">
        <f t="shared" ca="1" si="74"/>
        <v>14970.489311884878</v>
      </c>
      <c r="P115" s="17">
        <f t="shared" ca="1" si="74"/>
        <v>15419.603991241424</v>
      </c>
      <c r="Q115" s="17">
        <f t="shared" ca="1" si="74"/>
        <v>15882.192110978665</v>
      </c>
      <c r="R115" s="17">
        <f t="shared" ca="1" si="74"/>
        <v>16358.657874308024</v>
      </c>
      <c r="S115" s="17">
        <f t="shared" ca="1" si="74"/>
        <v>16849.417610537264</v>
      </c>
      <c r="T115" s="17">
        <f t="shared" ca="1" si="74"/>
        <v>17354.900138853383</v>
      </c>
      <c r="U115" s="17">
        <f t="shared" ca="1" si="74"/>
        <v>17875.547143018983</v>
      </c>
      <c r="V115" s="17">
        <f t="shared" ca="1" si="74"/>
        <v>18411.813557309557</v>
      </c>
      <c r="W115" s="17">
        <f t="shared" ca="1" si="74"/>
        <v>18964.167964028842</v>
      </c>
      <c r="X115" s="17">
        <f t="shared" ca="1" si="74"/>
        <v>19533.09300294971</v>
      </c>
      <c r="Y115" s="17">
        <f t="shared" ca="1" si="74"/>
        <v>20119.085793038201</v>
      </c>
      <c r="Z115" s="17">
        <f t="shared" ca="1" si="74"/>
        <v>20722.65836682935</v>
      </c>
      <c r="AA115" s="17">
        <f t="shared" ca="1" si="74"/>
        <v>21344.338117834232</v>
      </c>
      <c r="AB115" s="17">
        <f t="shared" ca="1" si="74"/>
        <v>21984.668261369254</v>
      </c>
      <c r="AC115" s="17">
        <f t="shared" ca="1" si="74"/>
        <v>22644.208309210331</v>
      </c>
      <c r="AD115" s="17">
        <f t="shared" ca="1" si="74"/>
        <v>23323.534558486645</v>
      </c>
      <c r="AE115" s="17">
        <f t="shared" ca="1" si="74"/>
        <v>24023.240595241245</v>
      </c>
      <c r="AF115" s="17">
        <f t="shared" ca="1" si="74"/>
        <v>24743.937813098477</v>
      </c>
      <c r="AG115" s="17">
        <f t="shared" ca="1" si="74"/>
        <v>25486.255947491431</v>
      </c>
      <c r="AH115" s="17">
        <f t="shared" ca="1" si="74"/>
        <v>26250.843625916172</v>
      </c>
      <c r="AI115" s="17">
        <f t="shared" ca="1" si="74"/>
        <v>27038.368934693659</v>
      </c>
      <c r="AJ115" s="17">
        <f t="shared" ca="1" si="74"/>
        <v>27849.520002734465</v>
      </c>
      <c r="AK115" s="17">
        <f t="shared" ca="1" si="74"/>
        <v>28685.005602816502</v>
      </c>
      <c r="AL115" s="17">
        <f t="shared" ca="1" si="74"/>
        <v>29545.555770900995</v>
      </c>
      <c r="AM115" s="17">
        <f t="shared" ca="1" si="74"/>
        <v>30431.922444028027</v>
      </c>
    </row>
    <row r="116" spans="1:39" x14ac:dyDescent="0.2">
      <c r="A116" s="13" t="s">
        <v>27</v>
      </c>
      <c r="C116" s="17">
        <f ca="1">SUM(C113:C115)</f>
        <v>360500</v>
      </c>
      <c r="D116" s="17">
        <f t="shared" ref="D116:G116" ca="1" si="75">SUM(D113:D115)</f>
        <v>371315</v>
      </c>
      <c r="E116" s="17">
        <f t="shared" ca="1" si="75"/>
        <v>382454.45</v>
      </c>
      <c r="F116" s="17">
        <f t="shared" ca="1" si="75"/>
        <v>393928.08350000001</v>
      </c>
      <c r="G116" s="17">
        <f t="shared" ca="1" si="75"/>
        <v>405745.92600500002</v>
      </c>
      <c r="H116" s="17">
        <f t="shared" ref="H116:AM116" ca="1" si="76">SUM(H113:H115)</f>
        <v>417918.30378515</v>
      </c>
      <c r="I116" s="17">
        <f t="shared" ca="1" si="76"/>
        <v>430455.85289870447</v>
      </c>
      <c r="J116" s="17">
        <f t="shared" ca="1" si="76"/>
        <v>443369.52848566562</v>
      </c>
      <c r="K116" s="17">
        <f t="shared" ca="1" si="76"/>
        <v>456670.6143402356</v>
      </c>
      <c r="L116" s="17">
        <f t="shared" ca="1" si="76"/>
        <v>470370.73277044267</v>
      </c>
      <c r="M116" s="17">
        <f t="shared" ca="1" si="76"/>
        <v>484481.85475355596</v>
      </c>
      <c r="N116" s="17">
        <f t="shared" ca="1" si="76"/>
        <v>499016.31039616262</v>
      </c>
      <c r="O116" s="17">
        <f t="shared" ca="1" si="76"/>
        <v>513986.79970804747</v>
      </c>
      <c r="P116" s="17">
        <f t="shared" ca="1" si="76"/>
        <v>529406.40369928884</v>
      </c>
      <c r="Q116" s="17">
        <f t="shared" ca="1" si="76"/>
        <v>545288.59581026749</v>
      </c>
      <c r="R116" s="17">
        <f t="shared" ca="1" si="76"/>
        <v>561647.25368457555</v>
      </c>
      <c r="S116" s="17">
        <f t="shared" ca="1" si="76"/>
        <v>578496.67129511281</v>
      </c>
      <c r="T116" s="17">
        <f t="shared" ca="1" si="76"/>
        <v>595851.57143396616</v>
      </c>
      <c r="U116" s="17">
        <f t="shared" ca="1" si="76"/>
        <v>613727.1185769852</v>
      </c>
      <c r="V116" s="17">
        <f t="shared" ca="1" si="76"/>
        <v>632138.93213429477</v>
      </c>
      <c r="W116" s="17">
        <f t="shared" ca="1" si="76"/>
        <v>651103.10009832366</v>
      </c>
      <c r="X116" s="17">
        <f t="shared" ca="1" si="76"/>
        <v>670636.19310127338</v>
      </c>
      <c r="Y116" s="17">
        <f t="shared" ca="1" si="76"/>
        <v>690755.27889431163</v>
      </c>
      <c r="Z116" s="17">
        <f t="shared" ca="1" si="76"/>
        <v>711477.93726114102</v>
      </c>
      <c r="AA116" s="17">
        <f t="shared" ca="1" si="76"/>
        <v>732822.2753789752</v>
      </c>
      <c r="AB116" s="17">
        <f t="shared" ca="1" si="76"/>
        <v>754806.94364034443</v>
      </c>
      <c r="AC116" s="17">
        <f t="shared" ca="1" si="76"/>
        <v>777451.1519495548</v>
      </c>
      <c r="AD116" s="17">
        <f t="shared" ca="1" si="76"/>
        <v>800774.68650804146</v>
      </c>
      <c r="AE116" s="17">
        <f t="shared" ca="1" si="76"/>
        <v>824797.92710328265</v>
      </c>
      <c r="AF116" s="17">
        <f t="shared" ca="1" si="76"/>
        <v>849541.86491638108</v>
      </c>
      <c r="AG116" s="17">
        <f t="shared" ca="1" si="76"/>
        <v>875028.12086387246</v>
      </c>
      <c r="AH116" s="17">
        <f t="shared" ca="1" si="76"/>
        <v>901278.96448978863</v>
      </c>
      <c r="AI116" s="17">
        <f t="shared" ca="1" si="76"/>
        <v>928317.33342448226</v>
      </c>
      <c r="AJ116" s="17">
        <f t="shared" ca="1" si="76"/>
        <v>956166.85342721676</v>
      </c>
      <c r="AK116" s="17">
        <f t="shared" ca="1" si="76"/>
        <v>984851.85903003323</v>
      </c>
      <c r="AL116" s="17">
        <f t="shared" ca="1" si="76"/>
        <v>1014397.4148009343</v>
      </c>
      <c r="AM116" s="17">
        <f t="shared" ca="1" si="76"/>
        <v>1044829.3372449623</v>
      </c>
    </row>
    <row r="117" spans="1:39" x14ac:dyDescent="0.2">
      <c r="A117" s="13" t="s">
        <v>28</v>
      </c>
      <c r="C117" s="17">
        <f ca="1">C114*Inputs!$C$163</f>
        <v>0</v>
      </c>
      <c r="D117" s="17">
        <f ca="1">D114*Inputs!$C$163</f>
        <v>0</v>
      </c>
      <c r="E117" s="17">
        <f ca="1">E114*Inputs!$C$163</f>
        <v>0</v>
      </c>
      <c r="F117" s="17">
        <f ca="1">F114*Inputs!$C$163</f>
        <v>0</v>
      </c>
      <c r="G117" s="17">
        <f ca="1">G114*Inputs!$C$163</f>
        <v>0</v>
      </c>
      <c r="H117" s="17">
        <f ca="1">H114*Inputs!$C$163</f>
        <v>0</v>
      </c>
      <c r="I117" s="17">
        <f ca="1">I114*Inputs!$C$163</f>
        <v>0</v>
      </c>
      <c r="J117" s="17">
        <f ca="1">J114*Inputs!$C$163</f>
        <v>0</v>
      </c>
      <c r="K117" s="17">
        <f ca="1">K114*Inputs!$C$163</f>
        <v>0</v>
      </c>
      <c r="L117" s="17">
        <f ca="1">L114*Inputs!$C$163</f>
        <v>0</v>
      </c>
      <c r="M117" s="17">
        <f ca="1">M114*Inputs!$C$163</f>
        <v>0</v>
      </c>
      <c r="N117" s="17">
        <f ca="1">N114*Inputs!$C$163</f>
        <v>0</v>
      </c>
      <c r="O117" s="17">
        <f ca="1">O114*Inputs!$C$163</f>
        <v>0</v>
      </c>
      <c r="P117" s="17">
        <f ca="1">P114*Inputs!$C$163</f>
        <v>0</v>
      </c>
      <c r="Q117" s="17">
        <f ca="1">Q114*Inputs!$C$163</f>
        <v>0</v>
      </c>
      <c r="R117" s="17">
        <f ca="1">R114*Inputs!$C$163</f>
        <v>0</v>
      </c>
      <c r="S117" s="17">
        <f ca="1">S114*Inputs!$C$163</f>
        <v>0</v>
      </c>
      <c r="T117" s="17">
        <f ca="1">T114*Inputs!$C$163</f>
        <v>0</v>
      </c>
      <c r="U117" s="17">
        <f ca="1">U114*Inputs!$C$163</f>
        <v>0</v>
      </c>
      <c r="V117" s="17">
        <f ca="1">V114*Inputs!$C$163</f>
        <v>0</v>
      </c>
      <c r="W117" s="17">
        <f ca="1">W114*Inputs!$C$163</f>
        <v>0</v>
      </c>
      <c r="X117" s="17">
        <f ca="1">X114*Inputs!$C$163</f>
        <v>0</v>
      </c>
      <c r="Y117" s="17">
        <f ca="1">Y114*Inputs!$C$163</f>
        <v>0</v>
      </c>
      <c r="Z117" s="17">
        <f ca="1">Z114*Inputs!$C$163</f>
        <v>0</v>
      </c>
      <c r="AA117" s="17">
        <f ca="1">AA114*Inputs!$C$163</f>
        <v>0</v>
      </c>
      <c r="AB117" s="17">
        <f ca="1">AB114*Inputs!$C$163</f>
        <v>0</v>
      </c>
      <c r="AC117" s="17">
        <f ca="1">AC114*Inputs!$C$163</f>
        <v>0</v>
      </c>
      <c r="AD117" s="17">
        <f ca="1">AD114*Inputs!$C$163</f>
        <v>0</v>
      </c>
      <c r="AE117" s="17">
        <f ca="1">AE114*Inputs!$C$163</f>
        <v>0</v>
      </c>
      <c r="AF117" s="17">
        <f ca="1">AF114*Inputs!$C$163</f>
        <v>0</v>
      </c>
      <c r="AG117" s="17">
        <f ca="1">AG114*Inputs!$C$163</f>
        <v>0</v>
      </c>
      <c r="AH117" s="17">
        <f ca="1">AH114*Inputs!$C$163</f>
        <v>0</v>
      </c>
      <c r="AI117" s="17">
        <f ca="1">AI114*Inputs!$C$163</f>
        <v>0</v>
      </c>
      <c r="AJ117" s="17">
        <f ca="1">AJ114*Inputs!$C$163</f>
        <v>0</v>
      </c>
      <c r="AK117" s="17">
        <f ca="1">AK114*Inputs!$C$163</f>
        <v>0</v>
      </c>
      <c r="AL117" s="17">
        <f ca="1">AL114*Inputs!$C$163</f>
        <v>0</v>
      </c>
      <c r="AM117" s="17">
        <f>AM114*Inputs!$C$163</f>
        <v>0</v>
      </c>
    </row>
    <row r="118" spans="1:39" x14ac:dyDescent="0.2">
      <c r="A118" s="13" t="s">
        <v>35</v>
      </c>
      <c r="C118" s="17">
        <f>IFERROR(-IF(C113=0,VLOOKUP($A112,$7:$10,C$1+2,FALSE),0),0)</f>
        <v>0</v>
      </c>
      <c r="D118" s="17">
        <f t="shared" ref="D118:G118" ca="1" si="77">IFERROR(-IF(D113=0,VLOOKUP($A112,$7:$10,D$1+2,FALSE),0),0)</f>
        <v>0</v>
      </c>
      <c r="E118" s="17">
        <f t="shared" ca="1" si="77"/>
        <v>0</v>
      </c>
      <c r="F118" s="17">
        <f t="shared" ca="1" si="77"/>
        <v>0</v>
      </c>
      <c r="G118" s="17">
        <f t="shared" ca="1" si="77"/>
        <v>0</v>
      </c>
      <c r="H118" s="17">
        <f t="shared" ref="H118:AM118" ca="1" si="78">IFERROR(-IF(H113=0,VLOOKUP($A112,$7:$10,H$1+2,FALSE),0),0)</f>
        <v>0</v>
      </c>
      <c r="I118" s="17">
        <f t="shared" ca="1" si="78"/>
        <v>0</v>
      </c>
      <c r="J118" s="17">
        <f t="shared" ca="1" si="78"/>
        <v>0</v>
      </c>
      <c r="K118" s="17">
        <f t="shared" ca="1" si="78"/>
        <v>0</v>
      </c>
      <c r="L118" s="17">
        <f t="shared" ca="1" si="78"/>
        <v>0</v>
      </c>
      <c r="M118" s="17">
        <f t="shared" ca="1" si="78"/>
        <v>0</v>
      </c>
      <c r="N118" s="17">
        <f t="shared" ca="1" si="78"/>
        <v>0</v>
      </c>
      <c r="O118" s="17">
        <f t="shared" ca="1" si="78"/>
        <v>0</v>
      </c>
      <c r="P118" s="17">
        <f t="shared" ca="1" si="78"/>
        <v>0</v>
      </c>
      <c r="Q118" s="17">
        <f t="shared" ca="1" si="78"/>
        <v>0</v>
      </c>
      <c r="R118" s="17">
        <f t="shared" ca="1" si="78"/>
        <v>0</v>
      </c>
      <c r="S118" s="17">
        <f t="shared" ca="1" si="78"/>
        <v>0</v>
      </c>
      <c r="T118" s="17">
        <f t="shared" ca="1" si="78"/>
        <v>0</v>
      </c>
      <c r="U118" s="17">
        <f t="shared" ca="1" si="78"/>
        <v>0</v>
      </c>
      <c r="V118" s="17">
        <f t="shared" ca="1" si="78"/>
        <v>0</v>
      </c>
      <c r="W118" s="17">
        <f t="shared" ca="1" si="78"/>
        <v>0</v>
      </c>
      <c r="X118" s="17">
        <f t="shared" ca="1" si="78"/>
        <v>0</v>
      </c>
      <c r="Y118" s="17">
        <f t="shared" ca="1" si="78"/>
        <v>0</v>
      </c>
      <c r="Z118" s="17">
        <f t="shared" ca="1" si="78"/>
        <v>0</v>
      </c>
      <c r="AA118" s="17">
        <f t="shared" ca="1" si="78"/>
        <v>0</v>
      </c>
      <c r="AB118" s="17">
        <f t="shared" ca="1" si="78"/>
        <v>0</v>
      </c>
      <c r="AC118" s="17">
        <f t="shared" ca="1" si="78"/>
        <v>0</v>
      </c>
      <c r="AD118" s="17">
        <f t="shared" ca="1" si="78"/>
        <v>0</v>
      </c>
      <c r="AE118" s="17">
        <f t="shared" ca="1" si="78"/>
        <v>0</v>
      </c>
      <c r="AF118" s="17">
        <f t="shared" ca="1" si="78"/>
        <v>0</v>
      </c>
      <c r="AG118" s="17">
        <f t="shared" ca="1" si="78"/>
        <v>0</v>
      </c>
      <c r="AH118" s="17">
        <f t="shared" ca="1" si="78"/>
        <v>0</v>
      </c>
      <c r="AI118" s="17">
        <f t="shared" ca="1" si="78"/>
        <v>0</v>
      </c>
      <c r="AJ118" s="17">
        <f t="shared" ca="1" si="78"/>
        <v>0</v>
      </c>
      <c r="AK118" s="17">
        <f t="shared" ca="1" si="78"/>
        <v>0</v>
      </c>
      <c r="AL118" s="17">
        <f t="shared" ca="1" si="78"/>
        <v>0</v>
      </c>
      <c r="AM118" s="17">
        <f t="shared" ca="1" si="78"/>
        <v>0</v>
      </c>
    </row>
    <row r="119" spans="1:39" x14ac:dyDescent="0.2">
      <c r="A119" s="13" t="s">
        <v>55</v>
      </c>
      <c r="C119" s="17">
        <f>IFERROR(IF(C113=0,VLOOKUP($A112,$33:$36,C$1+2,FALSE),0),0)</f>
        <v>0</v>
      </c>
      <c r="D119" s="17">
        <f t="shared" ref="D119:G119" ca="1" si="79">IFERROR(IF(D113=0,VLOOKUP($A112,$33:$36,D$1+2,FALSE),0),0)</f>
        <v>0</v>
      </c>
      <c r="E119" s="17">
        <f t="shared" ca="1" si="79"/>
        <v>0</v>
      </c>
      <c r="F119" s="17">
        <f t="shared" ca="1" si="79"/>
        <v>0</v>
      </c>
      <c r="G119" s="17">
        <f t="shared" ca="1" si="79"/>
        <v>0</v>
      </c>
      <c r="H119" s="17">
        <f t="shared" ref="H119:AM119" ca="1" si="80">IFERROR(IF(H113=0,VLOOKUP($A112,$33:$36,H$1+2,FALSE),0),0)</f>
        <v>0</v>
      </c>
      <c r="I119" s="17">
        <f t="shared" ca="1" si="80"/>
        <v>0</v>
      </c>
      <c r="J119" s="17">
        <f t="shared" ca="1" si="80"/>
        <v>0</v>
      </c>
      <c r="K119" s="17">
        <f t="shared" ca="1" si="80"/>
        <v>0</v>
      </c>
      <c r="L119" s="17">
        <f t="shared" ca="1" si="80"/>
        <v>0</v>
      </c>
      <c r="M119" s="17">
        <f t="shared" ca="1" si="80"/>
        <v>0</v>
      </c>
      <c r="N119" s="17">
        <f t="shared" ca="1" si="80"/>
        <v>0</v>
      </c>
      <c r="O119" s="17">
        <f t="shared" ca="1" si="80"/>
        <v>0</v>
      </c>
      <c r="P119" s="17">
        <f t="shared" ca="1" si="80"/>
        <v>0</v>
      </c>
      <c r="Q119" s="17">
        <f t="shared" ca="1" si="80"/>
        <v>0</v>
      </c>
      <c r="R119" s="17">
        <f t="shared" ca="1" si="80"/>
        <v>0</v>
      </c>
      <c r="S119" s="17">
        <f t="shared" ca="1" si="80"/>
        <v>0</v>
      </c>
      <c r="T119" s="17">
        <f t="shared" ca="1" si="80"/>
        <v>0</v>
      </c>
      <c r="U119" s="17">
        <f t="shared" ca="1" si="80"/>
        <v>0</v>
      </c>
      <c r="V119" s="17">
        <f t="shared" ca="1" si="80"/>
        <v>0</v>
      </c>
      <c r="W119" s="17">
        <f t="shared" ca="1" si="80"/>
        <v>0</v>
      </c>
      <c r="X119" s="17">
        <f t="shared" ca="1" si="80"/>
        <v>0</v>
      </c>
      <c r="Y119" s="17">
        <f t="shared" ca="1" si="80"/>
        <v>0</v>
      </c>
      <c r="Z119" s="17">
        <f t="shared" ca="1" si="80"/>
        <v>0</v>
      </c>
      <c r="AA119" s="17">
        <f t="shared" ca="1" si="80"/>
        <v>0</v>
      </c>
      <c r="AB119" s="17">
        <f t="shared" ca="1" si="80"/>
        <v>0</v>
      </c>
      <c r="AC119" s="17">
        <f t="shared" ca="1" si="80"/>
        <v>0</v>
      </c>
      <c r="AD119" s="17">
        <f t="shared" ca="1" si="80"/>
        <v>0</v>
      </c>
      <c r="AE119" s="17">
        <f t="shared" ca="1" si="80"/>
        <v>0</v>
      </c>
      <c r="AF119" s="17">
        <f t="shared" ca="1" si="80"/>
        <v>0</v>
      </c>
      <c r="AG119" s="17">
        <f t="shared" ca="1" si="80"/>
        <v>0</v>
      </c>
      <c r="AH119" s="17">
        <f t="shared" ca="1" si="80"/>
        <v>0</v>
      </c>
      <c r="AI119" s="17">
        <f t="shared" ca="1" si="80"/>
        <v>0</v>
      </c>
      <c r="AJ119" s="17">
        <f t="shared" ca="1" si="80"/>
        <v>0</v>
      </c>
      <c r="AK119" s="17">
        <f t="shared" ca="1" si="80"/>
        <v>0</v>
      </c>
      <c r="AL119" s="17">
        <f t="shared" ca="1" si="80"/>
        <v>0</v>
      </c>
      <c r="AM119" s="17">
        <f t="shared" ca="1" si="80"/>
        <v>0</v>
      </c>
    </row>
    <row r="120" spans="1:39" x14ac:dyDescent="0.2">
      <c r="A120" s="13" t="s">
        <v>41</v>
      </c>
      <c r="B120" s="27" t="str">
        <f>A112</f>
        <v>Gzira</v>
      </c>
      <c r="C120" s="17">
        <f ca="1">IF(AND(C113&gt;0,C116=0),VLOOKUP($A112,$61:$64,C$1+2,FALSE),0)</f>
        <v>0</v>
      </c>
      <c r="D120" s="17">
        <f t="shared" ref="D120:G120" ca="1" si="81">IF(AND(D113&gt;0,D116=0),VLOOKUP($A112,$61:$64,D$1+2,FALSE),0)</f>
        <v>0</v>
      </c>
      <c r="E120" s="17">
        <f t="shared" ca="1" si="81"/>
        <v>0</v>
      </c>
      <c r="F120" s="17">
        <f t="shared" ca="1" si="81"/>
        <v>0</v>
      </c>
      <c r="G120" s="17">
        <f t="shared" ca="1" si="81"/>
        <v>0</v>
      </c>
      <c r="H120" s="17">
        <f t="shared" ref="H120:AM120" ca="1" si="82">IF(AND(H113&gt;0,H116=0),VLOOKUP($A112,$61:$64,H$1+2,FALSE),0)</f>
        <v>0</v>
      </c>
      <c r="I120" s="17">
        <f t="shared" ca="1" si="82"/>
        <v>0</v>
      </c>
      <c r="J120" s="17">
        <f t="shared" ca="1" si="82"/>
        <v>0</v>
      </c>
      <c r="K120" s="17">
        <f t="shared" ca="1" si="82"/>
        <v>0</v>
      </c>
      <c r="L120" s="17">
        <f t="shared" ca="1" si="82"/>
        <v>0</v>
      </c>
      <c r="M120" s="17">
        <f t="shared" ca="1" si="82"/>
        <v>0</v>
      </c>
      <c r="N120" s="17">
        <f t="shared" ca="1" si="82"/>
        <v>0</v>
      </c>
      <c r="O120" s="17">
        <f t="shared" ca="1" si="82"/>
        <v>0</v>
      </c>
      <c r="P120" s="17">
        <f t="shared" ca="1" si="82"/>
        <v>0</v>
      </c>
      <c r="Q120" s="17">
        <f t="shared" ca="1" si="82"/>
        <v>0</v>
      </c>
      <c r="R120" s="17">
        <f t="shared" ca="1" si="82"/>
        <v>0</v>
      </c>
      <c r="S120" s="17">
        <f t="shared" ca="1" si="82"/>
        <v>0</v>
      </c>
      <c r="T120" s="17">
        <f t="shared" ca="1" si="82"/>
        <v>0</v>
      </c>
      <c r="U120" s="17">
        <f t="shared" ca="1" si="82"/>
        <v>0</v>
      </c>
      <c r="V120" s="17">
        <f t="shared" ca="1" si="82"/>
        <v>0</v>
      </c>
      <c r="W120" s="17">
        <f t="shared" ca="1" si="82"/>
        <v>0</v>
      </c>
      <c r="X120" s="17">
        <f t="shared" ca="1" si="82"/>
        <v>0</v>
      </c>
      <c r="Y120" s="17">
        <f t="shared" ca="1" si="82"/>
        <v>0</v>
      </c>
      <c r="Z120" s="17">
        <f t="shared" ca="1" si="82"/>
        <v>0</v>
      </c>
      <c r="AA120" s="17">
        <f t="shared" ca="1" si="82"/>
        <v>0</v>
      </c>
      <c r="AB120" s="17">
        <f t="shared" ca="1" si="82"/>
        <v>0</v>
      </c>
      <c r="AC120" s="17">
        <f t="shared" ca="1" si="82"/>
        <v>0</v>
      </c>
      <c r="AD120" s="17">
        <f t="shared" ca="1" si="82"/>
        <v>0</v>
      </c>
      <c r="AE120" s="17">
        <f t="shared" ca="1" si="82"/>
        <v>0</v>
      </c>
      <c r="AF120" s="17">
        <f t="shared" ca="1" si="82"/>
        <v>0</v>
      </c>
      <c r="AG120" s="17">
        <f t="shared" ca="1" si="82"/>
        <v>0</v>
      </c>
      <c r="AH120" s="17">
        <f t="shared" ca="1" si="82"/>
        <v>0</v>
      </c>
      <c r="AI120" s="17">
        <f t="shared" ca="1" si="82"/>
        <v>0</v>
      </c>
      <c r="AJ120" s="17">
        <f t="shared" ca="1" si="82"/>
        <v>0</v>
      </c>
      <c r="AK120" s="17">
        <f t="shared" ca="1" si="82"/>
        <v>0</v>
      </c>
      <c r="AL120" s="17">
        <f t="shared" ca="1" si="82"/>
        <v>0</v>
      </c>
      <c r="AM120" s="17">
        <f t="shared" ca="1" si="82"/>
        <v>0</v>
      </c>
    </row>
    <row r="121" spans="1:39" x14ac:dyDescent="0.2">
      <c r="A121" s="13" t="s">
        <v>42</v>
      </c>
      <c r="C121" s="17">
        <f ca="1">-C114+SUM(C117:C120)</f>
        <v>0</v>
      </c>
      <c r="D121" s="17">
        <f t="shared" ref="D121" ca="1" si="83">-D114+SUM(D117:D120)</f>
        <v>0</v>
      </c>
      <c r="E121" s="17">
        <f t="shared" ref="E121:G121" ca="1" si="84">-E114+SUM(E117:E120)</f>
        <v>0</v>
      </c>
      <c r="F121" s="17">
        <f t="shared" ca="1" si="84"/>
        <v>0</v>
      </c>
      <c r="G121" s="17">
        <f t="shared" ca="1" si="84"/>
        <v>0</v>
      </c>
      <c r="H121" s="17">
        <f t="shared" ref="H121:AM121" ca="1" si="85">-H114+SUM(H117:H120)</f>
        <v>0</v>
      </c>
      <c r="I121" s="17">
        <f t="shared" ca="1" si="85"/>
        <v>0</v>
      </c>
      <c r="J121" s="17">
        <f t="shared" ca="1" si="85"/>
        <v>0</v>
      </c>
      <c r="K121" s="17">
        <f t="shared" ca="1" si="85"/>
        <v>0</v>
      </c>
      <c r="L121" s="17">
        <f t="shared" ca="1" si="85"/>
        <v>0</v>
      </c>
      <c r="M121" s="17">
        <f t="shared" ca="1" si="85"/>
        <v>0</v>
      </c>
      <c r="N121" s="17">
        <f t="shared" ca="1" si="85"/>
        <v>0</v>
      </c>
      <c r="O121" s="17">
        <f t="shared" ca="1" si="85"/>
        <v>0</v>
      </c>
      <c r="P121" s="17">
        <f t="shared" ca="1" si="85"/>
        <v>0</v>
      </c>
      <c r="Q121" s="17">
        <f t="shared" ca="1" si="85"/>
        <v>0</v>
      </c>
      <c r="R121" s="17">
        <f t="shared" ca="1" si="85"/>
        <v>0</v>
      </c>
      <c r="S121" s="17">
        <f t="shared" ca="1" si="85"/>
        <v>0</v>
      </c>
      <c r="T121" s="17">
        <f t="shared" ca="1" si="85"/>
        <v>0</v>
      </c>
      <c r="U121" s="17">
        <f t="shared" ca="1" si="85"/>
        <v>0</v>
      </c>
      <c r="V121" s="17">
        <f t="shared" ca="1" si="85"/>
        <v>0</v>
      </c>
      <c r="W121" s="17">
        <f t="shared" ca="1" si="85"/>
        <v>0</v>
      </c>
      <c r="X121" s="17">
        <f t="shared" ca="1" si="85"/>
        <v>0</v>
      </c>
      <c r="Y121" s="17">
        <f t="shared" ca="1" si="85"/>
        <v>0</v>
      </c>
      <c r="Z121" s="17">
        <f t="shared" ca="1" si="85"/>
        <v>0</v>
      </c>
      <c r="AA121" s="17">
        <f t="shared" ca="1" si="85"/>
        <v>0</v>
      </c>
      <c r="AB121" s="17">
        <f t="shared" ca="1" si="85"/>
        <v>0</v>
      </c>
      <c r="AC121" s="17">
        <f t="shared" ca="1" si="85"/>
        <v>0</v>
      </c>
      <c r="AD121" s="17">
        <f t="shared" ca="1" si="85"/>
        <v>0</v>
      </c>
      <c r="AE121" s="17">
        <f t="shared" ca="1" si="85"/>
        <v>0</v>
      </c>
      <c r="AF121" s="17">
        <f t="shared" ca="1" si="85"/>
        <v>0</v>
      </c>
      <c r="AG121" s="17">
        <f t="shared" ca="1" si="85"/>
        <v>0</v>
      </c>
      <c r="AH121" s="17">
        <f t="shared" ca="1" si="85"/>
        <v>0</v>
      </c>
      <c r="AI121" s="17">
        <f t="shared" ca="1" si="85"/>
        <v>0</v>
      </c>
      <c r="AJ121" s="17">
        <f t="shared" ca="1" si="85"/>
        <v>0</v>
      </c>
      <c r="AK121" s="17">
        <f t="shared" ca="1" si="85"/>
        <v>0</v>
      </c>
      <c r="AL121" s="17">
        <f t="shared" ca="1" si="85"/>
        <v>0</v>
      </c>
      <c r="AM121" s="17">
        <f t="shared" ca="1" si="85"/>
        <v>0</v>
      </c>
    </row>
    <row r="122" spans="1:39" x14ac:dyDescent="0.2">
      <c r="A122" s="13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</row>
    <row r="123" spans="1:39" x14ac:dyDescent="0.2">
      <c r="A123" s="13" t="s">
        <v>56</v>
      </c>
      <c r="C123" s="17">
        <f ca="1">C109+SUM($C121:C121)</f>
        <v>714578.8</v>
      </c>
      <c r="D123" s="17">
        <f ca="1">D109+SUM($C121:D121)</f>
        <v>824098.44559532881</v>
      </c>
      <c r="E123" s="17">
        <f ca="1">E109+SUM($C121:E121)</f>
        <v>995440.1709443531</v>
      </c>
      <c r="F123" s="17">
        <f ca="1">F109+SUM($C121:F121)</f>
        <v>1190110.0184140191</v>
      </c>
      <c r="G123" s="17">
        <f ca="1">G109+SUM($C121:G121)</f>
        <v>1354181.3950869064</v>
      </c>
      <c r="H123" s="17">
        <f ca="1">H109+SUM($C121:H121)</f>
        <v>1567917.714493009</v>
      </c>
      <c r="I123" s="17">
        <f ca="1">I109+SUM($C121:I121)</f>
        <v>1828871.6343659752</v>
      </c>
      <c r="J123" s="17">
        <f ca="1">J109+SUM($C121:J121)</f>
        <v>2073997.9163702845</v>
      </c>
      <c r="K123" s="17">
        <f ca="1">K109+SUM($C121:K121)</f>
        <v>2301632.8826445597</v>
      </c>
      <c r="L123" s="17">
        <f ca="1">L109+SUM($C121:L121)</f>
        <v>2573245.7366445996</v>
      </c>
      <c r="M123" s="17">
        <f ca="1">M109+SUM($C121:M121)</f>
        <v>2859326.8920514602</v>
      </c>
      <c r="N123" s="17">
        <f ca="1">N109+SUM($C121:N121)</f>
        <v>3168702.5795119987</v>
      </c>
      <c r="O123" s="17">
        <f ca="1">O109+SUM($C121:O121)</f>
        <v>3502780.7015976864</v>
      </c>
      <c r="P123" s="17">
        <f ca="1">P109+SUM($C121:P121)</f>
        <v>3853294.3799924105</v>
      </c>
      <c r="Q123" s="17">
        <f ca="1">Q109+SUM($C121:Q121)</f>
        <v>4220907.9563648272</v>
      </c>
      <c r="R123" s="17">
        <f ca="1">R109+SUM($C121:R121)</f>
        <v>4606310.2581247194</v>
      </c>
      <c r="S123" s="17">
        <f ca="1">S109+SUM($C121:S121)</f>
        <v>4707808.3289191956</v>
      </c>
      <c r="T123" s="17">
        <f ca="1">T109+SUM($C121:T121)</f>
        <v>4821048.3966188617</v>
      </c>
      <c r="U123" s="17">
        <f ca="1">U109+SUM($C121:U121)</f>
        <v>4937319.3600282837</v>
      </c>
      <c r="V123" s="17">
        <f ca="1">V109+SUM($C121:V121)</f>
        <v>5056711.3270665482</v>
      </c>
      <c r="W123" s="17">
        <f ca="1">W109+SUM($C121:W121)</f>
        <v>5179317.296884154</v>
      </c>
      <c r="X123" s="17">
        <f ca="1">X109+SUM($C121:X121)</f>
        <v>5305233.2565114927</v>
      </c>
      <c r="Y123" s="17">
        <f ca="1">Y109+SUM($C121:Y121)</f>
        <v>5434558.280784863</v>
      </c>
      <c r="Z123" s="17">
        <f ca="1">Z109+SUM($C121:Z121)</f>
        <v>5567394.6356610563</v>
      </c>
      <c r="AA123" s="17">
        <f ca="1">AA109+SUM($C121:AA121)</f>
        <v>5703847.8850352764</v>
      </c>
      <c r="AB123" s="17">
        <f ca="1">AB109+SUM($C121:AB121)</f>
        <v>5844027.0011810185</v>
      </c>
      <c r="AC123" s="17">
        <f ca="1">AC109+SUM($C121:AC121)</f>
        <v>5988044.4789345022</v>
      </c>
      <c r="AD123" s="17">
        <f ca="1">AD109+SUM($C121:AD121)</f>
        <v>6147849.338861553</v>
      </c>
      <c r="AE123" s="17">
        <f ca="1">AE109+SUM($C121:AE121)</f>
        <v>6312320.238237597</v>
      </c>
      <c r="AF123" s="17">
        <f ca="1">AF109+SUM($C121:AF121)</f>
        <v>6481603.1507251877</v>
      </c>
      <c r="AG123" s="17">
        <f ca="1">AG109+SUM($C121:AG121)</f>
        <v>6655848.8088871781</v>
      </c>
      <c r="AH123" s="17">
        <f ca="1">AH109+SUM($C121:AH121)</f>
        <v>6835212.8621929521</v>
      </c>
      <c r="AI123" s="17">
        <f ca="1">AI109+SUM($C121:AI121)</f>
        <v>7019856.0402894933</v>
      </c>
      <c r="AJ123" s="17">
        <f ca="1">AJ109+SUM($C121:AJ121)</f>
        <v>7209944.3217119556</v>
      </c>
      <c r="AK123" s="17">
        <f ca="1">AK109+SUM($C121:AK121)</f>
        <v>7405649.1082141232</v>
      </c>
      <c r="AL123" s="17">
        <f ca="1">AL109+SUM($C121:AL121)</f>
        <v>7607147.4049051059</v>
      </c>
      <c r="AM123" s="17">
        <f ca="1">AM109+SUM($C121:AM121)</f>
        <v>7814622.0063847229</v>
      </c>
    </row>
    <row r="124" spans="1:39" x14ac:dyDescent="0.2">
      <c r="A124" s="13" t="s">
        <v>86</v>
      </c>
      <c r="C124" s="17">
        <f ca="1">MAX(C123,0)-MAX(C53,0)</f>
        <v>0</v>
      </c>
      <c r="D124" s="17">
        <f t="shared" ref="D124:G124" ca="1" si="86">MAX(D123,0)-MAX(D53,0)</f>
        <v>0</v>
      </c>
      <c r="E124" s="17">
        <f t="shared" ca="1" si="86"/>
        <v>0</v>
      </c>
      <c r="F124" s="17">
        <f t="shared" ca="1" si="86"/>
        <v>0</v>
      </c>
      <c r="G124" s="17">
        <f t="shared" ca="1" si="86"/>
        <v>0</v>
      </c>
      <c r="H124" s="17">
        <f t="shared" ref="H124:AM124" ca="1" si="87">MAX(H123,0)-MAX(H53,0)</f>
        <v>0</v>
      </c>
      <c r="I124" s="17">
        <f t="shared" ca="1" si="87"/>
        <v>0</v>
      </c>
      <c r="J124" s="17">
        <f t="shared" ca="1" si="87"/>
        <v>0</v>
      </c>
      <c r="K124" s="17">
        <f t="shared" ca="1" si="87"/>
        <v>0</v>
      </c>
      <c r="L124" s="17">
        <f t="shared" ca="1" si="87"/>
        <v>0</v>
      </c>
      <c r="M124" s="17">
        <f t="shared" ca="1" si="87"/>
        <v>0</v>
      </c>
      <c r="N124" s="17">
        <f t="shared" ca="1" si="87"/>
        <v>0</v>
      </c>
      <c r="O124" s="17">
        <f t="shared" ca="1" si="87"/>
        <v>0</v>
      </c>
      <c r="P124" s="17">
        <f t="shared" ca="1" si="87"/>
        <v>0</v>
      </c>
      <c r="Q124" s="17">
        <f t="shared" ca="1" si="87"/>
        <v>0</v>
      </c>
      <c r="R124" s="17">
        <f t="shared" ca="1" si="87"/>
        <v>0</v>
      </c>
      <c r="S124" s="17">
        <f t="shared" ca="1" si="87"/>
        <v>0</v>
      </c>
      <c r="T124" s="17">
        <f t="shared" ca="1" si="87"/>
        <v>0</v>
      </c>
      <c r="U124" s="17">
        <f t="shared" ca="1" si="87"/>
        <v>0</v>
      </c>
      <c r="V124" s="17">
        <f t="shared" ca="1" si="87"/>
        <v>0</v>
      </c>
      <c r="W124" s="17">
        <f t="shared" ca="1" si="87"/>
        <v>0</v>
      </c>
      <c r="X124" s="17">
        <f t="shared" ca="1" si="87"/>
        <v>0</v>
      </c>
      <c r="Y124" s="17">
        <f t="shared" ca="1" si="87"/>
        <v>0</v>
      </c>
      <c r="Z124" s="17">
        <f t="shared" ca="1" si="87"/>
        <v>0</v>
      </c>
      <c r="AA124" s="17">
        <f t="shared" ca="1" si="87"/>
        <v>0</v>
      </c>
      <c r="AB124" s="17">
        <f t="shared" ca="1" si="87"/>
        <v>0</v>
      </c>
      <c r="AC124" s="17">
        <f t="shared" ca="1" si="87"/>
        <v>0</v>
      </c>
      <c r="AD124" s="17">
        <f t="shared" ca="1" si="87"/>
        <v>0</v>
      </c>
      <c r="AE124" s="17">
        <f t="shared" ca="1" si="87"/>
        <v>0</v>
      </c>
      <c r="AF124" s="17">
        <f t="shared" ca="1" si="87"/>
        <v>0</v>
      </c>
      <c r="AG124" s="17">
        <f t="shared" ca="1" si="87"/>
        <v>0</v>
      </c>
      <c r="AH124" s="17">
        <f t="shared" ca="1" si="87"/>
        <v>0</v>
      </c>
      <c r="AI124" s="17">
        <f t="shared" ca="1" si="87"/>
        <v>0</v>
      </c>
      <c r="AJ124" s="17">
        <f t="shared" ca="1" si="87"/>
        <v>0</v>
      </c>
      <c r="AK124" s="17">
        <f t="shared" ca="1" si="87"/>
        <v>0</v>
      </c>
      <c r="AL124" s="17">
        <f t="shared" ca="1" si="87"/>
        <v>0</v>
      </c>
      <c r="AM124" s="17">
        <f t="shared" ca="1" si="87"/>
        <v>0</v>
      </c>
    </row>
    <row r="125" spans="1:39" x14ac:dyDescent="0.2">
      <c r="A125" s="13" t="s">
        <v>87</v>
      </c>
      <c r="C125" s="17">
        <f ca="1">C124*Inputs!$C$149</f>
        <v>0</v>
      </c>
      <c r="D125" s="17">
        <f ca="1">D124*Inputs!$C$149</f>
        <v>0</v>
      </c>
      <c r="E125" s="17">
        <f ca="1">E124*Inputs!$C$149</f>
        <v>0</v>
      </c>
      <c r="F125" s="17">
        <f ca="1">F124*Inputs!$C$149</f>
        <v>0</v>
      </c>
      <c r="G125" s="17">
        <f ca="1">G124*Inputs!$C$149</f>
        <v>0</v>
      </c>
      <c r="H125" s="17">
        <f ca="1">H124*Inputs!$C$149</f>
        <v>0</v>
      </c>
      <c r="I125" s="17">
        <f ca="1">I124*Inputs!$C$149</f>
        <v>0</v>
      </c>
      <c r="J125" s="17">
        <f ca="1">J124*Inputs!$C$149</f>
        <v>0</v>
      </c>
      <c r="K125" s="17">
        <f ca="1">K124*Inputs!$C$149</f>
        <v>0</v>
      </c>
      <c r="L125" s="17">
        <f ca="1">L124*Inputs!$C$149</f>
        <v>0</v>
      </c>
      <c r="M125" s="17">
        <f ca="1">M124*Inputs!$C$149</f>
        <v>0</v>
      </c>
      <c r="N125" s="17">
        <f ca="1">N124*Inputs!$C$149</f>
        <v>0</v>
      </c>
      <c r="O125" s="17">
        <f ca="1">O124*Inputs!$C$149</f>
        <v>0</v>
      </c>
      <c r="P125" s="17">
        <f ca="1">P124*Inputs!$C$149</f>
        <v>0</v>
      </c>
      <c r="Q125" s="17">
        <f ca="1">Q124*Inputs!$C$149</f>
        <v>0</v>
      </c>
      <c r="R125" s="17">
        <f ca="1">R124*Inputs!$C$149</f>
        <v>0</v>
      </c>
      <c r="S125" s="17">
        <f ca="1">S124*Inputs!$C$149</f>
        <v>0</v>
      </c>
      <c r="T125" s="17">
        <f ca="1">T124*Inputs!$C$149</f>
        <v>0</v>
      </c>
      <c r="U125" s="17">
        <f ca="1">U124*Inputs!$C$149</f>
        <v>0</v>
      </c>
      <c r="V125" s="17">
        <f ca="1">V124*Inputs!$C$149</f>
        <v>0</v>
      </c>
      <c r="W125" s="17">
        <f ca="1">W124*Inputs!$C$149</f>
        <v>0</v>
      </c>
      <c r="X125" s="17">
        <f ca="1">X124*Inputs!$C$149</f>
        <v>0</v>
      </c>
      <c r="Y125" s="17">
        <f ca="1">Y124*Inputs!$C$149</f>
        <v>0</v>
      </c>
      <c r="Z125" s="17">
        <f ca="1">Z124*Inputs!$C$149</f>
        <v>0</v>
      </c>
      <c r="AA125" s="17">
        <f ca="1">AA124*Inputs!$C$149</f>
        <v>0</v>
      </c>
      <c r="AB125" s="17">
        <f ca="1">AB124*Inputs!$C$149</f>
        <v>0</v>
      </c>
      <c r="AC125" s="17">
        <f ca="1">AC124*Inputs!$C$149</f>
        <v>0</v>
      </c>
      <c r="AD125" s="17">
        <f ca="1">AD124*Inputs!$C$149</f>
        <v>0</v>
      </c>
      <c r="AE125" s="17">
        <f ca="1">AE124*Inputs!$C$149</f>
        <v>0</v>
      </c>
      <c r="AF125" s="17">
        <f ca="1">AF124*Inputs!$C$149</f>
        <v>0</v>
      </c>
      <c r="AG125" s="17">
        <f ca="1">AG124*Inputs!$C$149</f>
        <v>0</v>
      </c>
      <c r="AH125" s="17">
        <f ca="1">AH124*Inputs!$C$149</f>
        <v>0</v>
      </c>
      <c r="AI125" s="17">
        <f ca="1">AI124*Inputs!$C$149</f>
        <v>0</v>
      </c>
      <c r="AJ125" s="17">
        <f ca="1">AJ124*Inputs!$C$149</f>
        <v>0</v>
      </c>
      <c r="AK125" s="17">
        <f ca="1">AK124*Inputs!$C$149</f>
        <v>0</v>
      </c>
      <c r="AL125" s="17">
        <f ca="1">AL124*Inputs!$C$149</f>
        <v>0</v>
      </c>
      <c r="AM125" s="17">
        <f ca="1">AM124*Inputs!$C$149</f>
        <v>0</v>
      </c>
    </row>
    <row r="126" spans="1:39" x14ac:dyDescent="0.2">
      <c r="A126" s="13" t="s">
        <v>88</v>
      </c>
      <c r="C126" s="17">
        <f ca="1">C123+SUM($C125:C125)</f>
        <v>714578.8</v>
      </c>
      <c r="D126" s="17">
        <f ca="1">D123+SUM($C125:D125)</f>
        <v>824098.44559532881</v>
      </c>
      <c r="E126" s="17">
        <f ca="1">E123+SUM($C125:E125)</f>
        <v>995440.1709443531</v>
      </c>
      <c r="F126" s="17">
        <f ca="1">F123+SUM($C125:F125)</f>
        <v>1190110.0184140191</v>
      </c>
      <c r="G126" s="17">
        <f ca="1">G123+SUM($C125:G125)</f>
        <v>1354181.3950869064</v>
      </c>
      <c r="H126" s="17">
        <f ca="1">H123+SUM($C125:H125)</f>
        <v>1567917.714493009</v>
      </c>
      <c r="I126" s="17">
        <f ca="1">I123+SUM($C125:I125)</f>
        <v>1828871.6343659752</v>
      </c>
      <c r="J126" s="17">
        <f ca="1">J123+SUM($C125:J125)</f>
        <v>2073997.9163702845</v>
      </c>
      <c r="K126" s="17">
        <f ca="1">K123+SUM($C125:K125)</f>
        <v>2301632.8826445597</v>
      </c>
      <c r="L126" s="17">
        <f ca="1">L123+SUM($C125:L125)</f>
        <v>2573245.7366445996</v>
      </c>
      <c r="M126" s="17">
        <f ca="1">M123+SUM($C125:M125)</f>
        <v>2859326.8920514602</v>
      </c>
      <c r="N126" s="17">
        <f ca="1">N123+SUM($C125:N125)</f>
        <v>3168702.5795119987</v>
      </c>
      <c r="O126" s="17">
        <f ca="1">O123+SUM($C125:O125)</f>
        <v>3502780.7015976864</v>
      </c>
      <c r="P126" s="17">
        <f ca="1">P123+SUM($C125:P125)</f>
        <v>3853294.3799924105</v>
      </c>
      <c r="Q126" s="17">
        <f ca="1">Q123+SUM($C125:Q125)</f>
        <v>4220907.9563648272</v>
      </c>
      <c r="R126" s="17">
        <f ca="1">R123+SUM($C125:R125)</f>
        <v>4606310.2581247194</v>
      </c>
      <c r="S126" s="17">
        <f ca="1">S123+SUM($C125:S125)</f>
        <v>4707808.3289191956</v>
      </c>
      <c r="T126" s="17">
        <f ca="1">T123+SUM($C125:T125)</f>
        <v>4821048.3966188617</v>
      </c>
      <c r="U126" s="17">
        <f ca="1">U123+SUM($C125:U125)</f>
        <v>4937319.3600282837</v>
      </c>
      <c r="V126" s="17">
        <f ca="1">V123+SUM($C125:V125)</f>
        <v>5056711.3270665482</v>
      </c>
      <c r="W126" s="17">
        <f ca="1">W123+SUM($C125:W125)</f>
        <v>5179317.296884154</v>
      </c>
      <c r="X126" s="17">
        <f ca="1">X123+SUM($C125:X125)</f>
        <v>5305233.2565114927</v>
      </c>
      <c r="Y126" s="17">
        <f ca="1">Y123+SUM($C125:Y125)</f>
        <v>5434558.280784863</v>
      </c>
      <c r="Z126" s="17">
        <f ca="1">Z123+SUM($C125:Z125)</f>
        <v>5567394.6356610563</v>
      </c>
      <c r="AA126" s="17">
        <f ca="1">AA123+SUM($C125:AA125)</f>
        <v>5703847.8850352764</v>
      </c>
      <c r="AB126" s="17">
        <f ca="1">AB123+SUM($C125:AB125)</f>
        <v>5844027.0011810185</v>
      </c>
      <c r="AC126" s="17">
        <f ca="1">AC123+SUM($C125:AC125)</f>
        <v>5988044.4789345022</v>
      </c>
      <c r="AD126" s="17">
        <f ca="1">AD123+SUM($C125:AD125)</f>
        <v>6147849.338861553</v>
      </c>
      <c r="AE126" s="17">
        <f ca="1">AE123+SUM($C125:AE125)</f>
        <v>6312320.238237597</v>
      </c>
      <c r="AF126" s="17">
        <f ca="1">AF123+SUM($C125:AF125)</f>
        <v>6481603.1507251877</v>
      </c>
      <c r="AG126" s="17">
        <f ca="1">AG123+SUM($C125:AG125)</f>
        <v>6655848.8088871781</v>
      </c>
      <c r="AH126" s="17">
        <f ca="1">AH123+SUM($C125:AH125)</f>
        <v>6835212.8621929521</v>
      </c>
      <c r="AI126" s="17">
        <f ca="1">AI123+SUM($C125:AI125)</f>
        <v>7019856.0402894933</v>
      </c>
      <c r="AJ126" s="17">
        <f ca="1">AJ123+SUM($C125:AJ125)</f>
        <v>7209944.3217119556</v>
      </c>
      <c r="AK126" s="17">
        <f ca="1">AK123+SUM($C125:AK125)</f>
        <v>7405649.1082141232</v>
      </c>
      <c r="AL126" s="17">
        <f ca="1">AL123+SUM($C125:AL125)</f>
        <v>7607147.4049051059</v>
      </c>
      <c r="AM126" s="17">
        <f ca="1">AM123+SUM($C125:AM125)</f>
        <v>7814622.0063847229</v>
      </c>
    </row>
    <row r="127" spans="1:39" x14ac:dyDescent="0.2">
      <c r="A127" s="14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</row>
    <row r="128" spans="1:39" x14ac:dyDescent="0.2">
      <c r="A128" s="46" t="s">
        <v>68</v>
      </c>
      <c r="B128" s="43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</row>
    <row r="129" spans="1:39" x14ac:dyDescent="0.2">
      <c r="A129" s="13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</row>
    <row r="130" spans="1:39" x14ac:dyDescent="0.2">
      <c r="A130" s="31" t="s">
        <v>71</v>
      </c>
      <c r="B130" s="32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</row>
    <row r="131" spans="1:39" x14ac:dyDescent="0.2">
      <c r="A131" s="35" t="str">
        <f>B$92</f>
        <v>Hamrun</v>
      </c>
      <c r="B131" s="32"/>
      <c r="C131" s="33">
        <f ca="1">SUM($C86:C86)</f>
        <v>0</v>
      </c>
      <c r="D131" s="33">
        <f ca="1">SUM($C86:D86)</f>
        <v>0</v>
      </c>
      <c r="E131" s="33">
        <f ca="1">SUM($C86:E86)</f>
        <v>0</v>
      </c>
      <c r="F131" s="33">
        <f ca="1">SUM($C86:F86)</f>
        <v>0</v>
      </c>
      <c r="G131" s="33">
        <f ca="1">SUM($C86:G86)</f>
        <v>0</v>
      </c>
      <c r="H131" s="33">
        <f ca="1">SUM($C86:H86)</f>
        <v>0</v>
      </c>
      <c r="I131" s="33">
        <f ca="1">SUM($C86:I86)</f>
        <v>0</v>
      </c>
      <c r="J131" s="33">
        <f ca="1">SUM($C86:J86)</f>
        <v>0</v>
      </c>
      <c r="K131" s="33">
        <f ca="1">SUM($C86:K86)</f>
        <v>0</v>
      </c>
      <c r="L131" s="33">
        <f ca="1">SUM($C86:L86)</f>
        <v>0</v>
      </c>
      <c r="M131" s="33">
        <f ca="1">SUM($C86:M86)</f>
        <v>0</v>
      </c>
      <c r="N131" s="33">
        <f ca="1">SUM($C86:N86)</f>
        <v>0</v>
      </c>
      <c r="O131" s="33">
        <f ca="1">SUM($C86:O86)</f>
        <v>0</v>
      </c>
      <c r="P131" s="33">
        <f ca="1">SUM($C86:P86)</f>
        <v>0</v>
      </c>
      <c r="Q131" s="33">
        <f ca="1">SUM($C86:Q86)</f>
        <v>0</v>
      </c>
      <c r="R131" s="33">
        <f ca="1">SUM($C86:R86)</f>
        <v>0</v>
      </c>
      <c r="S131" s="33">
        <f ca="1">SUM($C86:S86)</f>
        <v>0</v>
      </c>
      <c r="T131" s="33">
        <f ca="1">SUM($C86:T86)</f>
        <v>0</v>
      </c>
      <c r="U131" s="33">
        <f ca="1">SUM($C86:U86)</f>
        <v>0</v>
      </c>
      <c r="V131" s="33">
        <f ca="1">SUM($C86:V86)</f>
        <v>0</v>
      </c>
      <c r="W131" s="33">
        <f ca="1">SUM($C86:W86)</f>
        <v>0</v>
      </c>
      <c r="X131" s="33">
        <f ca="1">SUM($C86:X86)</f>
        <v>0</v>
      </c>
      <c r="Y131" s="33">
        <f ca="1">SUM($C86:Y86)</f>
        <v>0</v>
      </c>
      <c r="Z131" s="33">
        <f ca="1">SUM($C86:Z86)</f>
        <v>0</v>
      </c>
      <c r="AA131" s="33">
        <f ca="1">SUM($C86:AA86)</f>
        <v>0</v>
      </c>
      <c r="AB131" s="33">
        <f ca="1">SUM($C86:AB86)</f>
        <v>0</v>
      </c>
      <c r="AC131" s="33">
        <f ca="1">SUM($C86:AC86)</f>
        <v>0</v>
      </c>
      <c r="AD131" s="33">
        <f ca="1">SUM($C86:AD86)</f>
        <v>0</v>
      </c>
      <c r="AE131" s="33">
        <f ca="1">SUM($C86:AE86)</f>
        <v>0</v>
      </c>
      <c r="AF131" s="33">
        <f ca="1">SUM($C86:AF86)</f>
        <v>0</v>
      </c>
      <c r="AG131" s="33">
        <f ca="1">SUM($C86:AG86)</f>
        <v>0</v>
      </c>
      <c r="AH131" s="33">
        <f ca="1">SUM($C86:AH86)</f>
        <v>0</v>
      </c>
      <c r="AI131" s="33">
        <f ca="1">SUM($C86:AI86)</f>
        <v>0</v>
      </c>
      <c r="AJ131" s="33">
        <f ca="1">SUM($C86:AJ86)</f>
        <v>0</v>
      </c>
      <c r="AK131" s="33">
        <f ca="1">SUM($C86:AK86)</f>
        <v>0</v>
      </c>
      <c r="AL131" s="33">
        <f ca="1">SUM($C86:AL86)</f>
        <v>0</v>
      </c>
      <c r="AM131" s="33">
        <f ca="1">SUM($C86:AM86)</f>
        <v>0</v>
      </c>
    </row>
    <row r="132" spans="1:39" x14ac:dyDescent="0.2">
      <c r="A132" s="35" t="str">
        <f>B$106</f>
        <v>Sliema</v>
      </c>
      <c r="B132" s="32"/>
      <c r="C132" s="33">
        <f ca="1">SUM($C100:C100)</f>
        <v>0</v>
      </c>
      <c r="D132" s="33">
        <f ca="1">SUM($C100:D100)</f>
        <v>0</v>
      </c>
      <c r="E132" s="33">
        <f ca="1">SUM($C100:E100)</f>
        <v>0</v>
      </c>
      <c r="F132" s="33">
        <f ca="1">SUM($C100:F100)</f>
        <v>0</v>
      </c>
      <c r="G132" s="33">
        <f ca="1">SUM($C100:G100)</f>
        <v>0</v>
      </c>
      <c r="H132" s="33">
        <f ca="1">SUM($C100:H100)</f>
        <v>0</v>
      </c>
      <c r="I132" s="33">
        <f ca="1">SUM($C100:I100)</f>
        <v>0</v>
      </c>
      <c r="J132" s="33">
        <f ca="1">SUM($C100:J100)</f>
        <v>0</v>
      </c>
      <c r="K132" s="33">
        <f ca="1">SUM($C100:K100)</f>
        <v>0</v>
      </c>
      <c r="L132" s="33">
        <f ca="1">SUM($C100:L100)</f>
        <v>0</v>
      </c>
      <c r="M132" s="33">
        <f ca="1">SUM($C100:M100)</f>
        <v>0</v>
      </c>
      <c r="N132" s="33">
        <f ca="1">SUM($C100:N100)</f>
        <v>0</v>
      </c>
      <c r="O132" s="33">
        <f ca="1">SUM($C100:O100)</f>
        <v>0</v>
      </c>
      <c r="P132" s="33">
        <f ca="1">SUM($C100:P100)</f>
        <v>0</v>
      </c>
      <c r="Q132" s="33">
        <f ca="1">SUM($C100:Q100)</f>
        <v>0</v>
      </c>
      <c r="R132" s="33">
        <f ca="1">SUM($C100:R100)</f>
        <v>0</v>
      </c>
      <c r="S132" s="33">
        <f ca="1">SUM($C100:S100)</f>
        <v>0</v>
      </c>
      <c r="T132" s="33">
        <f ca="1">SUM($C100:T100)</f>
        <v>0</v>
      </c>
      <c r="U132" s="33">
        <f ca="1">SUM($C100:U100)</f>
        <v>0</v>
      </c>
      <c r="V132" s="33">
        <f ca="1">SUM($C100:V100)</f>
        <v>0</v>
      </c>
      <c r="W132" s="33">
        <f ca="1">SUM($C100:W100)</f>
        <v>0</v>
      </c>
      <c r="X132" s="33">
        <f ca="1">SUM($C100:X100)</f>
        <v>0</v>
      </c>
      <c r="Y132" s="33">
        <f ca="1">SUM($C100:Y100)</f>
        <v>0</v>
      </c>
      <c r="Z132" s="33">
        <f ca="1">SUM($C100:Z100)</f>
        <v>0</v>
      </c>
      <c r="AA132" s="33">
        <f ca="1">SUM($C100:AA100)</f>
        <v>0</v>
      </c>
      <c r="AB132" s="33">
        <f ca="1">SUM($C100:AB100)</f>
        <v>0</v>
      </c>
      <c r="AC132" s="33">
        <f ca="1">SUM($C100:AC100)</f>
        <v>0</v>
      </c>
      <c r="AD132" s="33">
        <f ca="1">SUM($C100:AD100)</f>
        <v>0</v>
      </c>
      <c r="AE132" s="33">
        <f ca="1">SUM($C100:AE100)</f>
        <v>0</v>
      </c>
      <c r="AF132" s="33">
        <f ca="1">SUM($C100:AF100)</f>
        <v>0</v>
      </c>
      <c r="AG132" s="33">
        <f ca="1">SUM($C100:AG100)</f>
        <v>0</v>
      </c>
      <c r="AH132" s="33">
        <f ca="1">SUM($C100:AH100)</f>
        <v>0</v>
      </c>
      <c r="AI132" s="33">
        <f ca="1">SUM($C100:AI100)</f>
        <v>0</v>
      </c>
      <c r="AJ132" s="33">
        <f ca="1">SUM($C100:AJ100)</f>
        <v>0</v>
      </c>
      <c r="AK132" s="33">
        <f ca="1">SUM($C100:AK100)</f>
        <v>0</v>
      </c>
      <c r="AL132" s="33">
        <f ca="1">SUM($C100:AL100)</f>
        <v>0</v>
      </c>
      <c r="AM132" s="33">
        <f ca="1">SUM($C100:AM100)</f>
        <v>0</v>
      </c>
    </row>
    <row r="133" spans="1:39" x14ac:dyDescent="0.2">
      <c r="A133" s="35" t="str">
        <f>B$120</f>
        <v>Gzira</v>
      </c>
      <c r="B133" s="32"/>
      <c r="C133" s="33">
        <f ca="1">SUM($C114:C114)</f>
        <v>0</v>
      </c>
      <c r="D133" s="33">
        <f ca="1">SUM($C114:D114)</f>
        <v>0</v>
      </c>
      <c r="E133" s="33">
        <f ca="1">SUM($C114:E114)</f>
        <v>0</v>
      </c>
      <c r="F133" s="33">
        <f ca="1">SUM($C114:F114)</f>
        <v>0</v>
      </c>
      <c r="G133" s="33">
        <f ca="1">SUM($C114:G114)</f>
        <v>0</v>
      </c>
      <c r="H133" s="33">
        <f ca="1">SUM($C114:H114)</f>
        <v>0</v>
      </c>
      <c r="I133" s="33">
        <f ca="1">SUM($C114:I114)</f>
        <v>0</v>
      </c>
      <c r="J133" s="33">
        <f ca="1">SUM($C114:J114)</f>
        <v>0</v>
      </c>
      <c r="K133" s="33">
        <f ca="1">SUM($C114:K114)</f>
        <v>0</v>
      </c>
      <c r="L133" s="33">
        <f ca="1">SUM($C114:L114)</f>
        <v>0</v>
      </c>
      <c r="M133" s="33">
        <f ca="1">SUM($C114:M114)</f>
        <v>0</v>
      </c>
      <c r="N133" s="33">
        <f ca="1">SUM($C114:N114)</f>
        <v>0</v>
      </c>
      <c r="O133" s="33">
        <f ca="1">SUM($C114:O114)</f>
        <v>0</v>
      </c>
      <c r="P133" s="33">
        <f ca="1">SUM($C114:P114)</f>
        <v>0</v>
      </c>
      <c r="Q133" s="33">
        <f ca="1">SUM($C114:Q114)</f>
        <v>0</v>
      </c>
      <c r="R133" s="33">
        <f ca="1">SUM($C114:R114)</f>
        <v>0</v>
      </c>
      <c r="S133" s="33">
        <f ca="1">SUM($C114:S114)</f>
        <v>0</v>
      </c>
      <c r="T133" s="33">
        <f ca="1">SUM($C114:T114)</f>
        <v>0</v>
      </c>
      <c r="U133" s="33">
        <f ca="1">SUM($C114:U114)</f>
        <v>0</v>
      </c>
      <c r="V133" s="33">
        <f ca="1">SUM($C114:V114)</f>
        <v>0</v>
      </c>
      <c r="W133" s="33">
        <f ca="1">SUM($C114:W114)</f>
        <v>0</v>
      </c>
      <c r="X133" s="33">
        <f ca="1">SUM($C114:X114)</f>
        <v>0</v>
      </c>
      <c r="Y133" s="33">
        <f ca="1">SUM($C114:Y114)</f>
        <v>0</v>
      </c>
      <c r="Z133" s="33">
        <f ca="1">SUM($C114:Z114)</f>
        <v>0</v>
      </c>
      <c r="AA133" s="33">
        <f ca="1">SUM($C114:AA114)</f>
        <v>0</v>
      </c>
      <c r="AB133" s="33">
        <f ca="1">SUM($C114:AB114)</f>
        <v>0</v>
      </c>
      <c r="AC133" s="33">
        <f ca="1">SUM($C114:AC114)</f>
        <v>0</v>
      </c>
      <c r="AD133" s="33">
        <f ca="1">SUM($C114:AD114)</f>
        <v>0</v>
      </c>
      <c r="AE133" s="33">
        <f ca="1">SUM($C114:AE114)</f>
        <v>0</v>
      </c>
      <c r="AF133" s="33">
        <f ca="1">SUM($C114:AF114)</f>
        <v>0</v>
      </c>
      <c r="AG133" s="33">
        <f ca="1">SUM($C114:AG114)</f>
        <v>0</v>
      </c>
      <c r="AH133" s="33">
        <f ca="1">SUM($C114:AH114)</f>
        <v>0</v>
      </c>
      <c r="AI133" s="33">
        <f ca="1">SUM($C114:AI114)</f>
        <v>0</v>
      </c>
      <c r="AJ133" s="33">
        <f ca="1">SUM($C114:AJ114)</f>
        <v>0</v>
      </c>
      <c r="AK133" s="33">
        <f ca="1">SUM($C114:AK114)</f>
        <v>0</v>
      </c>
      <c r="AL133" s="33">
        <f ca="1">SUM($C114:AL114)</f>
        <v>0</v>
      </c>
      <c r="AM133" s="33">
        <f ca="1">SUM($C114:AM114)</f>
        <v>0</v>
      </c>
    </row>
    <row r="134" spans="1:39" x14ac:dyDescent="0.2">
      <c r="A134" s="34"/>
      <c r="B134" s="32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</row>
    <row r="135" spans="1:39" x14ac:dyDescent="0.2">
      <c r="A135" s="31" t="s">
        <v>72</v>
      </c>
      <c r="B135" s="32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</row>
    <row r="136" spans="1:39" x14ac:dyDescent="0.2">
      <c r="A136" s="35" t="str">
        <f>$A$56</f>
        <v>Sliema</v>
      </c>
      <c r="B136" s="32"/>
      <c r="C136" s="33">
        <f t="shared" ref="C136:G136" ca="1" si="88">IFERROR(IF(VLOOKUP($A136,$130:$133,C$1+2,FALSE)=0,C56,0),C56)</f>
        <v>206000</v>
      </c>
      <c r="D136" s="33">
        <f t="shared" ca="1" si="88"/>
        <v>212180</v>
      </c>
      <c r="E136" s="33">
        <f t="shared" ca="1" si="88"/>
        <v>218545.4</v>
      </c>
      <c r="F136" s="33">
        <f t="shared" ca="1" si="88"/>
        <v>225101.76199999999</v>
      </c>
      <c r="G136" s="33">
        <f t="shared" ca="1" si="88"/>
        <v>231854.81485999998</v>
      </c>
      <c r="H136" s="33">
        <f t="shared" ref="H136:AM136" ca="1" si="89">IFERROR(IF(VLOOKUP($A136,$130:$133,H$1+2,FALSE)=0,H56,0),H56)</f>
        <v>238810.4593058</v>
      </c>
      <c r="I136" s="33">
        <f t="shared" ca="1" si="89"/>
        <v>245974.773084974</v>
      </c>
      <c r="J136" s="33">
        <f t="shared" ca="1" si="89"/>
        <v>253354.01627752322</v>
      </c>
      <c r="K136" s="33">
        <f t="shared" ca="1" si="89"/>
        <v>260954.63676584893</v>
      </c>
      <c r="L136" s="33">
        <f t="shared" ca="1" si="89"/>
        <v>268783.27586882439</v>
      </c>
      <c r="M136" s="33">
        <f t="shared" ca="1" si="89"/>
        <v>276846.77414488915</v>
      </c>
      <c r="N136" s="33">
        <f t="shared" ca="1" si="89"/>
        <v>285152.17736923584</v>
      </c>
      <c r="O136" s="33">
        <f t="shared" ca="1" si="89"/>
        <v>293706.74269031291</v>
      </c>
      <c r="P136" s="33">
        <f t="shared" ca="1" si="89"/>
        <v>302517.94497102231</v>
      </c>
      <c r="Q136" s="33">
        <f t="shared" ca="1" si="89"/>
        <v>311593.48332015297</v>
      </c>
      <c r="R136" s="33">
        <f t="shared" ca="1" si="89"/>
        <v>320941.28781975759</v>
      </c>
      <c r="S136" s="33">
        <f t="shared" ca="1" si="89"/>
        <v>330569.52645435033</v>
      </c>
      <c r="T136" s="33">
        <f t="shared" ca="1" si="89"/>
        <v>340486.61224798084</v>
      </c>
      <c r="U136" s="33">
        <f t="shared" ca="1" si="89"/>
        <v>350701.21061542025</v>
      </c>
      <c r="V136" s="33">
        <f t="shared" ca="1" si="89"/>
        <v>361222.24693388288</v>
      </c>
      <c r="W136" s="33">
        <f t="shared" ca="1" si="89"/>
        <v>372058.91434189939</v>
      </c>
      <c r="X136" s="33">
        <f t="shared" ca="1" si="89"/>
        <v>383220.68177215639</v>
      </c>
      <c r="Y136" s="33">
        <f t="shared" ca="1" si="89"/>
        <v>394717.30222532107</v>
      </c>
      <c r="Z136" s="33">
        <f t="shared" ca="1" si="89"/>
        <v>406558.82129208068</v>
      </c>
      <c r="AA136" s="33">
        <f t="shared" ca="1" si="89"/>
        <v>418755.58593084314</v>
      </c>
      <c r="AB136" s="33">
        <f t="shared" ca="1" si="89"/>
        <v>431318.25350876845</v>
      </c>
      <c r="AC136" s="33">
        <f t="shared" ca="1" si="89"/>
        <v>444257.80111403152</v>
      </c>
      <c r="AD136" s="33">
        <f t="shared" ca="1" si="89"/>
        <v>457585.53514745249</v>
      </c>
      <c r="AE136" s="33">
        <f t="shared" ca="1" si="89"/>
        <v>471313.10120187607</v>
      </c>
      <c r="AF136" s="33">
        <f t="shared" ca="1" si="89"/>
        <v>485452.49423793238</v>
      </c>
      <c r="AG136" s="33">
        <f t="shared" ca="1" si="89"/>
        <v>500016.06906507036</v>
      </c>
      <c r="AH136" s="33">
        <f t="shared" ca="1" si="89"/>
        <v>515016.5511370225</v>
      </c>
      <c r="AI136" s="33">
        <f t="shared" ca="1" si="89"/>
        <v>530467.04767113319</v>
      </c>
      <c r="AJ136" s="33">
        <f t="shared" ca="1" si="89"/>
        <v>546381.05910126725</v>
      </c>
      <c r="AK136" s="33">
        <f t="shared" ca="1" si="89"/>
        <v>562772.49087430525</v>
      </c>
      <c r="AL136" s="33">
        <f t="shared" ca="1" si="89"/>
        <v>579655.66560053441</v>
      </c>
      <c r="AM136" s="33">
        <f t="shared" ca="1" si="89"/>
        <v>597045.33556855051</v>
      </c>
    </row>
    <row r="137" spans="1:39" x14ac:dyDescent="0.2">
      <c r="A137" s="35" t="str">
        <f>$A$57</f>
        <v>Gzira</v>
      </c>
      <c r="B137" s="32"/>
      <c r="C137" s="33">
        <f t="shared" ref="C137:G137" ca="1" si="90">IFERROR(IF(VLOOKUP($A137,$130:$133,C$1+2,FALSE)=0,C57,0),C57)</f>
        <v>360500</v>
      </c>
      <c r="D137" s="33">
        <f t="shared" ca="1" si="90"/>
        <v>371315</v>
      </c>
      <c r="E137" s="33">
        <f t="shared" ca="1" si="90"/>
        <v>382454.45</v>
      </c>
      <c r="F137" s="33">
        <f t="shared" ca="1" si="90"/>
        <v>393928.08350000001</v>
      </c>
      <c r="G137" s="33">
        <f t="shared" ca="1" si="90"/>
        <v>405745.92600500002</v>
      </c>
      <c r="H137" s="33">
        <f t="shared" ref="H137:AM137" ca="1" si="91">IFERROR(IF(VLOOKUP($A137,$130:$133,H$1+2,FALSE)=0,H57,0),H57)</f>
        <v>417918.30378515006</v>
      </c>
      <c r="I137" s="33">
        <f t="shared" ca="1" si="91"/>
        <v>430455.85289870459</v>
      </c>
      <c r="J137" s="33">
        <f t="shared" ca="1" si="91"/>
        <v>443369.52848566574</v>
      </c>
      <c r="K137" s="33">
        <f t="shared" ca="1" si="91"/>
        <v>456670.61434023571</v>
      </c>
      <c r="L137" s="33">
        <f t="shared" ca="1" si="91"/>
        <v>470370.73277044279</v>
      </c>
      <c r="M137" s="33">
        <f t="shared" ca="1" si="91"/>
        <v>484481.85475355608</v>
      </c>
      <c r="N137" s="33">
        <f t="shared" ca="1" si="91"/>
        <v>499016.31039616279</v>
      </c>
      <c r="O137" s="33">
        <f t="shared" ca="1" si="91"/>
        <v>513986.79970804771</v>
      </c>
      <c r="P137" s="33">
        <f t="shared" ca="1" si="91"/>
        <v>529406.40369928919</v>
      </c>
      <c r="Q137" s="33">
        <f t="shared" ca="1" si="91"/>
        <v>545288.59581026784</v>
      </c>
      <c r="R137" s="33">
        <f t="shared" ca="1" si="91"/>
        <v>561647.2536845759</v>
      </c>
      <c r="S137" s="33">
        <f t="shared" ca="1" si="91"/>
        <v>578496.67129511316</v>
      </c>
      <c r="T137" s="33">
        <f t="shared" ca="1" si="91"/>
        <v>595851.57143396663</v>
      </c>
      <c r="U137" s="33">
        <f t="shared" ca="1" si="91"/>
        <v>613727.11857698567</v>
      </c>
      <c r="V137" s="33">
        <f t="shared" ca="1" si="91"/>
        <v>632138.93213429523</v>
      </c>
      <c r="W137" s="33">
        <f t="shared" ca="1" si="91"/>
        <v>651103.10009832412</v>
      </c>
      <c r="X137" s="33">
        <f t="shared" ca="1" si="91"/>
        <v>670636.19310127385</v>
      </c>
      <c r="Y137" s="33">
        <f t="shared" ca="1" si="91"/>
        <v>690755.2788943121</v>
      </c>
      <c r="Z137" s="33">
        <f t="shared" ca="1" si="91"/>
        <v>711477.93726114149</v>
      </c>
      <c r="AA137" s="33">
        <f t="shared" ca="1" si="91"/>
        <v>732822.27537897578</v>
      </c>
      <c r="AB137" s="33">
        <f t="shared" ca="1" si="91"/>
        <v>754806.94364034513</v>
      </c>
      <c r="AC137" s="33">
        <f t="shared" ca="1" si="91"/>
        <v>777451.1519495555</v>
      </c>
      <c r="AD137" s="33">
        <f t="shared" ca="1" si="91"/>
        <v>800774.68650804216</v>
      </c>
      <c r="AE137" s="33">
        <f t="shared" ca="1" si="91"/>
        <v>824797.92710328347</v>
      </c>
      <c r="AF137" s="33">
        <f t="shared" ca="1" si="91"/>
        <v>849541.86491638201</v>
      </c>
      <c r="AG137" s="33">
        <f t="shared" ca="1" si="91"/>
        <v>875028.12086387351</v>
      </c>
      <c r="AH137" s="33">
        <f t="shared" ca="1" si="91"/>
        <v>901278.9644897898</v>
      </c>
      <c r="AI137" s="33">
        <f t="shared" ca="1" si="91"/>
        <v>928317.33342448354</v>
      </c>
      <c r="AJ137" s="33">
        <f t="shared" ca="1" si="91"/>
        <v>956166.85342721804</v>
      </c>
      <c r="AK137" s="33">
        <f t="shared" ca="1" si="91"/>
        <v>984851.85903003463</v>
      </c>
      <c r="AL137" s="33">
        <f t="shared" ca="1" si="91"/>
        <v>1014397.4148009357</v>
      </c>
      <c r="AM137" s="33">
        <f t="shared" ca="1" si="91"/>
        <v>1044829.3372449637</v>
      </c>
    </row>
    <row r="138" spans="1:39" x14ac:dyDescent="0.2">
      <c r="A138" s="35" t="str">
        <f>$A$58</f>
        <v>Hamrun</v>
      </c>
      <c r="B138" s="32"/>
      <c r="C138" s="33">
        <f t="shared" ref="C138:G138" ca="1" si="92">IFERROR(IF(VLOOKUP($A138,$130:$133,C$1+2,FALSE)=0,C58,0),C58)</f>
        <v>28840</v>
      </c>
      <c r="D138" s="33">
        <f t="shared" ca="1" si="92"/>
        <v>29705.200000000001</v>
      </c>
      <c r="E138" s="33">
        <f t="shared" ca="1" si="92"/>
        <v>30596.356</v>
      </c>
      <c r="F138" s="33">
        <f t="shared" ca="1" si="92"/>
        <v>31514.24668</v>
      </c>
      <c r="G138" s="33">
        <f t="shared" ca="1" si="92"/>
        <v>32459.6740804</v>
      </c>
      <c r="H138" s="33">
        <f t="shared" ref="H138:AM138" ca="1" si="93">IFERROR(IF(VLOOKUP($A138,$130:$133,H$1+2,FALSE)=0,H58,0),H58)</f>
        <v>33433.464302812004</v>
      </c>
      <c r="I138" s="33">
        <f t="shared" ca="1" si="93"/>
        <v>34436.468231896368</v>
      </c>
      <c r="J138" s="33">
        <f t="shared" ca="1" si="93"/>
        <v>35469.562278853256</v>
      </c>
      <c r="K138" s="33">
        <f t="shared" ca="1" si="93"/>
        <v>36533.649147218857</v>
      </c>
      <c r="L138" s="33">
        <f t="shared" ca="1" si="93"/>
        <v>37629.658621635426</v>
      </c>
      <c r="M138" s="33">
        <f t="shared" ca="1" si="93"/>
        <v>38758.54838028449</v>
      </c>
      <c r="N138" s="33">
        <f t="shared" ca="1" si="93"/>
        <v>39921.304831693029</v>
      </c>
      <c r="O138" s="33">
        <f t="shared" ca="1" si="93"/>
        <v>41118.943976643823</v>
      </c>
      <c r="P138" s="33">
        <f t="shared" ca="1" si="93"/>
        <v>42352.512295943139</v>
      </c>
      <c r="Q138" s="33">
        <f t="shared" ca="1" si="93"/>
        <v>43623.087664821433</v>
      </c>
      <c r="R138" s="33">
        <f t="shared" ca="1" si="93"/>
        <v>44931.780294766075</v>
      </c>
      <c r="S138" s="33">
        <f t="shared" ca="1" si="93"/>
        <v>46279.733703609061</v>
      </c>
      <c r="T138" s="33">
        <f t="shared" ca="1" si="93"/>
        <v>47668.125714717331</v>
      </c>
      <c r="U138" s="33">
        <f t="shared" ca="1" si="93"/>
        <v>49098.169486158855</v>
      </c>
      <c r="V138" s="33">
        <f t="shared" ca="1" si="93"/>
        <v>50571.114570743623</v>
      </c>
      <c r="W138" s="33">
        <f t="shared" ca="1" si="93"/>
        <v>52088.248007865936</v>
      </c>
      <c r="X138" s="33">
        <f t="shared" ca="1" si="93"/>
        <v>53650.895448101917</v>
      </c>
      <c r="Y138" s="33">
        <f t="shared" ca="1" si="93"/>
        <v>55260.422311544979</v>
      </c>
      <c r="Z138" s="33">
        <f t="shared" ca="1" si="93"/>
        <v>56918.234980891328</v>
      </c>
      <c r="AA138" s="33">
        <f t="shared" ca="1" si="93"/>
        <v>58625.782030318071</v>
      </c>
      <c r="AB138" s="33">
        <f t="shared" ca="1" si="93"/>
        <v>60384.555491227613</v>
      </c>
      <c r="AC138" s="33">
        <f t="shared" ca="1" si="93"/>
        <v>62196.092155964441</v>
      </c>
      <c r="AD138" s="33">
        <f t="shared" ca="1" si="93"/>
        <v>64061.974920643377</v>
      </c>
      <c r="AE138" s="33">
        <f t="shared" ca="1" si="93"/>
        <v>65983.834168262678</v>
      </c>
      <c r="AF138" s="33">
        <f t="shared" ca="1" si="93"/>
        <v>67963.349193310554</v>
      </c>
      <c r="AG138" s="33">
        <f t="shared" ca="1" si="93"/>
        <v>70002.249669109879</v>
      </c>
      <c r="AH138" s="33">
        <f t="shared" ca="1" si="93"/>
        <v>72102.317159183178</v>
      </c>
      <c r="AI138" s="33">
        <f t="shared" ca="1" si="93"/>
        <v>74265.386673958681</v>
      </c>
      <c r="AJ138" s="33">
        <f t="shared" ca="1" si="93"/>
        <v>76493.34827417745</v>
      </c>
      <c r="AK138" s="33">
        <f t="shared" ca="1" si="93"/>
        <v>78788.148722402781</v>
      </c>
      <c r="AL138" s="33">
        <f t="shared" ca="1" si="93"/>
        <v>81151.793184074864</v>
      </c>
      <c r="AM138" s="33">
        <f t="shared" ca="1" si="93"/>
        <v>83586.346979597118</v>
      </c>
    </row>
    <row r="139" spans="1:39" x14ac:dyDescent="0.2"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</row>
    <row r="140" spans="1:39" x14ac:dyDescent="0.2">
      <c r="A140" s="31" t="s">
        <v>69</v>
      </c>
      <c r="B140" s="32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</row>
    <row r="141" spans="1:39" x14ac:dyDescent="0.2">
      <c r="A141" s="35" t="str">
        <f>B$92</f>
        <v>Hamrun</v>
      </c>
      <c r="B141" s="32"/>
      <c r="C141" s="33">
        <f ca="1">SUM($C92:C92)</f>
        <v>0</v>
      </c>
      <c r="D141" s="33">
        <f ca="1">SUM($C92:D92)</f>
        <v>0</v>
      </c>
      <c r="E141" s="33">
        <f ca="1">SUM($C92:E92)</f>
        <v>0</v>
      </c>
      <c r="F141" s="33">
        <f ca="1">SUM($C92:F92)</f>
        <v>0</v>
      </c>
      <c r="G141" s="33">
        <f ca="1">SUM($C92:G92)</f>
        <v>0</v>
      </c>
      <c r="H141" s="33">
        <f ca="1">SUM($C92:H92)</f>
        <v>0</v>
      </c>
      <c r="I141" s="33">
        <f ca="1">SUM($C92:I92)</f>
        <v>0</v>
      </c>
      <c r="J141" s="33">
        <f ca="1">SUM($C92:J92)</f>
        <v>0</v>
      </c>
      <c r="K141" s="33">
        <f ca="1">SUM($C92:K92)</f>
        <v>0</v>
      </c>
      <c r="L141" s="33">
        <f ca="1">SUM($C92:L92)</f>
        <v>0</v>
      </c>
      <c r="M141" s="33">
        <f ca="1">SUM($C92:M92)</f>
        <v>0</v>
      </c>
      <c r="N141" s="33">
        <f ca="1">SUM($C92:N92)</f>
        <v>0</v>
      </c>
      <c r="O141" s="33">
        <f ca="1">SUM($C92:O92)</f>
        <v>0</v>
      </c>
      <c r="P141" s="33">
        <f ca="1">SUM($C92:P92)</f>
        <v>0</v>
      </c>
      <c r="Q141" s="33">
        <f ca="1">SUM($C92:Q92)</f>
        <v>0</v>
      </c>
      <c r="R141" s="33">
        <f ca="1">SUM($C92:R92)</f>
        <v>0</v>
      </c>
      <c r="S141" s="33">
        <f ca="1">SUM($C92:S92)</f>
        <v>0</v>
      </c>
      <c r="T141" s="33">
        <f ca="1">SUM($C92:T92)</f>
        <v>0</v>
      </c>
      <c r="U141" s="33">
        <f ca="1">SUM($C92:U92)</f>
        <v>0</v>
      </c>
      <c r="V141" s="33">
        <f ca="1">SUM($C92:V92)</f>
        <v>0</v>
      </c>
      <c r="W141" s="33">
        <f ca="1">SUM($C92:W92)</f>
        <v>0</v>
      </c>
      <c r="X141" s="33">
        <f ca="1">SUM($C92:X92)</f>
        <v>0</v>
      </c>
      <c r="Y141" s="33">
        <f ca="1">SUM($C92:Y92)</f>
        <v>0</v>
      </c>
      <c r="Z141" s="33">
        <f ca="1">SUM($C92:Z92)</f>
        <v>0</v>
      </c>
      <c r="AA141" s="33">
        <f ca="1">SUM($C92:AA92)</f>
        <v>0</v>
      </c>
      <c r="AB141" s="33">
        <f ca="1">SUM($C92:AB92)</f>
        <v>0</v>
      </c>
      <c r="AC141" s="33">
        <f ca="1">SUM($C92:AC92)</f>
        <v>0</v>
      </c>
      <c r="AD141" s="33">
        <f ca="1">SUM($C92:AD92)</f>
        <v>0</v>
      </c>
      <c r="AE141" s="33">
        <f ca="1">SUM($C92:AE92)</f>
        <v>0</v>
      </c>
      <c r="AF141" s="33">
        <f ca="1">SUM($C92:AF92)</f>
        <v>0</v>
      </c>
      <c r="AG141" s="33">
        <f ca="1">SUM($C92:AG92)</f>
        <v>0</v>
      </c>
      <c r="AH141" s="33">
        <f ca="1">SUM($C92:AH92)</f>
        <v>0</v>
      </c>
      <c r="AI141" s="33">
        <f ca="1">SUM($C92:AI92)</f>
        <v>0</v>
      </c>
      <c r="AJ141" s="33">
        <f ca="1">SUM($C92:AJ92)</f>
        <v>0</v>
      </c>
      <c r="AK141" s="33">
        <f ca="1">SUM($C92:AK92)</f>
        <v>0</v>
      </c>
      <c r="AL141" s="33">
        <f ca="1">SUM($C92:AL92)</f>
        <v>0</v>
      </c>
      <c r="AM141" s="33">
        <f ca="1">SUM($C92:AM92)</f>
        <v>0</v>
      </c>
    </row>
    <row r="142" spans="1:39" x14ac:dyDescent="0.2">
      <c r="A142" s="35" t="str">
        <f>B$106</f>
        <v>Sliema</v>
      </c>
      <c r="B142" s="32"/>
      <c r="C142" s="33">
        <f ca="1">SUM($C106:C106)</f>
        <v>0</v>
      </c>
      <c r="D142" s="33">
        <f ca="1">SUM($C106:D106)</f>
        <v>0</v>
      </c>
      <c r="E142" s="33">
        <f ca="1">SUM($C106:E106)</f>
        <v>0</v>
      </c>
      <c r="F142" s="33">
        <f ca="1">SUM($C106:F106)</f>
        <v>0</v>
      </c>
      <c r="G142" s="33">
        <f ca="1">SUM($C106:G106)</f>
        <v>0</v>
      </c>
      <c r="H142" s="33">
        <f ca="1">SUM($C106:H106)</f>
        <v>0</v>
      </c>
      <c r="I142" s="33">
        <f ca="1">SUM($C106:I106)</f>
        <v>0</v>
      </c>
      <c r="J142" s="33">
        <f ca="1">SUM($C106:J106)</f>
        <v>0</v>
      </c>
      <c r="K142" s="33">
        <f ca="1">SUM($C106:K106)</f>
        <v>0</v>
      </c>
      <c r="L142" s="33">
        <f ca="1">SUM($C106:L106)</f>
        <v>0</v>
      </c>
      <c r="M142" s="33">
        <f ca="1">SUM($C106:M106)</f>
        <v>0</v>
      </c>
      <c r="N142" s="33">
        <f ca="1">SUM($C106:N106)</f>
        <v>0</v>
      </c>
      <c r="O142" s="33">
        <f ca="1">SUM($C106:O106)</f>
        <v>0</v>
      </c>
      <c r="P142" s="33">
        <f ca="1">SUM($C106:P106)</f>
        <v>0</v>
      </c>
      <c r="Q142" s="33">
        <f ca="1">SUM($C106:Q106)</f>
        <v>0</v>
      </c>
      <c r="R142" s="33">
        <f ca="1">SUM($C106:R106)</f>
        <v>0</v>
      </c>
      <c r="S142" s="33">
        <f ca="1">SUM($C106:S106)</f>
        <v>0</v>
      </c>
      <c r="T142" s="33">
        <f ca="1">SUM($C106:T106)</f>
        <v>0</v>
      </c>
      <c r="U142" s="33">
        <f ca="1">SUM($C106:U106)</f>
        <v>0</v>
      </c>
      <c r="V142" s="33">
        <f ca="1">SUM($C106:V106)</f>
        <v>0</v>
      </c>
      <c r="W142" s="33">
        <f ca="1">SUM($C106:W106)</f>
        <v>0</v>
      </c>
      <c r="X142" s="33">
        <f ca="1">SUM($C106:X106)</f>
        <v>0</v>
      </c>
      <c r="Y142" s="33">
        <f ca="1">SUM($C106:Y106)</f>
        <v>0</v>
      </c>
      <c r="Z142" s="33">
        <f ca="1">SUM($C106:Z106)</f>
        <v>0</v>
      </c>
      <c r="AA142" s="33">
        <f ca="1">SUM($C106:AA106)</f>
        <v>0</v>
      </c>
      <c r="AB142" s="33">
        <f ca="1">SUM($C106:AB106)</f>
        <v>0</v>
      </c>
      <c r="AC142" s="33">
        <f ca="1">SUM($C106:AC106)</f>
        <v>0</v>
      </c>
      <c r="AD142" s="33">
        <f ca="1">SUM($C106:AD106)</f>
        <v>0</v>
      </c>
      <c r="AE142" s="33">
        <f ca="1">SUM($C106:AE106)</f>
        <v>0</v>
      </c>
      <c r="AF142" s="33">
        <f ca="1">SUM($C106:AF106)</f>
        <v>0</v>
      </c>
      <c r="AG142" s="33">
        <f ca="1">SUM($C106:AG106)</f>
        <v>0</v>
      </c>
      <c r="AH142" s="33">
        <f ca="1">SUM($C106:AH106)</f>
        <v>0</v>
      </c>
      <c r="AI142" s="33">
        <f ca="1">SUM($C106:AI106)</f>
        <v>0</v>
      </c>
      <c r="AJ142" s="33">
        <f ca="1">SUM($C106:AJ106)</f>
        <v>0</v>
      </c>
      <c r="AK142" s="33">
        <f ca="1">SUM($C106:AK106)</f>
        <v>0</v>
      </c>
      <c r="AL142" s="33">
        <f ca="1">SUM($C106:AL106)</f>
        <v>0</v>
      </c>
      <c r="AM142" s="33">
        <f ca="1">SUM($C106:AM106)</f>
        <v>0</v>
      </c>
    </row>
    <row r="143" spans="1:39" x14ac:dyDescent="0.2">
      <c r="A143" s="35" t="str">
        <f>B$120</f>
        <v>Gzira</v>
      </c>
      <c r="B143" s="32"/>
      <c r="C143" s="33">
        <f ca="1">SUM($C120:C120)</f>
        <v>0</v>
      </c>
      <c r="D143" s="33">
        <f ca="1">SUM($C120:D120)</f>
        <v>0</v>
      </c>
      <c r="E143" s="33">
        <f ca="1">SUM($C120:E120)</f>
        <v>0</v>
      </c>
      <c r="F143" s="33">
        <f ca="1">SUM($C120:F120)</f>
        <v>0</v>
      </c>
      <c r="G143" s="33">
        <f ca="1">SUM($C120:G120)</f>
        <v>0</v>
      </c>
      <c r="H143" s="33">
        <f ca="1">SUM($C120:H120)</f>
        <v>0</v>
      </c>
      <c r="I143" s="33">
        <f ca="1">SUM($C120:I120)</f>
        <v>0</v>
      </c>
      <c r="J143" s="33">
        <f ca="1">SUM($C120:J120)</f>
        <v>0</v>
      </c>
      <c r="K143" s="33">
        <f ca="1">SUM($C120:K120)</f>
        <v>0</v>
      </c>
      <c r="L143" s="33">
        <f ca="1">SUM($C120:L120)</f>
        <v>0</v>
      </c>
      <c r="M143" s="33">
        <f ca="1">SUM($C120:M120)</f>
        <v>0</v>
      </c>
      <c r="N143" s="33">
        <f ca="1">SUM($C120:N120)</f>
        <v>0</v>
      </c>
      <c r="O143" s="33">
        <f ca="1">SUM($C120:O120)</f>
        <v>0</v>
      </c>
      <c r="P143" s="33">
        <f ca="1">SUM($C120:P120)</f>
        <v>0</v>
      </c>
      <c r="Q143" s="33">
        <f ca="1">SUM($C120:Q120)</f>
        <v>0</v>
      </c>
      <c r="R143" s="33">
        <f ca="1">SUM($C120:R120)</f>
        <v>0</v>
      </c>
      <c r="S143" s="33">
        <f ca="1">SUM($C120:S120)</f>
        <v>0</v>
      </c>
      <c r="T143" s="33">
        <f ca="1">SUM($C120:T120)</f>
        <v>0</v>
      </c>
      <c r="U143" s="33">
        <f ca="1">SUM($C120:U120)</f>
        <v>0</v>
      </c>
      <c r="V143" s="33">
        <f ca="1">SUM($C120:V120)</f>
        <v>0</v>
      </c>
      <c r="W143" s="33">
        <f ca="1">SUM($C120:W120)</f>
        <v>0</v>
      </c>
      <c r="X143" s="33">
        <f ca="1">SUM($C120:X120)</f>
        <v>0</v>
      </c>
      <c r="Y143" s="33">
        <f ca="1">SUM($C120:Y120)</f>
        <v>0</v>
      </c>
      <c r="Z143" s="33">
        <f ca="1">SUM($C120:Z120)</f>
        <v>0</v>
      </c>
      <c r="AA143" s="33">
        <f ca="1">SUM($C120:AA120)</f>
        <v>0</v>
      </c>
      <c r="AB143" s="33">
        <f ca="1">SUM($C120:AB120)</f>
        <v>0</v>
      </c>
      <c r="AC143" s="33">
        <f ca="1">SUM($C120:AC120)</f>
        <v>0</v>
      </c>
      <c r="AD143" s="33">
        <f ca="1">SUM($C120:AD120)</f>
        <v>0</v>
      </c>
      <c r="AE143" s="33">
        <f ca="1">SUM($C120:AE120)</f>
        <v>0</v>
      </c>
      <c r="AF143" s="33">
        <f ca="1">SUM($C120:AF120)</f>
        <v>0</v>
      </c>
      <c r="AG143" s="33">
        <f ca="1">SUM($C120:AG120)</f>
        <v>0</v>
      </c>
      <c r="AH143" s="33">
        <f ca="1">SUM($C120:AH120)</f>
        <v>0</v>
      </c>
      <c r="AI143" s="33">
        <f ca="1">SUM($C120:AI120)</f>
        <v>0</v>
      </c>
      <c r="AJ143" s="33">
        <f ca="1">SUM($C120:AJ120)</f>
        <v>0</v>
      </c>
      <c r="AK143" s="33">
        <f ca="1">SUM($C120:AK120)</f>
        <v>0</v>
      </c>
      <c r="AL143" s="33">
        <f ca="1">SUM($C120:AL120)</f>
        <v>0</v>
      </c>
      <c r="AM143" s="33">
        <f ca="1">SUM($C120:AM120)</f>
        <v>0</v>
      </c>
    </row>
    <row r="144" spans="1:39" x14ac:dyDescent="0.2">
      <c r="A144" s="34"/>
      <c r="B144" s="32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</row>
    <row r="145" spans="1:39" x14ac:dyDescent="0.2">
      <c r="A145" s="13" t="s">
        <v>57</v>
      </c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</row>
    <row r="146" spans="1:39" x14ac:dyDescent="0.2">
      <c r="A146" s="29" t="str">
        <f>$A$56</f>
        <v>Sliema</v>
      </c>
      <c r="C146" s="17">
        <f t="shared" ref="C146:G146" ca="1" si="94">IFERROR(IF(VLOOKUP($A146,$140:$143,C$1+2,FALSE)=0,C62,0),C62)</f>
        <v>-14436.539463676134</v>
      </c>
      <c r="D146" s="17">
        <f t="shared" ca="1" si="94"/>
        <v>-8732.3875949011945</v>
      </c>
      <c r="E146" s="17">
        <f t="shared" ca="1" si="94"/>
        <v>-2883.9865269665825</v>
      </c>
      <c r="F146" s="17">
        <f t="shared" ca="1" si="94"/>
        <v>0</v>
      </c>
      <c r="G146" s="17">
        <f t="shared" ca="1" si="94"/>
        <v>0</v>
      </c>
      <c r="H146" s="17">
        <f t="shared" ref="H146:AM146" ca="1" si="95">IFERROR(IF(VLOOKUP($A146,$140:$143,H$1+2,FALSE)=0,H62,0),H62)</f>
        <v>0</v>
      </c>
      <c r="I146" s="17">
        <f t="shared" ca="1" si="95"/>
        <v>0</v>
      </c>
      <c r="J146" s="17">
        <f t="shared" ca="1" si="95"/>
        <v>0</v>
      </c>
      <c r="K146" s="17">
        <f t="shared" ca="1" si="95"/>
        <v>0</v>
      </c>
      <c r="L146" s="17">
        <f t="shared" ca="1" si="95"/>
        <v>0</v>
      </c>
      <c r="M146" s="17">
        <f t="shared" ca="1" si="95"/>
        <v>0</v>
      </c>
      <c r="N146" s="17">
        <f t="shared" ca="1" si="95"/>
        <v>0</v>
      </c>
      <c r="O146" s="17">
        <f t="shared" ca="1" si="95"/>
        <v>0</v>
      </c>
      <c r="P146" s="17">
        <f t="shared" ca="1" si="95"/>
        <v>0</v>
      </c>
      <c r="Q146" s="17">
        <f t="shared" ca="1" si="95"/>
        <v>0</v>
      </c>
      <c r="R146" s="17">
        <f t="shared" ca="1" si="95"/>
        <v>0</v>
      </c>
      <c r="S146" s="17">
        <f t="shared" ca="1" si="95"/>
        <v>0</v>
      </c>
      <c r="T146" s="17">
        <f t="shared" ca="1" si="95"/>
        <v>0</v>
      </c>
      <c r="U146" s="17">
        <f t="shared" ca="1" si="95"/>
        <v>0</v>
      </c>
      <c r="V146" s="17">
        <f t="shared" ca="1" si="95"/>
        <v>0</v>
      </c>
      <c r="W146" s="17">
        <f t="shared" ca="1" si="95"/>
        <v>0</v>
      </c>
      <c r="X146" s="17">
        <f t="shared" ca="1" si="95"/>
        <v>0</v>
      </c>
      <c r="Y146" s="17">
        <f t="shared" ca="1" si="95"/>
        <v>0</v>
      </c>
      <c r="Z146" s="17">
        <f t="shared" ca="1" si="95"/>
        <v>0</v>
      </c>
      <c r="AA146" s="17">
        <f t="shared" ca="1" si="95"/>
        <v>0</v>
      </c>
      <c r="AB146" s="17">
        <f t="shared" ca="1" si="95"/>
        <v>0</v>
      </c>
      <c r="AC146" s="17">
        <f t="shared" ca="1" si="95"/>
        <v>0</v>
      </c>
      <c r="AD146" s="17">
        <f t="shared" ca="1" si="95"/>
        <v>0</v>
      </c>
      <c r="AE146" s="17">
        <f t="shared" ca="1" si="95"/>
        <v>0</v>
      </c>
      <c r="AF146" s="17">
        <f t="shared" ca="1" si="95"/>
        <v>0</v>
      </c>
      <c r="AG146" s="17">
        <f t="shared" ca="1" si="95"/>
        <v>0</v>
      </c>
      <c r="AH146" s="17">
        <f t="shared" ca="1" si="95"/>
        <v>0</v>
      </c>
      <c r="AI146" s="17">
        <f t="shared" ca="1" si="95"/>
        <v>0</v>
      </c>
      <c r="AJ146" s="17">
        <f t="shared" ca="1" si="95"/>
        <v>0</v>
      </c>
      <c r="AK146" s="17">
        <f t="shared" ca="1" si="95"/>
        <v>0</v>
      </c>
      <c r="AL146" s="17">
        <f t="shared" ca="1" si="95"/>
        <v>0</v>
      </c>
      <c r="AM146" s="17">
        <f t="shared" ca="1" si="95"/>
        <v>0</v>
      </c>
    </row>
    <row r="147" spans="1:39" x14ac:dyDescent="0.2">
      <c r="A147" s="29" t="str">
        <f>$A$57</f>
        <v>Gzira</v>
      </c>
      <c r="C147" s="17">
        <f t="shared" ref="C147:G147" ca="1" si="96">IFERROR(IF(VLOOKUP($A147,$140:$143,C$1+2,FALSE)=0,C63,0),C63)</f>
        <v>-4829.2873247038542</v>
      </c>
      <c r="D147" s="17">
        <f t="shared" ca="1" si="96"/>
        <v>0</v>
      </c>
      <c r="E147" s="17">
        <f t="shared" ca="1" si="96"/>
        <v>0</v>
      </c>
      <c r="F147" s="17">
        <f t="shared" ca="1" si="96"/>
        <v>0</v>
      </c>
      <c r="G147" s="17">
        <f t="shared" ca="1" si="96"/>
        <v>0</v>
      </c>
      <c r="H147" s="17">
        <f t="shared" ref="H147:AM147" ca="1" si="97">IFERROR(IF(VLOOKUP($A147,$140:$143,H$1+2,FALSE)=0,H63,0),H63)</f>
        <v>0</v>
      </c>
      <c r="I147" s="17">
        <f t="shared" ca="1" si="97"/>
        <v>0</v>
      </c>
      <c r="J147" s="17">
        <f t="shared" ca="1" si="97"/>
        <v>0</v>
      </c>
      <c r="K147" s="17">
        <f t="shared" ca="1" si="97"/>
        <v>0</v>
      </c>
      <c r="L147" s="17">
        <f t="shared" ca="1" si="97"/>
        <v>0</v>
      </c>
      <c r="M147" s="17">
        <f t="shared" ca="1" si="97"/>
        <v>0</v>
      </c>
      <c r="N147" s="17">
        <f t="shared" ca="1" si="97"/>
        <v>0</v>
      </c>
      <c r="O147" s="17">
        <f t="shared" ca="1" si="97"/>
        <v>0</v>
      </c>
      <c r="P147" s="17">
        <f t="shared" ca="1" si="97"/>
        <v>0</v>
      </c>
      <c r="Q147" s="17">
        <f t="shared" ca="1" si="97"/>
        <v>0</v>
      </c>
      <c r="R147" s="17">
        <f t="shared" ca="1" si="97"/>
        <v>0</v>
      </c>
      <c r="S147" s="17">
        <f t="shared" ca="1" si="97"/>
        <v>0</v>
      </c>
      <c r="T147" s="17">
        <f t="shared" ca="1" si="97"/>
        <v>0</v>
      </c>
      <c r="U147" s="17">
        <f t="shared" ca="1" si="97"/>
        <v>0</v>
      </c>
      <c r="V147" s="17">
        <f t="shared" ca="1" si="97"/>
        <v>0</v>
      </c>
      <c r="W147" s="17">
        <f t="shared" ca="1" si="97"/>
        <v>0</v>
      </c>
      <c r="X147" s="17">
        <f t="shared" ca="1" si="97"/>
        <v>0</v>
      </c>
      <c r="Y147" s="17">
        <f t="shared" ca="1" si="97"/>
        <v>0</v>
      </c>
      <c r="Z147" s="17">
        <f t="shared" ca="1" si="97"/>
        <v>0</v>
      </c>
      <c r="AA147" s="17">
        <f t="shared" ca="1" si="97"/>
        <v>0</v>
      </c>
      <c r="AB147" s="17">
        <f t="shared" ca="1" si="97"/>
        <v>0</v>
      </c>
      <c r="AC147" s="17">
        <f t="shared" ca="1" si="97"/>
        <v>0</v>
      </c>
      <c r="AD147" s="17">
        <f t="shared" ca="1" si="97"/>
        <v>0</v>
      </c>
      <c r="AE147" s="17">
        <f t="shared" ca="1" si="97"/>
        <v>0</v>
      </c>
      <c r="AF147" s="17">
        <f t="shared" ca="1" si="97"/>
        <v>0</v>
      </c>
      <c r="AG147" s="17">
        <f t="shared" ca="1" si="97"/>
        <v>0</v>
      </c>
      <c r="AH147" s="17">
        <f t="shared" ca="1" si="97"/>
        <v>0</v>
      </c>
      <c r="AI147" s="17">
        <f t="shared" ca="1" si="97"/>
        <v>0</v>
      </c>
      <c r="AJ147" s="17">
        <f t="shared" ca="1" si="97"/>
        <v>0</v>
      </c>
      <c r="AK147" s="17">
        <f t="shared" ca="1" si="97"/>
        <v>0</v>
      </c>
      <c r="AL147" s="17">
        <f t="shared" ca="1" si="97"/>
        <v>0</v>
      </c>
      <c r="AM147" s="17">
        <f t="shared" ca="1" si="97"/>
        <v>0</v>
      </c>
    </row>
    <row r="148" spans="1:39" x14ac:dyDescent="0.2">
      <c r="A148" s="29" t="str">
        <f>$A$58</f>
        <v>Hamrun</v>
      </c>
      <c r="C148" s="17">
        <f t="shared" ref="C148:G148" ca="1" si="98">IFERROR(IF(VLOOKUP($A148,$140:$143,C$1+2,FALSE)=0,C64,0),C64)</f>
        <v>-2864.7998246718266</v>
      </c>
      <c r="D148" s="17">
        <f t="shared" ca="1" si="98"/>
        <v>-664.65549280916548</v>
      </c>
      <c r="E148" s="17">
        <f t="shared" ca="1" si="98"/>
        <v>0</v>
      </c>
      <c r="F148" s="17">
        <f t="shared" ca="1" si="98"/>
        <v>0</v>
      </c>
      <c r="G148" s="17">
        <f t="shared" ca="1" si="98"/>
        <v>0</v>
      </c>
      <c r="H148" s="17">
        <f t="shared" ref="H148:AM148" ca="1" si="99">IFERROR(IF(VLOOKUP($A148,$140:$143,H$1+2,FALSE)=0,H64,0),H64)</f>
        <v>0</v>
      </c>
      <c r="I148" s="17">
        <f t="shared" ca="1" si="99"/>
        <v>0</v>
      </c>
      <c r="J148" s="17">
        <f t="shared" ca="1" si="99"/>
        <v>0</v>
      </c>
      <c r="K148" s="17">
        <f t="shared" ca="1" si="99"/>
        <v>0</v>
      </c>
      <c r="L148" s="17">
        <f t="shared" ca="1" si="99"/>
        <v>0</v>
      </c>
      <c r="M148" s="17">
        <f t="shared" ca="1" si="99"/>
        <v>0</v>
      </c>
      <c r="N148" s="17">
        <f t="shared" ca="1" si="99"/>
        <v>0</v>
      </c>
      <c r="O148" s="17">
        <f t="shared" ca="1" si="99"/>
        <v>0</v>
      </c>
      <c r="P148" s="17">
        <f t="shared" ca="1" si="99"/>
        <v>0</v>
      </c>
      <c r="Q148" s="17">
        <f t="shared" ca="1" si="99"/>
        <v>0</v>
      </c>
      <c r="R148" s="17">
        <f t="shared" ca="1" si="99"/>
        <v>0</v>
      </c>
      <c r="S148" s="17">
        <f t="shared" ca="1" si="99"/>
        <v>0</v>
      </c>
      <c r="T148" s="17">
        <f t="shared" ca="1" si="99"/>
        <v>0</v>
      </c>
      <c r="U148" s="17">
        <f t="shared" ca="1" si="99"/>
        <v>0</v>
      </c>
      <c r="V148" s="17">
        <f t="shared" ca="1" si="99"/>
        <v>0</v>
      </c>
      <c r="W148" s="17">
        <f t="shared" ca="1" si="99"/>
        <v>0</v>
      </c>
      <c r="X148" s="17">
        <f t="shared" ca="1" si="99"/>
        <v>0</v>
      </c>
      <c r="Y148" s="17">
        <f t="shared" ca="1" si="99"/>
        <v>0</v>
      </c>
      <c r="Z148" s="17">
        <f t="shared" ca="1" si="99"/>
        <v>0</v>
      </c>
      <c r="AA148" s="17">
        <f t="shared" ca="1" si="99"/>
        <v>0</v>
      </c>
      <c r="AB148" s="17">
        <f t="shared" ca="1" si="99"/>
        <v>0</v>
      </c>
      <c r="AC148" s="17">
        <f t="shared" ca="1" si="99"/>
        <v>0</v>
      </c>
      <c r="AD148" s="17">
        <f t="shared" ca="1" si="99"/>
        <v>0</v>
      </c>
      <c r="AE148" s="17">
        <f t="shared" ca="1" si="99"/>
        <v>0</v>
      </c>
      <c r="AF148" s="17">
        <f t="shared" ca="1" si="99"/>
        <v>0</v>
      </c>
      <c r="AG148" s="17">
        <f t="shared" ca="1" si="99"/>
        <v>0</v>
      </c>
      <c r="AH148" s="17">
        <f t="shared" ca="1" si="99"/>
        <v>0</v>
      </c>
      <c r="AI148" s="17">
        <f t="shared" ca="1" si="99"/>
        <v>0</v>
      </c>
      <c r="AJ148" s="17">
        <f t="shared" ca="1" si="99"/>
        <v>0</v>
      </c>
      <c r="AK148" s="17">
        <f t="shared" ca="1" si="99"/>
        <v>0</v>
      </c>
      <c r="AL148" s="17">
        <f t="shared" ca="1" si="99"/>
        <v>0</v>
      </c>
      <c r="AM148" s="17">
        <f t="shared" ca="1" si="99"/>
        <v>0</v>
      </c>
    </row>
    <row r="149" spans="1:39" x14ac:dyDescent="0.2"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</row>
    <row r="150" spans="1:39" x14ac:dyDescent="0.2">
      <c r="A150" s="13" t="s">
        <v>70</v>
      </c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</row>
    <row r="151" spans="1:39" x14ac:dyDescent="0.2">
      <c r="A151" s="29" t="str">
        <f t="shared" ref="A151:A163" si="100">A53</f>
        <v>Cash</v>
      </c>
      <c r="C151" s="17">
        <f ca="1">C126</f>
        <v>714578.8</v>
      </c>
      <c r="D151" s="17">
        <f t="shared" ref="D151:G151" ca="1" si="101">D126</f>
        <v>824098.44559532881</v>
      </c>
      <c r="E151" s="17">
        <f t="shared" ca="1" si="101"/>
        <v>995440.1709443531</v>
      </c>
      <c r="F151" s="17">
        <f t="shared" ca="1" si="101"/>
        <v>1190110.0184140191</v>
      </c>
      <c r="G151" s="17">
        <f t="shared" ca="1" si="101"/>
        <v>1354181.3950869064</v>
      </c>
      <c r="H151" s="17">
        <f t="shared" ref="H151:AM151" ca="1" si="102">H126</f>
        <v>1567917.714493009</v>
      </c>
      <c r="I151" s="17">
        <f t="shared" ca="1" si="102"/>
        <v>1828871.6343659752</v>
      </c>
      <c r="J151" s="17">
        <f t="shared" ca="1" si="102"/>
        <v>2073997.9163702845</v>
      </c>
      <c r="K151" s="17">
        <f t="shared" ca="1" si="102"/>
        <v>2301632.8826445597</v>
      </c>
      <c r="L151" s="17">
        <f t="shared" ca="1" si="102"/>
        <v>2573245.7366445996</v>
      </c>
      <c r="M151" s="17">
        <f t="shared" ca="1" si="102"/>
        <v>2859326.8920514602</v>
      </c>
      <c r="N151" s="17">
        <f t="shared" ca="1" si="102"/>
        <v>3168702.5795119987</v>
      </c>
      <c r="O151" s="17">
        <f t="shared" ca="1" si="102"/>
        <v>3502780.7015976864</v>
      </c>
      <c r="P151" s="17">
        <f t="shared" ca="1" si="102"/>
        <v>3853294.3799924105</v>
      </c>
      <c r="Q151" s="17">
        <f t="shared" ca="1" si="102"/>
        <v>4220907.9563648272</v>
      </c>
      <c r="R151" s="17">
        <f t="shared" ca="1" si="102"/>
        <v>4606310.2581247194</v>
      </c>
      <c r="S151" s="17">
        <f t="shared" ca="1" si="102"/>
        <v>4707808.3289191956</v>
      </c>
      <c r="T151" s="17">
        <f t="shared" ca="1" si="102"/>
        <v>4821048.3966188617</v>
      </c>
      <c r="U151" s="17">
        <f t="shared" ca="1" si="102"/>
        <v>4937319.3600282837</v>
      </c>
      <c r="V151" s="17">
        <f t="shared" ca="1" si="102"/>
        <v>5056711.3270665482</v>
      </c>
      <c r="W151" s="17">
        <f t="shared" ca="1" si="102"/>
        <v>5179317.296884154</v>
      </c>
      <c r="X151" s="17">
        <f t="shared" ca="1" si="102"/>
        <v>5305233.2565114927</v>
      </c>
      <c r="Y151" s="17">
        <f t="shared" ca="1" si="102"/>
        <v>5434558.280784863</v>
      </c>
      <c r="Z151" s="17">
        <f t="shared" ca="1" si="102"/>
        <v>5567394.6356610563</v>
      </c>
      <c r="AA151" s="17">
        <f t="shared" ca="1" si="102"/>
        <v>5703847.8850352764</v>
      </c>
      <c r="AB151" s="17">
        <f t="shared" ca="1" si="102"/>
        <v>5844027.0011810185</v>
      </c>
      <c r="AC151" s="17">
        <f t="shared" ca="1" si="102"/>
        <v>5988044.4789345022</v>
      </c>
      <c r="AD151" s="17">
        <f t="shared" ca="1" si="102"/>
        <v>6147849.338861553</v>
      </c>
      <c r="AE151" s="17">
        <f t="shared" ca="1" si="102"/>
        <v>6312320.238237597</v>
      </c>
      <c r="AF151" s="17">
        <f t="shared" ca="1" si="102"/>
        <v>6481603.1507251877</v>
      </c>
      <c r="AG151" s="17">
        <f t="shared" ca="1" si="102"/>
        <v>6655848.8088871781</v>
      </c>
      <c r="AH151" s="17">
        <f t="shared" ca="1" si="102"/>
        <v>6835212.8621929521</v>
      </c>
      <c r="AI151" s="17">
        <f t="shared" ca="1" si="102"/>
        <v>7019856.0402894933</v>
      </c>
      <c r="AJ151" s="17">
        <f t="shared" ca="1" si="102"/>
        <v>7209944.3217119556</v>
      </c>
      <c r="AK151" s="17">
        <f t="shared" ca="1" si="102"/>
        <v>7405649.1082141232</v>
      </c>
      <c r="AL151" s="17">
        <f t="shared" ca="1" si="102"/>
        <v>7607147.4049051059</v>
      </c>
      <c r="AM151" s="17">
        <f t="shared" ca="1" si="102"/>
        <v>7814622.0063847229</v>
      </c>
    </row>
    <row r="152" spans="1:39" x14ac:dyDescent="0.2">
      <c r="A152" s="29" t="str">
        <f t="shared" si="100"/>
        <v>Home</v>
      </c>
      <c r="C152" s="17">
        <f t="shared" ref="C152:G152" si="103">C54</f>
        <v>515000</v>
      </c>
      <c r="D152" s="17">
        <f t="shared" si="103"/>
        <v>530450</v>
      </c>
      <c r="E152" s="17">
        <f t="shared" si="103"/>
        <v>546363.5</v>
      </c>
      <c r="F152" s="17">
        <f t="shared" si="103"/>
        <v>562754.40500000003</v>
      </c>
      <c r="G152" s="17">
        <f t="shared" si="103"/>
        <v>579637.03714999999</v>
      </c>
      <c r="H152" s="17">
        <f t="shared" ref="H152:AM152" si="104">H54</f>
        <v>597026.14826449996</v>
      </c>
      <c r="I152" s="17">
        <f t="shared" si="104"/>
        <v>614936.93271243502</v>
      </c>
      <c r="J152" s="17">
        <f t="shared" si="104"/>
        <v>633385.04069380811</v>
      </c>
      <c r="K152" s="17">
        <f t="shared" si="104"/>
        <v>652386.59191462235</v>
      </c>
      <c r="L152" s="17">
        <f t="shared" si="104"/>
        <v>671958.18967206101</v>
      </c>
      <c r="M152" s="17">
        <f t="shared" si="104"/>
        <v>692116.93536222284</v>
      </c>
      <c r="N152" s="17">
        <f t="shared" si="104"/>
        <v>712880.44342308957</v>
      </c>
      <c r="O152" s="17">
        <f t="shared" si="104"/>
        <v>734266.85672578227</v>
      </c>
      <c r="P152" s="17">
        <f t="shared" si="104"/>
        <v>756294.86242755572</v>
      </c>
      <c r="Q152" s="17">
        <f t="shared" si="104"/>
        <v>778983.70830038236</v>
      </c>
      <c r="R152" s="17">
        <f t="shared" si="104"/>
        <v>802353.21954939386</v>
      </c>
      <c r="S152" s="17">
        <f t="shared" si="104"/>
        <v>826423.81613587565</v>
      </c>
      <c r="T152" s="17">
        <f t="shared" si="104"/>
        <v>851216.5306199519</v>
      </c>
      <c r="U152" s="17">
        <f t="shared" si="104"/>
        <v>876753.0265385505</v>
      </c>
      <c r="V152" s="17">
        <f t="shared" si="104"/>
        <v>903055.61733470706</v>
      </c>
      <c r="W152" s="17">
        <f t="shared" si="104"/>
        <v>930147.28585474833</v>
      </c>
      <c r="X152" s="17">
        <f t="shared" si="104"/>
        <v>958051.70443039085</v>
      </c>
      <c r="Y152" s="17">
        <f t="shared" si="104"/>
        <v>986793.25556330255</v>
      </c>
      <c r="Z152" s="17">
        <f t="shared" si="104"/>
        <v>1016397.0532302016</v>
      </c>
      <c r="AA152" s="17">
        <f t="shared" si="104"/>
        <v>1046888.9648271076</v>
      </c>
      <c r="AB152" s="17">
        <f t="shared" si="104"/>
        <v>1078295.6337719208</v>
      </c>
      <c r="AC152" s="17">
        <f t="shared" si="104"/>
        <v>1110644.5027850785</v>
      </c>
      <c r="AD152" s="17">
        <f t="shared" si="104"/>
        <v>1143963.8378686309</v>
      </c>
      <c r="AE152" s="17">
        <f t="shared" si="104"/>
        <v>1178282.7530046899</v>
      </c>
      <c r="AF152" s="17">
        <f t="shared" si="104"/>
        <v>1213631.2355948307</v>
      </c>
      <c r="AG152" s="17">
        <f t="shared" si="104"/>
        <v>1250040.1726626756</v>
      </c>
      <c r="AH152" s="17">
        <f t="shared" si="104"/>
        <v>1287541.377842556</v>
      </c>
      <c r="AI152" s="17">
        <f t="shared" si="104"/>
        <v>1326167.6191778327</v>
      </c>
      <c r="AJ152" s="17">
        <f t="shared" si="104"/>
        <v>1365952.6477531677</v>
      </c>
      <c r="AK152" s="17">
        <f t="shared" si="104"/>
        <v>1406931.2271857627</v>
      </c>
      <c r="AL152" s="17">
        <f t="shared" si="104"/>
        <v>1449139.1640013356</v>
      </c>
      <c r="AM152" s="17">
        <f t="shared" si="104"/>
        <v>1492613.3389213758</v>
      </c>
    </row>
    <row r="153" spans="1:39" x14ac:dyDescent="0.2">
      <c r="A153" s="29" t="str">
        <f t="shared" si="100"/>
        <v>Other property</v>
      </c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</row>
    <row r="154" spans="1:39" x14ac:dyDescent="0.2">
      <c r="A154" s="30" t="str">
        <f t="shared" si="100"/>
        <v>Sliema</v>
      </c>
      <c r="C154" s="17">
        <f t="shared" ref="C154:G154" ca="1" si="105">C136</f>
        <v>206000</v>
      </c>
      <c r="D154" s="17">
        <f t="shared" ca="1" si="105"/>
        <v>212180</v>
      </c>
      <c r="E154" s="17">
        <f t="shared" ca="1" si="105"/>
        <v>218545.4</v>
      </c>
      <c r="F154" s="17">
        <f t="shared" ca="1" si="105"/>
        <v>225101.76199999999</v>
      </c>
      <c r="G154" s="17">
        <f t="shared" ca="1" si="105"/>
        <v>231854.81485999998</v>
      </c>
      <c r="H154" s="17">
        <f t="shared" ref="H154:AM154" ca="1" si="106">H136</f>
        <v>238810.4593058</v>
      </c>
      <c r="I154" s="17">
        <f t="shared" ca="1" si="106"/>
        <v>245974.773084974</v>
      </c>
      <c r="J154" s="17">
        <f t="shared" ca="1" si="106"/>
        <v>253354.01627752322</v>
      </c>
      <c r="K154" s="17">
        <f t="shared" ca="1" si="106"/>
        <v>260954.63676584893</v>
      </c>
      <c r="L154" s="17">
        <f t="shared" ca="1" si="106"/>
        <v>268783.27586882439</v>
      </c>
      <c r="M154" s="17">
        <f t="shared" ca="1" si="106"/>
        <v>276846.77414488915</v>
      </c>
      <c r="N154" s="17">
        <f t="shared" ca="1" si="106"/>
        <v>285152.17736923584</v>
      </c>
      <c r="O154" s="17">
        <f t="shared" ca="1" si="106"/>
        <v>293706.74269031291</v>
      </c>
      <c r="P154" s="17">
        <f t="shared" ca="1" si="106"/>
        <v>302517.94497102231</v>
      </c>
      <c r="Q154" s="17">
        <f t="shared" ca="1" si="106"/>
        <v>311593.48332015297</v>
      </c>
      <c r="R154" s="17">
        <f t="shared" ca="1" si="106"/>
        <v>320941.28781975759</v>
      </c>
      <c r="S154" s="17">
        <f t="shared" ca="1" si="106"/>
        <v>330569.52645435033</v>
      </c>
      <c r="T154" s="17">
        <f t="shared" ca="1" si="106"/>
        <v>340486.61224798084</v>
      </c>
      <c r="U154" s="17">
        <f t="shared" ca="1" si="106"/>
        <v>350701.21061542025</v>
      </c>
      <c r="V154" s="17">
        <f t="shared" ca="1" si="106"/>
        <v>361222.24693388288</v>
      </c>
      <c r="W154" s="17">
        <f t="shared" ca="1" si="106"/>
        <v>372058.91434189939</v>
      </c>
      <c r="X154" s="17">
        <f t="shared" ca="1" si="106"/>
        <v>383220.68177215639</v>
      </c>
      <c r="Y154" s="17">
        <f t="shared" ca="1" si="106"/>
        <v>394717.30222532107</v>
      </c>
      <c r="Z154" s="17">
        <f t="shared" ca="1" si="106"/>
        <v>406558.82129208068</v>
      </c>
      <c r="AA154" s="17">
        <f t="shared" ca="1" si="106"/>
        <v>418755.58593084314</v>
      </c>
      <c r="AB154" s="17">
        <f t="shared" ca="1" si="106"/>
        <v>431318.25350876845</v>
      </c>
      <c r="AC154" s="17">
        <f t="shared" ca="1" si="106"/>
        <v>444257.80111403152</v>
      </c>
      <c r="AD154" s="17">
        <f t="shared" ca="1" si="106"/>
        <v>457585.53514745249</v>
      </c>
      <c r="AE154" s="17">
        <f t="shared" ca="1" si="106"/>
        <v>471313.10120187607</v>
      </c>
      <c r="AF154" s="17">
        <f t="shared" ca="1" si="106"/>
        <v>485452.49423793238</v>
      </c>
      <c r="AG154" s="17">
        <f t="shared" ca="1" si="106"/>
        <v>500016.06906507036</v>
      </c>
      <c r="AH154" s="17">
        <f t="shared" ca="1" si="106"/>
        <v>515016.5511370225</v>
      </c>
      <c r="AI154" s="17">
        <f t="shared" ca="1" si="106"/>
        <v>530467.04767113319</v>
      </c>
      <c r="AJ154" s="17">
        <f t="shared" ca="1" si="106"/>
        <v>546381.05910126725</v>
      </c>
      <c r="AK154" s="17">
        <f t="shared" ca="1" si="106"/>
        <v>562772.49087430525</v>
      </c>
      <c r="AL154" s="17">
        <f t="shared" ca="1" si="106"/>
        <v>579655.66560053441</v>
      </c>
      <c r="AM154" s="17">
        <f t="shared" ca="1" si="106"/>
        <v>597045.33556855051</v>
      </c>
    </row>
    <row r="155" spans="1:39" x14ac:dyDescent="0.2">
      <c r="A155" s="30" t="str">
        <f t="shared" si="100"/>
        <v>Gzira</v>
      </c>
      <c r="C155" s="17">
        <f t="shared" ref="C155:G155" ca="1" si="107">C137</f>
        <v>360500</v>
      </c>
      <c r="D155" s="17">
        <f t="shared" ca="1" si="107"/>
        <v>371315</v>
      </c>
      <c r="E155" s="17">
        <f t="shared" ca="1" si="107"/>
        <v>382454.45</v>
      </c>
      <c r="F155" s="17">
        <f t="shared" ca="1" si="107"/>
        <v>393928.08350000001</v>
      </c>
      <c r="G155" s="17">
        <f t="shared" ca="1" si="107"/>
        <v>405745.92600500002</v>
      </c>
      <c r="H155" s="17">
        <f t="shared" ref="H155:AM155" ca="1" si="108">H137</f>
        <v>417918.30378515006</v>
      </c>
      <c r="I155" s="17">
        <f t="shared" ca="1" si="108"/>
        <v>430455.85289870459</v>
      </c>
      <c r="J155" s="17">
        <f t="shared" ca="1" si="108"/>
        <v>443369.52848566574</v>
      </c>
      <c r="K155" s="17">
        <f t="shared" ca="1" si="108"/>
        <v>456670.61434023571</v>
      </c>
      <c r="L155" s="17">
        <f t="shared" ca="1" si="108"/>
        <v>470370.73277044279</v>
      </c>
      <c r="M155" s="17">
        <f t="shared" ca="1" si="108"/>
        <v>484481.85475355608</v>
      </c>
      <c r="N155" s="17">
        <f t="shared" ca="1" si="108"/>
        <v>499016.31039616279</v>
      </c>
      <c r="O155" s="17">
        <f t="shared" ca="1" si="108"/>
        <v>513986.79970804771</v>
      </c>
      <c r="P155" s="17">
        <f t="shared" ca="1" si="108"/>
        <v>529406.40369928919</v>
      </c>
      <c r="Q155" s="17">
        <f t="shared" ca="1" si="108"/>
        <v>545288.59581026784</v>
      </c>
      <c r="R155" s="17">
        <f t="shared" ca="1" si="108"/>
        <v>561647.2536845759</v>
      </c>
      <c r="S155" s="17">
        <f t="shared" ca="1" si="108"/>
        <v>578496.67129511316</v>
      </c>
      <c r="T155" s="17">
        <f t="shared" ca="1" si="108"/>
        <v>595851.57143396663</v>
      </c>
      <c r="U155" s="17">
        <f t="shared" ca="1" si="108"/>
        <v>613727.11857698567</v>
      </c>
      <c r="V155" s="17">
        <f t="shared" ca="1" si="108"/>
        <v>632138.93213429523</v>
      </c>
      <c r="W155" s="17">
        <f t="shared" ca="1" si="108"/>
        <v>651103.10009832412</v>
      </c>
      <c r="X155" s="17">
        <f t="shared" ca="1" si="108"/>
        <v>670636.19310127385</v>
      </c>
      <c r="Y155" s="17">
        <f t="shared" ca="1" si="108"/>
        <v>690755.2788943121</v>
      </c>
      <c r="Z155" s="17">
        <f t="shared" ca="1" si="108"/>
        <v>711477.93726114149</v>
      </c>
      <c r="AA155" s="17">
        <f t="shared" ca="1" si="108"/>
        <v>732822.27537897578</v>
      </c>
      <c r="AB155" s="17">
        <f t="shared" ca="1" si="108"/>
        <v>754806.94364034513</v>
      </c>
      <c r="AC155" s="17">
        <f t="shared" ca="1" si="108"/>
        <v>777451.1519495555</v>
      </c>
      <c r="AD155" s="17">
        <f t="shared" ca="1" si="108"/>
        <v>800774.68650804216</v>
      </c>
      <c r="AE155" s="17">
        <f t="shared" ca="1" si="108"/>
        <v>824797.92710328347</v>
      </c>
      <c r="AF155" s="17">
        <f t="shared" ca="1" si="108"/>
        <v>849541.86491638201</v>
      </c>
      <c r="AG155" s="17">
        <f t="shared" ca="1" si="108"/>
        <v>875028.12086387351</v>
      </c>
      <c r="AH155" s="17">
        <f t="shared" ca="1" si="108"/>
        <v>901278.9644897898</v>
      </c>
      <c r="AI155" s="17">
        <f t="shared" ca="1" si="108"/>
        <v>928317.33342448354</v>
      </c>
      <c r="AJ155" s="17">
        <f t="shared" ca="1" si="108"/>
        <v>956166.85342721804</v>
      </c>
      <c r="AK155" s="17">
        <f t="shared" ca="1" si="108"/>
        <v>984851.85903003463</v>
      </c>
      <c r="AL155" s="17">
        <f t="shared" ca="1" si="108"/>
        <v>1014397.4148009357</v>
      </c>
      <c r="AM155" s="17">
        <f t="shared" ca="1" si="108"/>
        <v>1044829.3372449637</v>
      </c>
    </row>
    <row r="156" spans="1:39" x14ac:dyDescent="0.2">
      <c r="A156" s="30" t="str">
        <f t="shared" si="100"/>
        <v>Hamrun</v>
      </c>
      <c r="C156" s="17">
        <f t="shared" ref="C156:G156" ca="1" si="109">C138</f>
        <v>28840</v>
      </c>
      <c r="D156" s="17">
        <f t="shared" ca="1" si="109"/>
        <v>29705.200000000001</v>
      </c>
      <c r="E156" s="17">
        <f t="shared" ca="1" si="109"/>
        <v>30596.356</v>
      </c>
      <c r="F156" s="17">
        <f t="shared" ca="1" si="109"/>
        <v>31514.24668</v>
      </c>
      <c r="G156" s="17">
        <f t="shared" ca="1" si="109"/>
        <v>32459.6740804</v>
      </c>
      <c r="H156" s="17">
        <f t="shared" ref="H156:AM156" ca="1" si="110">H138</f>
        <v>33433.464302812004</v>
      </c>
      <c r="I156" s="17">
        <f t="shared" ca="1" si="110"/>
        <v>34436.468231896368</v>
      </c>
      <c r="J156" s="17">
        <f t="shared" ca="1" si="110"/>
        <v>35469.562278853256</v>
      </c>
      <c r="K156" s="17">
        <f t="shared" ca="1" si="110"/>
        <v>36533.649147218857</v>
      </c>
      <c r="L156" s="17">
        <f t="shared" ca="1" si="110"/>
        <v>37629.658621635426</v>
      </c>
      <c r="M156" s="17">
        <f t="shared" ca="1" si="110"/>
        <v>38758.54838028449</v>
      </c>
      <c r="N156" s="17">
        <f t="shared" ca="1" si="110"/>
        <v>39921.304831693029</v>
      </c>
      <c r="O156" s="17">
        <f t="shared" ca="1" si="110"/>
        <v>41118.943976643823</v>
      </c>
      <c r="P156" s="17">
        <f t="shared" ca="1" si="110"/>
        <v>42352.512295943139</v>
      </c>
      <c r="Q156" s="17">
        <f t="shared" ca="1" si="110"/>
        <v>43623.087664821433</v>
      </c>
      <c r="R156" s="17">
        <f t="shared" ca="1" si="110"/>
        <v>44931.780294766075</v>
      </c>
      <c r="S156" s="17">
        <f t="shared" ca="1" si="110"/>
        <v>46279.733703609061</v>
      </c>
      <c r="T156" s="17">
        <f t="shared" ca="1" si="110"/>
        <v>47668.125714717331</v>
      </c>
      <c r="U156" s="17">
        <f t="shared" ca="1" si="110"/>
        <v>49098.169486158855</v>
      </c>
      <c r="V156" s="17">
        <f t="shared" ca="1" si="110"/>
        <v>50571.114570743623</v>
      </c>
      <c r="W156" s="17">
        <f t="shared" ca="1" si="110"/>
        <v>52088.248007865936</v>
      </c>
      <c r="X156" s="17">
        <f t="shared" ca="1" si="110"/>
        <v>53650.895448101917</v>
      </c>
      <c r="Y156" s="17">
        <f t="shared" ca="1" si="110"/>
        <v>55260.422311544979</v>
      </c>
      <c r="Z156" s="17">
        <f t="shared" ca="1" si="110"/>
        <v>56918.234980891328</v>
      </c>
      <c r="AA156" s="17">
        <f t="shared" ca="1" si="110"/>
        <v>58625.782030318071</v>
      </c>
      <c r="AB156" s="17">
        <f t="shared" ca="1" si="110"/>
        <v>60384.555491227613</v>
      </c>
      <c r="AC156" s="17">
        <f t="shared" ca="1" si="110"/>
        <v>62196.092155964441</v>
      </c>
      <c r="AD156" s="17">
        <f t="shared" ca="1" si="110"/>
        <v>64061.974920643377</v>
      </c>
      <c r="AE156" s="17">
        <f t="shared" ca="1" si="110"/>
        <v>65983.834168262678</v>
      </c>
      <c r="AF156" s="17">
        <f t="shared" ca="1" si="110"/>
        <v>67963.349193310554</v>
      </c>
      <c r="AG156" s="17">
        <f t="shared" ca="1" si="110"/>
        <v>70002.249669109879</v>
      </c>
      <c r="AH156" s="17">
        <f t="shared" ca="1" si="110"/>
        <v>72102.317159183178</v>
      </c>
      <c r="AI156" s="17">
        <f t="shared" ca="1" si="110"/>
        <v>74265.386673958681</v>
      </c>
      <c r="AJ156" s="17">
        <f t="shared" ca="1" si="110"/>
        <v>76493.34827417745</v>
      </c>
      <c r="AK156" s="17">
        <f t="shared" ca="1" si="110"/>
        <v>78788.148722402781</v>
      </c>
      <c r="AL156" s="17">
        <f t="shared" ca="1" si="110"/>
        <v>81151.793184074864</v>
      </c>
      <c r="AM156" s="17">
        <f t="shared" ca="1" si="110"/>
        <v>83586.346979597118</v>
      </c>
    </row>
    <row r="157" spans="1:39" x14ac:dyDescent="0.2">
      <c r="A157" s="29" t="str">
        <f t="shared" si="100"/>
        <v>Stock market equity investments</v>
      </c>
      <c r="C157" s="17">
        <f t="shared" ref="C157:G157" ca="1" si="111">C77</f>
        <v>21600</v>
      </c>
      <c r="D157" s="17">
        <f t="shared" ca="1" si="111"/>
        <v>23328</v>
      </c>
      <c r="E157" s="17">
        <f t="shared" ca="1" si="111"/>
        <v>25194.240000000002</v>
      </c>
      <c r="F157" s="17">
        <f t="shared" ca="1" si="111"/>
        <v>27209.779200000001</v>
      </c>
      <c r="G157" s="17">
        <f t="shared" ca="1" si="111"/>
        <v>29386.561536000001</v>
      </c>
      <c r="H157" s="17">
        <f t="shared" ref="H157:AM157" ca="1" si="112">H77</f>
        <v>31737.486458880001</v>
      </c>
      <c r="I157" s="17">
        <f t="shared" ca="1" si="112"/>
        <v>34276.485375590404</v>
      </c>
      <c r="J157" s="17">
        <f t="shared" ca="1" si="112"/>
        <v>37018.604205637639</v>
      </c>
      <c r="K157" s="17">
        <f t="shared" ca="1" si="112"/>
        <v>39980.092542088649</v>
      </c>
      <c r="L157" s="17">
        <f t="shared" ca="1" si="112"/>
        <v>43178.49994545574</v>
      </c>
      <c r="M157" s="17">
        <f t="shared" ca="1" si="112"/>
        <v>46632.779941092202</v>
      </c>
      <c r="N157" s="17">
        <f t="shared" ca="1" si="112"/>
        <v>50363.402336379579</v>
      </c>
      <c r="O157" s="17">
        <f t="shared" ca="1" si="112"/>
        <v>54392.474523289944</v>
      </c>
      <c r="P157" s="17">
        <f t="shared" ca="1" si="112"/>
        <v>58743.872485153137</v>
      </c>
      <c r="Q157" s="17">
        <f t="shared" ca="1" si="112"/>
        <v>63443.382283965388</v>
      </c>
      <c r="R157" s="17">
        <f t="shared" ca="1" si="112"/>
        <v>68518.852866682617</v>
      </c>
      <c r="S157" s="17">
        <f t="shared" ca="1" si="112"/>
        <v>74000.361096017223</v>
      </c>
      <c r="T157" s="17">
        <f t="shared" ca="1" si="112"/>
        <v>79920.389983698595</v>
      </c>
      <c r="U157" s="17">
        <f t="shared" ca="1" si="112"/>
        <v>86314.021182394485</v>
      </c>
      <c r="V157" s="17">
        <f t="shared" ca="1" si="112"/>
        <v>93219.142876986036</v>
      </c>
      <c r="W157" s="17">
        <f t="shared" ca="1" si="112"/>
        <v>100676.67430714492</v>
      </c>
      <c r="X157" s="17">
        <f t="shared" ca="1" si="112"/>
        <v>108730.80825171652</v>
      </c>
      <c r="Y157" s="17">
        <f t="shared" ca="1" si="112"/>
        <v>117429.27291185384</v>
      </c>
      <c r="Z157" s="17">
        <f t="shared" ca="1" si="112"/>
        <v>126823.61474480215</v>
      </c>
      <c r="AA157" s="17">
        <f t="shared" ca="1" si="112"/>
        <v>136969.50392438631</v>
      </c>
      <c r="AB157" s="17">
        <f t="shared" ca="1" si="112"/>
        <v>147927.06423833722</v>
      </c>
      <c r="AC157" s="17">
        <f t="shared" ca="1" si="112"/>
        <v>159761.2293774042</v>
      </c>
      <c r="AD157" s="17">
        <f t="shared" ca="1" si="112"/>
        <v>172542.12772759655</v>
      </c>
      <c r="AE157" s="17">
        <f t="shared" ca="1" si="112"/>
        <v>186345.49794580427</v>
      </c>
      <c r="AF157" s="17">
        <f t="shared" ca="1" si="112"/>
        <v>201253.1377814686</v>
      </c>
      <c r="AG157" s="17">
        <f t="shared" ca="1" si="112"/>
        <v>217353.38880398608</v>
      </c>
      <c r="AH157" s="17">
        <f t="shared" ca="1" si="112"/>
        <v>234741.65990830495</v>
      </c>
      <c r="AI157" s="17">
        <f t="shared" ca="1" si="112"/>
        <v>253520.99270096933</v>
      </c>
      <c r="AJ157" s="17">
        <f t="shared" ca="1" si="112"/>
        <v>273802.6721170469</v>
      </c>
      <c r="AK157" s="17">
        <f t="shared" ca="1" si="112"/>
        <v>295706.88588641066</v>
      </c>
      <c r="AL157" s="17">
        <f t="shared" ca="1" si="112"/>
        <v>319363.43675732351</v>
      </c>
      <c r="AM157" s="17">
        <f t="shared" ca="1" si="112"/>
        <v>344912.51169790939</v>
      </c>
    </row>
    <row r="158" spans="1:39" x14ac:dyDescent="0.2">
      <c r="A158" s="29" t="str">
        <f t="shared" si="100"/>
        <v>Home loan</v>
      </c>
      <c r="C158" s="17">
        <f t="shared" ref="C158:G158" si="113">C60</f>
        <v>-277240.38871503877</v>
      </c>
      <c r="D158" s="17">
        <f t="shared" si="113"/>
        <v>-253905.22197914126</v>
      </c>
      <c r="E158" s="17">
        <f t="shared" si="113"/>
        <v>-229979.94488304513</v>
      </c>
      <c r="F158" s="17">
        <f t="shared" si="113"/>
        <v>-205449.63444629119</v>
      </c>
      <c r="G158" s="17">
        <f t="shared" si="113"/>
        <v>-180298.99030927056</v>
      </c>
      <c r="H158" s="17">
        <f t="shared" ref="H158:AM158" si="114">H60</f>
        <v>-154512.32518988874</v>
      </c>
      <c r="I158" s="17">
        <f t="shared" si="114"/>
        <v>-128073.55509889324</v>
      </c>
      <c r="J158" s="17">
        <f t="shared" si="114"/>
        <v>-100966.1893077601</v>
      </c>
      <c r="K158" s="17">
        <f t="shared" si="114"/>
        <v>-73173.320062887855</v>
      </c>
      <c r="L158" s="17">
        <f t="shared" si="114"/>
        <v>-44677.612039674364</v>
      </c>
      <c r="M158" s="17">
        <f t="shared" si="114"/>
        <v>-15461.291529907379</v>
      </c>
      <c r="N158" s="17">
        <f t="shared" si="114"/>
        <v>0</v>
      </c>
      <c r="O158" s="17">
        <f t="shared" si="114"/>
        <v>0</v>
      </c>
      <c r="P158" s="17">
        <f t="shared" si="114"/>
        <v>0</v>
      </c>
      <c r="Q158" s="17">
        <f t="shared" si="114"/>
        <v>0</v>
      </c>
      <c r="R158" s="17">
        <f t="shared" si="114"/>
        <v>0</v>
      </c>
      <c r="S158" s="17">
        <f t="shared" si="114"/>
        <v>0</v>
      </c>
      <c r="T158" s="17">
        <f t="shared" si="114"/>
        <v>0</v>
      </c>
      <c r="U158" s="17">
        <f t="shared" si="114"/>
        <v>0</v>
      </c>
      <c r="V158" s="17">
        <f t="shared" si="114"/>
        <v>0</v>
      </c>
      <c r="W158" s="17">
        <f t="shared" si="114"/>
        <v>0</v>
      </c>
      <c r="X158" s="17">
        <f t="shared" si="114"/>
        <v>0</v>
      </c>
      <c r="Y158" s="17">
        <f t="shared" si="114"/>
        <v>0</v>
      </c>
      <c r="Z158" s="17">
        <f t="shared" si="114"/>
        <v>0</v>
      </c>
      <c r="AA158" s="17">
        <f t="shared" si="114"/>
        <v>0</v>
      </c>
      <c r="AB158" s="17">
        <f t="shared" si="114"/>
        <v>0</v>
      </c>
      <c r="AC158" s="17">
        <f t="shared" si="114"/>
        <v>0</v>
      </c>
      <c r="AD158" s="17">
        <f t="shared" si="114"/>
        <v>0</v>
      </c>
      <c r="AE158" s="17">
        <f t="shared" si="114"/>
        <v>0</v>
      </c>
      <c r="AF158" s="17">
        <f t="shared" si="114"/>
        <v>0</v>
      </c>
      <c r="AG158" s="17">
        <f t="shared" si="114"/>
        <v>0</v>
      </c>
      <c r="AH158" s="17">
        <f t="shared" si="114"/>
        <v>0</v>
      </c>
      <c r="AI158" s="17">
        <f t="shared" si="114"/>
        <v>0</v>
      </c>
      <c r="AJ158" s="17">
        <f t="shared" si="114"/>
        <v>0</v>
      </c>
      <c r="AK158" s="17">
        <f t="shared" si="114"/>
        <v>0</v>
      </c>
      <c r="AL158" s="17">
        <f t="shared" si="114"/>
        <v>0</v>
      </c>
      <c r="AM158" s="17">
        <f t="shared" si="114"/>
        <v>0</v>
      </c>
    </row>
    <row r="159" spans="1:39" x14ac:dyDescent="0.2">
      <c r="A159" s="29" t="str">
        <f t="shared" si="100"/>
        <v>Other property loans</v>
      </c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</row>
    <row r="160" spans="1:39" x14ac:dyDescent="0.2">
      <c r="A160" s="30" t="str">
        <f t="shared" si="100"/>
        <v>Sliema</v>
      </c>
      <c r="C160" s="17">
        <f ca="1">C146</f>
        <v>-14436.539463676134</v>
      </c>
      <c r="D160" s="17">
        <f t="shared" ref="D160:G160" ca="1" si="115">D146</f>
        <v>-8732.3875949011945</v>
      </c>
      <c r="E160" s="17">
        <f t="shared" ca="1" si="115"/>
        <v>-2883.9865269665825</v>
      </c>
      <c r="F160" s="17">
        <f t="shared" ca="1" si="115"/>
        <v>0</v>
      </c>
      <c r="G160" s="17">
        <f t="shared" ca="1" si="115"/>
        <v>0</v>
      </c>
      <c r="H160" s="17">
        <f t="shared" ref="H160:AM160" ca="1" si="116">H146</f>
        <v>0</v>
      </c>
      <c r="I160" s="17">
        <f t="shared" ca="1" si="116"/>
        <v>0</v>
      </c>
      <c r="J160" s="17">
        <f t="shared" ca="1" si="116"/>
        <v>0</v>
      </c>
      <c r="K160" s="17">
        <f t="shared" ca="1" si="116"/>
        <v>0</v>
      </c>
      <c r="L160" s="17">
        <f t="shared" ca="1" si="116"/>
        <v>0</v>
      </c>
      <c r="M160" s="17">
        <f t="shared" ca="1" si="116"/>
        <v>0</v>
      </c>
      <c r="N160" s="17">
        <f t="shared" ca="1" si="116"/>
        <v>0</v>
      </c>
      <c r="O160" s="17">
        <f t="shared" ca="1" si="116"/>
        <v>0</v>
      </c>
      <c r="P160" s="17">
        <f t="shared" ca="1" si="116"/>
        <v>0</v>
      </c>
      <c r="Q160" s="17">
        <f t="shared" ca="1" si="116"/>
        <v>0</v>
      </c>
      <c r="R160" s="17">
        <f t="shared" ca="1" si="116"/>
        <v>0</v>
      </c>
      <c r="S160" s="17">
        <f t="shared" ca="1" si="116"/>
        <v>0</v>
      </c>
      <c r="T160" s="17">
        <f t="shared" ca="1" si="116"/>
        <v>0</v>
      </c>
      <c r="U160" s="17">
        <f t="shared" ca="1" si="116"/>
        <v>0</v>
      </c>
      <c r="V160" s="17">
        <f t="shared" ca="1" si="116"/>
        <v>0</v>
      </c>
      <c r="W160" s="17">
        <f t="shared" ca="1" si="116"/>
        <v>0</v>
      </c>
      <c r="X160" s="17">
        <f t="shared" ca="1" si="116"/>
        <v>0</v>
      </c>
      <c r="Y160" s="17">
        <f t="shared" ca="1" si="116"/>
        <v>0</v>
      </c>
      <c r="Z160" s="17">
        <f t="shared" ca="1" si="116"/>
        <v>0</v>
      </c>
      <c r="AA160" s="17">
        <f t="shared" ca="1" si="116"/>
        <v>0</v>
      </c>
      <c r="AB160" s="17">
        <f t="shared" ca="1" si="116"/>
        <v>0</v>
      </c>
      <c r="AC160" s="17">
        <f t="shared" ca="1" si="116"/>
        <v>0</v>
      </c>
      <c r="AD160" s="17">
        <f t="shared" ca="1" si="116"/>
        <v>0</v>
      </c>
      <c r="AE160" s="17">
        <f t="shared" ca="1" si="116"/>
        <v>0</v>
      </c>
      <c r="AF160" s="17">
        <f t="shared" ca="1" si="116"/>
        <v>0</v>
      </c>
      <c r="AG160" s="17">
        <f t="shared" ca="1" si="116"/>
        <v>0</v>
      </c>
      <c r="AH160" s="17">
        <f t="shared" ca="1" si="116"/>
        <v>0</v>
      </c>
      <c r="AI160" s="17">
        <f t="shared" ca="1" si="116"/>
        <v>0</v>
      </c>
      <c r="AJ160" s="17">
        <f t="shared" ca="1" si="116"/>
        <v>0</v>
      </c>
      <c r="AK160" s="17">
        <f t="shared" ca="1" si="116"/>
        <v>0</v>
      </c>
      <c r="AL160" s="17">
        <f t="shared" ca="1" si="116"/>
        <v>0</v>
      </c>
      <c r="AM160" s="17">
        <f t="shared" ca="1" si="116"/>
        <v>0</v>
      </c>
    </row>
    <row r="161" spans="1:39" x14ac:dyDescent="0.2">
      <c r="A161" s="30" t="str">
        <f t="shared" si="100"/>
        <v>Gzira</v>
      </c>
      <c r="C161" s="17">
        <f ca="1">C147</f>
        <v>-4829.2873247038542</v>
      </c>
      <c r="D161" s="17">
        <f t="shared" ref="D161:G161" ca="1" si="117">D147</f>
        <v>0</v>
      </c>
      <c r="E161" s="17">
        <f t="shared" ca="1" si="117"/>
        <v>0</v>
      </c>
      <c r="F161" s="17">
        <f t="shared" ca="1" si="117"/>
        <v>0</v>
      </c>
      <c r="G161" s="17">
        <f t="shared" ca="1" si="117"/>
        <v>0</v>
      </c>
      <c r="H161" s="17">
        <f t="shared" ref="H161:AM161" ca="1" si="118">H147</f>
        <v>0</v>
      </c>
      <c r="I161" s="17">
        <f t="shared" ca="1" si="118"/>
        <v>0</v>
      </c>
      <c r="J161" s="17">
        <f t="shared" ca="1" si="118"/>
        <v>0</v>
      </c>
      <c r="K161" s="17">
        <f t="shared" ca="1" si="118"/>
        <v>0</v>
      </c>
      <c r="L161" s="17">
        <f t="shared" ca="1" si="118"/>
        <v>0</v>
      </c>
      <c r="M161" s="17">
        <f t="shared" ca="1" si="118"/>
        <v>0</v>
      </c>
      <c r="N161" s="17">
        <f t="shared" ca="1" si="118"/>
        <v>0</v>
      </c>
      <c r="O161" s="17">
        <f t="shared" ca="1" si="118"/>
        <v>0</v>
      </c>
      <c r="P161" s="17">
        <f t="shared" ca="1" si="118"/>
        <v>0</v>
      </c>
      <c r="Q161" s="17">
        <f t="shared" ca="1" si="118"/>
        <v>0</v>
      </c>
      <c r="R161" s="17">
        <f t="shared" ca="1" si="118"/>
        <v>0</v>
      </c>
      <c r="S161" s="17">
        <f t="shared" ca="1" si="118"/>
        <v>0</v>
      </c>
      <c r="T161" s="17">
        <f t="shared" ca="1" si="118"/>
        <v>0</v>
      </c>
      <c r="U161" s="17">
        <f t="shared" ca="1" si="118"/>
        <v>0</v>
      </c>
      <c r="V161" s="17">
        <f t="shared" ca="1" si="118"/>
        <v>0</v>
      </c>
      <c r="W161" s="17">
        <f t="shared" ca="1" si="118"/>
        <v>0</v>
      </c>
      <c r="X161" s="17">
        <f t="shared" ca="1" si="118"/>
        <v>0</v>
      </c>
      <c r="Y161" s="17">
        <f t="shared" ca="1" si="118"/>
        <v>0</v>
      </c>
      <c r="Z161" s="17">
        <f t="shared" ca="1" si="118"/>
        <v>0</v>
      </c>
      <c r="AA161" s="17">
        <f t="shared" ca="1" si="118"/>
        <v>0</v>
      </c>
      <c r="AB161" s="17">
        <f t="shared" ca="1" si="118"/>
        <v>0</v>
      </c>
      <c r="AC161" s="17">
        <f t="shared" ca="1" si="118"/>
        <v>0</v>
      </c>
      <c r="AD161" s="17">
        <f t="shared" ca="1" si="118"/>
        <v>0</v>
      </c>
      <c r="AE161" s="17">
        <f t="shared" ca="1" si="118"/>
        <v>0</v>
      </c>
      <c r="AF161" s="17">
        <f t="shared" ca="1" si="118"/>
        <v>0</v>
      </c>
      <c r="AG161" s="17">
        <f t="shared" ca="1" si="118"/>
        <v>0</v>
      </c>
      <c r="AH161" s="17">
        <f t="shared" ca="1" si="118"/>
        <v>0</v>
      </c>
      <c r="AI161" s="17">
        <f t="shared" ca="1" si="118"/>
        <v>0</v>
      </c>
      <c r="AJ161" s="17">
        <f t="shared" ca="1" si="118"/>
        <v>0</v>
      </c>
      <c r="AK161" s="17">
        <f t="shared" ca="1" si="118"/>
        <v>0</v>
      </c>
      <c r="AL161" s="17">
        <f t="shared" ca="1" si="118"/>
        <v>0</v>
      </c>
      <c r="AM161" s="17">
        <f t="shared" ca="1" si="118"/>
        <v>0</v>
      </c>
    </row>
    <row r="162" spans="1:39" x14ac:dyDescent="0.2">
      <c r="A162" s="30" t="str">
        <f t="shared" si="100"/>
        <v>Hamrun</v>
      </c>
      <c r="C162" s="17">
        <f ca="1">C148</f>
        <v>-2864.7998246718266</v>
      </c>
      <c r="D162" s="17">
        <f t="shared" ref="D162:G162" ca="1" si="119">D148</f>
        <v>-664.65549280916548</v>
      </c>
      <c r="E162" s="17">
        <f t="shared" ca="1" si="119"/>
        <v>0</v>
      </c>
      <c r="F162" s="17">
        <f t="shared" ca="1" si="119"/>
        <v>0</v>
      </c>
      <c r="G162" s="17">
        <f t="shared" ca="1" si="119"/>
        <v>0</v>
      </c>
      <c r="H162" s="17">
        <f t="shared" ref="H162:AM162" ca="1" si="120">H148</f>
        <v>0</v>
      </c>
      <c r="I162" s="17">
        <f t="shared" ca="1" si="120"/>
        <v>0</v>
      </c>
      <c r="J162" s="17">
        <f t="shared" ca="1" si="120"/>
        <v>0</v>
      </c>
      <c r="K162" s="17">
        <f t="shared" ca="1" si="120"/>
        <v>0</v>
      </c>
      <c r="L162" s="17">
        <f t="shared" ca="1" si="120"/>
        <v>0</v>
      </c>
      <c r="M162" s="17">
        <f t="shared" ca="1" si="120"/>
        <v>0</v>
      </c>
      <c r="N162" s="17">
        <f t="shared" ca="1" si="120"/>
        <v>0</v>
      </c>
      <c r="O162" s="17">
        <f t="shared" ca="1" si="120"/>
        <v>0</v>
      </c>
      <c r="P162" s="17">
        <f t="shared" ca="1" si="120"/>
        <v>0</v>
      </c>
      <c r="Q162" s="17">
        <f t="shared" ca="1" si="120"/>
        <v>0</v>
      </c>
      <c r="R162" s="17">
        <f t="shared" ca="1" si="120"/>
        <v>0</v>
      </c>
      <c r="S162" s="17">
        <f t="shared" ca="1" si="120"/>
        <v>0</v>
      </c>
      <c r="T162" s="17">
        <f t="shared" ca="1" si="120"/>
        <v>0</v>
      </c>
      <c r="U162" s="17">
        <f t="shared" ca="1" si="120"/>
        <v>0</v>
      </c>
      <c r="V162" s="17">
        <f t="shared" ca="1" si="120"/>
        <v>0</v>
      </c>
      <c r="W162" s="17">
        <f t="shared" ca="1" si="120"/>
        <v>0</v>
      </c>
      <c r="X162" s="17">
        <f t="shared" ca="1" si="120"/>
        <v>0</v>
      </c>
      <c r="Y162" s="17">
        <f t="shared" ca="1" si="120"/>
        <v>0</v>
      </c>
      <c r="Z162" s="17">
        <f t="shared" ca="1" si="120"/>
        <v>0</v>
      </c>
      <c r="AA162" s="17">
        <f t="shared" ca="1" si="120"/>
        <v>0</v>
      </c>
      <c r="AB162" s="17">
        <f t="shared" ca="1" si="120"/>
        <v>0</v>
      </c>
      <c r="AC162" s="17">
        <f t="shared" ca="1" si="120"/>
        <v>0</v>
      </c>
      <c r="AD162" s="17">
        <f t="shared" ca="1" si="120"/>
        <v>0</v>
      </c>
      <c r="AE162" s="17">
        <f t="shared" ca="1" si="120"/>
        <v>0</v>
      </c>
      <c r="AF162" s="17">
        <f t="shared" ca="1" si="120"/>
        <v>0</v>
      </c>
      <c r="AG162" s="17">
        <f t="shared" ca="1" si="120"/>
        <v>0</v>
      </c>
      <c r="AH162" s="17">
        <f t="shared" ca="1" si="120"/>
        <v>0</v>
      </c>
      <c r="AI162" s="17">
        <f t="shared" ca="1" si="120"/>
        <v>0</v>
      </c>
      <c r="AJ162" s="17">
        <f t="shared" ca="1" si="120"/>
        <v>0</v>
      </c>
      <c r="AK162" s="17">
        <f t="shared" ca="1" si="120"/>
        <v>0</v>
      </c>
      <c r="AL162" s="17">
        <f t="shared" ca="1" si="120"/>
        <v>0</v>
      </c>
      <c r="AM162" s="17">
        <f t="shared" ca="1" si="120"/>
        <v>0</v>
      </c>
    </row>
    <row r="163" spans="1:39" x14ac:dyDescent="0.2">
      <c r="A163" s="29" t="str">
        <f t="shared" si="100"/>
        <v>Other loan</v>
      </c>
      <c r="C163" s="17">
        <f t="shared" ref="C163:G163" si="121">C65</f>
        <v>-2198.1884457615311</v>
      </c>
      <c r="D163" s="17">
        <f t="shared" si="121"/>
        <v>-1346.9229093299591</v>
      </c>
      <c r="E163" s="17">
        <f t="shared" si="121"/>
        <v>-443.15317729563503</v>
      </c>
      <c r="F163" s="17">
        <f t="shared" si="121"/>
        <v>0</v>
      </c>
      <c r="G163" s="17">
        <f t="shared" si="121"/>
        <v>0</v>
      </c>
      <c r="H163" s="17">
        <f t="shared" ref="H163:AM163" si="122">H65</f>
        <v>0</v>
      </c>
      <c r="I163" s="17">
        <f t="shared" si="122"/>
        <v>0</v>
      </c>
      <c r="J163" s="17">
        <f t="shared" si="122"/>
        <v>0</v>
      </c>
      <c r="K163" s="17">
        <f t="shared" si="122"/>
        <v>0</v>
      </c>
      <c r="L163" s="17">
        <f t="shared" si="122"/>
        <v>0</v>
      </c>
      <c r="M163" s="17">
        <f t="shared" si="122"/>
        <v>0</v>
      </c>
      <c r="N163" s="17">
        <f t="shared" si="122"/>
        <v>0</v>
      </c>
      <c r="O163" s="17">
        <f t="shared" si="122"/>
        <v>0</v>
      </c>
      <c r="P163" s="17">
        <f t="shared" si="122"/>
        <v>0</v>
      </c>
      <c r="Q163" s="17">
        <f t="shared" si="122"/>
        <v>0</v>
      </c>
      <c r="R163" s="17">
        <f t="shared" si="122"/>
        <v>0</v>
      </c>
      <c r="S163" s="17">
        <f t="shared" si="122"/>
        <v>0</v>
      </c>
      <c r="T163" s="17">
        <f t="shared" si="122"/>
        <v>0</v>
      </c>
      <c r="U163" s="17">
        <f t="shared" si="122"/>
        <v>0</v>
      </c>
      <c r="V163" s="17">
        <f t="shared" si="122"/>
        <v>0</v>
      </c>
      <c r="W163" s="17">
        <f t="shared" si="122"/>
        <v>0</v>
      </c>
      <c r="X163" s="17">
        <f t="shared" si="122"/>
        <v>0</v>
      </c>
      <c r="Y163" s="17">
        <f t="shared" si="122"/>
        <v>0</v>
      </c>
      <c r="Z163" s="17">
        <f t="shared" si="122"/>
        <v>0</v>
      </c>
      <c r="AA163" s="17">
        <f t="shared" si="122"/>
        <v>0</v>
      </c>
      <c r="AB163" s="17">
        <f t="shared" si="122"/>
        <v>0</v>
      </c>
      <c r="AC163" s="17">
        <f t="shared" si="122"/>
        <v>0</v>
      </c>
      <c r="AD163" s="17">
        <f t="shared" si="122"/>
        <v>0</v>
      </c>
      <c r="AE163" s="17">
        <f t="shared" si="122"/>
        <v>0</v>
      </c>
      <c r="AF163" s="17">
        <f t="shared" si="122"/>
        <v>0</v>
      </c>
      <c r="AG163" s="17">
        <f t="shared" si="122"/>
        <v>0</v>
      </c>
      <c r="AH163" s="17">
        <f t="shared" si="122"/>
        <v>0</v>
      </c>
      <c r="AI163" s="17">
        <f t="shared" si="122"/>
        <v>0</v>
      </c>
      <c r="AJ163" s="17">
        <f t="shared" si="122"/>
        <v>0</v>
      </c>
      <c r="AK163" s="17">
        <f t="shared" si="122"/>
        <v>0</v>
      </c>
      <c r="AL163" s="17">
        <f t="shared" si="122"/>
        <v>0</v>
      </c>
      <c r="AM163" s="17">
        <f t="shared" si="122"/>
        <v>0</v>
      </c>
    </row>
    <row r="164" spans="1:39" x14ac:dyDescent="0.2">
      <c r="A164" s="14"/>
      <c r="C164" s="19">
        <f ca="1">SUM(C150:C163)</f>
        <v>1544949.5962261481</v>
      </c>
      <c r="D164" s="19">
        <f t="shared" ref="D164:G164" ca="1" si="123">SUM(D150:D163)</f>
        <v>1726427.4576191471</v>
      </c>
      <c r="E164" s="19">
        <f t="shared" ca="1" si="123"/>
        <v>1965287.0323570464</v>
      </c>
      <c r="F164" s="19">
        <f t="shared" ca="1" si="123"/>
        <v>2225168.6603477281</v>
      </c>
      <c r="G164" s="19">
        <f t="shared" ca="1" si="123"/>
        <v>2452966.418409036</v>
      </c>
      <c r="H164" s="19">
        <f t="shared" ref="H164:AM164" ca="1" si="124">SUM(H150:H163)</f>
        <v>2732331.2514202618</v>
      </c>
      <c r="I164" s="19">
        <f t="shared" ca="1" si="124"/>
        <v>3060878.5915706824</v>
      </c>
      <c r="J164" s="19">
        <f t="shared" ca="1" si="124"/>
        <v>3375628.4790040124</v>
      </c>
      <c r="K164" s="19">
        <f t="shared" ca="1" si="124"/>
        <v>3674985.1472916864</v>
      </c>
      <c r="L164" s="19">
        <f t="shared" ca="1" si="124"/>
        <v>4020488.4814833445</v>
      </c>
      <c r="M164" s="19">
        <f t="shared" ca="1" si="124"/>
        <v>4382702.4931035973</v>
      </c>
      <c r="N164" s="19">
        <f t="shared" ca="1" si="124"/>
        <v>4756036.2178685591</v>
      </c>
      <c r="O164" s="19">
        <f t="shared" ca="1" si="124"/>
        <v>5140252.5192217631</v>
      </c>
      <c r="P164" s="19">
        <f t="shared" ca="1" si="124"/>
        <v>5542609.9758713739</v>
      </c>
      <c r="Q164" s="19">
        <f t="shared" ca="1" si="124"/>
        <v>5963840.2137444168</v>
      </c>
      <c r="R164" s="19">
        <f t="shared" ca="1" si="124"/>
        <v>6404702.6523398953</v>
      </c>
      <c r="S164" s="19">
        <f t="shared" ca="1" si="124"/>
        <v>6563578.43760416</v>
      </c>
      <c r="T164" s="19">
        <f t="shared" ca="1" si="124"/>
        <v>6736191.6266191779</v>
      </c>
      <c r="U164" s="19">
        <f t="shared" ca="1" si="124"/>
        <v>6913912.9064277941</v>
      </c>
      <c r="V164" s="19">
        <f t="shared" ca="1" si="124"/>
        <v>7096918.3809171626</v>
      </c>
      <c r="W164" s="19">
        <f t="shared" ca="1" si="124"/>
        <v>7285391.5194941368</v>
      </c>
      <c r="X164" s="19">
        <f t="shared" ca="1" si="124"/>
        <v>7479523.5395151321</v>
      </c>
      <c r="Y164" s="19">
        <f t="shared" ca="1" si="124"/>
        <v>7679513.8126911987</v>
      </c>
      <c r="Z164" s="19">
        <f t="shared" ca="1" si="124"/>
        <v>7885570.2971701743</v>
      </c>
      <c r="AA164" s="19">
        <f t="shared" ca="1" si="124"/>
        <v>8097909.9971269071</v>
      </c>
      <c r="AB164" s="19">
        <f t="shared" ca="1" si="124"/>
        <v>8316759.4518316165</v>
      </c>
      <c r="AC164" s="19">
        <f t="shared" ca="1" si="124"/>
        <v>8542355.2563165352</v>
      </c>
      <c r="AD164" s="19">
        <f t="shared" ca="1" si="124"/>
        <v>8786777.5010339189</v>
      </c>
      <c r="AE164" s="19">
        <f t="shared" ca="1" si="124"/>
        <v>9039043.3516615126</v>
      </c>
      <c r="AF164" s="19">
        <f t="shared" ca="1" si="124"/>
        <v>9299445.2324491125</v>
      </c>
      <c r="AG164" s="19">
        <f t="shared" ca="1" si="124"/>
        <v>9568288.809951894</v>
      </c>
      <c r="AH164" s="19">
        <f t="shared" ca="1" si="124"/>
        <v>9845893.7327298094</v>
      </c>
      <c r="AI164" s="19">
        <f t="shared" ca="1" si="124"/>
        <v>10132594.419937873</v>
      </c>
      <c r="AJ164" s="19">
        <f t="shared" ca="1" si="124"/>
        <v>10428740.902384833</v>
      </c>
      <c r="AK164" s="19">
        <f t="shared" ca="1" si="124"/>
        <v>10734699.719913039</v>
      </c>
      <c r="AL164" s="19">
        <f t="shared" ca="1" si="124"/>
        <v>11050854.879249312</v>
      </c>
      <c r="AM164" s="19">
        <f t="shared" ca="1" si="124"/>
        <v>11377608.876797119</v>
      </c>
    </row>
    <row r="165" spans="1:39" x14ac:dyDescent="0.2"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</row>
    <row r="166" spans="1:39" ht="19" x14ac:dyDescent="0.25">
      <c r="A166" s="42" t="s">
        <v>91</v>
      </c>
      <c r="B166" s="43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</row>
    <row r="167" spans="1:39" x14ac:dyDescent="0.2"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</row>
    <row r="168" spans="1:39" x14ac:dyDescent="0.2">
      <c r="A168" s="28" t="s">
        <v>74</v>
      </c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</row>
    <row r="169" spans="1:39" x14ac:dyDescent="0.2">
      <c r="A169" s="13" t="s">
        <v>10</v>
      </c>
      <c r="C169" s="17">
        <f ca="1">C53</f>
        <v>714578.8</v>
      </c>
      <c r="D169" s="17">
        <f t="shared" ref="D169:G169" ca="1" si="125">D53</f>
        <v>824098.44559532881</v>
      </c>
      <c r="E169" s="17">
        <f t="shared" ca="1" si="125"/>
        <v>995440.1709443531</v>
      </c>
      <c r="F169" s="17">
        <f t="shared" ca="1" si="125"/>
        <v>1190110.0184140191</v>
      </c>
      <c r="G169" s="17">
        <f t="shared" ca="1" si="125"/>
        <v>1354181.3950869064</v>
      </c>
      <c r="H169" s="17">
        <f t="shared" ref="H169:AM169" ca="1" si="126">H53</f>
        <v>1567917.714493009</v>
      </c>
      <c r="I169" s="17">
        <f t="shared" ca="1" si="126"/>
        <v>1828871.6343659752</v>
      </c>
      <c r="J169" s="17">
        <f t="shared" ca="1" si="126"/>
        <v>2073997.9163702845</v>
      </c>
      <c r="K169" s="17">
        <f t="shared" ca="1" si="126"/>
        <v>2301632.8826445597</v>
      </c>
      <c r="L169" s="17">
        <f t="shared" ca="1" si="126"/>
        <v>2573245.7366445996</v>
      </c>
      <c r="M169" s="17">
        <f t="shared" ca="1" si="126"/>
        <v>2859326.8920514602</v>
      </c>
      <c r="N169" s="17">
        <f t="shared" ca="1" si="126"/>
        <v>3168702.5795119987</v>
      </c>
      <c r="O169" s="17">
        <f t="shared" ca="1" si="126"/>
        <v>3502780.7015976864</v>
      </c>
      <c r="P169" s="17">
        <f t="shared" ca="1" si="126"/>
        <v>3853294.3799924105</v>
      </c>
      <c r="Q169" s="17">
        <f t="shared" ca="1" si="126"/>
        <v>4220907.9563648272</v>
      </c>
      <c r="R169" s="17">
        <f t="shared" ca="1" si="126"/>
        <v>4606310.2581247194</v>
      </c>
      <c r="S169" s="17">
        <f t="shared" ca="1" si="126"/>
        <v>4707808.3289191956</v>
      </c>
      <c r="T169" s="17">
        <f t="shared" ca="1" si="126"/>
        <v>4821048.3966188617</v>
      </c>
      <c r="U169" s="17">
        <f t="shared" ca="1" si="126"/>
        <v>4937319.3600282837</v>
      </c>
      <c r="V169" s="17">
        <f t="shared" ca="1" si="126"/>
        <v>5056711.3270665482</v>
      </c>
      <c r="W169" s="17">
        <f t="shared" ca="1" si="126"/>
        <v>5179317.296884154</v>
      </c>
      <c r="X169" s="17">
        <f t="shared" ca="1" si="126"/>
        <v>5305233.2565114927</v>
      </c>
      <c r="Y169" s="17">
        <f t="shared" ca="1" si="126"/>
        <v>5434558.280784863</v>
      </c>
      <c r="Z169" s="17">
        <f t="shared" ca="1" si="126"/>
        <v>5567394.6356610563</v>
      </c>
      <c r="AA169" s="17">
        <f t="shared" ca="1" si="126"/>
        <v>5703847.8850352764</v>
      </c>
      <c r="AB169" s="17">
        <f t="shared" ca="1" si="126"/>
        <v>5844027.0011810185</v>
      </c>
      <c r="AC169" s="17">
        <f t="shared" ca="1" si="126"/>
        <v>5988044.4789345022</v>
      </c>
      <c r="AD169" s="17">
        <f t="shared" ca="1" si="126"/>
        <v>6147849.338861553</v>
      </c>
      <c r="AE169" s="17">
        <f t="shared" ca="1" si="126"/>
        <v>6312320.238237597</v>
      </c>
      <c r="AF169" s="17">
        <f t="shared" ca="1" si="126"/>
        <v>6481603.1507251877</v>
      </c>
      <c r="AG169" s="17">
        <f t="shared" ca="1" si="126"/>
        <v>6655848.8088871781</v>
      </c>
      <c r="AH169" s="17">
        <f t="shared" ca="1" si="126"/>
        <v>6835212.8621929521</v>
      </c>
      <c r="AI169" s="17">
        <f t="shared" ca="1" si="126"/>
        <v>7019856.0402894933</v>
      </c>
      <c r="AJ169" s="17">
        <f t="shared" ca="1" si="126"/>
        <v>7209944.3217119556</v>
      </c>
      <c r="AK169" s="17">
        <f t="shared" ca="1" si="126"/>
        <v>7405649.1082141232</v>
      </c>
      <c r="AL169" s="17">
        <f t="shared" ca="1" si="126"/>
        <v>7607147.4049051059</v>
      </c>
      <c r="AM169" s="17">
        <f t="shared" ca="1" si="126"/>
        <v>7814622.0063847229</v>
      </c>
    </row>
    <row r="170" spans="1:39" x14ac:dyDescent="0.2">
      <c r="A170" s="13" t="s">
        <v>30</v>
      </c>
      <c r="C170" s="17">
        <f t="shared" ref="C170" ca="1" si="127">C66</f>
        <v>1544949.5962261481</v>
      </c>
      <c r="D170" s="17">
        <f t="shared" ref="D170:G170" ca="1" si="128">D66</f>
        <v>1726427.4576191471</v>
      </c>
      <c r="E170" s="17">
        <f t="shared" ca="1" si="128"/>
        <v>1965287.0323570464</v>
      </c>
      <c r="F170" s="17">
        <f t="shared" ca="1" si="128"/>
        <v>2225168.6603477281</v>
      </c>
      <c r="G170" s="17">
        <f t="shared" ca="1" si="128"/>
        <v>2452966.418409036</v>
      </c>
      <c r="H170" s="17">
        <f t="shared" ref="H170:AM170" ca="1" si="129">H66</f>
        <v>2732331.2514202618</v>
      </c>
      <c r="I170" s="17">
        <f t="shared" ca="1" si="129"/>
        <v>3060878.5915706824</v>
      </c>
      <c r="J170" s="17">
        <f t="shared" ca="1" si="129"/>
        <v>3375628.4790040124</v>
      </c>
      <c r="K170" s="17">
        <f t="shared" ca="1" si="129"/>
        <v>3674985.1472916864</v>
      </c>
      <c r="L170" s="17">
        <f t="shared" ca="1" si="129"/>
        <v>4020488.4814833445</v>
      </c>
      <c r="M170" s="17">
        <f t="shared" ca="1" si="129"/>
        <v>4382702.4931035973</v>
      </c>
      <c r="N170" s="17">
        <f t="shared" ca="1" si="129"/>
        <v>4756036.2178685591</v>
      </c>
      <c r="O170" s="17">
        <f t="shared" ca="1" si="129"/>
        <v>5140252.5192217631</v>
      </c>
      <c r="P170" s="17">
        <f t="shared" ca="1" si="129"/>
        <v>5542609.9758713739</v>
      </c>
      <c r="Q170" s="17">
        <f t="shared" ca="1" si="129"/>
        <v>5963840.2137444168</v>
      </c>
      <c r="R170" s="17">
        <f t="shared" ca="1" si="129"/>
        <v>6404702.6523398962</v>
      </c>
      <c r="S170" s="17">
        <f t="shared" ca="1" si="129"/>
        <v>6563578.43760416</v>
      </c>
      <c r="T170" s="17">
        <f t="shared" ca="1" si="129"/>
        <v>6736191.6266191779</v>
      </c>
      <c r="U170" s="17">
        <f t="shared" ca="1" si="129"/>
        <v>6913912.9064277941</v>
      </c>
      <c r="V170" s="17">
        <f t="shared" ca="1" si="129"/>
        <v>7096918.3809171626</v>
      </c>
      <c r="W170" s="17">
        <f t="shared" ca="1" si="129"/>
        <v>7285391.5194941368</v>
      </c>
      <c r="X170" s="17">
        <f t="shared" ca="1" si="129"/>
        <v>7479523.539515133</v>
      </c>
      <c r="Y170" s="17">
        <f t="shared" ca="1" si="129"/>
        <v>7679513.8126911987</v>
      </c>
      <c r="Z170" s="17">
        <f t="shared" ca="1" si="129"/>
        <v>7885570.2971701743</v>
      </c>
      <c r="AA170" s="17">
        <f t="shared" ca="1" si="129"/>
        <v>8097909.9971269071</v>
      </c>
      <c r="AB170" s="17">
        <f t="shared" ca="1" si="129"/>
        <v>8316759.4518316174</v>
      </c>
      <c r="AC170" s="17">
        <f t="shared" ca="1" si="129"/>
        <v>8542355.2563165352</v>
      </c>
      <c r="AD170" s="17">
        <f t="shared" ca="1" si="129"/>
        <v>8786777.5010339189</v>
      </c>
      <c r="AE170" s="17">
        <f t="shared" ca="1" si="129"/>
        <v>9039043.3516615126</v>
      </c>
      <c r="AF170" s="17">
        <f t="shared" ca="1" si="129"/>
        <v>9299445.2324491125</v>
      </c>
      <c r="AG170" s="17">
        <f t="shared" ca="1" si="129"/>
        <v>9568288.809951894</v>
      </c>
      <c r="AH170" s="17">
        <f t="shared" ca="1" si="129"/>
        <v>9845893.7327298094</v>
      </c>
      <c r="AI170" s="17">
        <f t="shared" ca="1" si="129"/>
        <v>10132594.419937873</v>
      </c>
      <c r="AJ170" s="17">
        <f t="shared" ca="1" si="129"/>
        <v>10428740.902384833</v>
      </c>
      <c r="AK170" s="17">
        <f t="shared" ca="1" si="129"/>
        <v>10734699.719913041</v>
      </c>
      <c r="AL170" s="17">
        <f t="shared" ca="1" si="129"/>
        <v>11050854.879249312</v>
      </c>
      <c r="AM170" s="17">
        <f t="shared" ca="1" si="129"/>
        <v>11377608.876797121</v>
      </c>
    </row>
    <row r="171" spans="1:39" x14ac:dyDescent="0.2">
      <c r="A171" s="13" t="s">
        <v>83</v>
      </c>
      <c r="C171" s="21" t="str">
        <f ca="1">IF(COUNTIF(169:169,"&lt;0")&gt;0,"NO","YES!")</f>
        <v>YES!</v>
      </c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</row>
    <row r="172" spans="1:39" x14ac:dyDescent="0.2">
      <c r="A172" s="13" t="s">
        <v>36</v>
      </c>
      <c r="C172" s="21" t="str" cm="1">
        <f t="array" aca="1" ref="C172" ca="1">IFERROR(INDEX($3:$3, MATCH(TRUE, INDEX(169:169&lt;0,0), 0)), "")</f>
        <v/>
      </c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</row>
    <row r="173" spans="1:39" x14ac:dyDescent="0.2">
      <c r="A173" s="13"/>
      <c r="C173" s="21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</row>
    <row r="174" spans="1:39" x14ac:dyDescent="0.2">
      <c r="A174" s="28" t="s">
        <v>75</v>
      </c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</row>
    <row r="175" spans="1:39" x14ac:dyDescent="0.2">
      <c r="A175" s="13" t="s">
        <v>10</v>
      </c>
      <c r="C175" s="17">
        <f t="shared" ref="C175" ca="1" si="130">C151</f>
        <v>714578.8</v>
      </c>
      <c r="D175" s="17">
        <f t="shared" ref="D175:G175" ca="1" si="131">D151</f>
        <v>824098.44559532881</v>
      </c>
      <c r="E175" s="17">
        <f t="shared" ca="1" si="131"/>
        <v>995440.1709443531</v>
      </c>
      <c r="F175" s="17">
        <f t="shared" ca="1" si="131"/>
        <v>1190110.0184140191</v>
      </c>
      <c r="G175" s="17">
        <f t="shared" ca="1" si="131"/>
        <v>1354181.3950869064</v>
      </c>
      <c r="H175" s="17">
        <f t="shared" ref="H175:AM175" ca="1" si="132">H151</f>
        <v>1567917.714493009</v>
      </c>
      <c r="I175" s="17">
        <f t="shared" ca="1" si="132"/>
        <v>1828871.6343659752</v>
      </c>
      <c r="J175" s="17">
        <f t="shared" ca="1" si="132"/>
        <v>2073997.9163702845</v>
      </c>
      <c r="K175" s="17">
        <f t="shared" ca="1" si="132"/>
        <v>2301632.8826445597</v>
      </c>
      <c r="L175" s="17">
        <f t="shared" ca="1" si="132"/>
        <v>2573245.7366445996</v>
      </c>
      <c r="M175" s="17">
        <f t="shared" ca="1" si="132"/>
        <v>2859326.8920514602</v>
      </c>
      <c r="N175" s="17">
        <f t="shared" ca="1" si="132"/>
        <v>3168702.5795119987</v>
      </c>
      <c r="O175" s="17">
        <f t="shared" ca="1" si="132"/>
        <v>3502780.7015976864</v>
      </c>
      <c r="P175" s="17">
        <f t="shared" ca="1" si="132"/>
        <v>3853294.3799924105</v>
      </c>
      <c r="Q175" s="17">
        <f t="shared" ca="1" si="132"/>
        <v>4220907.9563648272</v>
      </c>
      <c r="R175" s="17">
        <f t="shared" ca="1" si="132"/>
        <v>4606310.2581247194</v>
      </c>
      <c r="S175" s="17">
        <f t="shared" ca="1" si="132"/>
        <v>4707808.3289191956</v>
      </c>
      <c r="T175" s="17">
        <f t="shared" ca="1" si="132"/>
        <v>4821048.3966188617</v>
      </c>
      <c r="U175" s="17">
        <f t="shared" ca="1" si="132"/>
        <v>4937319.3600282837</v>
      </c>
      <c r="V175" s="17">
        <f t="shared" ca="1" si="132"/>
        <v>5056711.3270665482</v>
      </c>
      <c r="W175" s="17">
        <f t="shared" ca="1" si="132"/>
        <v>5179317.296884154</v>
      </c>
      <c r="X175" s="17">
        <f t="shared" ca="1" si="132"/>
        <v>5305233.2565114927</v>
      </c>
      <c r="Y175" s="17">
        <f t="shared" ca="1" si="132"/>
        <v>5434558.280784863</v>
      </c>
      <c r="Z175" s="17">
        <f t="shared" ca="1" si="132"/>
        <v>5567394.6356610563</v>
      </c>
      <c r="AA175" s="17">
        <f t="shared" ca="1" si="132"/>
        <v>5703847.8850352764</v>
      </c>
      <c r="AB175" s="17">
        <f t="shared" ca="1" si="132"/>
        <v>5844027.0011810185</v>
      </c>
      <c r="AC175" s="17">
        <f t="shared" ca="1" si="132"/>
        <v>5988044.4789345022</v>
      </c>
      <c r="AD175" s="17">
        <f t="shared" ca="1" si="132"/>
        <v>6147849.338861553</v>
      </c>
      <c r="AE175" s="17">
        <f t="shared" ca="1" si="132"/>
        <v>6312320.238237597</v>
      </c>
      <c r="AF175" s="17">
        <f t="shared" ca="1" si="132"/>
        <v>6481603.1507251877</v>
      </c>
      <c r="AG175" s="17">
        <f t="shared" ca="1" si="132"/>
        <v>6655848.8088871781</v>
      </c>
      <c r="AH175" s="17">
        <f t="shared" ca="1" si="132"/>
        <v>6835212.8621929521</v>
      </c>
      <c r="AI175" s="17">
        <f t="shared" ca="1" si="132"/>
        <v>7019856.0402894933</v>
      </c>
      <c r="AJ175" s="17">
        <f t="shared" ca="1" si="132"/>
        <v>7209944.3217119556</v>
      </c>
      <c r="AK175" s="17">
        <f t="shared" ca="1" si="132"/>
        <v>7405649.1082141232</v>
      </c>
      <c r="AL175" s="17">
        <f t="shared" ca="1" si="132"/>
        <v>7607147.4049051059</v>
      </c>
      <c r="AM175" s="17">
        <f t="shared" ca="1" si="132"/>
        <v>7814622.0063847229</v>
      </c>
    </row>
    <row r="176" spans="1:39" x14ac:dyDescent="0.2">
      <c r="A176" s="13" t="s">
        <v>30</v>
      </c>
      <c r="C176" s="17">
        <f t="shared" ref="C176" ca="1" si="133">C164</f>
        <v>1544949.5962261481</v>
      </c>
      <c r="D176" s="17">
        <f t="shared" ref="D176:G176" ca="1" si="134">D164</f>
        <v>1726427.4576191471</v>
      </c>
      <c r="E176" s="17">
        <f t="shared" ca="1" si="134"/>
        <v>1965287.0323570464</v>
      </c>
      <c r="F176" s="17">
        <f t="shared" ca="1" si="134"/>
        <v>2225168.6603477281</v>
      </c>
      <c r="G176" s="17">
        <f t="shared" ca="1" si="134"/>
        <v>2452966.418409036</v>
      </c>
      <c r="H176" s="17">
        <f t="shared" ref="H176:AM176" ca="1" si="135">H164</f>
        <v>2732331.2514202618</v>
      </c>
      <c r="I176" s="17">
        <f t="shared" ca="1" si="135"/>
        <v>3060878.5915706824</v>
      </c>
      <c r="J176" s="17">
        <f t="shared" ca="1" si="135"/>
        <v>3375628.4790040124</v>
      </c>
      <c r="K176" s="17">
        <f t="shared" ca="1" si="135"/>
        <v>3674985.1472916864</v>
      </c>
      <c r="L176" s="17">
        <f t="shared" ca="1" si="135"/>
        <v>4020488.4814833445</v>
      </c>
      <c r="M176" s="17">
        <f t="shared" ca="1" si="135"/>
        <v>4382702.4931035973</v>
      </c>
      <c r="N176" s="17">
        <f t="shared" ca="1" si="135"/>
        <v>4756036.2178685591</v>
      </c>
      <c r="O176" s="17">
        <f t="shared" ca="1" si="135"/>
        <v>5140252.5192217631</v>
      </c>
      <c r="P176" s="17">
        <f t="shared" ca="1" si="135"/>
        <v>5542609.9758713739</v>
      </c>
      <c r="Q176" s="17">
        <f t="shared" ca="1" si="135"/>
        <v>5963840.2137444168</v>
      </c>
      <c r="R176" s="17">
        <f t="shared" ca="1" si="135"/>
        <v>6404702.6523398953</v>
      </c>
      <c r="S176" s="17">
        <f t="shared" ca="1" si="135"/>
        <v>6563578.43760416</v>
      </c>
      <c r="T176" s="17">
        <f t="shared" ca="1" si="135"/>
        <v>6736191.6266191779</v>
      </c>
      <c r="U176" s="17">
        <f t="shared" ca="1" si="135"/>
        <v>6913912.9064277941</v>
      </c>
      <c r="V176" s="17">
        <f t="shared" ca="1" si="135"/>
        <v>7096918.3809171626</v>
      </c>
      <c r="W176" s="17">
        <f t="shared" ca="1" si="135"/>
        <v>7285391.5194941368</v>
      </c>
      <c r="X176" s="17">
        <f t="shared" ca="1" si="135"/>
        <v>7479523.5395151321</v>
      </c>
      <c r="Y176" s="17">
        <f t="shared" ca="1" si="135"/>
        <v>7679513.8126911987</v>
      </c>
      <c r="Z176" s="17">
        <f t="shared" ca="1" si="135"/>
        <v>7885570.2971701743</v>
      </c>
      <c r="AA176" s="17">
        <f t="shared" ca="1" si="135"/>
        <v>8097909.9971269071</v>
      </c>
      <c r="AB176" s="17">
        <f t="shared" ca="1" si="135"/>
        <v>8316759.4518316165</v>
      </c>
      <c r="AC176" s="17">
        <f t="shared" ca="1" si="135"/>
        <v>8542355.2563165352</v>
      </c>
      <c r="AD176" s="17">
        <f t="shared" ca="1" si="135"/>
        <v>8786777.5010339189</v>
      </c>
      <c r="AE176" s="17">
        <f t="shared" ca="1" si="135"/>
        <v>9039043.3516615126</v>
      </c>
      <c r="AF176" s="17">
        <f t="shared" ca="1" si="135"/>
        <v>9299445.2324491125</v>
      </c>
      <c r="AG176" s="17">
        <f t="shared" ca="1" si="135"/>
        <v>9568288.809951894</v>
      </c>
      <c r="AH176" s="17">
        <f t="shared" ca="1" si="135"/>
        <v>9845893.7327298094</v>
      </c>
      <c r="AI176" s="17">
        <f t="shared" ca="1" si="135"/>
        <v>10132594.419937873</v>
      </c>
      <c r="AJ176" s="17">
        <f t="shared" ca="1" si="135"/>
        <v>10428740.902384833</v>
      </c>
      <c r="AK176" s="17">
        <f t="shared" ca="1" si="135"/>
        <v>10734699.719913039</v>
      </c>
      <c r="AL176" s="17">
        <f t="shared" ca="1" si="135"/>
        <v>11050854.879249312</v>
      </c>
      <c r="AM176" s="17">
        <f t="shared" ca="1" si="135"/>
        <v>11377608.876797119</v>
      </c>
    </row>
    <row r="177" spans="1:39" x14ac:dyDescent="0.2">
      <c r="A177" s="13" t="s">
        <v>76</v>
      </c>
      <c r="C177" s="21" t="str">
        <f ca="1">IF(COUNTIF(175:175,"&lt;0")&gt;0,"NO","YES!")</f>
        <v>YES!</v>
      </c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</row>
    <row r="178" spans="1:39" x14ac:dyDescent="0.2">
      <c r="A178" s="13" t="s">
        <v>36</v>
      </c>
      <c r="C178" s="21" t="str" cm="1">
        <f t="array" aca="1" ref="C178" ca="1">IFERROR(INDEX($3:$3, MATCH(TRUE, INDEX(175:175&lt;0,0), 0)), "Never")</f>
        <v>Never</v>
      </c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</row>
    <row r="179" spans="1:39" x14ac:dyDescent="0.2">
      <c r="A179" s="13"/>
      <c r="C179" s="17"/>
      <c r="D179" s="17"/>
      <c r="E179" s="39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</row>
    <row r="180" spans="1:39" x14ac:dyDescent="0.2">
      <c r="A180" s="13" t="s">
        <v>32</v>
      </c>
      <c r="C180" s="20" t="s">
        <v>31</v>
      </c>
      <c r="D180" s="37" t="s">
        <v>78</v>
      </c>
      <c r="E180" s="37" t="s">
        <v>77</v>
      </c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</row>
    <row r="181" spans="1:39" x14ac:dyDescent="0.2">
      <c r="A181" s="29" t="s">
        <v>29</v>
      </c>
      <c r="C181" s="17">
        <f ca="1">-SUM(75:75)</f>
        <v>0</v>
      </c>
      <c r="D181" s="37" t="str" cm="1">
        <f t="array" aca="1" ref="D181" ca="1">IFERROR(TEXT(INDEX(2:2, MATCH(TRUE, INDEX(75:75&lt;0,0), 0)), "0000"), "")</f>
        <v/>
      </c>
      <c r="E181" s="38" t="str" cm="1">
        <f t="array" aca="1" ref="E181" ca="1">IFERROR(INDEX(3:3, MATCH(TRUE, INDEX(75:75&lt;0,0), 0)),"")</f>
        <v/>
      </c>
      <c r="F181" s="40" t="s">
        <v>79</v>
      </c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</row>
    <row r="182" spans="1:39" x14ac:dyDescent="0.2">
      <c r="A182" s="29" t="s">
        <v>73</v>
      </c>
      <c r="C182" s="16"/>
      <c r="D182" s="39"/>
      <c r="E182" s="39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</row>
    <row r="183" spans="1:39" x14ac:dyDescent="0.2">
      <c r="A183" s="30" t="str">
        <f>$A$56</f>
        <v>Sliema</v>
      </c>
      <c r="C183" s="17">
        <f ca="1">-IFERROR(MIN(INDEX($131:$133, MATCH(A183, $A$131:$A$133, 0), 0)),0)</f>
        <v>0</v>
      </c>
      <c r="D183" s="37" t="str" cm="1">
        <f t="array" aca="1" ref="D183" ca="1">IFERROR(TEXT(INDEX($2:$2,MATCH(0, $C136:$XFD136, 0) + COLUMN($C136) - 1),"0000"),"")</f>
        <v/>
      </c>
      <c r="E183" s="38" t="str" cm="1">
        <f t="array" aca="1" ref="E183" ca="1">IFERROR(INDEX($3:$3,MATCH(0, $C136:$XFD136, 0) + COLUMN($C136) - 1),"")</f>
        <v/>
      </c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</row>
    <row r="184" spans="1:39" x14ac:dyDescent="0.2">
      <c r="A184" s="30" t="str">
        <f>$A$57</f>
        <v>Gzira</v>
      </c>
      <c r="C184" s="17">
        <f ca="1">-IFERROR(MIN(INDEX($131:$133, MATCH(A184, $A$131:$A$133, 0), 0)),0)</f>
        <v>0</v>
      </c>
      <c r="D184" s="37" t="str" cm="1">
        <f t="array" aca="1" ref="D184" ca="1">IFERROR(TEXT(INDEX($2:$2,MATCH(0, $C137:$XFD137, 0) + COLUMN($C137) - 1),"0000"),"")</f>
        <v/>
      </c>
      <c r="E184" s="38" t="str" cm="1">
        <f t="array" aca="1" ref="E184" ca="1">IFERROR(INDEX($3:$3,MATCH(0, $C137:$XFD137, 0) + COLUMN($C137) - 1),"")</f>
        <v/>
      </c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</row>
    <row r="185" spans="1:39" x14ac:dyDescent="0.2">
      <c r="A185" s="30" t="str">
        <f>$A$58</f>
        <v>Hamrun</v>
      </c>
      <c r="C185" s="17">
        <f ca="1">-IFERROR(MIN(INDEX($131:$133, MATCH(A185, $A$131:$A$133, 0), 0)),0)</f>
        <v>0</v>
      </c>
      <c r="D185" s="37" t="str" cm="1">
        <f t="array" aca="1" ref="D185" ca="1">IFERROR(TEXT(INDEX($2:$2,MATCH(0, $C138:$XFD138, 0) + COLUMN($C138) - 1),"0000"),"")</f>
        <v/>
      </c>
      <c r="E185" s="38" t="str" cm="1">
        <f t="array" aca="1" ref="E185" ca="1">IFERROR(INDEX($3:$3,MATCH(0, $C138:$XFD138, 0) + COLUMN($C138) - 1),"")</f>
        <v/>
      </c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</row>
    <row r="186" spans="1:39" x14ac:dyDescent="0.2">
      <c r="A186" s="16"/>
      <c r="C186" s="19">
        <f ca="1">SUM(C183:C185)</f>
        <v>0</v>
      </c>
      <c r="D186" s="39"/>
      <c r="E186" s="39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</row>
    <row r="187" spans="1:39" x14ac:dyDescent="0.2">
      <c r="C187" s="17"/>
      <c r="E187" s="17"/>
      <c r="F187" s="17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</row>
    <row r="188" spans="1:39" x14ac:dyDescent="0.2">
      <c r="A188" s="28" t="s">
        <v>80</v>
      </c>
      <c r="B188" s="7" t="s">
        <v>1</v>
      </c>
      <c r="C188" s="17">
        <f t="shared" ref="C188:G188" si="136">C3</f>
        <v>49</v>
      </c>
      <c r="D188" s="17">
        <f t="shared" si="136"/>
        <v>50</v>
      </c>
      <c r="E188" s="17">
        <f t="shared" si="136"/>
        <v>51</v>
      </c>
      <c r="F188" s="17">
        <f t="shared" si="136"/>
        <v>52</v>
      </c>
      <c r="G188" s="17">
        <f t="shared" si="136"/>
        <v>53</v>
      </c>
      <c r="H188" s="17">
        <f t="shared" ref="H188:AM188" si="137">H3</f>
        <v>54</v>
      </c>
      <c r="I188" s="17">
        <f t="shared" si="137"/>
        <v>55</v>
      </c>
      <c r="J188" s="17">
        <f t="shared" si="137"/>
        <v>56</v>
      </c>
      <c r="K188" s="17">
        <f t="shared" si="137"/>
        <v>57</v>
      </c>
      <c r="L188" s="17">
        <f t="shared" si="137"/>
        <v>58</v>
      </c>
      <c r="M188" s="17">
        <f t="shared" si="137"/>
        <v>59</v>
      </c>
      <c r="N188" s="17">
        <f t="shared" si="137"/>
        <v>60</v>
      </c>
      <c r="O188" s="17">
        <f t="shared" si="137"/>
        <v>61</v>
      </c>
      <c r="P188" s="17">
        <f t="shared" si="137"/>
        <v>62</v>
      </c>
      <c r="Q188" s="17">
        <f t="shared" si="137"/>
        <v>63</v>
      </c>
      <c r="R188" s="17">
        <f t="shared" si="137"/>
        <v>64</v>
      </c>
      <c r="S188" s="17">
        <f t="shared" si="137"/>
        <v>65</v>
      </c>
      <c r="T188" s="17">
        <f t="shared" si="137"/>
        <v>66</v>
      </c>
      <c r="U188" s="17">
        <f t="shared" si="137"/>
        <v>67</v>
      </c>
      <c r="V188" s="17">
        <f t="shared" si="137"/>
        <v>68</v>
      </c>
      <c r="W188" s="17">
        <f t="shared" si="137"/>
        <v>69</v>
      </c>
      <c r="X188" s="17">
        <f t="shared" si="137"/>
        <v>70</v>
      </c>
      <c r="Y188" s="17">
        <f t="shared" si="137"/>
        <v>71</v>
      </c>
      <c r="Z188" s="17">
        <f t="shared" si="137"/>
        <v>72</v>
      </c>
      <c r="AA188" s="17">
        <f t="shared" si="137"/>
        <v>73</v>
      </c>
      <c r="AB188" s="17">
        <f t="shared" si="137"/>
        <v>74</v>
      </c>
      <c r="AC188" s="17">
        <f t="shared" si="137"/>
        <v>75</v>
      </c>
      <c r="AD188" s="17">
        <f t="shared" si="137"/>
        <v>76</v>
      </c>
      <c r="AE188" s="17">
        <f t="shared" si="137"/>
        <v>77</v>
      </c>
      <c r="AF188" s="17">
        <f t="shared" si="137"/>
        <v>78</v>
      </c>
      <c r="AG188" s="17">
        <f t="shared" si="137"/>
        <v>79</v>
      </c>
      <c r="AH188" s="17">
        <f t="shared" si="137"/>
        <v>80</v>
      </c>
      <c r="AI188" s="17">
        <f t="shared" si="137"/>
        <v>81</v>
      </c>
      <c r="AJ188" s="17">
        <f t="shared" si="137"/>
        <v>82</v>
      </c>
      <c r="AK188" s="17">
        <f t="shared" si="137"/>
        <v>83</v>
      </c>
      <c r="AL188" s="17">
        <f t="shared" si="137"/>
        <v>84</v>
      </c>
      <c r="AM188" s="17">
        <f t="shared" si="137"/>
        <v>85</v>
      </c>
    </row>
    <row r="189" spans="1:39" x14ac:dyDescent="0.2">
      <c r="A189" s="13" t="s">
        <v>74</v>
      </c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</row>
    <row r="190" spans="1:39" x14ac:dyDescent="0.2">
      <c r="A190" s="13" t="s">
        <v>10</v>
      </c>
      <c r="C190" s="17">
        <f ca="1">C169</f>
        <v>714578.8</v>
      </c>
      <c r="D190" s="17">
        <f t="shared" ref="D190:G190" ca="1" si="138">D169</f>
        <v>824098.44559532881</v>
      </c>
      <c r="E190" s="17">
        <f t="shared" ca="1" si="138"/>
        <v>995440.1709443531</v>
      </c>
      <c r="F190" s="17">
        <f t="shared" ca="1" si="138"/>
        <v>1190110.0184140191</v>
      </c>
      <c r="G190" s="17">
        <f t="shared" ca="1" si="138"/>
        <v>1354181.3950869064</v>
      </c>
      <c r="H190" s="17">
        <f t="shared" ref="H190:AM190" ca="1" si="139">H169</f>
        <v>1567917.714493009</v>
      </c>
      <c r="I190" s="17">
        <f t="shared" ca="1" si="139"/>
        <v>1828871.6343659752</v>
      </c>
      <c r="J190" s="17">
        <f t="shared" ca="1" si="139"/>
        <v>2073997.9163702845</v>
      </c>
      <c r="K190" s="17">
        <f t="shared" ca="1" si="139"/>
        <v>2301632.8826445597</v>
      </c>
      <c r="L190" s="17">
        <f t="shared" ca="1" si="139"/>
        <v>2573245.7366445996</v>
      </c>
      <c r="M190" s="17">
        <f t="shared" ca="1" si="139"/>
        <v>2859326.8920514602</v>
      </c>
      <c r="N190" s="17">
        <f t="shared" ca="1" si="139"/>
        <v>3168702.5795119987</v>
      </c>
      <c r="O190" s="17">
        <f t="shared" ca="1" si="139"/>
        <v>3502780.7015976864</v>
      </c>
      <c r="P190" s="17">
        <f t="shared" ca="1" si="139"/>
        <v>3853294.3799924105</v>
      </c>
      <c r="Q190" s="17">
        <f t="shared" ca="1" si="139"/>
        <v>4220907.9563648272</v>
      </c>
      <c r="R190" s="17">
        <f t="shared" ca="1" si="139"/>
        <v>4606310.2581247194</v>
      </c>
      <c r="S190" s="17">
        <f t="shared" ca="1" si="139"/>
        <v>4707808.3289191956</v>
      </c>
      <c r="T190" s="17">
        <f t="shared" ca="1" si="139"/>
        <v>4821048.3966188617</v>
      </c>
      <c r="U190" s="17">
        <f t="shared" ca="1" si="139"/>
        <v>4937319.3600282837</v>
      </c>
      <c r="V190" s="17">
        <f t="shared" ca="1" si="139"/>
        <v>5056711.3270665482</v>
      </c>
      <c r="W190" s="17">
        <f t="shared" ca="1" si="139"/>
        <v>5179317.296884154</v>
      </c>
      <c r="X190" s="17">
        <f t="shared" ca="1" si="139"/>
        <v>5305233.2565114927</v>
      </c>
      <c r="Y190" s="17">
        <f t="shared" ca="1" si="139"/>
        <v>5434558.280784863</v>
      </c>
      <c r="Z190" s="17">
        <f t="shared" ca="1" si="139"/>
        <v>5567394.6356610563</v>
      </c>
      <c r="AA190" s="17">
        <f t="shared" ca="1" si="139"/>
        <v>5703847.8850352764</v>
      </c>
      <c r="AB190" s="17">
        <f t="shared" ca="1" si="139"/>
        <v>5844027.0011810185</v>
      </c>
      <c r="AC190" s="17">
        <f t="shared" ca="1" si="139"/>
        <v>5988044.4789345022</v>
      </c>
      <c r="AD190" s="17">
        <f t="shared" ca="1" si="139"/>
        <v>6147849.338861553</v>
      </c>
      <c r="AE190" s="17">
        <f t="shared" ca="1" si="139"/>
        <v>6312320.238237597</v>
      </c>
      <c r="AF190" s="17">
        <f t="shared" ca="1" si="139"/>
        <v>6481603.1507251877</v>
      </c>
      <c r="AG190" s="17">
        <f t="shared" ca="1" si="139"/>
        <v>6655848.8088871781</v>
      </c>
      <c r="AH190" s="17">
        <f t="shared" ca="1" si="139"/>
        <v>6835212.8621929521</v>
      </c>
      <c r="AI190" s="17">
        <f t="shared" ca="1" si="139"/>
        <v>7019856.0402894933</v>
      </c>
      <c r="AJ190" s="17">
        <f t="shared" ca="1" si="139"/>
        <v>7209944.3217119556</v>
      </c>
      <c r="AK190" s="17">
        <f t="shared" ca="1" si="139"/>
        <v>7405649.1082141232</v>
      </c>
      <c r="AL190" s="17">
        <f t="shared" ca="1" si="139"/>
        <v>7607147.4049051059</v>
      </c>
      <c r="AM190" s="17">
        <f t="shared" ca="1" si="139"/>
        <v>7814622.0063847229</v>
      </c>
    </row>
    <row r="191" spans="1:39" x14ac:dyDescent="0.2">
      <c r="A191" s="13" t="s">
        <v>30</v>
      </c>
      <c r="C191" s="17">
        <f ca="1">C170</f>
        <v>1544949.5962261481</v>
      </c>
      <c r="D191" s="17">
        <f t="shared" ref="D191:G191" ca="1" si="140">D170</f>
        <v>1726427.4576191471</v>
      </c>
      <c r="E191" s="17">
        <f t="shared" ca="1" si="140"/>
        <v>1965287.0323570464</v>
      </c>
      <c r="F191" s="17">
        <f t="shared" ca="1" si="140"/>
        <v>2225168.6603477281</v>
      </c>
      <c r="G191" s="17">
        <f t="shared" ca="1" si="140"/>
        <v>2452966.418409036</v>
      </c>
      <c r="H191" s="17">
        <f t="shared" ref="H191:AM191" ca="1" si="141">H170</f>
        <v>2732331.2514202618</v>
      </c>
      <c r="I191" s="17">
        <f t="shared" ca="1" si="141"/>
        <v>3060878.5915706824</v>
      </c>
      <c r="J191" s="17">
        <f t="shared" ca="1" si="141"/>
        <v>3375628.4790040124</v>
      </c>
      <c r="K191" s="17">
        <f t="shared" ca="1" si="141"/>
        <v>3674985.1472916864</v>
      </c>
      <c r="L191" s="17">
        <f t="shared" ca="1" si="141"/>
        <v>4020488.4814833445</v>
      </c>
      <c r="M191" s="17">
        <f t="shared" ca="1" si="141"/>
        <v>4382702.4931035973</v>
      </c>
      <c r="N191" s="17">
        <f t="shared" ca="1" si="141"/>
        <v>4756036.2178685591</v>
      </c>
      <c r="O191" s="17">
        <f t="shared" ca="1" si="141"/>
        <v>5140252.5192217631</v>
      </c>
      <c r="P191" s="17">
        <f t="shared" ca="1" si="141"/>
        <v>5542609.9758713739</v>
      </c>
      <c r="Q191" s="17">
        <f t="shared" ca="1" si="141"/>
        <v>5963840.2137444168</v>
      </c>
      <c r="R191" s="17">
        <f t="shared" ca="1" si="141"/>
        <v>6404702.6523398962</v>
      </c>
      <c r="S191" s="17">
        <f t="shared" ca="1" si="141"/>
        <v>6563578.43760416</v>
      </c>
      <c r="T191" s="17">
        <f t="shared" ca="1" si="141"/>
        <v>6736191.6266191779</v>
      </c>
      <c r="U191" s="17">
        <f t="shared" ca="1" si="141"/>
        <v>6913912.9064277941</v>
      </c>
      <c r="V191" s="17">
        <f t="shared" ca="1" si="141"/>
        <v>7096918.3809171626</v>
      </c>
      <c r="W191" s="17">
        <f t="shared" ca="1" si="141"/>
        <v>7285391.5194941368</v>
      </c>
      <c r="X191" s="17">
        <f t="shared" ca="1" si="141"/>
        <v>7479523.539515133</v>
      </c>
      <c r="Y191" s="17">
        <f t="shared" ca="1" si="141"/>
        <v>7679513.8126911987</v>
      </c>
      <c r="Z191" s="17">
        <f t="shared" ca="1" si="141"/>
        <v>7885570.2971701743</v>
      </c>
      <c r="AA191" s="17">
        <f t="shared" ca="1" si="141"/>
        <v>8097909.9971269071</v>
      </c>
      <c r="AB191" s="17">
        <f t="shared" ca="1" si="141"/>
        <v>8316759.4518316174</v>
      </c>
      <c r="AC191" s="17">
        <f t="shared" ca="1" si="141"/>
        <v>8542355.2563165352</v>
      </c>
      <c r="AD191" s="17">
        <f t="shared" ca="1" si="141"/>
        <v>8786777.5010339189</v>
      </c>
      <c r="AE191" s="17">
        <f t="shared" ca="1" si="141"/>
        <v>9039043.3516615126</v>
      </c>
      <c r="AF191" s="17">
        <f t="shared" ca="1" si="141"/>
        <v>9299445.2324491125</v>
      </c>
      <c r="AG191" s="17">
        <f t="shared" ca="1" si="141"/>
        <v>9568288.809951894</v>
      </c>
      <c r="AH191" s="17">
        <f t="shared" ca="1" si="141"/>
        <v>9845893.7327298094</v>
      </c>
      <c r="AI191" s="17">
        <f t="shared" ca="1" si="141"/>
        <v>10132594.419937873</v>
      </c>
      <c r="AJ191" s="17">
        <f t="shared" ca="1" si="141"/>
        <v>10428740.902384833</v>
      </c>
      <c r="AK191" s="17">
        <f t="shared" ca="1" si="141"/>
        <v>10734699.719913041</v>
      </c>
      <c r="AL191" s="17">
        <f t="shared" ca="1" si="141"/>
        <v>11050854.879249312</v>
      </c>
      <c r="AM191" s="17">
        <f t="shared" ca="1" si="141"/>
        <v>11377608.876797121</v>
      </c>
    </row>
    <row r="192" spans="1:39" x14ac:dyDescent="0.2">
      <c r="A192" s="13" t="s">
        <v>75</v>
      </c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</row>
    <row r="193" spans="1:39" x14ac:dyDescent="0.2">
      <c r="A193" s="29" t="s">
        <v>10</v>
      </c>
      <c r="C193" s="17">
        <f ca="1">C175</f>
        <v>714578.8</v>
      </c>
      <c r="D193" s="17">
        <f t="shared" ref="D193:G193" ca="1" si="142">D175</f>
        <v>824098.44559532881</v>
      </c>
      <c r="E193" s="17">
        <f t="shared" ca="1" si="142"/>
        <v>995440.1709443531</v>
      </c>
      <c r="F193" s="17">
        <f t="shared" ca="1" si="142"/>
        <v>1190110.0184140191</v>
      </c>
      <c r="G193" s="17">
        <f t="shared" ca="1" si="142"/>
        <v>1354181.3950869064</v>
      </c>
      <c r="H193" s="17">
        <f t="shared" ref="H193:AM193" ca="1" si="143">H175</f>
        <v>1567917.714493009</v>
      </c>
      <c r="I193" s="17">
        <f t="shared" ca="1" si="143"/>
        <v>1828871.6343659752</v>
      </c>
      <c r="J193" s="17">
        <f t="shared" ca="1" si="143"/>
        <v>2073997.9163702845</v>
      </c>
      <c r="K193" s="17">
        <f t="shared" ca="1" si="143"/>
        <v>2301632.8826445597</v>
      </c>
      <c r="L193" s="17">
        <f t="shared" ca="1" si="143"/>
        <v>2573245.7366445996</v>
      </c>
      <c r="M193" s="17">
        <f t="shared" ca="1" si="143"/>
        <v>2859326.8920514602</v>
      </c>
      <c r="N193" s="17">
        <f t="shared" ca="1" si="143"/>
        <v>3168702.5795119987</v>
      </c>
      <c r="O193" s="17">
        <f t="shared" ca="1" si="143"/>
        <v>3502780.7015976864</v>
      </c>
      <c r="P193" s="17">
        <f t="shared" ca="1" si="143"/>
        <v>3853294.3799924105</v>
      </c>
      <c r="Q193" s="17">
        <f t="shared" ca="1" si="143"/>
        <v>4220907.9563648272</v>
      </c>
      <c r="R193" s="17">
        <f t="shared" ca="1" si="143"/>
        <v>4606310.2581247194</v>
      </c>
      <c r="S193" s="17">
        <f t="shared" ca="1" si="143"/>
        <v>4707808.3289191956</v>
      </c>
      <c r="T193" s="17">
        <f t="shared" ca="1" si="143"/>
        <v>4821048.3966188617</v>
      </c>
      <c r="U193" s="17">
        <f t="shared" ca="1" si="143"/>
        <v>4937319.3600282837</v>
      </c>
      <c r="V193" s="17">
        <f t="shared" ca="1" si="143"/>
        <v>5056711.3270665482</v>
      </c>
      <c r="W193" s="17">
        <f t="shared" ca="1" si="143"/>
        <v>5179317.296884154</v>
      </c>
      <c r="X193" s="17">
        <f t="shared" ca="1" si="143"/>
        <v>5305233.2565114927</v>
      </c>
      <c r="Y193" s="17">
        <f t="shared" ca="1" si="143"/>
        <v>5434558.280784863</v>
      </c>
      <c r="Z193" s="17">
        <f t="shared" ca="1" si="143"/>
        <v>5567394.6356610563</v>
      </c>
      <c r="AA193" s="17">
        <f t="shared" ca="1" si="143"/>
        <v>5703847.8850352764</v>
      </c>
      <c r="AB193" s="17">
        <f t="shared" ca="1" si="143"/>
        <v>5844027.0011810185</v>
      </c>
      <c r="AC193" s="17">
        <f t="shared" ca="1" si="143"/>
        <v>5988044.4789345022</v>
      </c>
      <c r="AD193" s="17">
        <f t="shared" ca="1" si="143"/>
        <v>6147849.338861553</v>
      </c>
      <c r="AE193" s="17">
        <f t="shared" ca="1" si="143"/>
        <v>6312320.238237597</v>
      </c>
      <c r="AF193" s="17">
        <f t="shared" ca="1" si="143"/>
        <v>6481603.1507251877</v>
      </c>
      <c r="AG193" s="17">
        <f t="shared" ca="1" si="143"/>
        <v>6655848.8088871781</v>
      </c>
      <c r="AH193" s="17">
        <f t="shared" ca="1" si="143"/>
        <v>6835212.8621929521</v>
      </c>
      <c r="AI193" s="17">
        <f t="shared" ca="1" si="143"/>
        <v>7019856.0402894933</v>
      </c>
      <c r="AJ193" s="17">
        <f t="shared" ca="1" si="143"/>
        <v>7209944.3217119556</v>
      </c>
      <c r="AK193" s="17">
        <f t="shared" ca="1" si="143"/>
        <v>7405649.1082141232</v>
      </c>
      <c r="AL193" s="17">
        <f t="shared" ca="1" si="143"/>
        <v>7607147.4049051059</v>
      </c>
      <c r="AM193" s="17">
        <f t="shared" ca="1" si="143"/>
        <v>7814622.0063847229</v>
      </c>
    </row>
    <row r="194" spans="1:39" x14ac:dyDescent="0.2">
      <c r="A194" s="29" t="s">
        <v>30</v>
      </c>
      <c r="C194" s="17">
        <f ca="1">C176</f>
        <v>1544949.5962261481</v>
      </c>
      <c r="D194" s="17">
        <f t="shared" ref="D194:G194" ca="1" si="144">D176</f>
        <v>1726427.4576191471</v>
      </c>
      <c r="E194" s="17">
        <f t="shared" ca="1" si="144"/>
        <v>1965287.0323570464</v>
      </c>
      <c r="F194" s="17">
        <f t="shared" ca="1" si="144"/>
        <v>2225168.6603477281</v>
      </c>
      <c r="G194" s="17">
        <f t="shared" ca="1" si="144"/>
        <v>2452966.418409036</v>
      </c>
      <c r="H194" s="17">
        <f t="shared" ref="H194:AM194" ca="1" si="145">H176</f>
        <v>2732331.2514202618</v>
      </c>
      <c r="I194" s="17">
        <f t="shared" ca="1" si="145"/>
        <v>3060878.5915706824</v>
      </c>
      <c r="J194" s="17">
        <f t="shared" ca="1" si="145"/>
        <v>3375628.4790040124</v>
      </c>
      <c r="K194" s="17">
        <f t="shared" ca="1" si="145"/>
        <v>3674985.1472916864</v>
      </c>
      <c r="L194" s="17">
        <f t="shared" ca="1" si="145"/>
        <v>4020488.4814833445</v>
      </c>
      <c r="M194" s="17">
        <f t="shared" ca="1" si="145"/>
        <v>4382702.4931035973</v>
      </c>
      <c r="N194" s="17">
        <f t="shared" ca="1" si="145"/>
        <v>4756036.2178685591</v>
      </c>
      <c r="O194" s="17">
        <f t="shared" ca="1" si="145"/>
        <v>5140252.5192217631</v>
      </c>
      <c r="P194" s="17">
        <f t="shared" ca="1" si="145"/>
        <v>5542609.9758713739</v>
      </c>
      <c r="Q194" s="17">
        <f t="shared" ca="1" si="145"/>
        <v>5963840.2137444168</v>
      </c>
      <c r="R194" s="17">
        <f t="shared" ca="1" si="145"/>
        <v>6404702.6523398953</v>
      </c>
      <c r="S194" s="17">
        <f t="shared" ca="1" si="145"/>
        <v>6563578.43760416</v>
      </c>
      <c r="T194" s="17">
        <f t="shared" ca="1" si="145"/>
        <v>6736191.6266191779</v>
      </c>
      <c r="U194" s="17">
        <f t="shared" ca="1" si="145"/>
        <v>6913912.9064277941</v>
      </c>
      <c r="V194" s="17">
        <f t="shared" ca="1" si="145"/>
        <v>7096918.3809171626</v>
      </c>
      <c r="W194" s="17">
        <f t="shared" ca="1" si="145"/>
        <v>7285391.5194941368</v>
      </c>
      <c r="X194" s="17">
        <f t="shared" ca="1" si="145"/>
        <v>7479523.5395151321</v>
      </c>
      <c r="Y194" s="17">
        <f t="shared" ca="1" si="145"/>
        <v>7679513.8126911987</v>
      </c>
      <c r="Z194" s="17">
        <f t="shared" ca="1" si="145"/>
        <v>7885570.2971701743</v>
      </c>
      <c r="AA194" s="17">
        <f t="shared" ca="1" si="145"/>
        <v>8097909.9971269071</v>
      </c>
      <c r="AB194" s="17">
        <f t="shared" ca="1" si="145"/>
        <v>8316759.4518316165</v>
      </c>
      <c r="AC194" s="17">
        <f t="shared" ca="1" si="145"/>
        <v>8542355.2563165352</v>
      </c>
      <c r="AD194" s="17">
        <f t="shared" ca="1" si="145"/>
        <v>8786777.5010339189</v>
      </c>
      <c r="AE194" s="17">
        <f t="shared" ca="1" si="145"/>
        <v>9039043.3516615126</v>
      </c>
      <c r="AF194" s="17">
        <f t="shared" ca="1" si="145"/>
        <v>9299445.2324491125</v>
      </c>
      <c r="AG194" s="17">
        <f t="shared" ca="1" si="145"/>
        <v>9568288.809951894</v>
      </c>
      <c r="AH194" s="17">
        <f t="shared" ca="1" si="145"/>
        <v>9845893.7327298094</v>
      </c>
      <c r="AI194" s="17">
        <f t="shared" ca="1" si="145"/>
        <v>10132594.419937873</v>
      </c>
      <c r="AJ194" s="17">
        <f t="shared" ca="1" si="145"/>
        <v>10428740.902384833</v>
      </c>
      <c r="AK194" s="17">
        <f t="shared" ca="1" si="145"/>
        <v>10734699.719913039</v>
      </c>
      <c r="AL194" s="17">
        <f t="shared" ca="1" si="145"/>
        <v>11050854.879249312</v>
      </c>
      <c r="AM194" s="17">
        <f t="shared" ca="1" si="145"/>
        <v>11377608.876797119</v>
      </c>
    </row>
    <row r="195" spans="1:39" x14ac:dyDescent="0.2">
      <c r="A195" s="14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</row>
    <row r="196" spans="1:39" x14ac:dyDescent="0.2"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</row>
    <row r="197" spans="1:39" x14ac:dyDescent="0.2"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</row>
    <row r="198" spans="1:39" x14ac:dyDescent="0.2"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</row>
    <row r="199" spans="1:39" x14ac:dyDescent="0.2"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</row>
    <row r="200" spans="1:39" x14ac:dyDescent="0.2"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</row>
    <row r="201" spans="1:39" x14ac:dyDescent="0.2"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</row>
    <row r="202" spans="1:39" x14ac:dyDescent="0.2"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</row>
    <row r="203" spans="1:39" x14ac:dyDescent="0.2"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</row>
    <row r="204" spans="1:39" x14ac:dyDescent="0.2"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</row>
    <row r="205" spans="1:39" x14ac:dyDescent="0.2"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</row>
    <row r="206" spans="1:39" x14ac:dyDescent="0.2"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</row>
    <row r="207" spans="1:39" x14ac:dyDescent="0.2"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</row>
    <row r="208" spans="1:39" x14ac:dyDescent="0.2"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</row>
    <row r="209" spans="3:39" x14ac:dyDescent="0.2"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</row>
    <row r="210" spans="3:39" x14ac:dyDescent="0.2"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</row>
    <row r="211" spans="3:39" x14ac:dyDescent="0.2"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</row>
    <row r="212" spans="3:39" x14ac:dyDescent="0.2"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</row>
    <row r="213" spans="3:39" x14ac:dyDescent="0.2"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</row>
    <row r="214" spans="3:39" x14ac:dyDescent="0.2"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</row>
    <row r="215" spans="3:39" x14ac:dyDescent="0.2"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</row>
    <row r="216" spans="3:39" x14ac:dyDescent="0.2"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</row>
    <row r="217" spans="3:39" x14ac:dyDescent="0.2"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</row>
    <row r="218" spans="3:39" x14ac:dyDescent="0.2"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</row>
    <row r="219" spans="3:39" x14ac:dyDescent="0.2"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</row>
    <row r="220" spans="3:39" x14ac:dyDescent="0.2"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</row>
    <row r="221" spans="3:39" x14ac:dyDescent="0.2"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</row>
    <row r="222" spans="3:39" x14ac:dyDescent="0.2"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</row>
    <row r="223" spans="3:39" x14ac:dyDescent="0.2"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</row>
    <row r="224" spans="3:39" x14ac:dyDescent="0.2"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</row>
    <row r="225" spans="3:39" x14ac:dyDescent="0.2"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</row>
    <row r="226" spans="3:39" x14ac:dyDescent="0.2"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</row>
    <row r="227" spans="3:39" x14ac:dyDescent="0.2"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</row>
    <row r="228" spans="3:39" x14ac:dyDescent="0.2"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</row>
    <row r="229" spans="3:39" x14ac:dyDescent="0.2"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</row>
    <row r="230" spans="3:39" x14ac:dyDescent="0.2"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</row>
    <row r="231" spans="3:39" x14ac:dyDescent="0.2"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</row>
    <row r="232" spans="3:39" x14ac:dyDescent="0.2"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</row>
    <row r="233" spans="3:39" x14ac:dyDescent="0.2"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</row>
    <row r="234" spans="3:39" x14ac:dyDescent="0.2"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</row>
    <row r="235" spans="3:39" x14ac:dyDescent="0.2"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</row>
    <row r="236" spans="3:39" x14ac:dyDescent="0.2"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</row>
    <row r="237" spans="3:39" x14ac:dyDescent="0.2"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</row>
    <row r="238" spans="3:39" x14ac:dyDescent="0.2"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</row>
    <row r="239" spans="3:39" x14ac:dyDescent="0.2"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</row>
    <row r="240" spans="3:39" x14ac:dyDescent="0.2"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</row>
    <row r="241" spans="3:39" x14ac:dyDescent="0.2"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</row>
    <row r="242" spans="3:39" x14ac:dyDescent="0.2"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</row>
    <row r="243" spans="3:39" x14ac:dyDescent="0.2"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</row>
    <row r="244" spans="3:39" x14ac:dyDescent="0.2"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</row>
    <row r="245" spans="3:39" x14ac:dyDescent="0.2"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</row>
    <row r="246" spans="3:39" x14ac:dyDescent="0.2"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</row>
    <row r="247" spans="3:39" x14ac:dyDescent="0.2"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</row>
    <row r="248" spans="3:39" x14ac:dyDescent="0.2"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</row>
    <row r="249" spans="3:39" x14ac:dyDescent="0.2"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</row>
    <row r="250" spans="3:39" x14ac:dyDescent="0.2"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</row>
    <row r="251" spans="3:39" x14ac:dyDescent="0.2"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</row>
    <row r="252" spans="3:39" x14ac:dyDescent="0.2"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</row>
    <row r="253" spans="3:39" x14ac:dyDescent="0.2"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</row>
    <row r="254" spans="3:39" x14ac:dyDescent="0.2"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</row>
    <row r="255" spans="3:39" x14ac:dyDescent="0.2"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</row>
    <row r="256" spans="3:39" x14ac:dyDescent="0.2"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</row>
    <row r="257" spans="3:39" x14ac:dyDescent="0.2"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</row>
    <row r="258" spans="3:39" x14ac:dyDescent="0.2"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</row>
    <row r="259" spans="3:39" x14ac:dyDescent="0.2"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</row>
    <row r="260" spans="3:39" x14ac:dyDescent="0.2"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</row>
    <row r="261" spans="3:39" x14ac:dyDescent="0.2"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</row>
    <row r="262" spans="3:39" x14ac:dyDescent="0.2"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</row>
    <row r="263" spans="3:39" x14ac:dyDescent="0.2"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</row>
    <row r="264" spans="3:39" x14ac:dyDescent="0.2"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</row>
    <row r="265" spans="3:39" x14ac:dyDescent="0.2"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</row>
    <row r="266" spans="3:39" x14ac:dyDescent="0.2"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</row>
    <row r="267" spans="3:39" x14ac:dyDescent="0.2"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</row>
    <row r="268" spans="3:39" x14ac:dyDescent="0.2"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</row>
    <row r="269" spans="3:39" x14ac:dyDescent="0.2"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</row>
    <row r="270" spans="3:39" x14ac:dyDescent="0.2"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</row>
    <row r="271" spans="3:39" x14ac:dyDescent="0.2"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</row>
    <row r="272" spans="3:39" x14ac:dyDescent="0.2"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</row>
    <row r="273" spans="3:39" x14ac:dyDescent="0.2"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</row>
    <row r="274" spans="3:39" x14ac:dyDescent="0.2"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</row>
    <row r="275" spans="3:39" x14ac:dyDescent="0.2"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</row>
    <row r="276" spans="3:39" x14ac:dyDescent="0.2"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</row>
    <row r="277" spans="3:39" x14ac:dyDescent="0.2"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</row>
    <row r="278" spans="3:39" x14ac:dyDescent="0.2"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</row>
    <row r="279" spans="3:39" x14ac:dyDescent="0.2"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</row>
    <row r="280" spans="3:39" x14ac:dyDescent="0.2"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</row>
    <row r="281" spans="3:39" x14ac:dyDescent="0.2"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</row>
    <row r="282" spans="3:39" x14ac:dyDescent="0.2"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</row>
    <row r="283" spans="3:39" x14ac:dyDescent="0.2"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</row>
    <row r="284" spans="3:39" x14ac:dyDescent="0.2"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</row>
    <row r="285" spans="3:39" x14ac:dyDescent="0.2"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</row>
    <row r="286" spans="3:39" x14ac:dyDescent="0.2"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</row>
    <row r="287" spans="3:39" x14ac:dyDescent="0.2"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</row>
    <row r="288" spans="3:39" x14ac:dyDescent="0.2"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</row>
    <row r="289" spans="3:39" x14ac:dyDescent="0.2"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</row>
    <row r="290" spans="3:39" x14ac:dyDescent="0.2"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</row>
    <row r="291" spans="3:39" x14ac:dyDescent="0.2"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</row>
    <row r="292" spans="3:39" x14ac:dyDescent="0.2"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</row>
    <row r="293" spans="3:39" x14ac:dyDescent="0.2"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</row>
    <row r="294" spans="3:39" x14ac:dyDescent="0.2"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</row>
    <row r="295" spans="3:39" x14ac:dyDescent="0.2"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</row>
    <row r="296" spans="3:39" x14ac:dyDescent="0.2"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</row>
    <row r="297" spans="3:39" x14ac:dyDescent="0.2"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</row>
    <row r="298" spans="3:39" x14ac:dyDescent="0.2"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</row>
    <row r="299" spans="3:39" x14ac:dyDescent="0.2"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</row>
    <row r="300" spans="3:39" x14ac:dyDescent="0.2"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</row>
    <row r="301" spans="3:39" x14ac:dyDescent="0.2"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</row>
    <row r="302" spans="3:39" x14ac:dyDescent="0.2"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</row>
    <row r="303" spans="3:39" x14ac:dyDescent="0.2"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</row>
    <row r="304" spans="3:39" x14ac:dyDescent="0.2"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</row>
    <row r="305" spans="3:39" x14ac:dyDescent="0.2"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</row>
    <row r="306" spans="3:39" x14ac:dyDescent="0.2"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</row>
    <row r="307" spans="3:39" x14ac:dyDescent="0.2"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</row>
    <row r="308" spans="3:39" x14ac:dyDescent="0.2"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</row>
    <row r="309" spans="3:39" x14ac:dyDescent="0.2"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</row>
    <row r="310" spans="3:39" x14ac:dyDescent="0.2"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</row>
    <row r="311" spans="3:39" x14ac:dyDescent="0.2"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</row>
    <row r="312" spans="3:39" x14ac:dyDescent="0.2"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</row>
    <row r="313" spans="3:39" x14ac:dyDescent="0.2"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</row>
    <row r="314" spans="3:39" x14ac:dyDescent="0.2"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</row>
    <row r="315" spans="3:39" x14ac:dyDescent="0.2"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</row>
    <row r="316" spans="3:39" x14ac:dyDescent="0.2"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</row>
    <row r="317" spans="3:39" x14ac:dyDescent="0.2"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</row>
    <row r="318" spans="3:39" x14ac:dyDescent="0.2"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</row>
    <row r="319" spans="3:39" x14ac:dyDescent="0.2"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</row>
    <row r="320" spans="3:39" x14ac:dyDescent="0.2"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</row>
    <row r="321" spans="3:39" x14ac:dyDescent="0.2"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</row>
    <row r="322" spans="3:39" x14ac:dyDescent="0.2"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</row>
    <row r="323" spans="3:39" x14ac:dyDescent="0.2"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</row>
    <row r="324" spans="3:39" x14ac:dyDescent="0.2"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</row>
    <row r="325" spans="3:39" x14ac:dyDescent="0.2"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</row>
    <row r="326" spans="3:39" x14ac:dyDescent="0.2"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</row>
    <row r="327" spans="3:39" x14ac:dyDescent="0.2"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</row>
    <row r="328" spans="3:39" x14ac:dyDescent="0.2"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</row>
    <row r="329" spans="3:39" x14ac:dyDescent="0.2"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</row>
    <row r="330" spans="3:39" x14ac:dyDescent="0.2"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</row>
    <row r="331" spans="3:39" x14ac:dyDescent="0.2"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</row>
    <row r="332" spans="3:39" x14ac:dyDescent="0.2"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</row>
    <row r="333" spans="3:39" x14ac:dyDescent="0.2"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</row>
    <row r="334" spans="3:39" x14ac:dyDescent="0.2"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</row>
    <row r="335" spans="3:39" x14ac:dyDescent="0.2"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</row>
    <row r="336" spans="3:39" x14ac:dyDescent="0.2"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</row>
    <row r="337" spans="3:39" x14ac:dyDescent="0.2"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</row>
    <row r="338" spans="3:39" x14ac:dyDescent="0.2"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</row>
    <row r="339" spans="3:39" x14ac:dyDescent="0.2"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</row>
    <row r="340" spans="3:39" x14ac:dyDescent="0.2"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14D0C-8E54-FD49-9F91-8069ED82671C}">
  <sheetPr codeName="Sheet5"/>
  <dimension ref="A1:AM340"/>
  <sheetViews>
    <sheetView tabSelected="1" zoomScale="130" zoomScaleNormal="130" workbookViewId="0">
      <pane xSplit="1" ySplit="3" topLeftCell="B45" activePane="bottomRight" state="frozen"/>
      <selection activeCell="C68" sqref="C68"/>
      <selection pane="topRight" activeCell="C68" sqref="C68"/>
      <selection pane="bottomLeft" activeCell="C68" sqref="C68"/>
      <selection pane="bottomRight" activeCell="C3" sqref="C3"/>
    </sheetView>
  </sheetViews>
  <sheetFormatPr baseColWidth="10" defaultRowHeight="16" x14ac:dyDescent="0.2"/>
  <cols>
    <col min="1" max="1" width="39.33203125" style="7" customWidth="1"/>
    <col min="2" max="2" width="4.33203125" style="16" customWidth="1"/>
    <col min="3" max="39" width="11.83203125" style="7" customWidth="1"/>
    <col min="40" max="88" width="11.83203125" customWidth="1"/>
  </cols>
  <sheetData>
    <row r="1" spans="1:39" x14ac:dyDescent="0.2">
      <c r="B1" s="15">
        <v>0</v>
      </c>
      <c r="C1" s="7">
        <v>1</v>
      </c>
      <c r="D1" s="7">
        <f>C1+1</f>
        <v>2</v>
      </c>
      <c r="E1" s="7">
        <f t="shared" ref="E1:AM3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  <c r="AG1" s="7">
        <f t="shared" si="0"/>
        <v>31</v>
      </c>
      <c r="AH1" s="7">
        <f t="shared" si="0"/>
        <v>32</v>
      </c>
      <c r="AI1" s="7">
        <f t="shared" si="0"/>
        <v>33</v>
      </c>
      <c r="AJ1" s="7">
        <f t="shared" si="0"/>
        <v>34</v>
      </c>
      <c r="AK1" s="7">
        <f t="shared" si="0"/>
        <v>35</v>
      </c>
      <c r="AL1" s="7">
        <f t="shared" si="0"/>
        <v>36</v>
      </c>
      <c r="AM1" s="7">
        <f t="shared" si="0"/>
        <v>37</v>
      </c>
    </row>
    <row r="2" spans="1:39" x14ac:dyDescent="0.2">
      <c r="A2" s="21"/>
      <c r="B2" s="15" t="s">
        <v>7</v>
      </c>
      <c r="C2" s="7">
        <f ca="1">YEAR(TODAY())+1</f>
        <v>2027</v>
      </c>
      <c r="D2" s="7">
        <f ca="1">C2+1</f>
        <v>2028</v>
      </c>
      <c r="E2" s="7">
        <f t="shared" ca="1" si="0"/>
        <v>2029</v>
      </c>
      <c r="F2" s="7">
        <f t="shared" ca="1" si="0"/>
        <v>2030</v>
      </c>
      <c r="G2" s="7">
        <f t="shared" ca="1" si="0"/>
        <v>2031</v>
      </c>
      <c r="H2" s="7">
        <f t="shared" ca="1" si="0"/>
        <v>2032</v>
      </c>
      <c r="I2" s="7">
        <f t="shared" ca="1" si="0"/>
        <v>2033</v>
      </c>
      <c r="J2" s="7">
        <f t="shared" ca="1" si="0"/>
        <v>2034</v>
      </c>
      <c r="K2" s="7">
        <f t="shared" ca="1" si="0"/>
        <v>2035</v>
      </c>
      <c r="L2" s="7">
        <f t="shared" ca="1" si="0"/>
        <v>2036</v>
      </c>
      <c r="M2" s="7">
        <f t="shared" ca="1" si="0"/>
        <v>2037</v>
      </c>
      <c r="N2" s="7">
        <f t="shared" ca="1" si="0"/>
        <v>2038</v>
      </c>
      <c r="O2" s="7">
        <f t="shared" ca="1" si="0"/>
        <v>2039</v>
      </c>
      <c r="P2" s="7">
        <f t="shared" ca="1" si="0"/>
        <v>2040</v>
      </c>
      <c r="Q2" s="7">
        <f t="shared" ca="1" si="0"/>
        <v>2041</v>
      </c>
      <c r="R2" s="7">
        <f t="shared" ca="1" si="0"/>
        <v>2042</v>
      </c>
      <c r="S2" s="7">
        <f t="shared" ca="1" si="0"/>
        <v>2043</v>
      </c>
      <c r="T2" s="7">
        <f t="shared" ca="1" si="0"/>
        <v>2044</v>
      </c>
      <c r="U2" s="7">
        <f t="shared" ca="1" si="0"/>
        <v>2045</v>
      </c>
      <c r="V2" s="7">
        <f t="shared" ca="1" si="0"/>
        <v>2046</v>
      </c>
      <c r="W2" s="7">
        <f t="shared" ca="1" si="0"/>
        <v>2047</v>
      </c>
      <c r="X2" s="7">
        <f t="shared" ca="1" si="0"/>
        <v>2048</v>
      </c>
      <c r="Y2" s="7">
        <f t="shared" ca="1" si="0"/>
        <v>2049</v>
      </c>
      <c r="Z2" s="7">
        <f t="shared" ca="1" si="0"/>
        <v>2050</v>
      </c>
      <c r="AA2" s="7">
        <f t="shared" ca="1" si="0"/>
        <v>2051</v>
      </c>
      <c r="AB2" s="7">
        <f t="shared" ca="1" si="0"/>
        <v>2052</v>
      </c>
      <c r="AC2" s="7">
        <f t="shared" ca="1" si="0"/>
        <v>2053</v>
      </c>
      <c r="AD2" s="7">
        <f t="shared" ca="1" si="0"/>
        <v>2054</v>
      </c>
      <c r="AE2" s="7">
        <f t="shared" ca="1" si="0"/>
        <v>2055</v>
      </c>
      <c r="AF2" s="7">
        <f t="shared" ca="1" si="0"/>
        <v>2056</v>
      </c>
      <c r="AG2" s="7">
        <f t="shared" ca="1" si="0"/>
        <v>2057</v>
      </c>
      <c r="AH2" s="7">
        <f t="shared" ca="1" si="0"/>
        <v>2058</v>
      </c>
      <c r="AI2" s="7">
        <f t="shared" ca="1" si="0"/>
        <v>2059</v>
      </c>
      <c r="AJ2" s="7">
        <f t="shared" ca="1" si="0"/>
        <v>2060</v>
      </c>
      <c r="AK2" s="7">
        <f t="shared" ca="1" si="0"/>
        <v>2061</v>
      </c>
      <c r="AL2" s="7">
        <f t="shared" ca="1" si="0"/>
        <v>2062</v>
      </c>
      <c r="AM2" s="7">
        <f t="shared" ca="1" si="0"/>
        <v>2063</v>
      </c>
    </row>
    <row r="3" spans="1:39" x14ac:dyDescent="0.2">
      <c r="A3" s="48"/>
      <c r="B3" s="49">
        <v>50</v>
      </c>
      <c r="C3" s="7">
        <f>Inputs!C4+1</f>
        <v>49</v>
      </c>
      <c r="D3" s="7">
        <f>C3+1</f>
        <v>50</v>
      </c>
      <c r="E3" s="7">
        <f t="shared" si="0"/>
        <v>51</v>
      </c>
      <c r="F3" s="7">
        <f t="shared" si="0"/>
        <v>52</v>
      </c>
      <c r="G3" s="7">
        <f t="shared" si="0"/>
        <v>53</v>
      </c>
      <c r="H3" s="7">
        <f t="shared" si="0"/>
        <v>54</v>
      </c>
      <c r="I3" s="7">
        <f t="shared" si="0"/>
        <v>55</v>
      </c>
      <c r="J3" s="7">
        <f t="shared" si="0"/>
        <v>56</v>
      </c>
      <c r="K3" s="7">
        <f t="shared" si="0"/>
        <v>57</v>
      </c>
      <c r="L3" s="7">
        <f t="shared" si="0"/>
        <v>58</v>
      </c>
      <c r="M3" s="7">
        <f t="shared" si="0"/>
        <v>59</v>
      </c>
      <c r="N3" s="7">
        <f t="shared" si="0"/>
        <v>60</v>
      </c>
      <c r="O3" s="7">
        <f t="shared" si="0"/>
        <v>61</v>
      </c>
      <c r="P3" s="7">
        <f t="shared" si="0"/>
        <v>62</v>
      </c>
      <c r="Q3" s="7">
        <f t="shared" si="0"/>
        <v>63</v>
      </c>
      <c r="R3" s="7">
        <f t="shared" si="0"/>
        <v>64</v>
      </c>
      <c r="S3" s="7">
        <f t="shared" si="0"/>
        <v>65</v>
      </c>
      <c r="T3" s="7">
        <f t="shared" si="0"/>
        <v>66</v>
      </c>
      <c r="U3" s="7">
        <f t="shared" si="0"/>
        <v>67</v>
      </c>
      <c r="V3" s="7">
        <f t="shared" si="0"/>
        <v>68</v>
      </c>
      <c r="W3" s="7">
        <f t="shared" si="0"/>
        <v>69</v>
      </c>
      <c r="X3" s="7">
        <f t="shared" si="0"/>
        <v>70</v>
      </c>
      <c r="Y3" s="7">
        <f t="shared" si="0"/>
        <v>71</v>
      </c>
      <c r="Z3" s="7">
        <f t="shared" si="0"/>
        <v>72</v>
      </c>
      <c r="AA3" s="7">
        <f t="shared" si="0"/>
        <v>73</v>
      </c>
      <c r="AB3" s="7">
        <f t="shared" si="0"/>
        <v>74</v>
      </c>
      <c r="AC3" s="7">
        <f t="shared" si="0"/>
        <v>75</v>
      </c>
      <c r="AD3" s="7">
        <f t="shared" si="0"/>
        <v>76</v>
      </c>
      <c r="AE3" s="7">
        <f t="shared" si="0"/>
        <v>77</v>
      </c>
      <c r="AF3" s="7">
        <f t="shared" si="0"/>
        <v>78</v>
      </c>
      <c r="AG3" s="7">
        <f t="shared" si="0"/>
        <v>79</v>
      </c>
      <c r="AH3" s="7">
        <f t="shared" si="0"/>
        <v>80</v>
      </c>
      <c r="AI3" s="7">
        <f t="shared" si="0"/>
        <v>81</v>
      </c>
      <c r="AJ3" s="7">
        <f t="shared" si="0"/>
        <v>82</v>
      </c>
      <c r="AK3" s="7">
        <f t="shared" si="0"/>
        <v>83</v>
      </c>
      <c r="AL3" s="7">
        <f t="shared" si="0"/>
        <v>84</v>
      </c>
      <c r="AM3" s="7">
        <f t="shared" si="0"/>
        <v>85</v>
      </c>
    </row>
    <row r="4" spans="1:39" ht="19" x14ac:dyDescent="0.25">
      <c r="A4" s="25" t="s">
        <v>18</v>
      </c>
      <c r="B4" s="49" t="str">
        <f ca="1">C178</f>
        <v>Never</v>
      </c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</row>
    <row r="5" spans="1:39" x14ac:dyDescent="0.2">
      <c r="A5" s="14" t="s">
        <v>52</v>
      </c>
      <c r="B5" s="18"/>
      <c r="C5" s="17">
        <f>IF(AND(Inputs!$C$19&gt;C3,$B$3&gt;C3),Inputs!$C$6*(1+sincr)^B1,0)</f>
        <v>200000</v>
      </c>
      <c r="D5" s="17">
        <f>IF(AND(Inputs!$C$19&gt;D3,$B$3&gt;D3),Inputs!$C$6*(1+sincr)^C1,0)</f>
        <v>0</v>
      </c>
      <c r="E5" s="17">
        <f>IF(AND(Inputs!$C$19&gt;E3,$B$3&gt;E3),Inputs!$C$6*(1+sincr)^D1,0)</f>
        <v>0</v>
      </c>
      <c r="F5" s="17">
        <f>IF(AND(Inputs!$C$19&gt;F3,$B$3&gt;F3),Inputs!$C$6*(1+sincr)^E1,0)</f>
        <v>0</v>
      </c>
      <c r="G5" s="17">
        <f>IF(AND(Inputs!$C$19&gt;G3,$B$3&gt;G3),Inputs!$C$6*(1+sincr)^F1,0)</f>
        <v>0</v>
      </c>
      <c r="H5" s="17">
        <f>IF(AND(Inputs!$C$19&gt;H3,$B$3&gt;H3),Inputs!$C$6*(1+sincr)^G1,0)</f>
        <v>0</v>
      </c>
      <c r="I5" s="17">
        <f>IF(AND(Inputs!$C$19&gt;I3,$B$3&gt;I3),Inputs!$C$6*(1+sincr)^H1,0)</f>
        <v>0</v>
      </c>
      <c r="J5" s="17">
        <f>IF(AND(Inputs!$C$19&gt;J3,$B$3&gt;J3),Inputs!$C$6*(1+sincr)^I1,0)</f>
        <v>0</v>
      </c>
      <c r="K5" s="17">
        <f>IF(AND(Inputs!$C$19&gt;K3,$B$3&gt;K3),Inputs!$C$6*(1+sincr)^J1,0)</f>
        <v>0</v>
      </c>
      <c r="L5" s="17">
        <f>IF(AND(Inputs!$C$19&gt;L3,$B$3&gt;L3),Inputs!$C$6*(1+sincr)^K1,0)</f>
        <v>0</v>
      </c>
      <c r="M5" s="17">
        <f>IF(AND(Inputs!$C$19&gt;M3,$B$3&gt;M3),Inputs!$C$6*(1+sincr)^L1,0)</f>
        <v>0</v>
      </c>
      <c r="N5" s="17">
        <f>IF(AND(Inputs!$C$19&gt;N3,$B$3&gt;N3),Inputs!$C$6*(1+sincr)^M1,0)</f>
        <v>0</v>
      </c>
      <c r="O5" s="17">
        <f>IF(AND(Inputs!$C$19&gt;O3,$B$3&gt;O3),Inputs!$C$6*(1+sincr)^N1,0)</f>
        <v>0</v>
      </c>
      <c r="P5" s="17">
        <f>IF(AND(Inputs!$C$19&gt;P3,$B$3&gt;P3),Inputs!$C$6*(1+sincr)^O1,0)</f>
        <v>0</v>
      </c>
      <c r="Q5" s="17">
        <f>IF(AND(Inputs!$C$19&gt;Q3,$B$3&gt;Q3),Inputs!$C$6*(1+sincr)^P1,0)</f>
        <v>0</v>
      </c>
      <c r="R5" s="17">
        <f>IF(AND(Inputs!$C$19&gt;R3,$B$3&gt;R3),Inputs!$C$6*(1+sincr)^Q1,0)</f>
        <v>0</v>
      </c>
      <c r="S5" s="17">
        <f>IF(AND(Inputs!$C$19&gt;S3,$B$3&gt;S3),Inputs!$C$6*(1+sincr)^R1,0)</f>
        <v>0</v>
      </c>
      <c r="T5" s="17">
        <f>IF(AND(Inputs!$C$19&gt;T3,$B$3&gt;T3),Inputs!$C$6*(1+sincr)^S1,0)</f>
        <v>0</v>
      </c>
      <c r="U5" s="17">
        <f>IF(AND(Inputs!$C$19&gt;U3,$B$3&gt;U3),Inputs!$C$6*(1+sincr)^T1,0)</f>
        <v>0</v>
      </c>
      <c r="V5" s="17">
        <f>IF(AND(Inputs!$C$19&gt;V3,$B$3&gt;V3),Inputs!$C$6*(1+sincr)^U1,0)</f>
        <v>0</v>
      </c>
      <c r="W5" s="17">
        <f>IF(AND(Inputs!$C$19&gt;W3,$B$3&gt;W3),Inputs!$C$6*(1+sincr)^V1,0)</f>
        <v>0</v>
      </c>
      <c r="X5" s="17">
        <f>IF(AND(Inputs!$C$19&gt;X3,$B$3&gt;X3),Inputs!$C$6*(1+sincr)^W1,0)</f>
        <v>0</v>
      </c>
      <c r="Y5" s="17">
        <f>IF(AND(Inputs!$C$19&gt;Y3,$B$3&gt;Y3),Inputs!$C$6*(1+sincr)^X1,0)</f>
        <v>0</v>
      </c>
      <c r="Z5" s="17">
        <f>IF(AND(Inputs!$C$19&gt;Z3,$B$3&gt;Z3),Inputs!$C$6*(1+sincr)^Y1,0)</f>
        <v>0</v>
      </c>
      <c r="AA5" s="17">
        <f>IF(AND(Inputs!$C$19&gt;AA3,$B$3&gt;AA3),Inputs!$C$6*(1+sincr)^Z1,0)</f>
        <v>0</v>
      </c>
      <c r="AB5" s="17">
        <f>IF(AND(Inputs!$C$19&gt;AB3,$B$3&gt;AB3),Inputs!$C$6*(1+sincr)^AA1,0)</f>
        <v>0</v>
      </c>
      <c r="AC5" s="17">
        <f>IF(AND(Inputs!$C$19&gt;AC3,$B$3&gt;AC3),Inputs!$C$6*(1+sincr)^AB1,0)</f>
        <v>0</v>
      </c>
      <c r="AD5" s="17">
        <f>IF(AND(Inputs!$C$19&gt;AD3,$B$3&gt;AD3),Inputs!$C$6*(1+sincr)^AC1,0)</f>
        <v>0</v>
      </c>
      <c r="AE5" s="17">
        <f>IF(AND(Inputs!$C$19&gt;AE3,$B$3&gt;AE3),Inputs!$C$6*(1+sincr)^AD1,0)</f>
        <v>0</v>
      </c>
      <c r="AF5" s="17">
        <f>IF(AND(Inputs!$C$19&gt;AF3,$B$3&gt;AF3),Inputs!$C$6*(1+sincr)^AE1,0)</f>
        <v>0</v>
      </c>
      <c r="AG5" s="17">
        <f>IF(AND(Inputs!$C$19&gt;AG3,$B$3&gt;AG3),Inputs!$C$6*(1+sincr)^AF1,0)</f>
        <v>0</v>
      </c>
      <c r="AH5" s="17">
        <f>IF(AND(Inputs!$C$19&gt;AH3,$B$3&gt;AH3),Inputs!$C$6*(1+sincr)^AG1,0)</f>
        <v>0</v>
      </c>
      <c r="AI5" s="17">
        <f>IF(AND(Inputs!$C$19&gt;AI3,$B$3&gt;AI3),Inputs!$C$6*(1+sincr)^AH1,0)</f>
        <v>0</v>
      </c>
      <c r="AJ5" s="17">
        <f>IF(AND(Inputs!$C$19&gt;AJ3,$B$3&gt;AJ3),Inputs!$C$6*(1+sincr)^AI1,0)</f>
        <v>0</v>
      </c>
      <c r="AK5" s="17">
        <f>IF(AND(Inputs!$C$19&gt;AK3,$B$3&gt;AK3),Inputs!$C$6*(1+sincr)^AJ1,0)</f>
        <v>0</v>
      </c>
      <c r="AL5" s="17">
        <f>IF(AND(Inputs!$C$19&gt;AL3,$B$3&gt;AL3),Inputs!$C$6*(1+sincr)^AK1,0)</f>
        <v>0</v>
      </c>
      <c r="AM5" s="17">
        <f>IF(AND(Inputs!$C$19&gt;AM3,$B$3&gt;AM3),Inputs!$C$6*(1+sincr)^AL1,0)</f>
        <v>0</v>
      </c>
    </row>
    <row r="6" spans="1:39" x14ac:dyDescent="0.2">
      <c r="A6" s="14" t="s">
        <v>15</v>
      </c>
      <c r="B6" s="18"/>
      <c r="C6" s="17">
        <f>IF(C$3&lt;=Inputs!$C$71,Inputs!$C$70,0)*(1+inf)^B$1</f>
        <v>4800</v>
      </c>
      <c r="D6" s="17">
        <f>IF(D$3&lt;=Inputs!$C$71,Inputs!$C$70,0)*(1+inf)^C$1</f>
        <v>4920</v>
      </c>
      <c r="E6" s="17">
        <f>IF(E$3&lt;=Inputs!$C$71,Inputs!$C$70,0)*(1+inf)^D$1</f>
        <v>5043</v>
      </c>
      <c r="F6" s="17">
        <f>IF(F$3&lt;=Inputs!$C$71,Inputs!$C$70,0)*(1+inf)^E$1</f>
        <v>5169.0749999999998</v>
      </c>
      <c r="G6" s="17">
        <f>IF(G$3&lt;=Inputs!$C$71,Inputs!$C$70,0)*(1+inf)^F$1</f>
        <v>5298.3018749999992</v>
      </c>
      <c r="H6" s="17">
        <f>IF(H$3&lt;=Inputs!$C$71,Inputs!$C$70,0)*(1+inf)^G$1</f>
        <v>5430.7594218749982</v>
      </c>
      <c r="I6" s="17">
        <f>IF(I$3&lt;=Inputs!$C$71,Inputs!$C$70,0)*(1+inf)^H$1</f>
        <v>5566.5284074218725</v>
      </c>
      <c r="J6" s="17">
        <f>IF(J$3&lt;=Inputs!$C$71,Inputs!$C$70,0)*(1+inf)^I$1</f>
        <v>5705.6916176074201</v>
      </c>
      <c r="K6" s="17">
        <f>IF(K$3&lt;=Inputs!$C$71,Inputs!$C$70,0)*(1+inf)^J$1</f>
        <v>5848.3339080476053</v>
      </c>
      <c r="L6" s="17">
        <f>IF(L$3&lt;=Inputs!$C$71,Inputs!$C$70,0)*(1+inf)^K$1</f>
        <v>5994.5422557487937</v>
      </c>
      <c r="M6" s="17">
        <f>IF(M$3&lt;=Inputs!$C$71,Inputs!$C$70,0)*(1+inf)^L$1</f>
        <v>6144.4058121425142</v>
      </c>
      <c r="N6" s="17">
        <f>IF(N$3&lt;=Inputs!$C$71,Inputs!$C$70,0)*(1+inf)^M$1</f>
        <v>0</v>
      </c>
      <c r="O6" s="17">
        <f>IF(O$3&lt;=Inputs!$C$71,Inputs!$C$70,0)*(1+inf)^N$1</f>
        <v>0</v>
      </c>
      <c r="P6" s="17">
        <f>IF(P$3&lt;=Inputs!$C$71,Inputs!$C$70,0)*(1+inf)^O$1</f>
        <v>0</v>
      </c>
      <c r="Q6" s="17">
        <f>IF(Q$3&lt;=Inputs!$C$71,Inputs!$C$70,0)*(1+inf)^P$1</f>
        <v>0</v>
      </c>
      <c r="R6" s="17">
        <f>IF(R$3&lt;=Inputs!$C$71,Inputs!$C$70,0)*(1+inf)^Q$1</f>
        <v>0</v>
      </c>
      <c r="S6" s="17">
        <f>IF(S$3&lt;=Inputs!$C$71,Inputs!$C$70,0)*(1+inf)^R$1</f>
        <v>0</v>
      </c>
      <c r="T6" s="17">
        <f>IF(T$3&lt;=Inputs!$C$71,Inputs!$C$70,0)*(1+inf)^S$1</f>
        <v>0</v>
      </c>
      <c r="U6" s="17">
        <f>IF(U$3&lt;=Inputs!$C$71,Inputs!$C$70,0)*(1+inf)^T$1</f>
        <v>0</v>
      </c>
      <c r="V6" s="17">
        <f>IF(V$3&lt;=Inputs!$C$71,Inputs!$C$70,0)*(1+inf)^U$1</f>
        <v>0</v>
      </c>
      <c r="W6" s="17">
        <f>IF(W$3&lt;=Inputs!$C$71,Inputs!$C$70,0)*(1+inf)^V$1</f>
        <v>0</v>
      </c>
      <c r="X6" s="17">
        <f>IF(X$3&lt;=Inputs!$C$71,Inputs!$C$70,0)*(1+inf)^W$1</f>
        <v>0</v>
      </c>
      <c r="Y6" s="17">
        <f>IF(Y$3&lt;=Inputs!$C$71,Inputs!$C$70,0)*(1+inf)^X$1</f>
        <v>0</v>
      </c>
      <c r="Z6" s="17">
        <f>IF(Z$3&lt;=Inputs!$C$71,Inputs!$C$70,0)*(1+inf)^Y$1</f>
        <v>0</v>
      </c>
      <c r="AA6" s="17">
        <f>IF(AA$3&lt;=Inputs!$C$71,Inputs!$C$70,0)*(1+inf)^Z$1</f>
        <v>0</v>
      </c>
      <c r="AB6" s="17">
        <f>IF(AB$3&lt;=Inputs!$C$71,Inputs!$C$70,0)*(1+inf)^AA$1</f>
        <v>0</v>
      </c>
      <c r="AC6" s="17">
        <f>IF(AC$3&lt;=Inputs!$C$71,Inputs!$C$70,0)*(1+inf)^AB$1</f>
        <v>0</v>
      </c>
      <c r="AD6" s="17">
        <f>IF(AD$3&lt;=Inputs!$C$71,Inputs!$C$70,0)*(1+inf)^AC$1</f>
        <v>0</v>
      </c>
      <c r="AE6" s="17">
        <f>IF(AE$3&lt;=Inputs!$C$71,Inputs!$C$70,0)*(1+inf)^AD$1</f>
        <v>0</v>
      </c>
      <c r="AF6" s="17">
        <f>IF(AF$3&lt;=Inputs!$C$71,Inputs!$C$70,0)*(1+inf)^AE$1</f>
        <v>0</v>
      </c>
      <c r="AG6" s="17">
        <f>IF(AG$3&lt;=Inputs!$C$71,Inputs!$C$70,0)*(1+inf)^AF$1</f>
        <v>0</v>
      </c>
      <c r="AH6" s="17">
        <f>IF(AH$3&lt;=Inputs!$C$71,Inputs!$C$70,0)*(1+inf)^AG$1</f>
        <v>0</v>
      </c>
      <c r="AI6" s="17">
        <f>IF(AI$3&lt;=Inputs!$C$71,Inputs!$C$70,0)*(1+inf)^AH$1</f>
        <v>0</v>
      </c>
      <c r="AJ6" s="17">
        <f>IF(AJ$3&lt;=Inputs!$C$71,Inputs!$C$70,0)*(1+inf)^AI$1</f>
        <v>0</v>
      </c>
      <c r="AK6" s="17">
        <f>IF(AK$3&lt;=Inputs!$C$71,Inputs!$C$70,0)*(1+inf)^AJ$1</f>
        <v>0</v>
      </c>
      <c r="AL6" s="17">
        <f>IF(AL$3&lt;=Inputs!$C$71,Inputs!$C$70,0)*(1+inf)^AK$1</f>
        <v>0</v>
      </c>
      <c r="AM6" s="17">
        <f>IF(AM$3&lt;=Inputs!$C$71,Inputs!$C$70,0)*(1+inf)^AL$1</f>
        <v>0</v>
      </c>
    </row>
    <row r="7" spans="1:39" x14ac:dyDescent="0.2">
      <c r="A7" s="14" t="s">
        <v>81</v>
      </c>
      <c r="B7" s="18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x14ac:dyDescent="0.2">
      <c r="A8" s="13" t="str">
        <f>TEXT(Inputs!$C$50,"")</f>
        <v>Sliema</v>
      </c>
      <c r="C8" s="17">
        <f>Inputs!C66</f>
        <v>12000</v>
      </c>
      <c r="D8" s="17">
        <f t="shared" ref="D8:AM10" si="1">C8*(1+rinc)</f>
        <v>12360</v>
      </c>
      <c r="E8" s="17">
        <f t="shared" si="1"/>
        <v>12730.800000000001</v>
      </c>
      <c r="F8" s="17">
        <f t="shared" si="1"/>
        <v>13112.724000000002</v>
      </c>
      <c r="G8" s="17">
        <f t="shared" si="1"/>
        <v>13506.105720000003</v>
      </c>
      <c r="H8" s="17">
        <f t="shared" si="1"/>
        <v>13911.288891600003</v>
      </c>
      <c r="I8" s="17">
        <f t="shared" si="1"/>
        <v>14328.627558348004</v>
      </c>
      <c r="J8" s="17">
        <f t="shared" si="1"/>
        <v>14758.486385098444</v>
      </c>
      <c r="K8" s="17">
        <f t="shared" si="1"/>
        <v>15201.240976651397</v>
      </c>
      <c r="L8" s="17">
        <f t="shared" si="1"/>
        <v>15657.278205950939</v>
      </c>
      <c r="M8" s="17">
        <f t="shared" si="1"/>
        <v>16126.996552129467</v>
      </c>
      <c r="N8" s="17">
        <f t="shared" si="1"/>
        <v>16610.806448693351</v>
      </c>
      <c r="O8" s="17">
        <f t="shared" si="1"/>
        <v>17109.130642154152</v>
      </c>
      <c r="P8" s="17">
        <f t="shared" si="1"/>
        <v>17622.404561418778</v>
      </c>
      <c r="Q8" s="17">
        <f t="shared" si="1"/>
        <v>18151.076698261342</v>
      </c>
      <c r="R8" s="17">
        <f t="shared" si="1"/>
        <v>18695.608999209184</v>
      </c>
      <c r="S8" s="17">
        <f t="shared" si="1"/>
        <v>19256.47726918546</v>
      </c>
      <c r="T8" s="17">
        <f t="shared" si="1"/>
        <v>19834.171587261026</v>
      </c>
      <c r="U8" s="17">
        <f t="shared" si="1"/>
        <v>20429.196734878857</v>
      </c>
      <c r="V8" s="17">
        <f t="shared" si="1"/>
        <v>21042.072636925222</v>
      </c>
      <c r="W8" s="17">
        <f t="shared" si="1"/>
        <v>21673.334816032981</v>
      </c>
      <c r="X8" s="17">
        <f t="shared" si="1"/>
        <v>22323.53486051397</v>
      </c>
      <c r="Y8" s="17">
        <f t="shared" si="1"/>
        <v>22993.240906329389</v>
      </c>
      <c r="Z8" s="17">
        <f t="shared" si="1"/>
        <v>23683.038133519272</v>
      </c>
      <c r="AA8" s="17">
        <f t="shared" si="1"/>
        <v>24393.529277524853</v>
      </c>
      <c r="AB8" s="17">
        <f t="shared" si="1"/>
        <v>25125.3351558506</v>
      </c>
      <c r="AC8" s="17">
        <f t="shared" si="1"/>
        <v>25879.09521052612</v>
      </c>
      <c r="AD8" s="17">
        <f t="shared" si="1"/>
        <v>26655.468066841906</v>
      </c>
      <c r="AE8" s="17">
        <f t="shared" si="1"/>
        <v>27455.132108847163</v>
      </c>
      <c r="AF8" s="17">
        <f t="shared" si="1"/>
        <v>28278.78607211258</v>
      </c>
      <c r="AG8" s="17">
        <f t="shared" si="1"/>
        <v>29127.14965427596</v>
      </c>
      <c r="AH8" s="17">
        <f t="shared" si="1"/>
        <v>30000.964143904239</v>
      </c>
      <c r="AI8" s="17">
        <f t="shared" si="1"/>
        <v>30900.993068221367</v>
      </c>
      <c r="AJ8" s="17">
        <f t="shared" si="1"/>
        <v>31828.022860268007</v>
      </c>
      <c r="AK8" s="17">
        <f t="shared" si="1"/>
        <v>32782.863546076049</v>
      </c>
      <c r="AL8" s="17">
        <f t="shared" si="1"/>
        <v>33766.349452458329</v>
      </c>
      <c r="AM8" s="17">
        <f t="shared" si="1"/>
        <v>34779.339936032084</v>
      </c>
    </row>
    <row r="9" spans="1:39" x14ac:dyDescent="0.2">
      <c r="A9" s="13" t="str">
        <f>TEXT(Inputs!$C$55,"")</f>
        <v>Gzira</v>
      </c>
      <c r="C9" s="17">
        <f>Inputs!C67</f>
        <v>20000</v>
      </c>
      <c r="D9" s="17">
        <f t="shared" si="1"/>
        <v>20600</v>
      </c>
      <c r="E9" s="17">
        <f t="shared" si="1"/>
        <v>21218</v>
      </c>
      <c r="F9" s="17">
        <f t="shared" si="1"/>
        <v>21854.54</v>
      </c>
      <c r="G9" s="17">
        <f t="shared" si="1"/>
        <v>22510.176200000002</v>
      </c>
      <c r="H9" s="17">
        <f t="shared" si="1"/>
        <v>23185.481486000001</v>
      </c>
      <c r="I9" s="17">
        <f t="shared" si="1"/>
        <v>23881.04593058</v>
      </c>
      <c r="J9" s="17">
        <f t="shared" si="1"/>
        <v>24597.4773084974</v>
      </c>
      <c r="K9" s="17">
        <f t="shared" si="1"/>
        <v>25335.401627752322</v>
      </c>
      <c r="L9" s="17">
        <f t="shared" si="1"/>
        <v>26095.463676584892</v>
      </c>
      <c r="M9" s="17">
        <f t="shared" si="1"/>
        <v>26878.327586882438</v>
      </c>
      <c r="N9" s="17">
        <f t="shared" si="1"/>
        <v>27684.677414488913</v>
      </c>
      <c r="O9" s="17">
        <f t="shared" si="1"/>
        <v>28515.21773692358</v>
      </c>
      <c r="P9" s="17">
        <f t="shared" si="1"/>
        <v>29370.674269031289</v>
      </c>
      <c r="Q9" s="17">
        <f t="shared" si="1"/>
        <v>30251.79449710223</v>
      </c>
      <c r="R9" s="17">
        <f t="shared" si="1"/>
        <v>31159.348332015299</v>
      </c>
      <c r="S9" s="17">
        <f t="shared" si="1"/>
        <v>32094.12878197576</v>
      </c>
      <c r="T9" s="17">
        <f t="shared" si="1"/>
        <v>33056.952645435034</v>
      </c>
      <c r="U9" s="17">
        <f t="shared" si="1"/>
        <v>34048.661224798088</v>
      </c>
      <c r="V9" s="17">
        <f t="shared" si="1"/>
        <v>35070.121061542035</v>
      </c>
      <c r="W9" s="17">
        <f t="shared" si="1"/>
        <v>36122.2246933883</v>
      </c>
      <c r="X9" s="17">
        <f t="shared" si="1"/>
        <v>37205.891434189951</v>
      </c>
      <c r="Y9" s="17">
        <f t="shared" si="1"/>
        <v>38322.068177215653</v>
      </c>
      <c r="Z9" s="17">
        <f t="shared" si="1"/>
        <v>39471.730222532125</v>
      </c>
      <c r="AA9" s="17">
        <f t="shared" si="1"/>
        <v>40655.88212920809</v>
      </c>
      <c r="AB9" s="17">
        <f t="shared" si="1"/>
        <v>41875.558593084337</v>
      </c>
      <c r="AC9" s="17">
        <f t="shared" si="1"/>
        <v>43131.825350876868</v>
      </c>
      <c r="AD9" s="17">
        <f t="shared" si="1"/>
        <v>44425.780111403175</v>
      </c>
      <c r="AE9" s="17">
        <f t="shared" si="1"/>
        <v>45758.553514745268</v>
      </c>
      <c r="AF9" s="17">
        <f t="shared" si="1"/>
        <v>47131.310120187627</v>
      </c>
      <c r="AG9" s="17">
        <f t="shared" si="1"/>
        <v>48545.249423793255</v>
      </c>
      <c r="AH9" s="17">
        <f t="shared" si="1"/>
        <v>50001.606906507055</v>
      </c>
      <c r="AI9" s="17">
        <f t="shared" si="1"/>
        <v>51501.655113702269</v>
      </c>
      <c r="AJ9" s="17">
        <f t="shared" si="1"/>
        <v>53046.70476711334</v>
      </c>
      <c r="AK9" s="17">
        <f t="shared" si="1"/>
        <v>54638.105910126746</v>
      </c>
      <c r="AL9" s="17">
        <f t="shared" si="1"/>
        <v>56277.249087430551</v>
      </c>
      <c r="AM9" s="17">
        <f t="shared" si="1"/>
        <v>57965.56656005347</v>
      </c>
    </row>
    <row r="10" spans="1:39" x14ac:dyDescent="0.2">
      <c r="A10" s="13" t="str">
        <f>TEXT(Inputs!$C$60,"")</f>
        <v>Hamrun</v>
      </c>
      <c r="C10" s="17">
        <f>Inputs!C68</f>
        <v>5200</v>
      </c>
      <c r="D10" s="17">
        <f t="shared" si="1"/>
        <v>5356</v>
      </c>
      <c r="E10" s="17">
        <f t="shared" si="1"/>
        <v>5516.68</v>
      </c>
      <c r="F10" s="17">
        <f t="shared" si="1"/>
        <v>5682.1804000000002</v>
      </c>
      <c r="G10" s="17">
        <f t="shared" si="1"/>
        <v>5852.6458120000007</v>
      </c>
      <c r="H10" s="17">
        <f t="shared" si="1"/>
        <v>6028.2251863600004</v>
      </c>
      <c r="I10" s="17">
        <f t="shared" si="1"/>
        <v>6209.0719419508005</v>
      </c>
      <c r="J10" s="17">
        <f t="shared" si="1"/>
        <v>6395.344100209325</v>
      </c>
      <c r="K10" s="17">
        <f t="shared" si="1"/>
        <v>6587.2044232156049</v>
      </c>
      <c r="L10" s="17">
        <f t="shared" si="1"/>
        <v>6784.8205559120734</v>
      </c>
      <c r="M10" s="17">
        <f t="shared" si="1"/>
        <v>6988.365172589436</v>
      </c>
      <c r="N10" s="17">
        <f t="shared" si="1"/>
        <v>7198.0161277671195</v>
      </c>
      <c r="O10" s="17">
        <f t="shared" si="1"/>
        <v>7413.9566116001333</v>
      </c>
      <c r="P10" s="17">
        <f t="shared" si="1"/>
        <v>7636.3753099481373</v>
      </c>
      <c r="Q10" s="17">
        <f t="shared" si="1"/>
        <v>7865.4665692465815</v>
      </c>
      <c r="R10" s="17">
        <f t="shared" si="1"/>
        <v>8101.4305663239793</v>
      </c>
      <c r="S10" s="17">
        <f t="shared" si="1"/>
        <v>8344.473483313699</v>
      </c>
      <c r="T10" s="17">
        <f t="shared" si="1"/>
        <v>8594.8076878131105</v>
      </c>
      <c r="U10" s="17">
        <f t="shared" si="1"/>
        <v>8852.6519184475037</v>
      </c>
      <c r="V10" s="17">
        <f t="shared" si="1"/>
        <v>9118.2314760009285</v>
      </c>
      <c r="W10" s="17">
        <f t="shared" si="1"/>
        <v>9391.7784202809562</v>
      </c>
      <c r="X10" s="17">
        <f t="shared" si="1"/>
        <v>9673.5317728893842</v>
      </c>
      <c r="Y10" s="17">
        <f t="shared" si="1"/>
        <v>9963.7377260760659</v>
      </c>
      <c r="Z10" s="17">
        <f t="shared" si="1"/>
        <v>10262.649857858349</v>
      </c>
      <c r="AA10" s="17">
        <f t="shared" si="1"/>
        <v>10570.5293535941</v>
      </c>
      <c r="AB10" s="17">
        <f t="shared" si="1"/>
        <v>10887.645234201924</v>
      </c>
      <c r="AC10" s="17">
        <f t="shared" si="1"/>
        <v>11214.274591227982</v>
      </c>
      <c r="AD10" s="17">
        <f t="shared" si="1"/>
        <v>11550.702828964822</v>
      </c>
      <c r="AE10" s="17">
        <f t="shared" si="1"/>
        <v>11897.223913833768</v>
      </c>
      <c r="AF10" s="17">
        <f t="shared" si="1"/>
        <v>12254.140631248782</v>
      </c>
      <c r="AG10" s="17">
        <f t="shared" si="1"/>
        <v>12621.764850186246</v>
      </c>
      <c r="AH10" s="17">
        <f t="shared" si="1"/>
        <v>13000.417795691834</v>
      </c>
      <c r="AI10" s="17">
        <f t="shared" si="1"/>
        <v>13390.430329562589</v>
      </c>
      <c r="AJ10" s="17">
        <f t="shared" si="1"/>
        <v>13792.143239449466</v>
      </c>
      <c r="AK10" s="17">
        <f t="shared" si="1"/>
        <v>14205.907536632951</v>
      </c>
      <c r="AL10" s="17">
        <f t="shared" si="1"/>
        <v>14632.08476273194</v>
      </c>
      <c r="AM10" s="17">
        <f t="shared" si="1"/>
        <v>15071.047305613898</v>
      </c>
    </row>
    <row r="11" spans="1:39" x14ac:dyDescent="0.2">
      <c r="A11" s="14" t="s">
        <v>92</v>
      </c>
      <c r="B11" s="18"/>
      <c r="C11" s="17">
        <f>IF(C$3&lt;Inputs!$C$19,0,Inputs!$C$21)*(1+inf)^B$1</f>
        <v>0</v>
      </c>
      <c r="D11" s="17">
        <f>IF(D$3&lt;Inputs!$C$19,0,Inputs!$C$21)*(1+inf)^C$1</f>
        <v>0</v>
      </c>
      <c r="E11" s="17">
        <f>IF(E$3&lt;Inputs!$C$19,0,Inputs!$C$21)*(1+inf)^D$1</f>
        <v>0</v>
      </c>
      <c r="F11" s="17">
        <f>IF(F$3&lt;Inputs!$C$19,0,Inputs!$C$21)*(1+inf)^E$1</f>
        <v>0</v>
      </c>
      <c r="G11" s="17">
        <f>IF(G$3&lt;Inputs!$C$19,0,Inputs!$C$21)*(1+inf)^F$1</f>
        <v>0</v>
      </c>
      <c r="H11" s="17">
        <f>IF(H$3&lt;Inputs!$C$19,0,Inputs!$C$21)*(1+inf)^G$1</f>
        <v>0</v>
      </c>
      <c r="I11" s="17">
        <f>IF(I$3&lt;Inputs!$C$19,0,Inputs!$C$21)*(1+inf)^H$1</f>
        <v>0</v>
      </c>
      <c r="J11" s="17">
        <f>IF(J$3&lt;Inputs!$C$19,0,Inputs!$C$21)*(1+inf)^I$1</f>
        <v>0</v>
      </c>
      <c r="K11" s="17">
        <f>IF(K$3&lt;Inputs!$C$19,0,Inputs!$C$21)*(1+inf)^J$1</f>
        <v>0</v>
      </c>
      <c r="L11" s="17">
        <f>IF(L$3&lt;Inputs!$C$19,0,Inputs!$C$21)*(1+inf)^K$1</f>
        <v>0</v>
      </c>
      <c r="M11" s="17">
        <f>IF(M$3&lt;Inputs!$C$19,0,Inputs!$C$21)*(1+inf)^L$1</f>
        <v>0</v>
      </c>
      <c r="N11" s="17">
        <f>IF(N$3&lt;Inputs!$C$19,0,Inputs!$C$21)*(1+inf)^M$1</f>
        <v>0</v>
      </c>
      <c r="O11" s="17">
        <f>IF(O$3&lt;Inputs!$C$19,0,Inputs!$C$21)*(1+inf)^N$1</f>
        <v>0</v>
      </c>
      <c r="P11" s="17">
        <f>IF(P$3&lt;Inputs!$C$19,0,Inputs!$C$21)*(1+inf)^O$1</f>
        <v>0</v>
      </c>
      <c r="Q11" s="17">
        <f>IF(Q$3&lt;Inputs!$C$19,0,Inputs!$C$21)*(1+inf)^P$1</f>
        <v>0</v>
      </c>
      <c r="R11" s="17">
        <f>IF(R$3&lt;Inputs!$C$19,0,Inputs!$C$21)*(1+inf)^Q$1</f>
        <v>0</v>
      </c>
      <c r="S11" s="17">
        <f>IF(S$3&lt;Inputs!$C$19,0,Inputs!$C$21)*(1+inf)^R$1</f>
        <v>22267.584309908449</v>
      </c>
      <c r="T11" s="17">
        <f>IF(T$3&lt;Inputs!$C$19,0,Inputs!$C$21)*(1+inf)^S$1</f>
        <v>22824.273917656155</v>
      </c>
      <c r="U11" s="17">
        <f>IF(U$3&lt;Inputs!$C$19,0,Inputs!$C$21)*(1+inf)^T$1</f>
        <v>23394.880765597562</v>
      </c>
      <c r="V11" s="17">
        <f>IF(V$3&lt;Inputs!$C$19,0,Inputs!$C$21)*(1+inf)^U$1</f>
        <v>23979.752784737499</v>
      </c>
      <c r="W11" s="17">
        <f>IF(W$3&lt;Inputs!$C$19,0,Inputs!$C$21)*(1+inf)^V$1</f>
        <v>24579.246604355933</v>
      </c>
      <c r="X11" s="17">
        <f>IF(X$3&lt;Inputs!$C$19,0,Inputs!$C$21)*(1+inf)^W$1</f>
        <v>25193.727769464829</v>
      </c>
      <c r="Y11" s="17">
        <f>IF(Y$3&lt;Inputs!$C$19,0,Inputs!$C$21)*(1+inf)^X$1</f>
        <v>25823.570963701448</v>
      </c>
      <c r="Z11" s="17">
        <f>IF(Z$3&lt;Inputs!$C$19,0,Inputs!$C$21)*(1+inf)^Y$1</f>
        <v>26469.160237793985</v>
      </c>
      <c r="AA11" s="17">
        <f>IF(AA$3&lt;Inputs!$C$19,0,Inputs!$C$21)*(1+inf)^Z$1</f>
        <v>27130.889243738835</v>
      </c>
      <c r="AB11" s="17">
        <f>IF(AB$3&lt;Inputs!$C$19,0,Inputs!$C$21)*(1+inf)^AA$1</f>
        <v>27809.161474832301</v>
      </c>
      <c r="AC11" s="17">
        <f>IF(AC$3&lt;Inputs!$C$19,0,Inputs!$C$21)*(1+inf)^AB$1</f>
        <v>28504.390511703106</v>
      </c>
      <c r="AD11" s="17">
        <f>IF(AD$3&lt;Inputs!$C$19,0,Inputs!$C$21)*(1+inf)^AC$1</f>
        <v>29217.000274495684</v>
      </c>
      <c r="AE11" s="17">
        <f>IF(AE$3&lt;Inputs!$C$19,0,Inputs!$C$21)*(1+inf)^AD$1</f>
        <v>29947.425281358072</v>
      </c>
      <c r="AF11" s="17">
        <f>IF(AF$3&lt;Inputs!$C$19,0,Inputs!$C$21)*(1+inf)^AE$1</f>
        <v>30696.110913392029</v>
      </c>
      <c r="AG11" s="17">
        <f>IF(AG$3&lt;Inputs!$C$19,0,Inputs!$C$21)*(1+inf)^AF$1</f>
        <v>31463.513686226819</v>
      </c>
      <c r="AH11" s="17">
        <f>IF(AH$3&lt;Inputs!$C$19,0,Inputs!$C$21)*(1+inf)^AG$1</f>
        <v>32250.1015283825</v>
      </c>
      <c r="AI11" s="17">
        <f>IF(AI$3&lt;Inputs!$C$19,0,Inputs!$C$21)*(1+inf)^AH$1</f>
        <v>33056.354066592052</v>
      </c>
      <c r="AJ11" s="17">
        <f>IF(AJ$3&lt;Inputs!$C$19,0,Inputs!$C$21)*(1+inf)^AI$1</f>
        <v>33882.762918256856</v>
      </c>
      <c r="AK11" s="17">
        <f>IF(AK$3&lt;Inputs!$C$19,0,Inputs!$C$21)*(1+inf)^AJ$1</f>
        <v>34729.831991213279</v>
      </c>
      <c r="AL11" s="17">
        <f>IF(AL$3&lt;Inputs!$C$19,0,Inputs!$C$21)*(1+inf)^AK$1</f>
        <v>35598.077790993601</v>
      </c>
      <c r="AM11" s="17">
        <f>IF(AM$3&lt;Inputs!$C$19,0,Inputs!$C$21)*(1+inf)^AL$1</f>
        <v>36488.029735768447</v>
      </c>
    </row>
    <row r="12" spans="1:39" x14ac:dyDescent="0.2">
      <c r="A12" s="14" t="s">
        <v>93</v>
      </c>
      <c r="B12" s="18"/>
      <c r="C12" s="17">
        <f>MIN(0,MAX(-IF(C11=0,0,(Inputs!$C$19-INDEX(3:3,MATCH(0,5:5,0))))*Inputs!$C$157*(1+inf)^B$1,-C11))</f>
        <v>0</v>
      </c>
      <c r="D12" s="17">
        <f>MIN(0,MAX(-IF(D11=0,0,(Inputs!$C$19-INDEX(3:3,MATCH(0,5:5,0))))*Inputs!$C$157*(1+inf)^C$1,-D11))</f>
        <v>0</v>
      </c>
      <c r="E12" s="17">
        <f>MIN(0,MAX(-IF(E11=0,0,(Inputs!$C$19-INDEX(3:3,MATCH(0,5:5,0))))*Inputs!$C$157*(1+inf)^D$1,-E11))</f>
        <v>0</v>
      </c>
      <c r="F12" s="17">
        <f>MIN(0,MAX(-IF(F11=0,0,(Inputs!$C$19-INDEX(3:3,MATCH(0,5:5,0))))*Inputs!$C$157*(1+inf)^E$1,-F11))</f>
        <v>0</v>
      </c>
      <c r="G12" s="17">
        <f>MIN(0,MAX(-IF(G11=0,0,(Inputs!$C$19-INDEX(3:3,MATCH(0,5:5,0))))*Inputs!$C$157*(1+inf)^F$1,-G11))</f>
        <v>0</v>
      </c>
      <c r="H12" s="17">
        <f>MIN(0,MAX(-IF(H11=0,0,(Inputs!$C$19-INDEX(3:3,MATCH(0,5:5,0))))*Inputs!$C$157*(1+inf)^G$1,-H11))</f>
        <v>0</v>
      </c>
      <c r="I12" s="17">
        <f>MIN(0,MAX(-IF(I11=0,0,(Inputs!$C$19-INDEX(3:3,MATCH(0,5:5,0))))*Inputs!$C$157*(1+inf)^H$1,-I11))</f>
        <v>0</v>
      </c>
      <c r="J12" s="17">
        <f>MIN(0,MAX(-IF(J11=0,0,(Inputs!$C$19-INDEX(3:3,MATCH(0,5:5,0))))*Inputs!$C$157*(1+inf)^I$1,-J11))</f>
        <v>0</v>
      </c>
      <c r="K12" s="17">
        <f>MIN(0,MAX(-IF(K11=0,0,(Inputs!$C$19-INDEX(3:3,MATCH(0,5:5,0))))*Inputs!$C$157*(1+inf)^J$1,-K11))</f>
        <v>0</v>
      </c>
      <c r="L12" s="17">
        <f>MIN(0,MAX(-IF(L11=0,0,(Inputs!$C$19-INDEX(3:3,MATCH(0,5:5,0))))*Inputs!$C$157*(1+inf)^K$1,-L11))</f>
        <v>0</v>
      </c>
      <c r="M12" s="17">
        <f>MIN(0,MAX(-IF(M11=0,0,(Inputs!$C$19-INDEX(3:3,MATCH(0,5:5,0))))*Inputs!$C$157*(1+inf)^L$1,-M11))</f>
        <v>0</v>
      </c>
      <c r="N12" s="17">
        <f>MIN(0,MAX(-IF(N11=0,0,(Inputs!$C$19-INDEX(3:3,MATCH(0,5:5,0))))*Inputs!$C$157*(1+inf)^M$1,-N11))</f>
        <v>0</v>
      </c>
      <c r="O12" s="17">
        <f>MIN(0,MAX(-IF(O11=0,0,(Inputs!$C$19-INDEX(3:3,MATCH(0,5:5,0))))*Inputs!$C$157*(1+inf)^N$1,-O11))</f>
        <v>0</v>
      </c>
      <c r="P12" s="17">
        <f>MIN(0,MAX(-IF(P11=0,0,(Inputs!$C$19-INDEX(3:3,MATCH(0,5:5,0))))*Inputs!$C$157*(1+inf)^O$1,-P11))</f>
        <v>0</v>
      </c>
      <c r="Q12" s="17">
        <f>MIN(0,MAX(-IF(Q11=0,0,(Inputs!$C$19-INDEX(3:3,MATCH(0,5:5,0))))*Inputs!$C$157*(1+inf)^P$1,-Q11))</f>
        <v>0</v>
      </c>
      <c r="R12" s="17">
        <f>MIN(0,MAX(-IF(R11=0,0,(Inputs!$C$19-INDEX(3:3,MATCH(0,5:5,0))))*Inputs!$C$157*(1+inf)^Q$1,-R11))</f>
        <v>0</v>
      </c>
      <c r="S12" s="17">
        <f>MIN(0,MAX(-IF(S11=0,0,(Inputs!$C$19-INDEX(3:3,MATCH(0,5:5,0))))*Inputs!$C$157*(1+inf)^R$1,-S11))</f>
        <v>-11133.792154954224</v>
      </c>
      <c r="T12" s="17">
        <f>MIN(0,MAX(-IF(T11=0,0,(Inputs!$C$19-INDEX(3:3,MATCH(0,5:5,0))))*Inputs!$C$157*(1+inf)^S$1,-T11))</f>
        <v>-11412.136958828078</v>
      </c>
      <c r="U12" s="17">
        <f>MIN(0,MAX(-IF(U11=0,0,(Inputs!$C$19-INDEX(3:3,MATCH(0,5:5,0))))*Inputs!$C$157*(1+inf)^T$1,-U11))</f>
        <v>-11697.440382798781</v>
      </c>
      <c r="V12" s="17">
        <f>MIN(0,MAX(-IF(V11=0,0,(Inputs!$C$19-INDEX(3:3,MATCH(0,5:5,0))))*Inputs!$C$157*(1+inf)^U$1,-V11))</f>
        <v>-11989.876392368749</v>
      </c>
      <c r="W12" s="17">
        <f>MIN(0,MAX(-IF(W11=0,0,(Inputs!$C$19-INDEX(3:3,MATCH(0,5:5,0))))*Inputs!$C$157*(1+inf)^V$1,-W11))</f>
        <v>-12289.623302177966</v>
      </c>
      <c r="X12" s="17">
        <f>MIN(0,MAX(-IF(X11=0,0,(Inputs!$C$19-INDEX(3:3,MATCH(0,5:5,0))))*Inputs!$C$157*(1+inf)^W$1,-X11))</f>
        <v>-12596.863884732415</v>
      </c>
      <c r="Y12" s="17">
        <f>MIN(0,MAX(-IF(Y11=0,0,(Inputs!$C$19-INDEX(3:3,MATCH(0,5:5,0))))*Inputs!$C$157*(1+inf)^X$1,-Y11))</f>
        <v>-12911.785481850724</v>
      </c>
      <c r="Z12" s="17">
        <f>MIN(0,MAX(-IF(Z11=0,0,(Inputs!$C$19-INDEX(3:3,MATCH(0,5:5,0))))*Inputs!$C$157*(1+inf)^Y$1,-Z11))</f>
        <v>-13234.580118896993</v>
      </c>
      <c r="AA12" s="17">
        <f>MIN(0,MAX(-IF(AA11=0,0,(Inputs!$C$19-INDEX(3:3,MATCH(0,5:5,0))))*Inputs!$C$157*(1+inf)^Z$1,-AA11))</f>
        <v>-13565.444621869417</v>
      </c>
      <c r="AB12" s="17">
        <f>MIN(0,MAX(-IF(AB11=0,0,(Inputs!$C$19-INDEX(3:3,MATCH(0,5:5,0))))*Inputs!$C$157*(1+inf)^AA$1,-AB11))</f>
        <v>-13904.58073741615</v>
      </c>
      <c r="AC12" s="17">
        <f>MIN(0,MAX(-IF(AC11=0,0,(Inputs!$C$19-INDEX(3:3,MATCH(0,5:5,0))))*Inputs!$C$157*(1+inf)^AB$1,-AC11))</f>
        <v>-14252.195255851553</v>
      </c>
      <c r="AD12" s="17">
        <f>MIN(0,MAX(-IF(AD11=0,0,(Inputs!$C$19-INDEX(3:3,MATCH(0,5:5,0))))*Inputs!$C$157*(1+inf)^AC$1,-AD11))</f>
        <v>-14608.500137247842</v>
      </c>
      <c r="AE12" s="17">
        <f>MIN(0,MAX(-IF(AE11=0,0,(Inputs!$C$19-INDEX(3:3,MATCH(0,5:5,0))))*Inputs!$C$157*(1+inf)^AD$1,-AE11))</f>
        <v>-14973.712640679036</v>
      </c>
      <c r="AF12" s="17">
        <f>MIN(0,MAX(-IF(AF11=0,0,(Inputs!$C$19-INDEX(3:3,MATCH(0,5:5,0))))*Inputs!$C$157*(1+inf)^AE$1,-AF11))</f>
        <v>-15348.055456696015</v>
      </c>
      <c r="AG12" s="17">
        <f>MIN(0,MAX(-IF(AG11=0,0,(Inputs!$C$19-INDEX(3:3,MATCH(0,5:5,0))))*Inputs!$C$157*(1+inf)^AF$1,-AG11))</f>
        <v>-15731.75684311341</v>
      </c>
      <c r="AH12" s="17">
        <f>MIN(0,MAX(-IF(AH11=0,0,(Inputs!$C$19-INDEX(3:3,MATCH(0,5:5,0))))*Inputs!$C$157*(1+inf)^AG$1,-AH11))</f>
        <v>-16125.05076419125</v>
      </c>
      <c r="AI12" s="17">
        <f>MIN(0,MAX(-IF(AI11=0,0,(Inputs!$C$19-INDEX(3:3,MATCH(0,5:5,0))))*Inputs!$C$157*(1+inf)^AH$1,-AI11))</f>
        <v>-16528.177033296026</v>
      </c>
      <c r="AJ12" s="17">
        <f>MIN(0,MAX(-IF(AJ11=0,0,(Inputs!$C$19-INDEX(3:3,MATCH(0,5:5,0))))*Inputs!$C$157*(1+inf)^AI$1,-AJ11))</f>
        <v>-16941.381459128428</v>
      </c>
      <c r="AK12" s="17">
        <f>MIN(0,MAX(-IF(AK11=0,0,(Inputs!$C$19-INDEX(3:3,MATCH(0,5:5,0))))*Inputs!$C$157*(1+inf)^AJ$1,-AK11))</f>
        <v>-17364.91599560664</v>
      </c>
      <c r="AL12" s="17">
        <f>MIN(0,MAX(-IF(AL11=0,0,(Inputs!$C$19-INDEX(3:3,MATCH(0,5:5,0))))*Inputs!$C$157*(1+inf)^AK$1,-AL11))</f>
        <v>-17799.0388954968</v>
      </c>
      <c r="AM12" s="17">
        <f>MIN(0,MAX(-IF(AM11=0,0,(Inputs!$C$19-INDEX(3:3,MATCH(0,5:5,0))))*Inputs!$C$157*(1+inf)^AL$1,-AM11))</f>
        <v>-18244.014867884223</v>
      </c>
    </row>
    <row r="13" spans="1:39" x14ac:dyDescent="0.2">
      <c r="A13" s="14" t="s">
        <v>53</v>
      </c>
      <c r="B13" s="18"/>
      <c r="C13" s="17">
        <f>IF(AND(C$3&gt;=Inputs!$C$142,C$3&lt;=Inputs!$C$143),Inputs!$C$141*(1+inf)^B$1,0)</f>
        <v>0</v>
      </c>
      <c r="D13" s="17">
        <f>IF(AND(D$3&gt;=Inputs!$C$142,D$3&lt;=Inputs!$C$143),Inputs!$C$141*(1+inf)^C$1,0)</f>
        <v>0</v>
      </c>
      <c r="E13" s="17">
        <f>IF(AND(E$3&gt;=Inputs!$C$142,E$3&lt;=Inputs!$C$143),Inputs!$C$141*(1+inf)^D$1,0)</f>
        <v>0</v>
      </c>
      <c r="F13" s="17">
        <f>IF(AND(F$3&gt;=Inputs!$C$142,F$3&lt;=Inputs!$C$143),Inputs!$C$141*(1+inf)^E$1,0)</f>
        <v>0</v>
      </c>
      <c r="G13" s="17">
        <f>IF(AND(G$3&gt;=Inputs!$C$142,G$3&lt;=Inputs!$C$143),Inputs!$C$141*(1+inf)^F$1,0)</f>
        <v>0</v>
      </c>
      <c r="H13" s="17">
        <f>IF(AND(H$3&gt;=Inputs!$C$142,H$3&lt;=Inputs!$C$143),Inputs!$C$141*(1+inf)^G$1,0)</f>
        <v>0</v>
      </c>
      <c r="I13" s="17">
        <f>IF(AND(I$3&gt;=Inputs!$C$142,I$3&lt;=Inputs!$C$143),Inputs!$C$141*(1+inf)^H$1,0)</f>
        <v>5798.4670910644509</v>
      </c>
      <c r="J13" s="17">
        <f>IF(AND(J$3&gt;=Inputs!$C$142,J$3&lt;=Inputs!$C$143),Inputs!$C$141*(1+inf)^I$1,0)</f>
        <v>5943.4287683410621</v>
      </c>
      <c r="K13" s="17">
        <f>IF(AND(K$3&gt;=Inputs!$C$142,K$3&lt;=Inputs!$C$143),Inputs!$C$141*(1+inf)^J$1,0)</f>
        <v>6092.0144875495889</v>
      </c>
      <c r="L13" s="17">
        <f>IF(AND(L$3&gt;=Inputs!$C$142,L$3&lt;=Inputs!$C$143),Inputs!$C$141*(1+inf)^K$1,0)</f>
        <v>6244.3148497383272</v>
      </c>
      <c r="M13" s="17">
        <f>IF(AND(M$3&gt;=Inputs!$C$142,M$3&lt;=Inputs!$C$143),Inputs!$C$141*(1+inf)^L$1,0)</f>
        <v>6400.4227209817855</v>
      </c>
      <c r="N13" s="17">
        <f>IF(AND(N$3&gt;=Inputs!$C$142,N$3&lt;=Inputs!$C$143),Inputs!$C$141*(1+inf)^M$1,0)</f>
        <v>6560.4332890063297</v>
      </c>
      <c r="O13" s="17">
        <f>IF(AND(O$3&gt;=Inputs!$C$142,O$3&lt;=Inputs!$C$143),Inputs!$C$141*(1+inf)^N$1,0)</f>
        <v>0</v>
      </c>
      <c r="P13" s="17">
        <f>IF(AND(P$3&gt;=Inputs!$C$142,P$3&lt;=Inputs!$C$143),Inputs!$C$141*(1+inf)^O$1,0)</f>
        <v>0</v>
      </c>
      <c r="Q13" s="17">
        <f>IF(AND(Q$3&gt;=Inputs!$C$142,Q$3&lt;=Inputs!$C$143),Inputs!$C$141*(1+inf)^P$1,0)</f>
        <v>0</v>
      </c>
      <c r="R13" s="17">
        <f>IF(AND(R$3&gt;=Inputs!$C$142,R$3&lt;=Inputs!$C$143),Inputs!$C$141*(1+inf)^Q$1,0)</f>
        <v>0</v>
      </c>
      <c r="S13" s="17">
        <f>IF(AND(S$3&gt;=Inputs!$C$142,S$3&lt;=Inputs!$C$143),Inputs!$C$141*(1+inf)^R$1,0)</f>
        <v>0</v>
      </c>
      <c r="T13" s="17">
        <f>IF(AND(T$3&gt;=Inputs!$C$142,T$3&lt;=Inputs!$C$143),Inputs!$C$141*(1+inf)^S$1,0)</f>
        <v>0</v>
      </c>
      <c r="U13" s="17">
        <f>IF(AND(U$3&gt;=Inputs!$C$142,U$3&lt;=Inputs!$C$143),Inputs!$C$141*(1+inf)^T$1,0)</f>
        <v>0</v>
      </c>
      <c r="V13" s="17">
        <f>IF(AND(V$3&gt;=Inputs!$C$142,V$3&lt;=Inputs!$C$143),Inputs!$C$141*(1+inf)^U$1,0)</f>
        <v>0</v>
      </c>
      <c r="W13" s="17">
        <f>IF(AND(W$3&gt;=Inputs!$C$142,W$3&lt;=Inputs!$C$143),Inputs!$C$141*(1+inf)^V$1,0)</f>
        <v>0</v>
      </c>
      <c r="X13" s="17">
        <f>IF(AND(X$3&gt;=Inputs!$C$142,X$3&lt;=Inputs!$C$143),Inputs!$C$141*(1+inf)^W$1,0)</f>
        <v>0</v>
      </c>
      <c r="Y13" s="17">
        <f>IF(AND(Y$3&gt;=Inputs!$C$142,Y$3&lt;=Inputs!$C$143),Inputs!$C$141*(1+inf)^X$1,0)</f>
        <v>0</v>
      </c>
      <c r="Z13" s="17">
        <f>IF(AND(Z$3&gt;=Inputs!$C$142,Z$3&lt;=Inputs!$C$143),Inputs!$C$141*(1+inf)^Y$1,0)</f>
        <v>0</v>
      </c>
      <c r="AA13" s="17">
        <f>IF(AND(AA$3&gt;=Inputs!$C$142,AA$3&lt;=Inputs!$C$143),Inputs!$C$141*(1+inf)^Z$1,0)</f>
        <v>0</v>
      </c>
      <c r="AB13" s="17">
        <f>IF(AND(AB$3&gt;=Inputs!$C$142,AB$3&lt;=Inputs!$C$143),Inputs!$C$141*(1+inf)^AA$1,0)</f>
        <v>0</v>
      </c>
      <c r="AC13" s="17">
        <f>IF(AND(AC$3&gt;=Inputs!$C$142,AC$3&lt;=Inputs!$C$143),Inputs!$C$141*(1+inf)^AB$1,0)</f>
        <v>0</v>
      </c>
      <c r="AD13" s="17">
        <f>IF(AND(AD$3&gt;=Inputs!$C$142,AD$3&lt;=Inputs!$C$143),Inputs!$C$141*(1+inf)^AC$1,0)</f>
        <v>0</v>
      </c>
      <c r="AE13" s="17">
        <f>IF(AND(AE$3&gt;=Inputs!$C$142,AE$3&lt;=Inputs!$C$143),Inputs!$C$141*(1+inf)^AD$1,0)</f>
        <v>0</v>
      </c>
      <c r="AF13" s="17">
        <f>IF(AND(AF$3&gt;=Inputs!$C$142,AF$3&lt;=Inputs!$C$143),Inputs!$C$141*(1+inf)^AE$1,0)</f>
        <v>0</v>
      </c>
      <c r="AG13" s="17">
        <f>IF(AND(AG$3&gt;=Inputs!$C$142,AG$3&lt;=Inputs!$C$143),Inputs!$C$141*(1+inf)^AF$1,0)</f>
        <v>0</v>
      </c>
      <c r="AH13" s="17">
        <f>IF(AND(AH$3&gt;=Inputs!$C$142,AH$3&lt;=Inputs!$C$143),Inputs!$C$141*(1+inf)^AG$1,0)</f>
        <v>0</v>
      </c>
      <c r="AI13" s="17">
        <f>IF(AND(AI$3&gt;=Inputs!$C$142,AI$3&lt;=Inputs!$C$143),Inputs!$C$141*(1+inf)^AH$1,0)</f>
        <v>0</v>
      </c>
      <c r="AJ13" s="17">
        <f>IF(AND(AJ$3&gt;=Inputs!$C$142,AJ$3&lt;=Inputs!$C$143),Inputs!$C$141*(1+inf)^AI$1,0)</f>
        <v>0</v>
      </c>
      <c r="AK13" s="17">
        <f>IF(AND(AK$3&gt;=Inputs!$C$142,AK$3&lt;=Inputs!$C$143),Inputs!$C$141*(1+inf)^AJ$1,0)</f>
        <v>0</v>
      </c>
      <c r="AL13" s="17">
        <f>IF(AND(AL$3&gt;=Inputs!$C$142,AL$3&lt;=Inputs!$C$143),Inputs!$C$141*(1+inf)^AK$1,0)</f>
        <v>0</v>
      </c>
      <c r="AM13" s="17">
        <f>IF(AND(AM$3&gt;=Inputs!$C$142,AM$3&lt;=Inputs!$C$143),Inputs!$C$141*(1+inf)^AL$1,0)</f>
        <v>0</v>
      </c>
    </row>
    <row r="14" spans="1:39" x14ac:dyDescent="0.2">
      <c r="A14" s="14" t="s">
        <v>152</v>
      </c>
      <c r="B14" s="18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</row>
    <row r="15" spans="1:39" x14ac:dyDescent="0.2">
      <c r="A15" s="13" t="str">
        <f>TEXT(Inputs!C100,"")</f>
        <v>Inheritance</v>
      </c>
      <c r="B15" s="18"/>
      <c r="C15" s="17">
        <f ca="1">IF(C$2=Inputs!$C102,Inputs!$C101,0)*(1+inf)^B$1</f>
        <v>80000</v>
      </c>
      <c r="D15" s="17">
        <f ca="1">IF(D$2=Inputs!$C102,Inputs!$C101,0)*(1+inf)^C$1</f>
        <v>0</v>
      </c>
      <c r="E15" s="17">
        <f ca="1">IF(E$2=Inputs!$C102,Inputs!$C101,0)*(1+inf)^D$1</f>
        <v>0</v>
      </c>
      <c r="F15" s="17">
        <f ca="1">IF(F$2=Inputs!$C102,Inputs!$C101,0)*(1+inf)^E$1</f>
        <v>0</v>
      </c>
      <c r="G15" s="17">
        <f ca="1">IF(G$2=Inputs!$C102,Inputs!$C101,0)*(1+inf)^F$1</f>
        <v>0</v>
      </c>
      <c r="H15" s="17">
        <f ca="1">IF(H$2=Inputs!$C102,Inputs!$C101,0)*(1+inf)^G$1</f>
        <v>0</v>
      </c>
      <c r="I15" s="17">
        <f ca="1">IF(I$2=Inputs!$C102,Inputs!$C101,0)*(1+inf)^H$1</f>
        <v>0</v>
      </c>
      <c r="J15" s="17">
        <f ca="1">IF(J$2=Inputs!$C102,Inputs!$C101,0)*(1+inf)^I$1</f>
        <v>0</v>
      </c>
      <c r="K15" s="17">
        <f ca="1">IF(K$2=Inputs!$C102,Inputs!$C101,0)*(1+inf)^J$1</f>
        <v>0</v>
      </c>
      <c r="L15" s="17">
        <f ca="1">IF(L$2=Inputs!$C102,Inputs!$C101,0)*(1+inf)^K$1</f>
        <v>0</v>
      </c>
      <c r="M15" s="17">
        <f ca="1">IF(M$2=Inputs!$C102,Inputs!$C101,0)*(1+inf)^L$1</f>
        <v>0</v>
      </c>
      <c r="N15" s="17">
        <f ca="1">IF(N$2=Inputs!$C102,Inputs!$C101,0)*(1+inf)^M$1</f>
        <v>0</v>
      </c>
      <c r="O15" s="17">
        <f ca="1">IF(O$2=Inputs!$C102,Inputs!$C101,0)*(1+inf)^N$1</f>
        <v>0</v>
      </c>
      <c r="P15" s="17">
        <f ca="1">IF(P$2=Inputs!$C102,Inputs!$C101,0)*(1+inf)^O$1</f>
        <v>0</v>
      </c>
      <c r="Q15" s="17">
        <f ca="1">IF(Q$2=Inputs!$C102,Inputs!$C101,0)*(1+inf)^P$1</f>
        <v>0</v>
      </c>
      <c r="R15" s="17">
        <f ca="1">IF(R$2=Inputs!$C102,Inputs!$C101,0)*(1+inf)^Q$1</f>
        <v>0</v>
      </c>
      <c r="S15" s="17">
        <f ca="1">IF(S$2=Inputs!$C102,Inputs!$C101,0)*(1+inf)^R$1</f>
        <v>0</v>
      </c>
      <c r="T15" s="17">
        <f ca="1">IF(T$2=Inputs!$C102,Inputs!$C101,0)*(1+inf)^S$1</f>
        <v>0</v>
      </c>
      <c r="U15" s="17">
        <f ca="1">IF(U$2=Inputs!$C102,Inputs!$C101,0)*(1+inf)^T$1</f>
        <v>0</v>
      </c>
      <c r="V15" s="17">
        <f ca="1">IF(V$2=Inputs!$C102,Inputs!$C101,0)*(1+inf)^U$1</f>
        <v>0</v>
      </c>
      <c r="W15" s="17">
        <f ca="1">IF(W$2=Inputs!$C102,Inputs!$C101,0)*(1+inf)^V$1</f>
        <v>0</v>
      </c>
      <c r="X15" s="17">
        <f ca="1">IF(X$2=Inputs!$C102,Inputs!$C101,0)*(1+inf)^W$1</f>
        <v>0</v>
      </c>
      <c r="Y15" s="17">
        <f ca="1">IF(Y$2=Inputs!$C102,Inputs!$C101,0)*(1+inf)^X$1</f>
        <v>0</v>
      </c>
      <c r="Z15" s="17">
        <f ca="1">IF(Z$2=Inputs!$C102,Inputs!$C101,0)*(1+inf)^Y$1</f>
        <v>0</v>
      </c>
      <c r="AA15" s="17">
        <f ca="1">IF(AA$2=Inputs!$C102,Inputs!$C101,0)*(1+inf)^Z$1</f>
        <v>0</v>
      </c>
      <c r="AB15" s="17">
        <f ca="1">IF(AB$2=Inputs!$C102,Inputs!$C101,0)*(1+inf)^AA$1</f>
        <v>0</v>
      </c>
      <c r="AC15" s="17">
        <f ca="1">IF(AC$2=Inputs!$C102,Inputs!$C101,0)*(1+inf)^AB$1</f>
        <v>0</v>
      </c>
      <c r="AD15" s="17">
        <f ca="1">IF(AD$2=Inputs!$C102,Inputs!$C101,0)*(1+inf)^AC$1</f>
        <v>0</v>
      </c>
      <c r="AE15" s="17">
        <f ca="1">IF(AE$2=Inputs!$C102,Inputs!$C101,0)*(1+inf)^AD$1</f>
        <v>0</v>
      </c>
      <c r="AF15" s="17">
        <f ca="1">IF(AF$2=Inputs!$C102,Inputs!$C101,0)*(1+inf)^AE$1</f>
        <v>0</v>
      </c>
      <c r="AG15" s="17">
        <f ca="1">IF(AG$2=Inputs!$C102,Inputs!$C101,0)*(1+inf)^AF$1</f>
        <v>0</v>
      </c>
      <c r="AH15" s="17">
        <f ca="1">IF(AH$2=Inputs!$C102,Inputs!$C101,0)*(1+inf)^AG$1</f>
        <v>0</v>
      </c>
      <c r="AI15" s="17">
        <f ca="1">IF(AI$2=Inputs!$C102,Inputs!$C101,0)*(1+inf)^AH$1</f>
        <v>0</v>
      </c>
      <c r="AJ15" s="17">
        <f ca="1">IF(AJ$2=Inputs!$C102,Inputs!$C101,0)*(1+inf)^AI$1</f>
        <v>0</v>
      </c>
      <c r="AK15" s="17">
        <f ca="1">IF(AK$2=Inputs!$C102,Inputs!$C101,0)*(1+inf)^AJ$1</f>
        <v>0</v>
      </c>
      <c r="AL15" s="17">
        <f ca="1">IF(AL$2=Inputs!$C102,Inputs!$C101,0)*(1+inf)^AK$1</f>
        <v>0</v>
      </c>
      <c r="AM15" s="17">
        <f ca="1">IF(AM$2=Inputs!$C102,Inputs!$C101,0)*(1+inf)^AL$1</f>
        <v>0</v>
      </c>
    </row>
    <row r="16" spans="1:39" x14ac:dyDescent="0.2">
      <c r="A16" s="13" t="str">
        <f>TEXT(Inputs!C105,"")</f>
        <v>Sell Painting</v>
      </c>
      <c r="B16" s="18"/>
      <c r="C16" s="17">
        <f ca="1">IF(C$2=Inputs!$C107,Inputs!$C106,0)*(1+inf)^B$1</f>
        <v>0</v>
      </c>
      <c r="D16" s="17">
        <f ca="1">IF(D$2=Inputs!$C107,Inputs!$C106,0)*(1+inf)^C$1</f>
        <v>0</v>
      </c>
      <c r="E16" s="17">
        <f ca="1">IF(E$2=Inputs!$C107,Inputs!$C106,0)*(1+inf)^D$1</f>
        <v>0</v>
      </c>
      <c r="F16" s="17">
        <f ca="1">IF(F$2=Inputs!$C107,Inputs!$C106,0)*(1+inf)^E$1</f>
        <v>8615.1249999999982</v>
      </c>
      <c r="G16" s="17">
        <f ca="1">IF(G$2=Inputs!$C107,Inputs!$C106,0)*(1+inf)^F$1</f>
        <v>0</v>
      </c>
      <c r="H16" s="17">
        <f ca="1">IF(H$2=Inputs!$C107,Inputs!$C106,0)*(1+inf)^G$1</f>
        <v>0</v>
      </c>
      <c r="I16" s="17">
        <f ca="1">IF(I$2=Inputs!$C107,Inputs!$C106,0)*(1+inf)^H$1</f>
        <v>0</v>
      </c>
      <c r="J16" s="17">
        <f ca="1">IF(J$2=Inputs!$C107,Inputs!$C106,0)*(1+inf)^I$1</f>
        <v>0</v>
      </c>
      <c r="K16" s="17">
        <f ca="1">IF(K$2=Inputs!$C107,Inputs!$C106,0)*(1+inf)^J$1</f>
        <v>0</v>
      </c>
      <c r="L16" s="17">
        <f ca="1">IF(L$2=Inputs!$C107,Inputs!$C106,0)*(1+inf)^K$1</f>
        <v>0</v>
      </c>
      <c r="M16" s="17">
        <f ca="1">IF(M$2=Inputs!$C107,Inputs!$C106,0)*(1+inf)^L$1</f>
        <v>0</v>
      </c>
      <c r="N16" s="17">
        <f ca="1">IF(N$2=Inputs!$C107,Inputs!$C106,0)*(1+inf)^M$1</f>
        <v>0</v>
      </c>
      <c r="O16" s="17">
        <f ca="1">IF(O$2=Inputs!$C107,Inputs!$C106,0)*(1+inf)^N$1</f>
        <v>0</v>
      </c>
      <c r="P16" s="17">
        <f ca="1">IF(P$2=Inputs!$C107,Inputs!$C106,0)*(1+inf)^O$1</f>
        <v>0</v>
      </c>
      <c r="Q16" s="17">
        <f ca="1">IF(Q$2=Inputs!$C107,Inputs!$C106,0)*(1+inf)^P$1</f>
        <v>0</v>
      </c>
      <c r="R16" s="17">
        <f ca="1">IF(R$2=Inputs!$C107,Inputs!$C106,0)*(1+inf)^Q$1</f>
        <v>0</v>
      </c>
      <c r="S16" s="17">
        <f ca="1">IF(S$2=Inputs!$C107,Inputs!$C106,0)*(1+inf)^R$1</f>
        <v>0</v>
      </c>
      <c r="T16" s="17">
        <f ca="1">IF(T$2=Inputs!$C107,Inputs!$C106,0)*(1+inf)^S$1</f>
        <v>0</v>
      </c>
      <c r="U16" s="17">
        <f ca="1">IF(U$2=Inputs!$C107,Inputs!$C106,0)*(1+inf)^T$1</f>
        <v>0</v>
      </c>
      <c r="V16" s="17">
        <f ca="1">IF(V$2=Inputs!$C107,Inputs!$C106,0)*(1+inf)^U$1</f>
        <v>0</v>
      </c>
      <c r="W16" s="17">
        <f ca="1">IF(W$2=Inputs!$C107,Inputs!$C106,0)*(1+inf)^V$1</f>
        <v>0</v>
      </c>
      <c r="X16" s="17">
        <f ca="1">IF(X$2=Inputs!$C107,Inputs!$C106,0)*(1+inf)^W$1</f>
        <v>0</v>
      </c>
      <c r="Y16" s="17">
        <f ca="1">IF(Y$2=Inputs!$C107,Inputs!$C106,0)*(1+inf)^X$1</f>
        <v>0</v>
      </c>
      <c r="Z16" s="17">
        <f ca="1">IF(Z$2=Inputs!$C107,Inputs!$C106,0)*(1+inf)^Y$1</f>
        <v>0</v>
      </c>
      <c r="AA16" s="17">
        <f ca="1">IF(AA$2=Inputs!$C107,Inputs!$C106,0)*(1+inf)^Z$1</f>
        <v>0</v>
      </c>
      <c r="AB16" s="17">
        <f ca="1">IF(AB$2=Inputs!$C107,Inputs!$C106,0)*(1+inf)^AA$1</f>
        <v>0</v>
      </c>
      <c r="AC16" s="17">
        <f ca="1">IF(AC$2=Inputs!$C107,Inputs!$C106,0)*(1+inf)^AB$1</f>
        <v>0</v>
      </c>
      <c r="AD16" s="17">
        <f ca="1">IF(AD$2=Inputs!$C107,Inputs!$C106,0)*(1+inf)^AC$1</f>
        <v>0</v>
      </c>
      <c r="AE16" s="17">
        <f ca="1">IF(AE$2=Inputs!$C107,Inputs!$C106,0)*(1+inf)^AD$1</f>
        <v>0</v>
      </c>
      <c r="AF16" s="17">
        <f ca="1">IF(AF$2=Inputs!$C107,Inputs!$C106,0)*(1+inf)^AE$1</f>
        <v>0</v>
      </c>
      <c r="AG16" s="17">
        <f ca="1">IF(AG$2=Inputs!$C107,Inputs!$C106,0)*(1+inf)^AF$1</f>
        <v>0</v>
      </c>
      <c r="AH16" s="17">
        <f ca="1">IF(AH$2=Inputs!$C107,Inputs!$C106,0)*(1+inf)^AG$1</f>
        <v>0</v>
      </c>
      <c r="AI16" s="17">
        <f ca="1">IF(AI$2=Inputs!$C107,Inputs!$C106,0)*(1+inf)^AH$1</f>
        <v>0</v>
      </c>
      <c r="AJ16" s="17">
        <f ca="1">IF(AJ$2=Inputs!$C107,Inputs!$C106,0)*(1+inf)^AI$1</f>
        <v>0</v>
      </c>
      <c r="AK16" s="17">
        <f ca="1">IF(AK$2=Inputs!$C107,Inputs!$C106,0)*(1+inf)^AJ$1</f>
        <v>0</v>
      </c>
      <c r="AL16" s="17">
        <f ca="1">IF(AL$2=Inputs!$C107,Inputs!$C106,0)*(1+inf)^AK$1</f>
        <v>0</v>
      </c>
      <c r="AM16" s="17">
        <f ca="1">IF(AM$2=Inputs!$C107,Inputs!$C106,0)*(1+inf)^AL$1</f>
        <v>0</v>
      </c>
    </row>
    <row r="17" spans="1:39" x14ac:dyDescent="0.2">
      <c r="A17" s="13" t="str">
        <f>TEXT(Inputs!C110,"")</f>
        <v>Sell Diamond</v>
      </c>
      <c r="B17" s="18"/>
      <c r="C17" s="17">
        <f ca="1">IF(C$2=Inputs!$C112,Inputs!$C111,0)*(1+inf)^B$1</f>
        <v>0</v>
      </c>
      <c r="D17" s="17">
        <f ca="1">IF(D$2=Inputs!$C112,Inputs!$C111,0)*(1+inf)^C$1</f>
        <v>0</v>
      </c>
      <c r="E17" s="17">
        <f ca="1">IF(E$2=Inputs!$C112,Inputs!$C111,0)*(1+inf)^D$1</f>
        <v>0</v>
      </c>
      <c r="F17" s="17">
        <f ca="1">IF(F$2=Inputs!$C112,Inputs!$C111,0)*(1+inf)^E$1</f>
        <v>0</v>
      </c>
      <c r="G17" s="17">
        <f ca="1">IF(G$2=Inputs!$C112,Inputs!$C111,0)*(1+inf)^F$1</f>
        <v>0</v>
      </c>
      <c r="H17" s="17">
        <f ca="1">IF(H$2=Inputs!$C112,Inputs!$C111,0)*(1+inf)^G$1</f>
        <v>0</v>
      </c>
      <c r="I17" s="17">
        <f ca="1">IF(I$2=Inputs!$C112,Inputs!$C111,0)*(1+inf)^H$1</f>
        <v>28992.335455322256</v>
      </c>
      <c r="J17" s="17">
        <f ca="1">IF(J$2=Inputs!$C112,Inputs!$C111,0)*(1+inf)^I$1</f>
        <v>0</v>
      </c>
      <c r="K17" s="17">
        <f ca="1">IF(K$2=Inputs!$C112,Inputs!$C111,0)*(1+inf)^J$1</f>
        <v>0</v>
      </c>
      <c r="L17" s="17">
        <f ca="1">IF(L$2=Inputs!$C112,Inputs!$C111,0)*(1+inf)^K$1</f>
        <v>0</v>
      </c>
      <c r="M17" s="17">
        <f ca="1">IF(M$2=Inputs!$C112,Inputs!$C111,0)*(1+inf)^L$1</f>
        <v>0</v>
      </c>
      <c r="N17" s="17">
        <f ca="1">IF(N$2=Inputs!$C112,Inputs!$C111,0)*(1+inf)^M$1</f>
        <v>0</v>
      </c>
      <c r="O17" s="17">
        <f ca="1">IF(O$2=Inputs!$C112,Inputs!$C111,0)*(1+inf)^N$1</f>
        <v>0</v>
      </c>
      <c r="P17" s="17">
        <f ca="1">IF(P$2=Inputs!$C112,Inputs!$C111,0)*(1+inf)^O$1</f>
        <v>0</v>
      </c>
      <c r="Q17" s="17">
        <f ca="1">IF(Q$2=Inputs!$C112,Inputs!$C111,0)*(1+inf)^P$1</f>
        <v>0</v>
      </c>
      <c r="R17" s="17">
        <f ca="1">IF(R$2=Inputs!$C112,Inputs!$C111,0)*(1+inf)^Q$1</f>
        <v>0</v>
      </c>
      <c r="S17" s="17">
        <f ca="1">IF(S$2=Inputs!$C112,Inputs!$C111,0)*(1+inf)^R$1</f>
        <v>0</v>
      </c>
      <c r="T17" s="17">
        <f ca="1">IF(T$2=Inputs!$C112,Inputs!$C111,0)*(1+inf)^S$1</f>
        <v>0</v>
      </c>
      <c r="U17" s="17">
        <f ca="1">IF(U$2=Inputs!$C112,Inputs!$C111,0)*(1+inf)^T$1</f>
        <v>0</v>
      </c>
      <c r="V17" s="17">
        <f ca="1">IF(V$2=Inputs!$C112,Inputs!$C111,0)*(1+inf)^U$1</f>
        <v>0</v>
      </c>
      <c r="W17" s="17">
        <f ca="1">IF(W$2=Inputs!$C112,Inputs!$C111,0)*(1+inf)^V$1</f>
        <v>0</v>
      </c>
      <c r="X17" s="17">
        <f ca="1">IF(X$2=Inputs!$C112,Inputs!$C111,0)*(1+inf)^W$1</f>
        <v>0</v>
      </c>
      <c r="Y17" s="17">
        <f ca="1">IF(Y$2=Inputs!$C112,Inputs!$C111,0)*(1+inf)^X$1</f>
        <v>0</v>
      </c>
      <c r="Z17" s="17">
        <f ca="1">IF(Z$2=Inputs!$C112,Inputs!$C111,0)*(1+inf)^Y$1</f>
        <v>0</v>
      </c>
      <c r="AA17" s="17">
        <f ca="1">IF(AA$2=Inputs!$C112,Inputs!$C111,0)*(1+inf)^Z$1</f>
        <v>0</v>
      </c>
      <c r="AB17" s="17">
        <f ca="1">IF(AB$2=Inputs!$C112,Inputs!$C111,0)*(1+inf)^AA$1</f>
        <v>0</v>
      </c>
      <c r="AC17" s="17">
        <f ca="1">IF(AC$2=Inputs!$C112,Inputs!$C111,0)*(1+inf)^AB$1</f>
        <v>0</v>
      </c>
      <c r="AD17" s="17">
        <f ca="1">IF(AD$2=Inputs!$C112,Inputs!$C111,0)*(1+inf)^AC$1</f>
        <v>0</v>
      </c>
      <c r="AE17" s="17">
        <f ca="1">IF(AE$2=Inputs!$C112,Inputs!$C111,0)*(1+inf)^AD$1</f>
        <v>0</v>
      </c>
      <c r="AF17" s="17">
        <f ca="1">IF(AF$2=Inputs!$C112,Inputs!$C111,0)*(1+inf)^AE$1</f>
        <v>0</v>
      </c>
      <c r="AG17" s="17">
        <f ca="1">IF(AG$2=Inputs!$C112,Inputs!$C111,0)*(1+inf)^AF$1</f>
        <v>0</v>
      </c>
      <c r="AH17" s="17">
        <f ca="1">IF(AH$2=Inputs!$C112,Inputs!$C111,0)*(1+inf)^AG$1</f>
        <v>0</v>
      </c>
      <c r="AI17" s="17">
        <f ca="1">IF(AI$2=Inputs!$C112,Inputs!$C111,0)*(1+inf)^AH$1</f>
        <v>0</v>
      </c>
      <c r="AJ17" s="17">
        <f ca="1">IF(AJ$2=Inputs!$C112,Inputs!$C111,0)*(1+inf)^AI$1</f>
        <v>0</v>
      </c>
      <c r="AK17" s="17">
        <f ca="1">IF(AK$2=Inputs!$C112,Inputs!$C111,0)*(1+inf)^AJ$1</f>
        <v>0</v>
      </c>
      <c r="AL17" s="17">
        <f ca="1">IF(AL$2=Inputs!$C112,Inputs!$C111,0)*(1+inf)^AK$1</f>
        <v>0</v>
      </c>
      <c r="AM17" s="17">
        <f ca="1">IF(AM$2=Inputs!$C112,Inputs!$C111,0)*(1+inf)^AL$1</f>
        <v>0</v>
      </c>
    </row>
    <row r="18" spans="1:39" x14ac:dyDescent="0.2">
      <c r="A18" s="14" t="s">
        <v>9</v>
      </c>
      <c r="C18" s="17">
        <f ca="1">MAX(AVERAGE(C49,C49+SUM(C5:C17)-C46)*Inputs!$C$149,0)</f>
        <v>14994.800000000001</v>
      </c>
      <c r="D18" s="17">
        <f ca="1">MAX(AVERAGE(D49,D49+SUM(D5:D17)-D46)*Inputs!$C$149,0)</f>
        <v>16421.015377720109</v>
      </c>
      <c r="E18" s="17">
        <f ca="1">MAX(AVERAGE(E49,E49+SUM(E5:E17)-E46)*Inputs!$C$149,0)</f>
        <v>14596.814710366447</v>
      </c>
      <c r="F18" s="17">
        <f ca="1">MAX(AVERAGE(F49,F49+SUM(F5:F17)-F46)*Inputs!$C$149,0)</f>
        <v>13534.742978189784</v>
      </c>
      <c r="G18" s="17">
        <f ca="1">MAX(AVERAGE(G49,G49+SUM(G5:G17)-G46)*Inputs!$C$149,0)</f>
        <v>12081.873501824703</v>
      </c>
      <c r="H18" s="17">
        <f ca="1">MAX(AVERAGE(H49,H49+SUM(H5:H17)-H46)*Inputs!$C$149,0)</f>
        <v>10550.980545181637</v>
      </c>
      <c r="I18" s="17">
        <f ca="1">MAX(AVERAGE(I49,I49+SUM(I5:I17)-I46)*Inputs!$C$149,0)</f>
        <v>9889.9300149432602</v>
      </c>
      <c r="J18" s="17">
        <f ca="1">MAX(AVERAGE(J49,J49+SUM(J5:J17)-J46)*Inputs!$C$149,0)</f>
        <v>9276.8748129729174</v>
      </c>
      <c r="K18" s="17">
        <f ca="1">MAX(AVERAGE(K49,K49+SUM(K5:K17)-K46)*Inputs!$C$149,0)</f>
        <v>7899.1560694780965</v>
      </c>
      <c r="L18" s="17">
        <f ca="1">MAX(AVERAGE(L49,L49+SUM(L5:L17)-L46)*Inputs!$C$149,0)</f>
        <v>6480.8268118635615</v>
      </c>
      <c r="M18" s="17">
        <f ca="1">MAX(AVERAGE(M49,M49+SUM(M5:M17)-M46)*Inputs!$C$149,0)</f>
        <v>5401.6426350251495</v>
      </c>
      <c r="N18" s="17">
        <f ca="1">MAX(AVERAGE(N49,N49+SUM(N5:N17)-N46)*Inputs!$C$149,0)</f>
        <v>4390.9071763466172</v>
      </c>
      <c r="O18" s="17">
        <f ca="1">MAX(AVERAGE(O49,O49+SUM(O5:O17)-O46)*Inputs!$C$149,0)</f>
        <v>3559.0642304353842</v>
      </c>
      <c r="P18" s="17">
        <f ca="1">MAX(AVERAGE(P49,P49+SUM(P5:P17)-P46)*Inputs!$C$149,0)</f>
        <v>2804.9551805465971</v>
      </c>
      <c r="Q18" s="17">
        <f ca="1">MAX(AVERAGE(Q49,Q49+SUM(Q5:Q17)-Q46)*Inputs!$C$149,0)</f>
        <v>2017.6454979650416</v>
      </c>
      <c r="R18" s="17">
        <f ca="1">MAX(AVERAGE(R49,R49+SUM(R5:R17)-R46)*Inputs!$C$149,0)</f>
        <v>1196.1483462606295</v>
      </c>
      <c r="S18" s="17">
        <f ca="1">MAX(AVERAGE(S49,S49+SUM(S5:S17)-S46)*Inputs!$C$149,0)</f>
        <v>478.62675582558097</v>
      </c>
      <c r="T18" s="17">
        <f ca="1">MAX(AVERAGE(T49,T49+SUM(T5:T17)-T46)*Inputs!$C$149,0)</f>
        <v>0</v>
      </c>
      <c r="U18" s="17">
        <f ca="1">MAX(AVERAGE(U49,U49+SUM(U5:U17)-U46)*Inputs!$C$149,0)</f>
        <v>0</v>
      </c>
      <c r="V18" s="17">
        <f ca="1">MAX(AVERAGE(V49,V49+SUM(V5:V17)-V46)*Inputs!$C$149,0)</f>
        <v>0</v>
      </c>
      <c r="W18" s="17">
        <f ca="1">MAX(AVERAGE(W49,W49+SUM(W5:W17)-W46)*Inputs!$C$149,0)</f>
        <v>0</v>
      </c>
      <c r="X18" s="17">
        <f ca="1">MAX(AVERAGE(X49,X49+SUM(X5:X17)-X46)*Inputs!$C$149,0)</f>
        <v>0</v>
      </c>
      <c r="Y18" s="17">
        <f ca="1">MAX(AVERAGE(Y49,Y49+SUM(Y5:Y17)-Y46)*Inputs!$C$149,0)</f>
        <v>0</v>
      </c>
      <c r="Z18" s="17">
        <f ca="1">MAX(AVERAGE(Z49,Z49+SUM(Z5:Z17)-Z46)*Inputs!$C$149,0)</f>
        <v>0</v>
      </c>
      <c r="AA18" s="17">
        <f ca="1">MAX(AVERAGE(AA49,AA49+SUM(AA5:AA17)-AA46)*Inputs!$C$149,0)</f>
        <v>0</v>
      </c>
      <c r="AB18" s="17">
        <f ca="1">MAX(AVERAGE(AB49,AB49+SUM(AB5:AB17)-AB46)*Inputs!$C$149,0)</f>
        <v>0</v>
      </c>
      <c r="AC18" s="17">
        <f ca="1">MAX(AVERAGE(AC49,AC49+SUM(AC5:AC17)-AC46)*Inputs!$C$149,0)</f>
        <v>0</v>
      </c>
      <c r="AD18" s="17">
        <f ca="1">MAX(AVERAGE(AD49,AD49+SUM(AD5:AD17)-AD46)*Inputs!$C$149,0)</f>
        <v>0</v>
      </c>
      <c r="AE18" s="17">
        <f ca="1">MAX(AVERAGE(AE49,AE49+SUM(AE5:AE17)-AE46)*Inputs!$C$149,0)</f>
        <v>0</v>
      </c>
      <c r="AF18" s="17">
        <f ca="1">MAX(AVERAGE(AF49,AF49+SUM(AF5:AF17)-AF46)*Inputs!$C$149,0)</f>
        <v>0</v>
      </c>
      <c r="AG18" s="17">
        <f ca="1">MAX(AVERAGE(AG49,AG49+SUM(AG5:AG17)-AG46)*Inputs!$C$149,0)</f>
        <v>0</v>
      </c>
      <c r="AH18" s="17">
        <f ca="1">MAX(AVERAGE(AH49,AH49+SUM(AH5:AH17)-AH46)*Inputs!$C$149,0)</f>
        <v>0</v>
      </c>
      <c r="AI18" s="17">
        <f ca="1">MAX(AVERAGE(AI49,AI49+SUM(AI5:AI17)-AI46)*Inputs!$C$149,0)</f>
        <v>0</v>
      </c>
      <c r="AJ18" s="17">
        <f ca="1">MAX(AVERAGE(AJ49,AJ49+SUM(AJ5:AJ17)-AJ46)*Inputs!$C$149,0)</f>
        <v>0</v>
      </c>
      <c r="AK18" s="17">
        <f ca="1">MAX(AVERAGE(AK49,AK49+SUM(AK5:AK17)-AK46)*Inputs!$C$149,0)</f>
        <v>0</v>
      </c>
      <c r="AL18" s="17">
        <f ca="1">MAX(AVERAGE(AL49,AL49+SUM(AL5:AL17)-AL46)*Inputs!$C$149,0)</f>
        <v>0</v>
      </c>
      <c r="AM18" s="17">
        <f ca="1">MAX(AVERAGE(AM49,AM49+SUM(AM5:AM17)-AM46)*Inputs!$C$149,0)</f>
        <v>0</v>
      </c>
    </row>
    <row r="19" spans="1:39" x14ac:dyDescent="0.2">
      <c r="C19" s="19">
        <f ca="1">SUM(C4:C18)</f>
        <v>336994.8</v>
      </c>
      <c r="D19" s="19">
        <f t="shared" ref="D19:G19" ca="1" si="2">SUM(D4:D18)</f>
        <v>59657.015377720105</v>
      </c>
      <c r="E19" s="19">
        <f t="shared" ca="1" si="2"/>
        <v>59105.294710366448</v>
      </c>
      <c r="F19" s="19">
        <f t="shared" ca="1" si="2"/>
        <v>67968.387378189786</v>
      </c>
      <c r="G19" s="19">
        <f t="shared" ca="1" si="2"/>
        <v>59249.103108824711</v>
      </c>
      <c r="H19" s="19">
        <f t="shared" ref="H19:AM19" ca="1" si="3">SUM(H4:H18)</f>
        <v>59106.735531016639</v>
      </c>
      <c r="I19" s="19">
        <f t="shared" ca="1" si="3"/>
        <v>94666.006399630627</v>
      </c>
      <c r="J19" s="19">
        <f t="shared" ca="1" si="3"/>
        <v>66677.302992726574</v>
      </c>
      <c r="K19" s="19">
        <f t="shared" ca="1" si="3"/>
        <v>66963.351492694608</v>
      </c>
      <c r="L19" s="19">
        <f t="shared" ca="1" si="3"/>
        <v>67257.24635579859</v>
      </c>
      <c r="M19" s="19">
        <f t="shared" ca="1" si="3"/>
        <v>67940.16047975079</v>
      </c>
      <c r="N19" s="19">
        <f t="shared" ca="1" si="3"/>
        <v>62444.840456302336</v>
      </c>
      <c r="O19" s="19">
        <f t="shared" ca="1" si="3"/>
        <v>56597.369221113244</v>
      </c>
      <c r="P19" s="19">
        <f t="shared" ca="1" si="3"/>
        <v>57434.409320944804</v>
      </c>
      <c r="Q19" s="19">
        <f t="shared" ca="1" si="3"/>
        <v>58285.983262575195</v>
      </c>
      <c r="R19" s="19">
        <f t="shared" ca="1" si="3"/>
        <v>59152.536243809089</v>
      </c>
      <c r="S19" s="19">
        <f t="shared" ca="1" si="3"/>
        <v>71307.498445254721</v>
      </c>
      <c r="T19" s="19">
        <f t="shared" ca="1" si="3"/>
        <v>72898.068879337254</v>
      </c>
      <c r="U19" s="19">
        <f t="shared" ca="1" si="3"/>
        <v>75027.950260923215</v>
      </c>
      <c r="V19" s="19">
        <f t="shared" ca="1" si="3"/>
        <v>77220.301566836933</v>
      </c>
      <c r="W19" s="19">
        <f t="shared" ca="1" si="3"/>
        <v>79476.96123188021</v>
      </c>
      <c r="X19" s="19">
        <f t="shared" ca="1" si="3"/>
        <v>81799.821952325728</v>
      </c>
      <c r="Y19" s="19">
        <f t="shared" ca="1" si="3"/>
        <v>84190.832291471845</v>
      </c>
      <c r="Z19" s="19">
        <f t="shared" ca="1" si="3"/>
        <v>86651.998332806746</v>
      </c>
      <c r="AA19" s="19">
        <f t="shared" ca="1" si="3"/>
        <v>89185.385382196459</v>
      </c>
      <c r="AB19" s="19">
        <f t="shared" ca="1" si="3"/>
        <v>91793.119720553004</v>
      </c>
      <c r="AC19" s="19">
        <f t="shared" ca="1" si="3"/>
        <v>94477.390408482534</v>
      </c>
      <c r="AD19" s="19">
        <f t="shared" ca="1" si="3"/>
        <v>97240.451144457737</v>
      </c>
      <c r="AE19" s="19">
        <f t="shared" ca="1" si="3"/>
        <v>100084.62217810523</v>
      </c>
      <c r="AF19" s="19">
        <f t="shared" ca="1" si="3"/>
        <v>103012.29228024499</v>
      </c>
      <c r="AG19" s="19">
        <f t="shared" ca="1" si="3"/>
        <v>106025.92077136885</v>
      </c>
      <c r="AH19" s="19">
        <f t="shared" ca="1" si="3"/>
        <v>109128.03961029436</v>
      </c>
      <c r="AI19" s="19">
        <f t="shared" ca="1" si="3"/>
        <v>112321.25554478224</v>
      </c>
      <c r="AJ19" s="19">
        <f t="shared" ca="1" si="3"/>
        <v>115608.25232595924</v>
      </c>
      <c r="AK19" s="19">
        <f t="shared" ca="1" si="3"/>
        <v>118991.79298844236</v>
      </c>
      <c r="AL19" s="19">
        <f t="shared" ca="1" si="3"/>
        <v>122474.72219811764</v>
      </c>
      <c r="AM19" s="19">
        <f t="shared" ca="1" si="3"/>
        <v>126059.96866958367</v>
      </c>
    </row>
    <row r="20" spans="1:39" ht="19" x14ac:dyDescent="0.25">
      <c r="A20" s="25" t="s">
        <v>19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x14ac:dyDescent="0.2">
      <c r="A21" s="14" t="s">
        <v>82</v>
      </c>
      <c r="C21" s="17">
        <f>Inputs!C75</f>
        <v>2000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17">
        <v>0</v>
      </c>
      <c r="AH21" s="17">
        <v>0</v>
      </c>
      <c r="AI21" s="17">
        <v>0</v>
      </c>
      <c r="AJ21" s="17">
        <v>0</v>
      </c>
      <c r="AK21" s="17">
        <v>0</v>
      </c>
      <c r="AL21" s="17">
        <v>0</v>
      </c>
      <c r="AM21" s="17">
        <v>0</v>
      </c>
    </row>
    <row r="22" spans="1:39" x14ac:dyDescent="0.2">
      <c r="A22" s="14" t="s">
        <v>14</v>
      </c>
      <c r="C22" s="17">
        <f>MAX(IF(C$1*12&lt;=Inputs!$H$15,12,(Inputs!$H$15-B$1*12)),0)*Inputs!$C$17</f>
        <v>30000</v>
      </c>
      <c r="D22" s="17">
        <f>MAX(IF(D$1*12&lt;=Inputs!$H$15,12,(Inputs!$H$15-C$1*12)),0)*Inputs!$C$17</f>
        <v>30000</v>
      </c>
      <c r="E22" s="17">
        <f>MAX(IF(E$1*12&lt;=Inputs!$H$15,12,(Inputs!$H$15-D$1*12)),0)*Inputs!$C$17</f>
        <v>30000</v>
      </c>
      <c r="F22" s="17">
        <f>MAX(IF(F$1*12&lt;=Inputs!$H$15,12,(Inputs!$H$15-E$1*12)),0)*Inputs!$C$17</f>
        <v>30000</v>
      </c>
      <c r="G22" s="17">
        <f>MAX(IF(G$1*12&lt;=Inputs!$H$15,12,(Inputs!$H$15-F$1*12)),0)*Inputs!$C$17</f>
        <v>30000</v>
      </c>
      <c r="H22" s="17">
        <f>MAX(IF(H$1*12&lt;=Inputs!$H$15,12,(Inputs!$H$15-G$1*12)),0)*Inputs!$C$17</f>
        <v>30000</v>
      </c>
      <c r="I22" s="17">
        <f>MAX(IF(I$1*12&lt;=Inputs!$H$15,12,(Inputs!$H$15-H$1*12)),0)*Inputs!$C$17</f>
        <v>30000</v>
      </c>
      <c r="J22" s="17">
        <f>MAX(IF(J$1*12&lt;=Inputs!$H$15,12,(Inputs!$H$15-I$1*12)),0)*Inputs!$C$17</f>
        <v>30000</v>
      </c>
      <c r="K22" s="17">
        <f>MAX(IF(K$1*12&lt;=Inputs!$H$15,12,(Inputs!$H$15-J$1*12)),0)*Inputs!$C$17</f>
        <v>30000</v>
      </c>
      <c r="L22" s="17">
        <f>MAX(IF(L$1*12&lt;=Inputs!$H$15,12,(Inputs!$H$15-K$1*12)),0)*Inputs!$C$17</f>
        <v>30000</v>
      </c>
      <c r="M22" s="17">
        <f>MAX(IF(M$1*12&lt;=Inputs!$H$15,12,(Inputs!$H$15-L$1*12)),0)*Inputs!$C$17</f>
        <v>30000</v>
      </c>
      <c r="N22" s="17">
        <f>MAX(IF(N$1*12&lt;=Inputs!$H$15,12,(Inputs!$H$15-M$1*12)),0)*Inputs!$C$17</f>
        <v>15577.964800567159</v>
      </c>
      <c r="O22" s="17">
        <f>MAX(IF(O$1*12&lt;=Inputs!$H$15,12,(Inputs!$H$15-N$1*12)),0)*Inputs!$C$17</f>
        <v>0</v>
      </c>
      <c r="P22" s="17">
        <f>MAX(IF(P$1*12&lt;=Inputs!$H$15,12,(Inputs!$H$15-O$1*12)),0)*Inputs!$C$17</f>
        <v>0</v>
      </c>
      <c r="Q22" s="17">
        <f>MAX(IF(Q$1*12&lt;=Inputs!$H$15,12,(Inputs!$H$15-P$1*12)),0)*Inputs!$C$17</f>
        <v>0</v>
      </c>
      <c r="R22" s="17">
        <f>MAX(IF(R$1*12&lt;=Inputs!$H$15,12,(Inputs!$H$15-Q$1*12)),0)*Inputs!$C$17</f>
        <v>0</v>
      </c>
      <c r="S22" s="17">
        <f>MAX(IF(S$1*12&lt;=Inputs!$H$15,12,(Inputs!$H$15-R$1*12)),0)*Inputs!$C$17</f>
        <v>0</v>
      </c>
      <c r="T22" s="17">
        <f>MAX(IF(T$1*12&lt;=Inputs!$H$15,12,(Inputs!$H$15-S$1*12)),0)*Inputs!$C$17</f>
        <v>0</v>
      </c>
      <c r="U22" s="17">
        <f>MAX(IF(U$1*12&lt;=Inputs!$H$15,12,(Inputs!$H$15-T$1*12)),0)*Inputs!$C$17</f>
        <v>0</v>
      </c>
      <c r="V22" s="17">
        <f>MAX(IF(V$1*12&lt;=Inputs!$H$15,12,(Inputs!$H$15-U$1*12)),0)*Inputs!$C$17</f>
        <v>0</v>
      </c>
      <c r="W22" s="17">
        <f>MAX(IF(W$1*12&lt;=Inputs!$H$15,12,(Inputs!$H$15-V$1*12)),0)*Inputs!$C$17</f>
        <v>0</v>
      </c>
      <c r="X22" s="17">
        <f>MAX(IF(X$1*12&lt;=Inputs!$H$15,12,(Inputs!$H$15-W$1*12)),0)*Inputs!$C$17</f>
        <v>0</v>
      </c>
      <c r="Y22" s="17">
        <f>MAX(IF(Y$1*12&lt;=Inputs!$H$15,12,(Inputs!$H$15-X$1*12)),0)*Inputs!$C$17</f>
        <v>0</v>
      </c>
      <c r="Z22" s="17">
        <f>MAX(IF(Z$1*12&lt;=Inputs!$H$15,12,(Inputs!$H$15-Y$1*12)),0)*Inputs!$C$17</f>
        <v>0</v>
      </c>
      <c r="AA22" s="17">
        <f>MAX(IF(AA$1*12&lt;=Inputs!$H$15,12,(Inputs!$H$15-Z$1*12)),0)*Inputs!$C$17</f>
        <v>0</v>
      </c>
      <c r="AB22" s="17">
        <f>MAX(IF(AB$1*12&lt;=Inputs!$H$15,12,(Inputs!$H$15-AA$1*12)),0)*Inputs!$C$17</f>
        <v>0</v>
      </c>
      <c r="AC22" s="17">
        <f>MAX(IF(AC$1*12&lt;=Inputs!$H$15,12,(Inputs!$H$15-AB$1*12)),0)*Inputs!$C$17</f>
        <v>0</v>
      </c>
      <c r="AD22" s="17">
        <f>MAX(IF(AD$1*12&lt;=Inputs!$H$15,12,(Inputs!$H$15-AC$1*12)),0)*Inputs!$C$17</f>
        <v>0</v>
      </c>
      <c r="AE22" s="17">
        <f>MAX(IF(AE$1*12&lt;=Inputs!$H$15,12,(Inputs!$H$15-AD$1*12)),0)*Inputs!$C$17</f>
        <v>0</v>
      </c>
      <c r="AF22" s="17">
        <f>MAX(IF(AF$1*12&lt;=Inputs!$H$15,12,(Inputs!$H$15-AE$1*12)),0)*Inputs!$C$17</f>
        <v>0</v>
      </c>
      <c r="AG22" s="17">
        <f>MAX(IF(AG$1*12&lt;=Inputs!$H$15,12,(Inputs!$H$15-AF$1*12)),0)*Inputs!$C$17</f>
        <v>0</v>
      </c>
      <c r="AH22" s="17">
        <f>MAX(IF(AH$1*12&lt;=Inputs!$H$15,12,(Inputs!$H$15-AG$1*12)),0)*Inputs!$C$17</f>
        <v>0</v>
      </c>
      <c r="AI22" s="17">
        <f>MAX(IF(AI$1*12&lt;=Inputs!$H$15,12,(Inputs!$H$15-AH$1*12)),0)*Inputs!$C$17</f>
        <v>0</v>
      </c>
      <c r="AJ22" s="17">
        <f>MAX(IF(AJ$1*12&lt;=Inputs!$H$15,12,(Inputs!$H$15-AI$1*12)),0)*Inputs!$C$17</f>
        <v>0</v>
      </c>
      <c r="AK22" s="17">
        <f>MAX(IF(AK$1*12&lt;=Inputs!$H$15,12,(Inputs!$H$15-AJ$1*12)),0)*Inputs!$C$17</f>
        <v>0</v>
      </c>
      <c r="AL22" s="17">
        <f>MAX(IF(AL$1*12&lt;=Inputs!$H$15,12,(Inputs!$H$15-AK$1*12)),0)*Inputs!$C$17</f>
        <v>0</v>
      </c>
      <c r="AM22" s="17">
        <f>MAX(IF(AM$1*12&lt;=Inputs!$H$15,12,(Inputs!$H$15-AL$1*12)),0)*Inputs!$C$17</f>
        <v>0</v>
      </c>
    </row>
    <row r="23" spans="1:39" x14ac:dyDescent="0.2">
      <c r="A23" s="14" t="s">
        <v>59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x14ac:dyDescent="0.2">
      <c r="A24" s="13" t="str">
        <f>TEXT(Inputs!$C$50,"")</f>
        <v>Sliema</v>
      </c>
      <c r="C24" s="17">
        <f>MAX(IF(C$1*12&lt;=Inputs!$H$78,12,(Inputs!$H$78-B$1*12)),0)*Inputs!$C$80</f>
        <v>6000</v>
      </c>
      <c r="D24" s="17">
        <f>MAX(IF(D$1*12&lt;=Inputs!$H$78,12,(Inputs!$H$78-C$1*12)),0)*Inputs!$C$80</f>
        <v>6000</v>
      </c>
      <c r="E24" s="17">
        <f>MAX(IF(E$1*12&lt;=Inputs!$H$78,12,(Inputs!$H$78-D$1*12)),0)*Inputs!$C$80</f>
        <v>6000</v>
      </c>
      <c r="F24" s="17">
        <f>MAX(IF(F$1*12&lt;=Inputs!$H$78,12,(Inputs!$H$78-E$1*12)),0)*Inputs!$C$80</f>
        <v>2904.4757765440395</v>
      </c>
      <c r="G24" s="17">
        <f>MAX(IF(G$1*12&lt;=Inputs!$H$78,12,(Inputs!$H$78-F$1*12)),0)*Inputs!$C$80</f>
        <v>0</v>
      </c>
      <c r="H24" s="17">
        <f>MAX(IF(H$1*12&lt;=Inputs!$H$78,12,(Inputs!$H$78-G$1*12)),0)*Inputs!$C$80</f>
        <v>0</v>
      </c>
      <c r="I24" s="17">
        <f>MAX(IF(I$1*12&lt;=Inputs!$H$78,12,(Inputs!$H$78-H$1*12)),0)*Inputs!$C$80</f>
        <v>0</v>
      </c>
      <c r="J24" s="17">
        <f>MAX(IF(J$1*12&lt;=Inputs!$H$78,12,(Inputs!$H$78-I$1*12)),0)*Inputs!$C$80</f>
        <v>0</v>
      </c>
      <c r="K24" s="17">
        <f>MAX(IF(K$1*12&lt;=Inputs!$H$78,12,(Inputs!$H$78-J$1*12)),0)*Inputs!$C$80</f>
        <v>0</v>
      </c>
      <c r="L24" s="17">
        <f>MAX(IF(L$1*12&lt;=Inputs!$H$78,12,(Inputs!$H$78-K$1*12)),0)*Inputs!$C$80</f>
        <v>0</v>
      </c>
      <c r="M24" s="17">
        <f>MAX(IF(M$1*12&lt;=Inputs!$H$78,12,(Inputs!$H$78-L$1*12)),0)*Inputs!$C$80</f>
        <v>0</v>
      </c>
      <c r="N24" s="17">
        <f>MAX(IF(N$1*12&lt;=Inputs!$H$78,12,(Inputs!$H$78-M$1*12)),0)*Inputs!$C$80</f>
        <v>0</v>
      </c>
      <c r="O24" s="17">
        <f>MAX(IF(O$1*12&lt;=Inputs!$H$78,12,(Inputs!$H$78-N$1*12)),0)*Inputs!$C$80</f>
        <v>0</v>
      </c>
      <c r="P24" s="17">
        <f>MAX(IF(P$1*12&lt;=Inputs!$H$78,12,(Inputs!$H$78-O$1*12)),0)*Inputs!$C$80</f>
        <v>0</v>
      </c>
      <c r="Q24" s="17">
        <f>MAX(IF(Q$1*12&lt;=Inputs!$H$78,12,(Inputs!$H$78-P$1*12)),0)*Inputs!$C$80</f>
        <v>0</v>
      </c>
      <c r="R24" s="17">
        <f>MAX(IF(R$1*12&lt;=Inputs!$H$78,12,(Inputs!$H$78-Q$1*12)),0)*Inputs!$C$80</f>
        <v>0</v>
      </c>
      <c r="S24" s="17">
        <f>MAX(IF(S$1*12&lt;=Inputs!$H$78,12,(Inputs!$H$78-R$1*12)),0)*Inputs!$C$80</f>
        <v>0</v>
      </c>
      <c r="T24" s="17">
        <f>MAX(IF(T$1*12&lt;=Inputs!$H$78,12,(Inputs!$H$78-S$1*12)),0)*Inputs!$C$80</f>
        <v>0</v>
      </c>
      <c r="U24" s="17">
        <f>MAX(IF(U$1*12&lt;=Inputs!$H$78,12,(Inputs!$H$78-T$1*12)),0)*Inputs!$C$80</f>
        <v>0</v>
      </c>
      <c r="V24" s="17">
        <f>MAX(IF(V$1*12&lt;=Inputs!$H$78,12,(Inputs!$H$78-U$1*12)),0)*Inputs!$C$80</f>
        <v>0</v>
      </c>
      <c r="W24" s="17">
        <f>MAX(IF(W$1*12&lt;=Inputs!$H$78,12,(Inputs!$H$78-V$1*12)),0)*Inputs!$C$80</f>
        <v>0</v>
      </c>
      <c r="X24" s="17">
        <f>MAX(IF(X$1*12&lt;=Inputs!$H$78,12,(Inputs!$H$78-W$1*12)),0)*Inputs!$C$80</f>
        <v>0</v>
      </c>
      <c r="Y24" s="17">
        <f>MAX(IF(Y$1*12&lt;=Inputs!$H$78,12,(Inputs!$H$78-X$1*12)),0)*Inputs!$C$80</f>
        <v>0</v>
      </c>
      <c r="Z24" s="17">
        <f>MAX(IF(Z$1*12&lt;=Inputs!$H$78,12,(Inputs!$H$78-Y$1*12)),0)*Inputs!$C$80</f>
        <v>0</v>
      </c>
      <c r="AA24" s="17">
        <f>MAX(IF(AA$1*12&lt;=Inputs!$H$78,12,(Inputs!$H$78-Z$1*12)),0)*Inputs!$C$80</f>
        <v>0</v>
      </c>
      <c r="AB24" s="17">
        <f>MAX(IF(AB$1*12&lt;=Inputs!$H$78,12,(Inputs!$H$78-AA$1*12)),0)*Inputs!$C$80</f>
        <v>0</v>
      </c>
      <c r="AC24" s="17">
        <f>MAX(IF(AC$1*12&lt;=Inputs!$H$78,12,(Inputs!$H$78-AB$1*12)),0)*Inputs!$C$80</f>
        <v>0</v>
      </c>
      <c r="AD24" s="17">
        <f>MAX(IF(AD$1*12&lt;=Inputs!$H$78,12,(Inputs!$H$78-AC$1*12)),0)*Inputs!$C$80</f>
        <v>0</v>
      </c>
      <c r="AE24" s="17">
        <f>MAX(IF(AE$1*12&lt;=Inputs!$H$78,12,(Inputs!$H$78-AD$1*12)),0)*Inputs!$C$80</f>
        <v>0</v>
      </c>
      <c r="AF24" s="17">
        <f>MAX(IF(AF$1*12&lt;=Inputs!$H$78,12,(Inputs!$H$78-AE$1*12)),0)*Inputs!$C$80</f>
        <v>0</v>
      </c>
      <c r="AG24" s="17">
        <f>MAX(IF(AG$1*12&lt;=Inputs!$H$78,12,(Inputs!$H$78-AF$1*12)),0)*Inputs!$C$80</f>
        <v>0</v>
      </c>
      <c r="AH24" s="17">
        <f>MAX(IF(AH$1*12&lt;=Inputs!$H$78,12,(Inputs!$H$78-AG$1*12)),0)*Inputs!$C$80</f>
        <v>0</v>
      </c>
      <c r="AI24" s="17">
        <f>MAX(IF(AI$1*12&lt;=Inputs!$H$78,12,(Inputs!$H$78-AH$1*12)),0)*Inputs!$C$80</f>
        <v>0</v>
      </c>
      <c r="AJ24" s="17">
        <f>MAX(IF(AJ$1*12&lt;=Inputs!$H$78,12,(Inputs!$H$78-AI$1*12)),0)*Inputs!$C$80</f>
        <v>0</v>
      </c>
      <c r="AK24" s="17">
        <f>MAX(IF(AK$1*12&lt;=Inputs!$H$78,12,(Inputs!$H$78-AJ$1*12)),0)*Inputs!$C$80</f>
        <v>0</v>
      </c>
      <c r="AL24" s="17">
        <f>MAX(IF(AL$1*12&lt;=Inputs!$H$78,12,(Inputs!$H$78-AK$1*12)),0)*Inputs!$C$80</f>
        <v>0</v>
      </c>
      <c r="AM24" s="17">
        <f>MAX(IF(AM$1*12&lt;=Inputs!$H$78,12,(Inputs!$H$78-AL$1*12)),0)*Inputs!$C$80</f>
        <v>0</v>
      </c>
    </row>
    <row r="25" spans="1:39" x14ac:dyDescent="0.2">
      <c r="A25" s="13" t="str">
        <f>TEXT(Inputs!$C$55,"")</f>
        <v>Gzira</v>
      </c>
      <c r="C25" s="17">
        <f>MAX(IF(C$1*12&lt;=Inputs!$H$83,12,(Inputs!$H$83-B$1*12)),0)*Inputs!$C$85</f>
        <v>5400</v>
      </c>
      <c r="D25" s="17">
        <f>MAX(IF(D$1*12&lt;=Inputs!$H$83,12,(Inputs!$H$83-C$1*12)),0)*Inputs!$C$85</f>
        <v>4901.3697823913271</v>
      </c>
      <c r="E25" s="17">
        <f>MAX(IF(E$1*12&lt;=Inputs!$H$83,12,(Inputs!$H$83-D$1*12)),0)*Inputs!$C$85</f>
        <v>0</v>
      </c>
      <c r="F25" s="17">
        <f>MAX(IF(F$1*12&lt;=Inputs!$H$83,12,(Inputs!$H$83-E$1*12)),0)*Inputs!$C$85</f>
        <v>0</v>
      </c>
      <c r="G25" s="17">
        <f>MAX(IF(G$1*12&lt;=Inputs!$H$83,12,(Inputs!$H$83-F$1*12)),0)*Inputs!$C$85</f>
        <v>0</v>
      </c>
      <c r="H25" s="17">
        <f>MAX(IF(H$1*12&lt;=Inputs!$H$83,12,(Inputs!$H$83-G$1*12)),0)*Inputs!$C$85</f>
        <v>0</v>
      </c>
      <c r="I25" s="17">
        <f>MAX(IF(I$1*12&lt;=Inputs!$H$83,12,(Inputs!$H$83-H$1*12)),0)*Inputs!$C$85</f>
        <v>0</v>
      </c>
      <c r="J25" s="17">
        <f>MAX(IF(J$1*12&lt;=Inputs!$H$83,12,(Inputs!$H$83-I$1*12)),0)*Inputs!$C$85</f>
        <v>0</v>
      </c>
      <c r="K25" s="17">
        <f>MAX(IF(K$1*12&lt;=Inputs!$H$83,12,(Inputs!$H$83-J$1*12)),0)*Inputs!$C$85</f>
        <v>0</v>
      </c>
      <c r="L25" s="17">
        <f>MAX(IF(L$1*12&lt;=Inputs!$H$83,12,(Inputs!$H$83-K$1*12)),0)*Inputs!$C$85</f>
        <v>0</v>
      </c>
      <c r="M25" s="17">
        <f>MAX(IF(M$1*12&lt;=Inputs!$H$83,12,(Inputs!$H$83-L$1*12)),0)*Inputs!$C$85</f>
        <v>0</v>
      </c>
      <c r="N25" s="17">
        <f>MAX(IF(N$1*12&lt;=Inputs!$H$83,12,(Inputs!$H$83-M$1*12)),0)*Inputs!$C$85</f>
        <v>0</v>
      </c>
      <c r="O25" s="17">
        <f>MAX(IF(O$1*12&lt;=Inputs!$H$83,12,(Inputs!$H$83-N$1*12)),0)*Inputs!$C$85</f>
        <v>0</v>
      </c>
      <c r="P25" s="17">
        <f>MAX(IF(P$1*12&lt;=Inputs!$H$83,12,(Inputs!$H$83-O$1*12)),0)*Inputs!$C$85</f>
        <v>0</v>
      </c>
      <c r="Q25" s="17">
        <f>MAX(IF(Q$1*12&lt;=Inputs!$H$83,12,(Inputs!$H$83-P$1*12)),0)*Inputs!$C$85</f>
        <v>0</v>
      </c>
      <c r="R25" s="17">
        <f>MAX(IF(R$1*12&lt;=Inputs!$H$83,12,(Inputs!$H$83-Q$1*12)),0)*Inputs!$C$85</f>
        <v>0</v>
      </c>
      <c r="S25" s="17">
        <f>MAX(IF(S$1*12&lt;=Inputs!$H$83,12,(Inputs!$H$83-R$1*12)),0)*Inputs!$C$85</f>
        <v>0</v>
      </c>
      <c r="T25" s="17">
        <f>MAX(IF(T$1*12&lt;=Inputs!$H$83,12,(Inputs!$H$83-S$1*12)),0)*Inputs!$C$85</f>
        <v>0</v>
      </c>
      <c r="U25" s="17">
        <f>MAX(IF(U$1*12&lt;=Inputs!$H$83,12,(Inputs!$H$83-T$1*12)),0)*Inputs!$C$85</f>
        <v>0</v>
      </c>
      <c r="V25" s="17">
        <f>MAX(IF(V$1*12&lt;=Inputs!$H$83,12,(Inputs!$H$83-U$1*12)),0)*Inputs!$C$85</f>
        <v>0</v>
      </c>
      <c r="W25" s="17">
        <f>MAX(IF(W$1*12&lt;=Inputs!$H$83,12,(Inputs!$H$83-V$1*12)),0)*Inputs!$C$85</f>
        <v>0</v>
      </c>
      <c r="X25" s="17">
        <f>MAX(IF(X$1*12&lt;=Inputs!$H$83,12,(Inputs!$H$83-W$1*12)),0)*Inputs!$C$85</f>
        <v>0</v>
      </c>
      <c r="Y25" s="17">
        <f>MAX(IF(Y$1*12&lt;=Inputs!$H$83,12,(Inputs!$H$83-X$1*12)),0)*Inputs!$C$85</f>
        <v>0</v>
      </c>
      <c r="Z25" s="17">
        <f>MAX(IF(Z$1*12&lt;=Inputs!$H$83,12,(Inputs!$H$83-Y$1*12)),0)*Inputs!$C$85</f>
        <v>0</v>
      </c>
      <c r="AA25" s="17">
        <f>MAX(IF(AA$1*12&lt;=Inputs!$H$83,12,(Inputs!$H$83-Z$1*12)),0)*Inputs!$C$85</f>
        <v>0</v>
      </c>
      <c r="AB25" s="17">
        <f>MAX(IF(AB$1*12&lt;=Inputs!$H$83,12,(Inputs!$H$83-AA$1*12)),0)*Inputs!$C$85</f>
        <v>0</v>
      </c>
      <c r="AC25" s="17">
        <f>MAX(IF(AC$1*12&lt;=Inputs!$H$83,12,(Inputs!$H$83-AB$1*12)),0)*Inputs!$C$85</f>
        <v>0</v>
      </c>
      <c r="AD25" s="17">
        <f>MAX(IF(AD$1*12&lt;=Inputs!$H$83,12,(Inputs!$H$83-AC$1*12)),0)*Inputs!$C$85</f>
        <v>0</v>
      </c>
      <c r="AE25" s="17">
        <f>MAX(IF(AE$1*12&lt;=Inputs!$H$83,12,(Inputs!$H$83-AD$1*12)),0)*Inputs!$C$85</f>
        <v>0</v>
      </c>
      <c r="AF25" s="17">
        <f>MAX(IF(AF$1*12&lt;=Inputs!$H$83,12,(Inputs!$H$83-AE$1*12)),0)*Inputs!$C$85</f>
        <v>0</v>
      </c>
      <c r="AG25" s="17">
        <f>MAX(IF(AG$1*12&lt;=Inputs!$H$83,12,(Inputs!$H$83-AF$1*12)),0)*Inputs!$C$85</f>
        <v>0</v>
      </c>
      <c r="AH25" s="17">
        <f>MAX(IF(AH$1*12&lt;=Inputs!$H$83,12,(Inputs!$H$83-AG$1*12)),0)*Inputs!$C$85</f>
        <v>0</v>
      </c>
      <c r="AI25" s="17">
        <f>MAX(IF(AI$1*12&lt;=Inputs!$H$83,12,(Inputs!$H$83-AH$1*12)),0)*Inputs!$C$85</f>
        <v>0</v>
      </c>
      <c r="AJ25" s="17">
        <f>MAX(IF(AJ$1*12&lt;=Inputs!$H$83,12,(Inputs!$H$83-AI$1*12)),0)*Inputs!$C$85</f>
        <v>0</v>
      </c>
      <c r="AK25" s="17">
        <f>MAX(IF(AK$1*12&lt;=Inputs!$H$83,12,(Inputs!$H$83-AJ$1*12)),0)*Inputs!$C$85</f>
        <v>0</v>
      </c>
      <c r="AL25" s="17">
        <f>MAX(IF(AL$1*12&lt;=Inputs!$H$83,12,(Inputs!$H$83-AK$1*12)),0)*Inputs!$C$85</f>
        <v>0</v>
      </c>
      <c r="AM25" s="17">
        <f>MAX(IF(AM$1*12&lt;=Inputs!$H$83,12,(Inputs!$H$83-AL$1*12)),0)*Inputs!$C$85</f>
        <v>0</v>
      </c>
    </row>
    <row r="26" spans="1:39" x14ac:dyDescent="0.2">
      <c r="A26" s="13" t="str">
        <f>TEXT(Inputs!$C$60,"")</f>
        <v>Hamrun</v>
      </c>
      <c r="C26" s="17">
        <f>MAX(IF(C$1*12&lt;=Inputs!$H$88,12,(Inputs!$H$88-B$1*12)),0)*Inputs!$C$90</f>
        <v>2256</v>
      </c>
      <c r="D26" s="17">
        <f>MAX(IF(D$1*12&lt;=Inputs!$H$88,12,(Inputs!$H$88-C$1*12)),0)*Inputs!$C$90</f>
        <v>2256</v>
      </c>
      <c r="E26" s="17">
        <f>MAX(IF(E$1*12&lt;=Inputs!$H$88,12,(Inputs!$H$88-D$1*12)),0)*Inputs!$C$90</f>
        <v>668.44436134205262</v>
      </c>
      <c r="F26" s="17">
        <f>MAX(IF(F$1*12&lt;=Inputs!$H$88,12,(Inputs!$H$88-E$1*12)),0)*Inputs!$C$90</f>
        <v>0</v>
      </c>
      <c r="G26" s="17">
        <f>MAX(IF(G$1*12&lt;=Inputs!$H$88,12,(Inputs!$H$88-F$1*12)),0)*Inputs!$C$90</f>
        <v>0</v>
      </c>
      <c r="H26" s="17">
        <f>MAX(IF(H$1*12&lt;=Inputs!$H$88,12,(Inputs!$H$88-G$1*12)),0)*Inputs!$C$90</f>
        <v>0</v>
      </c>
      <c r="I26" s="17">
        <f>MAX(IF(I$1*12&lt;=Inputs!$H$88,12,(Inputs!$H$88-H$1*12)),0)*Inputs!$C$90</f>
        <v>0</v>
      </c>
      <c r="J26" s="17">
        <f>MAX(IF(J$1*12&lt;=Inputs!$H$88,12,(Inputs!$H$88-I$1*12)),0)*Inputs!$C$90</f>
        <v>0</v>
      </c>
      <c r="K26" s="17">
        <f>MAX(IF(K$1*12&lt;=Inputs!$H$88,12,(Inputs!$H$88-J$1*12)),0)*Inputs!$C$90</f>
        <v>0</v>
      </c>
      <c r="L26" s="17">
        <f>MAX(IF(L$1*12&lt;=Inputs!$H$88,12,(Inputs!$H$88-K$1*12)),0)*Inputs!$C$90</f>
        <v>0</v>
      </c>
      <c r="M26" s="17">
        <f>MAX(IF(M$1*12&lt;=Inputs!$H$88,12,(Inputs!$H$88-L$1*12)),0)*Inputs!$C$90</f>
        <v>0</v>
      </c>
      <c r="N26" s="17">
        <f>MAX(IF(N$1*12&lt;=Inputs!$H$88,12,(Inputs!$H$88-M$1*12)),0)*Inputs!$C$90</f>
        <v>0</v>
      </c>
      <c r="O26" s="17">
        <f>MAX(IF(O$1*12&lt;=Inputs!$H$88,12,(Inputs!$H$88-N$1*12)),0)*Inputs!$C$90</f>
        <v>0</v>
      </c>
      <c r="P26" s="17">
        <f>MAX(IF(P$1*12&lt;=Inputs!$H$88,12,(Inputs!$H$88-O$1*12)),0)*Inputs!$C$90</f>
        <v>0</v>
      </c>
      <c r="Q26" s="17">
        <f>MAX(IF(Q$1*12&lt;=Inputs!$H$88,12,(Inputs!$H$88-P$1*12)),0)*Inputs!$C$90</f>
        <v>0</v>
      </c>
      <c r="R26" s="17">
        <f>MAX(IF(R$1*12&lt;=Inputs!$H$88,12,(Inputs!$H$88-Q$1*12)),0)*Inputs!$C$90</f>
        <v>0</v>
      </c>
      <c r="S26" s="17">
        <f>MAX(IF(S$1*12&lt;=Inputs!$H$88,12,(Inputs!$H$88-R$1*12)),0)*Inputs!$C$90</f>
        <v>0</v>
      </c>
      <c r="T26" s="17">
        <f>MAX(IF(T$1*12&lt;=Inputs!$H$88,12,(Inputs!$H$88-S$1*12)),0)*Inputs!$C$90</f>
        <v>0</v>
      </c>
      <c r="U26" s="17">
        <f>MAX(IF(U$1*12&lt;=Inputs!$H$88,12,(Inputs!$H$88-T$1*12)),0)*Inputs!$C$90</f>
        <v>0</v>
      </c>
      <c r="V26" s="17">
        <f>MAX(IF(V$1*12&lt;=Inputs!$H$88,12,(Inputs!$H$88-U$1*12)),0)*Inputs!$C$90</f>
        <v>0</v>
      </c>
      <c r="W26" s="17">
        <f>MAX(IF(W$1*12&lt;=Inputs!$H$88,12,(Inputs!$H$88-V$1*12)),0)*Inputs!$C$90</f>
        <v>0</v>
      </c>
      <c r="X26" s="17">
        <f>MAX(IF(X$1*12&lt;=Inputs!$H$88,12,(Inputs!$H$88-W$1*12)),0)*Inputs!$C$90</f>
        <v>0</v>
      </c>
      <c r="Y26" s="17">
        <f>MAX(IF(Y$1*12&lt;=Inputs!$H$88,12,(Inputs!$H$88-X$1*12)),0)*Inputs!$C$90</f>
        <v>0</v>
      </c>
      <c r="Z26" s="17">
        <f>MAX(IF(Z$1*12&lt;=Inputs!$H$88,12,(Inputs!$H$88-Y$1*12)),0)*Inputs!$C$90</f>
        <v>0</v>
      </c>
      <c r="AA26" s="17">
        <f>MAX(IF(AA$1*12&lt;=Inputs!$H$88,12,(Inputs!$H$88-Z$1*12)),0)*Inputs!$C$90</f>
        <v>0</v>
      </c>
      <c r="AB26" s="17">
        <f>MAX(IF(AB$1*12&lt;=Inputs!$H$88,12,(Inputs!$H$88-AA$1*12)),0)*Inputs!$C$90</f>
        <v>0</v>
      </c>
      <c r="AC26" s="17">
        <f>MAX(IF(AC$1*12&lt;=Inputs!$H$88,12,(Inputs!$H$88-AB$1*12)),0)*Inputs!$C$90</f>
        <v>0</v>
      </c>
      <c r="AD26" s="17">
        <f>MAX(IF(AD$1*12&lt;=Inputs!$H$88,12,(Inputs!$H$88-AC$1*12)),0)*Inputs!$C$90</f>
        <v>0</v>
      </c>
      <c r="AE26" s="17">
        <f>MAX(IF(AE$1*12&lt;=Inputs!$H$88,12,(Inputs!$H$88-AD$1*12)),0)*Inputs!$C$90</f>
        <v>0</v>
      </c>
      <c r="AF26" s="17">
        <f>MAX(IF(AF$1*12&lt;=Inputs!$H$88,12,(Inputs!$H$88-AE$1*12)),0)*Inputs!$C$90</f>
        <v>0</v>
      </c>
      <c r="AG26" s="17">
        <f>MAX(IF(AG$1*12&lt;=Inputs!$H$88,12,(Inputs!$H$88-AF$1*12)),0)*Inputs!$C$90</f>
        <v>0</v>
      </c>
      <c r="AH26" s="17">
        <f>MAX(IF(AH$1*12&lt;=Inputs!$H$88,12,(Inputs!$H$88-AG$1*12)),0)*Inputs!$C$90</f>
        <v>0</v>
      </c>
      <c r="AI26" s="17">
        <f>MAX(IF(AI$1*12&lt;=Inputs!$H$88,12,(Inputs!$H$88-AH$1*12)),0)*Inputs!$C$90</f>
        <v>0</v>
      </c>
      <c r="AJ26" s="17">
        <f>MAX(IF(AJ$1*12&lt;=Inputs!$H$88,12,(Inputs!$H$88-AI$1*12)),0)*Inputs!$C$90</f>
        <v>0</v>
      </c>
      <c r="AK26" s="17">
        <f>MAX(IF(AK$1*12&lt;=Inputs!$H$88,12,(Inputs!$H$88-AJ$1*12)),0)*Inputs!$C$90</f>
        <v>0</v>
      </c>
      <c r="AL26" s="17">
        <f>MAX(IF(AL$1*12&lt;=Inputs!$H$88,12,(Inputs!$H$88-AK$1*12)),0)*Inputs!$C$90</f>
        <v>0</v>
      </c>
      <c r="AM26" s="17">
        <f>MAX(IF(AM$1*12&lt;=Inputs!$H$88,12,(Inputs!$H$88-AL$1*12)),0)*Inputs!$C$90</f>
        <v>0</v>
      </c>
    </row>
    <row r="27" spans="1:39" x14ac:dyDescent="0.2">
      <c r="A27" s="14" t="s">
        <v>40</v>
      </c>
      <c r="C27" s="17">
        <f>MAX(IF(C$1*12&lt;=Inputs!$H$93,12,(Inputs!$H$93-B$1*12)),0)*Inputs!$C$95</f>
        <v>960</v>
      </c>
      <c r="D27" s="17">
        <f>MAX(IF(D$1*12&lt;=Inputs!$H$93,12,(Inputs!$H$93-C$1*12)),0)*Inputs!$C$95</f>
        <v>960</v>
      </c>
      <c r="E27" s="17">
        <f>MAX(IF(E$1*12&lt;=Inputs!$H$93,12,(Inputs!$H$93-D$1*12)),0)*Inputs!$C$95</f>
        <v>960</v>
      </c>
      <c r="F27" s="17">
        <f>MAX(IF(F$1*12&lt;=Inputs!$H$93,12,(Inputs!$H$93-E$1*12)),0)*Inputs!$C$95</f>
        <v>450.52850697963436</v>
      </c>
      <c r="G27" s="17">
        <f>MAX(IF(G$1*12&lt;=Inputs!$H$93,12,(Inputs!$H$93-F$1*12)),0)*Inputs!$C$95</f>
        <v>0</v>
      </c>
      <c r="H27" s="17">
        <f>MAX(IF(H$1*12&lt;=Inputs!$H$93,12,(Inputs!$H$93-G$1*12)),0)*Inputs!$C$95</f>
        <v>0</v>
      </c>
      <c r="I27" s="17">
        <f>MAX(IF(I$1*12&lt;=Inputs!$H$93,12,(Inputs!$H$93-H$1*12)),0)*Inputs!$C$95</f>
        <v>0</v>
      </c>
      <c r="J27" s="17">
        <f>MAX(IF(J$1*12&lt;=Inputs!$H$93,12,(Inputs!$H$93-I$1*12)),0)*Inputs!$C$95</f>
        <v>0</v>
      </c>
      <c r="K27" s="17">
        <f>MAX(IF(K$1*12&lt;=Inputs!$H$93,12,(Inputs!$H$93-J$1*12)),0)*Inputs!$C$95</f>
        <v>0</v>
      </c>
      <c r="L27" s="17">
        <f>MAX(IF(L$1*12&lt;=Inputs!$H$93,12,(Inputs!$H$93-K$1*12)),0)*Inputs!$C$95</f>
        <v>0</v>
      </c>
      <c r="M27" s="17">
        <f>MAX(IF(M$1*12&lt;=Inputs!$H$93,12,(Inputs!$H$93-L$1*12)),0)*Inputs!$C$95</f>
        <v>0</v>
      </c>
      <c r="N27" s="17">
        <f>MAX(IF(N$1*12&lt;=Inputs!$H$93,12,(Inputs!$H$93-M$1*12)),0)*Inputs!$C$95</f>
        <v>0</v>
      </c>
      <c r="O27" s="17">
        <f>MAX(IF(O$1*12&lt;=Inputs!$H$93,12,(Inputs!$H$93-N$1*12)),0)*Inputs!$C$95</f>
        <v>0</v>
      </c>
      <c r="P27" s="17">
        <f>MAX(IF(P$1*12&lt;=Inputs!$H$93,12,(Inputs!$H$93-O$1*12)),0)*Inputs!$C$95</f>
        <v>0</v>
      </c>
      <c r="Q27" s="17">
        <f>MAX(IF(Q$1*12&lt;=Inputs!$H$93,12,(Inputs!$H$93-P$1*12)),0)*Inputs!$C$95</f>
        <v>0</v>
      </c>
      <c r="R27" s="17">
        <f>MAX(IF(R$1*12&lt;=Inputs!$H$93,12,(Inputs!$H$93-Q$1*12)),0)*Inputs!$C$95</f>
        <v>0</v>
      </c>
      <c r="S27" s="17">
        <f>MAX(IF(S$1*12&lt;=Inputs!$H$93,12,(Inputs!$H$93-R$1*12)),0)*Inputs!$C$95</f>
        <v>0</v>
      </c>
      <c r="T27" s="17">
        <f>MAX(IF(T$1*12&lt;=Inputs!$H$93,12,(Inputs!$H$93-S$1*12)),0)*Inputs!$C$95</f>
        <v>0</v>
      </c>
      <c r="U27" s="17">
        <f>MAX(IF(U$1*12&lt;=Inputs!$H$93,12,(Inputs!$H$93-T$1*12)),0)*Inputs!$C$95</f>
        <v>0</v>
      </c>
      <c r="V27" s="17">
        <f>MAX(IF(V$1*12&lt;=Inputs!$H$93,12,(Inputs!$H$93-U$1*12)),0)*Inputs!$C$95</f>
        <v>0</v>
      </c>
      <c r="W27" s="17">
        <f>MAX(IF(W$1*12&lt;=Inputs!$H$93,12,(Inputs!$H$93-V$1*12)),0)*Inputs!$C$95</f>
        <v>0</v>
      </c>
      <c r="X27" s="17">
        <f>MAX(IF(X$1*12&lt;=Inputs!$H$93,12,(Inputs!$H$93-W$1*12)),0)*Inputs!$C$95</f>
        <v>0</v>
      </c>
      <c r="Y27" s="17">
        <f>MAX(IF(Y$1*12&lt;=Inputs!$H$93,12,(Inputs!$H$93-X$1*12)),0)*Inputs!$C$95</f>
        <v>0</v>
      </c>
      <c r="Z27" s="17">
        <f>MAX(IF(Z$1*12&lt;=Inputs!$H$93,12,(Inputs!$H$93-Y$1*12)),0)*Inputs!$C$95</f>
        <v>0</v>
      </c>
      <c r="AA27" s="17">
        <f>MAX(IF(AA$1*12&lt;=Inputs!$H$93,12,(Inputs!$H$93-Z$1*12)),0)*Inputs!$C$95</f>
        <v>0</v>
      </c>
      <c r="AB27" s="17">
        <f>MAX(IF(AB$1*12&lt;=Inputs!$H$93,12,(Inputs!$H$93-AA$1*12)),0)*Inputs!$C$95</f>
        <v>0</v>
      </c>
      <c r="AC27" s="17">
        <f>MAX(IF(AC$1*12&lt;=Inputs!$H$93,12,(Inputs!$H$93-AB$1*12)),0)*Inputs!$C$95</f>
        <v>0</v>
      </c>
      <c r="AD27" s="17">
        <f>MAX(IF(AD$1*12&lt;=Inputs!$H$93,12,(Inputs!$H$93-AC$1*12)),0)*Inputs!$C$95</f>
        <v>0</v>
      </c>
      <c r="AE27" s="17">
        <f>MAX(IF(AE$1*12&lt;=Inputs!$H$93,12,(Inputs!$H$93-AD$1*12)),0)*Inputs!$C$95</f>
        <v>0</v>
      </c>
      <c r="AF27" s="17">
        <f>MAX(IF(AF$1*12&lt;=Inputs!$H$93,12,(Inputs!$H$93-AE$1*12)),0)*Inputs!$C$95</f>
        <v>0</v>
      </c>
      <c r="AG27" s="17">
        <f>MAX(IF(AG$1*12&lt;=Inputs!$H$93,12,(Inputs!$H$93-AF$1*12)),0)*Inputs!$C$95</f>
        <v>0</v>
      </c>
      <c r="AH27" s="17">
        <f>MAX(IF(AH$1*12&lt;=Inputs!$H$93,12,(Inputs!$H$93-AG$1*12)),0)*Inputs!$C$95</f>
        <v>0</v>
      </c>
      <c r="AI27" s="17">
        <f>MAX(IF(AI$1*12&lt;=Inputs!$H$93,12,(Inputs!$H$93-AH$1*12)),0)*Inputs!$C$95</f>
        <v>0</v>
      </c>
      <c r="AJ27" s="17">
        <f>MAX(IF(AJ$1*12&lt;=Inputs!$H$93,12,(Inputs!$H$93-AI$1*12)),0)*Inputs!$C$95</f>
        <v>0</v>
      </c>
      <c r="AK27" s="17">
        <f>MAX(IF(AK$1*12&lt;=Inputs!$H$93,12,(Inputs!$H$93-AJ$1*12)),0)*Inputs!$C$95</f>
        <v>0</v>
      </c>
      <c r="AL27" s="17">
        <f>MAX(IF(AL$1*12&lt;=Inputs!$H$93,12,(Inputs!$H$93-AK$1*12)),0)*Inputs!$C$95</f>
        <v>0</v>
      </c>
      <c r="AM27" s="17">
        <f>MAX(IF(AM$1*12&lt;=Inputs!$H$93,12,(Inputs!$H$93-AL$1*12)),0)*Inputs!$C$95</f>
        <v>0</v>
      </c>
    </row>
    <row r="28" spans="1:39" x14ac:dyDescent="0.2">
      <c r="A28" s="14" t="s">
        <v>60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x14ac:dyDescent="0.2">
      <c r="A29" s="13" t="str">
        <f>TEXT(Inputs!C33,"")</f>
        <v xml:space="preserve">John </v>
      </c>
      <c r="B29" s="18"/>
      <c r="C29" s="17">
        <f>IF(Inputs!$C$35&gt;=C$1,Inputs!$C$34,0)*(1+inf)^B$1</f>
        <v>5000</v>
      </c>
      <c r="D29" s="17">
        <f>IF(Inputs!$C$35&gt;=D$1,Inputs!$C$34,0)*(1+inf)^C$1</f>
        <v>5125</v>
      </c>
      <c r="E29" s="17">
        <f>IF(Inputs!$C$35&gt;=E$1,Inputs!$C$34,0)*(1+inf)^D$1</f>
        <v>0</v>
      </c>
      <c r="F29" s="17">
        <f>IF(Inputs!$C$35&gt;=F$1,Inputs!$C$34,0)*(1+inf)^E$1</f>
        <v>0</v>
      </c>
      <c r="G29" s="17">
        <f>IF(Inputs!$C$35&gt;=G$1,Inputs!$C$34,0)*(1+inf)^F$1</f>
        <v>0</v>
      </c>
      <c r="H29" s="17">
        <f>IF(Inputs!$C$35&gt;=H$1,Inputs!$C$34,0)*(1+inf)^G$1</f>
        <v>0</v>
      </c>
      <c r="I29" s="17">
        <f>IF(Inputs!$C$35&gt;=I$1,Inputs!$C$34,0)*(1+inf)^H$1</f>
        <v>0</v>
      </c>
      <c r="J29" s="17">
        <f>IF(Inputs!$C$35&gt;=J$1,Inputs!$C$34,0)*(1+inf)^I$1</f>
        <v>0</v>
      </c>
      <c r="K29" s="17">
        <f>IF(Inputs!$C$35&gt;=K$1,Inputs!$C$34,0)*(1+inf)^J$1</f>
        <v>0</v>
      </c>
      <c r="L29" s="17">
        <f>IF(Inputs!$C$35&gt;=L$1,Inputs!$C$34,0)*(1+inf)^K$1</f>
        <v>0</v>
      </c>
      <c r="M29" s="17">
        <f>IF(Inputs!$C$35&gt;=M$1,Inputs!$C$34,0)*(1+inf)^L$1</f>
        <v>0</v>
      </c>
      <c r="N29" s="17">
        <f>IF(Inputs!$C$35&gt;=N$1,Inputs!$C$34,0)*(1+inf)^M$1</f>
        <v>0</v>
      </c>
      <c r="O29" s="17">
        <f>IF(Inputs!$C$35&gt;=O$1,Inputs!$C$34,0)*(1+inf)^N$1</f>
        <v>0</v>
      </c>
      <c r="P29" s="17">
        <f>IF(Inputs!$C$35&gt;=P$1,Inputs!$C$34,0)*(1+inf)^O$1</f>
        <v>0</v>
      </c>
      <c r="Q29" s="17">
        <f>IF(Inputs!$C$35&gt;=Q$1,Inputs!$C$34,0)*(1+inf)^P$1</f>
        <v>0</v>
      </c>
      <c r="R29" s="17">
        <f>IF(Inputs!$C$35&gt;=R$1,Inputs!$C$34,0)*(1+inf)^Q$1</f>
        <v>0</v>
      </c>
      <c r="S29" s="17">
        <f>IF(Inputs!$C$35&gt;=S$1,Inputs!$C$34,0)*(1+inf)^R$1</f>
        <v>0</v>
      </c>
      <c r="T29" s="17">
        <f>IF(Inputs!$C$35&gt;=T$1,Inputs!$C$34,0)*(1+inf)^S$1</f>
        <v>0</v>
      </c>
      <c r="U29" s="17">
        <f>IF(Inputs!$C$35&gt;=U$1,Inputs!$C$34,0)*(1+inf)^T$1</f>
        <v>0</v>
      </c>
      <c r="V29" s="17">
        <f>IF(Inputs!$C$35&gt;=V$1,Inputs!$C$34,0)*(1+inf)^U$1</f>
        <v>0</v>
      </c>
      <c r="W29" s="17">
        <f>IF(Inputs!$C$35&gt;=W$1,Inputs!$C$34,0)*(1+inf)^V$1</f>
        <v>0</v>
      </c>
      <c r="X29" s="17">
        <f>IF(Inputs!$C$35&gt;=X$1,Inputs!$C$34,0)*(1+inf)^W$1</f>
        <v>0</v>
      </c>
      <c r="Y29" s="17">
        <f>IF(Inputs!$C$35&gt;=Y$1,Inputs!$C$34,0)*(1+inf)^X$1</f>
        <v>0</v>
      </c>
      <c r="Z29" s="17">
        <f>IF(Inputs!$C$35&gt;=Z$1,Inputs!$C$34,0)*(1+inf)^Y$1</f>
        <v>0</v>
      </c>
      <c r="AA29" s="17">
        <f>IF(Inputs!$C$35&gt;=AA$1,Inputs!$C$34,0)*(1+inf)^Z$1</f>
        <v>0</v>
      </c>
      <c r="AB29" s="17">
        <f>IF(Inputs!$C$35&gt;=AB$1,Inputs!$C$34,0)*(1+inf)^AA$1</f>
        <v>0</v>
      </c>
      <c r="AC29" s="17">
        <f>IF(Inputs!$C$35&gt;=AC$1,Inputs!$C$34,0)*(1+inf)^AB$1</f>
        <v>0</v>
      </c>
      <c r="AD29" s="17">
        <f>IF(Inputs!$C$35&gt;=AD$1,Inputs!$C$34,0)*(1+inf)^AC$1</f>
        <v>0</v>
      </c>
      <c r="AE29" s="17">
        <f>IF(Inputs!$C$35&gt;=AE$1,Inputs!$C$34,0)*(1+inf)^AD$1</f>
        <v>0</v>
      </c>
      <c r="AF29" s="17">
        <f>IF(Inputs!$C$35&gt;=AF$1,Inputs!$C$34,0)*(1+inf)^AE$1</f>
        <v>0</v>
      </c>
      <c r="AG29" s="17">
        <f>IF(Inputs!$C$35&gt;=AG$1,Inputs!$C$34,0)*(1+inf)^AF$1</f>
        <v>0</v>
      </c>
      <c r="AH29" s="17">
        <f>IF(Inputs!$C$35&gt;=AH$1,Inputs!$C$34,0)*(1+inf)^AG$1</f>
        <v>0</v>
      </c>
      <c r="AI29" s="17">
        <f>IF(Inputs!$C$35&gt;=AI$1,Inputs!$C$34,0)*(1+inf)^AH$1</f>
        <v>0</v>
      </c>
      <c r="AJ29" s="17">
        <f>IF(Inputs!$C$35&gt;=AJ$1,Inputs!$C$34,0)*(1+inf)^AI$1</f>
        <v>0</v>
      </c>
      <c r="AK29" s="17">
        <f>IF(Inputs!$C$35&gt;=AK$1,Inputs!$C$34,0)*(1+inf)^AJ$1</f>
        <v>0</v>
      </c>
      <c r="AL29" s="17">
        <f>IF(Inputs!$C$35&gt;=AL$1,Inputs!$C$34,0)*(1+inf)^AK$1</f>
        <v>0</v>
      </c>
      <c r="AM29" s="17">
        <f>IF(Inputs!$C$35&gt;=AM$1,Inputs!$C$34,0)*(1+inf)^AL$1</f>
        <v>0</v>
      </c>
    </row>
    <row r="30" spans="1:39" x14ac:dyDescent="0.2">
      <c r="A30" s="13" t="str">
        <f>TEXT(Inputs!C38,"")</f>
        <v>Jack</v>
      </c>
      <c r="B30" s="18"/>
      <c r="C30" s="17">
        <f>IF(Inputs!$C$40&gt;=C$1,Inputs!$C$39,0)*(1+inf)^B$1</f>
        <v>4000</v>
      </c>
      <c r="D30" s="17">
        <f>IF(Inputs!$C$40&gt;=D$1,Inputs!$C$39,0)*(1+inf)^C$1</f>
        <v>0</v>
      </c>
      <c r="E30" s="17">
        <f>IF(Inputs!$C$40&gt;=E$1,Inputs!$C$39,0)*(1+inf)^D$1</f>
        <v>0</v>
      </c>
      <c r="F30" s="17">
        <f>IF(Inputs!$C$40&gt;=F$1,Inputs!$C$39,0)*(1+inf)^E$1</f>
        <v>0</v>
      </c>
      <c r="G30" s="17">
        <f>IF(Inputs!$C$40&gt;=G$1,Inputs!$C$39,0)*(1+inf)^F$1</f>
        <v>0</v>
      </c>
      <c r="H30" s="17">
        <f>IF(Inputs!$C$40&gt;=H$1,Inputs!$C$39,0)*(1+inf)^G$1</f>
        <v>0</v>
      </c>
      <c r="I30" s="17">
        <f>IF(Inputs!$C$40&gt;=I$1,Inputs!$C$39,0)*(1+inf)^H$1</f>
        <v>0</v>
      </c>
      <c r="J30" s="17">
        <f>IF(Inputs!$C$40&gt;=J$1,Inputs!$C$39,0)*(1+inf)^I$1</f>
        <v>0</v>
      </c>
      <c r="K30" s="17">
        <f>IF(Inputs!$C$40&gt;=K$1,Inputs!$C$39,0)*(1+inf)^J$1</f>
        <v>0</v>
      </c>
      <c r="L30" s="17">
        <f>IF(Inputs!$C$40&gt;=L$1,Inputs!$C$39,0)*(1+inf)^K$1</f>
        <v>0</v>
      </c>
      <c r="M30" s="17">
        <f>IF(Inputs!$C$40&gt;=M$1,Inputs!$C$39,0)*(1+inf)^L$1</f>
        <v>0</v>
      </c>
      <c r="N30" s="17">
        <f>IF(Inputs!$C$40&gt;=N$1,Inputs!$C$39,0)*(1+inf)^M$1</f>
        <v>0</v>
      </c>
      <c r="O30" s="17">
        <f>IF(Inputs!$C$40&gt;=O$1,Inputs!$C$39,0)*(1+inf)^N$1</f>
        <v>0</v>
      </c>
      <c r="P30" s="17">
        <f>IF(Inputs!$C$40&gt;=P$1,Inputs!$C$39,0)*(1+inf)^O$1</f>
        <v>0</v>
      </c>
      <c r="Q30" s="17">
        <f>IF(Inputs!$C$40&gt;=Q$1,Inputs!$C$39,0)*(1+inf)^P$1</f>
        <v>0</v>
      </c>
      <c r="R30" s="17">
        <f>IF(Inputs!$C$40&gt;=R$1,Inputs!$C$39,0)*(1+inf)^Q$1</f>
        <v>0</v>
      </c>
      <c r="S30" s="17">
        <f>IF(Inputs!$C$40&gt;=S$1,Inputs!$C$39,0)*(1+inf)^R$1</f>
        <v>0</v>
      </c>
      <c r="T30" s="17">
        <f>IF(Inputs!$C$40&gt;=T$1,Inputs!$C$39,0)*(1+inf)^S$1</f>
        <v>0</v>
      </c>
      <c r="U30" s="17">
        <f>IF(Inputs!$C$40&gt;=U$1,Inputs!$C$39,0)*(1+inf)^T$1</f>
        <v>0</v>
      </c>
      <c r="V30" s="17">
        <f>IF(Inputs!$C$40&gt;=V$1,Inputs!$C$39,0)*(1+inf)^U$1</f>
        <v>0</v>
      </c>
      <c r="W30" s="17">
        <f>IF(Inputs!$C$40&gt;=W$1,Inputs!$C$39,0)*(1+inf)^V$1</f>
        <v>0</v>
      </c>
      <c r="X30" s="17">
        <f>IF(Inputs!$C$40&gt;=X$1,Inputs!$C$39,0)*(1+inf)^W$1</f>
        <v>0</v>
      </c>
      <c r="Y30" s="17">
        <f>IF(Inputs!$C$40&gt;=Y$1,Inputs!$C$39,0)*(1+inf)^X$1</f>
        <v>0</v>
      </c>
      <c r="Z30" s="17">
        <f>IF(Inputs!$C$40&gt;=Z$1,Inputs!$C$39,0)*(1+inf)^Y$1</f>
        <v>0</v>
      </c>
      <c r="AA30" s="17">
        <f>IF(Inputs!$C$40&gt;=AA$1,Inputs!$C$39,0)*(1+inf)^Z$1</f>
        <v>0</v>
      </c>
      <c r="AB30" s="17">
        <f>IF(Inputs!$C$40&gt;=AB$1,Inputs!$C$39,0)*(1+inf)^AA$1</f>
        <v>0</v>
      </c>
      <c r="AC30" s="17">
        <f>IF(Inputs!$C$40&gt;=AC$1,Inputs!$C$39,0)*(1+inf)^AB$1</f>
        <v>0</v>
      </c>
      <c r="AD30" s="17">
        <f>IF(Inputs!$C$40&gt;=AD$1,Inputs!$C$39,0)*(1+inf)^AC$1</f>
        <v>0</v>
      </c>
      <c r="AE30" s="17">
        <f>IF(Inputs!$C$40&gt;=AE$1,Inputs!$C$39,0)*(1+inf)^AD$1</f>
        <v>0</v>
      </c>
      <c r="AF30" s="17">
        <f>IF(Inputs!$C$40&gt;=AF$1,Inputs!$C$39,0)*(1+inf)^AE$1</f>
        <v>0</v>
      </c>
      <c r="AG30" s="17">
        <f>IF(Inputs!$C$40&gt;=AG$1,Inputs!$C$39,0)*(1+inf)^AF$1</f>
        <v>0</v>
      </c>
      <c r="AH30" s="17">
        <f>IF(Inputs!$C$40&gt;=AH$1,Inputs!$C$39,0)*(1+inf)^AG$1</f>
        <v>0</v>
      </c>
      <c r="AI30" s="17">
        <f>IF(Inputs!$C$40&gt;=AI$1,Inputs!$C$39,0)*(1+inf)^AH$1</f>
        <v>0</v>
      </c>
      <c r="AJ30" s="17">
        <f>IF(Inputs!$C$40&gt;=AJ$1,Inputs!$C$39,0)*(1+inf)^AI$1</f>
        <v>0</v>
      </c>
      <c r="AK30" s="17">
        <f>IF(Inputs!$C$40&gt;=AK$1,Inputs!$C$39,0)*(1+inf)^AJ$1</f>
        <v>0</v>
      </c>
      <c r="AL30" s="17">
        <f>IF(Inputs!$C$40&gt;=AL$1,Inputs!$C$39,0)*(1+inf)^AK$1</f>
        <v>0</v>
      </c>
      <c r="AM30" s="17">
        <f>IF(Inputs!$C$40&gt;=AM$1,Inputs!$C$39,0)*(1+inf)^AL$1</f>
        <v>0</v>
      </c>
    </row>
    <row r="31" spans="1:39" x14ac:dyDescent="0.2">
      <c r="A31" s="13" t="str">
        <f>TEXT(Inputs!C43,"")</f>
        <v>Bill</v>
      </c>
      <c r="B31" s="18"/>
      <c r="C31" s="17">
        <f>IF(Inputs!$C$45&gt;=C$1,Inputs!$C$44,0)*(1+inf)^B$1</f>
        <v>2500</v>
      </c>
      <c r="D31" s="17">
        <f>IF(Inputs!$C$45&gt;=D$1,Inputs!$C$44,0)*(1+inf)^C$1</f>
        <v>2562.5</v>
      </c>
      <c r="E31" s="17">
        <f>IF(Inputs!$C$45&gt;=E$1,Inputs!$C$44,0)*(1+inf)^D$1</f>
        <v>2626.5625</v>
      </c>
      <c r="F31" s="17">
        <f>IF(Inputs!$C$45&gt;=F$1,Inputs!$C$44,0)*(1+inf)^E$1</f>
        <v>2692.2265624999995</v>
      </c>
      <c r="G31" s="17">
        <f>IF(Inputs!$C$45&gt;=G$1,Inputs!$C$44,0)*(1+inf)^F$1</f>
        <v>0</v>
      </c>
      <c r="H31" s="17">
        <f>IF(Inputs!$C$45&gt;=H$1,Inputs!$C$44,0)*(1+inf)^G$1</f>
        <v>0</v>
      </c>
      <c r="I31" s="17">
        <f>IF(Inputs!$C$45&gt;=I$1,Inputs!$C$44,0)*(1+inf)^H$1</f>
        <v>0</v>
      </c>
      <c r="J31" s="17">
        <f>IF(Inputs!$C$45&gt;=J$1,Inputs!$C$44,0)*(1+inf)^I$1</f>
        <v>0</v>
      </c>
      <c r="K31" s="17">
        <f>IF(Inputs!$C$45&gt;=K$1,Inputs!$C$44,0)*(1+inf)^J$1</f>
        <v>0</v>
      </c>
      <c r="L31" s="17">
        <f>IF(Inputs!$C$45&gt;=L$1,Inputs!$C$44,0)*(1+inf)^K$1</f>
        <v>0</v>
      </c>
      <c r="M31" s="17">
        <f>IF(Inputs!$C$45&gt;=M$1,Inputs!$C$44,0)*(1+inf)^L$1</f>
        <v>0</v>
      </c>
      <c r="N31" s="17">
        <f>IF(Inputs!$C$45&gt;=N$1,Inputs!$C$44,0)*(1+inf)^M$1</f>
        <v>0</v>
      </c>
      <c r="O31" s="17">
        <f>IF(Inputs!$C$45&gt;=O$1,Inputs!$C$44,0)*(1+inf)^N$1</f>
        <v>0</v>
      </c>
      <c r="P31" s="17">
        <f>IF(Inputs!$C$45&gt;=P$1,Inputs!$C$44,0)*(1+inf)^O$1</f>
        <v>0</v>
      </c>
      <c r="Q31" s="17">
        <f>IF(Inputs!$C$45&gt;=Q$1,Inputs!$C$44,0)*(1+inf)^P$1</f>
        <v>0</v>
      </c>
      <c r="R31" s="17">
        <f>IF(Inputs!$C$45&gt;=R$1,Inputs!$C$44,0)*(1+inf)^Q$1</f>
        <v>0</v>
      </c>
      <c r="S31" s="17">
        <f>IF(Inputs!$C$45&gt;=S$1,Inputs!$C$44,0)*(1+inf)^R$1</f>
        <v>0</v>
      </c>
      <c r="T31" s="17">
        <f>IF(Inputs!$C$45&gt;=T$1,Inputs!$C$44,0)*(1+inf)^S$1</f>
        <v>0</v>
      </c>
      <c r="U31" s="17">
        <f>IF(Inputs!$C$45&gt;=U$1,Inputs!$C$44,0)*(1+inf)^T$1</f>
        <v>0</v>
      </c>
      <c r="V31" s="17">
        <f>IF(Inputs!$C$45&gt;=V$1,Inputs!$C$44,0)*(1+inf)^U$1</f>
        <v>0</v>
      </c>
      <c r="W31" s="17">
        <f>IF(Inputs!$C$45&gt;=W$1,Inputs!$C$44,0)*(1+inf)^V$1</f>
        <v>0</v>
      </c>
      <c r="X31" s="17">
        <f>IF(Inputs!$C$45&gt;=X$1,Inputs!$C$44,0)*(1+inf)^W$1</f>
        <v>0</v>
      </c>
      <c r="Y31" s="17">
        <f>IF(Inputs!$C$45&gt;=Y$1,Inputs!$C$44,0)*(1+inf)^X$1</f>
        <v>0</v>
      </c>
      <c r="Z31" s="17">
        <f>IF(Inputs!$C$45&gt;=Z$1,Inputs!$C$44,0)*(1+inf)^Y$1</f>
        <v>0</v>
      </c>
      <c r="AA31" s="17">
        <f>IF(Inputs!$C$45&gt;=AA$1,Inputs!$C$44,0)*(1+inf)^Z$1</f>
        <v>0</v>
      </c>
      <c r="AB31" s="17">
        <f>IF(Inputs!$C$45&gt;=AB$1,Inputs!$C$44,0)*(1+inf)^AA$1</f>
        <v>0</v>
      </c>
      <c r="AC31" s="17">
        <f>IF(Inputs!$C$45&gt;=AC$1,Inputs!$C$44,0)*(1+inf)^AB$1</f>
        <v>0</v>
      </c>
      <c r="AD31" s="17">
        <f>IF(Inputs!$C$45&gt;=AD$1,Inputs!$C$44,0)*(1+inf)^AC$1</f>
        <v>0</v>
      </c>
      <c r="AE31" s="17">
        <f>IF(Inputs!$C$45&gt;=AE$1,Inputs!$C$44,0)*(1+inf)^AD$1</f>
        <v>0</v>
      </c>
      <c r="AF31" s="17">
        <f>IF(Inputs!$C$45&gt;=AF$1,Inputs!$C$44,0)*(1+inf)^AE$1</f>
        <v>0</v>
      </c>
      <c r="AG31" s="17">
        <f>IF(Inputs!$C$45&gt;=AG$1,Inputs!$C$44,0)*(1+inf)^AF$1</f>
        <v>0</v>
      </c>
      <c r="AH31" s="17">
        <f>IF(Inputs!$C$45&gt;=AH$1,Inputs!$C$44,0)*(1+inf)^AG$1</f>
        <v>0</v>
      </c>
      <c r="AI31" s="17">
        <f>IF(Inputs!$C$45&gt;=AI$1,Inputs!$C$44,0)*(1+inf)^AH$1</f>
        <v>0</v>
      </c>
      <c r="AJ31" s="17">
        <f>IF(Inputs!$C$45&gt;=AJ$1,Inputs!$C$44,0)*(1+inf)^AI$1</f>
        <v>0</v>
      </c>
      <c r="AK31" s="17">
        <f>IF(Inputs!$C$45&gt;=AK$1,Inputs!$C$44,0)*(1+inf)^AJ$1</f>
        <v>0</v>
      </c>
      <c r="AL31" s="17">
        <f>IF(Inputs!$C$45&gt;=AL$1,Inputs!$C$44,0)*(1+inf)^AK$1</f>
        <v>0</v>
      </c>
      <c r="AM31" s="17">
        <f>IF(Inputs!$C$45&gt;=AM$1,Inputs!$C$44,0)*(1+inf)^AL$1</f>
        <v>0</v>
      </c>
    </row>
    <row r="32" spans="1:39" x14ac:dyDescent="0.2">
      <c r="A32" s="14" t="s">
        <v>6</v>
      </c>
      <c r="B32" s="18"/>
      <c r="C32" s="17">
        <f>Inputs!$C$23*(1+inf)^B$1</f>
        <v>0</v>
      </c>
      <c r="D32" s="17">
        <f>Inputs!$C$23*(1+inf)^C$1</f>
        <v>0</v>
      </c>
      <c r="E32" s="17">
        <f>Inputs!$C$23*(1+inf)^D$1</f>
        <v>0</v>
      </c>
      <c r="F32" s="17">
        <f>Inputs!$C$23*(1+inf)^E$1</f>
        <v>0</v>
      </c>
      <c r="G32" s="17">
        <f>Inputs!$C$23*(1+inf)^F$1</f>
        <v>0</v>
      </c>
      <c r="H32" s="17">
        <f>Inputs!$C$23*(1+inf)^G$1</f>
        <v>0</v>
      </c>
      <c r="I32" s="17">
        <f>Inputs!$C$23*(1+inf)^H$1</f>
        <v>0</v>
      </c>
      <c r="J32" s="17">
        <f>Inputs!$C$23*(1+inf)^I$1</f>
        <v>0</v>
      </c>
      <c r="K32" s="17">
        <f>Inputs!$C$23*(1+inf)^J$1</f>
        <v>0</v>
      </c>
      <c r="L32" s="17">
        <f>Inputs!$C$23*(1+inf)^K$1</f>
        <v>0</v>
      </c>
      <c r="M32" s="17">
        <f>Inputs!$C$23*(1+inf)^L$1</f>
        <v>0</v>
      </c>
      <c r="N32" s="17">
        <f>Inputs!$C$23*(1+inf)^M$1</f>
        <v>0</v>
      </c>
      <c r="O32" s="17">
        <f>Inputs!$C$23*(1+inf)^N$1</f>
        <v>0</v>
      </c>
      <c r="P32" s="17">
        <f>Inputs!$C$23*(1+inf)^O$1</f>
        <v>0</v>
      </c>
      <c r="Q32" s="17">
        <f>Inputs!$C$23*(1+inf)^P$1</f>
        <v>0</v>
      </c>
      <c r="R32" s="17">
        <f>Inputs!$C$23*(1+inf)^Q$1</f>
        <v>0</v>
      </c>
      <c r="S32" s="17">
        <f>Inputs!$C$23*(1+inf)^R$1</f>
        <v>0</v>
      </c>
      <c r="T32" s="17">
        <f>Inputs!$C$23*(1+inf)^S$1</f>
        <v>0</v>
      </c>
      <c r="U32" s="17">
        <f>Inputs!$C$23*(1+inf)^T$1</f>
        <v>0</v>
      </c>
      <c r="V32" s="17">
        <f>Inputs!$C$23*(1+inf)^U$1</f>
        <v>0</v>
      </c>
      <c r="W32" s="17">
        <f>Inputs!$C$23*(1+inf)^V$1</f>
        <v>0</v>
      </c>
      <c r="X32" s="17">
        <f>Inputs!$C$23*(1+inf)^W$1</f>
        <v>0</v>
      </c>
      <c r="Y32" s="17">
        <f>Inputs!$C$23*(1+inf)^X$1</f>
        <v>0</v>
      </c>
      <c r="Z32" s="17">
        <f>Inputs!$C$23*(1+inf)^Y$1</f>
        <v>0</v>
      </c>
      <c r="AA32" s="17">
        <f>Inputs!$C$23*(1+inf)^Z$1</f>
        <v>0</v>
      </c>
      <c r="AB32" s="17">
        <f>Inputs!$C$23*(1+inf)^AA$1</f>
        <v>0</v>
      </c>
      <c r="AC32" s="17">
        <f>Inputs!$C$23*(1+inf)^AB$1</f>
        <v>0</v>
      </c>
      <c r="AD32" s="17">
        <f>Inputs!$C$23*(1+inf)^AC$1</f>
        <v>0</v>
      </c>
      <c r="AE32" s="17">
        <f>Inputs!$C$23*(1+inf)^AD$1</f>
        <v>0</v>
      </c>
      <c r="AF32" s="17">
        <f>Inputs!$C$23*(1+inf)^AE$1</f>
        <v>0</v>
      </c>
      <c r="AG32" s="17">
        <f>Inputs!$C$23*(1+inf)^AF$1</f>
        <v>0</v>
      </c>
      <c r="AH32" s="17">
        <f>Inputs!$C$23*(1+inf)^AG$1</f>
        <v>0</v>
      </c>
      <c r="AI32" s="17">
        <f>Inputs!$C$23*(1+inf)^AH$1</f>
        <v>0</v>
      </c>
      <c r="AJ32" s="17">
        <f>Inputs!$C$23*(1+inf)^AI$1</f>
        <v>0</v>
      </c>
      <c r="AK32" s="17">
        <f>Inputs!$C$23*(1+inf)^AJ$1</f>
        <v>0</v>
      </c>
      <c r="AL32" s="17">
        <f>Inputs!$C$23*(1+inf)^AK$1</f>
        <v>0</v>
      </c>
      <c r="AM32" s="17">
        <f>Inputs!$C$23*(1+inf)^AL$1</f>
        <v>0</v>
      </c>
    </row>
    <row r="33" spans="1:39" x14ac:dyDescent="0.2">
      <c r="A33" s="14" t="s">
        <v>61</v>
      </c>
      <c r="B33" s="18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</row>
    <row r="34" spans="1:39" x14ac:dyDescent="0.2">
      <c r="A34" s="13" t="str">
        <f>TEXT(Inputs!$C$50,"")</f>
        <v>Sliema</v>
      </c>
      <c r="B34" s="18"/>
      <c r="C34" s="17">
        <f>Inputs!$C52*(1+inf)^B$1</f>
        <v>1000</v>
      </c>
      <c r="D34" s="17">
        <f>Inputs!$C52*(1+inf)^C$1</f>
        <v>1025</v>
      </c>
      <c r="E34" s="17">
        <f>Inputs!$C52*(1+inf)^D$1</f>
        <v>1050.625</v>
      </c>
      <c r="F34" s="17">
        <f>Inputs!$C52*(1+inf)^E$1</f>
        <v>1076.8906249999998</v>
      </c>
      <c r="G34" s="17">
        <f>Inputs!$C52*(1+inf)^F$1</f>
        <v>1103.8128906249997</v>
      </c>
      <c r="H34" s="17">
        <f>Inputs!$C52*(1+inf)^G$1</f>
        <v>1131.4082128906246</v>
      </c>
      <c r="I34" s="17">
        <f>Inputs!$C52*(1+inf)^H$1</f>
        <v>1159.6934182128903</v>
      </c>
      <c r="J34" s="17">
        <f>Inputs!$C52*(1+inf)^I$1</f>
        <v>1188.6857536682126</v>
      </c>
      <c r="K34" s="17">
        <f>Inputs!$C52*(1+inf)^J$1</f>
        <v>1218.4028975099177</v>
      </c>
      <c r="L34" s="17">
        <f>Inputs!$C52*(1+inf)^K$1</f>
        <v>1248.8629699476655</v>
      </c>
      <c r="M34" s="17">
        <f>Inputs!$C52*(1+inf)^L$1</f>
        <v>1280.084544196357</v>
      </c>
      <c r="N34" s="17">
        <f>Inputs!$C52*(1+inf)^M$1</f>
        <v>1312.086657801266</v>
      </c>
      <c r="O34" s="17">
        <f>Inputs!$C52*(1+inf)^N$1</f>
        <v>1344.8888242462974</v>
      </c>
      <c r="P34" s="17">
        <f>Inputs!$C52*(1+inf)^O$1</f>
        <v>1378.5110448524549</v>
      </c>
      <c r="Q34" s="17">
        <f>Inputs!$C52*(1+inf)^P$1</f>
        <v>1412.9738209737661</v>
      </c>
      <c r="R34" s="17">
        <f>Inputs!$C52*(1+inf)^Q$1</f>
        <v>1448.2981664981105</v>
      </c>
      <c r="S34" s="17">
        <f>Inputs!$C52*(1+inf)^R$1</f>
        <v>1484.5056206605632</v>
      </c>
      <c r="T34" s="17">
        <f>Inputs!$C52*(1+inf)^S$1</f>
        <v>1521.6182611770771</v>
      </c>
      <c r="U34" s="17">
        <f>Inputs!$C52*(1+inf)^T$1</f>
        <v>1559.6587177065039</v>
      </c>
      <c r="V34" s="17">
        <f>Inputs!$C52*(1+inf)^U$1</f>
        <v>1598.6501856491666</v>
      </c>
      <c r="W34" s="17">
        <f>Inputs!$C52*(1+inf)^V$1</f>
        <v>1638.6164402903955</v>
      </c>
      <c r="X34" s="17">
        <f>Inputs!$C52*(1+inf)^W$1</f>
        <v>1679.5818512976552</v>
      </c>
      <c r="Y34" s="17">
        <f>Inputs!$C52*(1+inf)^X$1</f>
        <v>1721.5713975800966</v>
      </c>
      <c r="Z34" s="17">
        <f>Inputs!$C52*(1+inf)^Y$1</f>
        <v>1764.6106825195991</v>
      </c>
      <c r="AA34" s="17">
        <f>Inputs!$C52*(1+inf)^Z$1</f>
        <v>1808.725949582589</v>
      </c>
      <c r="AB34" s="17">
        <f>Inputs!$C52*(1+inf)^AA$1</f>
        <v>1853.9440983221534</v>
      </c>
      <c r="AC34" s="17">
        <f>Inputs!$C52*(1+inf)^AB$1</f>
        <v>1900.292700780207</v>
      </c>
      <c r="AD34" s="17">
        <f>Inputs!$C52*(1+inf)^AC$1</f>
        <v>1947.8000182997121</v>
      </c>
      <c r="AE34" s="17">
        <f>Inputs!$C52*(1+inf)^AD$1</f>
        <v>1996.4950187572049</v>
      </c>
      <c r="AF34" s="17">
        <f>Inputs!$C52*(1+inf)^AE$1</f>
        <v>2046.4073942261352</v>
      </c>
      <c r="AG34" s="17">
        <f>Inputs!$C52*(1+inf)^AF$1</f>
        <v>2097.5675790817882</v>
      </c>
      <c r="AH34" s="17">
        <f>Inputs!$C52*(1+inf)^AG$1</f>
        <v>2150.0067685588333</v>
      </c>
      <c r="AI34" s="17">
        <f>Inputs!$C52*(1+inf)^AH$1</f>
        <v>2203.7569377728037</v>
      </c>
      <c r="AJ34" s="17">
        <f>Inputs!$C52*(1+inf)^AI$1</f>
        <v>2258.8508612171236</v>
      </c>
      <c r="AK34" s="17">
        <f>Inputs!$C52*(1+inf)^AJ$1</f>
        <v>2315.3221327475517</v>
      </c>
      <c r="AL34" s="17">
        <f>Inputs!$C52*(1+inf)^AK$1</f>
        <v>2373.20518606624</v>
      </c>
      <c r="AM34" s="17">
        <f>Inputs!$C52*(1+inf)^AL$1</f>
        <v>2432.5353157178965</v>
      </c>
    </row>
    <row r="35" spans="1:39" x14ac:dyDescent="0.2">
      <c r="A35" s="13" t="str">
        <f>TEXT(Inputs!$C$55,"")</f>
        <v>Gzira</v>
      </c>
      <c r="B35" s="18"/>
      <c r="C35" s="17">
        <f>Inputs!$C57*(1+inf)^B$1</f>
        <v>2500</v>
      </c>
      <c r="D35" s="17">
        <f>Inputs!$C57*(1+inf)^C$1</f>
        <v>2562.5</v>
      </c>
      <c r="E35" s="17">
        <f>Inputs!$C57*(1+inf)^D$1</f>
        <v>2626.5625</v>
      </c>
      <c r="F35" s="17">
        <f>Inputs!$C57*(1+inf)^E$1</f>
        <v>2692.2265624999995</v>
      </c>
      <c r="G35" s="17">
        <f>Inputs!$C57*(1+inf)^F$1</f>
        <v>2759.5322265624995</v>
      </c>
      <c r="H35" s="17">
        <f>Inputs!$C57*(1+inf)^G$1</f>
        <v>2828.5205322265615</v>
      </c>
      <c r="I35" s="17">
        <f>Inputs!$C57*(1+inf)^H$1</f>
        <v>2899.2335455322254</v>
      </c>
      <c r="J35" s="17">
        <f>Inputs!$C57*(1+inf)^I$1</f>
        <v>2971.714384170531</v>
      </c>
      <c r="K35" s="17">
        <f>Inputs!$C57*(1+inf)^J$1</f>
        <v>3046.0072437747945</v>
      </c>
      <c r="L35" s="17">
        <f>Inputs!$C57*(1+inf)^K$1</f>
        <v>3122.1574248691636</v>
      </c>
      <c r="M35" s="17">
        <f>Inputs!$C57*(1+inf)^L$1</f>
        <v>3200.2113604908927</v>
      </c>
      <c r="N35" s="17">
        <f>Inputs!$C57*(1+inf)^M$1</f>
        <v>3280.2166445031648</v>
      </c>
      <c r="O35" s="17">
        <f>Inputs!$C57*(1+inf)^N$1</f>
        <v>3362.2220606157439</v>
      </c>
      <c r="P35" s="17">
        <f>Inputs!$C57*(1+inf)^O$1</f>
        <v>3446.2776121311372</v>
      </c>
      <c r="Q35" s="17">
        <f>Inputs!$C57*(1+inf)^P$1</f>
        <v>3532.4345524344153</v>
      </c>
      <c r="R35" s="17">
        <f>Inputs!$C57*(1+inf)^Q$1</f>
        <v>3620.7454162452764</v>
      </c>
      <c r="S35" s="17">
        <f>Inputs!$C57*(1+inf)^R$1</f>
        <v>3711.264051651408</v>
      </c>
      <c r="T35" s="17">
        <f>Inputs!$C57*(1+inf)^S$1</f>
        <v>3804.0456529426924</v>
      </c>
      <c r="U35" s="17">
        <f>Inputs!$C57*(1+inf)^T$1</f>
        <v>3899.1467942662598</v>
      </c>
      <c r="V35" s="17">
        <f>Inputs!$C57*(1+inf)^U$1</f>
        <v>3996.6254641229166</v>
      </c>
      <c r="W35" s="17">
        <f>Inputs!$C57*(1+inf)^V$1</f>
        <v>4096.5411007259891</v>
      </c>
      <c r="X35" s="17">
        <f>Inputs!$C57*(1+inf)^W$1</f>
        <v>4198.9546282441379</v>
      </c>
      <c r="Y35" s="17">
        <f>Inputs!$C57*(1+inf)^X$1</f>
        <v>4303.9284939502413</v>
      </c>
      <c r="Z35" s="17">
        <f>Inputs!$C57*(1+inf)^Y$1</f>
        <v>4411.5267062989979</v>
      </c>
      <c r="AA35" s="17">
        <f>Inputs!$C57*(1+inf)^Z$1</f>
        <v>4521.8148739564722</v>
      </c>
      <c r="AB35" s="17">
        <f>Inputs!$C57*(1+inf)^AA$1</f>
        <v>4634.8602458053838</v>
      </c>
      <c r="AC35" s="17">
        <f>Inputs!$C57*(1+inf)^AB$1</f>
        <v>4750.7317519505177</v>
      </c>
      <c r="AD35" s="17">
        <f>Inputs!$C57*(1+inf)^AC$1</f>
        <v>4869.5000457492806</v>
      </c>
      <c r="AE35" s="17">
        <f>Inputs!$C57*(1+inf)^AD$1</f>
        <v>4991.2375468930122</v>
      </c>
      <c r="AF35" s="17">
        <f>Inputs!$C57*(1+inf)^AE$1</f>
        <v>5116.0184855653379</v>
      </c>
      <c r="AG35" s="17">
        <f>Inputs!$C57*(1+inf)^AF$1</f>
        <v>5243.9189477044702</v>
      </c>
      <c r="AH35" s="17">
        <f>Inputs!$C57*(1+inf)^AG$1</f>
        <v>5375.016921397083</v>
      </c>
      <c r="AI35" s="17">
        <f>Inputs!$C57*(1+inf)^AH$1</f>
        <v>5509.3923444320089</v>
      </c>
      <c r="AJ35" s="17">
        <f>Inputs!$C57*(1+inf)^AI$1</f>
        <v>5647.1271530428094</v>
      </c>
      <c r="AK35" s="17">
        <f>Inputs!$C57*(1+inf)^AJ$1</f>
        <v>5788.305331868879</v>
      </c>
      <c r="AL35" s="17">
        <f>Inputs!$C57*(1+inf)^AK$1</f>
        <v>5933.0129651656007</v>
      </c>
      <c r="AM35" s="17">
        <f>Inputs!$C57*(1+inf)^AL$1</f>
        <v>6081.3382892947411</v>
      </c>
    </row>
    <row r="36" spans="1:39" x14ac:dyDescent="0.2">
      <c r="A36" s="13" t="str">
        <f>TEXT(Inputs!$C$60,"")</f>
        <v>Hamrun</v>
      </c>
      <c r="B36" s="18"/>
      <c r="C36" s="17">
        <f>Inputs!$C62*(1+inf)^B$1</f>
        <v>800</v>
      </c>
      <c r="D36" s="17">
        <f>Inputs!$C62*(1+inf)^C$1</f>
        <v>819.99999999999989</v>
      </c>
      <c r="E36" s="17">
        <f>Inputs!$C62*(1+inf)^D$1</f>
        <v>840.49999999999989</v>
      </c>
      <c r="F36" s="17">
        <f>Inputs!$C62*(1+inf)^E$1</f>
        <v>861.51249999999993</v>
      </c>
      <c r="G36" s="17">
        <f>Inputs!$C62*(1+inf)^F$1</f>
        <v>883.05031249999979</v>
      </c>
      <c r="H36" s="17">
        <f>Inputs!$C62*(1+inf)^G$1</f>
        <v>905.12657031249978</v>
      </c>
      <c r="I36" s="17">
        <f>Inputs!$C62*(1+inf)^H$1</f>
        <v>927.75473457031217</v>
      </c>
      <c r="J36" s="17">
        <f>Inputs!$C62*(1+inf)^I$1</f>
        <v>950.94860293456998</v>
      </c>
      <c r="K36" s="17">
        <f>Inputs!$C62*(1+inf)^J$1</f>
        <v>974.72231800793418</v>
      </c>
      <c r="L36" s="17">
        <f>Inputs!$C62*(1+inf)^K$1</f>
        <v>999.09037595813231</v>
      </c>
      <c r="M36" s="17">
        <f>Inputs!$C62*(1+inf)^L$1</f>
        <v>1024.0676353570857</v>
      </c>
      <c r="N36" s="17">
        <f>Inputs!$C62*(1+inf)^M$1</f>
        <v>1049.6693262410129</v>
      </c>
      <c r="O36" s="17">
        <f>Inputs!$C62*(1+inf)^N$1</f>
        <v>1075.9110593970381</v>
      </c>
      <c r="P36" s="17">
        <f>Inputs!$C62*(1+inf)^O$1</f>
        <v>1102.8088358819639</v>
      </c>
      <c r="Q36" s="17">
        <f>Inputs!$C62*(1+inf)^P$1</f>
        <v>1130.3790567790129</v>
      </c>
      <c r="R36" s="17">
        <f>Inputs!$C62*(1+inf)^Q$1</f>
        <v>1158.6385331984884</v>
      </c>
      <c r="S36" s="17">
        <f>Inputs!$C62*(1+inf)^R$1</f>
        <v>1187.6044965284505</v>
      </c>
      <c r="T36" s="17">
        <f>Inputs!$C62*(1+inf)^S$1</f>
        <v>1217.2946089416616</v>
      </c>
      <c r="U36" s="17">
        <f>Inputs!$C62*(1+inf)^T$1</f>
        <v>1247.7269741652033</v>
      </c>
      <c r="V36" s="17">
        <f>Inputs!$C62*(1+inf)^U$1</f>
        <v>1278.9201485193332</v>
      </c>
      <c r="W36" s="17">
        <f>Inputs!$C62*(1+inf)^V$1</f>
        <v>1310.8931522323164</v>
      </c>
      <c r="X36" s="17">
        <f>Inputs!$C62*(1+inf)^W$1</f>
        <v>1343.6654810381242</v>
      </c>
      <c r="Y36" s="17">
        <f>Inputs!$C62*(1+inf)^X$1</f>
        <v>1377.2571180640773</v>
      </c>
      <c r="Z36" s="17">
        <f>Inputs!$C62*(1+inf)^Y$1</f>
        <v>1411.6885460156793</v>
      </c>
      <c r="AA36" s="17">
        <f>Inputs!$C62*(1+inf)^Z$1</f>
        <v>1446.9807596660712</v>
      </c>
      <c r="AB36" s="17">
        <f>Inputs!$C62*(1+inf)^AA$1</f>
        <v>1483.1552786577226</v>
      </c>
      <c r="AC36" s="17">
        <f>Inputs!$C62*(1+inf)^AB$1</f>
        <v>1520.2341606241657</v>
      </c>
      <c r="AD36" s="17">
        <f>Inputs!$C62*(1+inf)^AC$1</f>
        <v>1558.2400146397697</v>
      </c>
      <c r="AE36" s="17">
        <f>Inputs!$C62*(1+inf)^AD$1</f>
        <v>1597.1960150057639</v>
      </c>
      <c r="AF36" s="17">
        <f>Inputs!$C62*(1+inf)^AE$1</f>
        <v>1637.1259153809081</v>
      </c>
      <c r="AG36" s="17">
        <f>Inputs!$C62*(1+inf)^AF$1</f>
        <v>1678.0540632654304</v>
      </c>
      <c r="AH36" s="17">
        <f>Inputs!$C62*(1+inf)^AG$1</f>
        <v>1720.0054148470667</v>
      </c>
      <c r="AI36" s="17">
        <f>Inputs!$C62*(1+inf)^AH$1</f>
        <v>1763.0055502182429</v>
      </c>
      <c r="AJ36" s="17">
        <f>Inputs!$C62*(1+inf)^AI$1</f>
        <v>1807.0806889736989</v>
      </c>
      <c r="AK36" s="17">
        <f>Inputs!$C62*(1+inf)^AJ$1</f>
        <v>1852.2577061980414</v>
      </c>
      <c r="AL36" s="17">
        <f>Inputs!$C62*(1+inf)^AK$1</f>
        <v>1898.5641488529923</v>
      </c>
      <c r="AM36" s="17">
        <f>Inputs!$C62*(1+inf)^AL$1</f>
        <v>1946.0282525743171</v>
      </c>
    </row>
    <row r="37" spans="1:39" x14ac:dyDescent="0.2">
      <c r="A37" s="14" t="s">
        <v>17</v>
      </c>
      <c r="B37" s="18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x14ac:dyDescent="0.2">
      <c r="A38" s="13" t="s">
        <v>62</v>
      </c>
      <c r="B38" s="18"/>
      <c r="C38" s="17">
        <f>Inputs!$C$25*(1+inf)^B$1</f>
        <v>60000</v>
      </c>
      <c r="D38" s="17">
        <f>Inputs!$C$25*(1+inf)^C$1</f>
        <v>61499.999999999993</v>
      </c>
      <c r="E38" s="17">
        <f>Inputs!$C$25*(1+inf)^D$1</f>
        <v>63037.499999999993</v>
      </c>
      <c r="F38" s="17">
        <f>Inputs!$C$25*(1+inf)^E$1</f>
        <v>64613.437499999993</v>
      </c>
      <c r="G38" s="17">
        <f>Inputs!$C$25*(1+inf)^F$1</f>
        <v>66228.773437499985</v>
      </c>
      <c r="H38" s="17">
        <f>Inputs!$C$25*(1+inf)^G$1</f>
        <v>67884.49277343748</v>
      </c>
      <c r="I38" s="17">
        <f>Inputs!$C$25*(1+inf)^H$1</f>
        <v>69581.605092773418</v>
      </c>
      <c r="J38" s="17">
        <f>Inputs!$C$25*(1+inf)^I$1</f>
        <v>71321.145220092745</v>
      </c>
      <c r="K38" s="17">
        <f>Inputs!$C$25*(1+inf)^J$1</f>
        <v>73104.173850595063</v>
      </c>
      <c r="L38" s="17">
        <f>Inputs!$C$25*(1+inf)^K$1</f>
        <v>74931.77819685993</v>
      </c>
      <c r="M38" s="17">
        <f>Inputs!$C$25*(1+inf)^L$1</f>
        <v>76805.072651781418</v>
      </c>
      <c r="N38" s="17">
        <f>Inputs!$C$25*(1+inf)^M$1</f>
        <v>78725.199468075953</v>
      </c>
      <c r="O38" s="17">
        <f>Inputs!$C$25*(1+inf)^N$1</f>
        <v>80693.32945477785</v>
      </c>
      <c r="P38" s="17">
        <f>Inputs!$C$25*(1+inf)^O$1</f>
        <v>82710.662691147299</v>
      </c>
      <c r="Q38" s="17">
        <f>Inputs!$C$25*(1+inf)^P$1</f>
        <v>84778.429258425967</v>
      </c>
      <c r="R38" s="17">
        <f>Inputs!$C$25*(1+inf)^Q$1</f>
        <v>86897.889989886637</v>
      </c>
      <c r="S38" s="17">
        <f>Inputs!$C$25*(1+inf)^R$1</f>
        <v>89070.337239633795</v>
      </c>
      <c r="T38" s="17">
        <f>Inputs!$C$25*(1+inf)^S$1</f>
        <v>91297.095670624622</v>
      </c>
      <c r="U38" s="17">
        <f>Inputs!$C$25*(1+inf)^T$1</f>
        <v>93579.523062390246</v>
      </c>
      <c r="V38" s="17">
        <f>Inputs!$C$25*(1+inf)^U$1</f>
        <v>95919.011138949994</v>
      </c>
      <c r="W38" s="17">
        <f>Inputs!$C$25*(1+inf)^V$1</f>
        <v>98316.98641742373</v>
      </c>
      <c r="X38" s="17">
        <f>Inputs!$C$25*(1+inf)^W$1</f>
        <v>100774.91107785932</v>
      </c>
      <c r="Y38" s="17">
        <f>Inputs!$C$25*(1+inf)^X$1</f>
        <v>103294.28385480579</v>
      </c>
      <c r="Z38" s="17">
        <f>Inputs!$C$25*(1+inf)^Y$1</f>
        <v>105876.64095117594</v>
      </c>
      <c r="AA38" s="17">
        <f>Inputs!$C$25*(1+inf)^Z$1</f>
        <v>108523.55697495534</v>
      </c>
      <c r="AB38" s="17">
        <f>Inputs!$C$25*(1+inf)^AA$1</f>
        <v>111236.6458993292</v>
      </c>
      <c r="AC38" s="17">
        <f>Inputs!$C$25*(1+inf)^AB$1</f>
        <v>114017.56204681243</v>
      </c>
      <c r="AD38" s="17">
        <f>Inputs!$C$25*(1+inf)^AC$1</f>
        <v>116868.00109798273</v>
      </c>
      <c r="AE38" s="17">
        <f>Inputs!$C$25*(1+inf)^AD$1</f>
        <v>119789.70112543229</v>
      </c>
      <c r="AF38" s="17">
        <f>Inputs!$C$25*(1+inf)^AE$1</f>
        <v>122784.44365356812</v>
      </c>
      <c r="AG38" s="17">
        <f>Inputs!$C$25*(1+inf)^AF$1</f>
        <v>125854.05474490728</v>
      </c>
      <c r="AH38" s="17">
        <f>Inputs!$C$25*(1+inf)^AG$1</f>
        <v>129000.40611353</v>
      </c>
      <c r="AI38" s="17">
        <f>Inputs!$C$25*(1+inf)^AH$1</f>
        <v>132225.41626636821</v>
      </c>
      <c r="AJ38" s="17">
        <f>Inputs!$C$25*(1+inf)^AI$1</f>
        <v>135531.05167302742</v>
      </c>
      <c r="AK38" s="17">
        <f>Inputs!$C$25*(1+inf)^AJ$1</f>
        <v>138919.32796485312</v>
      </c>
      <c r="AL38" s="17">
        <f>Inputs!$C$25*(1+inf)^AK$1</f>
        <v>142392.3111639744</v>
      </c>
      <c r="AM38" s="17">
        <f>Inputs!$C$25*(1+inf)^AL$1</f>
        <v>145952.11894307379</v>
      </c>
    </row>
    <row r="39" spans="1:39" x14ac:dyDescent="0.2">
      <c r="A39" s="13" t="str">
        <f>"Adjustment "&amp;Inputs!B137</f>
        <v>Adjustment from now to 65</v>
      </c>
      <c r="B39" s="18"/>
      <c r="C39" s="17">
        <f>IF(C$3&lt;=65,Inputs!$C$137*C$38,0)</f>
        <v>0</v>
      </c>
      <c r="D39" s="17">
        <f>IF(D$3&lt;=65,Inputs!$C$137*D$38,0)</f>
        <v>0</v>
      </c>
      <c r="E39" s="17">
        <f>IF(E$3&lt;=65,Inputs!$C$137*E$38,0)</f>
        <v>0</v>
      </c>
      <c r="F39" s="17">
        <f>IF(F$3&lt;=65,Inputs!$C$137*F$38,0)</f>
        <v>0</v>
      </c>
      <c r="G39" s="17">
        <f>IF(G$3&lt;=65,Inputs!$C$137*G$38,0)</f>
        <v>0</v>
      </c>
      <c r="H39" s="17">
        <f>IF(H$3&lt;=65,Inputs!$C$137*H$38,0)</f>
        <v>0</v>
      </c>
      <c r="I39" s="17">
        <f>IF(I$3&lt;=65,Inputs!$C$137*I$38,0)</f>
        <v>0</v>
      </c>
      <c r="J39" s="17">
        <f>IF(J$3&lt;=65,Inputs!$C$137*J$38,0)</f>
        <v>0</v>
      </c>
      <c r="K39" s="17">
        <f>IF(K$3&lt;=65,Inputs!$C$137*K$38,0)</f>
        <v>0</v>
      </c>
      <c r="L39" s="17">
        <f>IF(L$3&lt;=65,Inputs!$C$137*L$38,0)</f>
        <v>0</v>
      </c>
      <c r="M39" s="17">
        <f>IF(M$3&lt;=65,Inputs!$C$137*M$38,0)</f>
        <v>0</v>
      </c>
      <c r="N39" s="17">
        <f>IF(N$3&lt;=65,Inputs!$C$137*N$38,0)</f>
        <v>0</v>
      </c>
      <c r="O39" s="17">
        <f>IF(O$3&lt;=65,Inputs!$C$137*O$38,0)</f>
        <v>0</v>
      </c>
      <c r="P39" s="17">
        <f>IF(P$3&lt;=65,Inputs!$C$137*P$38,0)</f>
        <v>0</v>
      </c>
      <c r="Q39" s="17">
        <f>IF(Q$3&lt;=65,Inputs!$C$137*Q$38,0)</f>
        <v>0</v>
      </c>
      <c r="R39" s="17">
        <f>IF(R$3&lt;=65,Inputs!$C$137*R$38,0)</f>
        <v>0</v>
      </c>
      <c r="S39" s="17">
        <f>IF(S$3&lt;=65,Inputs!$C$137*S$38,0)</f>
        <v>0</v>
      </c>
      <c r="T39" s="17">
        <f>IF(T$3&lt;=65,Inputs!$C$137*T$38,0)</f>
        <v>0</v>
      </c>
      <c r="U39" s="17">
        <f>IF(U$3&lt;=65,Inputs!$C$137*U$38,0)</f>
        <v>0</v>
      </c>
      <c r="V39" s="17">
        <f>IF(V$3&lt;=65,Inputs!$C$137*V$38,0)</f>
        <v>0</v>
      </c>
      <c r="W39" s="17">
        <f>IF(W$3&lt;=65,Inputs!$C$137*W$38,0)</f>
        <v>0</v>
      </c>
      <c r="X39" s="17">
        <f>IF(X$3&lt;=65,Inputs!$C$137*X$38,0)</f>
        <v>0</v>
      </c>
      <c r="Y39" s="17">
        <f>IF(Y$3&lt;=65,Inputs!$C$137*Y$38,0)</f>
        <v>0</v>
      </c>
      <c r="Z39" s="17">
        <f>IF(Z$3&lt;=65,Inputs!$C$137*Z$38,0)</f>
        <v>0</v>
      </c>
      <c r="AA39" s="17">
        <f>IF(AA$3&lt;=65,Inputs!$C$137*AA$38,0)</f>
        <v>0</v>
      </c>
      <c r="AB39" s="17">
        <f>IF(AB$3&lt;=65,Inputs!$C$137*AB$38,0)</f>
        <v>0</v>
      </c>
      <c r="AC39" s="17">
        <f>IF(AC$3&lt;=65,Inputs!$C$137*AC$38,0)</f>
        <v>0</v>
      </c>
      <c r="AD39" s="17">
        <f>IF(AD$3&lt;=65,Inputs!$C$137*AD$38,0)</f>
        <v>0</v>
      </c>
      <c r="AE39" s="17">
        <f>IF(AE$3&lt;=65,Inputs!$C$137*AE$38,0)</f>
        <v>0</v>
      </c>
      <c r="AF39" s="17">
        <f>IF(AF$3&lt;=65,Inputs!$C$137*AF$38,0)</f>
        <v>0</v>
      </c>
      <c r="AG39" s="17">
        <f>IF(AG$3&lt;=65,Inputs!$C$137*AG$38,0)</f>
        <v>0</v>
      </c>
      <c r="AH39" s="17">
        <f>IF(AH$3&lt;=65,Inputs!$C$137*AH$38,0)</f>
        <v>0</v>
      </c>
      <c r="AI39" s="17">
        <f>IF(AI$3&lt;=65,Inputs!$C$137*AI$38,0)</f>
        <v>0</v>
      </c>
      <c r="AJ39" s="17">
        <f>IF(AJ$3&lt;=65,Inputs!$C$137*AJ$38,0)</f>
        <v>0</v>
      </c>
      <c r="AK39" s="17">
        <f>IF(AK$3&lt;=65,Inputs!$C$137*AK$38,0)</f>
        <v>0</v>
      </c>
      <c r="AL39" s="17">
        <f>IF(AL$3&lt;=65,Inputs!$C$137*AL$38,0)</f>
        <v>0</v>
      </c>
      <c r="AM39" s="17">
        <f>IF(AM$3&lt;=65,Inputs!$C$137*AM$38,0)</f>
        <v>0</v>
      </c>
    </row>
    <row r="40" spans="1:39" x14ac:dyDescent="0.2">
      <c r="A40" s="13" t="str">
        <f>"Adjustment "&amp;Inputs!B138</f>
        <v>Adjustment from 66-75</v>
      </c>
      <c r="B40" s="18"/>
      <c r="C40" s="17">
        <f>IF(AND(C$3&gt;65,C$3&lt;=75),Inputs!$C$138*C38,0)</f>
        <v>0</v>
      </c>
      <c r="D40" s="17">
        <f>IF(AND(D$3&gt;65,D$3&lt;=75),Inputs!$C$138*D38,0)</f>
        <v>0</v>
      </c>
      <c r="E40" s="17">
        <f>IF(AND(E$3&gt;65,E$3&lt;=75),Inputs!$C$138*E38,0)</f>
        <v>0</v>
      </c>
      <c r="F40" s="17">
        <f>IF(AND(F$3&gt;65,F$3&lt;=75),Inputs!$C$138*F38,0)</f>
        <v>0</v>
      </c>
      <c r="G40" s="17">
        <f>IF(AND(G$3&gt;65,G$3&lt;=75),Inputs!$C$138*G38,0)</f>
        <v>0</v>
      </c>
      <c r="H40" s="17">
        <f>IF(AND(H$3&gt;65,H$3&lt;=75),Inputs!$C$138*H38,0)</f>
        <v>0</v>
      </c>
      <c r="I40" s="17">
        <f>IF(AND(I$3&gt;65,I$3&lt;=75),Inputs!$C$138*I38,0)</f>
        <v>0</v>
      </c>
      <c r="J40" s="17">
        <f>IF(AND(J$3&gt;65,J$3&lt;=75),Inputs!$C$138*J38,0)</f>
        <v>0</v>
      </c>
      <c r="K40" s="17">
        <f>IF(AND(K$3&gt;65,K$3&lt;=75),Inputs!$C$138*K38,0)</f>
        <v>0</v>
      </c>
      <c r="L40" s="17">
        <f>IF(AND(L$3&gt;65,L$3&lt;=75),Inputs!$C$138*L38,0)</f>
        <v>0</v>
      </c>
      <c r="M40" s="17">
        <f>IF(AND(M$3&gt;65,M$3&lt;=75),Inputs!$C$138*M38,0)</f>
        <v>0</v>
      </c>
      <c r="N40" s="17">
        <f>IF(AND(N$3&gt;65,N$3&lt;=75),Inputs!$C$138*N38,0)</f>
        <v>0</v>
      </c>
      <c r="O40" s="17">
        <f>IF(AND(O$3&gt;65,O$3&lt;=75),Inputs!$C$138*O38,0)</f>
        <v>0</v>
      </c>
      <c r="P40" s="17">
        <f>IF(AND(P$3&gt;65,P$3&lt;=75),Inputs!$C$138*P38,0)</f>
        <v>0</v>
      </c>
      <c r="Q40" s="17">
        <f>IF(AND(Q$3&gt;65,Q$3&lt;=75),Inputs!$C$138*Q38,0)</f>
        <v>0</v>
      </c>
      <c r="R40" s="17">
        <f>IF(AND(R$3&gt;65,R$3&lt;=75),Inputs!$C$138*R38,0)</f>
        <v>0</v>
      </c>
      <c r="S40" s="17">
        <f>IF(AND(S$3&gt;65,S$3&lt;=75),Inputs!$C$138*S38,0)</f>
        <v>0</v>
      </c>
      <c r="T40" s="17">
        <f>IF(AND(T$3&gt;65,T$3&lt;=75),Inputs!$C$138*T38,0)</f>
        <v>-9129.7095670624622</v>
      </c>
      <c r="U40" s="17">
        <f>IF(AND(U$3&gt;65,U$3&lt;=75),Inputs!$C$138*U38,0)</f>
        <v>-9357.9523062390253</v>
      </c>
      <c r="V40" s="17">
        <f>IF(AND(V$3&gt;65,V$3&lt;=75),Inputs!$C$138*V38,0)</f>
        <v>-9591.9011138949991</v>
      </c>
      <c r="W40" s="17">
        <f>IF(AND(W$3&gt;65,W$3&lt;=75),Inputs!$C$138*W38,0)</f>
        <v>-9831.6986417423741</v>
      </c>
      <c r="X40" s="17">
        <f>IF(AND(X$3&gt;65,X$3&lt;=75),Inputs!$C$138*X38,0)</f>
        <v>-10077.491107785932</v>
      </c>
      <c r="Y40" s="17">
        <f>IF(AND(Y$3&gt;65,Y$3&lt;=75),Inputs!$C$138*Y38,0)</f>
        <v>-10329.42838548058</v>
      </c>
      <c r="Z40" s="17">
        <f>IF(AND(Z$3&gt;65,Z$3&lt;=75),Inputs!$C$138*Z38,0)</f>
        <v>-10587.664095117594</v>
      </c>
      <c r="AA40" s="17">
        <f>IF(AND(AA$3&gt;65,AA$3&lt;=75),Inputs!$C$138*AA38,0)</f>
        <v>-10852.355697495535</v>
      </c>
      <c r="AB40" s="17">
        <f>IF(AND(AB$3&gt;65,AB$3&lt;=75),Inputs!$C$138*AB38,0)</f>
        <v>-11123.664589932921</v>
      </c>
      <c r="AC40" s="17">
        <f>IF(AND(AC$3&gt;65,AC$3&lt;=75),Inputs!$C$138*AC38,0)</f>
        <v>-11401.756204681244</v>
      </c>
      <c r="AD40" s="17">
        <f>IF(AND(AD$3&gt;65,AD$3&lt;=75),Inputs!$C$138*AD38,0)</f>
        <v>0</v>
      </c>
      <c r="AE40" s="17">
        <f>IF(AND(AE$3&gt;65,AE$3&lt;=75),Inputs!$C$138*AE38,0)</f>
        <v>0</v>
      </c>
      <c r="AF40" s="17">
        <f>IF(AND(AF$3&gt;65,AF$3&lt;=75),Inputs!$C$138*AF38,0)</f>
        <v>0</v>
      </c>
      <c r="AG40" s="17">
        <f>IF(AND(AG$3&gt;65,AG$3&lt;=75),Inputs!$C$138*AG38,0)</f>
        <v>0</v>
      </c>
      <c r="AH40" s="17">
        <f>IF(AND(AH$3&gt;65,AH$3&lt;=75),Inputs!$C$138*AH38,0)</f>
        <v>0</v>
      </c>
      <c r="AI40" s="17">
        <f>IF(AND(AI$3&gt;65,AI$3&lt;=75),Inputs!$C$138*AI38,0)</f>
        <v>0</v>
      </c>
      <c r="AJ40" s="17">
        <f>IF(AND(AJ$3&gt;65,AJ$3&lt;=75),Inputs!$C$138*AJ38,0)</f>
        <v>0</v>
      </c>
      <c r="AK40" s="17">
        <f>IF(AND(AK$3&gt;65,AK$3&lt;=75),Inputs!$C$138*AK38,0)</f>
        <v>0</v>
      </c>
      <c r="AL40" s="17">
        <f>IF(AND(AL$3&gt;65,AL$3&lt;=75),Inputs!$C$138*AL38,0)</f>
        <v>0</v>
      </c>
      <c r="AM40" s="17">
        <f>IF(AND(AM$3&gt;65,AM$3&lt;=75),Inputs!$C$138*AM38,0)</f>
        <v>0</v>
      </c>
    </row>
    <row r="41" spans="1:39" x14ac:dyDescent="0.2">
      <c r="A41" s="13" t="str">
        <f>"Adjustment "&amp;Inputs!B139</f>
        <v>Adjustment from age 76</v>
      </c>
      <c r="B41" s="18"/>
      <c r="C41" s="17">
        <f>IF(C$3&gt;75,Inputs!$C$139*C$38,0)</f>
        <v>0</v>
      </c>
      <c r="D41" s="17">
        <f>IF(D$3&gt;75,Inputs!$C$139*D$38,0)</f>
        <v>0</v>
      </c>
      <c r="E41" s="17">
        <f>IF(E$3&gt;75,Inputs!$C$139*E$38,0)</f>
        <v>0</v>
      </c>
      <c r="F41" s="17">
        <f>IF(F$3&gt;75,Inputs!$C$139*F$38,0)</f>
        <v>0</v>
      </c>
      <c r="G41" s="17">
        <f>IF(G$3&gt;75,Inputs!$C$139*G$38,0)</f>
        <v>0</v>
      </c>
      <c r="H41" s="17">
        <f>IF(H$3&gt;75,Inputs!$C$139*H$38,0)</f>
        <v>0</v>
      </c>
      <c r="I41" s="17">
        <f>IF(I$3&gt;75,Inputs!$C$139*I$38,0)</f>
        <v>0</v>
      </c>
      <c r="J41" s="17">
        <f>IF(J$3&gt;75,Inputs!$C$139*J$38,0)</f>
        <v>0</v>
      </c>
      <c r="K41" s="17">
        <f>IF(K$3&gt;75,Inputs!$C$139*K$38,0)</f>
        <v>0</v>
      </c>
      <c r="L41" s="17">
        <f>IF(L$3&gt;75,Inputs!$C$139*L$38,0)</f>
        <v>0</v>
      </c>
      <c r="M41" s="17">
        <f>IF(M$3&gt;75,Inputs!$C$139*M$38,0)</f>
        <v>0</v>
      </c>
      <c r="N41" s="17">
        <f>IF(N$3&gt;75,Inputs!$C$139*N$38,0)</f>
        <v>0</v>
      </c>
      <c r="O41" s="17">
        <f>IF(O$3&gt;75,Inputs!$C$139*O$38,0)</f>
        <v>0</v>
      </c>
      <c r="P41" s="17">
        <f>IF(P$3&gt;75,Inputs!$C$139*P$38,0)</f>
        <v>0</v>
      </c>
      <c r="Q41" s="17">
        <f>IF(Q$3&gt;75,Inputs!$C$139*Q$38,0)</f>
        <v>0</v>
      </c>
      <c r="R41" s="17">
        <f>IF(R$3&gt;75,Inputs!$C$139*R$38,0)</f>
        <v>0</v>
      </c>
      <c r="S41" s="17">
        <f>IF(S$3&gt;75,Inputs!$C$139*S$38,0)</f>
        <v>0</v>
      </c>
      <c r="T41" s="17">
        <f>IF(T$3&gt;75,Inputs!$C$139*T$38,0)</f>
        <v>0</v>
      </c>
      <c r="U41" s="17">
        <f>IF(U$3&gt;75,Inputs!$C$139*U$38,0)</f>
        <v>0</v>
      </c>
      <c r="V41" s="17">
        <f>IF(V$3&gt;75,Inputs!$C$139*V$38,0)</f>
        <v>0</v>
      </c>
      <c r="W41" s="17">
        <f>IF(W$3&gt;75,Inputs!$C$139*W$38,0)</f>
        <v>0</v>
      </c>
      <c r="X41" s="17">
        <f>IF(X$3&gt;75,Inputs!$C$139*X$38,0)</f>
        <v>0</v>
      </c>
      <c r="Y41" s="17">
        <f>IF(Y$3&gt;75,Inputs!$C$139*Y$38,0)</f>
        <v>0</v>
      </c>
      <c r="Z41" s="17">
        <f>IF(Z$3&gt;75,Inputs!$C$139*Z$38,0)</f>
        <v>0</v>
      </c>
      <c r="AA41" s="17">
        <f>IF(AA$3&gt;75,Inputs!$C$139*AA$38,0)</f>
        <v>0</v>
      </c>
      <c r="AB41" s="17">
        <f>IF(AB$3&gt;75,Inputs!$C$139*AB$38,0)</f>
        <v>0</v>
      </c>
      <c r="AC41" s="17">
        <f>IF(AC$3&gt;75,Inputs!$C$139*AC$38,0)</f>
        <v>0</v>
      </c>
      <c r="AD41" s="17">
        <f>IF(AD$3&gt;75,Inputs!$C$139*AD$38,0)</f>
        <v>-23373.600219596548</v>
      </c>
      <c r="AE41" s="17">
        <f>IF(AE$3&gt;75,Inputs!$C$139*AE$38,0)</f>
        <v>-23957.940225086459</v>
      </c>
      <c r="AF41" s="17">
        <f>IF(AF$3&gt;75,Inputs!$C$139*AF$38,0)</f>
        <v>-24556.888730713625</v>
      </c>
      <c r="AG41" s="17">
        <f>IF(AG$3&gt;75,Inputs!$C$139*AG$38,0)</f>
        <v>-25170.810948981456</v>
      </c>
      <c r="AH41" s="17">
        <f>IF(AH$3&gt;75,Inputs!$C$139*AH$38,0)</f>
        <v>-25800.081222706001</v>
      </c>
      <c r="AI41" s="17">
        <f>IF(AI$3&gt;75,Inputs!$C$139*AI$38,0)</f>
        <v>-26445.083253273642</v>
      </c>
      <c r="AJ41" s="17">
        <f>IF(AJ$3&gt;75,Inputs!$C$139*AJ$38,0)</f>
        <v>-27106.210334605486</v>
      </c>
      <c r="AK41" s="17">
        <f>IF(AK$3&gt;75,Inputs!$C$139*AK$38,0)</f>
        <v>-27783.865592970626</v>
      </c>
      <c r="AL41" s="17">
        <f>IF(AL$3&gt;75,Inputs!$C$139*AL$38,0)</f>
        <v>-28478.462232794882</v>
      </c>
      <c r="AM41" s="17">
        <f>IF(AM$3&gt;75,Inputs!$C$139*AM$38,0)</f>
        <v>-29190.42378861476</v>
      </c>
    </row>
    <row r="42" spans="1:39" x14ac:dyDescent="0.2">
      <c r="A42" s="14" t="s">
        <v>66</v>
      </c>
      <c r="B42" s="18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</row>
    <row r="43" spans="1:39" x14ac:dyDescent="0.2">
      <c r="A43" s="13" t="str">
        <f>TEXT(Inputs!$C$117,"")</f>
        <v>Wedding</v>
      </c>
      <c r="B43" s="18"/>
      <c r="C43" s="17">
        <f ca="1">IF(C$2=Inputs!$C119,Inputs!$C118,0)*(1+inf)^B$1</f>
        <v>0</v>
      </c>
      <c r="D43" s="17">
        <f ca="1">IF(D$2=Inputs!$C119,Inputs!$C118,0)*(1+inf)^C$1</f>
        <v>41000</v>
      </c>
      <c r="E43" s="17">
        <f ca="1">IF(E$2=Inputs!$C119,Inputs!$C118,0)*(1+inf)^D$1</f>
        <v>0</v>
      </c>
      <c r="F43" s="17">
        <f ca="1">IF(F$2=Inputs!$C119,Inputs!$C118,0)*(1+inf)^E$1</f>
        <v>0</v>
      </c>
      <c r="G43" s="17">
        <f ca="1">IF(G$2=Inputs!$C119,Inputs!$C118,0)*(1+inf)^F$1</f>
        <v>0</v>
      </c>
      <c r="H43" s="17">
        <f ca="1">IF(H$2=Inputs!$C119,Inputs!$C118,0)*(1+inf)^G$1</f>
        <v>0</v>
      </c>
      <c r="I43" s="17">
        <f ca="1">IF(I$2=Inputs!$C119,Inputs!$C118,0)*(1+inf)^H$1</f>
        <v>0</v>
      </c>
      <c r="J43" s="17">
        <f ca="1">IF(J$2=Inputs!$C119,Inputs!$C118,0)*(1+inf)^I$1</f>
        <v>0</v>
      </c>
      <c r="K43" s="17">
        <f ca="1">IF(K$2=Inputs!$C119,Inputs!$C118,0)*(1+inf)^J$1</f>
        <v>0</v>
      </c>
      <c r="L43" s="17">
        <f ca="1">IF(L$2=Inputs!$C119,Inputs!$C118,0)*(1+inf)^K$1</f>
        <v>0</v>
      </c>
      <c r="M43" s="17">
        <f ca="1">IF(M$2=Inputs!$C119,Inputs!$C118,0)*(1+inf)^L$1</f>
        <v>0</v>
      </c>
      <c r="N43" s="17">
        <f ca="1">IF(N$2=Inputs!$C119,Inputs!$C118,0)*(1+inf)^M$1</f>
        <v>0</v>
      </c>
      <c r="O43" s="17">
        <f ca="1">IF(O$2=Inputs!$C119,Inputs!$C118,0)*(1+inf)^N$1</f>
        <v>0</v>
      </c>
      <c r="P43" s="17">
        <f ca="1">IF(P$2=Inputs!$C119,Inputs!$C118,0)*(1+inf)^O$1</f>
        <v>0</v>
      </c>
      <c r="Q43" s="17">
        <f ca="1">IF(Q$2=Inputs!$C119,Inputs!$C118,0)*(1+inf)^P$1</f>
        <v>0</v>
      </c>
      <c r="R43" s="17">
        <f ca="1">IF(R$2=Inputs!$C119,Inputs!$C118,0)*(1+inf)^Q$1</f>
        <v>0</v>
      </c>
      <c r="S43" s="17">
        <f ca="1">IF(S$2=Inputs!$C119,Inputs!$C118,0)*(1+inf)^R$1</f>
        <v>0</v>
      </c>
      <c r="T43" s="17">
        <f ca="1">IF(T$2=Inputs!$C119,Inputs!$C118,0)*(1+inf)^S$1</f>
        <v>0</v>
      </c>
      <c r="U43" s="17">
        <f ca="1">IF(U$2=Inputs!$C119,Inputs!$C118,0)*(1+inf)^T$1</f>
        <v>0</v>
      </c>
      <c r="V43" s="17">
        <f ca="1">IF(V$2=Inputs!$C119,Inputs!$C118,0)*(1+inf)^U$1</f>
        <v>0</v>
      </c>
      <c r="W43" s="17">
        <f ca="1">IF(W$2=Inputs!$C119,Inputs!$C118,0)*(1+inf)^V$1</f>
        <v>0</v>
      </c>
      <c r="X43" s="17">
        <f ca="1">IF(X$2=Inputs!$C119,Inputs!$C118,0)*(1+inf)^W$1</f>
        <v>0</v>
      </c>
      <c r="Y43" s="17">
        <f ca="1">IF(Y$2=Inputs!$C119,Inputs!$C118,0)*(1+inf)^X$1</f>
        <v>0</v>
      </c>
      <c r="Z43" s="17">
        <f ca="1">IF(Z$2=Inputs!$C119,Inputs!$C118,0)*(1+inf)^Y$1</f>
        <v>0</v>
      </c>
      <c r="AA43" s="17">
        <f ca="1">IF(AA$2=Inputs!$C119,Inputs!$C118,0)*(1+inf)^Z$1</f>
        <v>0</v>
      </c>
      <c r="AB43" s="17">
        <f ca="1">IF(AB$2=Inputs!$C119,Inputs!$C118,0)*(1+inf)^AA$1</f>
        <v>0</v>
      </c>
      <c r="AC43" s="17">
        <f ca="1">IF(AC$2=Inputs!$C119,Inputs!$C118,0)*(1+inf)^AB$1</f>
        <v>0</v>
      </c>
      <c r="AD43" s="17">
        <f ca="1">IF(AD$2=Inputs!$C119,Inputs!$C118,0)*(1+inf)^AC$1</f>
        <v>0</v>
      </c>
      <c r="AE43" s="17">
        <f ca="1">IF(AE$2=Inputs!$C119,Inputs!$C118,0)*(1+inf)^AD$1</f>
        <v>0</v>
      </c>
      <c r="AF43" s="17">
        <f ca="1">IF(AF$2=Inputs!$C119,Inputs!$C118,0)*(1+inf)^AE$1</f>
        <v>0</v>
      </c>
      <c r="AG43" s="17">
        <f ca="1">IF(AG$2=Inputs!$C119,Inputs!$C118,0)*(1+inf)^AF$1</f>
        <v>0</v>
      </c>
      <c r="AH43" s="17">
        <f ca="1">IF(AH$2=Inputs!$C119,Inputs!$C118,0)*(1+inf)^AG$1</f>
        <v>0</v>
      </c>
      <c r="AI43" s="17">
        <f ca="1">IF(AI$2=Inputs!$C119,Inputs!$C118,0)*(1+inf)^AH$1</f>
        <v>0</v>
      </c>
      <c r="AJ43" s="17">
        <f ca="1">IF(AJ$2=Inputs!$C119,Inputs!$C118,0)*(1+inf)^AI$1</f>
        <v>0</v>
      </c>
      <c r="AK43" s="17">
        <f ca="1">IF(AK$2=Inputs!$C119,Inputs!$C118,0)*(1+inf)^AJ$1</f>
        <v>0</v>
      </c>
      <c r="AL43" s="17">
        <f ca="1">IF(AL$2=Inputs!$C119,Inputs!$C118,0)*(1+inf)^AK$1</f>
        <v>0</v>
      </c>
      <c r="AM43" s="17">
        <f ca="1">IF(AM$2=Inputs!$C119,Inputs!$C118,0)*(1+inf)^AL$1</f>
        <v>0</v>
      </c>
    </row>
    <row r="44" spans="1:39" x14ac:dyDescent="0.2">
      <c r="A44" s="13" t="str">
        <f>TEXT(Inputs!$C$122,"")</f>
        <v>Replace AC</v>
      </c>
      <c r="B44" s="18"/>
      <c r="C44" s="17">
        <f ca="1">IF(C$2=Inputs!$C124,Inputs!$C123,0)*(1+inf)^B$1</f>
        <v>0</v>
      </c>
      <c r="D44" s="17">
        <f ca="1">IF(D$2=Inputs!$C124,Inputs!$C123,0)*(1+inf)^C$1</f>
        <v>0</v>
      </c>
      <c r="E44" s="17">
        <f ca="1">IF(E$2=Inputs!$C124,Inputs!$C123,0)*(1+inf)^D$1</f>
        <v>0</v>
      </c>
      <c r="F44" s="17">
        <f ca="1">IF(F$2=Inputs!$C124,Inputs!$C123,0)*(1+inf)^E$1</f>
        <v>0</v>
      </c>
      <c r="G44" s="17">
        <f ca="1">IF(G$2=Inputs!$C124,Inputs!$C123,0)*(1+inf)^F$1</f>
        <v>0</v>
      </c>
      <c r="H44" s="17">
        <f ca="1">IF(H$2=Inputs!$C124,Inputs!$C123,0)*(1+inf)^G$1</f>
        <v>0</v>
      </c>
      <c r="I44" s="17">
        <f ca="1">IF(I$2=Inputs!$C124,Inputs!$C123,0)*(1+inf)^H$1</f>
        <v>0</v>
      </c>
      <c r="J44" s="17">
        <f ca="1">IF(J$2=Inputs!$C124,Inputs!$C123,0)*(1+inf)^I$1</f>
        <v>0</v>
      </c>
      <c r="K44" s="17">
        <f ca="1">IF(K$2=Inputs!$C124,Inputs!$C123,0)*(1+inf)^J$1</f>
        <v>30460.072437747942</v>
      </c>
      <c r="L44" s="17">
        <f ca="1">IF(L$2=Inputs!$C124,Inputs!$C123,0)*(1+inf)^K$1</f>
        <v>0</v>
      </c>
      <c r="M44" s="17">
        <f ca="1">IF(M$2=Inputs!$C124,Inputs!$C123,0)*(1+inf)^L$1</f>
        <v>0</v>
      </c>
      <c r="N44" s="17">
        <f ca="1">IF(N$2=Inputs!$C124,Inputs!$C123,0)*(1+inf)^M$1</f>
        <v>0</v>
      </c>
      <c r="O44" s="17">
        <f ca="1">IF(O$2=Inputs!$C124,Inputs!$C123,0)*(1+inf)^N$1</f>
        <v>0</v>
      </c>
      <c r="P44" s="17">
        <f ca="1">IF(P$2=Inputs!$C124,Inputs!$C123,0)*(1+inf)^O$1</f>
        <v>0</v>
      </c>
      <c r="Q44" s="17">
        <f ca="1">IF(Q$2=Inputs!$C124,Inputs!$C123,0)*(1+inf)^P$1</f>
        <v>0</v>
      </c>
      <c r="R44" s="17">
        <f ca="1">IF(R$2=Inputs!$C124,Inputs!$C123,0)*(1+inf)^Q$1</f>
        <v>0</v>
      </c>
      <c r="S44" s="17">
        <f ca="1">IF(S$2=Inputs!$C124,Inputs!$C123,0)*(1+inf)^R$1</f>
        <v>0</v>
      </c>
      <c r="T44" s="17">
        <f ca="1">IF(T$2=Inputs!$C124,Inputs!$C123,0)*(1+inf)^S$1</f>
        <v>0</v>
      </c>
      <c r="U44" s="17">
        <f ca="1">IF(U$2=Inputs!$C124,Inputs!$C123,0)*(1+inf)^T$1</f>
        <v>0</v>
      </c>
      <c r="V44" s="17">
        <f ca="1">IF(V$2=Inputs!$C124,Inputs!$C123,0)*(1+inf)^U$1</f>
        <v>0</v>
      </c>
      <c r="W44" s="17">
        <f ca="1">IF(W$2=Inputs!$C124,Inputs!$C123,0)*(1+inf)^V$1</f>
        <v>0</v>
      </c>
      <c r="X44" s="17">
        <f ca="1">IF(X$2=Inputs!$C124,Inputs!$C123,0)*(1+inf)^W$1</f>
        <v>0</v>
      </c>
      <c r="Y44" s="17">
        <f ca="1">IF(Y$2=Inputs!$C124,Inputs!$C123,0)*(1+inf)^X$1</f>
        <v>0</v>
      </c>
      <c r="Z44" s="17">
        <f ca="1">IF(Z$2=Inputs!$C124,Inputs!$C123,0)*(1+inf)^Y$1</f>
        <v>0</v>
      </c>
      <c r="AA44" s="17">
        <f ca="1">IF(AA$2=Inputs!$C124,Inputs!$C123,0)*(1+inf)^Z$1</f>
        <v>0</v>
      </c>
      <c r="AB44" s="17">
        <f ca="1">IF(AB$2=Inputs!$C124,Inputs!$C123,0)*(1+inf)^AA$1</f>
        <v>0</v>
      </c>
      <c r="AC44" s="17">
        <f ca="1">IF(AC$2=Inputs!$C124,Inputs!$C123,0)*(1+inf)^AB$1</f>
        <v>0</v>
      </c>
      <c r="AD44" s="17">
        <f ca="1">IF(AD$2=Inputs!$C124,Inputs!$C123,0)*(1+inf)^AC$1</f>
        <v>0</v>
      </c>
      <c r="AE44" s="17">
        <f ca="1">IF(AE$2=Inputs!$C124,Inputs!$C123,0)*(1+inf)^AD$1</f>
        <v>0</v>
      </c>
      <c r="AF44" s="17">
        <f ca="1">IF(AF$2=Inputs!$C124,Inputs!$C123,0)*(1+inf)^AE$1</f>
        <v>0</v>
      </c>
      <c r="AG44" s="17">
        <f ca="1">IF(AG$2=Inputs!$C124,Inputs!$C123,0)*(1+inf)^AF$1</f>
        <v>0</v>
      </c>
      <c r="AH44" s="17">
        <f ca="1">IF(AH$2=Inputs!$C124,Inputs!$C123,0)*(1+inf)^AG$1</f>
        <v>0</v>
      </c>
      <c r="AI44" s="17">
        <f ca="1">IF(AI$2=Inputs!$C124,Inputs!$C123,0)*(1+inf)^AH$1</f>
        <v>0</v>
      </c>
      <c r="AJ44" s="17">
        <f ca="1">IF(AJ$2=Inputs!$C124,Inputs!$C123,0)*(1+inf)^AI$1</f>
        <v>0</v>
      </c>
      <c r="AK44" s="17">
        <f ca="1">IF(AK$2=Inputs!$C124,Inputs!$C123,0)*(1+inf)^AJ$1</f>
        <v>0</v>
      </c>
      <c r="AL44" s="17">
        <f ca="1">IF(AL$2=Inputs!$C124,Inputs!$C123,0)*(1+inf)^AK$1</f>
        <v>0</v>
      </c>
      <c r="AM44" s="17">
        <f ca="1">IF(AM$2=Inputs!$C124,Inputs!$C123,0)*(1+inf)^AL$1</f>
        <v>0</v>
      </c>
    </row>
    <row r="45" spans="1:39" x14ac:dyDescent="0.2">
      <c r="A45" s="13" t="str">
        <f>TEXT(Inputs!$C$127,"")</f>
        <v>New Car</v>
      </c>
      <c r="B45" s="18"/>
      <c r="C45" s="17">
        <f ca="1">IF(C$2=Inputs!$C129,Inputs!$C128,0)*(1+inf)^B$1</f>
        <v>0</v>
      </c>
      <c r="D45" s="17">
        <f ca="1">IF(D$2=Inputs!$C129,Inputs!$C128,0)*(1+inf)^C$1</f>
        <v>0</v>
      </c>
      <c r="E45" s="17">
        <f ca="1">IF(E$2=Inputs!$C129,Inputs!$C128,0)*(1+inf)^D$1</f>
        <v>0</v>
      </c>
      <c r="F45" s="17">
        <f ca="1">IF(F$2=Inputs!$C129,Inputs!$C128,0)*(1+inf)^E$1</f>
        <v>0</v>
      </c>
      <c r="G45" s="17">
        <f ca="1">IF(G$2=Inputs!$C129,Inputs!$C128,0)*(1+inf)^F$1</f>
        <v>38633.451171874993</v>
      </c>
      <c r="H45" s="17">
        <f ca="1">IF(H$2=Inputs!$C129,Inputs!$C128,0)*(1+inf)^G$1</f>
        <v>0</v>
      </c>
      <c r="I45" s="17">
        <f ca="1">IF(I$2=Inputs!$C129,Inputs!$C128,0)*(1+inf)^H$1</f>
        <v>0</v>
      </c>
      <c r="J45" s="17">
        <f ca="1">IF(J$2=Inputs!$C129,Inputs!$C128,0)*(1+inf)^I$1</f>
        <v>0</v>
      </c>
      <c r="K45" s="17">
        <f ca="1">IF(K$2=Inputs!$C129,Inputs!$C128,0)*(1+inf)^J$1</f>
        <v>0</v>
      </c>
      <c r="L45" s="17">
        <f ca="1">IF(L$2=Inputs!$C129,Inputs!$C128,0)*(1+inf)^K$1</f>
        <v>0</v>
      </c>
      <c r="M45" s="17">
        <f ca="1">IF(M$2=Inputs!$C129,Inputs!$C128,0)*(1+inf)^L$1</f>
        <v>0</v>
      </c>
      <c r="N45" s="17">
        <f ca="1">IF(N$2=Inputs!$C129,Inputs!$C128,0)*(1+inf)^M$1</f>
        <v>0</v>
      </c>
      <c r="O45" s="17">
        <f ca="1">IF(O$2=Inputs!$C129,Inputs!$C128,0)*(1+inf)^N$1</f>
        <v>0</v>
      </c>
      <c r="P45" s="17">
        <f ca="1">IF(P$2=Inputs!$C129,Inputs!$C128,0)*(1+inf)^O$1</f>
        <v>0</v>
      </c>
      <c r="Q45" s="17">
        <f ca="1">IF(Q$2=Inputs!$C129,Inputs!$C128,0)*(1+inf)^P$1</f>
        <v>0</v>
      </c>
      <c r="R45" s="17">
        <f ca="1">IF(R$2=Inputs!$C129,Inputs!$C128,0)*(1+inf)^Q$1</f>
        <v>0</v>
      </c>
      <c r="S45" s="17">
        <f ca="1">IF(S$2=Inputs!$C129,Inputs!$C128,0)*(1+inf)^R$1</f>
        <v>0</v>
      </c>
      <c r="T45" s="17">
        <f ca="1">IF(T$2=Inputs!$C129,Inputs!$C128,0)*(1+inf)^S$1</f>
        <v>0</v>
      </c>
      <c r="U45" s="17">
        <f ca="1">IF(U$2=Inputs!$C129,Inputs!$C128,0)*(1+inf)^T$1</f>
        <v>0</v>
      </c>
      <c r="V45" s="17">
        <f ca="1">IF(V$2=Inputs!$C129,Inputs!$C128,0)*(1+inf)^U$1</f>
        <v>0</v>
      </c>
      <c r="W45" s="17">
        <f ca="1">IF(W$2=Inputs!$C129,Inputs!$C128,0)*(1+inf)^V$1</f>
        <v>0</v>
      </c>
      <c r="X45" s="17">
        <f ca="1">IF(X$2=Inputs!$C129,Inputs!$C128,0)*(1+inf)^W$1</f>
        <v>0</v>
      </c>
      <c r="Y45" s="17">
        <f ca="1">IF(Y$2=Inputs!$C129,Inputs!$C128,0)*(1+inf)^X$1</f>
        <v>0</v>
      </c>
      <c r="Z45" s="17">
        <f ca="1">IF(Z$2=Inputs!$C129,Inputs!$C128,0)*(1+inf)^Y$1</f>
        <v>0</v>
      </c>
      <c r="AA45" s="17">
        <f ca="1">IF(AA$2=Inputs!$C129,Inputs!$C128,0)*(1+inf)^Z$1</f>
        <v>0</v>
      </c>
      <c r="AB45" s="17">
        <f ca="1">IF(AB$2=Inputs!$C129,Inputs!$C128,0)*(1+inf)^AA$1</f>
        <v>0</v>
      </c>
      <c r="AC45" s="17">
        <f ca="1">IF(AC$2=Inputs!$C129,Inputs!$C128,0)*(1+inf)^AB$1</f>
        <v>0</v>
      </c>
      <c r="AD45" s="17">
        <f ca="1">IF(AD$2=Inputs!$C129,Inputs!$C128,0)*(1+inf)^AC$1</f>
        <v>0</v>
      </c>
      <c r="AE45" s="17">
        <f ca="1">IF(AE$2=Inputs!$C129,Inputs!$C128,0)*(1+inf)^AD$1</f>
        <v>0</v>
      </c>
      <c r="AF45" s="17">
        <f ca="1">IF(AF$2=Inputs!$C129,Inputs!$C128,0)*(1+inf)^AE$1</f>
        <v>0</v>
      </c>
      <c r="AG45" s="17">
        <f ca="1">IF(AG$2=Inputs!$C129,Inputs!$C128,0)*(1+inf)^AF$1</f>
        <v>0</v>
      </c>
      <c r="AH45" s="17">
        <f ca="1">IF(AH$2=Inputs!$C129,Inputs!$C128,0)*(1+inf)^AG$1</f>
        <v>0</v>
      </c>
      <c r="AI45" s="17">
        <f ca="1">IF(AI$2=Inputs!$C129,Inputs!$C128,0)*(1+inf)^AH$1</f>
        <v>0</v>
      </c>
      <c r="AJ45" s="17">
        <f ca="1">IF(AJ$2=Inputs!$C129,Inputs!$C128,0)*(1+inf)^AI$1</f>
        <v>0</v>
      </c>
      <c r="AK45" s="17">
        <f ca="1">IF(AK$2=Inputs!$C129,Inputs!$C128,0)*(1+inf)^AJ$1</f>
        <v>0</v>
      </c>
      <c r="AL45" s="17">
        <f ca="1">IF(AL$2=Inputs!$C129,Inputs!$C128,0)*(1+inf)^AK$1</f>
        <v>0</v>
      </c>
      <c r="AM45" s="17">
        <f ca="1">IF(AM$2=Inputs!$C129,Inputs!$C128,0)*(1+inf)^AL$1</f>
        <v>0</v>
      </c>
    </row>
    <row r="46" spans="1:39" x14ac:dyDescent="0.2">
      <c r="A46" s="14"/>
      <c r="C46" s="19">
        <f t="shared" ref="C46:G46" ca="1" si="4">SUM(C20:C45)</f>
        <v>122416</v>
      </c>
      <c r="D46" s="19">
        <f t="shared" ca="1" si="4"/>
        <v>158712.36978239132</v>
      </c>
      <c r="E46" s="19">
        <f t="shared" ca="1" si="4"/>
        <v>107810.19436134204</v>
      </c>
      <c r="F46" s="19">
        <f t="shared" ca="1" si="4"/>
        <v>105291.29803352366</v>
      </c>
      <c r="G46" s="19">
        <f t="shared" ca="1" si="4"/>
        <v>139608.62003906249</v>
      </c>
      <c r="H46" s="19">
        <f t="shared" ref="H46:AM46" ca="1" si="5">SUM(H20:H45)</f>
        <v>102749.54808886716</v>
      </c>
      <c r="I46" s="19">
        <f t="shared" ca="1" si="5"/>
        <v>104568.28679108885</v>
      </c>
      <c r="J46" s="19">
        <f t="shared" ca="1" si="5"/>
        <v>106432.49396086606</v>
      </c>
      <c r="K46" s="19">
        <f t="shared" ca="1" si="5"/>
        <v>138803.37874763564</v>
      </c>
      <c r="L46" s="19">
        <f t="shared" ca="1" si="5"/>
        <v>110301.88896763489</v>
      </c>
      <c r="M46" s="19">
        <f t="shared" ca="1" si="5"/>
        <v>112309.43619182575</v>
      </c>
      <c r="N46" s="19">
        <f t="shared" ca="1" si="5"/>
        <v>99945.136897188553</v>
      </c>
      <c r="O46" s="19">
        <f t="shared" ca="1" si="5"/>
        <v>86476.351399036925</v>
      </c>
      <c r="P46" s="19">
        <f t="shared" ca="1" si="5"/>
        <v>88638.260184012848</v>
      </c>
      <c r="Q46" s="19">
        <f t="shared" ca="1" si="5"/>
        <v>90854.21668861316</v>
      </c>
      <c r="R46" s="19">
        <f t="shared" ca="1" si="5"/>
        <v>93125.572105828513</v>
      </c>
      <c r="S46" s="19">
        <f t="shared" ca="1" si="5"/>
        <v>95453.711408474221</v>
      </c>
      <c r="T46" s="19">
        <f t="shared" ca="1" si="5"/>
        <v>88710.344626623584</v>
      </c>
      <c r="U46" s="19">
        <f t="shared" ca="1" si="5"/>
        <v>90928.103242289188</v>
      </c>
      <c r="V46" s="19">
        <f t="shared" ca="1" si="5"/>
        <v>93201.305823346411</v>
      </c>
      <c r="W46" s="19">
        <f t="shared" ca="1" si="5"/>
        <v>95531.338468930058</v>
      </c>
      <c r="X46" s="19">
        <f t="shared" ca="1" si="5"/>
        <v>97919.621930653302</v>
      </c>
      <c r="Y46" s="19">
        <f t="shared" ca="1" si="5"/>
        <v>100367.61247891962</v>
      </c>
      <c r="Z46" s="19">
        <f t="shared" ca="1" si="5"/>
        <v>102876.80279089263</v>
      </c>
      <c r="AA46" s="19">
        <f t="shared" ca="1" si="5"/>
        <v>105448.72286066494</v>
      </c>
      <c r="AB46" s="19">
        <f t="shared" ca="1" si="5"/>
        <v>108084.94093218155</v>
      </c>
      <c r="AC46" s="19">
        <f t="shared" ca="1" si="5"/>
        <v>110787.06445548608</v>
      </c>
      <c r="AD46" s="19">
        <f t="shared" ca="1" si="5"/>
        <v>101869.94095707496</v>
      </c>
      <c r="AE46" s="19">
        <f t="shared" ca="1" si="5"/>
        <v>104416.68948100181</v>
      </c>
      <c r="AF46" s="19">
        <f t="shared" ca="1" si="5"/>
        <v>107027.10671802686</v>
      </c>
      <c r="AG46" s="19">
        <f t="shared" ca="1" si="5"/>
        <v>109702.7843859775</v>
      </c>
      <c r="AH46" s="19">
        <f t="shared" ca="1" si="5"/>
        <v>112445.35399562697</v>
      </c>
      <c r="AI46" s="19">
        <f t="shared" ca="1" si="5"/>
        <v>115256.48784551762</v>
      </c>
      <c r="AJ46" s="19">
        <f t="shared" ca="1" si="5"/>
        <v>118137.90004165558</v>
      </c>
      <c r="AK46" s="19">
        <f t="shared" ca="1" si="5"/>
        <v>121091.34754269695</v>
      </c>
      <c r="AL46" s="19">
        <f t="shared" ca="1" si="5"/>
        <v>124118.63123126436</v>
      </c>
      <c r="AM46" s="19">
        <f t="shared" ca="1" si="5"/>
        <v>127221.59701204598</v>
      </c>
    </row>
    <row r="47" spans="1:39" x14ac:dyDescent="0.2">
      <c r="A47" s="14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</row>
    <row r="48" spans="1:39" ht="19" x14ac:dyDescent="0.25">
      <c r="A48" s="25" t="s">
        <v>20</v>
      </c>
      <c r="C48" s="17">
        <f t="shared" ref="C48:G48" ca="1" si="6">C19-C46</f>
        <v>214578.8</v>
      </c>
      <c r="D48" s="17">
        <f t="shared" ca="1" si="6"/>
        <v>-99055.35440467122</v>
      </c>
      <c r="E48" s="17">
        <f t="shared" ca="1" si="6"/>
        <v>-48704.899650975596</v>
      </c>
      <c r="F48" s="17">
        <f t="shared" ca="1" si="6"/>
        <v>-37322.910655333879</v>
      </c>
      <c r="G48" s="17">
        <f t="shared" ca="1" si="6"/>
        <v>-80359.516930237776</v>
      </c>
      <c r="H48" s="17">
        <f t="shared" ref="H48:AM48" ca="1" si="7">H19-H46</f>
        <v>-43642.812557850521</v>
      </c>
      <c r="I48" s="17">
        <f t="shared" ca="1" si="7"/>
        <v>-9902.2803914582182</v>
      </c>
      <c r="J48" s="17">
        <f t="shared" ca="1" si="7"/>
        <v>-39755.19096813949</v>
      </c>
      <c r="K48" s="17">
        <f t="shared" ca="1" si="7"/>
        <v>-71840.027254941029</v>
      </c>
      <c r="L48" s="17">
        <f t="shared" ca="1" si="7"/>
        <v>-43044.642611836302</v>
      </c>
      <c r="M48" s="17">
        <f t="shared" ca="1" si="7"/>
        <v>-44369.275712074959</v>
      </c>
      <c r="N48" s="17">
        <f t="shared" ca="1" si="7"/>
        <v>-37500.296440886217</v>
      </c>
      <c r="O48" s="17">
        <f t="shared" ca="1" si="7"/>
        <v>-29878.982177923681</v>
      </c>
      <c r="P48" s="17">
        <f t="shared" ca="1" si="7"/>
        <v>-31203.850863068044</v>
      </c>
      <c r="Q48" s="17">
        <f t="shared" ca="1" si="7"/>
        <v>-32568.233426037965</v>
      </c>
      <c r="R48" s="17">
        <f t="shared" ca="1" si="7"/>
        <v>-33973.035862019424</v>
      </c>
      <c r="S48" s="17">
        <f t="shared" ca="1" si="7"/>
        <v>-24146.212963219499</v>
      </c>
      <c r="T48" s="17">
        <f t="shared" ca="1" si="7"/>
        <v>-15812.27574728633</v>
      </c>
      <c r="U48" s="17">
        <f t="shared" ca="1" si="7"/>
        <v>-15900.152981365973</v>
      </c>
      <c r="V48" s="17">
        <f t="shared" ca="1" si="7"/>
        <v>-15981.004256509477</v>
      </c>
      <c r="W48" s="17">
        <f t="shared" ca="1" si="7"/>
        <v>-16054.377237049848</v>
      </c>
      <c r="X48" s="17">
        <f t="shared" ca="1" si="7"/>
        <v>-16119.799978327574</v>
      </c>
      <c r="Y48" s="17">
        <f t="shared" ca="1" si="7"/>
        <v>-16176.780187447774</v>
      </c>
      <c r="Z48" s="17">
        <f t="shared" ca="1" si="7"/>
        <v>-16224.804458085884</v>
      </c>
      <c r="AA48" s="17">
        <f t="shared" ca="1" si="7"/>
        <v>-16263.337478468486</v>
      </c>
      <c r="AB48" s="17">
        <f t="shared" ca="1" si="7"/>
        <v>-16291.821211628543</v>
      </c>
      <c r="AC48" s="17">
        <f t="shared" ca="1" si="7"/>
        <v>-16309.674047003544</v>
      </c>
      <c r="AD48" s="17">
        <f t="shared" ca="1" si="7"/>
        <v>-4629.4898126172193</v>
      </c>
      <c r="AE48" s="17">
        <f t="shared" ca="1" si="7"/>
        <v>-4332.067302896583</v>
      </c>
      <c r="AF48" s="17">
        <f t="shared" ca="1" si="7"/>
        <v>-4014.814437781868</v>
      </c>
      <c r="AG48" s="17">
        <f t="shared" ca="1" si="7"/>
        <v>-3676.8636146086501</v>
      </c>
      <c r="AH48" s="17">
        <f t="shared" ca="1" si="7"/>
        <v>-3317.3143853326037</v>
      </c>
      <c r="AI48" s="17">
        <f t="shared" ca="1" si="7"/>
        <v>-2935.2323007353843</v>
      </c>
      <c r="AJ48" s="17">
        <f t="shared" ca="1" si="7"/>
        <v>-2529.6477156963374</v>
      </c>
      <c r="AK48" s="17">
        <f t="shared" ca="1" si="7"/>
        <v>-2099.5545542545879</v>
      </c>
      <c r="AL48" s="17">
        <f t="shared" ca="1" si="7"/>
        <v>-1643.909033146716</v>
      </c>
      <c r="AM48" s="17">
        <f t="shared" ca="1" si="7"/>
        <v>-1161.6283424623107</v>
      </c>
    </row>
    <row r="49" spans="1:39" x14ac:dyDescent="0.2">
      <c r="A49" s="14" t="s">
        <v>11</v>
      </c>
      <c r="C49" s="17">
        <f>Inputs!C8</f>
        <v>500000</v>
      </c>
      <c r="D49" s="17">
        <f ca="1">C50</f>
        <v>714578.8</v>
      </c>
      <c r="E49" s="17">
        <f t="shared" ref="E49:AM49" ca="1" si="8">D50</f>
        <v>615523.44559532881</v>
      </c>
      <c r="F49" s="17">
        <f t="shared" ca="1" si="8"/>
        <v>566818.54594435322</v>
      </c>
      <c r="G49" s="17">
        <f t="shared" ca="1" si="8"/>
        <v>529495.63528901932</v>
      </c>
      <c r="H49" s="17">
        <f t="shared" ca="1" si="8"/>
        <v>449136.11835878156</v>
      </c>
      <c r="I49" s="17">
        <f t="shared" ca="1" si="8"/>
        <v>405493.30580093106</v>
      </c>
      <c r="J49" s="17">
        <f t="shared" ca="1" si="8"/>
        <v>395591.02540947287</v>
      </c>
      <c r="K49" s="17">
        <f t="shared" ca="1" si="8"/>
        <v>355835.83444133337</v>
      </c>
      <c r="L49" s="17">
        <f t="shared" ca="1" si="8"/>
        <v>283995.80718639237</v>
      </c>
      <c r="M49" s="17">
        <f t="shared" ca="1" si="8"/>
        <v>240951.16457455605</v>
      </c>
      <c r="N49" s="17">
        <f t="shared" ca="1" si="8"/>
        <v>196581.88886248111</v>
      </c>
      <c r="O49" s="17">
        <f t="shared" ca="1" si="8"/>
        <v>159081.59242159489</v>
      </c>
      <c r="P49" s="17">
        <f t="shared" ca="1" si="8"/>
        <v>129202.61024367121</v>
      </c>
      <c r="Q49" s="17">
        <f t="shared" ca="1" si="8"/>
        <v>97998.759380603165</v>
      </c>
      <c r="R49" s="17">
        <f t="shared" ca="1" si="8"/>
        <v>65430.525954565201</v>
      </c>
      <c r="S49" s="17">
        <f t="shared" ca="1" si="8"/>
        <v>31457.490092545777</v>
      </c>
      <c r="T49" s="17">
        <f t="shared" ca="1" si="8"/>
        <v>7311.2771293262776</v>
      </c>
      <c r="U49" s="17">
        <f t="shared" ca="1" si="8"/>
        <v>-8500.9986179600528</v>
      </c>
      <c r="V49" s="17">
        <f t="shared" ca="1" si="8"/>
        <v>-24401.151599326025</v>
      </c>
      <c r="W49" s="17">
        <f t="shared" ca="1" si="8"/>
        <v>-40382.155855835503</v>
      </c>
      <c r="X49" s="17">
        <f t="shared" ca="1" si="8"/>
        <v>-56436.533092885351</v>
      </c>
      <c r="Y49" s="17">
        <f t="shared" ca="1" si="8"/>
        <v>-72556.333071212925</v>
      </c>
      <c r="Z49" s="17">
        <f t="shared" ca="1" si="8"/>
        <v>-88733.113258660698</v>
      </c>
      <c r="AA49" s="17">
        <f t="shared" ca="1" si="8"/>
        <v>-104957.91771674658</v>
      </c>
      <c r="AB49" s="17">
        <f t="shared" ca="1" si="8"/>
        <v>-121221.25519521507</v>
      </c>
      <c r="AC49" s="17">
        <f t="shared" ca="1" si="8"/>
        <v>-137513.07640684361</v>
      </c>
      <c r="AD49" s="17">
        <f t="shared" ca="1" si="8"/>
        <v>-153822.75045384717</v>
      </c>
      <c r="AE49" s="17">
        <f t="shared" ca="1" si="8"/>
        <v>-158452.24026646439</v>
      </c>
      <c r="AF49" s="17">
        <f t="shared" ca="1" si="8"/>
        <v>-162784.30756936097</v>
      </c>
      <c r="AG49" s="17">
        <f t="shared" ca="1" si="8"/>
        <v>-166799.12200714284</v>
      </c>
      <c r="AH49" s="17">
        <f t="shared" ca="1" si="8"/>
        <v>-170475.98562175149</v>
      </c>
      <c r="AI49" s="17">
        <f t="shared" ca="1" si="8"/>
        <v>-173793.30000708409</v>
      </c>
      <c r="AJ49" s="17">
        <f t="shared" ca="1" si="8"/>
        <v>-176728.53230781946</v>
      </c>
      <c r="AK49" s="17">
        <f t="shared" ca="1" si="8"/>
        <v>-179258.1800235158</v>
      </c>
      <c r="AL49" s="17">
        <f t="shared" ca="1" si="8"/>
        <v>-181357.7345777704</v>
      </c>
      <c r="AM49" s="17">
        <f t="shared" ca="1" si="8"/>
        <v>-183001.64361091712</v>
      </c>
    </row>
    <row r="50" spans="1:39" x14ac:dyDescent="0.2">
      <c r="A50" s="14" t="s">
        <v>12</v>
      </c>
      <c r="C50" s="19">
        <f ca="1">SUM(C48:C49)</f>
        <v>714578.8</v>
      </c>
      <c r="D50" s="19">
        <f t="shared" ref="D50:G50" ca="1" si="9">SUM(D48:D49)</f>
        <v>615523.44559532881</v>
      </c>
      <c r="E50" s="19">
        <f t="shared" ca="1" si="9"/>
        <v>566818.54594435322</v>
      </c>
      <c r="F50" s="19">
        <f t="shared" ca="1" si="9"/>
        <v>529495.63528901932</v>
      </c>
      <c r="G50" s="19">
        <f t="shared" ca="1" si="9"/>
        <v>449136.11835878156</v>
      </c>
      <c r="H50" s="19">
        <f t="shared" ref="H50:AM50" ca="1" si="10">SUM(H48:H49)</f>
        <v>405493.30580093106</v>
      </c>
      <c r="I50" s="19">
        <f t="shared" ca="1" si="10"/>
        <v>395591.02540947287</v>
      </c>
      <c r="J50" s="19">
        <f t="shared" ca="1" si="10"/>
        <v>355835.83444133337</v>
      </c>
      <c r="K50" s="19">
        <f t="shared" ca="1" si="10"/>
        <v>283995.80718639237</v>
      </c>
      <c r="L50" s="19">
        <f t="shared" ca="1" si="10"/>
        <v>240951.16457455605</v>
      </c>
      <c r="M50" s="19">
        <f t="shared" ca="1" si="10"/>
        <v>196581.88886248111</v>
      </c>
      <c r="N50" s="19">
        <f t="shared" ca="1" si="10"/>
        <v>159081.59242159489</v>
      </c>
      <c r="O50" s="19">
        <f t="shared" ca="1" si="10"/>
        <v>129202.61024367121</v>
      </c>
      <c r="P50" s="19">
        <f t="shared" ca="1" si="10"/>
        <v>97998.759380603165</v>
      </c>
      <c r="Q50" s="19">
        <f t="shared" ca="1" si="10"/>
        <v>65430.525954565201</v>
      </c>
      <c r="R50" s="19">
        <f t="shared" ca="1" si="10"/>
        <v>31457.490092545777</v>
      </c>
      <c r="S50" s="19">
        <f t="shared" ca="1" si="10"/>
        <v>7311.2771293262776</v>
      </c>
      <c r="T50" s="19">
        <f t="shared" ca="1" si="10"/>
        <v>-8500.9986179600528</v>
      </c>
      <c r="U50" s="19">
        <f t="shared" ca="1" si="10"/>
        <v>-24401.151599326025</v>
      </c>
      <c r="V50" s="19">
        <f t="shared" ca="1" si="10"/>
        <v>-40382.155855835503</v>
      </c>
      <c r="W50" s="19">
        <f t="shared" ca="1" si="10"/>
        <v>-56436.533092885351</v>
      </c>
      <c r="X50" s="19">
        <f t="shared" ca="1" si="10"/>
        <v>-72556.333071212925</v>
      </c>
      <c r="Y50" s="19">
        <f t="shared" ca="1" si="10"/>
        <v>-88733.113258660698</v>
      </c>
      <c r="Z50" s="19">
        <f t="shared" ca="1" si="10"/>
        <v>-104957.91771674658</v>
      </c>
      <c r="AA50" s="19">
        <f t="shared" ca="1" si="10"/>
        <v>-121221.25519521507</v>
      </c>
      <c r="AB50" s="19">
        <f t="shared" ca="1" si="10"/>
        <v>-137513.07640684361</v>
      </c>
      <c r="AC50" s="19">
        <f t="shared" ca="1" si="10"/>
        <v>-153822.75045384717</v>
      </c>
      <c r="AD50" s="19">
        <f t="shared" ca="1" si="10"/>
        <v>-158452.24026646439</v>
      </c>
      <c r="AE50" s="19">
        <f t="shared" ca="1" si="10"/>
        <v>-162784.30756936097</v>
      </c>
      <c r="AF50" s="19">
        <f t="shared" ca="1" si="10"/>
        <v>-166799.12200714284</v>
      </c>
      <c r="AG50" s="19">
        <f t="shared" ca="1" si="10"/>
        <v>-170475.98562175149</v>
      </c>
      <c r="AH50" s="19">
        <f t="shared" ca="1" si="10"/>
        <v>-173793.30000708409</v>
      </c>
      <c r="AI50" s="19">
        <f t="shared" ca="1" si="10"/>
        <v>-176728.53230781946</v>
      </c>
      <c r="AJ50" s="19">
        <f t="shared" ca="1" si="10"/>
        <v>-179258.1800235158</v>
      </c>
      <c r="AK50" s="19">
        <f t="shared" ca="1" si="10"/>
        <v>-181357.7345777704</v>
      </c>
      <c r="AL50" s="19">
        <f t="shared" ca="1" si="10"/>
        <v>-183001.64361091712</v>
      </c>
      <c r="AM50" s="19">
        <f t="shared" ca="1" si="10"/>
        <v>-184163.27195337944</v>
      </c>
    </row>
    <row r="51" spans="1:39" x14ac:dyDescent="0.2"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</row>
    <row r="52" spans="1:39" ht="19" x14ac:dyDescent="0.25">
      <c r="A52" s="42" t="s">
        <v>84</v>
      </c>
      <c r="B52" s="43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</row>
    <row r="53" spans="1:39" x14ac:dyDescent="0.2">
      <c r="A53" s="14" t="s">
        <v>10</v>
      </c>
      <c r="C53" s="17">
        <f t="shared" ref="C53:G53" ca="1" si="11">C50</f>
        <v>714578.8</v>
      </c>
      <c r="D53" s="17">
        <f t="shared" ca="1" si="11"/>
        <v>615523.44559532881</v>
      </c>
      <c r="E53" s="17">
        <f t="shared" ca="1" si="11"/>
        <v>566818.54594435322</v>
      </c>
      <c r="F53" s="17">
        <f t="shared" ca="1" si="11"/>
        <v>529495.63528901932</v>
      </c>
      <c r="G53" s="17">
        <f t="shared" ca="1" si="11"/>
        <v>449136.11835878156</v>
      </c>
      <c r="H53" s="17">
        <f t="shared" ref="H53:AM53" ca="1" si="12">H50</f>
        <v>405493.30580093106</v>
      </c>
      <c r="I53" s="17">
        <f t="shared" ca="1" si="12"/>
        <v>395591.02540947287</v>
      </c>
      <c r="J53" s="17">
        <f t="shared" ca="1" si="12"/>
        <v>355835.83444133337</v>
      </c>
      <c r="K53" s="17">
        <f t="shared" ca="1" si="12"/>
        <v>283995.80718639237</v>
      </c>
      <c r="L53" s="17">
        <f t="shared" ca="1" si="12"/>
        <v>240951.16457455605</v>
      </c>
      <c r="M53" s="17">
        <f t="shared" ca="1" si="12"/>
        <v>196581.88886248111</v>
      </c>
      <c r="N53" s="17">
        <f t="shared" ca="1" si="12"/>
        <v>159081.59242159489</v>
      </c>
      <c r="O53" s="17">
        <f t="shared" ca="1" si="12"/>
        <v>129202.61024367121</v>
      </c>
      <c r="P53" s="17">
        <f t="shared" ca="1" si="12"/>
        <v>97998.759380603165</v>
      </c>
      <c r="Q53" s="17">
        <f t="shared" ca="1" si="12"/>
        <v>65430.525954565201</v>
      </c>
      <c r="R53" s="17">
        <f t="shared" ca="1" si="12"/>
        <v>31457.490092545777</v>
      </c>
      <c r="S53" s="17">
        <f t="shared" ca="1" si="12"/>
        <v>7311.2771293262776</v>
      </c>
      <c r="T53" s="17">
        <f t="shared" ca="1" si="12"/>
        <v>-8500.9986179600528</v>
      </c>
      <c r="U53" s="17">
        <f t="shared" ca="1" si="12"/>
        <v>-24401.151599326025</v>
      </c>
      <c r="V53" s="17">
        <f t="shared" ca="1" si="12"/>
        <v>-40382.155855835503</v>
      </c>
      <c r="W53" s="17">
        <f t="shared" ca="1" si="12"/>
        <v>-56436.533092885351</v>
      </c>
      <c r="X53" s="17">
        <f t="shared" ca="1" si="12"/>
        <v>-72556.333071212925</v>
      </c>
      <c r="Y53" s="17">
        <f t="shared" ca="1" si="12"/>
        <v>-88733.113258660698</v>
      </c>
      <c r="Z53" s="17">
        <f t="shared" ca="1" si="12"/>
        <v>-104957.91771674658</v>
      </c>
      <c r="AA53" s="17">
        <f t="shared" ca="1" si="12"/>
        <v>-121221.25519521507</v>
      </c>
      <c r="AB53" s="17">
        <f t="shared" ca="1" si="12"/>
        <v>-137513.07640684361</v>
      </c>
      <c r="AC53" s="17">
        <f t="shared" ca="1" si="12"/>
        <v>-153822.75045384717</v>
      </c>
      <c r="AD53" s="17">
        <f t="shared" ca="1" si="12"/>
        <v>-158452.24026646439</v>
      </c>
      <c r="AE53" s="17">
        <f t="shared" ca="1" si="12"/>
        <v>-162784.30756936097</v>
      </c>
      <c r="AF53" s="17">
        <f t="shared" ca="1" si="12"/>
        <v>-166799.12200714284</v>
      </c>
      <c r="AG53" s="17">
        <f t="shared" ca="1" si="12"/>
        <v>-170475.98562175149</v>
      </c>
      <c r="AH53" s="17">
        <f t="shared" ca="1" si="12"/>
        <v>-173793.30000708409</v>
      </c>
      <c r="AI53" s="17">
        <f t="shared" ca="1" si="12"/>
        <v>-176728.53230781946</v>
      </c>
      <c r="AJ53" s="17">
        <f t="shared" ca="1" si="12"/>
        <v>-179258.1800235158</v>
      </c>
      <c r="AK53" s="17">
        <f t="shared" ca="1" si="12"/>
        <v>-181357.7345777704</v>
      </c>
      <c r="AL53" s="17">
        <f t="shared" ca="1" si="12"/>
        <v>-183001.64361091712</v>
      </c>
      <c r="AM53" s="17">
        <f t="shared" ca="1" si="12"/>
        <v>-184163.27195337944</v>
      </c>
    </row>
    <row r="54" spans="1:39" x14ac:dyDescent="0.2">
      <c r="A54" s="14" t="s">
        <v>8</v>
      </c>
      <c r="C54" s="17">
        <f>Inputs!C12*(1+princ)</f>
        <v>515000</v>
      </c>
      <c r="D54" s="17">
        <f t="shared" ref="D54:AM54" si="13">C54*(1+princ)</f>
        <v>530450</v>
      </c>
      <c r="E54" s="17">
        <f t="shared" si="13"/>
        <v>546363.5</v>
      </c>
      <c r="F54" s="17">
        <f t="shared" si="13"/>
        <v>562754.40500000003</v>
      </c>
      <c r="G54" s="17">
        <f t="shared" si="13"/>
        <v>579637.03714999999</v>
      </c>
      <c r="H54" s="17">
        <f t="shared" si="13"/>
        <v>597026.14826449996</v>
      </c>
      <c r="I54" s="17">
        <f t="shared" si="13"/>
        <v>614936.93271243502</v>
      </c>
      <c r="J54" s="17">
        <f t="shared" si="13"/>
        <v>633385.04069380811</v>
      </c>
      <c r="K54" s="17">
        <f t="shared" si="13"/>
        <v>652386.59191462235</v>
      </c>
      <c r="L54" s="17">
        <f t="shared" si="13"/>
        <v>671958.18967206101</v>
      </c>
      <c r="M54" s="17">
        <f t="shared" si="13"/>
        <v>692116.93536222284</v>
      </c>
      <c r="N54" s="17">
        <f t="shared" si="13"/>
        <v>712880.44342308957</v>
      </c>
      <c r="O54" s="17">
        <f t="shared" si="13"/>
        <v>734266.85672578227</v>
      </c>
      <c r="P54" s="17">
        <f t="shared" si="13"/>
        <v>756294.86242755572</v>
      </c>
      <c r="Q54" s="17">
        <f t="shared" si="13"/>
        <v>778983.70830038236</v>
      </c>
      <c r="R54" s="17">
        <f t="shared" si="13"/>
        <v>802353.21954939386</v>
      </c>
      <c r="S54" s="17">
        <f t="shared" si="13"/>
        <v>826423.81613587565</v>
      </c>
      <c r="T54" s="17">
        <f t="shared" si="13"/>
        <v>851216.5306199519</v>
      </c>
      <c r="U54" s="17">
        <f t="shared" si="13"/>
        <v>876753.0265385505</v>
      </c>
      <c r="V54" s="17">
        <f t="shared" si="13"/>
        <v>903055.61733470706</v>
      </c>
      <c r="W54" s="17">
        <f t="shared" si="13"/>
        <v>930147.28585474833</v>
      </c>
      <c r="X54" s="17">
        <f t="shared" si="13"/>
        <v>958051.70443039085</v>
      </c>
      <c r="Y54" s="17">
        <f t="shared" si="13"/>
        <v>986793.25556330255</v>
      </c>
      <c r="Z54" s="17">
        <f t="shared" si="13"/>
        <v>1016397.0532302016</v>
      </c>
      <c r="AA54" s="17">
        <f t="shared" si="13"/>
        <v>1046888.9648271076</v>
      </c>
      <c r="AB54" s="17">
        <f t="shared" si="13"/>
        <v>1078295.6337719208</v>
      </c>
      <c r="AC54" s="17">
        <f t="shared" si="13"/>
        <v>1110644.5027850785</v>
      </c>
      <c r="AD54" s="17">
        <f t="shared" si="13"/>
        <v>1143963.8378686309</v>
      </c>
      <c r="AE54" s="17">
        <f t="shared" si="13"/>
        <v>1178282.7530046899</v>
      </c>
      <c r="AF54" s="17">
        <f t="shared" si="13"/>
        <v>1213631.2355948307</v>
      </c>
      <c r="AG54" s="17">
        <f t="shared" si="13"/>
        <v>1250040.1726626756</v>
      </c>
      <c r="AH54" s="17">
        <f t="shared" si="13"/>
        <v>1287541.377842556</v>
      </c>
      <c r="AI54" s="17">
        <f t="shared" si="13"/>
        <v>1326167.6191778327</v>
      </c>
      <c r="AJ54" s="17">
        <f t="shared" si="13"/>
        <v>1365952.6477531677</v>
      </c>
      <c r="AK54" s="17">
        <f t="shared" si="13"/>
        <v>1406931.2271857627</v>
      </c>
      <c r="AL54" s="17">
        <f t="shared" si="13"/>
        <v>1449139.1640013356</v>
      </c>
      <c r="AM54" s="17">
        <f t="shared" si="13"/>
        <v>1492613.3389213758</v>
      </c>
    </row>
    <row r="55" spans="1:39" x14ac:dyDescent="0.2">
      <c r="A55" s="14" t="s">
        <v>58</v>
      </c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</row>
    <row r="56" spans="1:39" x14ac:dyDescent="0.2">
      <c r="A56" s="13" t="str">
        <f>TEXT(Inputs!$C$50,"")</f>
        <v>Sliema</v>
      </c>
      <c r="C56" s="17">
        <f>Inputs!C51*(1+princ)</f>
        <v>206000</v>
      </c>
      <c r="D56" s="17">
        <f t="shared" ref="D56:AM58" si="14">C56*(1+princ)</f>
        <v>212180</v>
      </c>
      <c r="E56" s="17">
        <f t="shared" si="14"/>
        <v>218545.4</v>
      </c>
      <c r="F56" s="17">
        <f t="shared" si="14"/>
        <v>225101.76199999999</v>
      </c>
      <c r="G56" s="17">
        <f t="shared" si="14"/>
        <v>231854.81485999998</v>
      </c>
      <c r="H56" s="17">
        <f t="shared" si="14"/>
        <v>238810.4593058</v>
      </c>
      <c r="I56" s="17">
        <f t="shared" si="14"/>
        <v>245974.773084974</v>
      </c>
      <c r="J56" s="17">
        <f t="shared" si="14"/>
        <v>253354.01627752322</v>
      </c>
      <c r="K56" s="17">
        <f t="shared" si="14"/>
        <v>260954.63676584893</v>
      </c>
      <c r="L56" s="17">
        <f t="shared" si="14"/>
        <v>268783.27586882439</v>
      </c>
      <c r="M56" s="17">
        <f t="shared" si="14"/>
        <v>276846.77414488915</v>
      </c>
      <c r="N56" s="17">
        <f t="shared" si="14"/>
        <v>285152.17736923584</v>
      </c>
      <c r="O56" s="17">
        <f t="shared" si="14"/>
        <v>293706.74269031291</v>
      </c>
      <c r="P56" s="17">
        <f t="shared" si="14"/>
        <v>302517.94497102231</v>
      </c>
      <c r="Q56" s="17">
        <f t="shared" si="14"/>
        <v>311593.48332015297</v>
      </c>
      <c r="R56" s="17">
        <f t="shared" si="14"/>
        <v>320941.28781975759</v>
      </c>
      <c r="S56" s="17">
        <f t="shared" si="14"/>
        <v>330569.52645435033</v>
      </c>
      <c r="T56" s="17">
        <f t="shared" si="14"/>
        <v>340486.61224798084</v>
      </c>
      <c r="U56" s="17">
        <f t="shared" si="14"/>
        <v>350701.21061542025</v>
      </c>
      <c r="V56" s="17">
        <f t="shared" si="14"/>
        <v>361222.24693388288</v>
      </c>
      <c r="W56" s="17">
        <f t="shared" si="14"/>
        <v>372058.91434189939</v>
      </c>
      <c r="X56" s="17">
        <f t="shared" si="14"/>
        <v>383220.68177215639</v>
      </c>
      <c r="Y56" s="17">
        <f t="shared" si="14"/>
        <v>394717.30222532107</v>
      </c>
      <c r="Z56" s="17">
        <f t="shared" si="14"/>
        <v>406558.82129208068</v>
      </c>
      <c r="AA56" s="17">
        <f t="shared" si="14"/>
        <v>418755.58593084314</v>
      </c>
      <c r="AB56" s="17">
        <f t="shared" si="14"/>
        <v>431318.25350876845</v>
      </c>
      <c r="AC56" s="17">
        <f t="shared" si="14"/>
        <v>444257.80111403152</v>
      </c>
      <c r="AD56" s="17">
        <f t="shared" si="14"/>
        <v>457585.53514745249</v>
      </c>
      <c r="AE56" s="17">
        <f t="shared" si="14"/>
        <v>471313.10120187607</v>
      </c>
      <c r="AF56" s="17">
        <f t="shared" si="14"/>
        <v>485452.49423793238</v>
      </c>
      <c r="AG56" s="17">
        <f t="shared" si="14"/>
        <v>500016.06906507036</v>
      </c>
      <c r="AH56" s="17">
        <f t="shared" si="14"/>
        <v>515016.5511370225</v>
      </c>
      <c r="AI56" s="17">
        <f t="shared" si="14"/>
        <v>530467.04767113319</v>
      </c>
      <c r="AJ56" s="17">
        <f t="shared" si="14"/>
        <v>546381.05910126725</v>
      </c>
      <c r="AK56" s="17">
        <f t="shared" si="14"/>
        <v>562772.49087430525</v>
      </c>
      <c r="AL56" s="17">
        <f t="shared" si="14"/>
        <v>579655.66560053441</v>
      </c>
      <c r="AM56" s="17">
        <f t="shared" si="14"/>
        <v>597045.33556855051</v>
      </c>
    </row>
    <row r="57" spans="1:39" x14ac:dyDescent="0.2">
      <c r="A57" s="13" t="str">
        <f>TEXT(Inputs!$C$55,"")</f>
        <v>Gzira</v>
      </c>
      <c r="C57" s="17">
        <f>Inputs!C56*(1+princ)</f>
        <v>360500</v>
      </c>
      <c r="D57" s="17">
        <f t="shared" si="14"/>
        <v>371315</v>
      </c>
      <c r="E57" s="17">
        <f t="shared" si="14"/>
        <v>382454.45</v>
      </c>
      <c r="F57" s="17">
        <f t="shared" si="14"/>
        <v>393928.08350000001</v>
      </c>
      <c r="G57" s="17">
        <f t="shared" si="14"/>
        <v>405745.92600500002</v>
      </c>
      <c r="H57" s="17">
        <f t="shared" si="14"/>
        <v>417918.30378515006</v>
      </c>
      <c r="I57" s="17">
        <f t="shared" si="14"/>
        <v>430455.85289870459</v>
      </c>
      <c r="J57" s="17">
        <f t="shared" si="14"/>
        <v>443369.52848566574</v>
      </c>
      <c r="K57" s="17">
        <f t="shared" si="14"/>
        <v>456670.61434023571</v>
      </c>
      <c r="L57" s="17">
        <f t="shared" si="14"/>
        <v>470370.73277044279</v>
      </c>
      <c r="M57" s="17">
        <f t="shared" si="14"/>
        <v>484481.85475355608</v>
      </c>
      <c r="N57" s="17">
        <f t="shared" si="14"/>
        <v>499016.31039616279</v>
      </c>
      <c r="O57" s="17">
        <f t="shared" si="14"/>
        <v>513986.79970804771</v>
      </c>
      <c r="P57" s="17">
        <f t="shared" si="14"/>
        <v>529406.40369928919</v>
      </c>
      <c r="Q57" s="17">
        <f t="shared" si="14"/>
        <v>545288.59581026784</v>
      </c>
      <c r="R57" s="17">
        <f t="shared" si="14"/>
        <v>561647.2536845759</v>
      </c>
      <c r="S57" s="17">
        <f t="shared" si="14"/>
        <v>578496.67129511316</v>
      </c>
      <c r="T57" s="17">
        <f t="shared" si="14"/>
        <v>595851.57143396663</v>
      </c>
      <c r="U57" s="17">
        <f t="shared" si="14"/>
        <v>613727.11857698567</v>
      </c>
      <c r="V57" s="17">
        <f t="shared" si="14"/>
        <v>632138.93213429523</v>
      </c>
      <c r="W57" s="17">
        <f t="shared" si="14"/>
        <v>651103.10009832412</v>
      </c>
      <c r="X57" s="17">
        <f t="shared" si="14"/>
        <v>670636.19310127385</v>
      </c>
      <c r="Y57" s="17">
        <f t="shared" si="14"/>
        <v>690755.2788943121</v>
      </c>
      <c r="Z57" s="17">
        <f t="shared" si="14"/>
        <v>711477.93726114149</v>
      </c>
      <c r="AA57" s="17">
        <f t="shared" si="14"/>
        <v>732822.27537897578</v>
      </c>
      <c r="AB57" s="17">
        <f t="shared" si="14"/>
        <v>754806.94364034513</v>
      </c>
      <c r="AC57" s="17">
        <f t="shared" si="14"/>
        <v>777451.1519495555</v>
      </c>
      <c r="AD57" s="17">
        <f t="shared" si="14"/>
        <v>800774.68650804216</v>
      </c>
      <c r="AE57" s="17">
        <f t="shared" si="14"/>
        <v>824797.92710328347</v>
      </c>
      <c r="AF57" s="17">
        <f t="shared" si="14"/>
        <v>849541.86491638201</v>
      </c>
      <c r="AG57" s="17">
        <f t="shared" si="14"/>
        <v>875028.12086387351</v>
      </c>
      <c r="AH57" s="17">
        <f t="shared" si="14"/>
        <v>901278.9644897898</v>
      </c>
      <c r="AI57" s="17">
        <f t="shared" si="14"/>
        <v>928317.33342448354</v>
      </c>
      <c r="AJ57" s="17">
        <f t="shared" si="14"/>
        <v>956166.85342721804</v>
      </c>
      <c r="AK57" s="17">
        <f t="shared" si="14"/>
        <v>984851.85903003463</v>
      </c>
      <c r="AL57" s="17">
        <f t="shared" si="14"/>
        <v>1014397.4148009357</v>
      </c>
      <c r="AM57" s="17">
        <f t="shared" si="14"/>
        <v>1044829.3372449637</v>
      </c>
    </row>
    <row r="58" spans="1:39" x14ac:dyDescent="0.2">
      <c r="A58" s="13" t="str">
        <f>TEXT(Inputs!$C$60,"")</f>
        <v>Hamrun</v>
      </c>
      <c r="C58" s="17">
        <f>Inputs!C61*(1+princ)</f>
        <v>28840</v>
      </c>
      <c r="D58" s="17">
        <f t="shared" si="14"/>
        <v>29705.200000000001</v>
      </c>
      <c r="E58" s="17">
        <f t="shared" si="14"/>
        <v>30596.356</v>
      </c>
      <c r="F58" s="17">
        <f t="shared" si="14"/>
        <v>31514.24668</v>
      </c>
      <c r="G58" s="17">
        <f t="shared" si="14"/>
        <v>32459.6740804</v>
      </c>
      <c r="H58" s="17">
        <f t="shared" si="14"/>
        <v>33433.464302812004</v>
      </c>
      <c r="I58" s="17">
        <f t="shared" si="14"/>
        <v>34436.468231896368</v>
      </c>
      <c r="J58" s="17">
        <f t="shared" si="14"/>
        <v>35469.562278853256</v>
      </c>
      <c r="K58" s="17">
        <f t="shared" si="14"/>
        <v>36533.649147218857</v>
      </c>
      <c r="L58" s="17">
        <f t="shared" si="14"/>
        <v>37629.658621635426</v>
      </c>
      <c r="M58" s="17">
        <f t="shared" si="14"/>
        <v>38758.54838028449</v>
      </c>
      <c r="N58" s="17">
        <f t="shared" si="14"/>
        <v>39921.304831693029</v>
      </c>
      <c r="O58" s="17">
        <f t="shared" si="14"/>
        <v>41118.943976643823</v>
      </c>
      <c r="P58" s="17">
        <f t="shared" si="14"/>
        <v>42352.512295943139</v>
      </c>
      <c r="Q58" s="17">
        <f t="shared" si="14"/>
        <v>43623.087664821433</v>
      </c>
      <c r="R58" s="17">
        <f t="shared" si="14"/>
        <v>44931.780294766075</v>
      </c>
      <c r="S58" s="17">
        <f t="shared" si="14"/>
        <v>46279.733703609061</v>
      </c>
      <c r="T58" s="17">
        <f t="shared" si="14"/>
        <v>47668.125714717331</v>
      </c>
      <c r="U58" s="17">
        <f t="shared" si="14"/>
        <v>49098.169486158855</v>
      </c>
      <c r="V58" s="17">
        <f t="shared" si="14"/>
        <v>50571.114570743623</v>
      </c>
      <c r="W58" s="17">
        <f t="shared" si="14"/>
        <v>52088.248007865936</v>
      </c>
      <c r="X58" s="17">
        <f t="shared" si="14"/>
        <v>53650.895448101917</v>
      </c>
      <c r="Y58" s="17">
        <f t="shared" si="14"/>
        <v>55260.422311544979</v>
      </c>
      <c r="Z58" s="17">
        <f t="shared" si="14"/>
        <v>56918.234980891328</v>
      </c>
      <c r="AA58" s="17">
        <f t="shared" si="14"/>
        <v>58625.782030318071</v>
      </c>
      <c r="AB58" s="17">
        <f t="shared" si="14"/>
        <v>60384.555491227613</v>
      </c>
      <c r="AC58" s="17">
        <f t="shared" si="14"/>
        <v>62196.092155964441</v>
      </c>
      <c r="AD58" s="17">
        <f t="shared" si="14"/>
        <v>64061.974920643377</v>
      </c>
      <c r="AE58" s="17">
        <f t="shared" si="14"/>
        <v>65983.834168262678</v>
      </c>
      <c r="AF58" s="17">
        <f t="shared" si="14"/>
        <v>67963.349193310554</v>
      </c>
      <c r="AG58" s="17">
        <f t="shared" si="14"/>
        <v>70002.249669109879</v>
      </c>
      <c r="AH58" s="17">
        <f t="shared" si="14"/>
        <v>72102.317159183178</v>
      </c>
      <c r="AI58" s="17">
        <f t="shared" si="14"/>
        <v>74265.386673958681</v>
      </c>
      <c r="AJ58" s="17">
        <f t="shared" si="14"/>
        <v>76493.34827417745</v>
      </c>
      <c r="AK58" s="17">
        <f t="shared" si="14"/>
        <v>78788.148722402781</v>
      </c>
      <c r="AL58" s="17">
        <f t="shared" si="14"/>
        <v>81151.793184074864</v>
      </c>
      <c r="AM58" s="17">
        <f t="shared" si="14"/>
        <v>83586.346979597118</v>
      </c>
    </row>
    <row r="59" spans="1:39" x14ac:dyDescent="0.2">
      <c r="A59" s="14" t="s">
        <v>13</v>
      </c>
      <c r="C59" s="17">
        <f>Inputs!C10*(1+stinc)</f>
        <v>21600</v>
      </c>
      <c r="D59" s="17">
        <f>C59*(1+stinc)</f>
        <v>23328</v>
      </c>
      <c r="E59" s="17">
        <f t="shared" ref="E59:AM59" si="15">D59*(1+stinc)</f>
        <v>25194.240000000002</v>
      </c>
      <c r="F59" s="17">
        <f t="shared" si="15"/>
        <v>27209.779200000004</v>
      </c>
      <c r="G59" s="17">
        <f t="shared" si="15"/>
        <v>29386.561536000008</v>
      </c>
      <c r="H59" s="17">
        <f t="shared" si="15"/>
        <v>31737.486458880012</v>
      </c>
      <c r="I59" s="17">
        <f t="shared" si="15"/>
        <v>34276.485375590419</v>
      </c>
      <c r="J59" s="17">
        <f t="shared" si="15"/>
        <v>37018.604205637654</v>
      </c>
      <c r="K59" s="17">
        <f t="shared" si="15"/>
        <v>39980.092542088671</v>
      </c>
      <c r="L59" s="17">
        <f t="shared" si="15"/>
        <v>43178.499945455769</v>
      </c>
      <c r="M59" s="17">
        <f t="shared" si="15"/>
        <v>46632.779941092231</v>
      </c>
      <c r="N59" s="17">
        <f t="shared" si="15"/>
        <v>50363.402336379615</v>
      </c>
      <c r="O59" s="17">
        <f t="shared" si="15"/>
        <v>54392.474523289988</v>
      </c>
      <c r="P59" s="17">
        <f t="shared" si="15"/>
        <v>58743.872485153188</v>
      </c>
      <c r="Q59" s="17">
        <f t="shared" si="15"/>
        <v>63443.382283965446</v>
      </c>
      <c r="R59" s="17">
        <f t="shared" si="15"/>
        <v>68518.85286668269</v>
      </c>
      <c r="S59" s="17">
        <f t="shared" si="15"/>
        <v>74000.36109601731</v>
      </c>
      <c r="T59" s="17">
        <f t="shared" si="15"/>
        <v>79920.389983698697</v>
      </c>
      <c r="U59" s="17">
        <f t="shared" si="15"/>
        <v>86314.021182394601</v>
      </c>
      <c r="V59" s="17">
        <f t="shared" si="15"/>
        <v>93219.142876986181</v>
      </c>
      <c r="W59" s="17">
        <f t="shared" si="15"/>
        <v>100676.67430714508</v>
      </c>
      <c r="X59" s="17">
        <f t="shared" si="15"/>
        <v>108730.80825171669</v>
      </c>
      <c r="Y59" s="17">
        <f t="shared" si="15"/>
        <v>117429.27291185403</v>
      </c>
      <c r="Z59" s="17">
        <f t="shared" si="15"/>
        <v>126823.61474480235</v>
      </c>
      <c r="AA59" s="17">
        <f t="shared" si="15"/>
        <v>136969.50392438655</v>
      </c>
      <c r="AB59" s="17">
        <f t="shared" si="15"/>
        <v>147927.06423833748</v>
      </c>
      <c r="AC59" s="17">
        <f t="shared" si="15"/>
        <v>159761.2293774045</v>
      </c>
      <c r="AD59" s="17">
        <f t="shared" si="15"/>
        <v>172542.12772759688</v>
      </c>
      <c r="AE59" s="17">
        <f t="shared" si="15"/>
        <v>186345.49794580464</v>
      </c>
      <c r="AF59" s="17">
        <f t="shared" si="15"/>
        <v>201253.13778146903</v>
      </c>
      <c r="AG59" s="17">
        <f t="shared" si="15"/>
        <v>217353.38880398657</v>
      </c>
      <c r="AH59" s="17">
        <f t="shared" si="15"/>
        <v>234741.6599083055</v>
      </c>
      <c r="AI59" s="17">
        <f t="shared" si="15"/>
        <v>253520.99270096997</v>
      </c>
      <c r="AJ59" s="17">
        <f t="shared" si="15"/>
        <v>273802.67211704759</v>
      </c>
      <c r="AK59" s="17">
        <f t="shared" si="15"/>
        <v>295706.88588641142</v>
      </c>
      <c r="AL59" s="17">
        <f t="shared" si="15"/>
        <v>319363.43675732432</v>
      </c>
      <c r="AM59" s="17">
        <f t="shared" si="15"/>
        <v>344912.51169791032</v>
      </c>
    </row>
    <row r="60" spans="1:39" x14ac:dyDescent="0.2">
      <c r="A60" s="14" t="s">
        <v>3</v>
      </c>
      <c r="C60" s="17">
        <f>-MAX(FV(Inputs!$C16/12,C$1*12,Inputs!$C17,-Inputs!$C15),0)</f>
        <v>-277240.38871503877</v>
      </c>
      <c r="D60" s="17">
        <f>-MAX(FV(Inputs!$C16/12,D$1*12,Inputs!$C17,-Inputs!$C15),0)</f>
        <v>-253905.22197914126</v>
      </c>
      <c r="E60" s="17">
        <f>-MAX(FV(Inputs!$C16/12,E$1*12,Inputs!$C17,-Inputs!$C15),0)</f>
        <v>-229979.94488304513</v>
      </c>
      <c r="F60" s="17">
        <f>-MAX(FV(Inputs!$C16/12,F$1*12,Inputs!$C17,-Inputs!$C15),0)</f>
        <v>-205449.63444629119</v>
      </c>
      <c r="G60" s="17">
        <f>-MAX(FV(Inputs!$C16/12,G$1*12,Inputs!$C17,-Inputs!$C15),0)</f>
        <v>-180298.99030927056</v>
      </c>
      <c r="H60" s="17">
        <f>-MAX(FV(Inputs!$C16/12,H$1*12,Inputs!$C17,-Inputs!$C15),0)</f>
        <v>-154512.32518988874</v>
      </c>
      <c r="I60" s="17">
        <f>-MAX(FV(Inputs!$C16/12,I$1*12,Inputs!$C17,-Inputs!$C15),0)</f>
        <v>-128073.55509889324</v>
      </c>
      <c r="J60" s="17">
        <f>-MAX(FV(Inputs!$C16/12,J$1*12,Inputs!$C17,-Inputs!$C15),0)</f>
        <v>-100966.1893077601</v>
      </c>
      <c r="K60" s="17">
        <f>-MAX(FV(Inputs!$C16/12,K$1*12,Inputs!$C17,-Inputs!$C15),0)</f>
        <v>-73173.320062887855</v>
      </c>
      <c r="L60" s="17">
        <f>-MAX(FV(Inputs!$C16/12,L$1*12,Inputs!$C17,-Inputs!$C15),0)</f>
        <v>-44677.612039674364</v>
      </c>
      <c r="M60" s="17">
        <f>-MAX(FV(Inputs!$C16/12,M$1*12,Inputs!$C17,-Inputs!$C15),0)</f>
        <v>-15461.291529907379</v>
      </c>
      <c r="N60" s="17">
        <f>-MAX(FV(Inputs!$C16/12,N$1*12,Inputs!$C17,-Inputs!$C15),0)</f>
        <v>0</v>
      </c>
      <c r="O60" s="17">
        <f>-MAX(FV(Inputs!$C16/12,O$1*12,Inputs!$C17,-Inputs!$C15),0)</f>
        <v>0</v>
      </c>
      <c r="P60" s="17">
        <f>-MAX(FV(Inputs!$C16/12,P$1*12,Inputs!$C17,-Inputs!$C15),0)</f>
        <v>0</v>
      </c>
      <c r="Q60" s="17">
        <f>-MAX(FV(Inputs!$C16/12,Q$1*12,Inputs!$C17,-Inputs!$C15),0)</f>
        <v>0</v>
      </c>
      <c r="R60" s="17">
        <f>-MAX(FV(Inputs!$C16/12,R$1*12,Inputs!$C17,-Inputs!$C15),0)</f>
        <v>0</v>
      </c>
      <c r="S60" s="17">
        <f>-MAX(FV(Inputs!$C16/12,S$1*12,Inputs!$C17,-Inputs!$C15),0)</f>
        <v>0</v>
      </c>
      <c r="T60" s="17">
        <f>-MAX(FV(Inputs!$C16/12,T$1*12,Inputs!$C17,-Inputs!$C15),0)</f>
        <v>0</v>
      </c>
      <c r="U60" s="17">
        <f>-MAX(FV(Inputs!$C16/12,U$1*12,Inputs!$C17,-Inputs!$C15),0)</f>
        <v>0</v>
      </c>
      <c r="V60" s="17">
        <f>-MAX(FV(Inputs!$C16/12,V$1*12,Inputs!$C17,-Inputs!$C15),0)</f>
        <v>0</v>
      </c>
      <c r="W60" s="17">
        <f>-MAX(FV(Inputs!$C16/12,W$1*12,Inputs!$C17,-Inputs!$C15),0)</f>
        <v>0</v>
      </c>
      <c r="X60" s="17">
        <f>-MAX(FV(Inputs!$C16/12,X$1*12,Inputs!$C17,-Inputs!$C15),0)</f>
        <v>0</v>
      </c>
      <c r="Y60" s="17">
        <f>-MAX(FV(Inputs!$C16/12,Y$1*12,Inputs!$C17,-Inputs!$C15),0)</f>
        <v>0</v>
      </c>
      <c r="Z60" s="17">
        <f>-MAX(FV(Inputs!$C16/12,Z$1*12,Inputs!$C17,-Inputs!$C15),0)</f>
        <v>0</v>
      </c>
      <c r="AA60" s="17">
        <f>-MAX(FV(Inputs!$C16/12,AA$1*12,Inputs!$C17,-Inputs!$C15),0)</f>
        <v>0</v>
      </c>
      <c r="AB60" s="17">
        <f>-MAX(FV(Inputs!$C16/12,AB$1*12,Inputs!$C17,-Inputs!$C15),0)</f>
        <v>0</v>
      </c>
      <c r="AC60" s="17">
        <f>-MAX(FV(Inputs!$C16/12,AC$1*12,Inputs!$C17,-Inputs!$C15),0)</f>
        <v>0</v>
      </c>
      <c r="AD60" s="17">
        <f>-MAX(FV(Inputs!$C16/12,AD$1*12,Inputs!$C17,-Inputs!$C15),0)</f>
        <v>0</v>
      </c>
      <c r="AE60" s="17">
        <f>-MAX(FV(Inputs!$C16/12,AE$1*12,Inputs!$C17,-Inputs!$C15),0)</f>
        <v>0</v>
      </c>
      <c r="AF60" s="17">
        <f>-MAX(FV(Inputs!$C16/12,AF$1*12,Inputs!$C17,-Inputs!$C15),0)</f>
        <v>0</v>
      </c>
      <c r="AG60" s="17">
        <f>-MAX(FV(Inputs!$C16/12,AG$1*12,Inputs!$C17,-Inputs!$C15),0)</f>
        <v>0</v>
      </c>
      <c r="AH60" s="17">
        <f>-MAX(FV(Inputs!$C16/12,AH$1*12,Inputs!$C17,-Inputs!$C15),0)</f>
        <v>0</v>
      </c>
      <c r="AI60" s="17">
        <f>-MAX(FV(Inputs!$C16/12,AI$1*12,Inputs!$C17,-Inputs!$C15),0)</f>
        <v>0</v>
      </c>
      <c r="AJ60" s="17">
        <f>-MAX(FV(Inputs!$C16/12,AJ$1*12,Inputs!$C17,-Inputs!$C15),0)</f>
        <v>0</v>
      </c>
      <c r="AK60" s="17">
        <f>-MAX(FV(Inputs!$C16/12,AK$1*12,Inputs!$C17,-Inputs!$C15),0)</f>
        <v>0</v>
      </c>
      <c r="AL60" s="17">
        <f>-MAX(FV(Inputs!$C16/12,AL$1*12,Inputs!$C17,-Inputs!$C15),0)</f>
        <v>0</v>
      </c>
      <c r="AM60" s="17">
        <f>-MAX(FV(Inputs!$C16/12,AM$1*12,Inputs!$C17,-Inputs!$C15),0)</f>
        <v>0</v>
      </c>
    </row>
    <row r="61" spans="1:39" x14ac:dyDescent="0.2">
      <c r="A61" s="14" t="s">
        <v>67</v>
      </c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</row>
    <row r="62" spans="1:39" x14ac:dyDescent="0.2">
      <c r="A62" s="13" t="str">
        <f>TEXT(Inputs!$C$50,"")</f>
        <v>Sliema</v>
      </c>
      <c r="C62" s="17">
        <f>-MAX(FV(Inputs!$C79/12,C$1*12,Inputs!$C80,-Inputs!$C78),0)</f>
        <v>-14436.539463676134</v>
      </c>
      <c r="D62" s="17">
        <f>-MAX(FV(Inputs!$C79/12,D$1*12,Inputs!$C80,-Inputs!$C78),0)</f>
        <v>-8732.3875949011945</v>
      </c>
      <c r="E62" s="17">
        <f>-MAX(FV(Inputs!$C79/12,E$1*12,Inputs!$C80,-Inputs!$C78),0)</f>
        <v>-2883.9865269665825</v>
      </c>
      <c r="F62" s="17">
        <f>-MAX(FV(Inputs!$C79/12,F$1*12,Inputs!$C80,-Inputs!$C78),0)</f>
        <v>0</v>
      </c>
      <c r="G62" s="17">
        <f>-MAX(FV(Inputs!$C79/12,G$1*12,Inputs!$C80,-Inputs!$C78),0)</f>
        <v>0</v>
      </c>
      <c r="H62" s="17">
        <f>-MAX(FV(Inputs!$C79/12,H$1*12,Inputs!$C80,-Inputs!$C78),0)</f>
        <v>0</v>
      </c>
      <c r="I62" s="17">
        <f>-MAX(FV(Inputs!$C79/12,I$1*12,Inputs!$C80,-Inputs!$C78),0)</f>
        <v>0</v>
      </c>
      <c r="J62" s="17">
        <f>-MAX(FV(Inputs!$C79/12,J$1*12,Inputs!$C80,-Inputs!$C78),0)</f>
        <v>0</v>
      </c>
      <c r="K62" s="17">
        <f>-MAX(FV(Inputs!$C79/12,K$1*12,Inputs!$C80,-Inputs!$C78),0)</f>
        <v>0</v>
      </c>
      <c r="L62" s="17">
        <f>-MAX(FV(Inputs!$C79/12,L$1*12,Inputs!$C80,-Inputs!$C78),0)</f>
        <v>0</v>
      </c>
      <c r="M62" s="17">
        <f>-MAX(FV(Inputs!$C79/12,M$1*12,Inputs!$C80,-Inputs!$C78),0)</f>
        <v>0</v>
      </c>
      <c r="N62" s="17">
        <f>-MAX(FV(Inputs!$C79/12,N$1*12,Inputs!$C80,-Inputs!$C78),0)</f>
        <v>0</v>
      </c>
      <c r="O62" s="17">
        <f>-MAX(FV(Inputs!$C79/12,O$1*12,Inputs!$C80,-Inputs!$C78),0)</f>
        <v>0</v>
      </c>
      <c r="P62" s="17">
        <f>-MAX(FV(Inputs!$C79/12,P$1*12,Inputs!$C80,-Inputs!$C78),0)</f>
        <v>0</v>
      </c>
      <c r="Q62" s="17">
        <f>-MAX(FV(Inputs!$C79/12,Q$1*12,Inputs!$C80,-Inputs!$C78),0)</f>
        <v>0</v>
      </c>
      <c r="R62" s="17">
        <f>-MAX(FV(Inputs!$C79/12,R$1*12,Inputs!$C80,-Inputs!$C78),0)</f>
        <v>0</v>
      </c>
      <c r="S62" s="17">
        <f>-MAX(FV(Inputs!$C79/12,S$1*12,Inputs!$C80,-Inputs!$C78),0)</f>
        <v>0</v>
      </c>
      <c r="T62" s="17">
        <f>-MAX(FV(Inputs!$C79/12,T$1*12,Inputs!$C80,-Inputs!$C78),0)</f>
        <v>0</v>
      </c>
      <c r="U62" s="17">
        <f>-MAX(FV(Inputs!$C79/12,U$1*12,Inputs!$C80,-Inputs!$C78),0)</f>
        <v>0</v>
      </c>
      <c r="V62" s="17">
        <f>-MAX(FV(Inputs!$C79/12,V$1*12,Inputs!$C80,-Inputs!$C78),0)</f>
        <v>0</v>
      </c>
      <c r="W62" s="17">
        <f>-MAX(FV(Inputs!$C79/12,W$1*12,Inputs!$C80,-Inputs!$C78),0)</f>
        <v>0</v>
      </c>
      <c r="X62" s="17">
        <f>-MAX(FV(Inputs!$C79/12,X$1*12,Inputs!$C80,-Inputs!$C78),0)</f>
        <v>0</v>
      </c>
      <c r="Y62" s="17">
        <f>-MAX(FV(Inputs!$C79/12,Y$1*12,Inputs!$C80,-Inputs!$C78),0)</f>
        <v>0</v>
      </c>
      <c r="Z62" s="17">
        <f>-MAX(FV(Inputs!$C79/12,Z$1*12,Inputs!$C80,-Inputs!$C78),0)</f>
        <v>0</v>
      </c>
      <c r="AA62" s="17">
        <f>-MAX(FV(Inputs!$C79/12,AA$1*12,Inputs!$C80,-Inputs!$C78),0)</f>
        <v>0</v>
      </c>
      <c r="AB62" s="17">
        <f>-MAX(FV(Inputs!$C79/12,AB$1*12,Inputs!$C80,-Inputs!$C78),0)</f>
        <v>0</v>
      </c>
      <c r="AC62" s="17">
        <f>-MAX(FV(Inputs!$C79/12,AC$1*12,Inputs!$C80,-Inputs!$C78),0)</f>
        <v>0</v>
      </c>
      <c r="AD62" s="17">
        <f>-MAX(FV(Inputs!$C79/12,AD$1*12,Inputs!$C80,-Inputs!$C78),0)</f>
        <v>0</v>
      </c>
      <c r="AE62" s="17">
        <f>-MAX(FV(Inputs!$C79/12,AE$1*12,Inputs!$C80,-Inputs!$C78),0)</f>
        <v>0</v>
      </c>
      <c r="AF62" s="17">
        <f>-MAX(FV(Inputs!$C79/12,AF$1*12,Inputs!$C80,-Inputs!$C78),0)</f>
        <v>0</v>
      </c>
      <c r="AG62" s="17">
        <f>-MAX(FV(Inputs!$C79/12,AG$1*12,Inputs!$C80,-Inputs!$C78),0)</f>
        <v>0</v>
      </c>
      <c r="AH62" s="17">
        <f>-MAX(FV(Inputs!$C79/12,AH$1*12,Inputs!$C80,-Inputs!$C78),0)</f>
        <v>0</v>
      </c>
      <c r="AI62" s="17">
        <f>-MAX(FV(Inputs!$C79/12,AI$1*12,Inputs!$C80,-Inputs!$C78),0)</f>
        <v>0</v>
      </c>
      <c r="AJ62" s="17">
        <f>-MAX(FV(Inputs!$C79/12,AJ$1*12,Inputs!$C80,-Inputs!$C78),0)</f>
        <v>0</v>
      </c>
      <c r="AK62" s="17">
        <f>-MAX(FV(Inputs!$C79/12,AK$1*12,Inputs!$C80,-Inputs!$C78),0)</f>
        <v>0</v>
      </c>
      <c r="AL62" s="17">
        <f>-MAX(FV(Inputs!$C79/12,AL$1*12,Inputs!$C80,-Inputs!$C78),0)</f>
        <v>0</v>
      </c>
      <c r="AM62" s="17">
        <f>-MAX(FV(Inputs!$C79/12,AM$1*12,Inputs!$C80,-Inputs!$C78),0)</f>
        <v>0</v>
      </c>
    </row>
    <row r="63" spans="1:39" x14ac:dyDescent="0.2">
      <c r="A63" s="13" t="str">
        <f>TEXT(Inputs!$C$55,"")</f>
        <v>Gzira</v>
      </c>
      <c r="C63" s="17">
        <f>-MAX(FV(Inputs!$C84/12,C$1*12,Inputs!$C85,-Inputs!$C83),0)</f>
        <v>-4829.2873247038542</v>
      </c>
      <c r="D63" s="17">
        <f>-MAX(FV(Inputs!$C84/12,D$1*12,Inputs!$C85,-Inputs!$C83),0)</f>
        <v>0</v>
      </c>
      <c r="E63" s="17">
        <f>-MAX(FV(Inputs!$C84/12,E$1*12,Inputs!$C85,-Inputs!$C83),0)</f>
        <v>0</v>
      </c>
      <c r="F63" s="17">
        <f>-MAX(FV(Inputs!$C84/12,F$1*12,Inputs!$C85,-Inputs!$C83),0)</f>
        <v>0</v>
      </c>
      <c r="G63" s="17">
        <f>-MAX(FV(Inputs!$C84/12,G$1*12,Inputs!$C85,-Inputs!$C83),0)</f>
        <v>0</v>
      </c>
      <c r="H63" s="17">
        <f>-MAX(FV(Inputs!$C84/12,H$1*12,Inputs!$C85,-Inputs!$C83),0)</f>
        <v>0</v>
      </c>
      <c r="I63" s="17">
        <f>-MAX(FV(Inputs!$C84/12,I$1*12,Inputs!$C85,-Inputs!$C83),0)</f>
        <v>0</v>
      </c>
      <c r="J63" s="17">
        <f>-MAX(FV(Inputs!$C84/12,J$1*12,Inputs!$C85,-Inputs!$C83),0)</f>
        <v>0</v>
      </c>
      <c r="K63" s="17">
        <f>-MAX(FV(Inputs!$C84/12,K$1*12,Inputs!$C85,-Inputs!$C83),0)</f>
        <v>0</v>
      </c>
      <c r="L63" s="17">
        <f>-MAX(FV(Inputs!$C84/12,L$1*12,Inputs!$C85,-Inputs!$C83),0)</f>
        <v>0</v>
      </c>
      <c r="M63" s="17">
        <f>-MAX(FV(Inputs!$C84/12,M$1*12,Inputs!$C85,-Inputs!$C83),0)</f>
        <v>0</v>
      </c>
      <c r="N63" s="17">
        <f>-MAX(FV(Inputs!$C84/12,N$1*12,Inputs!$C85,-Inputs!$C83),0)</f>
        <v>0</v>
      </c>
      <c r="O63" s="17">
        <f>-MAX(FV(Inputs!$C84/12,O$1*12,Inputs!$C85,-Inputs!$C83),0)</f>
        <v>0</v>
      </c>
      <c r="P63" s="17">
        <f>-MAX(FV(Inputs!$C84/12,P$1*12,Inputs!$C85,-Inputs!$C83),0)</f>
        <v>0</v>
      </c>
      <c r="Q63" s="17">
        <f>-MAX(FV(Inputs!$C84/12,Q$1*12,Inputs!$C85,-Inputs!$C83),0)</f>
        <v>0</v>
      </c>
      <c r="R63" s="17">
        <f>-MAX(FV(Inputs!$C84/12,R$1*12,Inputs!$C85,-Inputs!$C83),0)</f>
        <v>0</v>
      </c>
      <c r="S63" s="17">
        <f>-MAX(FV(Inputs!$C84/12,S$1*12,Inputs!$C85,-Inputs!$C83),0)</f>
        <v>0</v>
      </c>
      <c r="T63" s="17">
        <f>-MAX(FV(Inputs!$C84/12,T$1*12,Inputs!$C85,-Inputs!$C83),0)</f>
        <v>0</v>
      </c>
      <c r="U63" s="17">
        <f>-MAX(FV(Inputs!$C84/12,U$1*12,Inputs!$C85,-Inputs!$C83),0)</f>
        <v>0</v>
      </c>
      <c r="V63" s="17">
        <f>-MAX(FV(Inputs!$C84/12,V$1*12,Inputs!$C85,-Inputs!$C83),0)</f>
        <v>0</v>
      </c>
      <c r="W63" s="17">
        <f>-MAX(FV(Inputs!$C84/12,W$1*12,Inputs!$C85,-Inputs!$C83),0)</f>
        <v>0</v>
      </c>
      <c r="X63" s="17">
        <f>-MAX(FV(Inputs!$C84/12,X$1*12,Inputs!$C85,-Inputs!$C83),0)</f>
        <v>0</v>
      </c>
      <c r="Y63" s="17">
        <f>-MAX(FV(Inputs!$C84/12,Y$1*12,Inputs!$C85,-Inputs!$C83),0)</f>
        <v>0</v>
      </c>
      <c r="Z63" s="17">
        <f>-MAX(FV(Inputs!$C84/12,Z$1*12,Inputs!$C85,-Inputs!$C83),0)</f>
        <v>0</v>
      </c>
      <c r="AA63" s="17">
        <f>-MAX(FV(Inputs!$C84/12,AA$1*12,Inputs!$C85,-Inputs!$C83),0)</f>
        <v>0</v>
      </c>
      <c r="AB63" s="17">
        <f>-MAX(FV(Inputs!$C84/12,AB$1*12,Inputs!$C85,-Inputs!$C83),0)</f>
        <v>0</v>
      </c>
      <c r="AC63" s="17">
        <f>-MAX(FV(Inputs!$C84/12,AC$1*12,Inputs!$C85,-Inputs!$C83),0)</f>
        <v>0</v>
      </c>
      <c r="AD63" s="17">
        <f>-MAX(FV(Inputs!$C84/12,AD$1*12,Inputs!$C85,-Inputs!$C83),0)</f>
        <v>0</v>
      </c>
      <c r="AE63" s="17">
        <f>-MAX(FV(Inputs!$C84/12,AE$1*12,Inputs!$C85,-Inputs!$C83),0)</f>
        <v>0</v>
      </c>
      <c r="AF63" s="17">
        <f>-MAX(FV(Inputs!$C84/12,AF$1*12,Inputs!$C85,-Inputs!$C83),0)</f>
        <v>0</v>
      </c>
      <c r="AG63" s="17">
        <f>-MAX(FV(Inputs!$C84/12,AG$1*12,Inputs!$C85,-Inputs!$C83),0)</f>
        <v>0</v>
      </c>
      <c r="AH63" s="17">
        <f>-MAX(FV(Inputs!$C84/12,AH$1*12,Inputs!$C85,-Inputs!$C83),0)</f>
        <v>0</v>
      </c>
      <c r="AI63" s="17">
        <f>-MAX(FV(Inputs!$C84/12,AI$1*12,Inputs!$C85,-Inputs!$C83),0)</f>
        <v>0</v>
      </c>
      <c r="AJ63" s="17">
        <f>-MAX(FV(Inputs!$C84/12,AJ$1*12,Inputs!$C85,-Inputs!$C83),0)</f>
        <v>0</v>
      </c>
      <c r="AK63" s="17">
        <f>-MAX(FV(Inputs!$C84/12,AK$1*12,Inputs!$C85,-Inputs!$C83),0)</f>
        <v>0</v>
      </c>
      <c r="AL63" s="17">
        <f>-MAX(FV(Inputs!$C84/12,AL$1*12,Inputs!$C85,-Inputs!$C83),0)</f>
        <v>0</v>
      </c>
      <c r="AM63" s="17">
        <f>-MAX(FV(Inputs!$C84/12,AM$1*12,Inputs!$C85,-Inputs!$C83),0)</f>
        <v>0</v>
      </c>
    </row>
    <row r="64" spans="1:39" x14ac:dyDescent="0.2">
      <c r="A64" s="13" t="str">
        <f>TEXT(Inputs!$C$60,"")</f>
        <v>Hamrun</v>
      </c>
      <c r="C64" s="17">
        <f>-MAX(FV(Inputs!$C89/12,C$1*12,Inputs!$C90,-Inputs!$C88),0)</f>
        <v>-2864.7998246718266</v>
      </c>
      <c r="D64" s="17">
        <f>-MAX(FV(Inputs!$C89/12,D$1*12,Inputs!$C90,-Inputs!$C88),0)</f>
        <v>-664.65549280916548</v>
      </c>
      <c r="E64" s="17">
        <f>-MAX(FV(Inputs!$C89/12,E$1*12,Inputs!$C90,-Inputs!$C88),0)</f>
        <v>0</v>
      </c>
      <c r="F64" s="17">
        <f>-MAX(FV(Inputs!$C89/12,F$1*12,Inputs!$C90,-Inputs!$C88),0)</f>
        <v>0</v>
      </c>
      <c r="G64" s="17">
        <f>-MAX(FV(Inputs!$C89/12,G$1*12,Inputs!$C90,-Inputs!$C88),0)</f>
        <v>0</v>
      </c>
      <c r="H64" s="17">
        <f>-MAX(FV(Inputs!$C89/12,H$1*12,Inputs!$C90,-Inputs!$C88),0)</f>
        <v>0</v>
      </c>
      <c r="I64" s="17">
        <f>-MAX(FV(Inputs!$C89/12,I$1*12,Inputs!$C90,-Inputs!$C88),0)</f>
        <v>0</v>
      </c>
      <c r="J64" s="17">
        <f>-MAX(FV(Inputs!$C89/12,J$1*12,Inputs!$C90,-Inputs!$C88),0)</f>
        <v>0</v>
      </c>
      <c r="K64" s="17">
        <f>-MAX(FV(Inputs!$C89/12,K$1*12,Inputs!$C90,-Inputs!$C88),0)</f>
        <v>0</v>
      </c>
      <c r="L64" s="17">
        <f>-MAX(FV(Inputs!$C89/12,L$1*12,Inputs!$C90,-Inputs!$C88),0)</f>
        <v>0</v>
      </c>
      <c r="M64" s="17">
        <f>-MAX(FV(Inputs!$C89/12,M$1*12,Inputs!$C90,-Inputs!$C88),0)</f>
        <v>0</v>
      </c>
      <c r="N64" s="17">
        <f>-MAX(FV(Inputs!$C89/12,N$1*12,Inputs!$C90,-Inputs!$C88),0)</f>
        <v>0</v>
      </c>
      <c r="O64" s="17">
        <f>-MAX(FV(Inputs!$C89/12,O$1*12,Inputs!$C90,-Inputs!$C88),0)</f>
        <v>0</v>
      </c>
      <c r="P64" s="17">
        <f>-MAX(FV(Inputs!$C89/12,P$1*12,Inputs!$C90,-Inputs!$C88),0)</f>
        <v>0</v>
      </c>
      <c r="Q64" s="17">
        <f>-MAX(FV(Inputs!$C89/12,Q$1*12,Inputs!$C90,-Inputs!$C88),0)</f>
        <v>0</v>
      </c>
      <c r="R64" s="17">
        <f>-MAX(FV(Inputs!$C89/12,R$1*12,Inputs!$C90,-Inputs!$C88),0)</f>
        <v>0</v>
      </c>
      <c r="S64" s="17">
        <f>-MAX(FV(Inputs!$C89/12,S$1*12,Inputs!$C90,-Inputs!$C88),0)</f>
        <v>0</v>
      </c>
      <c r="T64" s="17">
        <f>-MAX(FV(Inputs!$C89/12,T$1*12,Inputs!$C90,-Inputs!$C88),0)</f>
        <v>0</v>
      </c>
      <c r="U64" s="17">
        <f>-MAX(FV(Inputs!$C89/12,U$1*12,Inputs!$C90,-Inputs!$C88),0)</f>
        <v>0</v>
      </c>
      <c r="V64" s="17">
        <f>-MAX(FV(Inputs!$C89/12,V$1*12,Inputs!$C90,-Inputs!$C88),0)</f>
        <v>0</v>
      </c>
      <c r="W64" s="17">
        <f>-MAX(FV(Inputs!$C89/12,W$1*12,Inputs!$C90,-Inputs!$C88),0)</f>
        <v>0</v>
      </c>
      <c r="X64" s="17">
        <f>-MAX(FV(Inputs!$C89/12,X$1*12,Inputs!$C90,-Inputs!$C88),0)</f>
        <v>0</v>
      </c>
      <c r="Y64" s="17">
        <f>-MAX(FV(Inputs!$C89/12,Y$1*12,Inputs!$C90,-Inputs!$C88),0)</f>
        <v>0</v>
      </c>
      <c r="Z64" s="17">
        <f>-MAX(FV(Inputs!$C89/12,Z$1*12,Inputs!$C90,-Inputs!$C88),0)</f>
        <v>0</v>
      </c>
      <c r="AA64" s="17">
        <f>-MAX(FV(Inputs!$C89/12,AA$1*12,Inputs!$C90,-Inputs!$C88),0)</f>
        <v>0</v>
      </c>
      <c r="AB64" s="17">
        <f>-MAX(FV(Inputs!$C89/12,AB$1*12,Inputs!$C90,-Inputs!$C88),0)</f>
        <v>0</v>
      </c>
      <c r="AC64" s="17">
        <f>-MAX(FV(Inputs!$C89/12,AC$1*12,Inputs!$C90,-Inputs!$C88),0)</f>
        <v>0</v>
      </c>
      <c r="AD64" s="17">
        <f>-MAX(FV(Inputs!$C89/12,AD$1*12,Inputs!$C90,-Inputs!$C88),0)</f>
        <v>0</v>
      </c>
      <c r="AE64" s="17">
        <f>-MAX(FV(Inputs!$C89/12,AE$1*12,Inputs!$C90,-Inputs!$C88),0)</f>
        <v>0</v>
      </c>
      <c r="AF64" s="17">
        <f>-MAX(FV(Inputs!$C89/12,AF$1*12,Inputs!$C90,-Inputs!$C88),0)</f>
        <v>0</v>
      </c>
      <c r="AG64" s="17">
        <f>-MAX(FV(Inputs!$C89/12,AG$1*12,Inputs!$C90,-Inputs!$C88),0)</f>
        <v>0</v>
      </c>
      <c r="AH64" s="17">
        <f>-MAX(FV(Inputs!$C89/12,AH$1*12,Inputs!$C90,-Inputs!$C88),0)</f>
        <v>0</v>
      </c>
      <c r="AI64" s="17">
        <f>-MAX(FV(Inputs!$C89/12,AI$1*12,Inputs!$C90,-Inputs!$C88),0)</f>
        <v>0</v>
      </c>
      <c r="AJ64" s="17">
        <f>-MAX(FV(Inputs!$C89/12,AJ$1*12,Inputs!$C90,-Inputs!$C88),0)</f>
        <v>0</v>
      </c>
      <c r="AK64" s="17">
        <f>-MAX(FV(Inputs!$C89/12,AK$1*12,Inputs!$C90,-Inputs!$C88),0)</f>
        <v>0</v>
      </c>
      <c r="AL64" s="17">
        <f>-MAX(FV(Inputs!$C89/12,AL$1*12,Inputs!$C90,-Inputs!$C88),0)</f>
        <v>0</v>
      </c>
      <c r="AM64" s="17">
        <f>-MAX(FV(Inputs!$C89/12,AM$1*12,Inputs!$C90,-Inputs!$C88),0)</f>
        <v>0</v>
      </c>
    </row>
    <row r="65" spans="1:39" x14ac:dyDescent="0.2">
      <c r="A65" s="14" t="s">
        <v>39</v>
      </c>
      <c r="C65" s="17">
        <f>-MAX(FV(Inputs!$C94/12,C$1*12,Inputs!$C95,-Inputs!$C93),0)</f>
        <v>-2198.1884457615311</v>
      </c>
      <c r="D65" s="17">
        <f>-MAX(FV(Inputs!$C94/12,D$1*12,Inputs!$C95,-Inputs!$C93),0)</f>
        <v>-1346.9229093299591</v>
      </c>
      <c r="E65" s="17">
        <f>-MAX(FV(Inputs!$C94/12,E$1*12,Inputs!$C95,-Inputs!$C93),0)</f>
        <v>-443.15317729563503</v>
      </c>
      <c r="F65" s="17">
        <f>-MAX(FV(Inputs!$C94/12,F$1*12,Inputs!$C95,-Inputs!$C93),0)</f>
        <v>0</v>
      </c>
      <c r="G65" s="17">
        <f>-MAX(FV(Inputs!$C94/12,G$1*12,Inputs!$C95,-Inputs!$C93),0)</f>
        <v>0</v>
      </c>
      <c r="H65" s="17">
        <f>-MAX(FV(Inputs!$C94/12,H$1*12,Inputs!$C95,-Inputs!$C93),0)</f>
        <v>0</v>
      </c>
      <c r="I65" s="17">
        <f>-MAX(FV(Inputs!$C94/12,I$1*12,Inputs!$C95,-Inputs!$C93),0)</f>
        <v>0</v>
      </c>
      <c r="J65" s="17">
        <f>-MAX(FV(Inputs!$C94/12,J$1*12,Inputs!$C95,-Inputs!$C93),0)</f>
        <v>0</v>
      </c>
      <c r="K65" s="17">
        <f>-MAX(FV(Inputs!$C94/12,K$1*12,Inputs!$C95,-Inputs!$C93),0)</f>
        <v>0</v>
      </c>
      <c r="L65" s="17">
        <f>-MAX(FV(Inputs!$C94/12,L$1*12,Inputs!$C95,-Inputs!$C93),0)</f>
        <v>0</v>
      </c>
      <c r="M65" s="17">
        <f>-MAX(FV(Inputs!$C94/12,M$1*12,Inputs!$C95,-Inputs!$C93),0)</f>
        <v>0</v>
      </c>
      <c r="N65" s="17">
        <f>-MAX(FV(Inputs!$C94/12,N$1*12,Inputs!$C95,-Inputs!$C93),0)</f>
        <v>0</v>
      </c>
      <c r="O65" s="17">
        <f>-MAX(FV(Inputs!$C94/12,O$1*12,Inputs!$C95,-Inputs!$C93),0)</f>
        <v>0</v>
      </c>
      <c r="P65" s="17">
        <f>-MAX(FV(Inputs!$C94/12,P$1*12,Inputs!$C95,-Inputs!$C93),0)</f>
        <v>0</v>
      </c>
      <c r="Q65" s="17">
        <f>-MAX(FV(Inputs!$C94/12,Q$1*12,Inputs!$C95,-Inputs!$C93),0)</f>
        <v>0</v>
      </c>
      <c r="R65" s="17">
        <f>-MAX(FV(Inputs!$C94/12,R$1*12,Inputs!$C95,-Inputs!$C93),0)</f>
        <v>0</v>
      </c>
      <c r="S65" s="17">
        <f>-MAX(FV(Inputs!$C94/12,S$1*12,Inputs!$C95,-Inputs!$C93),0)</f>
        <v>0</v>
      </c>
      <c r="T65" s="17">
        <f>-MAX(FV(Inputs!$C94/12,T$1*12,Inputs!$C95,-Inputs!$C93),0)</f>
        <v>0</v>
      </c>
      <c r="U65" s="17">
        <f>-MAX(FV(Inputs!$C94/12,U$1*12,Inputs!$C95,-Inputs!$C93),0)</f>
        <v>0</v>
      </c>
      <c r="V65" s="17">
        <f>-MAX(FV(Inputs!$C94/12,V$1*12,Inputs!$C95,-Inputs!$C93),0)</f>
        <v>0</v>
      </c>
      <c r="W65" s="17">
        <f>-MAX(FV(Inputs!$C94/12,W$1*12,Inputs!$C95,-Inputs!$C93),0)</f>
        <v>0</v>
      </c>
      <c r="X65" s="17">
        <f>-MAX(FV(Inputs!$C94/12,X$1*12,Inputs!$C95,-Inputs!$C93),0)</f>
        <v>0</v>
      </c>
      <c r="Y65" s="17">
        <f>-MAX(FV(Inputs!$C94/12,Y$1*12,Inputs!$C95,-Inputs!$C93),0)</f>
        <v>0</v>
      </c>
      <c r="Z65" s="17">
        <f>-MAX(FV(Inputs!$C94/12,Z$1*12,Inputs!$C95,-Inputs!$C93),0)</f>
        <v>0</v>
      </c>
      <c r="AA65" s="17">
        <f>-MAX(FV(Inputs!$C94/12,AA$1*12,Inputs!$C95,-Inputs!$C93),0)</f>
        <v>0</v>
      </c>
      <c r="AB65" s="17">
        <f>-MAX(FV(Inputs!$C94/12,AB$1*12,Inputs!$C95,-Inputs!$C93),0)</f>
        <v>0</v>
      </c>
      <c r="AC65" s="17">
        <f>-MAX(FV(Inputs!$C94/12,AC$1*12,Inputs!$C95,-Inputs!$C93),0)</f>
        <v>0</v>
      </c>
      <c r="AD65" s="17">
        <f>-MAX(FV(Inputs!$C94/12,AD$1*12,Inputs!$C95,-Inputs!$C93),0)</f>
        <v>0</v>
      </c>
      <c r="AE65" s="17">
        <f>-MAX(FV(Inputs!$C94/12,AE$1*12,Inputs!$C95,-Inputs!$C93),0)</f>
        <v>0</v>
      </c>
      <c r="AF65" s="17">
        <f>-MAX(FV(Inputs!$C94/12,AF$1*12,Inputs!$C95,-Inputs!$C93),0)</f>
        <v>0</v>
      </c>
      <c r="AG65" s="17">
        <f>-MAX(FV(Inputs!$C94/12,AG$1*12,Inputs!$C95,-Inputs!$C93),0)</f>
        <v>0</v>
      </c>
      <c r="AH65" s="17">
        <f>-MAX(FV(Inputs!$C94/12,AH$1*12,Inputs!$C95,-Inputs!$C93),0)</f>
        <v>0</v>
      </c>
      <c r="AI65" s="17">
        <f>-MAX(FV(Inputs!$C94/12,AI$1*12,Inputs!$C95,-Inputs!$C93),0)</f>
        <v>0</v>
      </c>
      <c r="AJ65" s="17">
        <f>-MAX(FV(Inputs!$C94/12,AJ$1*12,Inputs!$C95,-Inputs!$C93),0)</f>
        <v>0</v>
      </c>
      <c r="AK65" s="17">
        <f>-MAX(FV(Inputs!$C94/12,AK$1*12,Inputs!$C95,-Inputs!$C93),0)</f>
        <v>0</v>
      </c>
      <c r="AL65" s="17">
        <f>-MAX(FV(Inputs!$C94/12,AL$1*12,Inputs!$C95,-Inputs!$C93),0)</f>
        <v>0</v>
      </c>
      <c r="AM65" s="17">
        <f>-MAX(FV(Inputs!$C94/12,AM$1*12,Inputs!$C95,-Inputs!$C93),0)</f>
        <v>0</v>
      </c>
    </row>
    <row r="66" spans="1:39" x14ac:dyDescent="0.2">
      <c r="A66" s="14"/>
      <c r="C66" s="19">
        <f t="shared" ref="C66:G66" ca="1" si="16">SUM(C52:C65)</f>
        <v>1544949.5962261481</v>
      </c>
      <c r="D66" s="19">
        <f t="shared" ca="1" si="16"/>
        <v>1517852.4576191471</v>
      </c>
      <c r="E66" s="19">
        <f t="shared" ca="1" si="16"/>
        <v>1536665.4073570457</v>
      </c>
      <c r="F66" s="19">
        <f t="shared" ca="1" si="16"/>
        <v>1564554.2772227281</v>
      </c>
      <c r="G66" s="19">
        <f t="shared" ca="1" si="16"/>
        <v>1547921.1416809112</v>
      </c>
      <c r="H66" s="19">
        <f t="shared" ref="H66:AM66" ca="1" si="17">SUM(H52:H65)</f>
        <v>1569906.8427281843</v>
      </c>
      <c r="I66" s="19">
        <f t="shared" ca="1" si="17"/>
        <v>1627597.9826141801</v>
      </c>
      <c r="J66" s="19">
        <f t="shared" ca="1" si="17"/>
        <v>1657466.3970750612</v>
      </c>
      <c r="K66" s="19">
        <f t="shared" ca="1" si="17"/>
        <v>1657348.0718335188</v>
      </c>
      <c r="L66" s="19">
        <f t="shared" ca="1" si="17"/>
        <v>1688193.9094133012</v>
      </c>
      <c r="M66" s="19">
        <f t="shared" ca="1" si="17"/>
        <v>1719957.4899146184</v>
      </c>
      <c r="N66" s="19">
        <f t="shared" ca="1" si="17"/>
        <v>1746415.2307781556</v>
      </c>
      <c r="O66" s="19">
        <f t="shared" ca="1" si="17"/>
        <v>1766674.4278677478</v>
      </c>
      <c r="P66" s="19">
        <f t="shared" ca="1" si="17"/>
        <v>1787314.3552595668</v>
      </c>
      <c r="Q66" s="19">
        <f t="shared" ca="1" si="17"/>
        <v>1808362.7833341551</v>
      </c>
      <c r="R66" s="19">
        <f t="shared" ca="1" si="17"/>
        <v>1829849.8843077219</v>
      </c>
      <c r="S66" s="19">
        <f t="shared" ca="1" si="17"/>
        <v>1863081.3858142919</v>
      </c>
      <c r="T66" s="19">
        <f t="shared" ca="1" si="17"/>
        <v>1906642.2313823556</v>
      </c>
      <c r="U66" s="19">
        <f t="shared" ca="1" si="17"/>
        <v>1952192.3948001836</v>
      </c>
      <c r="V66" s="19">
        <f t="shared" ca="1" si="17"/>
        <v>1999824.8979947795</v>
      </c>
      <c r="W66" s="19">
        <f t="shared" ca="1" si="17"/>
        <v>2049637.6895170973</v>
      </c>
      <c r="X66" s="19">
        <f t="shared" ca="1" si="17"/>
        <v>2101733.9499324267</v>
      </c>
      <c r="Y66" s="19">
        <f t="shared" ca="1" si="17"/>
        <v>2156222.4186476739</v>
      </c>
      <c r="Z66" s="19">
        <f t="shared" ca="1" si="17"/>
        <v>2213217.7437923704</v>
      </c>
      <c r="AA66" s="19">
        <f t="shared" ca="1" si="17"/>
        <v>2272840.8568964163</v>
      </c>
      <c r="AB66" s="19">
        <f t="shared" ca="1" si="17"/>
        <v>2335219.3742437558</v>
      </c>
      <c r="AC66" s="19">
        <f t="shared" ca="1" si="17"/>
        <v>2400488.0269281873</v>
      </c>
      <c r="AD66" s="19">
        <f t="shared" ca="1" si="17"/>
        <v>2480475.9219059017</v>
      </c>
      <c r="AE66" s="19">
        <f t="shared" ca="1" si="17"/>
        <v>2563938.8058545557</v>
      </c>
      <c r="AF66" s="19">
        <f t="shared" ca="1" si="17"/>
        <v>2651042.9597167815</v>
      </c>
      <c r="AG66" s="19">
        <f t="shared" ca="1" si="17"/>
        <v>2741964.0154429642</v>
      </c>
      <c r="AH66" s="19">
        <f t="shared" ca="1" si="17"/>
        <v>2836887.5705297729</v>
      </c>
      <c r="AI66" s="19">
        <f t="shared" ca="1" si="17"/>
        <v>2936009.8473405582</v>
      </c>
      <c r="AJ66" s="19">
        <f t="shared" ca="1" si="17"/>
        <v>3039538.4006493622</v>
      </c>
      <c r="AK66" s="19">
        <f t="shared" ca="1" si="17"/>
        <v>3147692.8771211458</v>
      </c>
      <c r="AL66" s="19">
        <f t="shared" ca="1" si="17"/>
        <v>3260705.8307332876</v>
      </c>
      <c r="AM66" s="19">
        <f t="shared" ca="1" si="17"/>
        <v>3378823.5984590179</v>
      </c>
    </row>
    <row r="67" spans="1:39" x14ac:dyDescent="0.2">
      <c r="A67" s="14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</row>
    <row r="68" spans="1:39" x14ac:dyDescent="0.2">
      <c r="A68" s="47" t="s">
        <v>90</v>
      </c>
      <c r="C68" s="17">
        <f ca="1">C53-Inputs!$C$159</f>
        <v>664578.80000000005</v>
      </c>
      <c r="D68" s="17">
        <f ca="1">D53-Inputs!$C$159</f>
        <v>565523.44559532881</v>
      </c>
      <c r="E68" s="17">
        <f ca="1">E53-Inputs!$C$159</f>
        <v>516818.54594435322</v>
      </c>
      <c r="F68" s="17">
        <f ca="1">F53-Inputs!$C$159</f>
        <v>479495.63528901932</v>
      </c>
      <c r="G68" s="17">
        <f ca="1">G53-Inputs!$C$159</f>
        <v>399136.11835878156</v>
      </c>
      <c r="H68" s="17">
        <f ca="1">H53-Inputs!$C$159</f>
        <v>355493.30580093106</v>
      </c>
      <c r="I68" s="17">
        <f ca="1">I53-Inputs!$C$159</f>
        <v>345591.02540947287</v>
      </c>
      <c r="J68" s="17">
        <f ca="1">J53-Inputs!$C$159</f>
        <v>305835.83444133337</v>
      </c>
      <c r="K68" s="17">
        <f ca="1">K53-Inputs!$C$159</f>
        <v>233995.80718639237</v>
      </c>
      <c r="L68" s="17">
        <f ca="1">L53-Inputs!$C$159</f>
        <v>190951.16457455605</v>
      </c>
      <c r="M68" s="17">
        <f ca="1">M53-Inputs!$C$159</f>
        <v>146581.88886248111</v>
      </c>
      <c r="N68" s="17">
        <f ca="1">N53-Inputs!$C$159</f>
        <v>109081.59242159489</v>
      </c>
      <c r="O68" s="17">
        <f ca="1">O53-Inputs!$C$159</f>
        <v>79202.61024367121</v>
      </c>
      <c r="P68" s="17">
        <f ca="1">P53-Inputs!$C$159</f>
        <v>47998.759380603165</v>
      </c>
      <c r="Q68" s="17">
        <f ca="1">Q53-Inputs!$C$159</f>
        <v>15430.525954565201</v>
      </c>
      <c r="R68" s="17">
        <f ca="1">R53-Inputs!$C$159</f>
        <v>-18542.509907454223</v>
      </c>
      <c r="S68" s="17">
        <f ca="1">S53-Inputs!$C$159</f>
        <v>-42688.722870673722</v>
      </c>
      <c r="T68" s="17">
        <f ca="1">T53-Inputs!$C$159</f>
        <v>-58500.998617960053</v>
      </c>
      <c r="U68" s="17">
        <f ca="1">U53-Inputs!$C$159</f>
        <v>-74401.151599326025</v>
      </c>
      <c r="V68" s="17">
        <f ca="1">V53-Inputs!$C$159</f>
        <v>-90382.155855835503</v>
      </c>
      <c r="W68" s="17">
        <f ca="1">W53-Inputs!$C$159</f>
        <v>-106436.53309288535</v>
      </c>
      <c r="X68" s="17">
        <f ca="1">X53-Inputs!$C$159</f>
        <v>-122556.33307121292</v>
      </c>
      <c r="Y68" s="17">
        <f ca="1">Y53-Inputs!$C$159</f>
        <v>-138733.11325866071</v>
      </c>
      <c r="Z68" s="17">
        <f ca="1">Z53-Inputs!$C$159</f>
        <v>-154957.91771674657</v>
      </c>
      <c r="AA68" s="17">
        <f ca="1">AA53-Inputs!$C$159</f>
        <v>-171221.25519521505</v>
      </c>
      <c r="AB68" s="17">
        <f ca="1">AB53-Inputs!$C$159</f>
        <v>-187513.07640684361</v>
      </c>
      <c r="AC68" s="17">
        <f ca="1">AC53-Inputs!$C$159</f>
        <v>-203822.75045384717</v>
      </c>
      <c r="AD68" s="17">
        <f ca="1">AD53-Inputs!$C$159</f>
        <v>-208452.24026646439</v>
      </c>
      <c r="AE68" s="17">
        <f ca="1">AE53-Inputs!$C$159</f>
        <v>-212784.30756936097</v>
      </c>
      <c r="AF68" s="17">
        <f ca="1">AF53-Inputs!$C$159</f>
        <v>-216799.12200714284</v>
      </c>
      <c r="AG68" s="17">
        <f ca="1">AG53-Inputs!$C$159</f>
        <v>-220475.98562175149</v>
      </c>
      <c r="AH68" s="17">
        <f ca="1">AH53-Inputs!$C$159</f>
        <v>-223793.30000708409</v>
      </c>
      <c r="AI68" s="17">
        <f ca="1">AI53-Inputs!$C$159</f>
        <v>-226728.53230781946</v>
      </c>
      <c r="AJ68" s="17">
        <f ca="1">AJ53-Inputs!$C$159</f>
        <v>-229258.1800235158</v>
      </c>
      <c r="AK68" s="17">
        <f ca="1">AK53-Inputs!$C$159</f>
        <v>-231357.7345777704</v>
      </c>
      <c r="AL68" s="17">
        <f ca="1">AL53-Inputs!$C$159</f>
        <v>-233001.64361091712</v>
      </c>
      <c r="AM68" s="17">
        <f ca="1">AM53-Inputs!$C$159</f>
        <v>-234163.27195337944</v>
      </c>
    </row>
    <row r="69" spans="1:39" x14ac:dyDescent="0.2">
      <c r="A69" s="7" t="s">
        <v>22</v>
      </c>
      <c r="C69" s="17">
        <f ca="1">IF(C68&lt;0,C53,0)</f>
        <v>0</v>
      </c>
      <c r="D69" s="17">
        <f ca="1">IF(D68+SUM($C69:C69)&lt;0,-(D68+SUM($C69:C69)),0)</f>
        <v>0</v>
      </c>
      <c r="E69" s="17">
        <f ca="1">IF(E68+SUM($C69:D69)&lt;0,-(E68+SUM($C69:D69)),0)</f>
        <v>0</v>
      </c>
      <c r="F69" s="17">
        <f ca="1">IF(F68+SUM($C69:E69)&lt;0,-(F68+SUM($C69:E69)),0)</f>
        <v>0</v>
      </c>
      <c r="G69" s="17">
        <f ca="1">IF(G68+SUM($C69:F69)&lt;0,-(G68+SUM($C69:F69)),0)</f>
        <v>0</v>
      </c>
      <c r="H69" s="17">
        <f ca="1">IF(H68+SUM($C69:G69)&lt;0,-(H68+SUM($C69:G69)),0)</f>
        <v>0</v>
      </c>
      <c r="I69" s="17">
        <f ca="1">IF(I68+SUM($C69:H69)&lt;0,-(I68+SUM($C69:H69)),0)</f>
        <v>0</v>
      </c>
      <c r="J69" s="17">
        <f ca="1">IF(J68+SUM($C69:I69)&lt;0,-(J68+SUM($C69:I69)),0)</f>
        <v>0</v>
      </c>
      <c r="K69" s="17">
        <f ca="1">IF(K68+SUM($C69:J69)&lt;0,-(K68+SUM($C69:J69)),0)</f>
        <v>0</v>
      </c>
      <c r="L69" s="17">
        <f ca="1">IF(L68+SUM($C69:K69)&lt;0,-(L68+SUM($C69:K69)),0)</f>
        <v>0</v>
      </c>
      <c r="M69" s="17">
        <f ca="1">IF(M68+SUM($C69:L69)&lt;0,-(M68+SUM($C69:L69)),0)</f>
        <v>0</v>
      </c>
      <c r="N69" s="17">
        <f ca="1">IF(N68+SUM($C69:M69)&lt;0,-(N68+SUM($C69:M69)),0)</f>
        <v>0</v>
      </c>
      <c r="O69" s="17">
        <f ca="1">IF(O68+SUM($C69:N69)&lt;0,-(O68+SUM($C69:N69)),0)</f>
        <v>0</v>
      </c>
      <c r="P69" s="17">
        <f ca="1">IF(P68+SUM($C69:O69)&lt;0,-(P68+SUM($C69:O69)),0)</f>
        <v>0</v>
      </c>
      <c r="Q69" s="17">
        <f ca="1">IF(Q68+SUM($C69:P69)&lt;0,-(Q68+SUM($C69:P69)),0)</f>
        <v>0</v>
      </c>
      <c r="R69" s="17">
        <f ca="1">IF(R68+SUM($C69:Q69)&lt;0,-(R68+SUM($C69:Q69)),0)</f>
        <v>18542.509907454223</v>
      </c>
      <c r="S69" s="17">
        <f ca="1">IF(S68+SUM($C69:R69)&lt;0,-(S68+SUM($C69:R69)),0)</f>
        <v>24146.212963219499</v>
      </c>
      <c r="T69" s="17">
        <f ca="1">IF(T68+SUM($C69:S69)&lt;0,-(T68+SUM($C69:S69)),0)</f>
        <v>15812.27574728633</v>
      </c>
      <c r="U69" s="17">
        <f ca="1">IF(U68+SUM($C69:T69)&lt;0,-(U68+SUM($C69:T69)),0)</f>
        <v>15900.152981365973</v>
      </c>
      <c r="V69" s="17">
        <f ca="1">IF(V68+SUM($C69:U69)&lt;0,-(V68+SUM($C69:U69)),0)</f>
        <v>15981.004256509477</v>
      </c>
      <c r="W69" s="17">
        <f ca="1">IF(W68+SUM($C69:V69)&lt;0,-(W68+SUM($C69:V69)),0)</f>
        <v>16054.377237049848</v>
      </c>
      <c r="X69" s="17">
        <f ca="1">IF(X68+SUM($C69:W69)&lt;0,-(X68+SUM($C69:W69)),0)</f>
        <v>16119.799978327574</v>
      </c>
      <c r="Y69" s="17">
        <f ca="1">IF(Y68+SUM($C69:X69)&lt;0,-(Y68+SUM($C69:X69)),0)</f>
        <v>16176.780187447788</v>
      </c>
      <c r="Z69" s="17">
        <f ca="1">IF(Z68+SUM($C69:Y69)&lt;0,-(Z68+SUM($C69:Y69)),0)</f>
        <v>16224.804458085855</v>
      </c>
      <c r="AA69" s="17">
        <f ca="1">IF(AA68+SUM($C69:Z69)&lt;0,-(AA68+SUM($C69:Z69)),0)</f>
        <v>16263.337478468486</v>
      </c>
      <c r="AB69" s="17">
        <f ca="1">IF(AB68+SUM($C69:AA69)&lt;0,-(AB68+SUM($C69:AA69)),0)</f>
        <v>16291.821211628558</v>
      </c>
      <c r="AC69" s="17">
        <f ca="1">IF(AC68+SUM($C69:AB69)&lt;0,-(AC68+SUM($C69:AB69)),0)</f>
        <v>16309.674047003558</v>
      </c>
      <c r="AD69" s="17">
        <f ca="1">IF(AD68+SUM($C69:AC69)&lt;0,-(AD68+SUM($C69:AC69)),0)</f>
        <v>4629.4898126172193</v>
      </c>
      <c r="AE69" s="17">
        <f ca="1">IF(AE68+SUM($C69:AD69)&lt;0,-(AE68+SUM($C69:AD69)),0)</f>
        <v>4332.067302896583</v>
      </c>
      <c r="AF69" s="17">
        <f ca="1">IF(AF68+SUM($C69:AE69)&lt;0,-(AF68+SUM($C69:AE69)),0)</f>
        <v>4014.814437781868</v>
      </c>
      <c r="AG69" s="17">
        <f ca="1">IF(AG68+SUM($C69:AF69)&lt;0,-(AG68+SUM($C69:AF69)),0)</f>
        <v>3676.8636146086501</v>
      </c>
      <c r="AH69" s="17">
        <f ca="1">IF(AH68+SUM($C69:AG69)&lt;0,-(AH68+SUM($C69:AG69)),0)</f>
        <v>3317.3143853326037</v>
      </c>
      <c r="AI69" s="17">
        <f ca="1">IF(AI68+SUM($C69:AH69)&lt;0,-(AI68+SUM($C69:AH69)),0)</f>
        <v>2935.2323007353698</v>
      </c>
      <c r="AJ69" s="17">
        <f ca="1">IF(AJ68+SUM($C69:AI69)&lt;0,-(AJ68+SUM($C69:AI69)),0)</f>
        <v>2529.6477156963374</v>
      </c>
      <c r="AK69" s="17">
        <f ca="1">IF(AK68+SUM($C69:AJ69)&lt;0,-(AK68+SUM($C69:AJ69)),0)</f>
        <v>2099.5545542546024</v>
      </c>
      <c r="AL69" s="17">
        <f ca="1">IF(AL68+SUM($C69:AK69)&lt;0,-(AL68+SUM($C69:AK69)),0)</f>
        <v>1643.909033146716</v>
      </c>
      <c r="AM69" s="17">
        <f ca="1">IF(AM68+SUM($C69:AL69)&lt;0,-(AM68+SUM($C69:AL69)),0)</f>
        <v>1161.6283424623252</v>
      </c>
    </row>
    <row r="70" spans="1:39" x14ac:dyDescent="0.2"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19" x14ac:dyDescent="0.25">
      <c r="A71" s="42" t="s">
        <v>23</v>
      </c>
      <c r="B71" s="43"/>
      <c r="C71" s="44"/>
      <c r="D71" s="45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</row>
    <row r="72" spans="1:39" x14ac:dyDescent="0.2">
      <c r="A72" s="2"/>
      <c r="C72" s="17"/>
      <c r="D72" s="24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</row>
    <row r="73" spans="1:39" x14ac:dyDescent="0.2">
      <c r="A73" s="41" t="s">
        <v>29</v>
      </c>
      <c r="B73" s="43"/>
      <c r="C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</row>
    <row r="74" spans="1:39" x14ac:dyDescent="0.2">
      <c r="A74" s="13" t="s">
        <v>24</v>
      </c>
      <c r="C74" s="17">
        <f>C59</f>
        <v>21600</v>
      </c>
      <c r="D74" s="17">
        <f t="shared" ref="D74:AM74" ca="1" si="18">C77</f>
        <v>21600</v>
      </c>
      <c r="E74" s="17">
        <f t="shared" ca="1" si="18"/>
        <v>23328</v>
      </c>
      <c r="F74" s="17">
        <f t="shared" ca="1" si="18"/>
        <v>25194.240000000002</v>
      </c>
      <c r="G74" s="17">
        <f t="shared" ca="1" si="18"/>
        <v>27209.779200000001</v>
      </c>
      <c r="H74" s="17">
        <f t="shared" ca="1" si="18"/>
        <v>29386.561536000001</v>
      </c>
      <c r="I74" s="17">
        <f t="shared" ca="1" si="18"/>
        <v>31737.486458880001</v>
      </c>
      <c r="J74" s="17">
        <f t="shared" ca="1" si="18"/>
        <v>34276.485375590404</v>
      </c>
      <c r="K74" s="17">
        <f t="shared" ca="1" si="18"/>
        <v>37018.604205637639</v>
      </c>
      <c r="L74" s="17">
        <f t="shared" ca="1" si="18"/>
        <v>39980.092542088649</v>
      </c>
      <c r="M74" s="17">
        <f t="shared" ca="1" si="18"/>
        <v>43178.49994545574</v>
      </c>
      <c r="N74" s="17">
        <f t="shared" ca="1" si="18"/>
        <v>46632.779941092202</v>
      </c>
      <c r="O74" s="17">
        <f t="shared" ca="1" si="18"/>
        <v>50363.402336379579</v>
      </c>
      <c r="P74" s="17">
        <f t="shared" ca="1" si="18"/>
        <v>54392.474523289944</v>
      </c>
      <c r="Q74" s="17">
        <f t="shared" ca="1" si="18"/>
        <v>58743.872485153137</v>
      </c>
      <c r="R74" s="17">
        <f t="shared" ca="1" si="18"/>
        <v>63443.382283965388</v>
      </c>
      <c r="S74" s="17">
        <f t="shared" ca="1" si="18"/>
        <v>47438.946866629398</v>
      </c>
      <c r="T74" s="17">
        <f t="shared" ca="1" si="18"/>
        <v>23783.631036720741</v>
      </c>
      <c r="U74" s="17">
        <f t="shared" ca="1" si="18"/>
        <v>7710.2606701118339</v>
      </c>
      <c r="V74" s="17">
        <f t="shared" ca="1" si="18"/>
        <v>0</v>
      </c>
      <c r="W74" s="17">
        <f t="shared" ca="1" si="18"/>
        <v>0</v>
      </c>
      <c r="X74" s="17">
        <f t="shared" ca="1" si="18"/>
        <v>0</v>
      </c>
      <c r="Y74" s="17">
        <f t="shared" ca="1" si="18"/>
        <v>0</v>
      </c>
      <c r="Z74" s="17">
        <f t="shared" ca="1" si="18"/>
        <v>0</v>
      </c>
      <c r="AA74" s="17">
        <f t="shared" ca="1" si="18"/>
        <v>0</v>
      </c>
      <c r="AB74" s="17">
        <f t="shared" ca="1" si="18"/>
        <v>0</v>
      </c>
      <c r="AC74" s="17">
        <f t="shared" ca="1" si="18"/>
        <v>0</v>
      </c>
      <c r="AD74" s="17">
        <f t="shared" ca="1" si="18"/>
        <v>0</v>
      </c>
      <c r="AE74" s="17">
        <f t="shared" ca="1" si="18"/>
        <v>0</v>
      </c>
      <c r="AF74" s="17">
        <f t="shared" ca="1" si="18"/>
        <v>0</v>
      </c>
      <c r="AG74" s="17">
        <f t="shared" ca="1" si="18"/>
        <v>0</v>
      </c>
      <c r="AH74" s="17">
        <f t="shared" ca="1" si="18"/>
        <v>0</v>
      </c>
      <c r="AI74" s="17">
        <f t="shared" ca="1" si="18"/>
        <v>0</v>
      </c>
      <c r="AJ74" s="17">
        <f t="shared" ca="1" si="18"/>
        <v>0</v>
      </c>
      <c r="AK74" s="17">
        <f t="shared" ca="1" si="18"/>
        <v>0</v>
      </c>
      <c r="AL74" s="17">
        <f t="shared" ca="1" si="18"/>
        <v>0</v>
      </c>
      <c r="AM74" s="17">
        <f t="shared" ca="1" si="18"/>
        <v>0</v>
      </c>
    </row>
    <row r="75" spans="1:39" x14ac:dyDescent="0.2">
      <c r="A75" s="13" t="s">
        <v>25</v>
      </c>
      <c r="C75" s="17">
        <f ca="1">-MIN( IF(C74&gt;C69/ (1 - Inputs!$C$161), C69/ (1 - Inputs!$C$161), C74), C74/ (1 - Inputs!$C$161) )</f>
        <v>0</v>
      </c>
      <c r="D75" s="17">
        <f ca="1">-MIN( IF(D74&gt;D69/ (1 - Inputs!$C$161), D69/ (1 - Inputs!$C$161), D74), D74/ (1 - Inputs!$C$161) )</f>
        <v>0</v>
      </c>
      <c r="E75" s="17">
        <f ca="1">-MIN( IF(E74&gt;E69/ (1 - Inputs!$C$161), E69/ (1 - Inputs!$C$161), E74), E74/ (1 - Inputs!$C$161) )</f>
        <v>0</v>
      </c>
      <c r="F75" s="17">
        <f ca="1">-MIN( IF(F74&gt;F69/ (1 - Inputs!$C$161), F69/ (1 - Inputs!$C$161), F74), F74/ (1 - Inputs!$C$161) )</f>
        <v>0</v>
      </c>
      <c r="G75" s="17">
        <f ca="1">-MIN( IF(G74&gt;G69/ (1 - Inputs!$C$161), G69/ (1 - Inputs!$C$161), G74), G74/ (1 - Inputs!$C$161) )</f>
        <v>0</v>
      </c>
      <c r="H75" s="17">
        <f ca="1">-MIN( IF(H74&gt;H69/ (1 - Inputs!$C$161), H69/ (1 - Inputs!$C$161), H74), H74/ (1 - Inputs!$C$161) )</f>
        <v>0</v>
      </c>
      <c r="I75" s="17">
        <f ca="1">-MIN( IF(I74&gt;I69/ (1 - Inputs!$C$161), I69/ (1 - Inputs!$C$161), I74), I74/ (1 - Inputs!$C$161) )</f>
        <v>0</v>
      </c>
      <c r="J75" s="17">
        <f ca="1">-MIN( IF(J74&gt;J69/ (1 - Inputs!$C$161), J69/ (1 - Inputs!$C$161), J74), J74/ (1 - Inputs!$C$161) )</f>
        <v>0</v>
      </c>
      <c r="K75" s="17">
        <f ca="1">-MIN( IF(K74&gt;K69/ (1 - Inputs!$C$161), K69/ (1 - Inputs!$C$161), K74), K74/ (1 - Inputs!$C$161) )</f>
        <v>0</v>
      </c>
      <c r="L75" s="17">
        <f ca="1">-MIN( IF(L74&gt;L69/ (1 - Inputs!$C$161), L69/ (1 - Inputs!$C$161), L74), L74/ (1 - Inputs!$C$161) )</f>
        <v>0</v>
      </c>
      <c r="M75" s="17">
        <f ca="1">-MIN( IF(M74&gt;M69/ (1 - Inputs!$C$161), M69/ (1 - Inputs!$C$161), M74), M74/ (1 - Inputs!$C$161) )</f>
        <v>0</v>
      </c>
      <c r="N75" s="17">
        <f ca="1">-MIN( IF(N74&gt;N69/ (1 - Inputs!$C$161), N69/ (1 - Inputs!$C$161), N74), N74/ (1 - Inputs!$C$161) )</f>
        <v>0</v>
      </c>
      <c r="O75" s="17">
        <f ca="1">-MIN( IF(O74&gt;O69/ (1 - Inputs!$C$161), O69/ (1 - Inputs!$C$161), O74), O74/ (1 - Inputs!$C$161) )</f>
        <v>0</v>
      </c>
      <c r="P75" s="17">
        <f ca="1">-MIN( IF(P74&gt;P69/ (1 - Inputs!$C$161), P69/ (1 - Inputs!$C$161), P74), P74/ (1 - Inputs!$C$161) )</f>
        <v>0</v>
      </c>
      <c r="Q75" s="17">
        <f ca="1">-MIN( IF(Q74&gt;Q69/ (1 - Inputs!$C$161), Q69/ (1 - Inputs!$C$161), Q74), Q74/ (1 - Inputs!$C$161) )</f>
        <v>0</v>
      </c>
      <c r="R75" s="17">
        <f ca="1">-MIN( IF(R74&gt;R69/ (1 - Inputs!$C$161), R69/ (1 - Inputs!$C$161), R74), R74/ (1 - Inputs!$C$161) )</f>
        <v>-19518.431481530763</v>
      </c>
      <c r="S75" s="17">
        <f ca="1">-MIN( IF(S74&gt;S69/ (1 - Inputs!$C$161), S69/ (1 - Inputs!$C$161), S74), S74/ (1 - Inputs!$C$161) )</f>
        <v>-25417.066277073158</v>
      </c>
      <c r="T75" s="17">
        <f ca="1">-MIN( IF(T74&gt;T69/ (1 - Inputs!$C$161), T69/ (1 - Inputs!$C$161), T74), T74/ (1 - Inputs!$C$161) )</f>
        <v>-16644.500786617191</v>
      </c>
      <c r="U75" s="17">
        <f ca="1">-MIN( IF(U74&gt;U69/ (1 - Inputs!$C$161), U69/ (1 - Inputs!$C$161), U74), U74/ (1 - Inputs!$C$161) )</f>
        <v>-7710.2606701118339</v>
      </c>
      <c r="V75" s="17">
        <f ca="1">-MIN( IF(V74&gt;V69/ (1 - Inputs!$C$161), V69/ (1 - Inputs!$C$161), V74), V74/ (1 - Inputs!$C$161) )</f>
        <v>0</v>
      </c>
      <c r="W75" s="17">
        <f ca="1">-MIN( IF(W74&gt;W69/ (1 - Inputs!$C$161), W69/ (1 - Inputs!$C$161), W74), W74/ (1 - Inputs!$C$161) )</f>
        <v>0</v>
      </c>
      <c r="X75" s="17">
        <f ca="1">-MIN( IF(X74&gt;X69/ (1 - Inputs!$C$161), X69/ (1 - Inputs!$C$161), X74), X74/ (1 - Inputs!$C$161) )</f>
        <v>0</v>
      </c>
      <c r="Y75" s="17">
        <f ca="1">-MIN( IF(Y74&gt;Y69/ (1 - Inputs!$C$161), Y69/ (1 - Inputs!$C$161), Y74), Y74/ (1 - Inputs!$C$161) )</f>
        <v>0</v>
      </c>
      <c r="Z75" s="17">
        <f ca="1">-MIN( IF(Z74&gt;Z69/ (1 - Inputs!$C$161), Z69/ (1 - Inputs!$C$161), Z74), Z74/ (1 - Inputs!$C$161) )</f>
        <v>0</v>
      </c>
      <c r="AA75" s="17">
        <f ca="1">-MIN( IF(AA74&gt;AA69/ (1 - Inputs!$C$161), AA69/ (1 - Inputs!$C$161), AA74), AA74/ (1 - Inputs!$C$161) )</f>
        <v>0</v>
      </c>
      <c r="AB75" s="17">
        <f ca="1">-MIN( IF(AB74&gt;AB69/ (1 - Inputs!$C$161), AB69/ (1 - Inputs!$C$161), AB74), AB74/ (1 - Inputs!$C$161) )</f>
        <v>0</v>
      </c>
      <c r="AC75" s="17">
        <f ca="1">-MIN( IF(AC74&gt;AC69/ (1 - Inputs!$C$161), AC69/ (1 - Inputs!$C$161), AC74), AC74/ (1 - Inputs!$C$161) )</f>
        <v>0</v>
      </c>
      <c r="AD75" s="17">
        <f ca="1">-MIN( IF(AD74&gt;AD69/ (1 - Inputs!$C$161), AD69/ (1 - Inputs!$C$161), AD74), AD74/ (1 - Inputs!$C$161) )</f>
        <v>0</v>
      </c>
      <c r="AE75" s="17">
        <f ca="1">-MIN( IF(AE74&gt;AE69/ (1 - Inputs!$C$161), AE69/ (1 - Inputs!$C$161), AE74), AE74/ (1 - Inputs!$C$161) )</f>
        <v>0</v>
      </c>
      <c r="AF75" s="17">
        <f ca="1">-MIN( IF(AF74&gt;AF69/ (1 - Inputs!$C$161), AF69/ (1 - Inputs!$C$161), AF74), AF74/ (1 - Inputs!$C$161) )</f>
        <v>0</v>
      </c>
      <c r="AG75" s="17">
        <f ca="1">-MIN( IF(AG74&gt;AG69/ (1 - Inputs!$C$161), AG69/ (1 - Inputs!$C$161), AG74), AG74/ (1 - Inputs!$C$161) )</f>
        <v>0</v>
      </c>
      <c r="AH75" s="17">
        <f ca="1">-MIN( IF(AH74&gt;AH69/ (1 - Inputs!$C$161), AH69/ (1 - Inputs!$C$161), AH74), AH74/ (1 - Inputs!$C$161) )</f>
        <v>0</v>
      </c>
      <c r="AI75" s="17">
        <f ca="1">-MIN( IF(AI74&gt;AI69/ (1 - Inputs!$C$161), AI69/ (1 - Inputs!$C$161), AI74), AI74/ (1 - Inputs!$C$161) )</f>
        <v>0</v>
      </c>
      <c r="AJ75" s="17">
        <f ca="1">-MIN( IF(AJ74&gt;AJ69/ (1 - Inputs!$C$161), AJ69/ (1 - Inputs!$C$161), AJ74), AJ74/ (1 - Inputs!$C$161) )</f>
        <v>0</v>
      </c>
      <c r="AK75" s="17">
        <f ca="1">-MIN( IF(AK74&gt;AK69/ (1 - Inputs!$C$161), AK69/ (1 - Inputs!$C$161), AK74), AK74/ (1 - Inputs!$C$161) )</f>
        <v>0</v>
      </c>
      <c r="AL75" s="17">
        <f ca="1">-MIN( IF(AL74&gt;AL69/ (1 - Inputs!$C$161), AL69/ (1 - Inputs!$C$161), AL74), AL74/ (1 - Inputs!$C$161) )</f>
        <v>0</v>
      </c>
      <c r="AM75" s="17">
        <f ca="1">-MIN( IF(AM74&gt;AM69/ (1 - Inputs!$C$161), AM69/ (1 - Inputs!$C$161), AM74), AM74/ (1 - Inputs!$C$161) )</f>
        <v>0</v>
      </c>
    </row>
    <row r="76" spans="1:39" x14ac:dyDescent="0.2">
      <c r="A76" s="13" t="s">
        <v>26</v>
      </c>
      <c r="C76" s="17">
        <v>0</v>
      </c>
      <c r="D76" s="17">
        <f t="shared" ref="D76:G76" ca="1" si="19">SUM(D74:D75)*stinc</f>
        <v>1728</v>
      </c>
      <c r="E76" s="17">
        <f t="shared" ca="1" si="19"/>
        <v>1866.24</v>
      </c>
      <c r="F76" s="17">
        <f t="shared" ca="1" si="19"/>
        <v>2015.5392000000002</v>
      </c>
      <c r="G76" s="17">
        <f t="shared" ca="1" si="19"/>
        <v>2176.7823360000002</v>
      </c>
      <c r="H76" s="17">
        <f t="shared" ref="H76:AM76" ca="1" si="20">SUM(H74:H75)*stinc</f>
        <v>2350.9249228799999</v>
      </c>
      <c r="I76" s="17">
        <f t="shared" ca="1" si="20"/>
        <v>2538.9989167104</v>
      </c>
      <c r="J76" s="17">
        <f t="shared" ca="1" si="20"/>
        <v>2742.1188300472322</v>
      </c>
      <c r="K76" s="17">
        <f t="shared" ca="1" si="20"/>
        <v>2961.488336451011</v>
      </c>
      <c r="L76" s="17">
        <f t="shared" ca="1" si="20"/>
        <v>3198.4074033670918</v>
      </c>
      <c r="M76" s="17">
        <f t="shared" ca="1" si="20"/>
        <v>3454.2799956364593</v>
      </c>
      <c r="N76" s="17">
        <f t="shared" ca="1" si="20"/>
        <v>3730.6223952873761</v>
      </c>
      <c r="O76" s="17">
        <f t="shared" ca="1" si="20"/>
        <v>4029.0721869103663</v>
      </c>
      <c r="P76" s="17">
        <f t="shared" ca="1" si="20"/>
        <v>4351.3979618631956</v>
      </c>
      <c r="Q76" s="17">
        <f t="shared" ca="1" si="20"/>
        <v>4699.5097988122507</v>
      </c>
      <c r="R76" s="17">
        <f t="shared" ca="1" si="20"/>
        <v>3513.9960641947705</v>
      </c>
      <c r="S76" s="17">
        <f t="shared" ca="1" si="20"/>
        <v>1761.7504471644993</v>
      </c>
      <c r="T76" s="17">
        <f t="shared" ca="1" si="20"/>
        <v>571.13042000828398</v>
      </c>
      <c r="U76" s="17">
        <f t="shared" ca="1" si="20"/>
        <v>0</v>
      </c>
      <c r="V76" s="17">
        <f t="shared" ca="1" si="20"/>
        <v>0</v>
      </c>
      <c r="W76" s="17">
        <f t="shared" ca="1" si="20"/>
        <v>0</v>
      </c>
      <c r="X76" s="17">
        <f t="shared" ca="1" si="20"/>
        <v>0</v>
      </c>
      <c r="Y76" s="17">
        <f t="shared" ca="1" si="20"/>
        <v>0</v>
      </c>
      <c r="Z76" s="17">
        <f t="shared" ca="1" si="20"/>
        <v>0</v>
      </c>
      <c r="AA76" s="17">
        <f t="shared" ca="1" si="20"/>
        <v>0</v>
      </c>
      <c r="AB76" s="17">
        <f t="shared" ca="1" si="20"/>
        <v>0</v>
      </c>
      <c r="AC76" s="17">
        <f t="shared" ca="1" si="20"/>
        <v>0</v>
      </c>
      <c r="AD76" s="17">
        <f t="shared" ca="1" si="20"/>
        <v>0</v>
      </c>
      <c r="AE76" s="17">
        <f t="shared" ca="1" si="20"/>
        <v>0</v>
      </c>
      <c r="AF76" s="17">
        <f t="shared" ca="1" si="20"/>
        <v>0</v>
      </c>
      <c r="AG76" s="17">
        <f t="shared" ca="1" si="20"/>
        <v>0</v>
      </c>
      <c r="AH76" s="17">
        <f t="shared" ca="1" si="20"/>
        <v>0</v>
      </c>
      <c r="AI76" s="17">
        <f t="shared" ca="1" si="20"/>
        <v>0</v>
      </c>
      <c r="AJ76" s="17">
        <f t="shared" ca="1" si="20"/>
        <v>0</v>
      </c>
      <c r="AK76" s="17">
        <f t="shared" ca="1" si="20"/>
        <v>0</v>
      </c>
      <c r="AL76" s="17">
        <f t="shared" ca="1" si="20"/>
        <v>0</v>
      </c>
      <c r="AM76" s="17">
        <f t="shared" ca="1" si="20"/>
        <v>0</v>
      </c>
    </row>
    <row r="77" spans="1:39" x14ac:dyDescent="0.2">
      <c r="A77" s="13" t="s">
        <v>27</v>
      </c>
      <c r="C77" s="17">
        <f ca="1">SUM(C74:C76)</f>
        <v>21600</v>
      </c>
      <c r="D77" s="17">
        <f ca="1">SUM(D74:D76)</f>
        <v>23328</v>
      </c>
      <c r="E77" s="17">
        <f t="shared" ref="E77:G77" ca="1" si="21">SUM(E74:E76)</f>
        <v>25194.240000000002</v>
      </c>
      <c r="F77" s="17">
        <f t="shared" ca="1" si="21"/>
        <v>27209.779200000001</v>
      </c>
      <c r="G77" s="17">
        <f t="shared" ca="1" si="21"/>
        <v>29386.561536000001</v>
      </c>
      <c r="H77" s="17">
        <f t="shared" ref="H77:AM77" ca="1" si="22">SUM(H74:H76)</f>
        <v>31737.486458880001</v>
      </c>
      <c r="I77" s="17">
        <f t="shared" ca="1" si="22"/>
        <v>34276.485375590404</v>
      </c>
      <c r="J77" s="17">
        <f t="shared" ca="1" si="22"/>
        <v>37018.604205637639</v>
      </c>
      <c r="K77" s="17">
        <f t="shared" ca="1" si="22"/>
        <v>39980.092542088649</v>
      </c>
      <c r="L77" s="17">
        <f t="shared" ca="1" si="22"/>
        <v>43178.49994545574</v>
      </c>
      <c r="M77" s="17">
        <f t="shared" ca="1" si="22"/>
        <v>46632.779941092202</v>
      </c>
      <c r="N77" s="17">
        <f t="shared" ca="1" si="22"/>
        <v>50363.402336379579</v>
      </c>
      <c r="O77" s="17">
        <f t="shared" ca="1" si="22"/>
        <v>54392.474523289944</v>
      </c>
      <c r="P77" s="17">
        <f t="shared" ca="1" si="22"/>
        <v>58743.872485153137</v>
      </c>
      <c r="Q77" s="17">
        <f t="shared" ca="1" si="22"/>
        <v>63443.382283965388</v>
      </c>
      <c r="R77" s="17">
        <f t="shared" ca="1" si="22"/>
        <v>47438.946866629398</v>
      </c>
      <c r="S77" s="17">
        <f t="shared" ca="1" si="22"/>
        <v>23783.631036720741</v>
      </c>
      <c r="T77" s="17">
        <f t="shared" ca="1" si="22"/>
        <v>7710.2606701118339</v>
      </c>
      <c r="U77" s="17">
        <f t="shared" ca="1" si="22"/>
        <v>0</v>
      </c>
      <c r="V77" s="17">
        <f t="shared" ca="1" si="22"/>
        <v>0</v>
      </c>
      <c r="W77" s="17">
        <f t="shared" ca="1" si="22"/>
        <v>0</v>
      </c>
      <c r="X77" s="17">
        <f t="shared" ca="1" si="22"/>
        <v>0</v>
      </c>
      <c r="Y77" s="17">
        <f t="shared" ca="1" si="22"/>
        <v>0</v>
      </c>
      <c r="Z77" s="17">
        <f t="shared" ca="1" si="22"/>
        <v>0</v>
      </c>
      <c r="AA77" s="17">
        <f t="shared" ca="1" si="22"/>
        <v>0</v>
      </c>
      <c r="AB77" s="17">
        <f t="shared" ca="1" si="22"/>
        <v>0</v>
      </c>
      <c r="AC77" s="17">
        <f t="shared" ca="1" si="22"/>
        <v>0</v>
      </c>
      <c r="AD77" s="17">
        <f t="shared" ca="1" si="22"/>
        <v>0</v>
      </c>
      <c r="AE77" s="17">
        <f t="shared" ca="1" si="22"/>
        <v>0</v>
      </c>
      <c r="AF77" s="17">
        <f t="shared" ca="1" si="22"/>
        <v>0</v>
      </c>
      <c r="AG77" s="17">
        <f t="shared" ca="1" si="22"/>
        <v>0</v>
      </c>
      <c r="AH77" s="17">
        <f t="shared" ca="1" si="22"/>
        <v>0</v>
      </c>
      <c r="AI77" s="17">
        <f t="shared" ca="1" si="22"/>
        <v>0</v>
      </c>
      <c r="AJ77" s="17">
        <f t="shared" ca="1" si="22"/>
        <v>0</v>
      </c>
      <c r="AK77" s="17">
        <f t="shared" ca="1" si="22"/>
        <v>0</v>
      </c>
      <c r="AL77" s="17">
        <f t="shared" ca="1" si="22"/>
        <v>0</v>
      </c>
      <c r="AM77" s="17">
        <f t="shared" ca="1" si="22"/>
        <v>0</v>
      </c>
    </row>
    <row r="78" spans="1:39" x14ac:dyDescent="0.2">
      <c r="A78" s="13" t="s">
        <v>28</v>
      </c>
      <c r="C78" s="17">
        <f ca="1">C75*Inputs!$C$161</f>
        <v>0</v>
      </c>
      <c r="D78" s="17">
        <f ca="1">D75*Inputs!$C$161</f>
        <v>0</v>
      </c>
      <c r="E78" s="17">
        <f ca="1">E75*Inputs!$C$161</f>
        <v>0</v>
      </c>
      <c r="F78" s="17">
        <f ca="1">F75*Inputs!$C$161</f>
        <v>0</v>
      </c>
      <c r="G78" s="17">
        <f ca="1">G75*Inputs!$C$161</f>
        <v>0</v>
      </c>
      <c r="H78" s="17">
        <f ca="1">H75*Inputs!$C$161</f>
        <v>0</v>
      </c>
      <c r="I78" s="17">
        <f ca="1">I75*Inputs!$C$161</f>
        <v>0</v>
      </c>
      <c r="J78" s="17">
        <f ca="1">J75*Inputs!$C$161</f>
        <v>0</v>
      </c>
      <c r="K78" s="17">
        <f ca="1">K75*Inputs!$C$161</f>
        <v>0</v>
      </c>
      <c r="L78" s="17">
        <f ca="1">L75*Inputs!$C$161</f>
        <v>0</v>
      </c>
      <c r="M78" s="17">
        <f ca="1">M75*Inputs!$C$161</f>
        <v>0</v>
      </c>
      <c r="N78" s="17">
        <f ca="1">N75*Inputs!$C$161</f>
        <v>0</v>
      </c>
      <c r="O78" s="17">
        <f ca="1">O75*Inputs!$C$161</f>
        <v>0</v>
      </c>
      <c r="P78" s="17">
        <f ca="1">P75*Inputs!$C$161</f>
        <v>0</v>
      </c>
      <c r="Q78" s="17">
        <f ca="1">Q75*Inputs!$C$161</f>
        <v>0</v>
      </c>
      <c r="R78" s="17">
        <f ca="1">R75*Inputs!$C$161</f>
        <v>-975.92157407653815</v>
      </c>
      <c r="S78" s="17">
        <f ca="1">S75*Inputs!$C$161</f>
        <v>-1270.8533138536579</v>
      </c>
      <c r="T78" s="17">
        <f ca="1">T75*Inputs!$C$161</f>
        <v>-832.22503933085954</v>
      </c>
      <c r="U78" s="17">
        <f ca="1">U75*Inputs!$C$161</f>
        <v>-385.51303350559169</v>
      </c>
      <c r="V78" s="17">
        <f ca="1">V75*Inputs!$C$161</f>
        <v>0</v>
      </c>
      <c r="W78" s="17">
        <f ca="1">W75*Inputs!$C$161</f>
        <v>0</v>
      </c>
      <c r="X78" s="17">
        <f ca="1">X75*Inputs!$C$161</f>
        <v>0</v>
      </c>
      <c r="Y78" s="17">
        <f ca="1">Y75*Inputs!$C$161</f>
        <v>0</v>
      </c>
      <c r="Z78" s="17">
        <f ca="1">Z75*Inputs!$C$161</f>
        <v>0</v>
      </c>
      <c r="AA78" s="17">
        <f ca="1">AA75*Inputs!$C$161</f>
        <v>0</v>
      </c>
      <c r="AB78" s="17">
        <f ca="1">AB75*Inputs!$C$161</f>
        <v>0</v>
      </c>
      <c r="AC78" s="17">
        <f ca="1">AC75*Inputs!$C$161</f>
        <v>0</v>
      </c>
      <c r="AD78" s="17">
        <f ca="1">AD75*Inputs!$C$161</f>
        <v>0</v>
      </c>
      <c r="AE78" s="17">
        <f ca="1">AE75*Inputs!$C$161</f>
        <v>0</v>
      </c>
      <c r="AF78" s="17">
        <f ca="1">AF75*Inputs!$C$161</f>
        <v>0</v>
      </c>
      <c r="AG78" s="17">
        <f ca="1">AG75*Inputs!$C$161</f>
        <v>0</v>
      </c>
      <c r="AH78" s="17">
        <f ca="1">AH75*Inputs!$C$161</f>
        <v>0</v>
      </c>
      <c r="AI78" s="17">
        <f ca="1">AI75*Inputs!$C$161</f>
        <v>0</v>
      </c>
      <c r="AJ78" s="17">
        <f ca="1">AJ75*Inputs!$C$161</f>
        <v>0</v>
      </c>
      <c r="AK78" s="17">
        <f ca="1">AK75*Inputs!$C$161</f>
        <v>0</v>
      </c>
      <c r="AL78" s="17">
        <f ca="1">AL75*Inputs!$C$161</f>
        <v>0</v>
      </c>
      <c r="AM78" s="17">
        <f ca="1">AM75*Inputs!$C$161</f>
        <v>0</v>
      </c>
    </row>
    <row r="79" spans="1:39" x14ac:dyDescent="0.2">
      <c r="A79" s="13" t="s">
        <v>42</v>
      </c>
      <c r="C79" s="17">
        <f ca="1">-C75+C78</f>
        <v>0</v>
      </c>
      <c r="D79" s="17">
        <f t="shared" ref="D79:G79" ca="1" si="23">-D75+D78</f>
        <v>0</v>
      </c>
      <c r="E79" s="17">
        <f t="shared" ca="1" si="23"/>
        <v>0</v>
      </c>
      <c r="F79" s="17">
        <f t="shared" ca="1" si="23"/>
        <v>0</v>
      </c>
      <c r="G79" s="17">
        <f t="shared" ca="1" si="23"/>
        <v>0</v>
      </c>
      <c r="H79" s="17">
        <f t="shared" ref="H79:AM79" ca="1" si="24">-H75+H78</f>
        <v>0</v>
      </c>
      <c r="I79" s="17">
        <f t="shared" ca="1" si="24"/>
        <v>0</v>
      </c>
      <c r="J79" s="17">
        <f t="shared" ca="1" si="24"/>
        <v>0</v>
      </c>
      <c r="K79" s="17">
        <f t="shared" ca="1" si="24"/>
        <v>0</v>
      </c>
      <c r="L79" s="17">
        <f t="shared" ca="1" si="24"/>
        <v>0</v>
      </c>
      <c r="M79" s="17">
        <f t="shared" ca="1" si="24"/>
        <v>0</v>
      </c>
      <c r="N79" s="17">
        <f t="shared" ca="1" si="24"/>
        <v>0</v>
      </c>
      <c r="O79" s="17">
        <f t="shared" ca="1" si="24"/>
        <v>0</v>
      </c>
      <c r="P79" s="17">
        <f t="shared" ca="1" si="24"/>
        <v>0</v>
      </c>
      <c r="Q79" s="17">
        <f t="shared" ca="1" si="24"/>
        <v>0</v>
      </c>
      <c r="R79" s="17">
        <f t="shared" ca="1" si="24"/>
        <v>18542.509907454223</v>
      </c>
      <c r="S79" s="17">
        <f t="shared" ca="1" si="24"/>
        <v>24146.212963219499</v>
      </c>
      <c r="T79" s="17">
        <f t="shared" ca="1" si="24"/>
        <v>15812.27574728633</v>
      </c>
      <c r="U79" s="17">
        <f t="shared" ca="1" si="24"/>
        <v>7324.7476366062419</v>
      </c>
      <c r="V79" s="17">
        <f t="shared" ca="1" si="24"/>
        <v>0</v>
      </c>
      <c r="W79" s="17">
        <f t="shared" ca="1" si="24"/>
        <v>0</v>
      </c>
      <c r="X79" s="17">
        <f t="shared" ca="1" si="24"/>
        <v>0</v>
      </c>
      <c r="Y79" s="17">
        <f t="shared" ca="1" si="24"/>
        <v>0</v>
      </c>
      <c r="Z79" s="17">
        <f t="shared" ca="1" si="24"/>
        <v>0</v>
      </c>
      <c r="AA79" s="17">
        <f t="shared" ca="1" si="24"/>
        <v>0</v>
      </c>
      <c r="AB79" s="17">
        <f t="shared" ca="1" si="24"/>
        <v>0</v>
      </c>
      <c r="AC79" s="17">
        <f t="shared" ca="1" si="24"/>
        <v>0</v>
      </c>
      <c r="AD79" s="17">
        <f t="shared" ca="1" si="24"/>
        <v>0</v>
      </c>
      <c r="AE79" s="17">
        <f t="shared" ca="1" si="24"/>
        <v>0</v>
      </c>
      <c r="AF79" s="17">
        <f t="shared" ca="1" si="24"/>
        <v>0</v>
      </c>
      <c r="AG79" s="17">
        <f t="shared" ca="1" si="24"/>
        <v>0</v>
      </c>
      <c r="AH79" s="17">
        <f t="shared" ca="1" si="24"/>
        <v>0</v>
      </c>
      <c r="AI79" s="17">
        <f t="shared" ca="1" si="24"/>
        <v>0</v>
      </c>
      <c r="AJ79" s="17">
        <f t="shared" ca="1" si="24"/>
        <v>0</v>
      </c>
      <c r="AK79" s="17">
        <f t="shared" ca="1" si="24"/>
        <v>0</v>
      </c>
      <c r="AL79" s="17">
        <f t="shared" ca="1" si="24"/>
        <v>0</v>
      </c>
      <c r="AM79" s="17">
        <f t="shared" ca="1" si="24"/>
        <v>0</v>
      </c>
    </row>
    <row r="80" spans="1:39" x14ac:dyDescent="0.2">
      <c r="A80" s="14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</row>
    <row r="81" spans="1:39" x14ac:dyDescent="0.2">
      <c r="A81" s="13" t="s">
        <v>56</v>
      </c>
      <c r="C81" s="17">
        <f ca="1">C53+SUM($C79:C79)</f>
        <v>714578.8</v>
      </c>
      <c r="D81" s="17">
        <f ca="1">D53+SUM($C79:D79)</f>
        <v>615523.44559532881</v>
      </c>
      <c r="E81" s="17">
        <f ca="1">E53+SUM($C79:E79)</f>
        <v>566818.54594435322</v>
      </c>
      <c r="F81" s="17">
        <f ca="1">F53+SUM($C79:F79)</f>
        <v>529495.63528901932</v>
      </c>
      <c r="G81" s="17">
        <f ca="1">G53+SUM($C79:G79)</f>
        <v>449136.11835878156</v>
      </c>
      <c r="H81" s="17">
        <f ca="1">H53+SUM($C79:H79)</f>
        <v>405493.30580093106</v>
      </c>
      <c r="I81" s="17">
        <f ca="1">I53+SUM($C79:I79)</f>
        <v>395591.02540947287</v>
      </c>
      <c r="J81" s="17">
        <f ca="1">J53+SUM($C79:J79)</f>
        <v>355835.83444133337</v>
      </c>
      <c r="K81" s="17">
        <f ca="1">K53+SUM($C79:K79)</f>
        <v>283995.80718639237</v>
      </c>
      <c r="L81" s="17">
        <f ca="1">L53+SUM($C79:L79)</f>
        <v>240951.16457455605</v>
      </c>
      <c r="M81" s="17">
        <f ca="1">M53+SUM($C79:M79)</f>
        <v>196581.88886248111</v>
      </c>
      <c r="N81" s="17">
        <f ca="1">N53+SUM($C79:N79)</f>
        <v>159081.59242159489</v>
      </c>
      <c r="O81" s="17">
        <f ca="1">O53+SUM($C79:O79)</f>
        <v>129202.61024367121</v>
      </c>
      <c r="P81" s="17">
        <f ca="1">P53+SUM($C79:P79)</f>
        <v>97998.759380603165</v>
      </c>
      <c r="Q81" s="17">
        <f ca="1">Q53+SUM($C79:Q79)</f>
        <v>65430.525954565201</v>
      </c>
      <c r="R81" s="17">
        <f ca="1">R53+SUM($C79:R79)</f>
        <v>50000</v>
      </c>
      <c r="S81" s="17">
        <f ca="1">S53+SUM($C79:S79)</f>
        <v>50000</v>
      </c>
      <c r="T81" s="17">
        <f ca="1">T53+SUM($C79:T79)</f>
        <v>50000</v>
      </c>
      <c r="U81" s="17">
        <f ca="1">U53+SUM($C79:U79)</f>
        <v>41424.594655240275</v>
      </c>
      <c r="V81" s="17">
        <f ca="1">V53+SUM($C79:V79)</f>
        <v>25443.590398730797</v>
      </c>
      <c r="W81" s="17">
        <f ca="1">W53+SUM($C79:W79)</f>
        <v>9389.2131616809493</v>
      </c>
      <c r="X81" s="17">
        <f ca="1">X53+SUM($C79:X79)</f>
        <v>-6730.5868166466244</v>
      </c>
      <c r="Y81" s="17">
        <f ca="1">Y53+SUM($C79:Y79)</f>
        <v>-22907.367004094398</v>
      </c>
      <c r="Z81" s="17">
        <f ca="1">Z53+SUM($C79:Z79)</f>
        <v>-39132.171462180282</v>
      </c>
      <c r="AA81" s="17">
        <f ca="1">AA53+SUM($C79:AA79)</f>
        <v>-55395.508940648768</v>
      </c>
      <c r="AB81" s="17">
        <f ca="1">AB53+SUM($C79:AB79)</f>
        <v>-71687.330152277311</v>
      </c>
      <c r="AC81" s="17">
        <f ca="1">AC53+SUM($C79:AC79)</f>
        <v>-87997.004199280869</v>
      </c>
      <c r="AD81" s="17">
        <f ca="1">AD53+SUM($C79:AD79)</f>
        <v>-92626.494011898089</v>
      </c>
      <c r="AE81" s="17">
        <f ca="1">AE53+SUM($C79:AE79)</f>
        <v>-96958.561314794671</v>
      </c>
      <c r="AF81" s="17">
        <f ca="1">AF53+SUM($C79:AF79)</f>
        <v>-100973.37575257654</v>
      </c>
      <c r="AG81" s="17">
        <f ca="1">AG53+SUM($C79:AG79)</f>
        <v>-104650.23936718519</v>
      </c>
      <c r="AH81" s="17">
        <f ca="1">AH53+SUM($C79:AH79)</f>
        <v>-107967.55375251779</v>
      </c>
      <c r="AI81" s="17">
        <f ca="1">AI53+SUM($C79:AI79)</f>
        <v>-110902.78605325316</v>
      </c>
      <c r="AJ81" s="17">
        <f ca="1">AJ53+SUM($C79:AJ79)</f>
        <v>-113432.4337689495</v>
      </c>
      <c r="AK81" s="17">
        <f ca="1">AK53+SUM($C79:AK79)</f>
        <v>-115531.9883232041</v>
      </c>
      <c r="AL81" s="17">
        <f ca="1">AL53+SUM($C79:AL79)</f>
        <v>-117175.89735635082</v>
      </c>
      <c r="AM81" s="17">
        <f ca="1">AM53+SUM($C79:AM79)</f>
        <v>-118337.52569881314</v>
      </c>
    </row>
    <row r="82" spans="1:39" x14ac:dyDescent="0.2">
      <c r="A82" s="13" t="s">
        <v>22</v>
      </c>
      <c r="C82" s="17">
        <f ca="1">IF(C81&lt;0,C81,0)</f>
        <v>0</v>
      </c>
      <c r="D82" s="17">
        <f ca="1">IF(D81+SUM($C82:C82)&lt;0,-(D81+SUM($C82:C82)),0)</f>
        <v>0</v>
      </c>
      <c r="E82" s="17">
        <f ca="1">IF(E81+SUM($C82:D82)&lt;0,-(E81+SUM($C82:D82)),0)</f>
        <v>0</v>
      </c>
      <c r="F82" s="17">
        <f ca="1">IF(F81+SUM($C82:E82)&lt;0,-(F81+SUM($C82:E82)),0)</f>
        <v>0</v>
      </c>
      <c r="G82" s="17">
        <f ca="1">IF(G81+SUM($C82:F82)&lt;0,-(G81+SUM($C82:F82)),0)</f>
        <v>0</v>
      </c>
      <c r="H82" s="17">
        <f ca="1">IF(H81+SUM($C82:G82)&lt;0,-(H81+SUM($C82:G82)),0)</f>
        <v>0</v>
      </c>
      <c r="I82" s="17">
        <f ca="1">IF(I81+SUM($C82:H82)&lt;0,-(I81+SUM($C82:H82)),0)</f>
        <v>0</v>
      </c>
      <c r="J82" s="17">
        <f ca="1">IF(J81+SUM($C82:I82)&lt;0,-(J81+SUM($C82:I82)),0)</f>
        <v>0</v>
      </c>
      <c r="K82" s="17">
        <f ca="1">IF(K81+SUM($C82:J82)&lt;0,-(K81+SUM($C82:J82)),0)</f>
        <v>0</v>
      </c>
      <c r="L82" s="17">
        <f ca="1">IF(L81+SUM($C82:K82)&lt;0,-(L81+SUM($C82:K82)),0)</f>
        <v>0</v>
      </c>
      <c r="M82" s="17">
        <f ca="1">IF(M81+SUM($C82:L82)&lt;0,-(M81+SUM($C82:L82)),0)</f>
        <v>0</v>
      </c>
      <c r="N82" s="17">
        <f ca="1">IF(N81+SUM($C82:M82)&lt;0,-(N81+SUM($C82:M82)),0)</f>
        <v>0</v>
      </c>
      <c r="O82" s="17">
        <f ca="1">IF(O81+SUM($C82:N82)&lt;0,-(O81+SUM($C82:N82)),0)</f>
        <v>0</v>
      </c>
      <c r="P82" s="17">
        <f ca="1">IF(P81+SUM($C82:O82)&lt;0,-(P81+SUM($C82:O82)),0)</f>
        <v>0</v>
      </c>
      <c r="Q82" s="17">
        <f ca="1">IF(Q81+SUM($C82:P82)&lt;0,-(Q81+SUM($C82:P82)),0)</f>
        <v>0</v>
      </c>
      <c r="R82" s="17">
        <f ca="1">IF(R81+SUM($C82:Q82)&lt;0,-(R81+SUM($C82:Q82)),0)</f>
        <v>0</v>
      </c>
      <c r="S82" s="17">
        <f ca="1">IF(S81+SUM($C82:R82)&lt;0,-(S81+SUM($C82:R82)),0)</f>
        <v>0</v>
      </c>
      <c r="T82" s="17">
        <f ca="1">IF(T81+SUM($C82:S82)&lt;0,-(T81+SUM($C82:S82)),0)</f>
        <v>0</v>
      </c>
      <c r="U82" s="17">
        <f ca="1">IF(U81+SUM($C82:T82)&lt;0,-(U81+SUM($C82:T82)),0)</f>
        <v>0</v>
      </c>
      <c r="V82" s="17">
        <f ca="1">IF(V81+SUM($C82:U82)&lt;0,-(V81+SUM($C82:U82)),0)</f>
        <v>0</v>
      </c>
      <c r="W82" s="17">
        <f ca="1">IF(W81+SUM($C82:V82)&lt;0,-(W81+SUM($C82:V82)),0)</f>
        <v>0</v>
      </c>
      <c r="X82" s="17">
        <f ca="1">IF(X81+SUM($C82:W82)&lt;0,-(X81+SUM($C82:W82)),0)</f>
        <v>6730.5868166466244</v>
      </c>
      <c r="Y82" s="17">
        <f ca="1">IF(Y81+SUM($C82:X82)&lt;0,-(Y81+SUM($C82:X82)),0)</f>
        <v>16176.780187447774</v>
      </c>
      <c r="Z82" s="17">
        <f ca="1">IF(Z81+SUM($C82:Y82)&lt;0,-(Z81+SUM($C82:Y82)),0)</f>
        <v>16224.804458085884</v>
      </c>
      <c r="AA82" s="17">
        <f ca="1">IF(AA81+SUM($C82:Z82)&lt;0,-(AA81+SUM($C82:Z82)),0)</f>
        <v>16263.337478468486</v>
      </c>
      <c r="AB82" s="17">
        <f ca="1">IF(AB81+SUM($C82:AA82)&lt;0,-(AB81+SUM($C82:AA82)),0)</f>
        <v>16291.821211628543</v>
      </c>
      <c r="AC82" s="17">
        <f ca="1">IF(AC81+SUM($C82:AB82)&lt;0,-(AC81+SUM($C82:AB82)),0)</f>
        <v>16309.674047003558</v>
      </c>
      <c r="AD82" s="17">
        <f ca="1">IF(AD81+SUM($C82:AC82)&lt;0,-(AD81+SUM($C82:AC82)),0)</f>
        <v>4629.4898126172193</v>
      </c>
      <c r="AE82" s="17">
        <f ca="1">IF(AE81+SUM($C82:AD82)&lt;0,-(AE81+SUM($C82:AD82)),0)</f>
        <v>4332.067302896583</v>
      </c>
      <c r="AF82" s="17">
        <f ca="1">IF(AF81+SUM($C82:AE82)&lt;0,-(AF81+SUM($C82:AE82)),0)</f>
        <v>4014.814437781868</v>
      </c>
      <c r="AG82" s="17">
        <f ca="1">IF(AG81+SUM($C82:AF82)&lt;0,-(AG81+SUM($C82:AF82)),0)</f>
        <v>3676.8636146086501</v>
      </c>
      <c r="AH82" s="17">
        <f ca="1">IF(AH81+SUM($C82:AG82)&lt;0,-(AH81+SUM($C82:AG82)),0)</f>
        <v>3317.3143853326037</v>
      </c>
      <c r="AI82" s="17">
        <f ca="1">IF(AI81+SUM($C82:AH82)&lt;0,-(AI81+SUM($C82:AH82)),0)</f>
        <v>2935.2323007353698</v>
      </c>
      <c r="AJ82" s="17">
        <f ca="1">IF(AJ81+SUM($C82:AI82)&lt;0,-(AJ81+SUM($C82:AI82)),0)</f>
        <v>2529.6477156963374</v>
      </c>
      <c r="AK82" s="17">
        <f ca="1">IF(AK81+SUM($C82:AJ82)&lt;0,-(AK81+SUM($C82:AJ82)),0)</f>
        <v>2099.5545542546024</v>
      </c>
      <c r="AL82" s="17">
        <f ca="1">IF(AL81+SUM($C82:AK82)&lt;0,-(AL81+SUM($C82:AK82)),0)</f>
        <v>1643.909033146716</v>
      </c>
      <c r="AM82" s="17">
        <f ca="1">IF(AM81+SUM($C82:AL82)&lt;0,-(AM81+SUM($C82:AL82)),0)</f>
        <v>1161.6283424623252</v>
      </c>
    </row>
    <row r="83" spans="1:39" x14ac:dyDescent="0.2">
      <c r="A83" s="1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x14ac:dyDescent="0.2">
      <c r="A84" s="41" t="str">
        <f>IF(Inputs!$C$165=6,IFERROR(_xlfn.XLOOKUP($B84,Inputs!$C$166:$C$168,Inputs!$B$166:$B$168,,0,1),""),IFERROR(_xlfn.XLOOKUP($B84,Inputs!$O$166:$O$168,Inputs!$B$166:$B$168,,0,1),""))</f>
        <v>Hamrun</v>
      </c>
      <c r="B84" s="43">
        <v>1</v>
      </c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</row>
    <row r="85" spans="1:39" x14ac:dyDescent="0.2">
      <c r="A85" s="13" t="s">
        <v>24</v>
      </c>
      <c r="C85" s="17">
        <f>IFERROR(VLOOKUP($A84,$A$52:$H$66,C$1+2,FALSE),0)</f>
        <v>28840</v>
      </c>
      <c r="D85" s="17">
        <f ca="1">C88</f>
        <v>28840</v>
      </c>
      <c r="E85" s="17">
        <f t="shared" ref="E85:AM85" ca="1" si="25">D88</f>
        <v>29705.200000000001</v>
      </c>
      <c r="F85" s="17">
        <f t="shared" ca="1" si="25"/>
        <v>30596.356</v>
      </c>
      <c r="G85" s="17">
        <f t="shared" ca="1" si="25"/>
        <v>31514.24668</v>
      </c>
      <c r="H85" s="17">
        <f t="shared" ca="1" si="25"/>
        <v>32459.6740804</v>
      </c>
      <c r="I85" s="17">
        <f t="shared" ca="1" si="25"/>
        <v>33433.464302811997</v>
      </c>
      <c r="J85" s="17">
        <f t="shared" ca="1" si="25"/>
        <v>34436.468231896361</v>
      </c>
      <c r="K85" s="17">
        <f t="shared" ca="1" si="25"/>
        <v>35469.562278853249</v>
      </c>
      <c r="L85" s="17">
        <f t="shared" ca="1" si="25"/>
        <v>36533.64914721885</v>
      </c>
      <c r="M85" s="17">
        <f t="shared" ca="1" si="25"/>
        <v>37629.658621635419</v>
      </c>
      <c r="N85" s="17">
        <f t="shared" ca="1" si="25"/>
        <v>38758.548380284483</v>
      </c>
      <c r="O85" s="17">
        <f t="shared" ca="1" si="25"/>
        <v>39921.304831693014</v>
      </c>
      <c r="P85" s="17">
        <f t="shared" ca="1" si="25"/>
        <v>41118.943976643808</v>
      </c>
      <c r="Q85" s="17">
        <f t="shared" ca="1" si="25"/>
        <v>42352.512295943125</v>
      </c>
      <c r="R85" s="17">
        <f t="shared" ca="1" si="25"/>
        <v>43623.087664821418</v>
      </c>
      <c r="S85" s="17">
        <f t="shared" ca="1" si="25"/>
        <v>44931.78029476606</v>
      </c>
      <c r="T85" s="17">
        <f t="shared" ca="1" si="25"/>
        <v>46279.733703609039</v>
      </c>
      <c r="U85" s="17">
        <f t="shared" ca="1" si="25"/>
        <v>47668.125714717309</v>
      </c>
      <c r="V85" s="17">
        <f t="shared" ca="1" si="25"/>
        <v>49098.169486158826</v>
      </c>
      <c r="W85" s="17">
        <f t="shared" ca="1" si="25"/>
        <v>50571.114570743594</v>
      </c>
      <c r="X85" s="17">
        <f t="shared" ca="1" si="25"/>
        <v>0</v>
      </c>
      <c r="Y85" s="17">
        <f t="shared" ca="1" si="25"/>
        <v>0</v>
      </c>
      <c r="Z85" s="17">
        <f t="shared" ca="1" si="25"/>
        <v>0</v>
      </c>
      <c r="AA85" s="17">
        <f t="shared" ca="1" si="25"/>
        <v>0</v>
      </c>
      <c r="AB85" s="17">
        <f t="shared" ca="1" si="25"/>
        <v>0</v>
      </c>
      <c r="AC85" s="17">
        <f t="shared" ca="1" si="25"/>
        <v>0</v>
      </c>
      <c r="AD85" s="17">
        <f t="shared" ca="1" si="25"/>
        <v>0</v>
      </c>
      <c r="AE85" s="17">
        <f t="shared" ca="1" si="25"/>
        <v>0</v>
      </c>
      <c r="AF85" s="17">
        <f t="shared" ca="1" si="25"/>
        <v>0</v>
      </c>
      <c r="AG85" s="17">
        <f t="shared" ca="1" si="25"/>
        <v>0</v>
      </c>
      <c r="AH85" s="17">
        <f t="shared" ca="1" si="25"/>
        <v>0</v>
      </c>
      <c r="AI85" s="17">
        <f t="shared" ca="1" si="25"/>
        <v>0</v>
      </c>
      <c r="AJ85" s="17">
        <f t="shared" ca="1" si="25"/>
        <v>0</v>
      </c>
      <c r="AK85" s="17">
        <f t="shared" ca="1" si="25"/>
        <v>0</v>
      </c>
      <c r="AL85" s="17">
        <f t="shared" ca="1" si="25"/>
        <v>0</v>
      </c>
      <c r="AM85" s="17">
        <f t="shared" ca="1" si="25"/>
        <v>0</v>
      </c>
    </row>
    <row r="86" spans="1:39" x14ac:dyDescent="0.2">
      <c r="A86" s="13" t="s">
        <v>25</v>
      </c>
      <c r="C86" s="17">
        <f ca="1">-IF(SUM(C82:D82)&gt;0,C85,0)</f>
        <v>0</v>
      </c>
      <c r="D86" s="17">
        <f ca="1">-IF(E82&gt;0,D85,0)</f>
        <v>0</v>
      </c>
      <c r="E86" s="17">
        <f ca="1">-IF(F82&gt;0,E85,0)</f>
        <v>0</v>
      </c>
      <c r="F86" s="17">
        <f ca="1">-IF(G82&gt;0,F85,0)</f>
        <v>0</v>
      </c>
      <c r="G86" s="17">
        <f t="shared" ref="G86:AM86" ca="1" si="26">-IF(H82&gt;0,G85,0)</f>
        <v>0</v>
      </c>
      <c r="H86" s="17">
        <f t="shared" ca="1" si="26"/>
        <v>0</v>
      </c>
      <c r="I86" s="17">
        <f t="shared" ca="1" si="26"/>
        <v>0</v>
      </c>
      <c r="J86" s="17">
        <f t="shared" ca="1" si="26"/>
        <v>0</v>
      </c>
      <c r="K86" s="17">
        <f t="shared" ca="1" si="26"/>
        <v>0</v>
      </c>
      <c r="L86" s="17">
        <f t="shared" ca="1" si="26"/>
        <v>0</v>
      </c>
      <c r="M86" s="17">
        <f t="shared" ca="1" si="26"/>
        <v>0</v>
      </c>
      <c r="N86" s="17">
        <f t="shared" ca="1" si="26"/>
        <v>0</v>
      </c>
      <c r="O86" s="17">
        <f t="shared" ca="1" si="26"/>
        <v>0</v>
      </c>
      <c r="P86" s="17">
        <f t="shared" ca="1" si="26"/>
        <v>0</v>
      </c>
      <c r="Q86" s="17">
        <f t="shared" ca="1" si="26"/>
        <v>0</v>
      </c>
      <c r="R86" s="17">
        <f t="shared" ca="1" si="26"/>
        <v>0</v>
      </c>
      <c r="S86" s="17">
        <f t="shared" ca="1" si="26"/>
        <v>0</v>
      </c>
      <c r="T86" s="17">
        <f t="shared" ca="1" si="26"/>
        <v>0</v>
      </c>
      <c r="U86" s="17">
        <f t="shared" ca="1" si="26"/>
        <v>0</v>
      </c>
      <c r="V86" s="17">
        <f t="shared" ca="1" si="26"/>
        <v>0</v>
      </c>
      <c r="W86" s="17">
        <f t="shared" ca="1" si="26"/>
        <v>-50571.114570743594</v>
      </c>
      <c r="X86" s="17">
        <f t="shared" ca="1" si="26"/>
        <v>0</v>
      </c>
      <c r="Y86" s="17">
        <f t="shared" ca="1" si="26"/>
        <v>0</v>
      </c>
      <c r="Z86" s="17">
        <f t="shared" ca="1" si="26"/>
        <v>0</v>
      </c>
      <c r="AA86" s="17">
        <f t="shared" ca="1" si="26"/>
        <v>0</v>
      </c>
      <c r="AB86" s="17">
        <f t="shared" ca="1" si="26"/>
        <v>0</v>
      </c>
      <c r="AC86" s="17">
        <f t="shared" ca="1" si="26"/>
        <v>0</v>
      </c>
      <c r="AD86" s="17">
        <f t="shared" ca="1" si="26"/>
        <v>0</v>
      </c>
      <c r="AE86" s="17">
        <f t="shared" ca="1" si="26"/>
        <v>0</v>
      </c>
      <c r="AF86" s="17">
        <f t="shared" ca="1" si="26"/>
        <v>0</v>
      </c>
      <c r="AG86" s="17">
        <f t="shared" ca="1" si="26"/>
        <v>0</v>
      </c>
      <c r="AH86" s="17">
        <f t="shared" ca="1" si="26"/>
        <v>0</v>
      </c>
      <c r="AI86" s="17">
        <f t="shared" ca="1" si="26"/>
        <v>0</v>
      </c>
      <c r="AJ86" s="17">
        <f t="shared" ca="1" si="26"/>
        <v>0</v>
      </c>
      <c r="AK86" s="17">
        <f t="shared" ca="1" si="26"/>
        <v>0</v>
      </c>
      <c r="AL86" s="17">
        <f t="shared" ca="1" si="26"/>
        <v>0</v>
      </c>
      <c r="AM86" s="17">
        <f t="shared" si="26"/>
        <v>0</v>
      </c>
    </row>
    <row r="87" spans="1:39" x14ac:dyDescent="0.2">
      <c r="A87" s="13" t="s">
        <v>26</v>
      </c>
      <c r="C87" s="17">
        <v>0</v>
      </c>
      <c r="D87" s="17">
        <f t="shared" ref="D87:G87" ca="1" si="27">SUM(D85:D86)*princ</f>
        <v>865.19999999999993</v>
      </c>
      <c r="E87" s="17">
        <f t="shared" ca="1" si="27"/>
        <v>891.15599999999995</v>
      </c>
      <c r="F87" s="17">
        <f t="shared" ca="1" si="27"/>
        <v>917.89067999999997</v>
      </c>
      <c r="G87" s="17">
        <f t="shared" ca="1" si="27"/>
        <v>945.42740040000001</v>
      </c>
      <c r="H87" s="17">
        <f t="shared" ref="H87:AM87" ca="1" si="28">SUM(H85:H86)*princ</f>
        <v>973.79022241199993</v>
      </c>
      <c r="I87" s="17">
        <f t="shared" ca="1" si="28"/>
        <v>1003.0039290843599</v>
      </c>
      <c r="J87" s="17">
        <f t="shared" ca="1" si="28"/>
        <v>1033.0940469568907</v>
      </c>
      <c r="K87" s="17">
        <f t="shared" ca="1" si="28"/>
        <v>1064.0868683655974</v>
      </c>
      <c r="L87" s="17">
        <f t="shared" ca="1" si="28"/>
        <v>1096.0094744165654</v>
      </c>
      <c r="M87" s="17">
        <f t="shared" ca="1" si="28"/>
        <v>1128.8897586490625</v>
      </c>
      <c r="N87" s="17">
        <f t="shared" ca="1" si="28"/>
        <v>1162.7564514085345</v>
      </c>
      <c r="O87" s="17">
        <f t="shared" ca="1" si="28"/>
        <v>1197.6391449507903</v>
      </c>
      <c r="P87" s="17">
        <f t="shared" ca="1" si="28"/>
        <v>1233.5683192993142</v>
      </c>
      <c r="Q87" s="17">
        <f t="shared" ca="1" si="28"/>
        <v>1270.5753688782936</v>
      </c>
      <c r="R87" s="17">
        <f t="shared" ca="1" si="28"/>
        <v>1308.6926299446425</v>
      </c>
      <c r="S87" s="17">
        <f t="shared" ca="1" si="28"/>
        <v>1347.9534088429818</v>
      </c>
      <c r="T87" s="17">
        <f t="shared" ca="1" si="28"/>
        <v>1388.3920111082712</v>
      </c>
      <c r="U87" s="17">
        <f t="shared" ca="1" si="28"/>
        <v>1430.0437714415193</v>
      </c>
      <c r="V87" s="17">
        <f t="shared" ca="1" si="28"/>
        <v>1472.9450845847648</v>
      </c>
      <c r="W87" s="17">
        <f t="shared" ca="1" si="28"/>
        <v>0</v>
      </c>
      <c r="X87" s="17">
        <f t="shared" ca="1" si="28"/>
        <v>0</v>
      </c>
      <c r="Y87" s="17">
        <f t="shared" ca="1" si="28"/>
        <v>0</v>
      </c>
      <c r="Z87" s="17">
        <f t="shared" ca="1" si="28"/>
        <v>0</v>
      </c>
      <c r="AA87" s="17">
        <f t="shared" ca="1" si="28"/>
        <v>0</v>
      </c>
      <c r="AB87" s="17">
        <f t="shared" ca="1" si="28"/>
        <v>0</v>
      </c>
      <c r="AC87" s="17">
        <f t="shared" ca="1" si="28"/>
        <v>0</v>
      </c>
      <c r="AD87" s="17">
        <f t="shared" ca="1" si="28"/>
        <v>0</v>
      </c>
      <c r="AE87" s="17">
        <f t="shared" ca="1" si="28"/>
        <v>0</v>
      </c>
      <c r="AF87" s="17">
        <f t="shared" ca="1" si="28"/>
        <v>0</v>
      </c>
      <c r="AG87" s="17">
        <f t="shared" ca="1" si="28"/>
        <v>0</v>
      </c>
      <c r="AH87" s="17">
        <f t="shared" ca="1" si="28"/>
        <v>0</v>
      </c>
      <c r="AI87" s="17">
        <f t="shared" ca="1" si="28"/>
        <v>0</v>
      </c>
      <c r="AJ87" s="17">
        <f t="shared" ca="1" si="28"/>
        <v>0</v>
      </c>
      <c r="AK87" s="17">
        <f t="shared" ca="1" si="28"/>
        <v>0</v>
      </c>
      <c r="AL87" s="17">
        <f t="shared" ca="1" si="28"/>
        <v>0</v>
      </c>
      <c r="AM87" s="17">
        <f t="shared" ca="1" si="28"/>
        <v>0</v>
      </c>
    </row>
    <row r="88" spans="1:39" x14ac:dyDescent="0.2">
      <c r="A88" s="13" t="s">
        <v>27</v>
      </c>
      <c r="C88" s="17">
        <f ca="1">SUM(C85:C87)</f>
        <v>28840</v>
      </c>
      <c r="D88" s="17">
        <f t="shared" ref="D88:G88" ca="1" si="29">SUM(D85:D87)</f>
        <v>29705.200000000001</v>
      </c>
      <c r="E88" s="17">
        <f t="shared" ca="1" si="29"/>
        <v>30596.356</v>
      </c>
      <c r="F88" s="17">
        <f t="shared" ca="1" si="29"/>
        <v>31514.24668</v>
      </c>
      <c r="G88" s="17">
        <f t="shared" ca="1" si="29"/>
        <v>32459.6740804</v>
      </c>
      <c r="H88" s="17">
        <f t="shared" ref="H88:AM88" ca="1" si="30">SUM(H85:H87)</f>
        <v>33433.464302811997</v>
      </c>
      <c r="I88" s="17">
        <f t="shared" ca="1" si="30"/>
        <v>34436.468231896361</v>
      </c>
      <c r="J88" s="17">
        <f t="shared" ca="1" si="30"/>
        <v>35469.562278853249</v>
      </c>
      <c r="K88" s="17">
        <f t="shared" ca="1" si="30"/>
        <v>36533.64914721885</v>
      </c>
      <c r="L88" s="17">
        <f t="shared" ca="1" si="30"/>
        <v>37629.658621635419</v>
      </c>
      <c r="M88" s="17">
        <f t="shared" ca="1" si="30"/>
        <v>38758.548380284483</v>
      </c>
      <c r="N88" s="17">
        <f t="shared" ca="1" si="30"/>
        <v>39921.304831693014</v>
      </c>
      <c r="O88" s="17">
        <f t="shared" ca="1" si="30"/>
        <v>41118.943976643808</v>
      </c>
      <c r="P88" s="17">
        <f t="shared" ca="1" si="30"/>
        <v>42352.512295943125</v>
      </c>
      <c r="Q88" s="17">
        <f t="shared" ca="1" si="30"/>
        <v>43623.087664821418</v>
      </c>
      <c r="R88" s="17">
        <f t="shared" ca="1" si="30"/>
        <v>44931.78029476606</v>
      </c>
      <c r="S88" s="17">
        <f t="shared" ca="1" si="30"/>
        <v>46279.733703609039</v>
      </c>
      <c r="T88" s="17">
        <f t="shared" ca="1" si="30"/>
        <v>47668.125714717309</v>
      </c>
      <c r="U88" s="17">
        <f t="shared" ca="1" si="30"/>
        <v>49098.169486158826</v>
      </c>
      <c r="V88" s="17">
        <f t="shared" ca="1" si="30"/>
        <v>50571.114570743594</v>
      </c>
      <c r="W88" s="17">
        <f t="shared" ca="1" si="30"/>
        <v>0</v>
      </c>
      <c r="X88" s="17">
        <f t="shared" ca="1" si="30"/>
        <v>0</v>
      </c>
      <c r="Y88" s="17">
        <f t="shared" ca="1" si="30"/>
        <v>0</v>
      </c>
      <c r="Z88" s="17">
        <f t="shared" ca="1" si="30"/>
        <v>0</v>
      </c>
      <c r="AA88" s="17">
        <f t="shared" ca="1" si="30"/>
        <v>0</v>
      </c>
      <c r="AB88" s="17">
        <f t="shared" ca="1" si="30"/>
        <v>0</v>
      </c>
      <c r="AC88" s="17">
        <f t="shared" ca="1" si="30"/>
        <v>0</v>
      </c>
      <c r="AD88" s="17">
        <f t="shared" ca="1" si="30"/>
        <v>0</v>
      </c>
      <c r="AE88" s="17">
        <f t="shared" ca="1" si="30"/>
        <v>0</v>
      </c>
      <c r="AF88" s="17">
        <f t="shared" ca="1" si="30"/>
        <v>0</v>
      </c>
      <c r="AG88" s="17">
        <f t="shared" ca="1" si="30"/>
        <v>0</v>
      </c>
      <c r="AH88" s="17">
        <f t="shared" ca="1" si="30"/>
        <v>0</v>
      </c>
      <c r="AI88" s="17">
        <f t="shared" ca="1" si="30"/>
        <v>0</v>
      </c>
      <c r="AJ88" s="17">
        <f t="shared" ca="1" si="30"/>
        <v>0</v>
      </c>
      <c r="AK88" s="17">
        <f t="shared" ca="1" si="30"/>
        <v>0</v>
      </c>
      <c r="AL88" s="17">
        <f t="shared" ca="1" si="30"/>
        <v>0</v>
      </c>
      <c r="AM88" s="17">
        <f t="shared" ca="1" si="30"/>
        <v>0</v>
      </c>
    </row>
    <row r="89" spans="1:39" x14ac:dyDescent="0.2">
      <c r="A89" s="13" t="s">
        <v>28</v>
      </c>
      <c r="C89" s="17">
        <f ca="1">C86*Inputs!$C$163</f>
        <v>0</v>
      </c>
      <c r="D89" s="17">
        <f ca="1">D86*Inputs!$C$163</f>
        <v>0</v>
      </c>
      <c r="E89" s="17">
        <f ca="1">E86*Inputs!$C$163</f>
        <v>0</v>
      </c>
      <c r="F89" s="17">
        <f ca="1">F86*Inputs!$C$163</f>
        <v>0</v>
      </c>
      <c r="G89" s="17">
        <f ca="1">G86*Inputs!$C$163</f>
        <v>0</v>
      </c>
      <c r="H89" s="17">
        <f ca="1">H86*Inputs!$C$163</f>
        <v>0</v>
      </c>
      <c r="I89" s="17">
        <f ca="1">I86*Inputs!$C$163</f>
        <v>0</v>
      </c>
      <c r="J89" s="17">
        <f ca="1">J86*Inputs!$C$163</f>
        <v>0</v>
      </c>
      <c r="K89" s="17">
        <f ca="1">K86*Inputs!$C$163</f>
        <v>0</v>
      </c>
      <c r="L89" s="17">
        <f ca="1">L86*Inputs!$C$163</f>
        <v>0</v>
      </c>
      <c r="M89" s="17">
        <f ca="1">M86*Inputs!$C$163</f>
        <v>0</v>
      </c>
      <c r="N89" s="17">
        <f ca="1">N86*Inputs!$C$163</f>
        <v>0</v>
      </c>
      <c r="O89" s="17">
        <f ca="1">O86*Inputs!$C$163</f>
        <v>0</v>
      </c>
      <c r="P89" s="17">
        <f ca="1">P86*Inputs!$C$163</f>
        <v>0</v>
      </c>
      <c r="Q89" s="17">
        <f ca="1">Q86*Inputs!$C$163</f>
        <v>0</v>
      </c>
      <c r="R89" s="17">
        <f ca="1">R86*Inputs!$C$163</f>
        <v>0</v>
      </c>
      <c r="S89" s="17">
        <f ca="1">S86*Inputs!$C$163</f>
        <v>0</v>
      </c>
      <c r="T89" s="17">
        <f ca="1">T86*Inputs!$C$163</f>
        <v>0</v>
      </c>
      <c r="U89" s="17">
        <f ca="1">U86*Inputs!$C$163</f>
        <v>0</v>
      </c>
      <c r="V89" s="17">
        <f ca="1">V86*Inputs!$C$163</f>
        <v>0</v>
      </c>
      <c r="W89" s="17">
        <f ca="1">W86*Inputs!$C$163</f>
        <v>-7585.667185611539</v>
      </c>
      <c r="X89" s="17">
        <f ca="1">X86*Inputs!$C$163</f>
        <v>0</v>
      </c>
      <c r="Y89" s="17">
        <f ca="1">Y86*Inputs!$C$163</f>
        <v>0</v>
      </c>
      <c r="Z89" s="17">
        <f ca="1">Z86*Inputs!$C$163</f>
        <v>0</v>
      </c>
      <c r="AA89" s="17">
        <f ca="1">AA86*Inputs!$C$163</f>
        <v>0</v>
      </c>
      <c r="AB89" s="17">
        <f ca="1">AB86*Inputs!$C$163</f>
        <v>0</v>
      </c>
      <c r="AC89" s="17">
        <f ca="1">AC86*Inputs!$C$163</f>
        <v>0</v>
      </c>
      <c r="AD89" s="17">
        <f ca="1">AD86*Inputs!$C$163</f>
        <v>0</v>
      </c>
      <c r="AE89" s="17">
        <f ca="1">AE86*Inputs!$C$163</f>
        <v>0</v>
      </c>
      <c r="AF89" s="17">
        <f ca="1">AF86*Inputs!$C$163</f>
        <v>0</v>
      </c>
      <c r="AG89" s="17">
        <f ca="1">AG86*Inputs!$C$163</f>
        <v>0</v>
      </c>
      <c r="AH89" s="17">
        <f ca="1">AH86*Inputs!$C$163</f>
        <v>0</v>
      </c>
      <c r="AI89" s="17">
        <f ca="1">AI86*Inputs!$C$163</f>
        <v>0</v>
      </c>
      <c r="AJ89" s="17">
        <f ca="1">AJ86*Inputs!$C$163</f>
        <v>0</v>
      </c>
      <c r="AK89" s="17">
        <f ca="1">AK86*Inputs!$C$163</f>
        <v>0</v>
      </c>
      <c r="AL89" s="17">
        <f ca="1">AL86*Inputs!$C$163</f>
        <v>0</v>
      </c>
      <c r="AM89" s="17">
        <f>AM86*Inputs!$C$163</f>
        <v>0</v>
      </c>
    </row>
    <row r="90" spans="1:39" x14ac:dyDescent="0.2">
      <c r="A90" s="13" t="s">
        <v>35</v>
      </c>
      <c r="C90" s="17">
        <f>IFERROR(-IF(C85=0,VLOOKUP($A84,$7:$10,C$1+2,FALSE),0),0)</f>
        <v>0</v>
      </c>
      <c r="D90" s="17">
        <f t="shared" ref="D90:G90" ca="1" si="31">IFERROR(-IF(D85=0,VLOOKUP($A84,$7:$10,D$1+2,FALSE),0),0)</f>
        <v>0</v>
      </c>
      <c r="E90" s="17">
        <f t="shared" ca="1" si="31"/>
        <v>0</v>
      </c>
      <c r="F90" s="17">
        <f t="shared" ca="1" si="31"/>
        <v>0</v>
      </c>
      <c r="G90" s="17">
        <f t="shared" ca="1" si="31"/>
        <v>0</v>
      </c>
      <c r="H90" s="17">
        <f t="shared" ref="H90:AM90" ca="1" si="32">IFERROR(-IF(H85=0,VLOOKUP($A84,$7:$10,H$1+2,FALSE),0),0)</f>
        <v>0</v>
      </c>
      <c r="I90" s="17">
        <f t="shared" ca="1" si="32"/>
        <v>0</v>
      </c>
      <c r="J90" s="17">
        <f t="shared" ca="1" si="32"/>
        <v>0</v>
      </c>
      <c r="K90" s="17">
        <f t="shared" ca="1" si="32"/>
        <v>0</v>
      </c>
      <c r="L90" s="17">
        <f t="shared" ca="1" si="32"/>
        <v>0</v>
      </c>
      <c r="M90" s="17">
        <f t="shared" ca="1" si="32"/>
        <v>0</v>
      </c>
      <c r="N90" s="17">
        <f t="shared" ca="1" si="32"/>
        <v>0</v>
      </c>
      <c r="O90" s="17">
        <f t="shared" ca="1" si="32"/>
        <v>0</v>
      </c>
      <c r="P90" s="17">
        <f t="shared" ca="1" si="32"/>
        <v>0</v>
      </c>
      <c r="Q90" s="17">
        <f t="shared" ca="1" si="32"/>
        <v>0</v>
      </c>
      <c r="R90" s="17">
        <f t="shared" ca="1" si="32"/>
        <v>0</v>
      </c>
      <c r="S90" s="17">
        <f t="shared" ca="1" si="32"/>
        <v>0</v>
      </c>
      <c r="T90" s="17">
        <f t="shared" ca="1" si="32"/>
        <v>0</v>
      </c>
      <c r="U90" s="17">
        <f t="shared" ca="1" si="32"/>
        <v>0</v>
      </c>
      <c r="V90" s="17">
        <f t="shared" ca="1" si="32"/>
        <v>0</v>
      </c>
      <c r="W90" s="17">
        <f t="shared" ca="1" si="32"/>
        <v>0</v>
      </c>
      <c r="X90" s="17">
        <f t="shared" ca="1" si="32"/>
        <v>-9673.5317728893842</v>
      </c>
      <c r="Y90" s="17">
        <f t="shared" ca="1" si="32"/>
        <v>-9963.7377260760659</v>
      </c>
      <c r="Z90" s="17">
        <f t="shared" ca="1" si="32"/>
        <v>-10262.649857858349</v>
      </c>
      <c r="AA90" s="17">
        <f t="shared" ca="1" si="32"/>
        <v>-10570.5293535941</v>
      </c>
      <c r="AB90" s="17">
        <f t="shared" ca="1" si="32"/>
        <v>-10887.645234201924</v>
      </c>
      <c r="AC90" s="17">
        <f t="shared" ca="1" si="32"/>
        <v>-11214.274591227982</v>
      </c>
      <c r="AD90" s="17">
        <f t="shared" ca="1" si="32"/>
        <v>-11550.702828964822</v>
      </c>
      <c r="AE90" s="17">
        <f t="shared" ca="1" si="32"/>
        <v>-11897.223913833768</v>
      </c>
      <c r="AF90" s="17">
        <f t="shared" ca="1" si="32"/>
        <v>-12254.140631248782</v>
      </c>
      <c r="AG90" s="17">
        <f t="shared" ca="1" si="32"/>
        <v>-12621.764850186246</v>
      </c>
      <c r="AH90" s="17">
        <f t="shared" ca="1" si="32"/>
        <v>-13000.417795691834</v>
      </c>
      <c r="AI90" s="17">
        <f t="shared" ca="1" si="32"/>
        <v>-13390.430329562589</v>
      </c>
      <c r="AJ90" s="17">
        <f t="shared" ca="1" si="32"/>
        <v>-13792.143239449466</v>
      </c>
      <c r="AK90" s="17">
        <f t="shared" ca="1" si="32"/>
        <v>-14205.907536632951</v>
      </c>
      <c r="AL90" s="17">
        <f t="shared" ca="1" si="32"/>
        <v>-14632.08476273194</v>
      </c>
      <c r="AM90" s="17">
        <f t="shared" ca="1" si="32"/>
        <v>-15071.047305613898</v>
      </c>
    </row>
    <row r="91" spans="1:39" x14ac:dyDescent="0.2">
      <c r="A91" s="13" t="s">
        <v>55</v>
      </c>
      <c r="C91" s="17">
        <f>IFERROR(IF(C85=0,VLOOKUP($A84,$33:$36,C$1+2,FALSE),0),0)</f>
        <v>0</v>
      </c>
      <c r="D91" s="17">
        <f t="shared" ref="D91:G91" ca="1" si="33">IFERROR(IF(D85=0,VLOOKUP($A84,$33:$36,D$1+2,FALSE),0),0)</f>
        <v>0</v>
      </c>
      <c r="E91" s="17">
        <f t="shared" ca="1" si="33"/>
        <v>0</v>
      </c>
      <c r="F91" s="17">
        <f t="shared" ca="1" si="33"/>
        <v>0</v>
      </c>
      <c r="G91" s="17">
        <f t="shared" ca="1" si="33"/>
        <v>0</v>
      </c>
      <c r="H91" s="17">
        <f t="shared" ref="H91:AM91" ca="1" si="34">IFERROR(IF(H85=0,VLOOKUP($A84,$33:$36,H$1+2,FALSE),0),0)</f>
        <v>0</v>
      </c>
      <c r="I91" s="17">
        <f t="shared" ca="1" si="34"/>
        <v>0</v>
      </c>
      <c r="J91" s="17">
        <f t="shared" ca="1" si="34"/>
        <v>0</v>
      </c>
      <c r="K91" s="17">
        <f t="shared" ca="1" si="34"/>
        <v>0</v>
      </c>
      <c r="L91" s="17">
        <f t="shared" ca="1" si="34"/>
        <v>0</v>
      </c>
      <c r="M91" s="17">
        <f t="shared" ca="1" si="34"/>
        <v>0</v>
      </c>
      <c r="N91" s="17">
        <f t="shared" ca="1" si="34"/>
        <v>0</v>
      </c>
      <c r="O91" s="17">
        <f t="shared" ca="1" si="34"/>
        <v>0</v>
      </c>
      <c r="P91" s="17">
        <f t="shared" ca="1" si="34"/>
        <v>0</v>
      </c>
      <c r="Q91" s="17">
        <f t="shared" ca="1" si="34"/>
        <v>0</v>
      </c>
      <c r="R91" s="17">
        <f t="shared" ca="1" si="34"/>
        <v>0</v>
      </c>
      <c r="S91" s="17">
        <f t="shared" ca="1" si="34"/>
        <v>0</v>
      </c>
      <c r="T91" s="17">
        <f t="shared" ca="1" si="34"/>
        <v>0</v>
      </c>
      <c r="U91" s="17">
        <f t="shared" ca="1" si="34"/>
        <v>0</v>
      </c>
      <c r="V91" s="17">
        <f t="shared" ca="1" si="34"/>
        <v>0</v>
      </c>
      <c r="W91" s="17">
        <f t="shared" ca="1" si="34"/>
        <v>0</v>
      </c>
      <c r="X91" s="17">
        <f t="shared" ca="1" si="34"/>
        <v>1343.6654810381242</v>
      </c>
      <c r="Y91" s="17">
        <f t="shared" ca="1" si="34"/>
        <v>1377.2571180640773</v>
      </c>
      <c r="Z91" s="17">
        <f t="shared" ca="1" si="34"/>
        <v>1411.6885460156793</v>
      </c>
      <c r="AA91" s="17">
        <f t="shared" ca="1" si="34"/>
        <v>1446.9807596660712</v>
      </c>
      <c r="AB91" s="17">
        <f t="shared" ca="1" si="34"/>
        <v>1483.1552786577226</v>
      </c>
      <c r="AC91" s="17">
        <f t="shared" ca="1" si="34"/>
        <v>1520.2341606241657</v>
      </c>
      <c r="AD91" s="17">
        <f t="shared" ca="1" si="34"/>
        <v>1558.2400146397697</v>
      </c>
      <c r="AE91" s="17">
        <f t="shared" ca="1" si="34"/>
        <v>1597.1960150057639</v>
      </c>
      <c r="AF91" s="17">
        <f t="shared" ca="1" si="34"/>
        <v>1637.1259153809081</v>
      </c>
      <c r="AG91" s="17">
        <f t="shared" ca="1" si="34"/>
        <v>1678.0540632654304</v>
      </c>
      <c r="AH91" s="17">
        <f t="shared" ca="1" si="34"/>
        <v>1720.0054148470667</v>
      </c>
      <c r="AI91" s="17">
        <f t="shared" ca="1" si="34"/>
        <v>1763.0055502182429</v>
      </c>
      <c r="AJ91" s="17">
        <f t="shared" ca="1" si="34"/>
        <v>1807.0806889736989</v>
      </c>
      <c r="AK91" s="17">
        <f t="shared" ca="1" si="34"/>
        <v>1852.2577061980414</v>
      </c>
      <c r="AL91" s="17">
        <f t="shared" ca="1" si="34"/>
        <v>1898.5641488529923</v>
      </c>
      <c r="AM91" s="17">
        <f t="shared" ca="1" si="34"/>
        <v>1946.0282525743171</v>
      </c>
    </row>
    <row r="92" spans="1:39" x14ac:dyDescent="0.2">
      <c r="A92" s="13" t="s">
        <v>41</v>
      </c>
      <c r="B92" s="27" t="str">
        <f>A84</f>
        <v>Hamrun</v>
      </c>
      <c r="C92" s="17">
        <f ca="1">IF(AND(C85&gt;0,C88=0),VLOOKUP($A84,$61:$64,C$1+2,FALSE),0)</f>
        <v>0</v>
      </c>
      <c r="D92" s="17">
        <f t="shared" ref="D92:G92" ca="1" si="35">IF(AND(D85&gt;0,D88=0),VLOOKUP($A84,$61:$64,D$1+2,FALSE),0)</f>
        <v>0</v>
      </c>
      <c r="E92" s="17">
        <f t="shared" ca="1" si="35"/>
        <v>0</v>
      </c>
      <c r="F92" s="17">
        <f t="shared" ca="1" si="35"/>
        <v>0</v>
      </c>
      <c r="G92" s="17">
        <f t="shared" ca="1" si="35"/>
        <v>0</v>
      </c>
      <c r="H92" s="17">
        <f t="shared" ref="H92:AM92" ca="1" si="36">IF(AND(H85&gt;0,H88=0),VLOOKUP($A84,$61:$64,H$1+2,FALSE),0)</f>
        <v>0</v>
      </c>
      <c r="I92" s="17">
        <f t="shared" ca="1" si="36"/>
        <v>0</v>
      </c>
      <c r="J92" s="17">
        <f t="shared" ca="1" si="36"/>
        <v>0</v>
      </c>
      <c r="K92" s="17">
        <f t="shared" ca="1" si="36"/>
        <v>0</v>
      </c>
      <c r="L92" s="17">
        <f t="shared" ca="1" si="36"/>
        <v>0</v>
      </c>
      <c r="M92" s="17">
        <f t="shared" ca="1" si="36"/>
        <v>0</v>
      </c>
      <c r="N92" s="17">
        <f t="shared" ca="1" si="36"/>
        <v>0</v>
      </c>
      <c r="O92" s="17">
        <f t="shared" ca="1" si="36"/>
        <v>0</v>
      </c>
      <c r="P92" s="17">
        <f t="shared" ca="1" si="36"/>
        <v>0</v>
      </c>
      <c r="Q92" s="17">
        <f t="shared" ca="1" si="36"/>
        <v>0</v>
      </c>
      <c r="R92" s="17">
        <f t="shared" ca="1" si="36"/>
        <v>0</v>
      </c>
      <c r="S92" s="17">
        <f t="shared" ca="1" si="36"/>
        <v>0</v>
      </c>
      <c r="T92" s="17">
        <f t="shared" ca="1" si="36"/>
        <v>0</v>
      </c>
      <c r="U92" s="17">
        <f t="shared" ca="1" si="36"/>
        <v>0</v>
      </c>
      <c r="V92" s="17">
        <f t="shared" ca="1" si="36"/>
        <v>0</v>
      </c>
      <c r="W92" s="17">
        <f t="shared" ca="1" si="36"/>
        <v>0</v>
      </c>
      <c r="X92" s="17">
        <f t="shared" ca="1" si="36"/>
        <v>0</v>
      </c>
      <c r="Y92" s="17">
        <f t="shared" ca="1" si="36"/>
        <v>0</v>
      </c>
      <c r="Z92" s="17">
        <f t="shared" ca="1" si="36"/>
        <v>0</v>
      </c>
      <c r="AA92" s="17">
        <f t="shared" ca="1" si="36"/>
        <v>0</v>
      </c>
      <c r="AB92" s="17">
        <f t="shared" ca="1" si="36"/>
        <v>0</v>
      </c>
      <c r="AC92" s="17">
        <f t="shared" ca="1" si="36"/>
        <v>0</v>
      </c>
      <c r="AD92" s="17">
        <f t="shared" ca="1" si="36"/>
        <v>0</v>
      </c>
      <c r="AE92" s="17">
        <f t="shared" ca="1" si="36"/>
        <v>0</v>
      </c>
      <c r="AF92" s="17">
        <f t="shared" ca="1" si="36"/>
        <v>0</v>
      </c>
      <c r="AG92" s="17">
        <f t="shared" ca="1" si="36"/>
        <v>0</v>
      </c>
      <c r="AH92" s="17">
        <f t="shared" ca="1" si="36"/>
        <v>0</v>
      </c>
      <c r="AI92" s="17">
        <f t="shared" ca="1" si="36"/>
        <v>0</v>
      </c>
      <c r="AJ92" s="17">
        <f t="shared" ca="1" si="36"/>
        <v>0</v>
      </c>
      <c r="AK92" s="17">
        <f t="shared" ca="1" si="36"/>
        <v>0</v>
      </c>
      <c r="AL92" s="17">
        <f t="shared" ca="1" si="36"/>
        <v>0</v>
      </c>
      <c r="AM92" s="17">
        <f t="shared" ca="1" si="36"/>
        <v>0</v>
      </c>
    </row>
    <row r="93" spans="1:39" x14ac:dyDescent="0.2">
      <c r="A93" s="13" t="s">
        <v>42</v>
      </c>
      <c r="C93" s="17">
        <f ca="1">-C86+SUM(C89:C92)</f>
        <v>0</v>
      </c>
      <c r="D93" s="17">
        <f t="shared" ref="D93" ca="1" si="37">-D86+SUM(D89:D92)</f>
        <v>0</v>
      </c>
      <c r="E93" s="17">
        <f t="shared" ref="E93:G93" ca="1" si="38">-E86+SUM(E89:E92)</f>
        <v>0</v>
      </c>
      <c r="F93" s="17">
        <f t="shared" ca="1" si="38"/>
        <v>0</v>
      </c>
      <c r="G93" s="17">
        <f t="shared" ca="1" si="38"/>
        <v>0</v>
      </c>
      <c r="H93" s="17">
        <f t="shared" ref="H93:AM93" ca="1" si="39">-H86+SUM(H89:H92)</f>
        <v>0</v>
      </c>
      <c r="I93" s="17">
        <f t="shared" ca="1" si="39"/>
        <v>0</v>
      </c>
      <c r="J93" s="17">
        <f t="shared" ca="1" si="39"/>
        <v>0</v>
      </c>
      <c r="K93" s="17">
        <f t="shared" ca="1" si="39"/>
        <v>0</v>
      </c>
      <c r="L93" s="17">
        <f t="shared" ca="1" si="39"/>
        <v>0</v>
      </c>
      <c r="M93" s="17">
        <f t="shared" ca="1" si="39"/>
        <v>0</v>
      </c>
      <c r="N93" s="17">
        <f t="shared" ca="1" si="39"/>
        <v>0</v>
      </c>
      <c r="O93" s="17">
        <f t="shared" ca="1" si="39"/>
        <v>0</v>
      </c>
      <c r="P93" s="17">
        <f t="shared" ca="1" si="39"/>
        <v>0</v>
      </c>
      <c r="Q93" s="17">
        <f t="shared" ca="1" si="39"/>
        <v>0</v>
      </c>
      <c r="R93" s="17">
        <f t="shared" ca="1" si="39"/>
        <v>0</v>
      </c>
      <c r="S93" s="17">
        <f t="shared" ca="1" si="39"/>
        <v>0</v>
      </c>
      <c r="T93" s="17">
        <f t="shared" ca="1" si="39"/>
        <v>0</v>
      </c>
      <c r="U93" s="17">
        <f t="shared" ca="1" si="39"/>
        <v>0</v>
      </c>
      <c r="V93" s="17">
        <f t="shared" ca="1" si="39"/>
        <v>0</v>
      </c>
      <c r="W93" s="17">
        <f t="shared" ca="1" si="39"/>
        <v>42985.447385132051</v>
      </c>
      <c r="X93" s="17">
        <f t="shared" ca="1" si="39"/>
        <v>-8329.86629185126</v>
      </c>
      <c r="Y93" s="17">
        <f t="shared" ca="1" si="39"/>
        <v>-8586.4806080119888</v>
      </c>
      <c r="Z93" s="17">
        <f t="shared" ca="1" si="39"/>
        <v>-8850.9613118426696</v>
      </c>
      <c r="AA93" s="17">
        <f t="shared" ca="1" si="39"/>
        <v>-9123.5485939280297</v>
      </c>
      <c r="AB93" s="17">
        <f t="shared" ca="1" si="39"/>
        <v>-9404.4899555442007</v>
      </c>
      <c r="AC93" s="17">
        <f t="shared" ca="1" si="39"/>
        <v>-9694.0404306038163</v>
      </c>
      <c r="AD93" s="17">
        <f t="shared" ca="1" si="39"/>
        <v>-9992.462814325052</v>
      </c>
      <c r="AE93" s="17">
        <f t="shared" ca="1" si="39"/>
        <v>-10300.027898828004</v>
      </c>
      <c r="AF93" s="17">
        <f t="shared" ca="1" si="39"/>
        <v>-10617.014715867874</v>
      </c>
      <c r="AG93" s="17">
        <f t="shared" ca="1" si="39"/>
        <v>-10943.710786920816</v>
      </c>
      <c r="AH93" s="17">
        <f t="shared" ca="1" si="39"/>
        <v>-11280.412380844768</v>
      </c>
      <c r="AI93" s="17">
        <f t="shared" ca="1" si="39"/>
        <v>-11627.424779344346</v>
      </c>
      <c r="AJ93" s="17">
        <f t="shared" ca="1" si="39"/>
        <v>-11985.062550475766</v>
      </c>
      <c r="AK93" s="17">
        <f t="shared" ca="1" si="39"/>
        <v>-12353.64983043491</v>
      </c>
      <c r="AL93" s="17">
        <f t="shared" ca="1" si="39"/>
        <v>-12733.520613878947</v>
      </c>
      <c r="AM93" s="17">
        <f t="shared" ca="1" si="39"/>
        <v>-13125.019053039581</v>
      </c>
    </row>
    <row r="94" spans="1:39" x14ac:dyDescent="0.2">
      <c r="A94" s="1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</row>
    <row r="95" spans="1:39" x14ac:dyDescent="0.2">
      <c r="A95" s="13" t="s">
        <v>56</v>
      </c>
      <c r="C95" s="17">
        <f ca="1">C81+SUM($C93:C93)</f>
        <v>714578.8</v>
      </c>
      <c r="D95" s="17">
        <f ca="1">D81+SUM($C93:D93)</f>
        <v>615523.44559532881</v>
      </c>
      <c r="E95" s="17">
        <f ca="1">E81+SUM($C93:E93)</f>
        <v>566818.54594435322</v>
      </c>
      <c r="F95" s="17">
        <f ca="1">F81+SUM($C93:F93)</f>
        <v>529495.63528901932</v>
      </c>
      <c r="G95" s="17">
        <f ca="1">G81+SUM($C93:G93)</f>
        <v>449136.11835878156</v>
      </c>
      <c r="H95" s="17">
        <f ca="1">H81+SUM($C93:H93)</f>
        <v>405493.30580093106</v>
      </c>
      <c r="I95" s="17">
        <f ca="1">I81+SUM($C93:I93)</f>
        <v>395591.02540947287</v>
      </c>
      <c r="J95" s="17">
        <f ca="1">J81+SUM($C93:J93)</f>
        <v>355835.83444133337</v>
      </c>
      <c r="K95" s="17">
        <f ca="1">K81+SUM($C93:K93)</f>
        <v>283995.80718639237</v>
      </c>
      <c r="L95" s="17">
        <f ca="1">L81+SUM($C93:L93)</f>
        <v>240951.16457455605</v>
      </c>
      <c r="M95" s="17">
        <f ca="1">M81+SUM($C93:M93)</f>
        <v>196581.88886248111</v>
      </c>
      <c r="N95" s="17">
        <f ca="1">N81+SUM($C93:N93)</f>
        <v>159081.59242159489</v>
      </c>
      <c r="O95" s="17">
        <f ca="1">O81+SUM($C93:O93)</f>
        <v>129202.61024367121</v>
      </c>
      <c r="P95" s="17">
        <f ca="1">P81+SUM($C93:P93)</f>
        <v>97998.759380603165</v>
      </c>
      <c r="Q95" s="17">
        <f ca="1">Q81+SUM($C93:Q93)</f>
        <v>65430.525954565201</v>
      </c>
      <c r="R95" s="17">
        <f ca="1">R81+SUM($C93:R93)</f>
        <v>50000</v>
      </c>
      <c r="S95" s="17">
        <f ca="1">S81+SUM($C93:S93)</f>
        <v>50000</v>
      </c>
      <c r="T95" s="17">
        <f ca="1">T81+SUM($C93:T93)</f>
        <v>50000</v>
      </c>
      <c r="U95" s="17">
        <f ca="1">U81+SUM($C93:U93)</f>
        <v>41424.594655240275</v>
      </c>
      <c r="V95" s="17">
        <f ca="1">V81+SUM($C93:V93)</f>
        <v>25443.590398730797</v>
      </c>
      <c r="W95" s="17">
        <f ca="1">W81+SUM($C93:W93)</f>
        <v>52374.660546813</v>
      </c>
      <c r="X95" s="17">
        <f ca="1">X81+SUM($C93:X93)</f>
        <v>27924.99427663417</v>
      </c>
      <c r="Y95" s="17">
        <f ca="1">Y81+SUM($C93:Y93)</f>
        <v>3161.7334811744076</v>
      </c>
      <c r="Z95" s="17">
        <f ca="1">Z81+SUM($C93:Z93)</f>
        <v>-21914.032288754148</v>
      </c>
      <c r="AA95" s="17">
        <f ca="1">AA81+SUM($C93:AA93)</f>
        <v>-47300.91836115066</v>
      </c>
      <c r="AB95" s="17">
        <f ca="1">AB81+SUM($C93:AB93)</f>
        <v>-72997.229528323413</v>
      </c>
      <c r="AC95" s="17">
        <f ca="1">AC81+SUM($C93:AC93)</f>
        <v>-99000.944005930782</v>
      </c>
      <c r="AD95" s="17">
        <f ca="1">AD81+SUM($C93:AD93)</f>
        <v>-113622.89663287305</v>
      </c>
      <c r="AE95" s="17">
        <f ca="1">AE81+SUM($C93:AE93)</f>
        <v>-128254.99183459763</v>
      </c>
      <c r="AF95" s="17">
        <f ca="1">AF81+SUM($C93:AF93)</f>
        <v>-142886.82098824737</v>
      </c>
      <c r="AG95" s="17">
        <f ca="1">AG81+SUM($C93:AG93)</f>
        <v>-157507.39538977685</v>
      </c>
      <c r="AH95" s="17">
        <f ca="1">AH81+SUM($C93:AH93)</f>
        <v>-172105.12215595422</v>
      </c>
      <c r="AI95" s="17">
        <f ca="1">AI81+SUM($C93:AI93)</f>
        <v>-186667.77923603394</v>
      </c>
      <c r="AJ95" s="17">
        <f ca="1">AJ81+SUM($C93:AJ93)</f>
        <v>-201182.48950220604</v>
      </c>
      <c r="AK95" s="17">
        <f ca="1">AK81+SUM($C93:AK93)</f>
        <v>-215635.69388689555</v>
      </c>
      <c r="AL95" s="17">
        <f ca="1">AL81+SUM($C93:AL93)</f>
        <v>-230013.1235339212</v>
      </c>
      <c r="AM95" s="17">
        <f ca="1">AM81+SUM($C93:AM93)</f>
        <v>-244299.7709294231</v>
      </c>
    </row>
    <row r="96" spans="1:39" x14ac:dyDescent="0.2">
      <c r="A96" s="13" t="s">
        <v>22</v>
      </c>
      <c r="C96" s="17">
        <f ca="1">IF(C95&lt;0,C95,0)</f>
        <v>0</v>
      </c>
      <c r="D96" s="17">
        <f ca="1">IF(D95+SUM($C96:C96)&lt;0,-(D95+SUM($C96:C96)),0)</f>
        <v>0</v>
      </c>
      <c r="E96" s="17">
        <f ca="1">IF(E95+SUM($C96:D96)&lt;0,-(E95+SUM($C96:D96)),0)</f>
        <v>0</v>
      </c>
      <c r="F96" s="17">
        <f ca="1">IF(F95+SUM($C96:E96)&lt;0,-(F95+SUM($C96:E96)),0)</f>
        <v>0</v>
      </c>
      <c r="G96" s="17">
        <f ca="1">IF(G95+SUM($C96:F96)&lt;0,-(G95+SUM($C96:F96)),0)</f>
        <v>0</v>
      </c>
      <c r="H96" s="17">
        <f ca="1">IF(H95+SUM($C96:G96)&lt;0,-(H95+SUM($C96:G96)),0)</f>
        <v>0</v>
      </c>
      <c r="I96" s="17">
        <f ca="1">IF(I95+SUM($C96:H96)&lt;0,-(I95+SUM($C96:H96)),0)</f>
        <v>0</v>
      </c>
      <c r="J96" s="17">
        <f ca="1">IF(J95+SUM($C96:I96)&lt;0,-(J95+SUM($C96:I96)),0)</f>
        <v>0</v>
      </c>
      <c r="K96" s="17">
        <f ca="1">IF(K95+SUM($C96:J96)&lt;0,-(K95+SUM($C96:J96)),0)</f>
        <v>0</v>
      </c>
      <c r="L96" s="17">
        <f ca="1">IF(L95+SUM($C96:K96)&lt;0,-(L95+SUM($C96:K96)),0)</f>
        <v>0</v>
      </c>
      <c r="M96" s="17">
        <f ca="1">IF(M95+SUM($C96:L96)&lt;0,-(M95+SUM($C96:L96)),0)</f>
        <v>0</v>
      </c>
      <c r="N96" s="17">
        <f ca="1">IF(N95+SUM($C96:M96)&lt;0,-(N95+SUM($C96:M96)),0)</f>
        <v>0</v>
      </c>
      <c r="O96" s="17">
        <f ca="1">IF(O95+SUM($C96:N96)&lt;0,-(O95+SUM($C96:N96)),0)</f>
        <v>0</v>
      </c>
      <c r="P96" s="17">
        <f ca="1">IF(P95+SUM($C96:O96)&lt;0,-(P95+SUM($C96:O96)),0)</f>
        <v>0</v>
      </c>
      <c r="Q96" s="17">
        <f ca="1">IF(Q95+SUM($C96:P96)&lt;0,-(Q95+SUM($C96:P96)),0)</f>
        <v>0</v>
      </c>
      <c r="R96" s="17">
        <f ca="1">IF(R95+SUM($C96:Q96)&lt;0,-(R95+SUM($C96:Q96)),0)</f>
        <v>0</v>
      </c>
      <c r="S96" s="17">
        <f ca="1">IF(S95+SUM($C96:R96)&lt;0,-(S95+SUM($C96:R96)),0)</f>
        <v>0</v>
      </c>
      <c r="T96" s="17">
        <f ca="1">IF(T95+SUM($C96:S96)&lt;0,-(T95+SUM($C96:S96)),0)</f>
        <v>0</v>
      </c>
      <c r="U96" s="17">
        <f ca="1">IF(U95+SUM($C96:T96)&lt;0,-(U95+SUM($C96:T96)),0)</f>
        <v>0</v>
      </c>
      <c r="V96" s="17">
        <f ca="1">IF(V95+SUM($C96:U96)&lt;0,-(V95+SUM($C96:U96)),0)</f>
        <v>0</v>
      </c>
      <c r="W96" s="17">
        <f ca="1">IF(W95+SUM($C96:V96)&lt;0,-(W95+SUM($C96:V96)),0)</f>
        <v>0</v>
      </c>
      <c r="X96" s="17">
        <f ca="1">IF(X95+SUM($C96:W96)&lt;0,-(X95+SUM($C96:W96)),0)</f>
        <v>0</v>
      </c>
      <c r="Y96" s="17">
        <f ca="1">IF(Y95+SUM($C96:X96)&lt;0,-(Y95+SUM($C96:X96)),0)</f>
        <v>0</v>
      </c>
      <c r="Z96" s="17">
        <f ca="1">IF(Z95+SUM($C96:Y96)&lt;0,-(Z95+SUM($C96:Y96)),0)</f>
        <v>21914.032288754148</v>
      </c>
      <c r="AA96" s="17">
        <f ca="1">IF(AA95+SUM($C96:Z96)&lt;0,-(AA95+SUM($C96:Z96)),0)</f>
        <v>25386.886072396512</v>
      </c>
      <c r="AB96" s="17">
        <f ca="1">IF(AB95+SUM($C96:AA96)&lt;0,-(AB95+SUM($C96:AA96)),0)</f>
        <v>25696.311167172753</v>
      </c>
      <c r="AC96" s="17">
        <f ca="1">IF(AC95+SUM($C96:AB96)&lt;0,-(AC95+SUM($C96:AB96)),0)</f>
        <v>26003.714477607369</v>
      </c>
      <c r="AD96" s="17">
        <f ca="1">IF(AD95+SUM($C96:AC96)&lt;0,-(AD95+SUM($C96:AC96)),0)</f>
        <v>14621.952626942264</v>
      </c>
      <c r="AE96" s="17">
        <f ca="1">IF(AE95+SUM($C96:AD96)&lt;0,-(AE95+SUM($C96:AD96)),0)</f>
        <v>14632.095201724587</v>
      </c>
      <c r="AF96" s="17">
        <f ca="1">IF(AF95+SUM($C96:AE96)&lt;0,-(AF95+SUM($C96:AE96)),0)</f>
        <v>14631.829153649742</v>
      </c>
      <c r="AG96" s="17">
        <f ca="1">IF(AG95+SUM($C96:AF96)&lt;0,-(AG95+SUM($C96:AF96)),0)</f>
        <v>14620.574401529477</v>
      </c>
      <c r="AH96" s="17">
        <f ca="1">IF(AH95+SUM($C96:AG96)&lt;0,-(AH95+SUM($C96:AG96)),0)</f>
        <v>14597.726766177366</v>
      </c>
      <c r="AI96" s="17">
        <f ca="1">IF(AI95+SUM($C96:AH96)&lt;0,-(AI95+SUM($C96:AH96)),0)</f>
        <v>14562.65708007972</v>
      </c>
      <c r="AJ96" s="17">
        <f ca="1">IF(AJ95+SUM($C96:AI96)&lt;0,-(AJ95+SUM($C96:AI96)),0)</f>
        <v>14514.7102661721</v>
      </c>
      <c r="AK96" s="17">
        <f ca="1">IF(AK95+SUM($C96:AJ96)&lt;0,-(AK95+SUM($C96:AJ96)),0)</f>
        <v>14453.20438468951</v>
      </c>
      <c r="AL96" s="17">
        <f ca="1">IF(AL95+SUM($C96:AK96)&lt;0,-(AL95+SUM($C96:AK96)),0)</f>
        <v>14377.429647025652</v>
      </c>
      <c r="AM96" s="17">
        <f ca="1">IF(AM95+SUM($C96:AL96)&lt;0,-(AM95+SUM($C96:AL96)),0)</f>
        <v>14286.647395501903</v>
      </c>
    </row>
    <row r="97" spans="1:39" x14ac:dyDescent="0.2"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</row>
    <row r="98" spans="1:39" x14ac:dyDescent="0.2">
      <c r="A98" s="41" t="str">
        <f>IF(Inputs!$C$165=6,IFERROR(_xlfn.XLOOKUP($B98,Inputs!$C$166:$C$168,Inputs!$B$166:$B$168,,0,1),""),IFERROR(_xlfn.XLOOKUP($B98,Inputs!$O$166:$O$168,Inputs!$B$166:$B$168,,0,1),""))</f>
        <v>Sliema</v>
      </c>
      <c r="B98" s="43">
        <v>2</v>
      </c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</row>
    <row r="99" spans="1:39" x14ac:dyDescent="0.2">
      <c r="A99" s="13" t="s">
        <v>24</v>
      </c>
      <c r="C99" s="17">
        <f>IFERROR(VLOOKUP($A98,$A$52:$H$66,C$1+2,FALSE),0)</f>
        <v>206000</v>
      </c>
      <c r="D99" s="17">
        <f ca="1">C102</f>
        <v>206000</v>
      </c>
      <c r="E99" s="17">
        <f t="shared" ref="E99:AM99" ca="1" si="40">D102</f>
        <v>212180</v>
      </c>
      <c r="F99" s="17">
        <f t="shared" ca="1" si="40"/>
        <v>218545.4</v>
      </c>
      <c r="G99" s="17">
        <f t="shared" ca="1" si="40"/>
        <v>225101.76199999999</v>
      </c>
      <c r="H99" s="17">
        <f t="shared" ca="1" si="40"/>
        <v>231854.81485999998</v>
      </c>
      <c r="I99" s="17">
        <f t="shared" ca="1" si="40"/>
        <v>238810.45930579997</v>
      </c>
      <c r="J99" s="17">
        <f t="shared" ca="1" si="40"/>
        <v>245974.77308497397</v>
      </c>
      <c r="K99" s="17">
        <f t="shared" ca="1" si="40"/>
        <v>253354.01627752319</v>
      </c>
      <c r="L99" s="17">
        <f t="shared" ca="1" si="40"/>
        <v>260954.63676584887</v>
      </c>
      <c r="M99" s="17">
        <f t="shared" ca="1" si="40"/>
        <v>268783.27586882433</v>
      </c>
      <c r="N99" s="17">
        <f t="shared" ca="1" si="40"/>
        <v>276846.77414488909</v>
      </c>
      <c r="O99" s="17">
        <f t="shared" ca="1" si="40"/>
        <v>285152.17736923578</v>
      </c>
      <c r="P99" s="17">
        <f t="shared" ca="1" si="40"/>
        <v>293706.74269031285</v>
      </c>
      <c r="Q99" s="17">
        <f t="shared" ca="1" si="40"/>
        <v>302517.94497102225</v>
      </c>
      <c r="R99" s="17">
        <f t="shared" ca="1" si="40"/>
        <v>311593.48332015291</v>
      </c>
      <c r="S99" s="17">
        <f t="shared" ca="1" si="40"/>
        <v>320941.28781975748</v>
      </c>
      <c r="T99" s="17">
        <f t="shared" ca="1" si="40"/>
        <v>330569.52645435021</v>
      </c>
      <c r="U99" s="17">
        <f t="shared" ca="1" si="40"/>
        <v>340486.61224798072</v>
      </c>
      <c r="V99" s="17">
        <f t="shared" ca="1" si="40"/>
        <v>350701.21061542013</v>
      </c>
      <c r="W99" s="17">
        <f t="shared" ca="1" si="40"/>
        <v>361222.24693388271</v>
      </c>
      <c r="X99" s="17">
        <f t="shared" ca="1" si="40"/>
        <v>372058.91434189922</v>
      </c>
      <c r="Y99" s="17">
        <f t="shared" ca="1" si="40"/>
        <v>383220.68177215621</v>
      </c>
      <c r="Z99" s="17">
        <f t="shared" ca="1" si="40"/>
        <v>0</v>
      </c>
      <c r="AA99" s="17">
        <f t="shared" ca="1" si="40"/>
        <v>0</v>
      </c>
      <c r="AB99" s="17">
        <f t="shared" ca="1" si="40"/>
        <v>0</v>
      </c>
      <c r="AC99" s="17">
        <f t="shared" ca="1" si="40"/>
        <v>0</v>
      </c>
      <c r="AD99" s="17">
        <f t="shared" ca="1" si="40"/>
        <v>0</v>
      </c>
      <c r="AE99" s="17">
        <f t="shared" ca="1" si="40"/>
        <v>0</v>
      </c>
      <c r="AF99" s="17">
        <f t="shared" ca="1" si="40"/>
        <v>0</v>
      </c>
      <c r="AG99" s="17">
        <f t="shared" ca="1" si="40"/>
        <v>0</v>
      </c>
      <c r="AH99" s="17">
        <f t="shared" ca="1" si="40"/>
        <v>0</v>
      </c>
      <c r="AI99" s="17">
        <f t="shared" ca="1" si="40"/>
        <v>0</v>
      </c>
      <c r="AJ99" s="17">
        <f t="shared" ca="1" si="40"/>
        <v>0</v>
      </c>
      <c r="AK99" s="17">
        <f t="shared" ca="1" si="40"/>
        <v>0</v>
      </c>
      <c r="AL99" s="17">
        <f t="shared" ca="1" si="40"/>
        <v>0</v>
      </c>
      <c r="AM99" s="17">
        <f t="shared" ca="1" si="40"/>
        <v>0</v>
      </c>
    </row>
    <row r="100" spans="1:39" x14ac:dyDescent="0.2">
      <c r="A100" s="13" t="s">
        <v>25</v>
      </c>
      <c r="C100" s="17">
        <f ca="1">-IF(SUM(C96:D96)&gt;0,C99,0)</f>
        <v>0</v>
      </c>
      <c r="D100" s="17">
        <f ca="1">-IF(E96&gt;0,D99,0)</f>
        <v>0</v>
      </c>
      <c r="E100" s="17">
        <f ca="1">-IF(F96&gt;0,E99,0)</f>
        <v>0</v>
      </c>
      <c r="F100" s="17">
        <f ca="1">-IF(G96&gt;0,F99,0)</f>
        <v>0</v>
      </c>
      <c r="G100" s="17">
        <f t="shared" ref="G100:AM100" ca="1" si="41">-IF(H96&gt;0,G99,0)</f>
        <v>0</v>
      </c>
      <c r="H100" s="17">
        <f t="shared" ca="1" si="41"/>
        <v>0</v>
      </c>
      <c r="I100" s="17">
        <f t="shared" ca="1" si="41"/>
        <v>0</v>
      </c>
      <c r="J100" s="17">
        <f t="shared" ca="1" si="41"/>
        <v>0</v>
      </c>
      <c r="K100" s="17">
        <f t="shared" ca="1" si="41"/>
        <v>0</v>
      </c>
      <c r="L100" s="17">
        <f t="shared" ca="1" si="41"/>
        <v>0</v>
      </c>
      <c r="M100" s="17">
        <f t="shared" ca="1" si="41"/>
        <v>0</v>
      </c>
      <c r="N100" s="17">
        <f t="shared" ca="1" si="41"/>
        <v>0</v>
      </c>
      <c r="O100" s="17">
        <f t="shared" ca="1" si="41"/>
        <v>0</v>
      </c>
      <c r="P100" s="17">
        <f t="shared" ca="1" si="41"/>
        <v>0</v>
      </c>
      <c r="Q100" s="17">
        <f t="shared" ca="1" si="41"/>
        <v>0</v>
      </c>
      <c r="R100" s="17">
        <f t="shared" ca="1" si="41"/>
        <v>0</v>
      </c>
      <c r="S100" s="17">
        <f t="shared" ca="1" si="41"/>
        <v>0</v>
      </c>
      <c r="T100" s="17">
        <f t="shared" ca="1" si="41"/>
        <v>0</v>
      </c>
      <c r="U100" s="17">
        <f t="shared" ca="1" si="41"/>
        <v>0</v>
      </c>
      <c r="V100" s="17">
        <f t="shared" ca="1" si="41"/>
        <v>0</v>
      </c>
      <c r="W100" s="17">
        <f t="shared" ca="1" si="41"/>
        <v>0</v>
      </c>
      <c r="X100" s="17">
        <f t="shared" ca="1" si="41"/>
        <v>0</v>
      </c>
      <c r="Y100" s="17">
        <f t="shared" ca="1" si="41"/>
        <v>-383220.68177215621</v>
      </c>
      <c r="Z100" s="17">
        <f t="shared" ca="1" si="41"/>
        <v>0</v>
      </c>
      <c r="AA100" s="17">
        <f t="shared" ca="1" si="41"/>
        <v>0</v>
      </c>
      <c r="AB100" s="17">
        <f t="shared" ca="1" si="41"/>
        <v>0</v>
      </c>
      <c r="AC100" s="17">
        <f t="shared" ca="1" si="41"/>
        <v>0</v>
      </c>
      <c r="AD100" s="17">
        <f t="shared" ca="1" si="41"/>
        <v>0</v>
      </c>
      <c r="AE100" s="17">
        <f t="shared" ca="1" si="41"/>
        <v>0</v>
      </c>
      <c r="AF100" s="17">
        <f t="shared" ca="1" si="41"/>
        <v>0</v>
      </c>
      <c r="AG100" s="17">
        <f t="shared" ca="1" si="41"/>
        <v>0</v>
      </c>
      <c r="AH100" s="17">
        <f t="shared" ca="1" si="41"/>
        <v>0</v>
      </c>
      <c r="AI100" s="17">
        <f t="shared" ca="1" si="41"/>
        <v>0</v>
      </c>
      <c r="AJ100" s="17">
        <f t="shared" ca="1" si="41"/>
        <v>0</v>
      </c>
      <c r="AK100" s="17">
        <f t="shared" ca="1" si="41"/>
        <v>0</v>
      </c>
      <c r="AL100" s="17">
        <f t="shared" ca="1" si="41"/>
        <v>0</v>
      </c>
      <c r="AM100" s="17">
        <f t="shared" si="41"/>
        <v>0</v>
      </c>
    </row>
    <row r="101" spans="1:39" x14ac:dyDescent="0.2">
      <c r="A101" s="13" t="s">
        <v>26</v>
      </c>
      <c r="C101" s="17">
        <v>0</v>
      </c>
      <c r="D101" s="17">
        <f t="shared" ref="D101:G101" ca="1" si="42">SUM(D99:D100)*princ</f>
        <v>6180</v>
      </c>
      <c r="E101" s="17">
        <f t="shared" ca="1" si="42"/>
        <v>6365.4</v>
      </c>
      <c r="F101" s="17">
        <f t="shared" ca="1" si="42"/>
        <v>6556.3619999999992</v>
      </c>
      <c r="G101" s="17">
        <f t="shared" ca="1" si="42"/>
        <v>6753.0528599999998</v>
      </c>
      <c r="H101" s="17">
        <f t="shared" ref="H101:AM101" ca="1" si="43">SUM(H99:H100)*princ</f>
        <v>6955.6444457999996</v>
      </c>
      <c r="I101" s="17">
        <f t="shared" ca="1" si="43"/>
        <v>7164.3137791739991</v>
      </c>
      <c r="J101" s="17">
        <f t="shared" ca="1" si="43"/>
        <v>7379.2431925492192</v>
      </c>
      <c r="K101" s="17">
        <f t="shared" ca="1" si="43"/>
        <v>7600.6204883256951</v>
      </c>
      <c r="L101" s="17">
        <f t="shared" ca="1" si="43"/>
        <v>7828.6391029754659</v>
      </c>
      <c r="M101" s="17">
        <f t="shared" ca="1" si="43"/>
        <v>8063.4982760647299</v>
      </c>
      <c r="N101" s="17">
        <f t="shared" ca="1" si="43"/>
        <v>8305.4032243466718</v>
      </c>
      <c r="O101" s="17">
        <f t="shared" ca="1" si="43"/>
        <v>8554.5653210770724</v>
      </c>
      <c r="P101" s="17">
        <f t="shared" ca="1" si="43"/>
        <v>8811.2022807093854</v>
      </c>
      <c r="Q101" s="17">
        <f t="shared" ca="1" si="43"/>
        <v>9075.5383491306675</v>
      </c>
      <c r="R101" s="17">
        <f t="shared" ca="1" si="43"/>
        <v>9347.8044996045865</v>
      </c>
      <c r="S101" s="17">
        <f t="shared" ca="1" si="43"/>
        <v>9628.2386345927243</v>
      </c>
      <c r="T101" s="17">
        <f t="shared" ca="1" si="43"/>
        <v>9917.0857936305056</v>
      </c>
      <c r="U101" s="17">
        <f t="shared" ca="1" si="43"/>
        <v>10214.598367439421</v>
      </c>
      <c r="V101" s="17">
        <f t="shared" ca="1" si="43"/>
        <v>10521.036318462604</v>
      </c>
      <c r="W101" s="17">
        <f t="shared" ca="1" si="43"/>
        <v>10836.667408016481</v>
      </c>
      <c r="X101" s="17">
        <f t="shared" ca="1" si="43"/>
        <v>11161.767430256976</v>
      </c>
      <c r="Y101" s="17">
        <f t="shared" ca="1" si="43"/>
        <v>0</v>
      </c>
      <c r="Z101" s="17">
        <f t="shared" ca="1" si="43"/>
        <v>0</v>
      </c>
      <c r="AA101" s="17">
        <f t="shared" ca="1" si="43"/>
        <v>0</v>
      </c>
      <c r="AB101" s="17">
        <f t="shared" ca="1" si="43"/>
        <v>0</v>
      </c>
      <c r="AC101" s="17">
        <f t="shared" ca="1" si="43"/>
        <v>0</v>
      </c>
      <c r="AD101" s="17">
        <f t="shared" ca="1" si="43"/>
        <v>0</v>
      </c>
      <c r="AE101" s="17">
        <f t="shared" ca="1" si="43"/>
        <v>0</v>
      </c>
      <c r="AF101" s="17">
        <f t="shared" ca="1" si="43"/>
        <v>0</v>
      </c>
      <c r="AG101" s="17">
        <f t="shared" ca="1" si="43"/>
        <v>0</v>
      </c>
      <c r="AH101" s="17">
        <f t="shared" ca="1" si="43"/>
        <v>0</v>
      </c>
      <c r="AI101" s="17">
        <f t="shared" ca="1" si="43"/>
        <v>0</v>
      </c>
      <c r="AJ101" s="17">
        <f t="shared" ca="1" si="43"/>
        <v>0</v>
      </c>
      <c r="AK101" s="17">
        <f t="shared" ca="1" si="43"/>
        <v>0</v>
      </c>
      <c r="AL101" s="17">
        <f t="shared" ca="1" si="43"/>
        <v>0</v>
      </c>
      <c r="AM101" s="17">
        <f t="shared" ca="1" si="43"/>
        <v>0</v>
      </c>
    </row>
    <row r="102" spans="1:39" x14ac:dyDescent="0.2">
      <c r="A102" s="13" t="s">
        <v>27</v>
      </c>
      <c r="C102" s="17">
        <f ca="1">SUM(C99:C101)</f>
        <v>206000</v>
      </c>
      <c r="D102" s="17">
        <f t="shared" ref="D102:G102" ca="1" si="44">SUM(D99:D101)</f>
        <v>212180</v>
      </c>
      <c r="E102" s="17">
        <f t="shared" ca="1" si="44"/>
        <v>218545.4</v>
      </c>
      <c r="F102" s="17">
        <f t="shared" ca="1" si="44"/>
        <v>225101.76199999999</v>
      </c>
      <c r="G102" s="17">
        <f t="shared" ca="1" si="44"/>
        <v>231854.81485999998</v>
      </c>
      <c r="H102" s="17">
        <f t="shared" ref="H102:AM102" ca="1" si="45">SUM(H99:H101)</f>
        <v>238810.45930579997</v>
      </c>
      <c r="I102" s="17">
        <f t="shared" ca="1" si="45"/>
        <v>245974.77308497397</v>
      </c>
      <c r="J102" s="17">
        <f t="shared" ca="1" si="45"/>
        <v>253354.01627752319</v>
      </c>
      <c r="K102" s="17">
        <f t="shared" ca="1" si="45"/>
        <v>260954.63676584887</v>
      </c>
      <c r="L102" s="17">
        <f t="shared" ca="1" si="45"/>
        <v>268783.27586882433</v>
      </c>
      <c r="M102" s="17">
        <f t="shared" ca="1" si="45"/>
        <v>276846.77414488909</v>
      </c>
      <c r="N102" s="17">
        <f t="shared" ca="1" si="45"/>
        <v>285152.17736923578</v>
      </c>
      <c r="O102" s="17">
        <f t="shared" ca="1" si="45"/>
        <v>293706.74269031285</v>
      </c>
      <c r="P102" s="17">
        <f t="shared" ca="1" si="45"/>
        <v>302517.94497102225</v>
      </c>
      <c r="Q102" s="17">
        <f t="shared" ca="1" si="45"/>
        <v>311593.48332015291</v>
      </c>
      <c r="R102" s="17">
        <f t="shared" ca="1" si="45"/>
        <v>320941.28781975748</v>
      </c>
      <c r="S102" s="17">
        <f t="shared" ca="1" si="45"/>
        <v>330569.52645435021</v>
      </c>
      <c r="T102" s="17">
        <f t="shared" ca="1" si="45"/>
        <v>340486.61224798072</v>
      </c>
      <c r="U102" s="17">
        <f t="shared" ca="1" si="45"/>
        <v>350701.21061542013</v>
      </c>
      <c r="V102" s="17">
        <f t="shared" ca="1" si="45"/>
        <v>361222.24693388271</v>
      </c>
      <c r="W102" s="17">
        <f t="shared" ca="1" si="45"/>
        <v>372058.91434189922</v>
      </c>
      <c r="X102" s="17">
        <f t="shared" ca="1" si="45"/>
        <v>383220.68177215621</v>
      </c>
      <c r="Y102" s="17">
        <f t="shared" ca="1" si="45"/>
        <v>0</v>
      </c>
      <c r="Z102" s="17">
        <f t="shared" ca="1" si="45"/>
        <v>0</v>
      </c>
      <c r="AA102" s="17">
        <f t="shared" ca="1" si="45"/>
        <v>0</v>
      </c>
      <c r="AB102" s="17">
        <f t="shared" ca="1" si="45"/>
        <v>0</v>
      </c>
      <c r="AC102" s="17">
        <f t="shared" ca="1" si="45"/>
        <v>0</v>
      </c>
      <c r="AD102" s="17">
        <f t="shared" ca="1" si="45"/>
        <v>0</v>
      </c>
      <c r="AE102" s="17">
        <f t="shared" ca="1" si="45"/>
        <v>0</v>
      </c>
      <c r="AF102" s="17">
        <f t="shared" ca="1" si="45"/>
        <v>0</v>
      </c>
      <c r="AG102" s="17">
        <f t="shared" ca="1" si="45"/>
        <v>0</v>
      </c>
      <c r="AH102" s="17">
        <f t="shared" ca="1" si="45"/>
        <v>0</v>
      </c>
      <c r="AI102" s="17">
        <f t="shared" ca="1" si="45"/>
        <v>0</v>
      </c>
      <c r="AJ102" s="17">
        <f t="shared" ca="1" si="45"/>
        <v>0</v>
      </c>
      <c r="AK102" s="17">
        <f t="shared" ca="1" si="45"/>
        <v>0</v>
      </c>
      <c r="AL102" s="17">
        <f t="shared" ca="1" si="45"/>
        <v>0</v>
      </c>
      <c r="AM102" s="17">
        <f t="shared" ca="1" si="45"/>
        <v>0</v>
      </c>
    </row>
    <row r="103" spans="1:39" x14ac:dyDescent="0.2">
      <c r="A103" s="13" t="s">
        <v>28</v>
      </c>
      <c r="C103" s="17">
        <f ca="1">C100*Inputs!$C$163</f>
        <v>0</v>
      </c>
      <c r="D103" s="17">
        <f ca="1">D100*Inputs!$C$163</f>
        <v>0</v>
      </c>
      <c r="E103" s="17">
        <f ca="1">E100*Inputs!$C$163</f>
        <v>0</v>
      </c>
      <c r="F103" s="17">
        <f ca="1">F100*Inputs!$C$163</f>
        <v>0</v>
      </c>
      <c r="G103" s="17">
        <f ca="1">G100*Inputs!$C$163</f>
        <v>0</v>
      </c>
      <c r="H103" s="17">
        <f ca="1">H100*Inputs!$C$163</f>
        <v>0</v>
      </c>
      <c r="I103" s="17">
        <f ca="1">I100*Inputs!$C$163</f>
        <v>0</v>
      </c>
      <c r="J103" s="17">
        <f ca="1">J100*Inputs!$C$163</f>
        <v>0</v>
      </c>
      <c r="K103" s="17">
        <f ca="1">K100*Inputs!$C$163</f>
        <v>0</v>
      </c>
      <c r="L103" s="17">
        <f ca="1">L100*Inputs!$C$163</f>
        <v>0</v>
      </c>
      <c r="M103" s="17">
        <f ca="1">M100*Inputs!$C$163</f>
        <v>0</v>
      </c>
      <c r="N103" s="17">
        <f ca="1">N100*Inputs!$C$163</f>
        <v>0</v>
      </c>
      <c r="O103" s="17">
        <f ca="1">O100*Inputs!$C$163</f>
        <v>0</v>
      </c>
      <c r="P103" s="17">
        <f ca="1">P100*Inputs!$C$163</f>
        <v>0</v>
      </c>
      <c r="Q103" s="17">
        <f ca="1">Q100*Inputs!$C$163</f>
        <v>0</v>
      </c>
      <c r="R103" s="17">
        <f ca="1">R100*Inputs!$C$163</f>
        <v>0</v>
      </c>
      <c r="S103" s="17">
        <f ca="1">S100*Inputs!$C$163</f>
        <v>0</v>
      </c>
      <c r="T103" s="17">
        <f ca="1">T100*Inputs!$C$163</f>
        <v>0</v>
      </c>
      <c r="U103" s="17">
        <f ca="1">U100*Inputs!$C$163</f>
        <v>0</v>
      </c>
      <c r="V103" s="17">
        <f ca="1">V100*Inputs!$C$163</f>
        <v>0</v>
      </c>
      <c r="W103" s="17">
        <f ca="1">W100*Inputs!$C$163</f>
        <v>0</v>
      </c>
      <c r="X103" s="17">
        <f ca="1">X100*Inputs!$C$163</f>
        <v>0</v>
      </c>
      <c r="Y103" s="17">
        <f ca="1">Y100*Inputs!$C$163</f>
        <v>-57483.102265823429</v>
      </c>
      <c r="Z103" s="17">
        <f ca="1">Z100*Inputs!$C$163</f>
        <v>0</v>
      </c>
      <c r="AA103" s="17">
        <f ca="1">AA100*Inputs!$C$163</f>
        <v>0</v>
      </c>
      <c r="AB103" s="17">
        <f ca="1">AB100*Inputs!$C$163</f>
        <v>0</v>
      </c>
      <c r="AC103" s="17">
        <f ca="1">AC100*Inputs!$C$163</f>
        <v>0</v>
      </c>
      <c r="AD103" s="17">
        <f ca="1">AD100*Inputs!$C$163</f>
        <v>0</v>
      </c>
      <c r="AE103" s="17">
        <f ca="1">AE100*Inputs!$C$163</f>
        <v>0</v>
      </c>
      <c r="AF103" s="17">
        <f ca="1">AF100*Inputs!$C$163</f>
        <v>0</v>
      </c>
      <c r="AG103" s="17">
        <f ca="1">AG100*Inputs!$C$163</f>
        <v>0</v>
      </c>
      <c r="AH103" s="17">
        <f ca="1">AH100*Inputs!$C$163</f>
        <v>0</v>
      </c>
      <c r="AI103" s="17">
        <f ca="1">AI100*Inputs!$C$163</f>
        <v>0</v>
      </c>
      <c r="AJ103" s="17">
        <f ca="1">AJ100*Inputs!$C$163</f>
        <v>0</v>
      </c>
      <c r="AK103" s="17">
        <f ca="1">AK100*Inputs!$C$163</f>
        <v>0</v>
      </c>
      <c r="AL103" s="17">
        <f ca="1">AL100*Inputs!$C$163</f>
        <v>0</v>
      </c>
      <c r="AM103" s="17">
        <f>AM100*Inputs!$C$163</f>
        <v>0</v>
      </c>
    </row>
    <row r="104" spans="1:39" x14ac:dyDescent="0.2">
      <c r="A104" s="13" t="s">
        <v>35</v>
      </c>
      <c r="C104" s="17">
        <f>IFERROR(-IF(C99=0,VLOOKUP($A98,$7:$10,C$1+2,FALSE),0),0)</f>
        <v>0</v>
      </c>
      <c r="D104" s="17">
        <f t="shared" ref="D104:G104" ca="1" si="46">IFERROR(-IF(D99=0,VLOOKUP($A98,$7:$10,D$1+2,FALSE),0),0)</f>
        <v>0</v>
      </c>
      <c r="E104" s="17">
        <f t="shared" ca="1" si="46"/>
        <v>0</v>
      </c>
      <c r="F104" s="17">
        <f t="shared" ca="1" si="46"/>
        <v>0</v>
      </c>
      <c r="G104" s="17">
        <f t="shared" ca="1" si="46"/>
        <v>0</v>
      </c>
      <c r="H104" s="17">
        <f t="shared" ref="H104:AM104" ca="1" si="47">IFERROR(-IF(H99=0,VLOOKUP($A98,$7:$10,H$1+2,FALSE),0),0)</f>
        <v>0</v>
      </c>
      <c r="I104" s="17">
        <f t="shared" ca="1" si="47"/>
        <v>0</v>
      </c>
      <c r="J104" s="17">
        <f t="shared" ca="1" si="47"/>
        <v>0</v>
      </c>
      <c r="K104" s="17">
        <f t="shared" ca="1" si="47"/>
        <v>0</v>
      </c>
      <c r="L104" s="17">
        <f t="shared" ca="1" si="47"/>
        <v>0</v>
      </c>
      <c r="M104" s="17">
        <f t="shared" ca="1" si="47"/>
        <v>0</v>
      </c>
      <c r="N104" s="17">
        <f t="shared" ca="1" si="47"/>
        <v>0</v>
      </c>
      <c r="O104" s="17">
        <f t="shared" ca="1" si="47"/>
        <v>0</v>
      </c>
      <c r="P104" s="17">
        <f t="shared" ca="1" si="47"/>
        <v>0</v>
      </c>
      <c r="Q104" s="17">
        <f t="shared" ca="1" si="47"/>
        <v>0</v>
      </c>
      <c r="R104" s="17">
        <f t="shared" ca="1" si="47"/>
        <v>0</v>
      </c>
      <c r="S104" s="17">
        <f t="shared" ca="1" si="47"/>
        <v>0</v>
      </c>
      <c r="T104" s="17">
        <f t="shared" ca="1" si="47"/>
        <v>0</v>
      </c>
      <c r="U104" s="17">
        <f t="shared" ca="1" si="47"/>
        <v>0</v>
      </c>
      <c r="V104" s="17">
        <f t="shared" ca="1" si="47"/>
        <v>0</v>
      </c>
      <c r="W104" s="17">
        <f t="shared" ca="1" si="47"/>
        <v>0</v>
      </c>
      <c r="X104" s="17">
        <f t="shared" ca="1" si="47"/>
        <v>0</v>
      </c>
      <c r="Y104" s="17">
        <f t="shared" ca="1" si="47"/>
        <v>0</v>
      </c>
      <c r="Z104" s="17">
        <f t="shared" ca="1" si="47"/>
        <v>-23683.038133519272</v>
      </c>
      <c r="AA104" s="17">
        <f t="shared" ca="1" si="47"/>
        <v>-24393.529277524853</v>
      </c>
      <c r="AB104" s="17">
        <f t="shared" ca="1" si="47"/>
        <v>-25125.3351558506</v>
      </c>
      <c r="AC104" s="17">
        <f t="shared" ca="1" si="47"/>
        <v>-25879.09521052612</v>
      </c>
      <c r="AD104" s="17">
        <f t="shared" ca="1" si="47"/>
        <v>-26655.468066841906</v>
      </c>
      <c r="AE104" s="17">
        <f t="shared" ca="1" si="47"/>
        <v>-27455.132108847163</v>
      </c>
      <c r="AF104" s="17">
        <f t="shared" ca="1" si="47"/>
        <v>-28278.78607211258</v>
      </c>
      <c r="AG104" s="17">
        <f t="shared" ca="1" si="47"/>
        <v>-29127.14965427596</v>
      </c>
      <c r="AH104" s="17">
        <f t="shared" ca="1" si="47"/>
        <v>-30000.964143904239</v>
      </c>
      <c r="AI104" s="17">
        <f t="shared" ca="1" si="47"/>
        <v>-30900.993068221367</v>
      </c>
      <c r="AJ104" s="17">
        <f t="shared" ca="1" si="47"/>
        <v>-31828.022860268007</v>
      </c>
      <c r="AK104" s="17">
        <f t="shared" ca="1" si="47"/>
        <v>-32782.863546076049</v>
      </c>
      <c r="AL104" s="17">
        <f t="shared" ca="1" si="47"/>
        <v>-33766.349452458329</v>
      </c>
      <c r="AM104" s="17">
        <f t="shared" ca="1" si="47"/>
        <v>-34779.339936032084</v>
      </c>
    </row>
    <row r="105" spans="1:39" x14ac:dyDescent="0.2">
      <c r="A105" s="13" t="s">
        <v>55</v>
      </c>
      <c r="C105" s="17">
        <f>IFERROR(IF(C99=0,VLOOKUP($A98,$33:$36,C$1+2,FALSE),0),0)</f>
        <v>0</v>
      </c>
      <c r="D105" s="17">
        <f t="shared" ref="D105:G105" ca="1" si="48">IFERROR(IF(D99=0,VLOOKUP($A98,$33:$36,D$1+2,FALSE),0),0)</f>
        <v>0</v>
      </c>
      <c r="E105" s="17">
        <f t="shared" ca="1" si="48"/>
        <v>0</v>
      </c>
      <c r="F105" s="17">
        <f t="shared" ca="1" si="48"/>
        <v>0</v>
      </c>
      <c r="G105" s="17">
        <f t="shared" ca="1" si="48"/>
        <v>0</v>
      </c>
      <c r="H105" s="17">
        <f t="shared" ref="H105:AM105" ca="1" si="49">IFERROR(IF(H99=0,VLOOKUP($A98,$33:$36,H$1+2,FALSE),0),0)</f>
        <v>0</v>
      </c>
      <c r="I105" s="17">
        <f t="shared" ca="1" si="49"/>
        <v>0</v>
      </c>
      <c r="J105" s="17">
        <f t="shared" ca="1" si="49"/>
        <v>0</v>
      </c>
      <c r="K105" s="17">
        <f t="shared" ca="1" si="49"/>
        <v>0</v>
      </c>
      <c r="L105" s="17">
        <f t="shared" ca="1" si="49"/>
        <v>0</v>
      </c>
      <c r="M105" s="17">
        <f t="shared" ca="1" si="49"/>
        <v>0</v>
      </c>
      <c r="N105" s="17">
        <f t="shared" ca="1" si="49"/>
        <v>0</v>
      </c>
      <c r="O105" s="17">
        <f t="shared" ca="1" si="49"/>
        <v>0</v>
      </c>
      <c r="P105" s="17">
        <f t="shared" ca="1" si="49"/>
        <v>0</v>
      </c>
      <c r="Q105" s="17">
        <f t="shared" ca="1" si="49"/>
        <v>0</v>
      </c>
      <c r="R105" s="17">
        <f t="shared" ca="1" si="49"/>
        <v>0</v>
      </c>
      <c r="S105" s="17">
        <f t="shared" ca="1" si="49"/>
        <v>0</v>
      </c>
      <c r="T105" s="17">
        <f t="shared" ca="1" si="49"/>
        <v>0</v>
      </c>
      <c r="U105" s="17">
        <f t="shared" ca="1" si="49"/>
        <v>0</v>
      </c>
      <c r="V105" s="17">
        <f t="shared" ca="1" si="49"/>
        <v>0</v>
      </c>
      <c r="W105" s="17">
        <f t="shared" ca="1" si="49"/>
        <v>0</v>
      </c>
      <c r="X105" s="17">
        <f t="shared" ca="1" si="49"/>
        <v>0</v>
      </c>
      <c r="Y105" s="17">
        <f t="shared" ca="1" si="49"/>
        <v>0</v>
      </c>
      <c r="Z105" s="17">
        <f t="shared" ca="1" si="49"/>
        <v>1764.6106825195991</v>
      </c>
      <c r="AA105" s="17">
        <f t="shared" ca="1" si="49"/>
        <v>1808.725949582589</v>
      </c>
      <c r="AB105" s="17">
        <f t="shared" ca="1" si="49"/>
        <v>1853.9440983221534</v>
      </c>
      <c r="AC105" s="17">
        <f t="shared" ca="1" si="49"/>
        <v>1900.292700780207</v>
      </c>
      <c r="AD105" s="17">
        <f t="shared" ca="1" si="49"/>
        <v>1947.8000182997121</v>
      </c>
      <c r="AE105" s="17">
        <f t="shared" ca="1" si="49"/>
        <v>1996.4950187572049</v>
      </c>
      <c r="AF105" s="17">
        <f t="shared" ca="1" si="49"/>
        <v>2046.4073942261352</v>
      </c>
      <c r="AG105" s="17">
        <f t="shared" ca="1" si="49"/>
        <v>2097.5675790817882</v>
      </c>
      <c r="AH105" s="17">
        <f t="shared" ca="1" si="49"/>
        <v>2150.0067685588333</v>
      </c>
      <c r="AI105" s="17">
        <f t="shared" ca="1" si="49"/>
        <v>2203.7569377728037</v>
      </c>
      <c r="AJ105" s="17">
        <f t="shared" ca="1" si="49"/>
        <v>2258.8508612171236</v>
      </c>
      <c r="AK105" s="17">
        <f t="shared" ca="1" si="49"/>
        <v>2315.3221327475517</v>
      </c>
      <c r="AL105" s="17">
        <f t="shared" ca="1" si="49"/>
        <v>2373.20518606624</v>
      </c>
      <c r="AM105" s="17">
        <f t="shared" ca="1" si="49"/>
        <v>2432.5353157178965</v>
      </c>
    </row>
    <row r="106" spans="1:39" x14ac:dyDescent="0.2">
      <c r="A106" s="13" t="s">
        <v>41</v>
      </c>
      <c r="B106" s="27" t="str">
        <f>A98</f>
        <v>Sliema</v>
      </c>
      <c r="C106" s="17">
        <f ca="1">IF(AND(C99&gt;0,C102=0),VLOOKUP($A98,$61:$64,C$1+2,FALSE),0)</f>
        <v>0</v>
      </c>
      <c r="D106" s="17">
        <f t="shared" ref="D106:G106" ca="1" si="50">IF(AND(D99&gt;0,D102=0),VLOOKUP($A98,$61:$64,D$1+2,FALSE),0)</f>
        <v>0</v>
      </c>
      <c r="E106" s="17">
        <f t="shared" ca="1" si="50"/>
        <v>0</v>
      </c>
      <c r="F106" s="17">
        <f t="shared" ca="1" si="50"/>
        <v>0</v>
      </c>
      <c r="G106" s="17">
        <f t="shared" ca="1" si="50"/>
        <v>0</v>
      </c>
      <c r="H106" s="17">
        <f t="shared" ref="H106:AM106" ca="1" si="51">IF(AND(H99&gt;0,H102=0),VLOOKUP($A98,$61:$64,H$1+2,FALSE),0)</f>
        <v>0</v>
      </c>
      <c r="I106" s="17">
        <f t="shared" ca="1" si="51"/>
        <v>0</v>
      </c>
      <c r="J106" s="17">
        <f t="shared" ca="1" si="51"/>
        <v>0</v>
      </c>
      <c r="K106" s="17">
        <f t="shared" ca="1" si="51"/>
        <v>0</v>
      </c>
      <c r="L106" s="17">
        <f t="shared" ca="1" si="51"/>
        <v>0</v>
      </c>
      <c r="M106" s="17">
        <f t="shared" ca="1" si="51"/>
        <v>0</v>
      </c>
      <c r="N106" s="17">
        <f t="shared" ca="1" si="51"/>
        <v>0</v>
      </c>
      <c r="O106" s="17">
        <f t="shared" ca="1" si="51"/>
        <v>0</v>
      </c>
      <c r="P106" s="17">
        <f t="shared" ca="1" si="51"/>
        <v>0</v>
      </c>
      <c r="Q106" s="17">
        <f t="shared" ca="1" si="51"/>
        <v>0</v>
      </c>
      <c r="R106" s="17">
        <f t="shared" ca="1" si="51"/>
        <v>0</v>
      </c>
      <c r="S106" s="17">
        <f t="shared" ca="1" si="51"/>
        <v>0</v>
      </c>
      <c r="T106" s="17">
        <f t="shared" ca="1" si="51"/>
        <v>0</v>
      </c>
      <c r="U106" s="17">
        <f t="shared" ca="1" si="51"/>
        <v>0</v>
      </c>
      <c r="V106" s="17">
        <f t="shared" ca="1" si="51"/>
        <v>0</v>
      </c>
      <c r="W106" s="17">
        <f t="shared" ca="1" si="51"/>
        <v>0</v>
      </c>
      <c r="X106" s="17">
        <f t="shared" ca="1" si="51"/>
        <v>0</v>
      </c>
      <c r="Y106" s="17">
        <f t="shared" ca="1" si="51"/>
        <v>0</v>
      </c>
      <c r="Z106" s="17">
        <f t="shared" ca="1" si="51"/>
        <v>0</v>
      </c>
      <c r="AA106" s="17">
        <f t="shared" ca="1" si="51"/>
        <v>0</v>
      </c>
      <c r="AB106" s="17">
        <f t="shared" ca="1" si="51"/>
        <v>0</v>
      </c>
      <c r="AC106" s="17">
        <f t="shared" ca="1" si="51"/>
        <v>0</v>
      </c>
      <c r="AD106" s="17">
        <f t="shared" ca="1" si="51"/>
        <v>0</v>
      </c>
      <c r="AE106" s="17">
        <f t="shared" ca="1" si="51"/>
        <v>0</v>
      </c>
      <c r="AF106" s="17">
        <f t="shared" ca="1" si="51"/>
        <v>0</v>
      </c>
      <c r="AG106" s="17">
        <f t="shared" ca="1" si="51"/>
        <v>0</v>
      </c>
      <c r="AH106" s="17">
        <f t="shared" ca="1" si="51"/>
        <v>0</v>
      </c>
      <c r="AI106" s="17">
        <f t="shared" ca="1" si="51"/>
        <v>0</v>
      </c>
      <c r="AJ106" s="17">
        <f t="shared" ca="1" si="51"/>
        <v>0</v>
      </c>
      <c r="AK106" s="17">
        <f t="shared" ca="1" si="51"/>
        <v>0</v>
      </c>
      <c r="AL106" s="17">
        <f t="shared" ca="1" si="51"/>
        <v>0</v>
      </c>
      <c r="AM106" s="17">
        <f t="shared" ca="1" si="51"/>
        <v>0</v>
      </c>
    </row>
    <row r="107" spans="1:39" x14ac:dyDescent="0.2">
      <c r="A107" s="13" t="s">
        <v>42</v>
      </c>
      <c r="C107" s="17">
        <f ca="1">-C100+SUM(C103:C106)</f>
        <v>0</v>
      </c>
      <c r="D107" s="17">
        <f t="shared" ref="D107" ca="1" si="52">-D100+SUM(D103:D106)</f>
        <v>0</v>
      </c>
      <c r="E107" s="17">
        <f t="shared" ref="E107:G107" ca="1" si="53">-E100+SUM(E103:E106)</f>
        <v>0</v>
      </c>
      <c r="F107" s="17">
        <f t="shared" ca="1" si="53"/>
        <v>0</v>
      </c>
      <c r="G107" s="17">
        <f t="shared" ca="1" si="53"/>
        <v>0</v>
      </c>
      <c r="H107" s="17">
        <f t="shared" ref="H107:AM107" ca="1" si="54">-H100+SUM(H103:H106)</f>
        <v>0</v>
      </c>
      <c r="I107" s="17">
        <f t="shared" ca="1" si="54"/>
        <v>0</v>
      </c>
      <c r="J107" s="17">
        <f t="shared" ca="1" si="54"/>
        <v>0</v>
      </c>
      <c r="K107" s="17">
        <f t="shared" ca="1" si="54"/>
        <v>0</v>
      </c>
      <c r="L107" s="17">
        <f t="shared" ca="1" si="54"/>
        <v>0</v>
      </c>
      <c r="M107" s="17">
        <f t="shared" ca="1" si="54"/>
        <v>0</v>
      </c>
      <c r="N107" s="17">
        <f t="shared" ca="1" si="54"/>
        <v>0</v>
      </c>
      <c r="O107" s="17">
        <f t="shared" ca="1" si="54"/>
        <v>0</v>
      </c>
      <c r="P107" s="17">
        <f t="shared" ca="1" si="54"/>
        <v>0</v>
      </c>
      <c r="Q107" s="17">
        <f t="shared" ca="1" si="54"/>
        <v>0</v>
      </c>
      <c r="R107" s="17">
        <f t="shared" ca="1" si="54"/>
        <v>0</v>
      </c>
      <c r="S107" s="17">
        <f t="shared" ca="1" si="54"/>
        <v>0</v>
      </c>
      <c r="T107" s="17">
        <f t="shared" ca="1" si="54"/>
        <v>0</v>
      </c>
      <c r="U107" s="17">
        <f t="shared" ca="1" si="54"/>
        <v>0</v>
      </c>
      <c r="V107" s="17">
        <f t="shared" ca="1" si="54"/>
        <v>0</v>
      </c>
      <c r="W107" s="17">
        <f t="shared" ca="1" si="54"/>
        <v>0</v>
      </c>
      <c r="X107" s="17">
        <f t="shared" ca="1" si="54"/>
        <v>0</v>
      </c>
      <c r="Y107" s="17">
        <f t="shared" ca="1" si="54"/>
        <v>325737.57950633275</v>
      </c>
      <c r="Z107" s="17">
        <f t="shared" ca="1" si="54"/>
        <v>-21918.427450999672</v>
      </c>
      <c r="AA107" s="17">
        <f t="shared" ca="1" si="54"/>
        <v>-22584.803327942263</v>
      </c>
      <c r="AB107" s="17">
        <f t="shared" ca="1" si="54"/>
        <v>-23271.391057528446</v>
      </c>
      <c r="AC107" s="17">
        <f t="shared" ca="1" si="54"/>
        <v>-23978.802509745914</v>
      </c>
      <c r="AD107" s="17">
        <f t="shared" ca="1" si="54"/>
        <v>-24707.668048542193</v>
      </c>
      <c r="AE107" s="17">
        <f t="shared" ca="1" si="54"/>
        <v>-25458.637090089956</v>
      </c>
      <c r="AF107" s="17">
        <f t="shared" ca="1" si="54"/>
        <v>-26232.378677886445</v>
      </c>
      <c r="AG107" s="17">
        <f t="shared" ca="1" si="54"/>
        <v>-27029.582075194172</v>
      </c>
      <c r="AH107" s="17">
        <f t="shared" ca="1" si="54"/>
        <v>-27850.957375345406</v>
      </c>
      <c r="AI107" s="17">
        <f t="shared" ca="1" si="54"/>
        <v>-28697.236130448564</v>
      </c>
      <c r="AJ107" s="17">
        <f t="shared" ca="1" si="54"/>
        <v>-29569.171999050883</v>
      </c>
      <c r="AK107" s="17">
        <f t="shared" ca="1" si="54"/>
        <v>-30467.541413328498</v>
      </c>
      <c r="AL107" s="17">
        <f t="shared" ca="1" si="54"/>
        <v>-31393.14426639209</v>
      </c>
      <c r="AM107" s="17">
        <f t="shared" ca="1" si="54"/>
        <v>-32346.804620314186</v>
      </c>
    </row>
    <row r="108" spans="1:39" x14ac:dyDescent="0.2">
      <c r="A108" s="1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</row>
    <row r="109" spans="1:39" x14ac:dyDescent="0.2">
      <c r="A109" s="13" t="s">
        <v>56</v>
      </c>
      <c r="C109" s="17">
        <f ca="1">C95+SUM($C107:C107)</f>
        <v>714578.8</v>
      </c>
      <c r="D109" s="17">
        <f ca="1">D95+SUM($C107:D107)</f>
        <v>615523.44559532881</v>
      </c>
      <c r="E109" s="17">
        <f ca="1">E95+SUM($C107:E107)</f>
        <v>566818.54594435322</v>
      </c>
      <c r="F109" s="17">
        <f ca="1">F95+SUM($C107:F107)</f>
        <v>529495.63528901932</v>
      </c>
      <c r="G109" s="17">
        <f ca="1">G95+SUM($C107:G107)</f>
        <v>449136.11835878156</v>
      </c>
      <c r="H109" s="17">
        <f ca="1">H95+SUM($C107:H107)</f>
        <v>405493.30580093106</v>
      </c>
      <c r="I109" s="17">
        <f ca="1">I95+SUM($C107:I107)</f>
        <v>395591.02540947287</v>
      </c>
      <c r="J109" s="17">
        <f ca="1">J95+SUM($C107:J107)</f>
        <v>355835.83444133337</v>
      </c>
      <c r="K109" s="17">
        <f ca="1">K95+SUM($C107:K107)</f>
        <v>283995.80718639237</v>
      </c>
      <c r="L109" s="17">
        <f ca="1">L95+SUM($C107:L107)</f>
        <v>240951.16457455605</v>
      </c>
      <c r="M109" s="17">
        <f ca="1">M95+SUM($C107:M107)</f>
        <v>196581.88886248111</v>
      </c>
      <c r="N109" s="17">
        <f ca="1">N95+SUM($C107:N107)</f>
        <v>159081.59242159489</v>
      </c>
      <c r="O109" s="17">
        <f ca="1">O95+SUM($C107:O107)</f>
        <v>129202.61024367121</v>
      </c>
      <c r="P109" s="17">
        <f ca="1">P95+SUM($C107:P107)</f>
        <v>97998.759380603165</v>
      </c>
      <c r="Q109" s="17">
        <f ca="1">Q95+SUM($C107:Q107)</f>
        <v>65430.525954565201</v>
      </c>
      <c r="R109" s="17">
        <f ca="1">R95+SUM($C107:R107)</f>
        <v>50000</v>
      </c>
      <c r="S109" s="17">
        <f ca="1">S95+SUM($C107:S107)</f>
        <v>50000</v>
      </c>
      <c r="T109" s="17">
        <f ca="1">T95+SUM($C107:T107)</f>
        <v>50000</v>
      </c>
      <c r="U109" s="17">
        <f ca="1">U95+SUM($C107:U107)</f>
        <v>41424.594655240275</v>
      </c>
      <c r="V109" s="17">
        <f ca="1">V95+SUM($C107:V107)</f>
        <v>25443.590398730797</v>
      </c>
      <c r="W109" s="17">
        <f ca="1">W95+SUM($C107:W107)</f>
        <v>52374.660546813</v>
      </c>
      <c r="X109" s="17">
        <f ca="1">X95+SUM($C107:X107)</f>
        <v>27924.99427663417</v>
      </c>
      <c r="Y109" s="17">
        <f ca="1">Y95+SUM($C107:Y107)</f>
        <v>328899.31298750715</v>
      </c>
      <c r="Z109" s="17">
        <f ca="1">Z95+SUM($C107:Z107)</f>
        <v>281905.11976657895</v>
      </c>
      <c r="AA109" s="17">
        <f ca="1">AA95+SUM($C107:AA107)</f>
        <v>233933.43036624015</v>
      </c>
      <c r="AB109" s="17">
        <f ca="1">AB95+SUM($C107:AB107)</f>
        <v>184965.72814153897</v>
      </c>
      <c r="AC109" s="17">
        <f ca="1">AC95+SUM($C107:AC107)</f>
        <v>134983.2111541857</v>
      </c>
      <c r="AD109" s="17">
        <f ca="1">AD95+SUM($C107:AD107)</f>
        <v>95653.590478701226</v>
      </c>
      <c r="AE109" s="17">
        <f ca="1">AE95+SUM($C107:AE107)</f>
        <v>55562.858186886675</v>
      </c>
      <c r="AF109" s="17">
        <f ca="1">AF95+SUM($C107:AF107)</f>
        <v>14698.650355350488</v>
      </c>
      <c r="AG109" s="17">
        <f ca="1">AG95+SUM($C107:AG107)</f>
        <v>-26951.506121373153</v>
      </c>
      <c r="AH109" s="17">
        <f ca="1">AH95+SUM($C107:AH107)</f>
        <v>-69400.190262895921</v>
      </c>
      <c r="AI109" s="17">
        <f ca="1">AI95+SUM($C107:AI107)</f>
        <v>-112660.08347342421</v>
      </c>
      <c r="AJ109" s="17">
        <f ca="1">AJ95+SUM($C107:AJ107)</f>
        <v>-156743.96573864721</v>
      </c>
      <c r="AK109" s="17">
        <f ca="1">AK95+SUM($C107:AK107)</f>
        <v>-201664.71153666521</v>
      </c>
      <c r="AL109" s="17">
        <f ca="1">AL95+SUM($C107:AL107)</f>
        <v>-247435.28545008294</v>
      </c>
      <c r="AM109" s="17">
        <f ca="1">AM95+SUM($C107:AM107)</f>
        <v>-294068.73746589903</v>
      </c>
    </row>
    <row r="110" spans="1:39" x14ac:dyDescent="0.2">
      <c r="A110" s="13" t="s">
        <v>22</v>
      </c>
      <c r="C110" s="17">
        <f ca="1">IF(C109&lt;0,C109,0)</f>
        <v>0</v>
      </c>
      <c r="D110" s="17">
        <f ca="1">IF(D109+SUM($C110:C110)&lt;0,-(D109+SUM($C110:C110)),0)</f>
        <v>0</v>
      </c>
      <c r="E110" s="17">
        <f ca="1">IF(E109+SUM($C110:D110)&lt;0,-(E109+SUM($C110:D110)),0)</f>
        <v>0</v>
      </c>
      <c r="F110" s="17">
        <f ca="1">IF(F109+SUM($C110:E110)&lt;0,-(F109+SUM($C110:E110)),0)</f>
        <v>0</v>
      </c>
      <c r="G110" s="17">
        <f ca="1">IF(G109+SUM($C110:F110)&lt;0,-(G109+SUM($C110:F110)),0)</f>
        <v>0</v>
      </c>
      <c r="H110" s="17">
        <f ca="1">IF(H109+SUM($C110:G110)&lt;0,-(H109+SUM($C110:G110)),0)</f>
        <v>0</v>
      </c>
      <c r="I110" s="17">
        <f ca="1">IF(I109+SUM($C110:H110)&lt;0,-(I109+SUM($C110:H110)),0)</f>
        <v>0</v>
      </c>
      <c r="J110" s="17">
        <f ca="1">IF(J109+SUM($C110:I110)&lt;0,-(J109+SUM($C110:I110)),0)</f>
        <v>0</v>
      </c>
      <c r="K110" s="17">
        <f ca="1">IF(K109+SUM($C110:J110)&lt;0,-(K109+SUM($C110:J110)),0)</f>
        <v>0</v>
      </c>
      <c r="L110" s="17">
        <f ca="1">IF(L109+SUM($C110:K110)&lt;0,-(L109+SUM($C110:K110)),0)</f>
        <v>0</v>
      </c>
      <c r="M110" s="17">
        <f ca="1">IF(M109+SUM($C110:L110)&lt;0,-(M109+SUM($C110:L110)),0)</f>
        <v>0</v>
      </c>
      <c r="N110" s="17">
        <f ca="1">IF(N109+SUM($C110:M110)&lt;0,-(N109+SUM($C110:M110)),0)</f>
        <v>0</v>
      </c>
      <c r="O110" s="17">
        <f ca="1">IF(O109+SUM($C110:N110)&lt;0,-(O109+SUM($C110:N110)),0)</f>
        <v>0</v>
      </c>
      <c r="P110" s="17">
        <f ca="1">IF(P109+SUM($C110:O110)&lt;0,-(P109+SUM($C110:O110)),0)</f>
        <v>0</v>
      </c>
      <c r="Q110" s="17">
        <f ca="1">IF(Q109+SUM($C110:P110)&lt;0,-(Q109+SUM($C110:P110)),0)</f>
        <v>0</v>
      </c>
      <c r="R110" s="17">
        <f ca="1">IF(R109+SUM($C110:Q110)&lt;0,-(R109+SUM($C110:Q110)),0)</f>
        <v>0</v>
      </c>
      <c r="S110" s="17">
        <f ca="1">IF(S109+SUM($C110:R110)&lt;0,-(S109+SUM($C110:R110)),0)</f>
        <v>0</v>
      </c>
      <c r="T110" s="17">
        <f ca="1">IF(T109+SUM($C110:S110)&lt;0,-(T109+SUM($C110:S110)),0)</f>
        <v>0</v>
      </c>
      <c r="U110" s="17">
        <f ca="1">IF(U109+SUM($C110:T110)&lt;0,-(U109+SUM($C110:T110)),0)</f>
        <v>0</v>
      </c>
      <c r="V110" s="17">
        <f ca="1">IF(V109+SUM($C110:U110)&lt;0,-(V109+SUM($C110:U110)),0)</f>
        <v>0</v>
      </c>
      <c r="W110" s="17">
        <f ca="1">IF(W109+SUM($C110:V110)&lt;0,-(W109+SUM($C110:V110)),0)</f>
        <v>0</v>
      </c>
      <c r="X110" s="17">
        <f ca="1">IF(X109+SUM($C110:W110)&lt;0,-(X109+SUM($C110:W110)),0)</f>
        <v>0</v>
      </c>
      <c r="Y110" s="17">
        <f ca="1">IF(Y109+SUM($C110:X110)&lt;0,-(Y109+SUM($C110:X110)),0)</f>
        <v>0</v>
      </c>
      <c r="Z110" s="17">
        <f ca="1">IF(Z109+SUM($C110:Y110)&lt;0,-(Z109+SUM($C110:Y110)),0)</f>
        <v>0</v>
      </c>
      <c r="AA110" s="17">
        <f ca="1">IF(AA109+SUM($C110:Z110)&lt;0,-(AA109+SUM($C110:Z110)),0)</f>
        <v>0</v>
      </c>
      <c r="AB110" s="17">
        <f ca="1">IF(AB109+SUM($C110:AA110)&lt;0,-(AB109+SUM($C110:AA110)),0)</f>
        <v>0</v>
      </c>
      <c r="AC110" s="17">
        <f ca="1">IF(AC109+SUM($C110:AB110)&lt;0,-(AC109+SUM($C110:AB110)),0)</f>
        <v>0</v>
      </c>
      <c r="AD110" s="17">
        <f ca="1">IF(AD109+SUM($C110:AC110)&lt;0,-(AD109+SUM($C110:AC110)),0)</f>
        <v>0</v>
      </c>
      <c r="AE110" s="17">
        <f ca="1">IF(AE109+SUM($C110:AD110)&lt;0,-(AE109+SUM($C110:AD110)),0)</f>
        <v>0</v>
      </c>
      <c r="AF110" s="17">
        <f ca="1">IF(AF109+SUM($C110:AE110)&lt;0,-(AF109+SUM($C110:AE110)),0)</f>
        <v>0</v>
      </c>
      <c r="AG110" s="17">
        <f ca="1">IF(AG109+SUM($C110:AF110)&lt;0,-(AG109+SUM($C110:AF110)),0)</f>
        <v>26951.506121373153</v>
      </c>
      <c r="AH110" s="17">
        <f ca="1">IF(AH109+SUM($C110:AG110)&lt;0,-(AH109+SUM($C110:AG110)),0)</f>
        <v>42448.684141522768</v>
      </c>
      <c r="AI110" s="17">
        <f ca="1">IF(AI109+SUM($C110:AH110)&lt;0,-(AI109+SUM($C110:AH110)),0)</f>
        <v>43259.893210528287</v>
      </c>
      <c r="AJ110" s="17">
        <f ca="1">IF(AJ109+SUM($C110:AI110)&lt;0,-(AJ109+SUM($C110:AI110)),0)</f>
        <v>44083.882265223001</v>
      </c>
      <c r="AK110" s="17">
        <f ca="1">IF(AK109+SUM($C110:AJ110)&lt;0,-(AK109+SUM($C110:AJ110)),0)</f>
        <v>44920.745798018004</v>
      </c>
      <c r="AL110" s="17">
        <f ca="1">IF(AL109+SUM($C110:AK110)&lt;0,-(AL109+SUM($C110:AK110)),0)</f>
        <v>45770.573913417727</v>
      </c>
      <c r="AM110" s="17">
        <f ca="1">IF(AM109+SUM($C110:AL110)&lt;0,-(AM109+SUM($C110:AL110)),0)</f>
        <v>46633.452015816089</v>
      </c>
    </row>
    <row r="111" spans="1:39" x14ac:dyDescent="0.2"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</row>
    <row r="112" spans="1:39" x14ac:dyDescent="0.2">
      <c r="A112" s="41" t="str">
        <f>IF(Inputs!$C$165=6,IFERROR(_xlfn.XLOOKUP($B112,Inputs!$C$166:$C$168,Inputs!$B$166:$B$168,,0,1),""),IFERROR(_xlfn.XLOOKUP($B112,Inputs!$O$166:$O$168,Inputs!$B$166:$B$168,,0,1),""))</f>
        <v>Gzira</v>
      </c>
      <c r="B112" s="43">
        <v>3</v>
      </c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</row>
    <row r="113" spans="1:39" x14ac:dyDescent="0.2">
      <c r="A113" s="13" t="s">
        <v>24</v>
      </c>
      <c r="C113" s="17">
        <f>IFERROR(VLOOKUP($A112,$A$52:$H$66,C$1+2,FALSE),0)</f>
        <v>360500</v>
      </c>
      <c r="D113" s="17">
        <f ca="1">C116</f>
        <v>360500</v>
      </c>
      <c r="E113" s="17">
        <f t="shared" ref="E113:AM113" ca="1" si="55">D116</f>
        <v>371315</v>
      </c>
      <c r="F113" s="17">
        <f t="shared" ca="1" si="55"/>
        <v>382454.45</v>
      </c>
      <c r="G113" s="17">
        <f t="shared" ca="1" si="55"/>
        <v>393928.08350000001</v>
      </c>
      <c r="H113" s="17">
        <f t="shared" ca="1" si="55"/>
        <v>405745.92600500002</v>
      </c>
      <c r="I113" s="17">
        <f t="shared" ca="1" si="55"/>
        <v>417918.30378515</v>
      </c>
      <c r="J113" s="17">
        <f t="shared" ca="1" si="55"/>
        <v>430455.85289870447</v>
      </c>
      <c r="K113" s="17">
        <f t="shared" ca="1" si="55"/>
        <v>443369.52848566562</v>
      </c>
      <c r="L113" s="17">
        <f t="shared" ca="1" si="55"/>
        <v>456670.6143402356</v>
      </c>
      <c r="M113" s="17">
        <f t="shared" ca="1" si="55"/>
        <v>470370.73277044267</v>
      </c>
      <c r="N113" s="17">
        <f t="shared" ca="1" si="55"/>
        <v>484481.85475355596</v>
      </c>
      <c r="O113" s="17">
        <f t="shared" ca="1" si="55"/>
        <v>499016.31039616262</v>
      </c>
      <c r="P113" s="17">
        <f t="shared" ca="1" si="55"/>
        <v>513986.79970804747</v>
      </c>
      <c r="Q113" s="17">
        <f t="shared" ca="1" si="55"/>
        <v>529406.40369928884</v>
      </c>
      <c r="R113" s="17">
        <f t="shared" ca="1" si="55"/>
        <v>545288.59581026749</v>
      </c>
      <c r="S113" s="17">
        <f t="shared" ca="1" si="55"/>
        <v>561647.25368457555</v>
      </c>
      <c r="T113" s="17">
        <f t="shared" ca="1" si="55"/>
        <v>578496.67129511281</v>
      </c>
      <c r="U113" s="17">
        <f t="shared" ca="1" si="55"/>
        <v>595851.57143396616</v>
      </c>
      <c r="V113" s="17">
        <f t="shared" ca="1" si="55"/>
        <v>613727.1185769852</v>
      </c>
      <c r="W113" s="17">
        <f t="shared" ca="1" si="55"/>
        <v>632138.93213429477</v>
      </c>
      <c r="X113" s="17">
        <f t="shared" ca="1" si="55"/>
        <v>651103.10009832366</v>
      </c>
      <c r="Y113" s="17">
        <f t="shared" ca="1" si="55"/>
        <v>670636.19310127338</v>
      </c>
      <c r="Z113" s="17">
        <f t="shared" ca="1" si="55"/>
        <v>690755.27889431163</v>
      </c>
      <c r="AA113" s="17">
        <f t="shared" ca="1" si="55"/>
        <v>711477.93726114102</v>
      </c>
      <c r="AB113" s="17">
        <f t="shared" ca="1" si="55"/>
        <v>732822.2753789752</v>
      </c>
      <c r="AC113" s="17">
        <f t="shared" ca="1" si="55"/>
        <v>754806.94364034443</v>
      </c>
      <c r="AD113" s="17">
        <f t="shared" ca="1" si="55"/>
        <v>777451.1519495548</v>
      </c>
      <c r="AE113" s="17">
        <f t="shared" ca="1" si="55"/>
        <v>800774.68650804146</v>
      </c>
      <c r="AF113" s="17">
        <f t="shared" ca="1" si="55"/>
        <v>824797.92710328265</v>
      </c>
      <c r="AG113" s="17">
        <f t="shared" ca="1" si="55"/>
        <v>0</v>
      </c>
      <c r="AH113" s="17">
        <f t="shared" ca="1" si="55"/>
        <v>0</v>
      </c>
      <c r="AI113" s="17">
        <f t="shared" ca="1" si="55"/>
        <v>0</v>
      </c>
      <c r="AJ113" s="17">
        <f t="shared" ca="1" si="55"/>
        <v>0</v>
      </c>
      <c r="AK113" s="17">
        <f t="shared" ca="1" si="55"/>
        <v>0</v>
      </c>
      <c r="AL113" s="17">
        <f t="shared" ca="1" si="55"/>
        <v>0</v>
      </c>
      <c r="AM113" s="17">
        <f t="shared" ca="1" si="55"/>
        <v>0</v>
      </c>
    </row>
    <row r="114" spans="1:39" x14ac:dyDescent="0.2">
      <c r="A114" s="13" t="s">
        <v>25</v>
      </c>
      <c r="C114" s="17">
        <f ca="1">-IF(SUM(C110:D110)&gt;0,C113,0)</f>
        <v>0</v>
      </c>
      <c r="D114" s="17">
        <f ca="1">-IF(E110&gt;0,D113,0)</f>
        <v>0</v>
      </c>
      <c r="E114" s="17">
        <f ca="1">-IF(F110&gt;0,E113,0)</f>
        <v>0</v>
      </c>
      <c r="F114" s="17">
        <f ca="1">-IF(G110&gt;0,F113,0)</f>
        <v>0</v>
      </c>
      <c r="G114" s="17">
        <f t="shared" ref="G114:AM114" ca="1" si="56">-IF(H110&gt;0,G113,0)</f>
        <v>0</v>
      </c>
      <c r="H114" s="17">
        <f t="shared" ca="1" si="56"/>
        <v>0</v>
      </c>
      <c r="I114" s="17">
        <f t="shared" ca="1" si="56"/>
        <v>0</v>
      </c>
      <c r="J114" s="17">
        <f t="shared" ca="1" si="56"/>
        <v>0</v>
      </c>
      <c r="K114" s="17">
        <f t="shared" ca="1" si="56"/>
        <v>0</v>
      </c>
      <c r="L114" s="17">
        <f t="shared" ca="1" si="56"/>
        <v>0</v>
      </c>
      <c r="M114" s="17">
        <f t="shared" ca="1" si="56"/>
        <v>0</v>
      </c>
      <c r="N114" s="17">
        <f t="shared" ca="1" si="56"/>
        <v>0</v>
      </c>
      <c r="O114" s="17">
        <f t="shared" ca="1" si="56"/>
        <v>0</v>
      </c>
      <c r="P114" s="17">
        <f t="shared" ca="1" si="56"/>
        <v>0</v>
      </c>
      <c r="Q114" s="17">
        <f t="shared" ca="1" si="56"/>
        <v>0</v>
      </c>
      <c r="R114" s="17">
        <f t="shared" ca="1" si="56"/>
        <v>0</v>
      </c>
      <c r="S114" s="17">
        <f t="shared" ca="1" si="56"/>
        <v>0</v>
      </c>
      <c r="T114" s="17">
        <f t="shared" ca="1" si="56"/>
        <v>0</v>
      </c>
      <c r="U114" s="17">
        <f t="shared" ca="1" si="56"/>
        <v>0</v>
      </c>
      <c r="V114" s="17">
        <f t="shared" ca="1" si="56"/>
        <v>0</v>
      </c>
      <c r="W114" s="17">
        <f t="shared" ca="1" si="56"/>
        <v>0</v>
      </c>
      <c r="X114" s="17">
        <f t="shared" ca="1" si="56"/>
        <v>0</v>
      </c>
      <c r="Y114" s="17">
        <f t="shared" ca="1" si="56"/>
        <v>0</v>
      </c>
      <c r="Z114" s="17">
        <f t="shared" ca="1" si="56"/>
        <v>0</v>
      </c>
      <c r="AA114" s="17">
        <f t="shared" ca="1" si="56"/>
        <v>0</v>
      </c>
      <c r="AB114" s="17">
        <f t="shared" ca="1" si="56"/>
        <v>0</v>
      </c>
      <c r="AC114" s="17">
        <f t="shared" ca="1" si="56"/>
        <v>0</v>
      </c>
      <c r="AD114" s="17">
        <f t="shared" ca="1" si="56"/>
        <v>0</v>
      </c>
      <c r="AE114" s="17">
        <f t="shared" ca="1" si="56"/>
        <v>0</v>
      </c>
      <c r="AF114" s="17">
        <f t="shared" ca="1" si="56"/>
        <v>-824797.92710328265</v>
      </c>
      <c r="AG114" s="17">
        <f t="shared" ca="1" si="56"/>
        <v>0</v>
      </c>
      <c r="AH114" s="17">
        <f t="shared" ca="1" si="56"/>
        <v>0</v>
      </c>
      <c r="AI114" s="17">
        <f t="shared" ca="1" si="56"/>
        <v>0</v>
      </c>
      <c r="AJ114" s="17">
        <f t="shared" ca="1" si="56"/>
        <v>0</v>
      </c>
      <c r="AK114" s="17">
        <f t="shared" ca="1" si="56"/>
        <v>0</v>
      </c>
      <c r="AL114" s="17">
        <f t="shared" ca="1" si="56"/>
        <v>0</v>
      </c>
      <c r="AM114" s="17">
        <f t="shared" si="56"/>
        <v>0</v>
      </c>
    </row>
    <row r="115" spans="1:39" x14ac:dyDescent="0.2">
      <c r="A115" s="13" t="s">
        <v>26</v>
      </c>
      <c r="C115" s="17">
        <v>0</v>
      </c>
      <c r="D115" s="17">
        <f t="shared" ref="D115:G115" ca="1" si="57">SUM(D113:D114)*princ</f>
        <v>10815</v>
      </c>
      <c r="E115" s="17">
        <f t="shared" ca="1" si="57"/>
        <v>11139.449999999999</v>
      </c>
      <c r="F115" s="17">
        <f t="shared" ca="1" si="57"/>
        <v>11473.6335</v>
      </c>
      <c r="G115" s="17">
        <f t="shared" ca="1" si="57"/>
        <v>11817.842505000001</v>
      </c>
      <c r="H115" s="17">
        <f t="shared" ref="H115:AM115" ca="1" si="58">SUM(H113:H114)*princ</f>
        <v>12172.37778015</v>
      </c>
      <c r="I115" s="17">
        <f t="shared" ca="1" si="58"/>
        <v>12537.5491135545</v>
      </c>
      <c r="J115" s="17">
        <f t="shared" ca="1" si="58"/>
        <v>12913.675586961133</v>
      </c>
      <c r="K115" s="17">
        <f t="shared" ca="1" si="58"/>
        <v>13301.085854569968</v>
      </c>
      <c r="L115" s="17">
        <f t="shared" ca="1" si="58"/>
        <v>13700.118430207067</v>
      </c>
      <c r="M115" s="17">
        <f t="shared" ca="1" si="58"/>
        <v>14111.12198311328</v>
      </c>
      <c r="N115" s="17">
        <f t="shared" ca="1" si="58"/>
        <v>14534.455642606679</v>
      </c>
      <c r="O115" s="17">
        <f t="shared" ca="1" si="58"/>
        <v>14970.489311884878</v>
      </c>
      <c r="P115" s="17">
        <f t="shared" ca="1" si="58"/>
        <v>15419.603991241424</v>
      </c>
      <c r="Q115" s="17">
        <f t="shared" ca="1" si="58"/>
        <v>15882.192110978665</v>
      </c>
      <c r="R115" s="17">
        <f t="shared" ca="1" si="58"/>
        <v>16358.657874308024</v>
      </c>
      <c r="S115" s="17">
        <f t="shared" ca="1" si="58"/>
        <v>16849.417610537264</v>
      </c>
      <c r="T115" s="17">
        <f t="shared" ca="1" si="58"/>
        <v>17354.900138853383</v>
      </c>
      <c r="U115" s="17">
        <f t="shared" ca="1" si="58"/>
        <v>17875.547143018983</v>
      </c>
      <c r="V115" s="17">
        <f t="shared" ca="1" si="58"/>
        <v>18411.813557309557</v>
      </c>
      <c r="W115" s="17">
        <f t="shared" ca="1" si="58"/>
        <v>18964.167964028842</v>
      </c>
      <c r="X115" s="17">
        <f t="shared" ca="1" si="58"/>
        <v>19533.09300294971</v>
      </c>
      <c r="Y115" s="17">
        <f t="shared" ca="1" si="58"/>
        <v>20119.085793038201</v>
      </c>
      <c r="Z115" s="17">
        <f t="shared" ca="1" si="58"/>
        <v>20722.65836682935</v>
      </c>
      <c r="AA115" s="17">
        <f t="shared" ca="1" si="58"/>
        <v>21344.338117834232</v>
      </c>
      <c r="AB115" s="17">
        <f t="shared" ca="1" si="58"/>
        <v>21984.668261369254</v>
      </c>
      <c r="AC115" s="17">
        <f t="shared" ca="1" si="58"/>
        <v>22644.208309210331</v>
      </c>
      <c r="AD115" s="17">
        <f t="shared" ca="1" si="58"/>
        <v>23323.534558486645</v>
      </c>
      <c r="AE115" s="17">
        <f t="shared" ca="1" si="58"/>
        <v>24023.240595241245</v>
      </c>
      <c r="AF115" s="17">
        <f t="shared" ca="1" si="58"/>
        <v>0</v>
      </c>
      <c r="AG115" s="17">
        <f t="shared" ca="1" si="58"/>
        <v>0</v>
      </c>
      <c r="AH115" s="17">
        <f t="shared" ca="1" si="58"/>
        <v>0</v>
      </c>
      <c r="AI115" s="17">
        <f t="shared" ca="1" si="58"/>
        <v>0</v>
      </c>
      <c r="AJ115" s="17">
        <f t="shared" ca="1" si="58"/>
        <v>0</v>
      </c>
      <c r="AK115" s="17">
        <f t="shared" ca="1" si="58"/>
        <v>0</v>
      </c>
      <c r="AL115" s="17">
        <f t="shared" ca="1" si="58"/>
        <v>0</v>
      </c>
      <c r="AM115" s="17">
        <f t="shared" ca="1" si="58"/>
        <v>0</v>
      </c>
    </row>
    <row r="116" spans="1:39" x14ac:dyDescent="0.2">
      <c r="A116" s="13" t="s">
        <v>27</v>
      </c>
      <c r="C116" s="17">
        <f ca="1">SUM(C113:C115)</f>
        <v>360500</v>
      </c>
      <c r="D116" s="17">
        <f t="shared" ref="D116:G116" ca="1" si="59">SUM(D113:D115)</f>
        <v>371315</v>
      </c>
      <c r="E116" s="17">
        <f t="shared" ca="1" si="59"/>
        <v>382454.45</v>
      </c>
      <c r="F116" s="17">
        <f t="shared" ca="1" si="59"/>
        <v>393928.08350000001</v>
      </c>
      <c r="G116" s="17">
        <f t="shared" ca="1" si="59"/>
        <v>405745.92600500002</v>
      </c>
      <c r="H116" s="17">
        <f t="shared" ref="H116:AM116" ca="1" si="60">SUM(H113:H115)</f>
        <v>417918.30378515</v>
      </c>
      <c r="I116" s="17">
        <f t="shared" ca="1" si="60"/>
        <v>430455.85289870447</v>
      </c>
      <c r="J116" s="17">
        <f t="shared" ca="1" si="60"/>
        <v>443369.52848566562</v>
      </c>
      <c r="K116" s="17">
        <f t="shared" ca="1" si="60"/>
        <v>456670.6143402356</v>
      </c>
      <c r="L116" s="17">
        <f t="shared" ca="1" si="60"/>
        <v>470370.73277044267</v>
      </c>
      <c r="M116" s="17">
        <f t="shared" ca="1" si="60"/>
        <v>484481.85475355596</v>
      </c>
      <c r="N116" s="17">
        <f t="shared" ca="1" si="60"/>
        <v>499016.31039616262</v>
      </c>
      <c r="O116" s="17">
        <f t="shared" ca="1" si="60"/>
        <v>513986.79970804747</v>
      </c>
      <c r="P116" s="17">
        <f t="shared" ca="1" si="60"/>
        <v>529406.40369928884</v>
      </c>
      <c r="Q116" s="17">
        <f t="shared" ca="1" si="60"/>
        <v>545288.59581026749</v>
      </c>
      <c r="R116" s="17">
        <f t="shared" ca="1" si="60"/>
        <v>561647.25368457555</v>
      </c>
      <c r="S116" s="17">
        <f t="shared" ca="1" si="60"/>
        <v>578496.67129511281</v>
      </c>
      <c r="T116" s="17">
        <f t="shared" ca="1" si="60"/>
        <v>595851.57143396616</v>
      </c>
      <c r="U116" s="17">
        <f t="shared" ca="1" si="60"/>
        <v>613727.1185769852</v>
      </c>
      <c r="V116" s="17">
        <f t="shared" ca="1" si="60"/>
        <v>632138.93213429477</v>
      </c>
      <c r="W116" s="17">
        <f t="shared" ca="1" si="60"/>
        <v>651103.10009832366</v>
      </c>
      <c r="X116" s="17">
        <f t="shared" ca="1" si="60"/>
        <v>670636.19310127338</v>
      </c>
      <c r="Y116" s="17">
        <f t="shared" ca="1" si="60"/>
        <v>690755.27889431163</v>
      </c>
      <c r="Z116" s="17">
        <f t="shared" ca="1" si="60"/>
        <v>711477.93726114102</v>
      </c>
      <c r="AA116" s="17">
        <f t="shared" ca="1" si="60"/>
        <v>732822.2753789752</v>
      </c>
      <c r="AB116" s="17">
        <f t="shared" ca="1" si="60"/>
        <v>754806.94364034443</v>
      </c>
      <c r="AC116" s="17">
        <f t="shared" ca="1" si="60"/>
        <v>777451.1519495548</v>
      </c>
      <c r="AD116" s="17">
        <f t="shared" ca="1" si="60"/>
        <v>800774.68650804146</v>
      </c>
      <c r="AE116" s="17">
        <f t="shared" ca="1" si="60"/>
        <v>824797.92710328265</v>
      </c>
      <c r="AF116" s="17">
        <f t="shared" ca="1" si="60"/>
        <v>0</v>
      </c>
      <c r="AG116" s="17">
        <f t="shared" ca="1" si="60"/>
        <v>0</v>
      </c>
      <c r="AH116" s="17">
        <f t="shared" ca="1" si="60"/>
        <v>0</v>
      </c>
      <c r="AI116" s="17">
        <f t="shared" ca="1" si="60"/>
        <v>0</v>
      </c>
      <c r="AJ116" s="17">
        <f t="shared" ca="1" si="60"/>
        <v>0</v>
      </c>
      <c r="AK116" s="17">
        <f t="shared" ca="1" si="60"/>
        <v>0</v>
      </c>
      <c r="AL116" s="17">
        <f t="shared" ca="1" si="60"/>
        <v>0</v>
      </c>
      <c r="AM116" s="17">
        <f t="shared" ca="1" si="60"/>
        <v>0</v>
      </c>
    </row>
    <row r="117" spans="1:39" x14ac:dyDescent="0.2">
      <c r="A117" s="13" t="s">
        <v>28</v>
      </c>
      <c r="C117" s="17">
        <f ca="1">C114*Inputs!$C$163</f>
        <v>0</v>
      </c>
      <c r="D117" s="17">
        <f ca="1">D114*Inputs!$C$163</f>
        <v>0</v>
      </c>
      <c r="E117" s="17">
        <f ca="1">E114*Inputs!$C$163</f>
        <v>0</v>
      </c>
      <c r="F117" s="17">
        <f ca="1">F114*Inputs!$C$163</f>
        <v>0</v>
      </c>
      <c r="G117" s="17">
        <f ca="1">G114*Inputs!$C$163</f>
        <v>0</v>
      </c>
      <c r="H117" s="17">
        <f ca="1">H114*Inputs!$C$163</f>
        <v>0</v>
      </c>
      <c r="I117" s="17">
        <f ca="1">I114*Inputs!$C$163</f>
        <v>0</v>
      </c>
      <c r="J117" s="17">
        <f ca="1">J114*Inputs!$C$163</f>
        <v>0</v>
      </c>
      <c r="K117" s="17">
        <f ca="1">K114*Inputs!$C$163</f>
        <v>0</v>
      </c>
      <c r="L117" s="17">
        <f ca="1">L114*Inputs!$C$163</f>
        <v>0</v>
      </c>
      <c r="M117" s="17">
        <f ca="1">M114*Inputs!$C$163</f>
        <v>0</v>
      </c>
      <c r="N117" s="17">
        <f ca="1">N114*Inputs!$C$163</f>
        <v>0</v>
      </c>
      <c r="O117" s="17">
        <f ca="1">O114*Inputs!$C$163</f>
        <v>0</v>
      </c>
      <c r="P117" s="17">
        <f ca="1">P114*Inputs!$C$163</f>
        <v>0</v>
      </c>
      <c r="Q117" s="17">
        <f ca="1">Q114*Inputs!$C$163</f>
        <v>0</v>
      </c>
      <c r="R117" s="17">
        <f ca="1">R114*Inputs!$C$163</f>
        <v>0</v>
      </c>
      <c r="S117" s="17">
        <f ca="1">S114*Inputs!$C$163</f>
        <v>0</v>
      </c>
      <c r="T117" s="17">
        <f ca="1">T114*Inputs!$C$163</f>
        <v>0</v>
      </c>
      <c r="U117" s="17">
        <f ca="1">U114*Inputs!$C$163</f>
        <v>0</v>
      </c>
      <c r="V117" s="17">
        <f ca="1">V114*Inputs!$C$163</f>
        <v>0</v>
      </c>
      <c r="W117" s="17">
        <f ca="1">W114*Inputs!$C$163</f>
        <v>0</v>
      </c>
      <c r="X117" s="17">
        <f ca="1">X114*Inputs!$C$163</f>
        <v>0</v>
      </c>
      <c r="Y117" s="17">
        <f ca="1">Y114*Inputs!$C$163</f>
        <v>0</v>
      </c>
      <c r="Z117" s="17">
        <f ca="1">Z114*Inputs!$C$163</f>
        <v>0</v>
      </c>
      <c r="AA117" s="17">
        <f ca="1">AA114*Inputs!$C$163</f>
        <v>0</v>
      </c>
      <c r="AB117" s="17">
        <f ca="1">AB114*Inputs!$C$163</f>
        <v>0</v>
      </c>
      <c r="AC117" s="17">
        <f ca="1">AC114*Inputs!$C$163</f>
        <v>0</v>
      </c>
      <c r="AD117" s="17">
        <f ca="1">AD114*Inputs!$C$163</f>
        <v>0</v>
      </c>
      <c r="AE117" s="17">
        <f ca="1">AE114*Inputs!$C$163</f>
        <v>0</v>
      </c>
      <c r="AF117" s="17">
        <f ca="1">AF114*Inputs!$C$163</f>
        <v>-123719.68906549239</v>
      </c>
      <c r="AG117" s="17">
        <f ca="1">AG114*Inputs!$C$163</f>
        <v>0</v>
      </c>
      <c r="AH117" s="17">
        <f ca="1">AH114*Inputs!$C$163</f>
        <v>0</v>
      </c>
      <c r="AI117" s="17">
        <f ca="1">AI114*Inputs!$C$163</f>
        <v>0</v>
      </c>
      <c r="AJ117" s="17">
        <f ca="1">AJ114*Inputs!$C$163</f>
        <v>0</v>
      </c>
      <c r="AK117" s="17">
        <f ca="1">AK114*Inputs!$C$163</f>
        <v>0</v>
      </c>
      <c r="AL117" s="17">
        <f ca="1">AL114*Inputs!$C$163</f>
        <v>0</v>
      </c>
      <c r="AM117" s="17">
        <f>AM114*Inputs!$C$163</f>
        <v>0</v>
      </c>
    </row>
    <row r="118" spans="1:39" x14ac:dyDescent="0.2">
      <c r="A118" s="13" t="s">
        <v>35</v>
      </c>
      <c r="C118" s="17">
        <f>IFERROR(-IF(C113=0,VLOOKUP($A112,$7:$10,C$1+2,FALSE),0),0)</f>
        <v>0</v>
      </c>
      <c r="D118" s="17">
        <f t="shared" ref="D118:G118" ca="1" si="61">IFERROR(-IF(D113=0,VLOOKUP($A112,$7:$10,D$1+2,FALSE),0),0)</f>
        <v>0</v>
      </c>
      <c r="E118" s="17">
        <f t="shared" ca="1" si="61"/>
        <v>0</v>
      </c>
      <c r="F118" s="17">
        <f t="shared" ca="1" si="61"/>
        <v>0</v>
      </c>
      <c r="G118" s="17">
        <f t="shared" ca="1" si="61"/>
        <v>0</v>
      </c>
      <c r="H118" s="17">
        <f t="shared" ref="H118:AM118" ca="1" si="62">IFERROR(-IF(H113=0,VLOOKUP($A112,$7:$10,H$1+2,FALSE),0),0)</f>
        <v>0</v>
      </c>
      <c r="I118" s="17">
        <f t="shared" ca="1" si="62"/>
        <v>0</v>
      </c>
      <c r="J118" s="17">
        <f t="shared" ca="1" si="62"/>
        <v>0</v>
      </c>
      <c r="K118" s="17">
        <f t="shared" ca="1" si="62"/>
        <v>0</v>
      </c>
      <c r="L118" s="17">
        <f t="shared" ca="1" si="62"/>
        <v>0</v>
      </c>
      <c r="M118" s="17">
        <f t="shared" ca="1" si="62"/>
        <v>0</v>
      </c>
      <c r="N118" s="17">
        <f t="shared" ca="1" si="62"/>
        <v>0</v>
      </c>
      <c r="O118" s="17">
        <f t="shared" ca="1" si="62"/>
        <v>0</v>
      </c>
      <c r="P118" s="17">
        <f t="shared" ca="1" si="62"/>
        <v>0</v>
      </c>
      <c r="Q118" s="17">
        <f t="shared" ca="1" si="62"/>
        <v>0</v>
      </c>
      <c r="R118" s="17">
        <f t="shared" ca="1" si="62"/>
        <v>0</v>
      </c>
      <c r="S118" s="17">
        <f t="shared" ca="1" si="62"/>
        <v>0</v>
      </c>
      <c r="T118" s="17">
        <f t="shared" ca="1" si="62"/>
        <v>0</v>
      </c>
      <c r="U118" s="17">
        <f t="shared" ca="1" si="62"/>
        <v>0</v>
      </c>
      <c r="V118" s="17">
        <f t="shared" ca="1" si="62"/>
        <v>0</v>
      </c>
      <c r="W118" s="17">
        <f t="shared" ca="1" si="62"/>
        <v>0</v>
      </c>
      <c r="X118" s="17">
        <f t="shared" ca="1" si="62"/>
        <v>0</v>
      </c>
      <c r="Y118" s="17">
        <f t="shared" ca="1" si="62"/>
        <v>0</v>
      </c>
      <c r="Z118" s="17">
        <f t="shared" ca="1" si="62"/>
        <v>0</v>
      </c>
      <c r="AA118" s="17">
        <f t="shared" ca="1" si="62"/>
        <v>0</v>
      </c>
      <c r="AB118" s="17">
        <f t="shared" ca="1" si="62"/>
        <v>0</v>
      </c>
      <c r="AC118" s="17">
        <f t="shared" ca="1" si="62"/>
        <v>0</v>
      </c>
      <c r="AD118" s="17">
        <f t="shared" ca="1" si="62"/>
        <v>0</v>
      </c>
      <c r="AE118" s="17">
        <f t="shared" ca="1" si="62"/>
        <v>0</v>
      </c>
      <c r="AF118" s="17">
        <f t="shared" ca="1" si="62"/>
        <v>0</v>
      </c>
      <c r="AG118" s="17">
        <f t="shared" ca="1" si="62"/>
        <v>-48545.249423793255</v>
      </c>
      <c r="AH118" s="17">
        <f t="shared" ca="1" si="62"/>
        <v>-50001.606906507055</v>
      </c>
      <c r="AI118" s="17">
        <f t="shared" ca="1" si="62"/>
        <v>-51501.655113702269</v>
      </c>
      <c r="AJ118" s="17">
        <f t="shared" ca="1" si="62"/>
        <v>-53046.70476711334</v>
      </c>
      <c r="AK118" s="17">
        <f t="shared" ca="1" si="62"/>
        <v>-54638.105910126746</v>
      </c>
      <c r="AL118" s="17">
        <f t="shared" ca="1" si="62"/>
        <v>-56277.249087430551</v>
      </c>
      <c r="AM118" s="17">
        <f t="shared" ca="1" si="62"/>
        <v>-57965.56656005347</v>
      </c>
    </row>
    <row r="119" spans="1:39" x14ac:dyDescent="0.2">
      <c r="A119" s="13" t="s">
        <v>55</v>
      </c>
      <c r="C119" s="17">
        <f>IFERROR(IF(C113=0,VLOOKUP($A112,$33:$36,C$1+2,FALSE),0),0)</f>
        <v>0</v>
      </c>
      <c r="D119" s="17">
        <f t="shared" ref="D119:G119" ca="1" si="63">IFERROR(IF(D113=0,VLOOKUP($A112,$33:$36,D$1+2,FALSE),0),0)</f>
        <v>0</v>
      </c>
      <c r="E119" s="17">
        <f t="shared" ca="1" si="63"/>
        <v>0</v>
      </c>
      <c r="F119" s="17">
        <f t="shared" ca="1" si="63"/>
        <v>0</v>
      </c>
      <c r="G119" s="17">
        <f t="shared" ca="1" si="63"/>
        <v>0</v>
      </c>
      <c r="H119" s="17">
        <f t="shared" ref="H119:AM119" ca="1" si="64">IFERROR(IF(H113=0,VLOOKUP($A112,$33:$36,H$1+2,FALSE),0),0)</f>
        <v>0</v>
      </c>
      <c r="I119" s="17">
        <f t="shared" ca="1" si="64"/>
        <v>0</v>
      </c>
      <c r="J119" s="17">
        <f t="shared" ca="1" si="64"/>
        <v>0</v>
      </c>
      <c r="K119" s="17">
        <f t="shared" ca="1" si="64"/>
        <v>0</v>
      </c>
      <c r="L119" s="17">
        <f t="shared" ca="1" si="64"/>
        <v>0</v>
      </c>
      <c r="M119" s="17">
        <f t="shared" ca="1" si="64"/>
        <v>0</v>
      </c>
      <c r="N119" s="17">
        <f t="shared" ca="1" si="64"/>
        <v>0</v>
      </c>
      <c r="O119" s="17">
        <f t="shared" ca="1" si="64"/>
        <v>0</v>
      </c>
      <c r="P119" s="17">
        <f t="shared" ca="1" si="64"/>
        <v>0</v>
      </c>
      <c r="Q119" s="17">
        <f t="shared" ca="1" si="64"/>
        <v>0</v>
      </c>
      <c r="R119" s="17">
        <f t="shared" ca="1" si="64"/>
        <v>0</v>
      </c>
      <c r="S119" s="17">
        <f t="shared" ca="1" si="64"/>
        <v>0</v>
      </c>
      <c r="T119" s="17">
        <f t="shared" ca="1" si="64"/>
        <v>0</v>
      </c>
      <c r="U119" s="17">
        <f t="shared" ca="1" si="64"/>
        <v>0</v>
      </c>
      <c r="V119" s="17">
        <f t="shared" ca="1" si="64"/>
        <v>0</v>
      </c>
      <c r="W119" s="17">
        <f t="shared" ca="1" si="64"/>
        <v>0</v>
      </c>
      <c r="X119" s="17">
        <f t="shared" ca="1" si="64"/>
        <v>0</v>
      </c>
      <c r="Y119" s="17">
        <f t="shared" ca="1" si="64"/>
        <v>0</v>
      </c>
      <c r="Z119" s="17">
        <f t="shared" ca="1" si="64"/>
        <v>0</v>
      </c>
      <c r="AA119" s="17">
        <f t="shared" ca="1" si="64"/>
        <v>0</v>
      </c>
      <c r="AB119" s="17">
        <f t="shared" ca="1" si="64"/>
        <v>0</v>
      </c>
      <c r="AC119" s="17">
        <f t="shared" ca="1" si="64"/>
        <v>0</v>
      </c>
      <c r="AD119" s="17">
        <f t="shared" ca="1" si="64"/>
        <v>0</v>
      </c>
      <c r="AE119" s="17">
        <f t="shared" ca="1" si="64"/>
        <v>0</v>
      </c>
      <c r="AF119" s="17">
        <f t="shared" ca="1" si="64"/>
        <v>0</v>
      </c>
      <c r="AG119" s="17">
        <f t="shared" ca="1" si="64"/>
        <v>5243.9189477044702</v>
      </c>
      <c r="AH119" s="17">
        <f t="shared" ca="1" si="64"/>
        <v>5375.016921397083</v>
      </c>
      <c r="AI119" s="17">
        <f t="shared" ca="1" si="64"/>
        <v>5509.3923444320089</v>
      </c>
      <c r="AJ119" s="17">
        <f t="shared" ca="1" si="64"/>
        <v>5647.1271530428094</v>
      </c>
      <c r="AK119" s="17">
        <f t="shared" ca="1" si="64"/>
        <v>5788.305331868879</v>
      </c>
      <c r="AL119" s="17">
        <f t="shared" ca="1" si="64"/>
        <v>5933.0129651656007</v>
      </c>
      <c r="AM119" s="17">
        <f t="shared" ca="1" si="64"/>
        <v>6081.3382892947411</v>
      </c>
    </row>
    <row r="120" spans="1:39" x14ac:dyDescent="0.2">
      <c r="A120" s="13" t="s">
        <v>41</v>
      </c>
      <c r="B120" s="27" t="str">
        <f>A112</f>
        <v>Gzira</v>
      </c>
      <c r="C120" s="17">
        <f ca="1">IF(AND(C113&gt;0,C116=0),VLOOKUP($A112,$61:$64,C$1+2,FALSE),0)</f>
        <v>0</v>
      </c>
      <c r="D120" s="17">
        <f t="shared" ref="D120:G120" ca="1" si="65">IF(AND(D113&gt;0,D116=0),VLOOKUP($A112,$61:$64,D$1+2,FALSE),0)</f>
        <v>0</v>
      </c>
      <c r="E120" s="17">
        <f t="shared" ca="1" si="65"/>
        <v>0</v>
      </c>
      <c r="F120" s="17">
        <f t="shared" ca="1" si="65"/>
        <v>0</v>
      </c>
      <c r="G120" s="17">
        <f t="shared" ca="1" si="65"/>
        <v>0</v>
      </c>
      <c r="H120" s="17">
        <f t="shared" ref="H120:AM120" ca="1" si="66">IF(AND(H113&gt;0,H116=0),VLOOKUP($A112,$61:$64,H$1+2,FALSE),0)</f>
        <v>0</v>
      </c>
      <c r="I120" s="17">
        <f t="shared" ca="1" si="66"/>
        <v>0</v>
      </c>
      <c r="J120" s="17">
        <f t="shared" ca="1" si="66"/>
        <v>0</v>
      </c>
      <c r="K120" s="17">
        <f t="shared" ca="1" si="66"/>
        <v>0</v>
      </c>
      <c r="L120" s="17">
        <f t="shared" ca="1" si="66"/>
        <v>0</v>
      </c>
      <c r="M120" s="17">
        <f t="shared" ca="1" si="66"/>
        <v>0</v>
      </c>
      <c r="N120" s="17">
        <f t="shared" ca="1" si="66"/>
        <v>0</v>
      </c>
      <c r="O120" s="17">
        <f t="shared" ca="1" si="66"/>
        <v>0</v>
      </c>
      <c r="P120" s="17">
        <f t="shared" ca="1" si="66"/>
        <v>0</v>
      </c>
      <c r="Q120" s="17">
        <f t="shared" ca="1" si="66"/>
        <v>0</v>
      </c>
      <c r="R120" s="17">
        <f t="shared" ca="1" si="66"/>
        <v>0</v>
      </c>
      <c r="S120" s="17">
        <f t="shared" ca="1" si="66"/>
        <v>0</v>
      </c>
      <c r="T120" s="17">
        <f t="shared" ca="1" si="66"/>
        <v>0</v>
      </c>
      <c r="U120" s="17">
        <f t="shared" ca="1" si="66"/>
        <v>0</v>
      </c>
      <c r="V120" s="17">
        <f t="shared" ca="1" si="66"/>
        <v>0</v>
      </c>
      <c r="W120" s="17">
        <f t="shared" ca="1" si="66"/>
        <v>0</v>
      </c>
      <c r="X120" s="17">
        <f t="shared" ca="1" si="66"/>
        <v>0</v>
      </c>
      <c r="Y120" s="17">
        <f t="shared" ca="1" si="66"/>
        <v>0</v>
      </c>
      <c r="Z120" s="17">
        <f t="shared" ca="1" si="66"/>
        <v>0</v>
      </c>
      <c r="AA120" s="17">
        <f t="shared" ca="1" si="66"/>
        <v>0</v>
      </c>
      <c r="AB120" s="17">
        <f t="shared" ca="1" si="66"/>
        <v>0</v>
      </c>
      <c r="AC120" s="17">
        <f t="shared" ca="1" si="66"/>
        <v>0</v>
      </c>
      <c r="AD120" s="17">
        <f t="shared" ca="1" si="66"/>
        <v>0</v>
      </c>
      <c r="AE120" s="17">
        <f t="shared" ca="1" si="66"/>
        <v>0</v>
      </c>
      <c r="AF120" s="17">
        <f t="shared" ca="1" si="66"/>
        <v>0</v>
      </c>
      <c r="AG120" s="17">
        <f t="shared" ca="1" si="66"/>
        <v>0</v>
      </c>
      <c r="AH120" s="17">
        <f t="shared" ca="1" si="66"/>
        <v>0</v>
      </c>
      <c r="AI120" s="17">
        <f t="shared" ca="1" si="66"/>
        <v>0</v>
      </c>
      <c r="AJ120" s="17">
        <f t="shared" ca="1" si="66"/>
        <v>0</v>
      </c>
      <c r="AK120" s="17">
        <f t="shared" ca="1" si="66"/>
        <v>0</v>
      </c>
      <c r="AL120" s="17">
        <f t="shared" ca="1" si="66"/>
        <v>0</v>
      </c>
      <c r="AM120" s="17">
        <f t="shared" ca="1" si="66"/>
        <v>0</v>
      </c>
    </row>
    <row r="121" spans="1:39" x14ac:dyDescent="0.2">
      <c r="A121" s="13" t="s">
        <v>42</v>
      </c>
      <c r="C121" s="17">
        <f ca="1">-C114+SUM(C117:C120)</f>
        <v>0</v>
      </c>
      <c r="D121" s="17">
        <f t="shared" ref="D121" ca="1" si="67">-D114+SUM(D117:D120)</f>
        <v>0</v>
      </c>
      <c r="E121" s="17">
        <f t="shared" ref="E121:G121" ca="1" si="68">-E114+SUM(E117:E120)</f>
        <v>0</v>
      </c>
      <c r="F121" s="17">
        <f t="shared" ca="1" si="68"/>
        <v>0</v>
      </c>
      <c r="G121" s="17">
        <f t="shared" ca="1" si="68"/>
        <v>0</v>
      </c>
      <c r="H121" s="17">
        <f t="shared" ref="H121:AM121" ca="1" si="69">-H114+SUM(H117:H120)</f>
        <v>0</v>
      </c>
      <c r="I121" s="17">
        <f t="shared" ca="1" si="69"/>
        <v>0</v>
      </c>
      <c r="J121" s="17">
        <f t="shared" ca="1" si="69"/>
        <v>0</v>
      </c>
      <c r="K121" s="17">
        <f t="shared" ca="1" si="69"/>
        <v>0</v>
      </c>
      <c r="L121" s="17">
        <f t="shared" ca="1" si="69"/>
        <v>0</v>
      </c>
      <c r="M121" s="17">
        <f t="shared" ca="1" si="69"/>
        <v>0</v>
      </c>
      <c r="N121" s="17">
        <f t="shared" ca="1" si="69"/>
        <v>0</v>
      </c>
      <c r="O121" s="17">
        <f t="shared" ca="1" si="69"/>
        <v>0</v>
      </c>
      <c r="P121" s="17">
        <f t="shared" ca="1" si="69"/>
        <v>0</v>
      </c>
      <c r="Q121" s="17">
        <f t="shared" ca="1" si="69"/>
        <v>0</v>
      </c>
      <c r="R121" s="17">
        <f t="shared" ca="1" si="69"/>
        <v>0</v>
      </c>
      <c r="S121" s="17">
        <f t="shared" ca="1" si="69"/>
        <v>0</v>
      </c>
      <c r="T121" s="17">
        <f t="shared" ca="1" si="69"/>
        <v>0</v>
      </c>
      <c r="U121" s="17">
        <f t="shared" ca="1" si="69"/>
        <v>0</v>
      </c>
      <c r="V121" s="17">
        <f t="shared" ca="1" si="69"/>
        <v>0</v>
      </c>
      <c r="W121" s="17">
        <f t="shared" ca="1" si="69"/>
        <v>0</v>
      </c>
      <c r="X121" s="17">
        <f t="shared" ca="1" si="69"/>
        <v>0</v>
      </c>
      <c r="Y121" s="17">
        <f t="shared" ca="1" si="69"/>
        <v>0</v>
      </c>
      <c r="Z121" s="17">
        <f t="shared" ca="1" si="69"/>
        <v>0</v>
      </c>
      <c r="AA121" s="17">
        <f t="shared" ca="1" si="69"/>
        <v>0</v>
      </c>
      <c r="AB121" s="17">
        <f t="shared" ca="1" si="69"/>
        <v>0</v>
      </c>
      <c r="AC121" s="17">
        <f t="shared" ca="1" si="69"/>
        <v>0</v>
      </c>
      <c r="AD121" s="17">
        <f t="shared" ca="1" si="69"/>
        <v>0</v>
      </c>
      <c r="AE121" s="17">
        <f t="shared" ca="1" si="69"/>
        <v>0</v>
      </c>
      <c r="AF121" s="17">
        <f t="shared" ca="1" si="69"/>
        <v>701078.23803779029</v>
      </c>
      <c r="AG121" s="17">
        <f t="shared" ca="1" si="69"/>
        <v>-43301.330476088784</v>
      </c>
      <c r="AH121" s="17">
        <f t="shared" ca="1" si="69"/>
        <v>-44626.589985109975</v>
      </c>
      <c r="AI121" s="17">
        <f t="shared" ca="1" si="69"/>
        <v>-45992.262769270259</v>
      </c>
      <c r="AJ121" s="17">
        <f t="shared" ca="1" si="69"/>
        <v>-47399.577614070527</v>
      </c>
      <c r="AK121" s="17">
        <f t="shared" ca="1" si="69"/>
        <v>-48849.800578257869</v>
      </c>
      <c r="AL121" s="17">
        <f t="shared" ca="1" si="69"/>
        <v>-50344.236122264949</v>
      </c>
      <c r="AM121" s="17">
        <f t="shared" ca="1" si="69"/>
        <v>-51884.228270758729</v>
      </c>
    </row>
    <row r="122" spans="1:39" x14ac:dyDescent="0.2">
      <c r="A122" s="13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</row>
    <row r="123" spans="1:39" x14ac:dyDescent="0.2">
      <c r="A123" s="13" t="s">
        <v>56</v>
      </c>
      <c r="C123" s="17">
        <f ca="1">C109+SUM($C121:C121)</f>
        <v>714578.8</v>
      </c>
      <c r="D123" s="17">
        <f ca="1">D109+SUM($C121:D121)</f>
        <v>615523.44559532881</v>
      </c>
      <c r="E123" s="17">
        <f ca="1">E109+SUM($C121:E121)</f>
        <v>566818.54594435322</v>
      </c>
      <c r="F123" s="17">
        <f ca="1">F109+SUM($C121:F121)</f>
        <v>529495.63528901932</v>
      </c>
      <c r="G123" s="17">
        <f ca="1">G109+SUM($C121:G121)</f>
        <v>449136.11835878156</v>
      </c>
      <c r="H123" s="17">
        <f ca="1">H109+SUM($C121:H121)</f>
        <v>405493.30580093106</v>
      </c>
      <c r="I123" s="17">
        <f ca="1">I109+SUM($C121:I121)</f>
        <v>395591.02540947287</v>
      </c>
      <c r="J123" s="17">
        <f ca="1">J109+SUM($C121:J121)</f>
        <v>355835.83444133337</v>
      </c>
      <c r="K123" s="17">
        <f ca="1">K109+SUM($C121:K121)</f>
        <v>283995.80718639237</v>
      </c>
      <c r="L123" s="17">
        <f ca="1">L109+SUM($C121:L121)</f>
        <v>240951.16457455605</v>
      </c>
      <c r="M123" s="17">
        <f ca="1">M109+SUM($C121:M121)</f>
        <v>196581.88886248111</v>
      </c>
      <c r="N123" s="17">
        <f ca="1">N109+SUM($C121:N121)</f>
        <v>159081.59242159489</v>
      </c>
      <c r="O123" s="17">
        <f ca="1">O109+SUM($C121:O121)</f>
        <v>129202.61024367121</v>
      </c>
      <c r="P123" s="17">
        <f ca="1">P109+SUM($C121:P121)</f>
        <v>97998.759380603165</v>
      </c>
      <c r="Q123" s="17">
        <f ca="1">Q109+SUM($C121:Q121)</f>
        <v>65430.525954565201</v>
      </c>
      <c r="R123" s="17">
        <f ca="1">R109+SUM($C121:R121)</f>
        <v>50000</v>
      </c>
      <c r="S123" s="17">
        <f ca="1">S109+SUM($C121:S121)</f>
        <v>50000</v>
      </c>
      <c r="T123" s="17">
        <f ca="1">T109+SUM($C121:T121)</f>
        <v>50000</v>
      </c>
      <c r="U123" s="17">
        <f ca="1">U109+SUM($C121:U121)</f>
        <v>41424.594655240275</v>
      </c>
      <c r="V123" s="17">
        <f ca="1">V109+SUM($C121:V121)</f>
        <v>25443.590398730797</v>
      </c>
      <c r="W123" s="17">
        <f ca="1">W109+SUM($C121:W121)</f>
        <v>52374.660546813</v>
      </c>
      <c r="X123" s="17">
        <f ca="1">X109+SUM($C121:X121)</f>
        <v>27924.99427663417</v>
      </c>
      <c r="Y123" s="17">
        <f ca="1">Y109+SUM($C121:Y121)</f>
        <v>328899.31298750715</v>
      </c>
      <c r="Z123" s="17">
        <f ca="1">Z109+SUM($C121:Z121)</f>
        <v>281905.11976657895</v>
      </c>
      <c r="AA123" s="17">
        <f ca="1">AA109+SUM($C121:AA121)</f>
        <v>233933.43036624015</v>
      </c>
      <c r="AB123" s="17">
        <f ca="1">AB109+SUM($C121:AB121)</f>
        <v>184965.72814153897</v>
      </c>
      <c r="AC123" s="17">
        <f ca="1">AC109+SUM($C121:AC121)</f>
        <v>134983.2111541857</v>
      </c>
      <c r="AD123" s="17">
        <f ca="1">AD109+SUM($C121:AD121)</f>
        <v>95653.590478701226</v>
      </c>
      <c r="AE123" s="17">
        <f ca="1">AE109+SUM($C121:AE121)</f>
        <v>55562.858186886675</v>
      </c>
      <c r="AF123" s="17">
        <f ca="1">AF109+SUM($C121:AF121)</f>
        <v>715776.88839314075</v>
      </c>
      <c r="AG123" s="17">
        <f ca="1">AG109+SUM($C121:AG121)</f>
        <v>630825.40144032834</v>
      </c>
      <c r="AH123" s="17">
        <f ca="1">AH109+SUM($C121:AH121)</f>
        <v>543750.12731369562</v>
      </c>
      <c r="AI123" s="17">
        <f ca="1">AI109+SUM($C121:AI121)</f>
        <v>454497.97133389709</v>
      </c>
      <c r="AJ123" s="17">
        <f ca="1">AJ109+SUM($C121:AJ121)</f>
        <v>363014.51145460358</v>
      </c>
      <c r="AK123" s="17">
        <f ca="1">AK109+SUM($C121:AK121)</f>
        <v>269243.96507832769</v>
      </c>
      <c r="AL123" s="17">
        <f ca="1">AL109+SUM($C121:AL121)</f>
        <v>173129.15504264503</v>
      </c>
      <c r="AM123" s="17">
        <f ca="1">AM109+SUM($C121:AM121)</f>
        <v>74611.474756070238</v>
      </c>
    </row>
    <row r="124" spans="1:39" x14ac:dyDescent="0.2">
      <c r="A124" s="13" t="s">
        <v>86</v>
      </c>
      <c r="C124" s="17">
        <f ca="1">MAX(C123,0)-MAX(C53,0)</f>
        <v>0</v>
      </c>
      <c r="D124" s="17">
        <f t="shared" ref="D124:G124" ca="1" si="70">MAX(D123,0)-MAX(D53,0)</f>
        <v>0</v>
      </c>
      <c r="E124" s="17">
        <f t="shared" ca="1" si="70"/>
        <v>0</v>
      </c>
      <c r="F124" s="17">
        <f t="shared" ca="1" si="70"/>
        <v>0</v>
      </c>
      <c r="G124" s="17">
        <f t="shared" ca="1" si="70"/>
        <v>0</v>
      </c>
      <c r="H124" s="17">
        <f t="shared" ref="H124:AM124" ca="1" si="71">MAX(H123,0)-MAX(H53,0)</f>
        <v>0</v>
      </c>
      <c r="I124" s="17">
        <f t="shared" ca="1" si="71"/>
        <v>0</v>
      </c>
      <c r="J124" s="17">
        <f t="shared" ca="1" si="71"/>
        <v>0</v>
      </c>
      <c r="K124" s="17">
        <f t="shared" ca="1" si="71"/>
        <v>0</v>
      </c>
      <c r="L124" s="17">
        <f t="shared" ca="1" si="71"/>
        <v>0</v>
      </c>
      <c r="M124" s="17">
        <f t="shared" ca="1" si="71"/>
        <v>0</v>
      </c>
      <c r="N124" s="17">
        <f t="shared" ca="1" si="71"/>
        <v>0</v>
      </c>
      <c r="O124" s="17">
        <f t="shared" ca="1" si="71"/>
        <v>0</v>
      </c>
      <c r="P124" s="17">
        <f t="shared" ca="1" si="71"/>
        <v>0</v>
      </c>
      <c r="Q124" s="17">
        <f t="shared" ca="1" si="71"/>
        <v>0</v>
      </c>
      <c r="R124" s="17">
        <f t="shared" ca="1" si="71"/>
        <v>18542.509907454223</v>
      </c>
      <c r="S124" s="17">
        <f t="shared" ca="1" si="71"/>
        <v>42688.722870673722</v>
      </c>
      <c r="T124" s="17">
        <f t="shared" ca="1" si="71"/>
        <v>50000</v>
      </c>
      <c r="U124" s="17">
        <f t="shared" ca="1" si="71"/>
        <v>41424.594655240275</v>
      </c>
      <c r="V124" s="17">
        <f t="shared" ca="1" si="71"/>
        <v>25443.590398730797</v>
      </c>
      <c r="W124" s="17">
        <f t="shared" ca="1" si="71"/>
        <v>52374.660546813</v>
      </c>
      <c r="X124" s="17">
        <f t="shared" ca="1" si="71"/>
        <v>27924.99427663417</v>
      </c>
      <c r="Y124" s="17">
        <f t="shared" ca="1" si="71"/>
        <v>328899.31298750715</v>
      </c>
      <c r="Z124" s="17">
        <f t="shared" ca="1" si="71"/>
        <v>281905.11976657895</v>
      </c>
      <c r="AA124" s="17">
        <f t="shared" ca="1" si="71"/>
        <v>233933.43036624015</v>
      </c>
      <c r="AB124" s="17">
        <f t="shared" ca="1" si="71"/>
        <v>184965.72814153897</v>
      </c>
      <c r="AC124" s="17">
        <f t="shared" ca="1" si="71"/>
        <v>134983.2111541857</v>
      </c>
      <c r="AD124" s="17">
        <f t="shared" ca="1" si="71"/>
        <v>95653.590478701226</v>
      </c>
      <c r="AE124" s="17">
        <f t="shared" ca="1" si="71"/>
        <v>55562.858186886675</v>
      </c>
      <c r="AF124" s="17">
        <f t="shared" ca="1" si="71"/>
        <v>715776.88839314075</v>
      </c>
      <c r="AG124" s="17">
        <f t="shared" ca="1" si="71"/>
        <v>630825.40144032834</v>
      </c>
      <c r="AH124" s="17">
        <f t="shared" ca="1" si="71"/>
        <v>543750.12731369562</v>
      </c>
      <c r="AI124" s="17">
        <f t="shared" ca="1" si="71"/>
        <v>454497.97133389709</v>
      </c>
      <c r="AJ124" s="17">
        <f t="shared" ca="1" si="71"/>
        <v>363014.51145460358</v>
      </c>
      <c r="AK124" s="17">
        <f t="shared" ca="1" si="71"/>
        <v>269243.96507832769</v>
      </c>
      <c r="AL124" s="17">
        <f t="shared" ca="1" si="71"/>
        <v>173129.15504264503</v>
      </c>
      <c r="AM124" s="17">
        <f t="shared" ca="1" si="71"/>
        <v>74611.474756070238</v>
      </c>
    </row>
    <row r="125" spans="1:39" x14ac:dyDescent="0.2">
      <c r="A125" s="13" t="s">
        <v>87</v>
      </c>
      <c r="C125" s="17">
        <f ca="1">C124*Inputs!$C$149</f>
        <v>0</v>
      </c>
      <c r="D125" s="17">
        <f ca="1">D124*Inputs!$C$149</f>
        <v>0</v>
      </c>
      <c r="E125" s="17">
        <f ca="1">E124*Inputs!$C$149</f>
        <v>0</v>
      </c>
      <c r="F125" s="17">
        <f ca="1">F124*Inputs!$C$149</f>
        <v>0</v>
      </c>
      <c r="G125" s="17">
        <f ca="1">G124*Inputs!$C$149</f>
        <v>0</v>
      </c>
      <c r="H125" s="17">
        <f ca="1">H124*Inputs!$C$149</f>
        <v>0</v>
      </c>
      <c r="I125" s="17">
        <f ca="1">I124*Inputs!$C$149</f>
        <v>0</v>
      </c>
      <c r="J125" s="17">
        <f ca="1">J124*Inputs!$C$149</f>
        <v>0</v>
      </c>
      <c r="K125" s="17">
        <f ca="1">K124*Inputs!$C$149</f>
        <v>0</v>
      </c>
      <c r="L125" s="17">
        <f ca="1">L124*Inputs!$C$149</f>
        <v>0</v>
      </c>
      <c r="M125" s="17">
        <f ca="1">M124*Inputs!$C$149</f>
        <v>0</v>
      </c>
      <c r="N125" s="17">
        <f ca="1">N124*Inputs!$C$149</f>
        <v>0</v>
      </c>
      <c r="O125" s="17">
        <f ca="1">O124*Inputs!$C$149</f>
        <v>0</v>
      </c>
      <c r="P125" s="17">
        <f ca="1">P124*Inputs!$C$149</f>
        <v>0</v>
      </c>
      <c r="Q125" s="17">
        <f ca="1">Q124*Inputs!$C$149</f>
        <v>0</v>
      </c>
      <c r="R125" s="17">
        <f ca="1">R124*Inputs!$C$149</f>
        <v>463.56274768635558</v>
      </c>
      <c r="S125" s="17">
        <f ca="1">S124*Inputs!$C$149</f>
        <v>1067.2180717668432</v>
      </c>
      <c r="T125" s="17">
        <f ca="1">T124*Inputs!$C$149</f>
        <v>1250</v>
      </c>
      <c r="U125" s="17">
        <f ca="1">U124*Inputs!$C$149</f>
        <v>1035.614866381007</v>
      </c>
      <c r="V125" s="17">
        <f ca="1">V124*Inputs!$C$149</f>
        <v>636.08975996826996</v>
      </c>
      <c r="W125" s="17">
        <f ca="1">W124*Inputs!$C$149</f>
        <v>1309.366513670325</v>
      </c>
      <c r="X125" s="17">
        <f ca="1">X124*Inputs!$C$149</f>
        <v>698.12485691585425</v>
      </c>
      <c r="Y125" s="17">
        <f ca="1">Y124*Inputs!$C$149</f>
        <v>8222.4828246876787</v>
      </c>
      <c r="Z125" s="17">
        <f ca="1">Z124*Inputs!$C$149</f>
        <v>7047.6279941644743</v>
      </c>
      <c r="AA125" s="17">
        <f ca="1">AA124*Inputs!$C$149</f>
        <v>5848.3357591560043</v>
      </c>
      <c r="AB125" s="17">
        <f ca="1">AB124*Inputs!$C$149</f>
        <v>4624.1432035384742</v>
      </c>
      <c r="AC125" s="17">
        <f ca="1">AC124*Inputs!$C$149</f>
        <v>3374.5802788546425</v>
      </c>
      <c r="AD125" s="17">
        <f ca="1">AD124*Inputs!$C$149</f>
        <v>2391.3397619675306</v>
      </c>
      <c r="AE125" s="17">
        <f ca="1">AE124*Inputs!$C$149</f>
        <v>1389.071454672167</v>
      </c>
      <c r="AF125" s="17">
        <f ca="1">AF124*Inputs!$C$149</f>
        <v>17894.422209828521</v>
      </c>
      <c r="AG125" s="17">
        <f ca="1">AG124*Inputs!$C$149</f>
        <v>15770.635036008209</v>
      </c>
      <c r="AH125" s="17">
        <f ca="1">AH124*Inputs!$C$149</f>
        <v>13593.753182842391</v>
      </c>
      <c r="AI125" s="17">
        <f ca="1">AI124*Inputs!$C$149</f>
        <v>11362.449283347429</v>
      </c>
      <c r="AJ125" s="17">
        <f ca="1">AJ124*Inputs!$C$149</f>
        <v>9075.3627863650891</v>
      </c>
      <c r="AK125" s="17">
        <f ca="1">AK124*Inputs!$C$149</f>
        <v>6731.0991269581928</v>
      </c>
      <c r="AL125" s="17">
        <f ca="1">AL124*Inputs!$C$149</f>
        <v>4328.2288760661258</v>
      </c>
      <c r="AM125" s="17">
        <f ca="1">AM124*Inputs!$C$149</f>
        <v>1865.286868901756</v>
      </c>
    </row>
    <row r="126" spans="1:39" x14ac:dyDescent="0.2">
      <c r="A126" s="13" t="s">
        <v>88</v>
      </c>
      <c r="C126" s="17">
        <f ca="1">C123+SUM($C125:C125)</f>
        <v>714578.8</v>
      </c>
      <c r="D126" s="17">
        <f ca="1">D123+SUM($C125:D125)</f>
        <v>615523.44559532881</v>
      </c>
      <c r="E126" s="17">
        <f ca="1">E123+SUM($C125:E125)</f>
        <v>566818.54594435322</v>
      </c>
      <c r="F126" s="17">
        <f ca="1">F123+SUM($C125:F125)</f>
        <v>529495.63528901932</v>
      </c>
      <c r="G126" s="17">
        <f ca="1">G123+SUM($C125:G125)</f>
        <v>449136.11835878156</v>
      </c>
      <c r="H126" s="17">
        <f ca="1">H123+SUM($C125:H125)</f>
        <v>405493.30580093106</v>
      </c>
      <c r="I126" s="17">
        <f ca="1">I123+SUM($C125:I125)</f>
        <v>395591.02540947287</v>
      </c>
      <c r="J126" s="17">
        <f ca="1">J123+SUM($C125:J125)</f>
        <v>355835.83444133337</v>
      </c>
      <c r="K126" s="17">
        <f ca="1">K123+SUM($C125:K125)</f>
        <v>283995.80718639237</v>
      </c>
      <c r="L126" s="17">
        <f ca="1">L123+SUM($C125:L125)</f>
        <v>240951.16457455605</v>
      </c>
      <c r="M126" s="17">
        <f ca="1">M123+SUM($C125:M125)</f>
        <v>196581.88886248111</v>
      </c>
      <c r="N126" s="17">
        <f ca="1">N123+SUM($C125:N125)</f>
        <v>159081.59242159489</v>
      </c>
      <c r="O126" s="17">
        <f ca="1">O123+SUM($C125:O125)</f>
        <v>129202.61024367121</v>
      </c>
      <c r="P126" s="17">
        <f ca="1">P123+SUM($C125:P125)</f>
        <v>97998.759380603165</v>
      </c>
      <c r="Q126" s="17">
        <f ca="1">Q123+SUM($C125:Q125)</f>
        <v>65430.525954565201</v>
      </c>
      <c r="R126" s="17">
        <f ca="1">R123+SUM($C125:R125)</f>
        <v>50463.562747686359</v>
      </c>
      <c r="S126" s="17">
        <f ca="1">S123+SUM($C125:S125)</f>
        <v>51530.780819453197</v>
      </c>
      <c r="T126" s="17">
        <f ca="1">T123+SUM($C125:T125)</f>
        <v>52780.780819453197</v>
      </c>
      <c r="U126" s="17">
        <f ca="1">U123+SUM($C125:U125)</f>
        <v>45240.990341074481</v>
      </c>
      <c r="V126" s="17">
        <f ca="1">V123+SUM($C125:V125)</f>
        <v>29896.075844533276</v>
      </c>
      <c r="W126" s="17">
        <f ca="1">W123+SUM($C125:W125)</f>
        <v>58136.512506285799</v>
      </c>
      <c r="X126" s="17">
        <f ca="1">X123+SUM($C125:X125)</f>
        <v>34384.971093022825</v>
      </c>
      <c r="Y126" s="17">
        <f ca="1">Y123+SUM($C125:Y125)</f>
        <v>343581.77262858348</v>
      </c>
      <c r="Z126" s="17">
        <f ca="1">Z123+SUM($C125:Z125)</f>
        <v>303635.20740181976</v>
      </c>
      <c r="AA126" s="17">
        <f ca="1">AA123+SUM($C125:AA125)</f>
        <v>261511.85376063696</v>
      </c>
      <c r="AB126" s="17">
        <f ca="1">AB123+SUM($C125:AB125)</f>
        <v>217168.29473947425</v>
      </c>
      <c r="AC126" s="17">
        <f ca="1">AC123+SUM($C125:AC125)</f>
        <v>170560.35803097562</v>
      </c>
      <c r="AD126" s="17">
        <f ca="1">AD123+SUM($C125:AD125)</f>
        <v>133622.07711745868</v>
      </c>
      <c r="AE126" s="17">
        <f ca="1">AE123+SUM($C125:AE125)</f>
        <v>94920.416280316305</v>
      </c>
      <c r="AF126" s="17">
        <f ca="1">AF123+SUM($C125:AF125)</f>
        <v>773028.86869639892</v>
      </c>
      <c r="AG126" s="17">
        <f ca="1">AG123+SUM($C125:AG125)</f>
        <v>703848.01677959471</v>
      </c>
      <c r="AH126" s="17">
        <f ca="1">AH123+SUM($C125:AH125)</f>
        <v>630366.49583580438</v>
      </c>
      <c r="AI126" s="17">
        <f ca="1">AI123+SUM($C125:AI125)</f>
        <v>552476.78913935332</v>
      </c>
      <c r="AJ126" s="17">
        <f ca="1">AJ123+SUM($C125:AJ125)</f>
        <v>470068.69204642484</v>
      </c>
      <c r="AK126" s="17">
        <f ca="1">AK123+SUM($C125:AK125)</f>
        <v>383029.24479710718</v>
      </c>
      <c r="AL126" s="17">
        <f ca="1">AL123+SUM($C125:AL125)</f>
        <v>291242.66363749065</v>
      </c>
      <c r="AM126" s="17">
        <f ca="1">AM123+SUM($C125:AM125)</f>
        <v>194590.27021981761</v>
      </c>
    </row>
    <row r="127" spans="1:39" x14ac:dyDescent="0.2">
      <c r="A127" s="14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</row>
    <row r="128" spans="1:39" x14ac:dyDescent="0.2">
      <c r="A128" s="46" t="s">
        <v>68</v>
      </c>
      <c r="B128" s="43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</row>
    <row r="129" spans="1:39" x14ac:dyDescent="0.2">
      <c r="A129" s="13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</row>
    <row r="130" spans="1:39" x14ac:dyDescent="0.2">
      <c r="A130" s="31" t="s">
        <v>71</v>
      </c>
      <c r="B130" s="32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</row>
    <row r="131" spans="1:39" x14ac:dyDescent="0.2">
      <c r="A131" s="35" t="str">
        <f>B$92</f>
        <v>Hamrun</v>
      </c>
      <c r="B131" s="32"/>
      <c r="C131" s="33">
        <f ca="1">SUM($C86:C86)</f>
        <v>0</v>
      </c>
      <c r="D131" s="33">
        <f ca="1">SUM($C86:D86)</f>
        <v>0</v>
      </c>
      <c r="E131" s="33">
        <f ca="1">SUM($C86:E86)</f>
        <v>0</v>
      </c>
      <c r="F131" s="33">
        <f ca="1">SUM($C86:F86)</f>
        <v>0</v>
      </c>
      <c r="G131" s="33">
        <f ca="1">SUM($C86:G86)</f>
        <v>0</v>
      </c>
      <c r="H131" s="33">
        <f ca="1">SUM($C86:H86)</f>
        <v>0</v>
      </c>
      <c r="I131" s="33">
        <f ca="1">SUM($C86:I86)</f>
        <v>0</v>
      </c>
      <c r="J131" s="33">
        <f ca="1">SUM($C86:J86)</f>
        <v>0</v>
      </c>
      <c r="K131" s="33">
        <f ca="1">SUM($C86:K86)</f>
        <v>0</v>
      </c>
      <c r="L131" s="33">
        <f ca="1">SUM($C86:L86)</f>
        <v>0</v>
      </c>
      <c r="M131" s="33">
        <f ca="1">SUM($C86:M86)</f>
        <v>0</v>
      </c>
      <c r="N131" s="33">
        <f ca="1">SUM($C86:N86)</f>
        <v>0</v>
      </c>
      <c r="O131" s="33">
        <f ca="1">SUM($C86:O86)</f>
        <v>0</v>
      </c>
      <c r="P131" s="33">
        <f ca="1">SUM($C86:P86)</f>
        <v>0</v>
      </c>
      <c r="Q131" s="33">
        <f ca="1">SUM($C86:Q86)</f>
        <v>0</v>
      </c>
      <c r="R131" s="33">
        <f ca="1">SUM($C86:R86)</f>
        <v>0</v>
      </c>
      <c r="S131" s="33">
        <f ca="1">SUM($C86:S86)</f>
        <v>0</v>
      </c>
      <c r="T131" s="33">
        <f ca="1">SUM($C86:T86)</f>
        <v>0</v>
      </c>
      <c r="U131" s="33">
        <f ca="1">SUM($C86:U86)</f>
        <v>0</v>
      </c>
      <c r="V131" s="33">
        <f ca="1">SUM($C86:V86)</f>
        <v>0</v>
      </c>
      <c r="W131" s="33">
        <f ca="1">SUM($C86:W86)</f>
        <v>-50571.114570743594</v>
      </c>
      <c r="X131" s="33">
        <f ca="1">SUM($C86:X86)</f>
        <v>-50571.114570743594</v>
      </c>
      <c r="Y131" s="33">
        <f ca="1">SUM($C86:Y86)</f>
        <v>-50571.114570743594</v>
      </c>
      <c r="Z131" s="33">
        <f ca="1">SUM($C86:Z86)</f>
        <v>-50571.114570743594</v>
      </c>
      <c r="AA131" s="33">
        <f ca="1">SUM($C86:AA86)</f>
        <v>-50571.114570743594</v>
      </c>
      <c r="AB131" s="33">
        <f ca="1">SUM($C86:AB86)</f>
        <v>-50571.114570743594</v>
      </c>
      <c r="AC131" s="33">
        <f ca="1">SUM($C86:AC86)</f>
        <v>-50571.114570743594</v>
      </c>
      <c r="AD131" s="33">
        <f ca="1">SUM($C86:AD86)</f>
        <v>-50571.114570743594</v>
      </c>
      <c r="AE131" s="33">
        <f ca="1">SUM($C86:AE86)</f>
        <v>-50571.114570743594</v>
      </c>
      <c r="AF131" s="33">
        <f ca="1">SUM($C86:AF86)</f>
        <v>-50571.114570743594</v>
      </c>
      <c r="AG131" s="33">
        <f ca="1">SUM($C86:AG86)</f>
        <v>-50571.114570743594</v>
      </c>
      <c r="AH131" s="33">
        <f ca="1">SUM($C86:AH86)</f>
        <v>-50571.114570743594</v>
      </c>
      <c r="AI131" s="33">
        <f ca="1">SUM($C86:AI86)</f>
        <v>-50571.114570743594</v>
      </c>
      <c r="AJ131" s="33">
        <f ca="1">SUM($C86:AJ86)</f>
        <v>-50571.114570743594</v>
      </c>
      <c r="AK131" s="33">
        <f ca="1">SUM($C86:AK86)</f>
        <v>-50571.114570743594</v>
      </c>
      <c r="AL131" s="33">
        <f ca="1">SUM($C86:AL86)</f>
        <v>-50571.114570743594</v>
      </c>
      <c r="AM131" s="33">
        <f ca="1">SUM($C86:AM86)</f>
        <v>-50571.114570743594</v>
      </c>
    </row>
    <row r="132" spans="1:39" x14ac:dyDescent="0.2">
      <c r="A132" s="35" t="str">
        <f>B$106</f>
        <v>Sliema</v>
      </c>
      <c r="B132" s="32"/>
      <c r="C132" s="33">
        <f ca="1">SUM($C100:C100)</f>
        <v>0</v>
      </c>
      <c r="D132" s="33">
        <f ca="1">SUM($C100:D100)</f>
        <v>0</v>
      </c>
      <c r="E132" s="33">
        <f ca="1">SUM($C100:E100)</f>
        <v>0</v>
      </c>
      <c r="F132" s="33">
        <f ca="1">SUM($C100:F100)</f>
        <v>0</v>
      </c>
      <c r="G132" s="33">
        <f ca="1">SUM($C100:G100)</f>
        <v>0</v>
      </c>
      <c r="H132" s="33">
        <f ca="1">SUM($C100:H100)</f>
        <v>0</v>
      </c>
      <c r="I132" s="33">
        <f ca="1">SUM($C100:I100)</f>
        <v>0</v>
      </c>
      <c r="J132" s="33">
        <f ca="1">SUM($C100:J100)</f>
        <v>0</v>
      </c>
      <c r="K132" s="33">
        <f ca="1">SUM($C100:K100)</f>
        <v>0</v>
      </c>
      <c r="L132" s="33">
        <f ca="1">SUM($C100:L100)</f>
        <v>0</v>
      </c>
      <c r="M132" s="33">
        <f ca="1">SUM($C100:M100)</f>
        <v>0</v>
      </c>
      <c r="N132" s="33">
        <f ca="1">SUM($C100:N100)</f>
        <v>0</v>
      </c>
      <c r="O132" s="33">
        <f ca="1">SUM($C100:O100)</f>
        <v>0</v>
      </c>
      <c r="P132" s="33">
        <f ca="1">SUM($C100:P100)</f>
        <v>0</v>
      </c>
      <c r="Q132" s="33">
        <f ca="1">SUM($C100:Q100)</f>
        <v>0</v>
      </c>
      <c r="R132" s="33">
        <f ca="1">SUM($C100:R100)</f>
        <v>0</v>
      </c>
      <c r="S132" s="33">
        <f ca="1">SUM($C100:S100)</f>
        <v>0</v>
      </c>
      <c r="T132" s="33">
        <f ca="1">SUM($C100:T100)</f>
        <v>0</v>
      </c>
      <c r="U132" s="33">
        <f ca="1">SUM($C100:U100)</f>
        <v>0</v>
      </c>
      <c r="V132" s="33">
        <f ca="1">SUM($C100:V100)</f>
        <v>0</v>
      </c>
      <c r="W132" s="33">
        <f ca="1">SUM($C100:W100)</f>
        <v>0</v>
      </c>
      <c r="X132" s="33">
        <f ca="1">SUM($C100:X100)</f>
        <v>0</v>
      </c>
      <c r="Y132" s="33">
        <f ca="1">SUM($C100:Y100)</f>
        <v>-383220.68177215621</v>
      </c>
      <c r="Z132" s="33">
        <f ca="1">SUM($C100:Z100)</f>
        <v>-383220.68177215621</v>
      </c>
      <c r="AA132" s="33">
        <f ca="1">SUM($C100:AA100)</f>
        <v>-383220.68177215621</v>
      </c>
      <c r="AB132" s="33">
        <f ca="1">SUM($C100:AB100)</f>
        <v>-383220.68177215621</v>
      </c>
      <c r="AC132" s="33">
        <f ca="1">SUM($C100:AC100)</f>
        <v>-383220.68177215621</v>
      </c>
      <c r="AD132" s="33">
        <f ca="1">SUM($C100:AD100)</f>
        <v>-383220.68177215621</v>
      </c>
      <c r="AE132" s="33">
        <f ca="1">SUM($C100:AE100)</f>
        <v>-383220.68177215621</v>
      </c>
      <c r="AF132" s="33">
        <f ca="1">SUM($C100:AF100)</f>
        <v>-383220.68177215621</v>
      </c>
      <c r="AG132" s="33">
        <f ca="1">SUM($C100:AG100)</f>
        <v>-383220.68177215621</v>
      </c>
      <c r="AH132" s="33">
        <f ca="1">SUM($C100:AH100)</f>
        <v>-383220.68177215621</v>
      </c>
      <c r="AI132" s="33">
        <f ca="1">SUM($C100:AI100)</f>
        <v>-383220.68177215621</v>
      </c>
      <c r="AJ132" s="33">
        <f ca="1">SUM($C100:AJ100)</f>
        <v>-383220.68177215621</v>
      </c>
      <c r="AK132" s="33">
        <f ca="1">SUM($C100:AK100)</f>
        <v>-383220.68177215621</v>
      </c>
      <c r="AL132" s="33">
        <f ca="1">SUM($C100:AL100)</f>
        <v>-383220.68177215621</v>
      </c>
      <c r="AM132" s="33">
        <f ca="1">SUM($C100:AM100)</f>
        <v>-383220.68177215621</v>
      </c>
    </row>
    <row r="133" spans="1:39" x14ac:dyDescent="0.2">
      <c r="A133" s="35" t="str">
        <f>B$120</f>
        <v>Gzira</v>
      </c>
      <c r="B133" s="32"/>
      <c r="C133" s="33">
        <f ca="1">SUM($C114:C114)</f>
        <v>0</v>
      </c>
      <c r="D133" s="33">
        <f ca="1">SUM($C114:D114)</f>
        <v>0</v>
      </c>
      <c r="E133" s="33">
        <f ca="1">SUM($C114:E114)</f>
        <v>0</v>
      </c>
      <c r="F133" s="33">
        <f ca="1">SUM($C114:F114)</f>
        <v>0</v>
      </c>
      <c r="G133" s="33">
        <f ca="1">SUM($C114:G114)</f>
        <v>0</v>
      </c>
      <c r="H133" s="33">
        <f ca="1">SUM($C114:H114)</f>
        <v>0</v>
      </c>
      <c r="I133" s="33">
        <f ca="1">SUM($C114:I114)</f>
        <v>0</v>
      </c>
      <c r="J133" s="33">
        <f ca="1">SUM($C114:J114)</f>
        <v>0</v>
      </c>
      <c r="K133" s="33">
        <f ca="1">SUM($C114:K114)</f>
        <v>0</v>
      </c>
      <c r="L133" s="33">
        <f ca="1">SUM($C114:L114)</f>
        <v>0</v>
      </c>
      <c r="M133" s="33">
        <f ca="1">SUM($C114:M114)</f>
        <v>0</v>
      </c>
      <c r="N133" s="33">
        <f ca="1">SUM($C114:N114)</f>
        <v>0</v>
      </c>
      <c r="O133" s="33">
        <f ca="1">SUM($C114:O114)</f>
        <v>0</v>
      </c>
      <c r="P133" s="33">
        <f ca="1">SUM($C114:P114)</f>
        <v>0</v>
      </c>
      <c r="Q133" s="33">
        <f ca="1">SUM($C114:Q114)</f>
        <v>0</v>
      </c>
      <c r="R133" s="33">
        <f ca="1">SUM($C114:R114)</f>
        <v>0</v>
      </c>
      <c r="S133" s="33">
        <f ca="1">SUM($C114:S114)</f>
        <v>0</v>
      </c>
      <c r="T133" s="33">
        <f ca="1">SUM($C114:T114)</f>
        <v>0</v>
      </c>
      <c r="U133" s="33">
        <f ca="1">SUM($C114:U114)</f>
        <v>0</v>
      </c>
      <c r="V133" s="33">
        <f ca="1">SUM($C114:V114)</f>
        <v>0</v>
      </c>
      <c r="W133" s="33">
        <f ca="1">SUM($C114:W114)</f>
        <v>0</v>
      </c>
      <c r="X133" s="33">
        <f ca="1">SUM($C114:X114)</f>
        <v>0</v>
      </c>
      <c r="Y133" s="33">
        <f ca="1">SUM($C114:Y114)</f>
        <v>0</v>
      </c>
      <c r="Z133" s="33">
        <f ca="1">SUM($C114:Z114)</f>
        <v>0</v>
      </c>
      <c r="AA133" s="33">
        <f ca="1">SUM($C114:AA114)</f>
        <v>0</v>
      </c>
      <c r="AB133" s="33">
        <f ca="1">SUM($C114:AB114)</f>
        <v>0</v>
      </c>
      <c r="AC133" s="33">
        <f ca="1">SUM($C114:AC114)</f>
        <v>0</v>
      </c>
      <c r="AD133" s="33">
        <f ca="1">SUM($C114:AD114)</f>
        <v>0</v>
      </c>
      <c r="AE133" s="33">
        <f ca="1">SUM($C114:AE114)</f>
        <v>0</v>
      </c>
      <c r="AF133" s="33">
        <f ca="1">SUM($C114:AF114)</f>
        <v>-824797.92710328265</v>
      </c>
      <c r="AG133" s="33">
        <f ca="1">SUM($C114:AG114)</f>
        <v>-824797.92710328265</v>
      </c>
      <c r="AH133" s="33">
        <f ca="1">SUM($C114:AH114)</f>
        <v>-824797.92710328265</v>
      </c>
      <c r="AI133" s="33">
        <f ca="1">SUM($C114:AI114)</f>
        <v>-824797.92710328265</v>
      </c>
      <c r="AJ133" s="33">
        <f ca="1">SUM($C114:AJ114)</f>
        <v>-824797.92710328265</v>
      </c>
      <c r="AK133" s="33">
        <f ca="1">SUM($C114:AK114)</f>
        <v>-824797.92710328265</v>
      </c>
      <c r="AL133" s="33">
        <f ca="1">SUM($C114:AL114)</f>
        <v>-824797.92710328265</v>
      </c>
      <c r="AM133" s="33">
        <f ca="1">SUM($C114:AM114)</f>
        <v>-824797.92710328265</v>
      </c>
    </row>
    <row r="134" spans="1:39" x14ac:dyDescent="0.2">
      <c r="A134" s="34"/>
      <c r="B134" s="32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</row>
    <row r="135" spans="1:39" x14ac:dyDescent="0.2">
      <c r="A135" s="31" t="s">
        <v>72</v>
      </c>
      <c r="B135" s="32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</row>
    <row r="136" spans="1:39" x14ac:dyDescent="0.2">
      <c r="A136" s="35" t="str">
        <f>$A$56</f>
        <v>Sliema</v>
      </c>
      <c r="B136" s="32"/>
      <c r="C136" s="33">
        <f t="shared" ref="C136:G138" ca="1" si="72">IFERROR(IF(VLOOKUP($A136,$130:$133,C$1+2,FALSE)=0,C56,0),C56)</f>
        <v>206000</v>
      </c>
      <c r="D136" s="33">
        <f t="shared" ca="1" si="72"/>
        <v>212180</v>
      </c>
      <c r="E136" s="33">
        <f t="shared" ca="1" si="72"/>
        <v>218545.4</v>
      </c>
      <c r="F136" s="33">
        <f t="shared" ca="1" si="72"/>
        <v>225101.76199999999</v>
      </c>
      <c r="G136" s="33">
        <f t="shared" ca="1" si="72"/>
        <v>231854.81485999998</v>
      </c>
      <c r="H136" s="33">
        <f t="shared" ref="H136:AM136" ca="1" si="73">IFERROR(IF(VLOOKUP($A136,$130:$133,H$1+2,FALSE)=0,H56,0),H56)</f>
        <v>238810.4593058</v>
      </c>
      <c r="I136" s="33">
        <f t="shared" ca="1" si="73"/>
        <v>245974.773084974</v>
      </c>
      <c r="J136" s="33">
        <f t="shared" ca="1" si="73"/>
        <v>253354.01627752322</v>
      </c>
      <c r="K136" s="33">
        <f t="shared" ca="1" si="73"/>
        <v>260954.63676584893</v>
      </c>
      <c r="L136" s="33">
        <f t="shared" ca="1" si="73"/>
        <v>268783.27586882439</v>
      </c>
      <c r="M136" s="33">
        <f t="shared" ca="1" si="73"/>
        <v>276846.77414488915</v>
      </c>
      <c r="N136" s="33">
        <f t="shared" ca="1" si="73"/>
        <v>285152.17736923584</v>
      </c>
      <c r="O136" s="33">
        <f t="shared" ca="1" si="73"/>
        <v>293706.74269031291</v>
      </c>
      <c r="P136" s="33">
        <f t="shared" ca="1" si="73"/>
        <v>302517.94497102231</v>
      </c>
      <c r="Q136" s="33">
        <f t="shared" ca="1" si="73"/>
        <v>311593.48332015297</v>
      </c>
      <c r="R136" s="33">
        <f t="shared" ca="1" si="73"/>
        <v>320941.28781975759</v>
      </c>
      <c r="S136" s="33">
        <f t="shared" ca="1" si="73"/>
        <v>330569.52645435033</v>
      </c>
      <c r="T136" s="33">
        <f t="shared" ca="1" si="73"/>
        <v>340486.61224798084</v>
      </c>
      <c r="U136" s="33">
        <f t="shared" ca="1" si="73"/>
        <v>350701.21061542025</v>
      </c>
      <c r="V136" s="33">
        <f t="shared" ca="1" si="73"/>
        <v>361222.24693388288</v>
      </c>
      <c r="W136" s="33">
        <f t="shared" ca="1" si="73"/>
        <v>372058.91434189939</v>
      </c>
      <c r="X136" s="33">
        <f t="shared" ca="1" si="73"/>
        <v>383220.68177215639</v>
      </c>
      <c r="Y136" s="33">
        <f t="shared" ca="1" si="73"/>
        <v>0</v>
      </c>
      <c r="Z136" s="33">
        <f t="shared" ca="1" si="73"/>
        <v>0</v>
      </c>
      <c r="AA136" s="33">
        <f t="shared" ca="1" si="73"/>
        <v>0</v>
      </c>
      <c r="AB136" s="33">
        <f t="shared" ca="1" si="73"/>
        <v>0</v>
      </c>
      <c r="AC136" s="33">
        <f t="shared" ca="1" si="73"/>
        <v>0</v>
      </c>
      <c r="AD136" s="33">
        <f t="shared" ca="1" si="73"/>
        <v>0</v>
      </c>
      <c r="AE136" s="33">
        <f t="shared" ca="1" si="73"/>
        <v>0</v>
      </c>
      <c r="AF136" s="33">
        <f t="shared" ca="1" si="73"/>
        <v>0</v>
      </c>
      <c r="AG136" s="33">
        <f t="shared" ca="1" si="73"/>
        <v>0</v>
      </c>
      <c r="AH136" s="33">
        <f t="shared" ca="1" si="73"/>
        <v>0</v>
      </c>
      <c r="AI136" s="33">
        <f t="shared" ca="1" si="73"/>
        <v>0</v>
      </c>
      <c r="AJ136" s="33">
        <f t="shared" ca="1" si="73"/>
        <v>0</v>
      </c>
      <c r="AK136" s="33">
        <f t="shared" ca="1" si="73"/>
        <v>0</v>
      </c>
      <c r="AL136" s="33">
        <f t="shared" ca="1" si="73"/>
        <v>0</v>
      </c>
      <c r="AM136" s="33">
        <f t="shared" ca="1" si="73"/>
        <v>0</v>
      </c>
    </row>
    <row r="137" spans="1:39" x14ac:dyDescent="0.2">
      <c r="A137" s="35" t="str">
        <f>$A$57</f>
        <v>Gzira</v>
      </c>
      <c r="B137" s="32"/>
      <c r="C137" s="33">
        <f t="shared" ca="1" si="72"/>
        <v>360500</v>
      </c>
      <c r="D137" s="33">
        <f t="shared" ca="1" si="72"/>
        <v>371315</v>
      </c>
      <c r="E137" s="33">
        <f t="shared" ca="1" si="72"/>
        <v>382454.45</v>
      </c>
      <c r="F137" s="33">
        <f t="shared" ca="1" si="72"/>
        <v>393928.08350000001</v>
      </c>
      <c r="G137" s="33">
        <f t="shared" ca="1" si="72"/>
        <v>405745.92600500002</v>
      </c>
      <c r="H137" s="33">
        <f t="shared" ref="H137:AM137" ca="1" si="74">IFERROR(IF(VLOOKUP($A137,$130:$133,H$1+2,FALSE)=0,H57,0),H57)</f>
        <v>417918.30378515006</v>
      </c>
      <c r="I137" s="33">
        <f t="shared" ca="1" si="74"/>
        <v>430455.85289870459</v>
      </c>
      <c r="J137" s="33">
        <f t="shared" ca="1" si="74"/>
        <v>443369.52848566574</v>
      </c>
      <c r="K137" s="33">
        <f t="shared" ca="1" si="74"/>
        <v>456670.61434023571</v>
      </c>
      <c r="L137" s="33">
        <f t="shared" ca="1" si="74"/>
        <v>470370.73277044279</v>
      </c>
      <c r="M137" s="33">
        <f t="shared" ca="1" si="74"/>
        <v>484481.85475355608</v>
      </c>
      <c r="N137" s="33">
        <f t="shared" ca="1" si="74"/>
        <v>499016.31039616279</v>
      </c>
      <c r="O137" s="33">
        <f t="shared" ca="1" si="74"/>
        <v>513986.79970804771</v>
      </c>
      <c r="P137" s="33">
        <f t="shared" ca="1" si="74"/>
        <v>529406.40369928919</v>
      </c>
      <c r="Q137" s="33">
        <f t="shared" ca="1" si="74"/>
        <v>545288.59581026784</v>
      </c>
      <c r="R137" s="33">
        <f t="shared" ca="1" si="74"/>
        <v>561647.2536845759</v>
      </c>
      <c r="S137" s="33">
        <f t="shared" ca="1" si="74"/>
        <v>578496.67129511316</v>
      </c>
      <c r="T137" s="33">
        <f t="shared" ca="1" si="74"/>
        <v>595851.57143396663</v>
      </c>
      <c r="U137" s="33">
        <f t="shared" ca="1" si="74"/>
        <v>613727.11857698567</v>
      </c>
      <c r="V137" s="33">
        <f t="shared" ca="1" si="74"/>
        <v>632138.93213429523</v>
      </c>
      <c r="W137" s="33">
        <f t="shared" ca="1" si="74"/>
        <v>651103.10009832412</v>
      </c>
      <c r="X137" s="33">
        <f t="shared" ca="1" si="74"/>
        <v>670636.19310127385</v>
      </c>
      <c r="Y137" s="33">
        <f t="shared" ca="1" si="74"/>
        <v>690755.2788943121</v>
      </c>
      <c r="Z137" s="33">
        <f t="shared" ca="1" si="74"/>
        <v>711477.93726114149</v>
      </c>
      <c r="AA137" s="33">
        <f t="shared" ca="1" si="74"/>
        <v>732822.27537897578</v>
      </c>
      <c r="AB137" s="33">
        <f t="shared" ca="1" si="74"/>
        <v>754806.94364034513</v>
      </c>
      <c r="AC137" s="33">
        <f t="shared" ca="1" si="74"/>
        <v>777451.1519495555</v>
      </c>
      <c r="AD137" s="33">
        <f t="shared" ca="1" si="74"/>
        <v>800774.68650804216</v>
      </c>
      <c r="AE137" s="33">
        <f t="shared" ca="1" si="74"/>
        <v>824797.92710328347</v>
      </c>
      <c r="AF137" s="33">
        <f t="shared" ca="1" si="74"/>
        <v>0</v>
      </c>
      <c r="AG137" s="33">
        <f t="shared" ca="1" si="74"/>
        <v>0</v>
      </c>
      <c r="AH137" s="33">
        <f t="shared" ca="1" si="74"/>
        <v>0</v>
      </c>
      <c r="AI137" s="33">
        <f t="shared" ca="1" si="74"/>
        <v>0</v>
      </c>
      <c r="AJ137" s="33">
        <f t="shared" ca="1" si="74"/>
        <v>0</v>
      </c>
      <c r="AK137" s="33">
        <f t="shared" ca="1" si="74"/>
        <v>0</v>
      </c>
      <c r="AL137" s="33">
        <f t="shared" ca="1" si="74"/>
        <v>0</v>
      </c>
      <c r="AM137" s="33">
        <f t="shared" ca="1" si="74"/>
        <v>0</v>
      </c>
    </row>
    <row r="138" spans="1:39" x14ac:dyDescent="0.2">
      <c r="A138" s="35" t="str">
        <f>$A$58</f>
        <v>Hamrun</v>
      </c>
      <c r="B138" s="32"/>
      <c r="C138" s="33">
        <f t="shared" ca="1" si="72"/>
        <v>28840</v>
      </c>
      <c r="D138" s="33">
        <f t="shared" ca="1" si="72"/>
        <v>29705.200000000001</v>
      </c>
      <c r="E138" s="33">
        <f t="shared" ca="1" si="72"/>
        <v>30596.356</v>
      </c>
      <c r="F138" s="33">
        <f t="shared" ca="1" si="72"/>
        <v>31514.24668</v>
      </c>
      <c r="G138" s="33">
        <f t="shared" ca="1" si="72"/>
        <v>32459.6740804</v>
      </c>
      <c r="H138" s="33">
        <f t="shared" ref="H138:AM138" ca="1" si="75">IFERROR(IF(VLOOKUP($A138,$130:$133,H$1+2,FALSE)=0,H58,0),H58)</f>
        <v>33433.464302812004</v>
      </c>
      <c r="I138" s="33">
        <f t="shared" ca="1" si="75"/>
        <v>34436.468231896368</v>
      </c>
      <c r="J138" s="33">
        <f t="shared" ca="1" si="75"/>
        <v>35469.562278853256</v>
      </c>
      <c r="K138" s="33">
        <f t="shared" ca="1" si="75"/>
        <v>36533.649147218857</v>
      </c>
      <c r="L138" s="33">
        <f t="shared" ca="1" si="75"/>
        <v>37629.658621635426</v>
      </c>
      <c r="M138" s="33">
        <f t="shared" ca="1" si="75"/>
        <v>38758.54838028449</v>
      </c>
      <c r="N138" s="33">
        <f t="shared" ca="1" si="75"/>
        <v>39921.304831693029</v>
      </c>
      <c r="O138" s="33">
        <f t="shared" ca="1" si="75"/>
        <v>41118.943976643823</v>
      </c>
      <c r="P138" s="33">
        <f t="shared" ca="1" si="75"/>
        <v>42352.512295943139</v>
      </c>
      <c r="Q138" s="33">
        <f t="shared" ca="1" si="75"/>
        <v>43623.087664821433</v>
      </c>
      <c r="R138" s="33">
        <f t="shared" ca="1" si="75"/>
        <v>44931.780294766075</v>
      </c>
      <c r="S138" s="33">
        <f t="shared" ca="1" si="75"/>
        <v>46279.733703609061</v>
      </c>
      <c r="T138" s="33">
        <f t="shared" ca="1" si="75"/>
        <v>47668.125714717331</v>
      </c>
      <c r="U138" s="33">
        <f t="shared" ca="1" si="75"/>
        <v>49098.169486158855</v>
      </c>
      <c r="V138" s="33">
        <f t="shared" ca="1" si="75"/>
        <v>50571.114570743623</v>
      </c>
      <c r="W138" s="33">
        <f t="shared" ca="1" si="75"/>
        <v>0</v>
      </c>
      <c r="X138" s="33">
        <f t="shared" ca="1" si="75"/>
        <v>0</v>
      </c>
      <c r="Y138" s="33">
        <f t="shared" ca="1" si="75"/>
        <v>0</v>
      </c>
      <c r="Z138" s="33">
        <f t="shared" ca="1" si="75"/>
        <v>0</v>
      </c>
      <c r="AA138" s="33">
        <f t="shared" ca="1" si="75"/>
        <v>0</v>
      </c>
      <c r="AB138" s="33">
        <f t="shared" ca="1" si="75"/>
        <v>0</v>
      </c>
      <c r="AC138" s="33">
        <f t="shared" ca="1" si="75"/>
        <v>0</v>
      </c>
      <c r="AD138" s="33">
        <f t="shared" ca="1" si="75"/>
        <v>0</v>
      </c>
      <c r="AE138" s="33">
        <f t="shared" ca="1" si="75"/>
        <v>0</v>
      </c>
      <c r="AF138" s="33">
        <f t="shared" ca="1" si="75"/>
        <v>0</v>
      </c>
      <c r="AG138" s="33">
        <f t="shared" ca="1" si="75"/>
        <v>0</v>
      </c>
      <c r="AH138" s="33">
        <f t="shared" ca="1" si="75"/>
        <v>0</v>
      </c>
      <c r="AI138" s="33">
        <f t="shared" ca="1" si="75"/>
        <v>0</v>
      </c>
      <c r="AJ138" s="33">
        <f t="shared" ca="1" si="75"/>
        <v>0</v>
      </c>
      <c r="AK138" s="33">
        <f t="shared" ca="1" si="75"/>
        <v>0</v>
      </c>
      <c r="AL138" s="33">
        <f t="shared" ca="1" si="75"/>
        <v>0</v>
      </c>
      <c r="AM138" s="33">
        <f t="shared" ca="1" si="75"/>
        <v>0</v>
      </c>
    </row>
    <row r="139" spans="1:39" x14ac:dyDescent="0.2"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</row>
    <row r="140" spans="1:39" x14ac:dyDescent="0.2">
      <c r="A140" s="31" t="s">
        <v>69</v>
      </c>
      <c r="B140" s="32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</row>
    <row r="141" spans="1:39" x14ac:dyDescent="0.2">
      <c r="A141" s="35" t="str">
        <f>B$92</f>
        <v>Hamrun</v>
      </c>
      <c r="B141" s="32"/>
      <c r="C141" s="33">
        <f ca="1">SUM($C92:C92)</f>
        <v>0</v>
      </c>
      <c r="D141" s="33">
        <f ca="1">SUM($C92:D92)</f>
        <v>0</v>
      </c>
      <c r="E141" s="33">
        <f ca="1">SUM($C92:E92)</f>
        <v>0</v>
      </c>
      <c r="F141" s="33">
        <f ca="1">SUM($C92:F92)</f>
        <v>0</v>
      </c>
      <c r="G141" s="33">
        <f ca="1">SUM($C92:G92)</f>
        <v>0</v>
      </c>
      <c r="H141" s="33">
        <f ca="1">SUM($C92:H92)</f>
        <v>0</v>
      </c>
      <c r="I141" s="33">
        <f ca="1">SUM($C92:I92)</f>
        <v>0</v>
      </c>
      <c r="J141" s="33">
        <f ca="1">SUM($C92:J92)</f>
        <v>0</v>
      </c>
      <c r="K141" s="33">
        <f ca="1">SUM($C92:K92)</f>
        <v>0</v>
      </c>
      <c r="L141" s="33">
        <f ca="1">SUM($C92:L92)</f>
        <v>0</v>
      </c>
      <c r="M141" s="33">
        <f ca="1">SUM($C92:M92)</f>
        <v>0</v>
      </c>
      <c r="N141" s="33">
        <f ca="1">SUM($C92:N92)</f>
        <v>0</v>
      </c>
      <c r="O141" s="33">
        <f ca="1">SUM($C92:O92)</f>
        <v>0</v>
      </c>
      <c r="P141" s="33">
        <f ca="1">SUM($C92:P92)</f>
        <v>0</v>
      </c>
      <c r="Q141" s="33">
        <f ca="1">SUM($C92:Q92)</f>
        <v>0</v>
      </c>
      <c r="R141" s="33">
        <f ca="1">SUM($C92:R92)</f>
        <v>0</v>
      </c>
      <c r="S141" s="33">
        <f ca="1">SUM($C92:S92)</f>
        <v>0</v>
      </c>
      <c r="T141" s="33">
        <f ca="1">SUM($C92:T92)</f>
        <v>0</v>
      </c>
      <c r="U141" s="33">
        <f ca="1">SUM($C92:U92)</f>
        <v>0</v>
      </c>
      <c r="V141" s="33">
        <f ca="1">SUM($C92:V92)</f>
        <v>0</v>
      </c>
      <c r="W141" s="33">
        <f ca="1">SUM($C92:W92)</f>
        <v>0</v>
      </c>
      <c r="X141" s="33">
        <f ca="1">SUM($C92:X92)</f>
        <v>0</v>
      </c>
      <c r="Y141" s="33">
        <f ca="1">SUM($C92:Y92)</f>
        <v>0</v>
      </c>
      <c r="Z141" s="33">
        <f ca="1">SUM($C92:Z92)</f>
        <v>0</v>
      </c>
      <c r="AA141" s="33">
        <f ca="1">SUM($C92:AA92)</f>
        <v>0</v>
      </c>
      <c r="AB141" s="33">
        <f ca="1">SUM($C92:AB92)</f>
        <v>0</v>
      </c>
      <c r="AC141" s="33">
        <f ca="1">SUM($C92:AC92)</f>
        <v>0</v>
      </c>
      <c r="AD141" s="33">
        <f ca="1">SUM($C92:AD92)</f>
        <v>0</v>
      </c>
      <c r="AE141" s="33">
        <f ca="1">SUM($C92:AE92)</f>
        <v>0</v>
      </c>
      <c r="AF141" s="33">
        <f ca="1">SUM($C92:AF92)</f>
        <v>0</v>
      </c>
      <c r="AG141" s="33">
        <f ca="1">SUM($C92:AG92)</f>
        <v>0</v>
      </c>
      <c r="AH141" s="33">
        <f ca="1">SUM($C92:AH92)</f>
        <v>0</v>
      </c>
      <c r="AI141" s="33">
        <f ca="1">SUM($C92:AI92)</f>
        <v>0</v>
      </c>
      <c r="AJ141" s="33">
        <f ca="1">SUM($C92:AJ92)</f>
        <v>0</v>
      </c>
      <c r="AK141" s="33">
        <f ca="1">SUM($C92:AK92)</f>
        <v>0</v>
      </c>
      <c r="AL141" s="33">
        <f ca="1">SUM($C92:AL92)</f>
        <v>0</v>
      </c>
      <c r="AM141" s="33">
        <f ca="1">SUM($C92:AM92)</f>
        <v>0</v>
      </c>
    </row>
    <row r="142" spans="1:39" x14ac:dyDescent="0.2">
      <c r="A142" s="35" t="str">
        <f>B$106</f>
        <v>Sliema</v>
      </c>
      <c r="B142" s="32"/>
      <c r="C142" s="33">
        <f ca="1">SUM($C106:C106)</f>
        <v>0</v>
      </c>
      <c r="D142" s="33">
        <f ca="1">SUM($C106:D106)</f>
        <v>0</v>
      </c>
      <c r="E142" s="33">
        <f ca="1">SUM($C106:E106)</f>
        <v>0</v>
      </c>
      <c r="F142" s="33">
        <f ca="1">SUM($C106:F106)</f>
        <v>0</v>
      </c>
      <c r="G142" s="33">
        <f ca="1">SUM($C106:G106)</f>
        <v>0</v>
      </c>
      <c r="H142" s="33">
        <f ca="1">SUM($C106:H106)</f>
        <v>0</v>
      </c>
      <c r="I142" s="33">
        <f ca="1">SUM($C106:I106)</f>
        <v>0</v>
      </c>
      <c r="J142" s="33">
        <f ca="1">SUM($C106:J106)</f>
        <v>0</v>
      </c>
      <c r="K142" s="33">
        <f ca="1">SUM($C106:K106)</f>
        <v>0</v>
      </c>
      <c r="L142" s="33">
        <f ca="1">SUM($C106:L106)</f>
        <v>0</v>
      </c>
      <c r="M142" s="33">
        <f ca="1">SUM($C106:M106)</f>
        <v>0</v>
      </c>
      <c r="N142" s="33">
        <f ca="1">SUM($C106:N106)</f>
        <v>0</v>
      </c>
      <c r="O142" s="33">
        <f ca="1">SUM($C106:O106)</f>
        <v>0</v>
      </c>
      <c r="P142" s="33">
        <f ca="1">SUM($C106:P106)</f>
        <v>0</v>
      </c>
      <c r="Q142" s="33">
        <f ca="1">SUM($C106:Q106)</f>
        <v>0</v>
      </c>
      <c r="R142" s="33">
        <f ca="1">SUM($C106:R106)</f>
        <v>0</v>
      </c>
      <c r="S142" s="33">
        <f ca="1">SUM($C106:S106)</f>
        <v>0</v>
      </c>
      <c r="T142" s="33">
        <f ca="1">SUM($C106:T106)</f>
        <v>0</v>
      </c>
      <c r="U142" s="33">
        <f ca="1">SUM($C106:U106)</f>
        <v>0</v>
      </c>
      <c r="V142" s="33">
        <f ca="1">SUM($C106:V106)</f>
        <v>0</v>
      </c>
      <c r="W142" s="33">
        <f ca="1">SUM($C106:W106)</f>
        <v>0</v>
      </c>
      <c r="X142" s="33">
        <f ca="1">SUM($C106:X106)</f>
        <v>0</v>
      </c>
      <c r="Y142" s="33">
        <f ca="1">SUM($C106:Y106)</f>
        <v>0</v>
      </c>
      <c r="Z142" s="33">
        <f ca="1">SUM($C106:Z106)</f>
        <v>0</v>
      </c>
      <c r="AA142" s="33">
        <f ca="1">SUM($C106:AA106)</f>
        <v>0</v>
      </c>
      <c r="AB142" s="33">
        <f ca="1">SUM($C106:AB106)</f>
        <v>0</v>
      </c>
      <c r="AC142" s="33">
        <f ca="1">SUM($C106:AC106)</f>
        <v>0</v>
      </c>
      <c r="AD142" s="33">
        <f ca="1">SUM($C106:AD106)</f>
        <v>0</v>
      </c>
      <c r="AE142" s="33">
        <f ca="1">SUM($C106:AE106)</f>
        <v>0</v>
      </c>
      <c r="AF142" s="33">
        <f ca="1">SUM($C106:AF106)</f>
        <v>0</v>
      </c>
      <c r="AG142" s="33">
        <f ca="1">SUM($C106:AG106)</f>
        <v>0</v>
      </c>
      <c r="AH142" s="33">
        <f ca="1">SUM($C106:AH106)</f>
        <v>0</v>
      </c>
      <c r="AI142" s="33">
        <f ca="1">SUM($C106:AI106)</f>
        <v>0</v>
      </c>
      <c r="AJ142" s="33">
        <f ca="1">SUM($C106:AJ106)</f>
        <v>0</v>
      </c>
      <c r="AK142" s="33">
        <f ca="1">SUM($C106:AK106)</f>
        <v>0</v>
      </c>
      <c r="AL142" s="33">
        <f ca="1">SUM($C106:AL106)</f>
        <v>0</v>
      </c>
      <c r="AM142" s="33">
        <f ca="1">SUM($C106:AM106)</f>
        <v>0</v>
      </c>
    </row>
    <row r="143" spans="1:39" x14ac:dyDescent="0.2">
      <c r="A143" s="35" t="str">
        <f>B$120</f>
        <v>Gzira</v>
      </c>
      <c r="B143" s="32"/>
      <c r="C143" s="33">
        <f ca="1">SUM($C120:C120)</f>
        <v>0</v>
      </c>
      <c r="D143" s="33">
        <f ca="1">SUM($C120:D120)</f>
        <v>0</v>
      </c>
      <c r="E143" s="33">
        <f ca="1">SUM($C120:E120)</f>
        <v>0</v>
      </c>
      <c r="F143" s="33">
        <f ca="1">SUM($C120:F120)</f>
        <v>0</v>
      </c>
      <c r="G143" s="33">
        <f ca="1">SUM($C120:G120)</f>
        <v>0</v>
      </c>
      <c r="H143" s="33">
        <f ca="1">SUM($C120:H120)</f>
        <v>0</v>
      </c>
      <c r="I143" s="33">
        <f ca="1">SUM($C120:I120)</f>
        <v>0</v>
      </c>
      <c r="J143" s="33">
        <f ca="1">SUM($C120:J120)</f>
        <v>0</v>
      </c>
      <c r="K143" s="33">
        <f ca="1">SUM($C120:K120)</f>
        <v>0</v>
      </c>
      <c r="L143" s="33">
        <f ca="1">SUM($C120:L120)</f>
        <v>0</v>
      </c>
      <c r="M143" s="33">
        <f ca="1">SUM($C120:M120)</f>
        <v>0</v>
      </c>
      <c r="N143" s="33">
        <f ca="1">SUM($C120:N120)</f>
        <v>0</v>
      </c>
      <c r="O143" s="33">
        <f ca="1">SUM($C120:O120)</f>
        <v>0</v>
      </c>
      <c r="P143" s="33">
        <f ca="1">SUM($C120:P120)</f>
        <v>0</v>
      </c>
      <c r="Q143" s="33">
        <f ca="1">SUM($C120:Q120)</f>
        <v>0</v>
      </c>
      <c r="R143" s="33">
        <f ca="1">SUM($C120:R120)</f>
        <v>0</v>
      </c>
      <c r="S143" s="33">
        <f ca="1">SUM($C120:S120)</f>
        <v>0</v>
      </c>
      <c r="T143" s="33">
        <f ca="1">SUM($C120:T120)</f>
        <v>0</v>
      </c>
      <c r="U143" s="33">
        <f ca="1">SUM($C120:U120)</f>
        <v>0</v>
      </c>
      <c r="V143" s="33">
        <f ca="1">SUM($C120:V120)</f>
        <v>0</v>
      </c>
      <c r="W143" s="33">
        <f ca="1">SUM($C120:W120)</f>
        <v>0</v>
      </c>
      <c r="X143" s="33">
        <f ca="1">SUM($C120:X120)</f>
        <v>0</v>
      </c>
      <c r="Y143" s="33">
        <f ca="1">SUM($C120:Y120)</f>
        <v>0</v>
      </c>
      <c r="Z143" s="33">
        <f ca="1">SUM($C120:Z120)</f>
        <v>0</v>
      </c>
      <c r="AA143" s="33">
        <f ca="1">SUM($C120:AA120)</f>
        <v>0</v>
      </c>
      <c r="AB143" s="33">
        <f ca="1">SUM($C120:AB120)</f>
        <v>0</v>
      </c>
      <c r="AC143" s="33">
        <f ca="1">SUM($C120:AC120)</f>
        <v>0</v>
      </c>
      <c r="AD143" s="33">
        <f ca="1">SUM($C120:AD120)</f>
        <v>0</v>
      </c>
      <c r="AE143" s="33">
        <f ca="1">SUM($C120:AE120)</f>
        <v>0</v>
      </c>
      <c r="AF143" s="33">
        <f ca="1">SUM($C120:AF120)</f>
        <v>0</v>
      </c>
      <c r="AG143" s="33">
        <f ca="1">SUM($C120:AG120)</f>
        <v>0</v>
      </c>
      <c r="AH143" s="33">
        <f ca="1">SUM($C120:AH120)</f>
        <v>0</v>
      </c>
      <c r="AI143" s="33">
        <f ca="1">SUM($C120:AI120)</f>
        <v>0</v>
      </c>
      <c r="AJ143" s="33">
        <f ca="1">SUM($C120:AJ120)</f>
        <v>0</v>
      </c>
      <c r="AK143" s="33">
        <f ca="1">SUM($C120:AK120)</f>
        <v>0</v>
      </c>
      <c r="AL143" s="33">
        <f ca="1">SUM($C120:AL120)</f>
        <v>0</v>
      </c>
      <c r="AM143" s="33">
        <f ca="1">SUM($C120:AM120)</f>
        <v>0</v>
      </c>
    </row>
    <row r="144" spans="1:39" x14ac:dyDescent="0.2">
      <c r="A144" s="34"/>
      <c r="B144" s="32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</row>
    <row r="145" spans="1:39" x14ac:dyDescent="0.2">
      <c r="A145" s="13" t="s">
        <v>57</v>
      </c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</row>
    <row r="146" spans="1:39" x14ac:dyDescent="0.2">
      <c r="A146" s="29" t="str">
        <f>$A$56</f>
        <v>Sliema</v>
      </c>
      <c r="C146" s="17">
        <f t="shared" ref="C146:G148" ca="1" si="76">IFERROR(IF(VLOOKUP($A146,$140:$143,C$1+2,FALSE)=0,C62,0),C62)</f>
        <v>-14436.539463676134</v>
      </c>
      <c r="D146" s="17">
        <f t="shared" ca="1" si="76"/>
        <v>-8732.3875949011945</v>
      </c>
      <c r="E146" s="17">
        <f t="shared" ca="1" si="76"/>
        <v>-2883.9865269665825</v>
      </c>
      <c r="F146" s="17">
        <f t="shared" ca="1" si="76"/>
        <v>0</v>
      </c>
      <c r="G146" s="17">
        <f t="shared" ca="1" si="76"/>
        <v>0</v>
      </c>
      <c r="H146" s="17">
        <f t="shared" ref="H146:AM146" ca="1" si="77">IFERROR(IF(VLOOKUP($A146,$140:$143,H$1+2,FALSE)=0,H62,0),H62)</f>
        <v>0</v>
      </c>
      <c r="I146" s="17">
        <f t="shared" ca="1" si="77"/>
        <v>0</v>
      </c>
      <c r="J146" s="17">
        <f t="shared" ca="1" si="77"/>
        <v>0</v>
      </c>
      <c r="K146" s="17">
        <f t="shared" ca="1" si="77"/>
        <v>0</v>
      </c>
      <c r="L146" s="17">
        <f t="shared" ca="1" si="77"/>
        <v>0</v>
      </c>
      <c r="M146" s="17">
        <f t="shared" ca="1" si="77"/>
        <v>0</v>
      </c>
      <c r="N146" s="17">
        <f t="shared" ca="1" si="77"/>
        <v>0</v>
      </c>
      <c r="O146" s="17">
        <f t="shared" ca="1" si="77"/>
        <v>0</v>
      </c>
      <c r="P146" s="17">
        <f t="shared" ca="1" si="77"/>
        <v>0</v>
      </c>
      <c r="Q146" s="17">
        <f t="shared" ca="1" si="77"/>
        <v>0</v>
      </c>
      <c r="R146" s="17">
        <f t="shared" ca="1" si="77"/>
        <v>0</v>
      </c>
      <c r="S146" s="17">
        <f t="shared" ca="1" si="77"/>
        <v>0</v>
      </c>
      <c r="T146" s="17">
        <f t="shared" ca="1" si="77"/>
        <v>0</v>
      </c>
      <c r="U146" s="17">
        <f t="shared" ca="1" si="77"/>
        <v>0</v>
      </c>
      <c r="V146" s="17">
        <f t="shared" ca="1" si="77"/>
        <v>0</v>
      </c>
      <c r="W146" s="17">
        <f t="shared" ca="1" si="77"/>
        <v>0</v>
      </c>
      <c r="X146" s="17">
        <f t="shared" ca="1" si="77"/>
        <v>0</v>
      </c>
      <c r="Y146" s="17">
        <f t="shared" ca="1" si="77"/>
        <v>0</v>
      </c>
      <c r="Z146" s="17">
        <f t="shared" ca="1" si="77"/>
        <v>0</v>
      </c>
      <c r="AA146" s="17">
        <f t="shared" ca="1" si="77"/>
        <v>0</v>
      </c>
      <c r="AB146" s="17">
        <f t="shared" ca="1" si="77"/>
        <v>0</v>
      </c>
      <c r="AC146" s="17">
        <f t="shared" ca="1" si="77"/>
        <v>0</v>
      </c>
      <c r="AD146" s="17">
        <f t="shared" ca="1" si="77"/>
        <v>0</v>
      </c>
      <c r="AE146" s="17">
        <f t="shared" ca="1" si="77"/>
        <v>0</v>
      </c>
      <c r="AF146" s="17">
        <f t="shared" ca="1" si="77"/>
        <v>0</v>
      </c>
      <c r="AG146" s="17">
        <f t="shared" ca="1" si="77"/>
        <v>0</v>
      </c>
      <c r="AH146" s="17">
        <f t="shared" ca="1" si="77"/>
        <v>0</v>
      </c>
      <c r="AI146" s="17">
        <f t="shared" ca="1" si="77"/>
        <v>0</v>
      </c>
      <c r="AJ146" s="17">
        <f t="shared" ca="1" si="77"/>
        <v>0</v>
      </c>
      <c r="AK146" s="17">
        <f t="shared" ca="1" si="77"/>
        <v>0</v>
      </c>
      <c r="AL146" s="17">
        <f t="shared" ca="1" si="77"/>
        <v>0</v>
      </c>
      <c r="AM146" s="17">
        <f t="shared" ca="1" si="77"/>
        <v>0</v>
      </c>
    </row>
    <row r="147" spans="1:39" x14ac:dyDescent="0.2">
      <c r="A147" s="29" t="str">
        <f>$A$57</f>
        <v>Gzira</v>
      </c>
      <c r="C147" s="17">
        <f t="shared" ca="1" si="76"/>
        <v>-4829.2873247038542</v>
      </c>
      <c r="D147" s="17">
        <f t="shared" ca="1" si="76"/>
        <v>0</v>
      </c>
      <c r="E147" s="17">
        <f t="shared" ca="1" si="76"/>
        <v>0</v>
      </c>
      <c r="F147" s="17">
        <f t="shared" ca="1" si="76"/>
        <v>0</v>
      </c>
      <c r="G147" s="17">
        <f t="shared" ca="1" si="76"/>
        <v>0</v>
      </c>
      <c r="H147" s="17">
        <f t="shared" ref="H147:AM147" ca="1" si="78">IFERROR(IF(VLOOKUP($A147,$140:$143,H$1+2,FALSE)=0,H63,0),H63)</f>
        <v>0</v>
      </c>
      <c r="I147" s="17">
        <f t="shared" ca="1" si="78"/>
        <v>0</v>
      </c>
      <c r="J147" s="17">
        <f t="shared" ca="1" si="78"/>
        <v>0</v>
      </c>
      <c r="K147" s="17">
        <f t="shared" ca="1" si="78"/>
        <v>0</v>
      </c>
      <c r="L147" s="17">
        <f t="shared" ca="1" si="78"/>
        <v>0</v>
      </c>
      <c r="M147" s="17">
        <f t="shared" ca="1" si="78"/>
        <v>0</v>
      </c>
      <c r="N147" s="17">
        <f t="shared" ca="1" si="78"/>
        <v>0</v>
      </c>
      <c r="O147" s="17">
        <f t="shared" ca="1" si="78"/>
        <v>0</v>
      </c>
      <c r="P147" s="17">
        <f t="shared" ca="1" si="78"/>
        <v>0</v>
      </c>
      <c r="Q147" s="17">
        <f t="shared" ca="1" si="78"/>
        <v>0</v>
      </c>
      <c r="R147" s="17">
        <f t="shared" ca="1" si="78"/>
        <v>0</v>
      </c>
      <c r="S147" s="17">
        <f t="shared" ca="1" si="78"/>
        <v>0</v>
      </c>
      <c r="T147" s="17">
        <f t="shared" ca="1" si="78"/>
        <v>0</v>
      </c>
      <c r="U147" s="17">
        <f t="shared" ca="1" si="78"/>
        <v>0</v>
      </c>
      <c r="V147" s="17">
        <f t="shared" ca="1" si="78"/>
        <v>0</v>
      </c>
      <c r="W147" s="17">
        <f t="shared" ca="1" si="78"/>
        <v>0</v>
      </c>
      <c r="X147" s="17">
        <f t="shared" ca="1" si="78"/>
        <v>0</v>
      </c>
      <c r="Y147" s="17">
        <f t="shared" ca="1" si="78"/>
        <v>0</v>
      </c>
      <c r="Z147" s="17">
        <f t="shared" ca="1" si="78"/>
        <v>0</v>
      </c>
      <c r="AA147" s="17">
        <f t="shared" ca="1" si="78"/>
        <v>0</v>
      </c>
      <c r="AB147" s="17">
        <f t="shared" ca="1" si="78"/>
        <v>0</v>
      </c>
      <c r="AC147" s="17">
        <f t="shared" ca="1" si="78"/>
        <v>0</v>
      </c>
      <c r="AD147" s="17">
        <f t="shared" ca="1" si="78"/>
        <v>0</v>
      </c>
      <c r="AE147" s="17">
        <f t="shared" ca="1" si="78"/>
        <v>0</v>
      </c>
      <c r="AF147" s="17">
        <f t="shared" ca="1" si="78"/>
        <v>0</v>
      </c>
      <c r="AG147" s="17">
        <f t="shared" ca="1" si="78"/>
        <v>0</v>
      </c>
      <c r="AH147" s="17">
        <f t="shared" ca="1" si="78"/>
        <v>0</v>
      </c>
      <c r="AI147" s="17">
        <f t="shared" ca="1" si="78"/>
        <v>0</v>
      </c>
      <c r="AJ147" s="17">
        <f t="shared" ca="1" si="78"/>
        <v>0</v>
      </c>
      <c r="AK147" s="17">
        <f t="shared" ca="1" si="78"/>
        <v>0</v>
      </c>
      <c r="AL147" s="17">
        <f t="shared" ca="1" si="78"/>
        <v>0</v>
      </c>
      <c r="AM147" s="17">
        <f t="shared" ca="1" si="78"/>
        <v>0</v>
      </c>
    </row>
    <row r="148" spans="1:39" x14ac:dyDescent="0.2">
      <c r="A148" s="29" t="str">
        <f>$A$58</f>
        <v>Hamrun</v>
      </c>
      <c r="C148" s="17">
        <f t="shared" ca="1" si="76"/>
        <v>-2864.7998246718266</v>
      </c>
      <c r="D148" s="17">
        <f t="shared" ca="1" si="76"/>
        <v>-664.65549280916548</v>
      </c>
      <c r="E148" s="17">
        <f t="shared" ca="1" si="76"/>
        <v>0</v>
      </c>
      <c r="F148" s="17">
        <f t="shared" ca="1" si="76"/>
        <v>0</v>
      </c>
      <c r="G148" s="17">
        <f t="shared" ca="1" si="76"/>
        <v>0</v>
      </c>
      <c r="H148" s="17">
        <f t="shared" ref="H148:AM148" ca="1" si="79">IFERROR(IF(VLOOKUP($A148,$140:$143,H$1+2,FALSE)=0,H64,0),H64)</f>
        <v>0</v>
      </c>
      <c r="I148" s="17">
        <f t="shared" ca="1" si="79"/>
        <v>0</v>
      </c>
      <c r="J148" s="17">
        <f t="shared" ca="1" si="79"/>
        <v>0</v>
      </c>
      <c r="K148" s="17">
        <f t="shared" ca="1" si="79"/>
        <v>0</v>
      </c>
      <c r="L148" s="17">
        <f t="shared" ca="1" si="79"/>
        <v>0</v>
      </c>
      <c r="M148" s="17">
        <f t="shared" ca="1" si="79"/>
        <v>0</v>
      </c>
      <c r="N148" s="17">
        <f t="shared" ca="1" si="79"/>
        <v>0</v>
      </c>
      <c r="O148" s="17">
        <f t="shared" ca="1" si="79"/>
        <v>0</v>
      </c>
      <c r="P148" s="17">
        <f t="shared" ca="1" si="79"/>
        <v>0</v>
      </c>
      <c r="Q148" s="17">
        <f t="shared" ca="1" si="79"/>
        <v>0</v>
      </c>
      <c r="R148" s="17">
        <f t="shared" ca="1" si="79"/>
        <v>0</v>
      </c>
      <c r="S148" s="17">
        <f t="shared" ca="1" si="79"/>
        <v>0</v>
      </c>
      <c r="T148" s="17">
        <f t="shared" ca="1" si="79"/>
        <v>0</v>
      </c>
      <c r="U148" s="17">
        <f t="shared" ca="1" si="79"/>
        <v>0</v>
      </c>
      <c r="V148" s="17">
        <f t="shared" ca="1" si="79"/>
        <v>0</v>
      </c>
      <c r="W148" s="17">
        <f t="shared" ca="1" si="79"/>
        <v>0</v>
      </c>
      <c r="X148" s="17">
        <f t="shared" ca="1" si="79"/>
        <v>0</v>
      </c>
      <c r="Y148" s="17">
        <f t="shared" ca="1" si="79"/>
        <v>0</v>
      </c>
      <c r="Z148" s="17">
        <f t="shared" ca="1" si="79"/>
        <v>0</v>
      </c>
      <c r="AA148" s="17">
        <f t="shared" ca="1" si="79"/>
        <v>0</v>
      </c>
      <c r="AB148" s="17">
        <f t="shared" ca="1" si="79"/>
        <v>0</v>
      </c>
      <c r="AC148" s="17">
        <f t="shared" ca="1" si="79"/>
        <v>0</v>
      </c>
      <c r="AD148" s="17">
        <f t="shared" ca="1" si="79"/>
        <v>0</v>
      </c>
      <c r="AE148" s="17">
        <f t="shared" ca="1" si="79"/>
        <v>0</v>
      </c>
      <c r="AF148" s="17">
        <f t="shared" ca="1" si="79"/>
        <v>0</v>
      </c>
      <c r="AG148" s="17">
        <f t="shared" ca="1" si="79"/>
        <v>0</v>
      </c>
      <c r="AH148" s="17">
        <f t="shared" ca="1" si="79"/>
        <v>0</v>
      </c>
      <c r="AI148" s="17">
        <f t="shared" ca="1" si="79"/>
        <v>0</v>
      </c>
      <c r="AJ148" s="17">
        <f t="shared" ca="1" si="79"/>
        <v>0</v>
      </c>
      <c r="AK148" s="17">
        <f t="shared" ca="1" si="79"/>
        <v>0</v>
      </c>
      <c r="AL148" s="17">
        <f t="shared" ca="1" si="79"/>
        <v>0</v>
      </c>
      <c r="AM148" s="17">
        <f t="shared" ca="1" si="79"/>
        <v>0</v>
      </c>
    </row>
    <row r="149" spans="1:39" x14ac:dyDescent="0.2"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</row>
    <row r="150" spans="1:39" x14ac:dyDescent="0.2">
      <c r="A150" s="13" t="s">
        <v>70</v>
      </c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</row>
    <row r="151" spans="1:39" x14ac:dyDescent="0.2">
      <c r="A151" s="29" t="str">
        <f t="shared" ref="A151:A163" si="80">A53</f>
        <v>Cash</v>
      </c>
      <c r="C151" s="17">
        <f ca="1">C126</f>
        <v>714578.8</v>
      </c>
      <c r="D151" s="17">
        <f t="shared" ref="D151:G151" ca="1" si="81">D126</f>
        <v>615523.44559532881</v>
      </c>
      <c r="E151" s="17">
        <f t="shared" ca="1" si="81"/>
        <v>566818.54594435322</v>
      </c>
      <c r="F151" s="17">
        <f t="shared" ca="1" si="81"/>
        <v>529495.63528901932</v>
      </c>
      <c r="G151" s="17">
        <f t="shared" ca="1" si="81"/>
        <v>449136.11835878156</v>
      </c>
      <c r="H151" s="17">
        <f t="shared" ref="H151:AM151" ca="1" si="82">H126</f>
        <v>405493.30580093106</v>
      </c>
      <c r="I151" s="17">
        <f t="shared" ca="1" si="82"/>
        <v>395591.02540947287</v>
      </c>
      <c r="J151" s="17">
        <f t="shared" ca="1" si="82"/>
        <v>355835.83444133337</v>
      </c>
      <c r="K151" s="17">
        <f t="shared" ca="1" si="82"/>
        <v>283995.80718639237</v>
      </c>
      <c r="L151" s="17">
        <f t="shared" ca="1" si="82"/>
        <v>240951.16457455605</v>
      </c>
      <c r="M151" s="17">
        <f t="shared" ca="1" si="82"/>
        <v>196581.88886248111</v>
      </c>
      <c r="N151" s="17">
        <f t="shared" ca="1" si="82"/>
        <v>159081.59242159489</v>
      </c>
      <c r="O151" s="17">
        <f t="shared" ca="1" si="82"/>
        <v>129202.61024367121</v>
      </c>
      <c r="P151" s="17">
        <f t="shared" ca="1" si="82"/>
        <v>97998.759380603165</v>
      </c>
      <c r="Q151" s="17">
        <f t="shared" ca="1" si="82"/>
        <v>65430.525954565201</v>
      </c>
      <c r="R151" s="17">
        <f t="shared" ca="1" si="82"/>
        <v>50463.562747686359</v>
      </c>
      <c r="S151" s="17">
        <f t="shared" ca="1" si="82"/>
        <v>51530.780819453197</v>
      </c>
      <c r="T151" s="17">
        <f t="shared" ca="1" si="82"/>
        <v>52780.780819453197</v>
      </c>
      <c r="U151" s="17">
        <f t="shared" ca="1" si="82"/>
        <v>45240.990341074481</v>
      </c>
      <c r="V151" s="17">
        <f t="shared" ca="1" si="82"/>
        <v>29896.075844533276</v>
      </c>
      <c r="W151" s="17">
        <f t="shared" ca="1" si="82"/>
        <v>58136.512506285799</v>
      </c>
      <c r="X151" s="17">
        <f t="shared" ca="1" si="82"/>
        <v>34384.971093022825</v>
      </c>
      <c r="Y151" s="17">
        <f t="shared" ca="1" si="82"/>
        <v>343581.77262858348</v>
      </c>
      <c r="Z151" s="17">
        <f t="shared" ca="1" si="82"/>
        <v>303635.20740181976</v>
      </c>
      <c r="AA151" s="17">
        <f t="shared" ca="1" si="82"/>
        <v>261511.85376063696</v>
      </c>
      <c r="AB151" s="17">
        <f t="shared" ca="1" si="82"/>
        <v>217168.29473947425</v>
      </c>
      <c r="AC151" s="17">
        <f t="shared" ca="1" si="82"/>
        <v>170560.35803097562</v>
      </c>
      <c r="AD151" s="17">
        <f t="shared" ca="1" si="82"/>
        <v>133622.07711745868</v>
      </c>
      <c r="AE151" s="17">
        <f t="shared" ca="1" si="82"/>
        <v>94920.416280316305</v>
      </c>
      <c r="AF151" s="17">
        <f t="shared" ca="1" si="82"/>
        <v>773028.86869639892</v>
      </c>
      <c r="AG151" s="17">
        <f t="shared" ca="1" si="82"/>
        <v>703848.01677959471</v>
      </c>
      <c r="AH151" s="17">
        <f t="shared" ca="1" si="82"/>
        <v>630366.49583580438</v>
      </c>
      <c r="AI151" s="17">
        <f t="shared" ca="1" si="82"/>
        <v>552476.78913935332</v>
      </c>
      <c r="AJ151" s="17">
        <f t="shared" ca="1" si="82"/>
        <v>470068.69204642484</v>
      </c>
      <c r="AK151" s="17">
        <f t="shared" ca="1" si="82"/>
        <v>383029.24479710718</v>
      </c>
      <c r="AL151" s="17">
        <f t="shared" ca="1" si="82"/>
        <v>291242.66363749065</v>
      </c>
      <c r="AM151" s="17">
        <f t="shared" ca="1" si="82"/>
        <v>194590.27021981761</v>
      </c>
    </row>
    <row r="152" spans="1:39" x14ac:dyDescent="0.2">
      <c r="A152" s="29" t="str">
        <f t="shared" si="80"/>
        <v>Home</v>
      </c>
      <c r="C152" s="17">
        <f t="shared" ref="C152:G152" si="83">C54</f>
        <v>515000</v>
      </c>
      <c r="D152" s="17">
        <f t="shared" si="83"/>
        <v>530450</v>
      </c>
      <c r="E152" s="17">
        <f t="shared" si="83"/>
        <v>546363.5</v>
      </c>
      <c r="F152" s="17">
        <f t="shared" si="83"/>
        <v>562754.40500000003</v>
      </c>
      <c r="G152" s="17">
        <f t="shared" si="83"/>
        <v>579637.03714999999</v>
      </c>
      <c r="H152" s="17">
        <f t="shared" ref="H152:AM152" si="84">H54</f>
        <v>597026.14826449996</v>
      </c>
      <c r="I152" s="17">
        <f t="shared" si="84"/>
        <v>614936.93271243502</v>
      </c>
      <c r="J152" s="17">
        <f t="shared" si="84"/>
        <v>633385.04069380811</v>
      </c>
      <c r="K152" s="17">
        <f t="shared" si="84"/>
        <v>652386.59191462235</v>
      </c>
      <c r="L152" s="17">
        <f t="shared" si="84"/>
        <v>671958.18967206101</v>
      </c>
      <c r="M152" s="17">
        <f t="shared" si="84"/>
        <v>692116.93536222284</v>
      </c>
      <c r="N152" s="17">
        <f t="shared" si="84"/>
        <v>712880.44342308957</v>
      </c>
      <c r="O152" s="17">
        <f t="shared" si="84"/>
        <v>734266.85672578227</v>
      </c>
      <c r="P152" s="17">
        <f t="shared" si="84"/>
        <v>756294.86242755572</v>
      </c>
      <c r="Q152" s="17">
        <f t="shared" si="84"/>
        <v>778983.70830038236</v>
      </c>
      <c r="R152" s="17">
        <f t="shared" si="84"/>
        <v>802353.21954939386</v>
      </c>
      <c r="S152" s="17">
        <f t="shared" si="84"/>
        <v>826423.81613587565</v>
      </c>
      <c r="T152" s="17">
        <f t="shared" si="84"/>
        <v>851216.5306199519</v>
      </c>
      <c r="U152" s="17">
        <f t="shared" si="84"/>
        <v>876753.0265385505</v>
      </c>
      <c r="V152" s="17">
        <f t="shared" si="84"/>
        <v>903055.61733470706</v>
      </c>
      <c r="W152" s="17">
        <f t="shared" si="84"/>
        <v>930147.28585474833</v>
      </c>
      <c r="X152" s="17">
        <f t="shared" si="84"/>
        <v>958051.70443039085</v>
      </c>
      <c r="Y152" s="17">
        <f t="shared" si="84"/>
        <v>986793.25556330255</v>
      </c>
      <c r="Z152" s="17">
        <f t="shared" si="84"/>
        <v>1016397.0532302016</v>
      </c>
      <c r="AA152" s="17">
        <f t="shared" si="84"/>
        <v>1046888.9648271076</v>
      </c>
      <c r="AB152" s="17">
        <f t="shared" si="84"/>
        <v>1078295.6337719208</v>
      </c>
      <c r="AC152" s="17">
        <f t="shared" si="84"/>
        <v>1110644.5027850785</v>
      </c>
      <c r="AD152" s="17">
        <f t="shared" si="84"/>
        <v>1143963.8378686309</v>
      </c>
      <c r="AE152" s="17">
        <f t="shared" si="84"/>
        <v>1178282.7530046899</v>
      </c>
      <c r="AF152" s="17">
        <f t="shared" si="84"/>
        <v>1213631.2355948307</v>
      </c>
      <c r="AG152" s="17">
        <f t="shared" si="84"/>
        <v>1250040.1726626756</v>
      </c>
      <c r="AH152" s="17">
        <f t="shared" si="84"/>
        <v>1287541.377842556</v>
      </c>
      <c r="AI152" s="17">
        <f t="shared" si="84"/>
        <v>1326167.6191778327</v>
      </c>
      <c r="AJ152" s="17">
        <f t="shared" si="84"/>
        <v>1365952.6477531677</v>
      </c>
      <c r="AK152" s="17">
        <f t="shared" si="84"/>
        <v>1406931.2271857627</v>
      </c>
      <c r="AL152" s="17">
        <f t="shared" si="84"/>
        <v>1449139.1640013356</v>
      </c>
      <c r="AM152" s="17">
        <f t="shared" si="84"/>
        <v>1492613.3389213758</v>
      </c>
    </row>
    <row r="153" spans="1:39" x14ac:dyDescent="0.2">
      <c r="A153" s="29" t="str">
        <f t="shared" si="80"/>
        <v>Other property</v>
      </c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</row>
    <row r="154" spans="1:39" x14ac:dyDescent="0.2">
      <c r="A154" s="30" t="str">
        <f t="shared" si="80"/>
        <v>Sliema</v>
      </c>
      <c r="C154" s="17">
        <f t="shared" ref="C154:G156" ca="1" si="85">C136</f>
        <v>206000</v>
      </c>
      <c r="D154" s="17">
        <f t="shared" ca="1" si="85"/>
        <v>212180</v>
      </c>
      <c r="E154" s="17">
        <f t="shared" ca="1" si="85"/>
        <v>218545.4</v>
      </c>
      <c r="F154" s="17">
        <f t="shared" ca="1" si="85"/>
        <v>225101.76199999999</v>
      </c>
      <c r="G154" s="17">
        <f t="shared" ca="1" si="85"/>
        <v>231854.81485999998</v>
      </c>
      <c r="H154" s="17">
        <f t="shared" ref="H154:AM154" ca="1" si="86">H136</f>
        <v>238810.4593058</v>
      </c>
      <c r="I154" s="17">
        <f t="shared" ca="1" si="86"/>
        <v>245974.773084974</v>
      </c>
      <c r="J154" s="17">
        <f t="shared" ca="1" si="86"/>
        <v>253354.01627752322</v>
      </c>
      <c r="K154" s="17">
        <f t="shared" ca="1" si="86"/>
        <v>260954.63676584893</v>
      </c>
      <c r="L154" s="17">
        <f t="shared" ca="1" si="86"/>
        <v>268783.27586882439</v>
      </c>
      <c r="M154" s="17">
        <f t="shared" ca="1" si="86"/>
        <v>276846.77414488915</v>
      </c>
      <c r="N154" s="17">
        <f t="shared" ca="1" si="86"/>
        <v>285152.17736923584</v>
      </c>
      <c r="O154" s="17">
        <f t="shared" ca="1" si="86"/>
        <v>293706.74269031291</v>
      </c>
      <c r="P154" s="17">
        <f t="shared" ca="1" si="86"/>
        <v>302517.94497102231</v>
      </c>
      <c r="Q154" s="17">
        <f t="shared" ca="1" si="86"/>
        <v>311593.48332015297</v>
      </c>
      <c r="R154" s="17">
        <f t="shared" ca="1" si="86"/>
        <v>320941.28781975759</v>
      </c>
      <c r="S154" s="17">
        <f t="shared" ca="1" si="86"/>
        <v>330569.52645435033</v>
      </c>
      <c r="T154" s="17">
        <f t="shared" ca="1" si="86"/>
        <v>340486.61224798084</v>
      </c>
      <c r="U154" s="17">
        <f t="shared" ca="1" si="86"/>
        <v>350701.21061542025</v>
      </c>
      <c r="V154" s="17">
        <f t="shared" ca="1" si="86"/>
        <v>361222.24693388288</v>
      </c>
      <c r="W154" s="17">
        <f t="shared" ca="1" si="86"/>
        <v>372058.91434189939</v>
      </c>
      <c r="X154" s="17">
        <f t="shared" ca="1" si="86"/>
        <v>383220.68177215639</v>
      </c>
      <c r="Y154" s="17">
        <f t="shared" ca="1" si="86"/>
        <v>0</v>
      </c>
      <c r="Z154" s="17">
        <f t="shared" ca="1" si="86"/>
        <v>0</v>
      </c>
      <c r="AA154" s="17">
        <f t="shared" ca="1" si="86"/>
        <v>0</v>
      </c>
      <c r="AB154" s="17">
        <f t="shared" ca="1" si="86"/>
        <v>0</v>
      </c>
      <c r="AC154" s="17">
        <f t="shared" ca="1" si="86"/>
        <v>0</v>
      </c>
      <c r="AD154" s="17">
        <f t="shared" ca="1" si="86"/>
        <v>0</v>
      </c>
      <c r="AE154" s="17">
        <f t="shared" ca="1" si="86"/>
        <v>0</v>
      </c>
      <c r="AF154" s="17">
        <f t="shared" ca="1" si="86"/>
        <v>0</v>
      </c>
      <c r="AG154" s="17">
        <f t="shared" ca="1" si="86"/>
        <v>0</v>
      </c>
      <c r="AH154" s="17">
        <f t="shared" ca="1" si="86"/>
        <v>0</v>
      </c>
      <c r="AI154" s="17">
        <f t="shared" ca="1" si="86"/>
        <v>0</v>
      </c>
      <c r="AJ154" s="17">
        <f t="shared" ca="1" si="86"/>
        <v>0</v>
      </c>
      <c r="AK154" s="17">
        <f t="shared" ca="1" si="86"/>
        <v>0</v>
      </c>
      <c r="AL154" s="17">
        <f t="shared" ca="1" si="86"/>
        <v>0</v>
      </c>
      <c r="AM154" s="17">
        <f t="shared" ca="1" si="86"/>
        <v>0</v>
      </c>
    </row>
    <row r="155" spans="1:39" x14ac:dyDescent="0.2">
      <c r="A155" s="30" t="str">
        <f t="shared" si="80"/>
        <v>Gzira</v>
      </c>
      <c r="C155" s="17">
        <f t="shared" ca="1" si="85"/>
        <v>360500</v>
      </c>
      <c r="D155" s="17">
        <f t="shared" ca="1" si="85"/>
        <v>371315</v>
      </c>
      <c r="E155" s="17">
        <f t="shared" ca="1" si="85"/>
        <v>382454.45</v>
      </c>
      <c r="F155" s="17">
        <f t="shared" ca="1" si="85"/>
        <v>393928.08350000001</v>
      </c>
      <c r="G155" s="17">
        <f t="shared" ca="1" si="85"/>
        <v>405745.92600500002</v>
      </c>
      <c r="H155" s="17">
        <f t="shared" ref="H155:AM155" ca="1" si="87">H137</f>
        <v>417918.30378515006</v>
      </c>
      <c r="I155" s="17">
        <f t="shared" ca="1" si="87"/>
        <v>430455.85289870459</v>
      </c>
      <c r="J155" s="17">
        <f t="shared" ca="1" si="87"/>
        <v>443369.52848566574</v>
      </c>
      <c r="K155" s="17">
        <f t="shared" ca="1" si="87"/>
        <v>456670.61434023571</v>
      </c>
      <c r="L155" s="17">
        <f t="shared" ca="1" si="87"/>
        <v>470370.73277044279</v>
      </c>
      <c r="M155" s="17">
        <f t="shared" ca="1" si="87"/>
        <v>484481.85475355608</v>
      </c>
      <c r="N155" s="17">
        <f t="shared" ca="1" si="87"/>
        <v>499016.31039616279</v>
      </c>
      <c r="O155" s="17">
        <f t="shared" ca="1" si="87"/>
        <v>513986.79970804771</v>
      </c>
      <c r="P155" s="17">
        <f t="shared" ca="1" si="87"/>
        <v>529406.40369928919</v>
      </c>
      <c r="Q155" s="17">
        <f t="shared" ca="1" si="87"/>
        <v>545288.59581026784</v>
      </c>
      <c r="R155" s="17">
        <f t="shared" ca="1" si="87"/>
        <v>561647.2536845759</v>
      </c>
      <c r="S155" s="17">
        <f t="shared" ca="1" si="87"/>
        <v>578496.67129511316</v>
      </c>
      <c r="T155" s="17">
        <f t="shared" ca="1" si="87"/>
        <v>595851.57143396663</v>
      </c>
      <c r="U155" s="17">
        <f t="shared" ca="1" si="87"/>
        <v>613727.11857698567</v>
      </c>
      <c r="V155" s="17">
        <f t="shared" ca="1" si="87"/>
        <v>632138.93213429523</v>
      </c>
      <c r="W155" s="17">
        <f t="shared" ca="1" si="87"/>
        <v>651103.10009832412</v>
      </c>
      <c r="X155" s="17">
        <f t="shared" ca="1" si="87"/>
        <v>670636.19310127385</v>
      </c>
      <c r="Y155" s="17">
        <f t="shared" ca="1" si="87"/>
        <v>690755.2788943121</v>
      </c>
      <c r="Z155" s="17">
        <f t="shared" ca="1" si="87"/>
        <v>711477.93726114149</v>
      </c>
      <c r="AA155" s="17">
        <f t="shared" ca="1" si="87"/>
        <v>732822.27537897578</v>
      </c>
      <c r="AB155" s="17">
        <f t="shared" ca="1" si="87"/>
        <v>754806.94364034513</v>
      </c>
      <c r="AC155" s="17">
        <f t="shared" ca="1" si="87"/>
        <v>777451.1519495555</v>
      </c>
      <c r="AD155" s="17">
        <f t="shared" ca="1" si="87"/>
        <v>800774.68650804216</v>
      </c>
      <c r="AE155" s="17">
        <f t="shared" ca="1" si="87"/>
        <v>824797.92710328347</v>
      </c>
      <c r="AF155" s="17">
        <f t="shared" ca="1" si="87"/>
        <v>0</v>
      </c>
      <c r="AG155" s="17">
        <f t="shared" ca="1" si="87"/>
        <v>0</v>
      </c>
      <c r="AH155" s="17">
        <f t="shared" ca="1" si="87"/>
        <v>0</v>
      </c>
      <c r="AI155" s="17">
        <f t="shared" ca="1" si="87"/>
        <v>0</v>
      </c>
      <c r="AJ155" s="17">
        <f t="shared" ca="1" si="87"/>
        <v>0</v>
      </c>
      <c r="AK155" s="17">
        <f t="shared" ca="1" si="87"/>
        <v>0</v>
      </c>
      <c r="AL155" s="17">
        <f t="shared" ca="1" si="87"/>
        <v>0</v>
      </c>
      <c r="AM155" s="17">
        <f t="shared" ca="1" si="87"/>
        <v>0</v>
      </c>
    </row>
    <row r="156" spans="1:39" x14ac:dyDescent="0.2">
      <c r="A156" s="30" t="str">
        <f t="shared" si="80"/>
        <v>Hamrun</v>
      </c>
      <c r="C156" s="17">
        <f t="shared" ca="1" si="85"/>
        <v>28840</v>
      </c>
      <c r="D156" s="17">
        <f t="shared" ca="1" si="85"/>
        <v>29705.200000000001</v>
      </c>
      <c r="E156" s="17">
        <f t="shared" ca="1" si="85"/>
        <v>30596.356</v>
      </c>
      <c r="F156" s="17">
        <f t="shared" ca="1" si="85"/>
        <v>31514.24668</v>
      </c>
      <c r="G156" s="17">
        <f t="shared" ca="1" si="85"/>
        <v>32459.6740804</v>
      </c>
      <c r="H156" s="17">
        <f t="shared" ref="H156:AM156" ca="1" si="88">H138</f>
        <v>33433.464302812004</v>
      </c>
      <c r="I156" s="17">
        <f t="shared" ca="1" si="88"/>
        <v>34436.468231896368</v>
      </c>
      <c r="J156" s="17">
        <f t="shared" ca="1" si="88"/>
        <v>35469.562278853256</v>
      </c>
      <c r="K156" s="17">
        <f t="shared" ca="1" si="88"/>
        <v>36533.649147218857</v>
      </c>
      <c r="L156" s="17">
        <f t="shared" ca="1" si="88"/>
        <v>37629.658621635426</v>
      </c>
      <c r="M156" s="17">
        <f t="shared" ca="1" si="88"/>
        <v>38758.54838028449</v>
      </c>
      <c r="N156" s="17">
        <f t="shared" ca="1" si="88"/>
        <v>39921.304831693029</v>
      </c>
      <c r="O156" s="17">
        <f t="shared" ca="1" si="88"/>
        <v>41118.943976643823</v>
      </c>
      <c r="P156" s="17">
        <f t="shared" ca="1" si="88"/>
        <v>42352.512295943139</v>
      </c>
      <c r="Q156" s="17">
        <f t="shared" ca="1" si="88"/>
        <v>43623.087664821433</v>
      </c>
      <c r="R156" s="17">
        <f t="shared" ca="1" si="88"/>
        <v>44931.780294766075</v>
      </c>
      <c r="S156" s="17">
        <f t="shared" ca="1" si="88"/>
        <v>46279.733703609061</v>
      </c>
      <c r="T156" s="17">
        <f t="shared" ca="1" si="88"/>
        <v>47668.125714717331</v>
      </c>
      <c r="U156" s="17">
        <f t="shared" ca="1" si="88"/>
        <v>49098.169486158855</v>
      </c>
      <c r="V156" s="17">
        <f t="shared" ca="1" si="88"/>
        <v>50571.114570743623</v>
      </c>
      <c r="W156" s="17">
        <f t="shared" ca="1" si="88"/>
        <v>0</v>
      </c>
      <c r="X156" s="17">
        <f t="shared" ca="1" si="88"/>
        <v>0</v>
      </c>
      <c r="Y156" s="17">
        <f t="shared" ca="1" si="88"/>
        <v>0</v>
      </c>
      <c r="Z156" s="17">
        <f t="shared" ca="1" si="88"/>
        <v>0</v>
      </c>
      <c r="AA156" s="17">
        <f t="shared" ca="1" si="88"/>
        <v>0</v>
      </c>
      <c r="AB156" s="17">
        <f t="shared" ca="1" si="88"/>
        <v>0</v>
      </c>
      <c r="AC156" s="17">
        <f t="shared" ca="1" si="88"/>
        <v>0</v>
      </c>
      <c r="AD156" s="17">
        <f t="shared" ca="1" si="88"/>
        <v>0</v>
      </c>
      <c r="AE156" s="17">
        <f t="shared" ca="1" si="88"/>
        <v>0</v>
      </c>
      <c r="AF156" s="17">
        <f t="shared" ca="1" si="88"/>
        <v>0</v>
      </c>
      <c r="AG156" s="17">
        <f t="shared" ca="1" si="88"/>
        <v>0</v>
      </c>
      <c r="AH156" s="17">
        <f t="shared" ca="1" si="88"/>
        <v>0</v>
      </c>
      <c r="AI156" s="17">
        <f t="shared" ca="1" si="88"/>
        <v>0</v>
      </c>
      <c r="AJ156" s="17">
        <f t="shared" ca="1" si="88"/>
        <v>0</v>
      </c>
      <c r="AK156" s="17">
        <f t="shared" ca="1" si="88"/>
        <v>0</v>
      </c>
      <c r="AL156" s="17">
        <f t="shared" ca="1" si="88"/>
        <v>0</v>
      </c>
      <c r="AM156" s="17">
        <f t="shared" ca="1" si="88"/>
        <v>0</v>
      </c>
    </row>
    <row r="157" spans="1:39" x14ac:dyDescent="0.2">
      <c r="A157" s="29" t="str">
        <f t="shared" si="80"/>
        <v>Stock market equity investments</v>
      </c>
      <c r="C157" s="17">
        <f t="shared" ref="C157:G157" ca="1" si="89">C77</f>
        <v>21600</v>
      </c>
      <c r="D157" s="17">
        <f t="shared" ca="1" si="89"/>
        <v>23328</v>
      </c>
      <c r="E157" s="17">
        <f t="shared" ca="1" si="89"/>
        <v>25194.240000000002</v>
      </c>
      <c r="F157" s="17">
        <f t="shared" ca="1" si="89"/>
        <v>27209.779200000001</v>
      </c>
      <c r="G157" s="17">
        <f t="shared" ca="1" si="89"/>
        <v>29386.561536000001</v>
      </c>
      <c r="H157" s="17">
        <f t="shared" ref="H157:AM157" ca="1" si="90">H77</f>
        <v>31737.486458880001</v>
      </c>
      <c r="I157" s="17">
        <f t="shared" ca="1" si="90"/>
        <v>34276.485375590404</v>
      </c>
      <c r="J157" s="17">
        <f t="shared" ca="1" si="90"/>
        <v>37018.604205637639</v>
      </c>
      <c r="K157" s="17">
        <f t="shared" ca="1" si="90"/>
        <v>39980.092542088649</v>
      </c>
      <c r="L157" s="17">
        <f t="shared" ca="1" si="90"/>
        <v>43178.49994545574</v>
      </c>
      <c r="M157" s="17">
        <f t="shared" ca="1" si="90"/>
        <v>46632.779941092202</v>
      </c>
      <c r="N157" s="17">
        <f t="shared" ca="1" si="90"/>
        <v>50363.402336379579</v>
      </c>
      <c r="O157" s="17">
        <f t="shared" ca="1" si="90"/>
        <v>54392.474523289944</v>
      </c>
      <c r="P157" s="17">
        <f t="shared" ca="1" si="90"/>
        <v>58743.872485153137</v>
      </c>
      <c r="Q157" s="17">
        <f t="shared" ca="1" si="90"/>
        <v>63443.382283965388</v>
      </c>
      <c r="R157" s="17">
        <f t="shared" ca="1" si="90"/>
        <v>47438.946866629398</v>
      </c>
      <c r="S157" s="17">
        <f t="shared" ca="1" si="90"/>
        <v>23783.631036720741</v>
      </c>
      <c r="T157" s="17">
        <f t="shared" ca="1" si="90"/>
        <v>7710.2606701118339</v>
      </c>
      <c r="U157" s="17">
        <f t="shared" ca="1" si="90"/>
        <v>0</v>
      </c>
      <c r="V157" s="17">
        <f t="shared" ca="1" si="90"/>
        <v>0</v>
      </c>
      <c r="W157" s="17">
        <f t="shared" ca="1" si="90"/>
        <v>0</v>
      </c>
      <c r="X157" s="17">
        <f t="shared" ca="1" si="90"/>
        <v>0</v>
      </c>
      <c r="Y157" s="17">
        <f t="shared" ca="1" si="90"/>
        <v>0</v>
      </c>
      <c r="Z157" s="17">
        <f t="shared" ca="1" si="90"/>
        <v>0</v>
      </c>
      <c r="AA157" s="17">
        <f t="shared" ca="1" si="90"/>
        <v>0</v>
      </c>
      <c r="AB157" s="17">
        <f t="shared" ca="1" si="90"/>
        <v>0</v>
      </c>
      <c r="AC157" s="17">
        <f t="shared" ca="1" si="90"/>
        <v>0</v>
      </c>
      <c r="AD157" s="17">
        <f t="shared" ca="1" si="90"/>
        <v>0</v>
      </c>
      <c r="AE157" s="17">
        <f t="shared" ca="1" si="90"/>
        <v>0</v>
      </c>
      <c r="AF157" s="17">
        <f t="shared" ca="1" si="90"/>
        <v>0</v>
      </c>
      <c r="AG157" s="17">
        <f t="shared" ca="1" si="90"/>
        <v>0</v>
      </c>
      <c r="AH157" s="17">
        <f t="shared" ca="1" si="90"/>
        <v>0</v>
      </c>
      <c r="AI157" s="17">
        <f t="shared" ca="1" si="90"/>
        <v>0</v>
      </c>
      <c r="AJ157" s="17">
        <f t="shared" ca="1" si="90"/>
        <v>0</v>
      </c>
      <c r="AK157" s="17">
        <f t="shared" ca="1" si="90"/>
        <v>0</v>
      </c>
      <c r="AL157" s="17">
        <f t="shared" ca="1" si="90"/>
        <v>0</v>
      </c>
      <c r="AM157" s="17">
        <f t="shared" ca="1" si="90"/>
        <v>0</v>
      </c>
    </row>
    <row r="158" spans="1:39" x14ac:dyDescent="0.2">
      <c r="A158" s="29" t="str">
        <f t="shared" si="80"/>
        <v>Home loan</v>
      </c>
      <c r="C158" s="17">
        <f t="shared" ref="C158:G158" si="91">C60</f>
        <v>-277240.38871503877</v>
      </c>
      <c r="D158" s="17">
        <f t="shared" si="91"/>
        <v>-253905.22197914126</v>
      </c>
      <c r="E158" s="17">
        <f t="shared" si="91"/>
        <v>-229979.94488304513</v>
      </c>
      <c r="F158" s="17">
        <f t="shared" si="91"/>
        <v>-205449.63444629119</v>
      </c>
      <c r="G158" s="17">
        <f t="shared" si="91"/>
        <v>-180298.99030927056</v>
      </c>
      <c r="H158" s="17">
        <f t="shared" ref="H158:AM158" si="92">H60</f>
        <v>-154512.32518988874</v>
      </c>
      <c r="I158" s="17">
        <f t="shared" si="92"/>
        <v>-128073.55509889324</v>
      </c>
      <c r="J158" s="17">
        <f t="shared" si="92"/>
        <v>-100966.1893077601</v>
      </c>
      <c r="K158" s="17">
        <f t="shared" si="92"/>
        <v>-73173.320062887855</v>
      </c>
      <c r="L158" s="17">
        <f t="shared" si="92"/>
        <v>-44677.612039674364</v>
      </c>
      <c r="M158" s="17">
        <f t="shared" si="92"/>
        <v>-15461.291529907379</v>
      </c>
      <c r="N158" s="17">
        <f t="shared" si="92"/>
        <v>0</v>
      </c>
      <c r="O158" s="17">
        <f t="shared" si="92"/>
        <v>0</v>
      </c>
      <c r="P158" s="17">
        <f t="shared" si="92"/>
        <v>0</v>
      </c>
      <c r="Q158" s="17">
        <f t="shared" si="92"/>
        <v>0</v>
      </c>
      <c r="R158" s="17">
        <f t="shared" si="92"/>
        <v>0</v>
      </c>
      <c r="S158" s="17">
        <f t="shared" si="92"/>
        <v>0</v>
      </c>
      <c r="T158" s="17">
        <f t="shared" si="92"/>
        <v>0</v>
      </c>
      <c r="U158" s="17">
        <f t="shared" si="92"/>
        <v>0</v>
      </c>
      <c r="V158" s="17">
        <f t="shared" si="92"/>
        <v>0</v>
      </c>
      <c r="W158" s="17">
        <f t="shared" si="92"/>
        <v>0</v>
      </c>
      <c r="X158" s="17">
        <f t="shared" si="92"/>
        <v>0</v>
      </c>
      <c r="Y158" s="17">
        <f t="shared" si="92"/>
        <v>0</v>
      </c>
      <c r="Z158" s="17">
        <f t="shared" si="92"/>
        <v>0</v>
      </c>
      <c r="AA158" s="17">
        <f t="shared" si="92"/>
        <v>0</v>
      </c>
      <c r="AB158" s="17">
        <f t="shared" si="92"/>
        <v>0</v>
      </c>
      <c r="AC158" s="17">
        <f t="shared" si="92"/>
        <v>0</v>
      </c>
      <c r="AD158" s="17">
        <f t="shared" si="92"/>
        <v>0</v>
      </c>
      <c r="AE158" s="17">
        <f t="shared" si="92"/>
        <v>0</v>
      </c>
      <c r="AF158" s="17">
        <f t="shared" si="92"/>
        <v>0</v>
      </c>
      <c r="AG158" s="17">
        <f t="shared" si="92"/>
        <v>0</v>
      </c>
      <c r="AH158" s="17">
        <f t="shared" si="92"/>
        <v>0</v>
      </c>
      <c r="AI158" s="17">
        <f t="shared" si="92"/>
        <v>0</v>
      </c>
      <c r="AJ158" s="17">
        <f t="shared" si="92"/>
        <v>0</v>
      </c>
      <c r="AK158" s="17">
        <f t="shared" si="92"/>
        <v>0</v>
      </c>
      <c r="AL158" s="17">
        <f t="shared" si="92"/>
        <v>0</v>
      </c>
      <c r="AM158" s="17">
        <f t="shared" si="92"/>
        <v>0</v>
      </c>
    </row>
    <row r="159" spans="1:39" x14ac:dyDescent="0.2">
      <c r="A159" s="29" t="str">
        <f t="shared" si="80"/>
        <v>Other property loans</v>
      </c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</row>
    <row r="160" spans="1:39" x14ac:dyDescent="0.2">
      <c r="A160" s="30" t="str">
        <f t="shared" si="80"/>
        <v>Sliema</v>
      </c>
      <c r="C160" s="17">
        <f ca="1">C146</f>
        <v>-14436.539463676134</v>
      </c>
      <c r="D160" s="17">
        <f t="shared" ref="D160:G162" ca="1" si="93">D146</f>
        <v>-8732.3875949011945</v>
      </c>
      <c r="E160" s="17">
        <f t="shared" ca="1" si="93"/>
        <v>-2883.9865269665825</v>
      </c>
      <c r="F160" s="17">
        <f t="shared" ca="1" si="93"/>
        <v>0</v>
      </c>
      <c r="G160" s="17">
        <f t="shared" ca="1" si="93"/>
        <v>0</v>
      </c>
      <c r="H160" s="17">
        <f t="shared" ref="H160:AM160" ca="1" si="94">H146</f>
        <v>0</v>
      </c>
      <c r="I160" s="17">
        <f t="shared" ca="1" si="94"/>
        <v>0</v>
      </c>
      <c r="J160" s="17">
        <f t="shared" ca="1" si="94"/>
        <v>0</v>
      </c>
      <c r="K160" s="17">
        <f t="shared" ca="1" si="94"/>
        <v>0</v>
      </c>
      <c r="L160" s="17">
        <f t="shared" ca="1" si="94"/>
        <v>0</v>
      </c>
      <c r="M160" s="17">
        <f t="shared" ca="1" si="94"/>
        <v>0</v>
      </c>
      <c r="N160" s="17">
        <f t="shared" ca="1" si="94"/>
        <v>0</v>
      </c>
      <c r="O160" s="17">
        <f t="shared" ca="1" si="94"/>
        <v>0</v>
      </c>
      <c r="P160" s="17">
        <f t="shared" ca="1" si="94"/>
        <v>0</v>
      </c>
      <c r="Q160" s="17">
        <f t="shared" ca="1" si="94"/>
        <v>0</v>
      </c>
      <c r="R160" s="17">
        <f t="shared" ca="1" si="94"/>
        <v>0</v>
      </c>
      <c r="S160" s="17">
        <f t="shared" ca="1" si="94"/>
        <v>0</v>
      </c>
      <c r="T160" s="17">
        <f t="shared" ca="1" si="94"/>
        <v>0</v>
      </c>
      <c r="U160" s="17">
        <f t="shared" ca="1" si="94"/>
        <v>0</v>
      </c>
      <c r="V160" s="17">
        <f t="shared" ca="1" si="94"/>
        <v>0</v>
      </c>
      <c r="W160" s="17">
        <f t="shared" ca="1" si="94"/>
        <v>0</v>
      </c>
      <c r="X160" s="17">
        <f t="shared" ca="1" si="94"/>
        <v>0</v>
      </c>
      <c r="Y160" s="17">
        <f t="shared" ca="1" si="94"/>
        <v>0</v>
      </c>
      <c r="Z160" s="17">
        <f t="shared" ca="1" si="94"/>
        <v>0</v>
      </c>
      <c r="AA160" s="17">
        <f t="shared" ca="1" si="94"/>
        <v>0</v>
      </c>
      <c r="AB160" s="17">
        <f t="shared" ca="1" si="94"/>
        <v>0</v>
      </c>
      <c r="AC160" s="17">
        <f t="shared" ca="1" si="94"/>
        <v>0</v>
      </c>
      <c r="AD160" s="17">
        <f t="shared" ca="1" si="94"/>
        <v>0</v>
      </c>
      <c r="AE160" s="17">
        <f t="shared" ca="1" si="94"/>
        <v>0</v>
      </c>
      <c r="AF160" s="17">
        <f t="shared" ca="1" si="94"/>
        <v>0</v>
      </c>
      <c r="AG160" s="17">
        <f t="shared" ca="1" si="94"/>
        <v>0</v>
      </c>
      <c r="AH160" s="17">
        <f t="shared" ca="1" si="94"/>
        <v>0</v>
      </c>
      <c r="AI160" s="17">
        <f t="shared" ca="1" si="94"/>
        <v>0</v>
      </c>
      <c r="AJ160" s="17">
        <f t="shared" ca="1" si="94"/>
        <v>0</v>
      </c>
      <c r="AK160" s="17">
        <f t="shared" ca="1" si="94"/>
        <v>0</v>
      </c>
      <c r="AL160" s="17">
        <f t="shared" ca="1" si="94"/>
        <v>0</v>
      </c>
      <c r="AM160" s="17">
        <f t="shared" ca="1" si="94"/>
        <v>0</v>
      </c>
    </row>
    <row r="161" spans="1:39" x14ac:dyDescent="0.2">
      <c r="A161" s="30" t="str">
        <f t="shared" si="80"/>
        <v>Gzira</v>
      </c>
      <c r="C161" s="17">
        <f ca="1">C147</f>
        <v>-4829.2873247038542</v>
      </c>
      <c r="D161" s="17">
        <f t="shared" ca="1" si="93"/>
        <v>0</v>
      </c>
      <c r="E161" s="17">
        <f t="shared" ca="1" si="93"/>
        <v>0</v>
      </c>
      <c r="F161" s="17">
        <f t="shared" ca="1" si="93"/>
        <v>0</v>
      </c>
      <c r="G161" s="17">
        <f t="shared" ca="1" si="93"/>
        <v>0</v>
      </c>
      <c r="H161" s="17">
        <f t="shared" ref="H161:AM161" ca="1" si="95">H147</f>
        <v>0</v>
      </c>
      <c r="I161" s="17">
        <f t="shared" ca="1" si="95"/>
        <v>0</v>
      </c>
      <c r="J161" s="17">
        <f t="shared" ca="1" si="95"/>
        <v>0</v>
      </c>
      <c r="K161" s="17">
        <f t="shared" ca="1" si="95"/>
        <v>0</v>
      </c>
      <c r="L161" s="17">
        <f t="shared" ca="1" si="95"/>
        <v>0</v>
      </c>
      <c r="M161" s="17">
        <f t="shared" ca="1" si="95"/>
        <v>0</v>
      </c>
      <c r="N161" s="17">
        <f t="shared" ca="1" si="95"/>
        <v>0</v>
      </c>
      <c r="O161" s="17">
        <f t="shared" ca="1" si="95"/>
        <v>0</v>
      </c>
      <c r="P161" s="17">
        <f t="shared" ca="1" si="95"/>
        <v>0</v>
      </c>
      <c r="Q161" s="17">
        <f t="shared" ca="1" si="95"/>
        <v>0</v>
      </c>
      <c r="R161" s="17">
        <f t="shared" ca="1" si="95"/>
        <v>0</v>
      </c>
      <c r="S161" s="17">
        <f t="shared" ca="1" si="95"/>
        <v>0</v>
      </c>
      <c r="T161" s="17">
        <f t="shared" ca="1" si="95"/>
        <v>0</v>
      </c>
      <c r="U161" s="17">
        <f t="shared" ca="1" si="95"/>
        <v>0</v>
      </c>
      <c r="V161" s="17">
        <f t="shared" ca="1" si="95"/>
        <v>0</v>
      </c>
      <c r="W161" s="17">
        <f t="shared" ca="1" si="95"/>
        <v>0</v>
      </c>
      <c r="X161" s="17">
        <f t="shared" ca="1" si="95"/>
        <v>0</v>
      </c>
      <c r="Y161" s="17">
        <f t="shared" ca="1" si="95"/>
        <v>0</v>
      </c>
      <c r="Z161" s="17">
        <f t="shared" ca="1" si="95"/>
        <v>0</v>
      </c>
      <c r="AA161" s="17">
        <f t="shared" ca="1" si="95"/>
        <v>0</v>
      </c>
      <c r="AB161" s="17">
        <f t="shared" ca="1" si="95"/>
        <v>0</v>
      </c>
      <c r="AC161" s="17">
        <f t="shared" ca="1" si="95"/>
        <v>0</v>
      </c>
      <c r="AD161" s="17">
        <f t="shared" ca="1" si="95"/>
        <v>0</v>
      </c>
      <c r="AE161" s="17">
        <f t="shared" ca="1" si="95"/>
        <v>0</v>
      </c>
      <c r="AF161" s="17">
        <f t="shared" ca="1" si="95"/>
        <v>0</v>
      </c>
      <c r="AG161" s="17">
        <f t="shared" ca="1" si="95"/>
        <v>0</v>
      </c>
      <c r="AH161" s="17">
        <f t="shared" ca="1" si="95"/>
        <v>0</v>
      </c>
      <c r="AI161" s="17">
        <f t="shared" ca="1" si="95"/>
        <v>0</v>
      </c>
      <c r="AJ161" s="17">
        <f t="shared" ca="1" si="95"/>
        <v>0</v>
      </c>
      <c r="AK161" s="17">
        <f t="shared" ca="1" si="95"/>
        <v>0</v>
      </c>
      <c r="AL161" s="17">
        <f t="shared" ca="1" si="95"/>
        <v>0</v>
      </c>
      <c r="AM161" s="17">
        <f t="shared" ca="1" si="95"/>
        <v>0</v>
      </c>
    </row>
    <row r="162" spans="1:39" x14ac:dyDescent="0.2">
      <c r="A162" s="30" t="str">
        <f t="shared" si="80"/>
        <v>Hamrun</v>
      </c>
      <c r="C162" s="17">
        <f ca="1">C148</f>
        <v>-2864.7998246718266</v>
      </c>
      <c r="D162" s="17">
        <f t="shared" ca="1" si="93"/>
        <v>-664.65549280916548</v>
      </c>
      <c r="E162" s="17">
        <f t="shared" ca="1" si="93"/>
        <v>0</v>
      </c>
      <c r="F162" s="17">
        <f t="shared" ca="1" si="93"/>
        <v>0</v>
      </c>
      <c r="G162" s="17">
        <f t="shared" ca="1" si="93"/>
        <v>0</v>
      </c>
      <c r="H162" s="17">
        <f t="shared" ref="H162:AM162" ca="1" si="96">H148</f>
        <v>0</v>
      </c>
      <c r="I162" s="17">
        <f t="shared" ca="1" si="96"/>
        <v>0</v>
      </c>
      <c r="J162" s="17">
        <f t="shared" ca="1" si="96"/>
        <v>0</v>
      </c>
      <c r="K162" s="17">
        <f t="shared" ca="1" si="96"/>
        <v>0</v>
      </c>
      <c r="L162" s="17">
        <f t="shared" ca="1" si="96"/>
        <v>0</v>
      </c>
      <c r="M162" s="17">
        <f t="shared" ca="1" si="96"/>
        <v>0</v>
      </c>
      <c r="N162" s="17">
        <f t="shared" ca="1" si="96"/>
        <v>0</v>
      </c>
      <c r="O162" s="17">
        <f t="shared" ca="1" si="96"/>
        <v>0</v>
      </c>
      <c r="P162" s="17">
        <f t="shared" ca="1" si="96"/>
        <v>0</v>
      </c>
      <c r="Q162" s="17">
        <f t="shared" ca="1" si="96"/>
        <v>0</v>
      </c>
      <c r="R162" s="17">
        <f t="shared" ca="1" si="96"/>
        <v>0</v>
      </c>
      <c r="S162" s="17">
        <f t="shared" ca="1" si="96"/>
        <v>0</v>
      </c>
      <c r="T162" s="17">
        <f t="shared" ca="1" si="96"/>
        <v>0</v>
      </c>
      <c r="U162" s="17">
        <f t="shared" ca="1" si="96"/>
        <v>0</v>
      </c>
      <c r="V162" s="17">
        <f t="shared" ca="1" si="96"/>
        <v>0</v>
      </c>
      <c r="W162" s="17">
        <f t="shared" ca="1" si="96"/>
        <v>0</v>
      </c>
      <c r="X162" s="17">
        <f t="shared" ca="1" si="96"/>
        <v>0</v>
      </c>
      <c r="Y162" s="17">
        <f t="shared" ca="1" si="96"/>
        <v>0</v>
      </c>
      <c r="Z162" s="17">
        <f t="shared" ca="1" si="96"/>
        <v>0</v>
      </c>
      <c r="AA162" s="17">
        <f t="shared" ca="1" si="96"/>
        <v>0</v>
      </c>
      <c r="AB162" s="17">
        <f t="shared" ca="1" si="96"/>
        <v>0</v>
      </c>
      <c r="AC162" s="17">
        <f t="shared" ca="1" si="96"/>
        <v>0</v>
      </c>
      <c r="AD162" s="17">
        <f t="shared" ca="1" si="96"/>
        <v>0</v>
      </c>
      <c r="AE162" s="17">
        <f t="shared" ca="1" si="96"/>
        <v>0</v>
      </c>
      <c r="AF162" s="17">
        <f t="shared" ca="1" si="96"/>
        <v>0</v>
      </c>
      <c r="AG162" s="17">
        <f t="shared" ca="1" si="96"/>
        <v>0</v>
      </c>
      <c r="AH162" s="17">
        <f t="shared" ca="1" si="96"/>
        <v>0</v>
      </c>
      <c r="AI162" s="17">
        <f t="shared" ca="1" si="96"/>
        <v>0</v>
      </c>
      <c r="AJ162" s="17">
        <f t="shared" ca="1" si="96"/>
        <v>0</v>
      </c>
      <c r="AK162" s="17">
        <f t="shared" ca="1" si="96"/>
        <v>0</v>
      </c>
      <c r="AL162" s="17">
        <f t="shared" ca="1" si="96"/>
        <v>0</v>
      </c>
      <c r="AM162" s="17">
        <f t="shared" ca="1" si="96"/>
        <v>0</v>
      </c>
    </row>
    <row r="163" spans="1:39" x14ac:dyDescent="0.2">
      <c r="A163" s="29" t="str">
        <f t="shared" si="80"/>
        <v>Other loan</v>
      </c>
      <c r="C163" s="17">
        <f t="shared" ref="C163:G163" si="97">C65</f>
        <v>-2198.1884457615311</v>
      </c>
      <c r="D163" s="17">
        <f t="shared" si="97"/>
        <v>-1346.9229093299591</v>
      </c>
      <c r="E163" s="17">
        <f t="shared" si="97"/>
        <v>-443.15317729563503</v>
      </c>
      <c r="F163" s="17">
        <f t="shared" si="97"/>
        <v>0</v>
      </c>
      <c r="G163" s="17">
        <f t="shared" si="97"/>
        <v>0</v>
      </c>
      <c r="H163" s="17">
        <f t="shared" ref="H163:AM163" si="98">H65</f>
        <v>0</v>
      </c>
      <c r="I163" s="17">
        <f t="shared" si="98"/>
        <v>0</v>
      </c>
      <c r="J163" s="17">
        <f t="shared" si="98"/>
        <v>0</v>
      </c>
      <c r="K163" s="17">
        <f t="shared" si="98"/>
        <v>0</v>
      </c>
      <c r="L163" s="17">
        <f t="shared" si="98"/>
        <v>0</v>
      </c>
      <c r="M163" s="17">
        <f t="shared" si="98"/>
        <v>0</v>
      </c>
      <c r="N163" s="17">
        <f t="shared" si="98"/>
        <v>0</v>
      </c>
      <c r="O163" s="17">
        <f t="shared" si="98"/>
        <v>0</v>
      </c>
      <c r="P163" s="17">
        <f t="shared" si="98"/>
        <v>0</v>
      </c>
      <c r="Q163" s="17">
        <f t="shared" si="98"/>
        <v>0</v>
      </c>
      <c r="R163" s="17">
        <f t="shared" si="98"/>
        <v>0</v>
      </c>
      <c r="S163" s="17">
        <f t="shared" si="98"/>
        <v>0</v>
      </c>
      <c r="T163" s="17">
        <f t="shared" si="98"/>
        <v>0</v>
      </c>
      <c r="U163" s="17">
        <f t="shared" si="98"/>
        <v>0</v>
      </c>
      <c r="V163" s="17">
        <f t="shared" si="98"/>
        <v>0</v>
      </c>
      <c r="W163" s="17">
        <f t="shared" si="98"/>
        <v>0</v>
      </c>
      <c r="X163" s="17">
        <f t="shared" si="98"/>
        <v>0</v>
      </c>
      <c r="Y163" s="17">
        <f t="shared" si="98"/>
        <v>0</v>
      </c>
      <c r="Z163" s="17">
        <f t="shared" si="98"/>
        <v>0</v>
      </c>
      <c r="AA163" s="17">
        <f t="shared" si="98"/>
        <v>0</v>
      </c>
      <c r="AB163" s="17">
        <f t="shared" si="98"/>
        <v>0</v>
      </c>
      <c r="AC163" s="17">
        <f t="shared" si="98"/>
        <v>0</v>
      </c>
      <c r="AD163" s="17">
        <f t="shared" si="98"/>
        <v>0</v>
      </c>
      <c r="AE163" s="17">
        <f t="shared" si="98"/>
        <v>0</v>
      </c>
      <c r="AF163" s="17">
        <f t="shared" si="98"/>
        <v>0</v>
      </c>
      <c r="AG163" s="17">
        <f t="shared" si="98"/>
        <v>0</v>
      </c>
      <c r="AH163" s="17">
        <f t="shared" si="98"/>
        <v>0</v>
      </c>
      <c r="AI163" s="17">
        <f t="shared" si="98"/>
        <v>0</v>
      </c>
      <c r="AJ163" s="17">
        <f t="shared" si="98"/>
        <v>0</v>
      </c>
      <c r="AK163" s="17">
        <f t="shared" si="98"/>
        <v>0</v>
      </c>
      <c r="AL163" s="17">
        <f t="shared" si="98"/>
        <v>0</v>
      </c>
      <c r="AM163" s="17">
        <f t="shared" si="98"/>
        <v>0</v>
      </c>
    </row>
    <row r="164" spans="1:39" x14ac:dyDescent="0.2">
      <c r="A164" s="14"/>
      <c r="C164" s="19">
        <f ca="1">SUM(C150:C163)</f>
        <v>1544949.5962261481</v>
      </c>
      <c r="D164" s="19">
        <f t="shared" ref="D164:G164" ca="1" si="99">SUM(D150:D163)</f>
        <v>1517852.4576191471</v>
      </c>
      <c r="E164" s="19">
        <f t="shared" ca="1" si="99"/>
        <v>1536665.4073570457</v>
      </c>
      <c r="F164" s="19">
        <f t="shared" ca="1" si="99"/>
        <v>1564554.2772227281</v>
      </c>
      <c r="G164" s="19">
        <f t="shared" ca="1" si="99"/>
        <v>1547921.1416809112</v>
      </c>
      <c r="H164" s="19">
        <f t="shared" ref="H164:AM164" ca="1" si="100">SUM(H150:H163)</f>
        <v>1569906.8427281841</v>
      </c>
      <c r="I164" s="19">
        <f t="shared" ca="1" si="100"/>
        <v>1627597.9826141801</v>
      </c>
      <c r="J164" s="19">
        <f t="shared" ca="1" si="100"/>
        <v>1657466.3970750612</v>
      </c>
      <c r="K164" s="19">
        <f t="shared" ca="1" si="100"/>
        <v>1657348.0718335188</v>
      </c>
      <c r="L164" s="19">
        <f t="shared" ca="1" si="100"/>
        <v>1688193.9094133012</v>
      </c>
      <c r="M164" s="19">
        <f t="shared" ca="1" si="100"/>
        <v>1719957.4899146184</v>
      </c>
      <c r="N164" s="19">
        <f t="shared" ca="1" si="100"/>
        <v>1746415.2307781556</v>
      </c>
      <c r="O164" s="19">
        <f t="shared" ca="1" si="100"/>
        <v>1766674.4278677478</v>
      </c>
      <c r="P164" s="19">
        <f t="shared" ca="1" si="100"/>
        <v>1787314.3552595668</v>
      </c>
      <c r="Q164" s="19">
        <f t="shared" ca="1" si="100"/>
        <v>1808362.7833341551</v>
      </c>
      <c r="R164" s="19">
        <f t="shared" ca="1" si="100"/>
        <v>1827776.0509628095</v>
      </c>
      <c r="S164" s="19">
        <f t="shared" ca="1" si="100"/>
        <v>1857084.1594451221</v>
      </c>
      <c r="T164" s="19">
        <f t="shared" ca="1" si="100"/>
        <v>1895713.8815061816</v>
      </c>
      <c r="U164" s="19">
        <f t="shared" ca="1" si="100"/>
        <v>1935520.5155581899</v>
      </c>
      <c r="V164" s="19">
        <f t="shared" ca="1" si="100"/>
        <v>1976883.986818162</v>
      </c>
      <c r="W164" s="19">
        <f t="shared" ca="1" si="100"/>
        <v>2011445.8128012577</v>
      </c>
      <c r="X164" s="19">
        <f t="shared" ca="1" si="100"/>
        <v>2046293.5503968438</v>
      </c>
      <c r="Y164" s="19">
        <f t="shared" ca="1" si="100"/>
        <v>2021130.3070861981</v>
      </c>
      <c r="Z164" s="19">
        <f t="shared" ca="1" si="100"/>
        <v>2031510.1978931627</v>
      </c>
      <c r="AA164" s="19">
        <f t="shared" ca="1" si="100"/>
        <v>2041223.0939667204</v>
      </c>
      <c r="AB164" s="19">
        <f t="shared" ca="1" si="100"/>
        <v>2050270.8721517404</v>
      </c>
      <c r="AC164" s="19">
        <f t="shared" ca="1" si="100"/>
        <v>2058656.0127656097</v>
      </c>
      <c r="AD164" s="19">
        <f t="shared" ca="1" si="100"/>
        <v>2078360.6014941316</v>
      </c>
      <c r="AE164" s="19">
        <f t="shared" ca="1" si="100"/>
        <v>2098001.0963882897</v>
      </c>
      <c r="AF164" s="19">
        <f t="shared" ca="1" si="100"/>
        <v>1986660.1042912295</v>
      </c>
      <c r="AG164" s="19">
        <f t="shared" ca="1" si="100"/>
        <v>1953888.1894422704</v>
      </c>
      <c r="AH164" s="19">
        <f t="shared" ca="1" si="100"/>
        <v>1917907.8736783604</v>
      </c>
      <c r="AI164" s="19">
        <f t="shared" ca="1" si="100"/>
        <v>1878644.4083171859</v>
      </c>
      <c r="AJ164" s="19">
        <f t="shared" ca="1" si="100"/>
        <v>1836021.3397995925</v>
      </c>
      <c r="AK164" s="19">
        <f t="shared" ca="1" si="100"/>
        <v>1789960.4719828698</v>
      </c>
      <c r="AL164" s="19">
        <f t="shared" ca="1" si="100"/>
        <v>1740381.8276388263</v>
      </c>
      <c r="AM164" s="19">
        <f t="shared" ca="1" si="100"/>
        <v>1687203.6091411933</v>
      </c>
    </row>
    <row r="165" spans="1:39" x14ac:dyDescent="0.2"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</row>
    <row r="166" spans="1:39" ht="19" x14ac:dyDescent="0.25">
      <c r="A166" s="42" t="s">
        <v>91</v>
      </c>
      <c r="B166" s="43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</row>
    <row r="167" spans="1:39" x14ac:dyDescent="0.2"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</row>
    <row r="168" spans="1:39" x14ac:dyDescent="0.2">
      <c r="A168" s="28" t="s">
        <v>74</v>
      </c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</row>
    <row r="169" spans="1:39" x14ac:dyDescent="0.2">
      <c r="A169" s="13" t="s">
        <v>10</v>
      </c>
      <c r="C169" s="17">
        <f ca="1">C53</f>
        <v>714578.8</v>
      </c>
      <c r="D169" s="17">
        <f t="shared" ref="D169:G169" ca="1" si="101">D53</f>
        <v>615523.44559532881</v>
      </c>
      <c r="E169" s="17">
        <f t="shared" ca="1" si="101"/>
        <v>566818.54594435322</v>
      </c>
      <c r="F169" s="17">
        <f t="shared" ca="1" si="101"/>
        <v>529495.63528901932</v>
      </c>
      <c r="G169" s="17">
        <f t="shared" ca="1" si="101"/>
        <v>449136.11835878156</v>
      </c>
      <c r="H169" s="17">
        <f t="shared" ref="H169:AM169" ca="1" si="102">H53</f>
        <v>405493.30580093106</v>
      </c>
      <c r="I169" s="17">
        <f t="shared" ca="1" si="102"/>
        <v>395591.02540947287</v>
      </c>
      <c r="J169" s="17">
        <f t="shared" ca="1" si="102"/>
        <v>355835.83444133337</v>
      </c>
      <c r="K169" s="17">
        <f t="shared" ca="1" si="102"/>
        <v>283995.80718639237</v>
      </c>
      <c r="L169" s="17">
        <f t="shared" ca="1" si="102"/>
        <v>240951.16457455605</v>
      </c>
      <c r="M169" s="17">
        <f t="shared" ca="1" si="102"/>
        <v>196581.88886248111</v>
      </c>
      <c r="N169" s="17">
        <f t="shared" ca="1" si="102"/>
        <v>159081.59242159489</v>
      </c>
      <c r="O169" s="17">
        <f t="shared" ca="1" si="102"/>
        <v>129202.61024367121</v>
      </c>
      <c r="P169" s="17">
        <f t="shared" ca="1" si="102"/>
        <v>97998.759380603165</v>
      </c>
      <c r="Q169" s="17">
        <f t="shared" ca="1" si="102"/>
        <v>65430.525954565201</v>
      </c>
      <c r="R169" s="17">
        <f t="shared" ca="1" si="102"/>
        <v>31457.490092545777</v>
      </c>
      <c r="S169" s="17">
        <f t="shared" ca="1" si="102"/>
        <v>7311.2771293262776</v>
      </c>
      <c r="T169" s="17">
        <f t="shared" ca="1" si="102"/>
        <v>-8500.9986179600528</v>
      </c>
      <c r="U169" s="17">
        <f t="shared" ca="1" si="102"/>
        <v>-24401.151599326025</v>
      </c>
      <c r="V169" s="17">
        <f t="shared" ca="1" si="102"/>
        <v>-40382.155855835503</v>
      </c>
      <c r="W169" s="17">
        <f t="shared" ca="1" si="102"/>
        <v>-56436.533092885351</v>
      </c>
      <c r="X169" s="17">
        <f t="shared" ca="1" si="102"/>
        <v>-72556.333071212925</v>
      </c>
      <c r="Y169" s="17">
        <f t="shared" ca="1" si="102"/>
        <v>-88733.113258660698</v>
      </c>
      <c r="Z169" s="17">
        <f t="shared" ca="1" si="102"/>
        <v>-104957.91771674658</v>
      </c>
      <c r="AA169" s="17">
        <f t="shared" ca="1" si="102"/>
        <v>-121221.25519521507</v>
      </c>
      <c r="AB169" s="17">
        <f t="shared" ca="1" si="102"/>
        <v>-137513.07640684361</v>
      </c>
      <c r="AC169" s="17">
        <f t="shared" ca="1" si="102"/>
        <v>-153822.75045384717</v>
      </c>
      <c r="AD169" s="17">
        <f t="shared" ca="1" si="102"/>
        <v>-158452.24026646439</v>
      </c>
      <c r="AE169" s="17">
        <f t="shared" ca="1" si="102"/>
        <v>-162784.30756936097</v>
      </c>
      <c r="AF169" s="17">
        <f t="shared" ca="1" si="102"/>
        <v>-166799.12200714284</v>
      </c>
      <c r="AG169" s="17">
        <f t="shared" ca="1" si="102"/>
        <v>-170475.98562175149</v>
      </c>
      <c r="AH169" s="17">
        <f t="shared" ca="1" si="102"/>
        <v>-173793.30000708409</v>
      </c>
      <c r="AI169" s="17">
        <f t="shared" ca="1" si="102"/>
        <v>-176728.53230781946</v>
      </c>
      <c r="AJ169" s="17">
        <f t="shared" ca="1" si="102"/>
        <v>-179258.1800235158</v>
      </c>
      <c r="AK169" s="17">
        <f t="shared" ca="1" si="102"/>
        <v>-181357.7345777704</v>
      </c>
      <c r="AL169" s="17">
        <f t="shared" ca="1" si="102"/>
        <v>-183001.64361091712</v>
      </c>
      <c r="AM169" s="17">
        <f t="shared" ca="1" si="102"/>
        <v>-184163.27195337944</v>
      </c>
    </row>
    <row r="170" spans="1:39" x14ac:dyDescent="0.2">
      <c r="A170" s="13" t="s">
        <v>30</v>
      </c>
      <c r="C170" s="17">
        <f t="shared" ref="C170" ca="1" si="103">C66</f>
        <v>1544949.5962261481</v>
      </c>
      <c r="D170" s="17">
        <f t="shared" ref="D170:G170" ca="1" si="104">D66</f>
        <v>1517852.4576191471</v>
      </c>
      <c r="E170" s="17">
        <f t="shared" ca="1" si="104"/>
        <v>1536665.4073570457</v>
      </c>
      <c r="F170" s="17">
        <f t="shared" ca="1" si="104"/>
        <v>1564554.2772227281</v>
      </c>
      <c r="G170" s="17">
        <f t="shared" ca="1" si="104"/>
        <v>1547921.1416809112</v>
      </c>
      <c r="H170" s="17">
        <f t="shared" ref="H170:AM170" ca="1" si="105">H66</f>
        <v>1569906.8427281843</v>
      </c>
      <c r="I170" s="17">
        <f t="shared" ca="1" si="105"/>
        <v>1627597.9826141801</v>
      </c>
      <c r="J170" s="17">
        <f t="shared" ca="1" si="105"/>
        <v>1657466.3970750612</v>
      </c>
      <c r="K170" s="17">
        <f t="shared" ca="1" si="105"/>
        <v>1657348.0718335188</v>
      </c>
      <c r="L170" s="17">
        <f t="shared" ca="1" si="105"/>
        <v>1688193.9094133012</v>
      </c>
      <c r="M170" s="17">
        <f t="shared" ca="1" si="105"/>
        <v>1719957.4899146184</v>
      </c>
      <c r="N170" s="17">
        <f t="shared" ca="1" si="105"/>
        <v>1746415.2307781556</v>
      </c>
      <c r="O170" s="17">
        <f t="shared" ca="1" si="105"/>
        <v>1766674.4278677478</v>
      </c>
      <c r="P170" s="17">
        <f t="shared" ca="1" si="105"/>
        <v>1787314.3552595668</v>
      </c>
      <c r="Q170" s="17">
        <f t="shared" ca="1" si="105"/>
        <v>1808362.7833341551</v>
      </c>
      <c r="R170" s="17">
        <f t="shared" ca="1" si="105"/>
        <v>1829849.8843077219</v>
      </c>
      <c r="S170" s="17">
        <f t="shared" ca="1" si="105"/>
        <v>1863081.3858142919</v>
      </c>
      <c r="T170" s="17">
        <f t="shared" ca="1" si="105"/>
        <v>1906642.2313823556</v>
      </c>
      <c r="U170" s="17">
        <f t="shared" ca="1" si="105"/>
        <v>1952192.3948001836</v>
      </c>
      <c r="V170" s="17">
        <f t="shared" ca="1" si="105"/>
        <v>1999824.8979947795</v>
      </c>
      <c r="W170" s="17">
        <f t="shared" ca="1" si="105"/>
        <v>2049637.6895170973</v>
      </c>
      <c r="X170" s="17">
        <f t="shared" ca="1" si="105"/>
        <v>2101733.9499324267</v>
      </c>
      <c r="Y170" s="17">
        <f t="shared" ca="1" si="105"/>
        <v>2156222.4186476739</v>
      </c>
      <c r="Z170" s="17">
        <f t="shared" ca="1" si="105"/>
        <v>2213217.7437923704</v>
      </c>
      <c r="AA170" s="17">
        <f t="shared" ca="1" si="105"/>
        <v>2272840.8568964163</v>
      </c>
      <c r="AB170" s="17">
        <f t="shared" ca="1" si="105"/>
        <v>2335219.3742437558</v>
      </c>
      <c r="AC170" s="17">
        <f t="shared" ca="1" si="105"/>
        <v>2400488.0269281873</v>
      </c>
      <c r="AD170" s="17">
        <f t="shared" ca="1" si="105"/>
        <v>2480475.9219059017</v>
      </c>
      <c r="AE170" s="17">
        <f t="shared" ca="1" si="105"/>
        <v>2563938.8058545557</v>
      </c>
      <c r="AF170" s="17">
        <f t="shared" ca="1" si="105"/>
        <v>2651042.9597167815</v>
      </c>
      <c r="AG170" s="17">
        <f t="shared" ca="1" si="105"/>
        <v>2741964.0154429642</v>
      </c>
      <c r="AH170" s="17">
        <f t="shared" ca="1" si="105"/>
        <v>2836887.5705297729</v>
      </c>
      <c r="AI170" s="17">
        <f t="shared" ca="1" si="105"/>
        <v>2936009.8473405582</v>
      </c>
      <c r="AJ170" s="17">
        <f t="shared" ca="1" si="105"/>
        <v>3039538.4006493622</v>
      </c>
      <c r="AK170" s="17">
        <f t="shared" ca="1" si="105"/>
        <v>3147692.8771211458</v>
      </c>
      <c r="AL170" s="17">
        <f t="shared" ca="1" si="105"/>
        <v>3260705.8307332876</v>
      </c>
      <c r="AM170" s="17">
        <f t="shared" ca="1" si="105"/>
        <v>3378823.5984590179</v>
      </c>
    </row>
    <row r="171" spans="1:39" x14ac:dyDescent="0.2">
      <c r="A171" s="13" t="s">
        <v>83</v>
      </c>
      <c r="C171" s="21" t="str">
        <f ca="1">IF(COUNTIF(169:169,"&lt;0")&gt;0,"NO","YES!")</f>
        <v>NO</v>
      </c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</row>
    <row r="172" spans="1:39" x14ac:dyDescent="0.2">
      <c r="A172" s="13" t="s">
        <v>36</v>
      </c>
      <c r="C172" s="21" cm="1">
        <f t="array" aca="1" ref="C172" ca="1">IFERROR(INDEX($3:$3, MATCH(TRUE, INDEX(169:169&lt;0,0), 0)), "")</f>
        <v>66</v>
      </c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</row>
    <row r="173" spans="1:39" x14ac:dyDescent="0.2">
      <c r="A173" s="13"/>
      <c r="C173" s="21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</row>
    <row r="174" spans="1:39" x14ac:dyDescent="0.2">
      <c r="A174" s="28" t="s">
        <v>75</v>
      </c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</row>
    <row r="175" spans="1:39" x14ac:dyDescent="0.2">
      <c r="A175" s="13" t="s">
        <v>10</v>
      </c>
      <c r="C175" s="17">
        <f t="shared" ref="C175" ca="1" si="106">C151</f>
        <v>714578.8</v>
      </c>
      <c r="D175" s="17">
        <f t="shared" ref="D175:G175" ca="1" si="107">D151</f>
        <v>615523.44559532881</v>
      </c>
      <c r="E175" s="17">
        <f t="shared" ca="1" si="107"/>
        <v>566818.54594435322</v>
      </c>
      <c r="F175" s="17">
        <f t="shared" ca="1" si="107"/>
        <v>529495.63528901932</v>
      </c>
      <c r="G175" s="17">
        <f t="shared" ca="1" si="107"/>
        <v>449136.11835878156</v>
      </c>
      <c r="H175" s="17">
        <f t="shared" ref="H175:AM175" ca="1" si="108">H151</f>
        <v>405493.30580093106</v>
      </c>
      <c r="I175" s="17">
        <f t="shared" ca="1" si="108"/>
        <v>395591.02540947287</v>
      </c>
      <c r="J175" s="17">
        <f t="shared" ca="1" si="108"/>
        <v>355835.83444133337</v>
      </c>
      <c r="K175" s="17">
        <f t="shared" ca="1" si="108"/>
        <v>283995.80718639237</v>
      </c>
      <c r="L175" s="17">
        <f t="shared" ca="1" si="108"/>
        <v>240951.16457455605</v>
      </c>
      <c r="M175" s="17">
        <f t="shared" ca="1" si="108"/>
        <v>196581.88886248111</v>
      </c>
      <c r="N175" s="17">
        <f t="shared" ca="1" si="108"/>
        <v>159081.59242159489</v>
      </c>
      <c r="O175" s="17">
        <f t="shared" ca="1" si="108"/>
        <v>129202.61024367121</v>
      </c>
      <c r="P175" s="17">
        <f t="shared" ca="1" si="108"/>
        <v>97998.759380603165</v>
      </c>
      <c r="Q175" s="17">
        <f t="shared" ca="1" si="108"/>
        <v>65430.525954565201</v>
      </c>
      <c r="R175" s="17">
        <f t="shared" ca="1" si="108"/>
        <v>50463.562747686359</v>
      </c>
      <c r="S175" s="17">
        <f t="shared" ca="1" si="108"/>
        <v>51530.780819453197</v>
      </c>
      <c r="T175" s="17">
        <f t="shared" ca="1" si="108"/>
        <v>52780.780819453197</v>
      </c>
      <c r="U175" s="17">
        <f t="shared" ca="1" si="108"/>
        <v>45240.990341074481</v>
      </c>
      <c r="V175" s="17">
        <f t="shared" ca="1" si="108"/>
        <v>29896.075844533276</v>
      </c>
      <c r="W175" s="17">
        <f t="shared" ca="1" si="108"/>
        <v>58136.512506285799</v>
      </c>
      <c r="X175" s="17">
        <f t="shared" ca="1" si="108"/>
        <v>34384.971093022825</v>
      </c>
      <c r="Y175" s="17">
        <f t="shared" ca="1" si="108"/>
        <v>343581.77262858348</v>
      </c>
      <c r="Z175" s="17">
        <f t="shared" ca="1" si="108"/>
        <v>303635.20740181976</v>
      </c>
      <c r="AA175" s="17">
        <f t="shared" ca="1" si="108"/>
        <v>261511.85376063696</v>
      </c>
      <c r="AB175" s="17">
        <f t="shared" ca="1" si="108"/>
        <v>217168.29473947425</v>
      </c>
      <c r="AC175" s="17">
        <f t="shared" ca="1" si="108"/>
        <v>170560.35803097562</v>
      </c>
      <c r="AD175" s="17">
        <f t="shared" ca="1" si="108"/>
        <v>133622.07711745868</v>
      </c>
      <c r="AE175" s="17">
        <f t="shared" ca="1" si="108"/>
        <v>94920.416280316305</v>
      </c>
      <c r="AF175" s="17">
        <f t="shared" ca="1" si="108"/>
        <v>773028.86869639892</v>
      </c>
      <c r="AG175" s="17">
        <f t="shared" ca="1" si="108"/>
        <v>703848.01677959471</v>
      </c>
      <c r="AH175" s="17">
        <f t="shared" ca="1" si="108"/>
        <v>630366.49583580438</v>
      </c>
      <c r="AI175" s="17">
        <f t="shared" ca="1" si="108"/>
        <v>552476.78913935332</v>
      </c>
      <c r="AJ175" s="17">
        <f t="shared" ca="1" si="108"/>
        <v>470068.69204642484</v>
      </c>
      <c r="AK175" s="17">
        <f t="shared" ca="1" si="108"/>
        <v>383029.24479710718</v>
      </c>
      <c r="AL175" s="17">
        <f t="shared" ca="1" si="108"/>
        <v>291242.66363749065</v>
      </c>
      <c r="AM175" s="17">
        <f t="shared" ca="1" si="108"/>
        <v>194590.27021981761</v>
      </c>
    </row>
    <row r="176" spans="1:39" x14ac:dyDescent="0.2">
      <c r="A176" s="13" t="s">
        <v>30</v>
      </c>
      <c r="C176" s="17">
        <f t="shared" ref="C176" ca="1" si="109">C164</f>
        <v>1544949.5962261481</v>
      </c>
      <c r="D176" s="17">
        <f t="shared" ref="D176:G176" ca="1" si="110">D164</f>
        <v>1517852.4576191471</v>
      </c>
      <c r="E176" s="17">
        <f t="shared" ca="1" si="110"/>
        <v>1536665.4073570457</v>
      </c>
      <c r="F176" s="17">
        <f t="shared" ca="1" si="110"/>
        <v>1564554.2772227281</v>
      </c>
      <c r="G176" s="17">
        <f t="shared" ca="1" si="110"/>
        <v>1547921.1416809112</v>
      </c>
      <c r="H176" s="17">
        <f t="shared" ref="H176:AM176" ca="1" si="111">H164</f>
        <v>1569906.8427281841</v>
      </c>
      <c r="I176" s="17">
        <f t="shared" ca="1" si="111"/>
        <v>1627597.9826141801</v>
      </c>
      <c r="J176" s="17">
        <f t="shared" ca="1" si="111"/>
        <v>1657466.3970750612</v>
      </c>
      <c r="K176" s="17">
        <f t="shared" ca="1" si="111"/>
        <v>1657348.0718335188</v>
      </c>
      <c r="L176" s="17">
        <f t="shared" ca="1" si="111"/>
        <v>1688193.9094133012</v>
      </c>
      <c r="M176" s="17">
        <f t="shared" ca="1" si="111"/>
        <v>1719957.4899146184</v>
      </c>
      <c r="N176" s="17">
        <f t="shared" ca="1" si="111"/>
        <v>1746415.2307781556</v>
      </c>
      <c r="O176" s="17">
        <f t="shared" ca="1" si="111"/>
        <v>1766674.4278677478</v>
      </c>
      <c r="P176" s="17">
        <f t="shared" ca="1" si="111"/>
        <v>1787314.3552595668</v>
      </c>
      <c r="Q176" s="17">
        <f t="shared" ca="1" si="111"/>
        <v>1808362.7833341551</v>
      </c>
      <c r="R176" s="17">
        <f t="shared" ca="1" si="111"/>
        <v>1827776.0509628095</v>
      </c>
      <c r="S176" s="17">
        <f t="shared" ca="1" si="111"/>
        <v>1857084.1594451221</v>
      </c>
      <c r="T176" s="17">
        <f t="shared" ca="1" si="111"/>
        <v>1895713.8815061816</v>
      </c>
      <c r="U176" s="17">
        <f t="shared" ca="1" si="111"/>
        <v>1935520.5155581899</v>
      </c>
      <c r="V176" s="17">
        <f t="shared" ca="1" si="111"/>
        <v>1976883.986818162</v>
      </c>
      <c r="W176" s="17">
        <f t="shared" ca="1" si="111"/>
        <v>2011445.8128012577</v>
      </c>
      <c r="X176" s="17">
        <f t="shared" ca="1" si="111"/>
        <v>2046293.5503968438</v>
      </c>
      <c r="Y176" s="17">
        <f t="shared" ca="1" si="111"/>
        <v>2021130.3070861981</v>
      </c>
      <c r="Z176" s="17">
        <f t="shared" ca="1" si="111"/>
        <v>2031510.1978931627</v>
      </c>
      <c r="AA176" s="17">
        <f t="shared" ca="1" si="111"/>
        <v>2041223.0939667204</v>
      </c>
      <c r="AB176" s="17">
        <f t="shared" ca="1" si="111"/>
        <v>2050270.8721517404</v>
      </c>
      <c r="AC176" s="17">
        <f t="shared" ca="1" si="111"/>
        <v>2058656.0127656097</v>
      </c>
      <c r="AD176" s="17">
        <f t="shared" ca="1" si="111"/>
        <v>2078360.6014941316</v>
      </c>
      <c r="AE176" s="17">
        <f t="shared" ca="1" si="111"/>
        <v>2098001.0963882897</v>
      </c>
      <c r="AF176" s="17">
        <f t="shared" ca="1" si="111"/>
        <v>1986660.1042912295</v>
      </c>
      <c r="AG176" s="17">
        <f t="shared" ca="1" si="111"/>
        <v>1953888.1894422704</v>
      </c>
      <c r="AH176" s="17">
        <f t="shared" ca="1" si="111"/>
        <v>1917907.8736783604</v>
      </c>
      <c r="AI176" s="17">
        <f t="shared" ca="1" si="111"/>
        <v>1878644.4083171859</v>
      </c>
      <c r="AJ176" s="17">
        <f t="shared" ca="1" si="111"/>
        <v>1836021.3397995925</v>
      </c>
      <c r="AK176" s="17">
        <f t="shared" ca="1" si="111"/>
        <v>1789960.4719828698</v>
      </c>
      <c r="AL176" s="17">
        <f t="shared" ca="1" si="111"/>
        <v>1740381.8276388263</v>
      </c>
      <c r="AM176" s="17">
        <f t="shared" ca="1" si="111"/>
        <v>1687203.6091411933</v>
      </c>
    </row>
    <row r="177" spans="1:39" x14ac:dyDescent="0.2">
      <c r="A177" s="13" t="s">
        <v>76</v>
      </c>
      <c r="C177" s="21" t="str">
        <f ca="1">IF(COUNTIF(175:175,"&lt;0")&gt;0,"NO","YES!")</f>
        <v>YES!</v>
      </c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</row>
    <row r="178" spans="1:39" x14ac:dyDescent="0.2">
      <c r="A178" s="13" t="s">
        <v>36</v>
      </c>
      <c r="C178" s="21" t="str" cm="1">
        <f t="array" aca="1" ref="C178" ca="1">IFERROR(INDEX($3:$3, MATCH(TRUE, INDEX(175:175&lt;0,0), 0)), "Never")</f>
        <v>Never</v>
      </c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</row>
    <row r="179" spans="1:39" x14ac:dyDescent="0.2">
      <c r="A179" s="13"/>
      <c r="C179" s="17"/>
      <c r="D179" s="17"/>
      <c r="E179" s="39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</row>
    <row r="180" spans="1:39" x14ac:dyDescent="0.2">
      <c r="A180" s="13" t="s">
        <v>32</v>
      </c>
      <c r="C180" s="20" t="s">
        <v>31</v>
      </c>
      <c r="D180" s="37" t="s">
        <v>78</v>
      </c>
      <c r="E180" s="37" t="s">
        <v>77</v>
      </c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</row>
    <row r="181" spans="1:39" x14ac:dyDescent="0.2">
      <c r="A181" s="29" t="s">
        <v>29</v>
      </c>
      <c r="C181" s="17">
        <f ca="1">-SUM(75:75)</f>
        <v>69290.259215332946</v>
      </c>
      <c r="D181" s="37" t="str" cm="1">
        <f t="array" aca="1" ref="D181" ca="1">IFERROR(TEXT(INDEX(2:2, MATCH(TRUE, INDEX(75:75&lt;0,0), 0)), "0000"), "")</f>
        <v>2042</v>
      </c>
      <c r="E181" s="38" cm="1">
        <f t="array" aca="1" ref="E181" ca="1">IFERROR(INDEX(3:3, MATCH(TRUE, INDEX(75:75&lt;0,0), 0)),"")</f>
        <v>64</v>
      </c>
      <c r="F181" s="40" t="s">
        <v>79</v>
      </c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</row>
    <row r="182" spans="1:39" x14ac:dyDescent="0.2">
      <c r="A182" s="29" t="s">
        <v>73</v>
      </c>
      <c r="C182" s="16"/>
      <c r="D182" s="39"/>
      <c r="E182" s="39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</row>
    <row r="183" spans="1:39" x14ac:dyDescent="0.2">
      <c r="A183" s="30" t="str">
        <f>$A$56</f>
        <v>Sliema</v>
      </c>
      <c r="C183" s="17">
        <f ca="1">-IFERROR(MIN(INDEX($131:$133, MATCH(A183, $A$131:$A$133, 0), 0)),0)</f>
        <v>383220.68177215621</v>
      </c>
      <c r="D183" s="37" t="str" cm="1">
        <f t="array" aca="1" ref="D183" ca="1">IFERROR(TEXT(INDEX($2:$2,MATCH(0, $C136:$XFD136, 0) + COLUMN($C136) - 1),"0000"),"")</f>
        <v>2049</v>
      </c>
      <c r="E183" s="38" cm="1">
        <f t="array" aca="1" ref="E183" ca="1">IFERROR(INDEX($3:$3,MATCH(0, $C136:$XFD136, 0) + COLUMN($C136) - 1),"")</f>
        <v>71</v>
      </c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</row>
    <row r="184" spans="1:39" x14ac:dyDescent="0.2">
      <c r="A184" s="30" t="str">
        <f>$A$57</f>
        <v>Gzira</v>
      </c>
      <c r="C184" s="17">
        <f ca="1">-IFERROR(MIN(INDEX($131:$133, MATCH(A184, $A$131:$A$133, 0), 0)),0)</f>
        <v>824797.92710328265</v>
      </c>
      <c r="D184" s="37" t="str" cm="1">
        <f t="array" aca="1" ref="D184" ca="1">IFERROR(TEXT(INDEX($2:$2,MATCH(0, $C137:$XFD137, 0) + COLUMN($C137) - 1),"0000"),"")</f>
        <v>2056</v>
      </c>
      <c r="E184" s="38" cm="1">
        <f t="array" aca="1" ref="E184" ca="1">IFERROR(INDEX($3:$3,MATCH(0, $C137:$XFD137, 0) + COLUMN($C137) - 1),"")</f>
        <v>78</v>
      </c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</row>
    <row r="185" spans="1:39" x14ac:dyDescent="0.2">
      <c r="A185" s="30" t="str">
        <f>$A$58</f>
        <v>Hamrun</v>
      </c>
      <c r="C185" s="17">
        <f ca="1">-IFERROR(MIN(INDEX($131:$133, MATCH(A185, $A$131:$A$133, 0), 0)),0)</f>
        <v>50571.114570743594</v>
      </c>
      <c r="D185" s="37" t="str" cm="1">
        <f t="array" aca="1" ref="D185" ca="1">IFERROR(TEXT(INDEX($2:$2,MATCH(0, $C138:$XFD138, 0) + COLUMN($C138) - 1),"0000"),"")</f>
        <v>2047</v>
      </c>
      <c r="E185" s="38" cm="1">
        <f t="array" aca="1" ref="E185" ca="1">IFERROR(INDEX($3:$3,MATCH(0, $C138:$XFD138, 0) + COLUMN($C138) - 1),"")</f>
        <v>69</v>
      </c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</row>
    <row r="186" spans="1:39" x14ac:dyDescent="0.2">
      <c r="A186" s="16"/>
      <c r="C186" s="19">
        <f ca="1">SUM(C183:C185)</f>
        <v>1258589.7234461824</v>
      </c>
      <c r="D186" s="39"/>
      <c r="E186" s="39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</row>
    <row r="187" spans="1:39" x14ac:dyDescent="0.2">
      <c r="C187" s="17"/>
      <c r="E187" s="17"/>
      <c r="F187" s="17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</row>
    <row r="188" spans="1:39" x14ac:dyDescent="0.2">
      <c r="A188" s="28" t="s">
        <v>80</v>
      </c>
      <c r="B188" s="7" t="s">
        <v>1</v>
      </c>
      <c r="C188" s="17">
        <f t="shared" ref="C188:G188" si="112">C3</f>
        <v>49</v>
      </c>
      <c r="D188" s="17">
        <f t="shared" si="112"/>
        <v>50</v>
      </c>
      <c r="E188" s="17">
        <f t="shared" si="112"/>
        <v>51</v>
      </c>
      <c r="F188" s="17">
        <f t="shared" si="112"/>
        <v>52</v>
      </c>
      <c r="G188" s="17">
        <f t="shared" si="112"/>
        <v>53</v>
      </c>
      <c r="H188" s="17">
        <f t="shared" ref="H188:AM188" si="113">H3</f>
        <v>54</v>
      </c>
      <c r="I188" s="17">
        <f t="shared" si="113"/>
        <v>55</v>
      </c>
      <c r="J188" s="17">
        <f t="shared" si="113"/>
        <v>56</v>
      </c>
      <c r="K188" s="17">
        <f t="shared" si="113"/>
        <v>57</v>
      </c>
      <c r="L188" s="17">
        <f t="shared" si="113"/>
        <v>58</v>
      </c>
      <c r="M188" s="17">
        <f t="shared" si="113"/>
        <v>59</v>
      </c>
      <c r="N188" s="17">
        <f t="shared" si="113"/>
        <v>60</v>
      </c>
      <c r="O188" s="17">
        <f t="shared" si="113"/>
        <v>61</v>
      </c>
      <c r="P188" s="17">
        <f t="shared" si="113"/>
        <v>62</v>
      </c>
      <c r="Q188" s="17">
        <f t="shared" si="113"/>
        <v>63</v>
      </c>
      <c r="R188" s="17">
        <f t="shared" si="113"/>
        <v>64</v>
      </c>
      <c r="S188" s="17">
        <f t="shared" si="113"/>
        <v>65</v>
      </c>
      <c r="T188" s="17">
        <f t="shared" si="113"/>
        <v>66</v>
      </c>
      <c r="U188" s="17">
        <f t="shared" si="113"/>
        <v>67</v>
      </c>
      <c r="V188" s="17">
        <f t="shared" si="113"/>
        <v>68</v>
      </c>
      <c r="W188" s="17">
        <f t="shared" si="113"/>
        <v>69</v>
      </c>
      <c r="X188" s="17">
        <f t="shared" si="113"/>
        <v>70</v>
      </c>
      <c r="Y188" s="17">
        <f t="shared" si="113"/>
        <v>71</v>
      </c>
      <c r="Z188" s="17">
        <f t="shared" si="113"/>
        <v>72</v>
      </c>
      <c r="AA188" s="17">
        <f t="shared" si="113"/>
        <v>73</v>
      </c>
      <c r="AB188" s="17">
        <f t="shared" si="113"/>
        <v>74</v>
      </c>
      <c r="AC188" s="17">
        <f t="shared" si="113"/>
        <v>75</v>
      </c>
      <c r="AD188" s="17">
        <f t="shared" si="113"/>
        <v>76</v>
      </c>
      <c r="AE188" s="17">
        <f t="shared" si="113"/>
        <v>77</v>
      </c>
      <c r="AF188" s="17">
        <f t="shared" si="113"/>
        <v>78</v>
      </c>
      <c r="AG188" s="17">
        <f t="shared" si="113"/>
        <v>79</v>
      </c>
      <c r="AH188" s="17">
        <f t="shared" si="113"/>
        <v>80</v>
      </c>
      <c r="AI188" s="17">
        <f t="shared" si="113"/>
        <v>81</v>
      </c>
      <c r="AJ188" s="17">
        <f t="shared" si="113"/>
        <v>82</v>
      </c>
      <c r="AK188" s="17">
        <f t="shared" si="113"/>
        <v>83</v>
      </c>
      <c r="AL188" s="17">
        <f t="shared" si="113"/>
        <v>84</v>
      </c>
      <c r="AM188" s="17">
        <f t="shared" si="113"/>
        <v>85</v>
      </c>
    </row>
    <row r="189" spans="1:39" x14ac:dyDescent="0.2">
      <c r="A189" s="13" t="s">
        <v>74</v>
      </c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</row>
    <row r="190" spans="1:39" x14ac:dyDescent="0.2">
      <c r="A190" s="13" t="s">
        <v>10</v>
      </c>
      <c r="C190" s="17">
        <f ca="1">C169</f>
        <v>714578.8</v>
      </c>
      <c r="D190" s="17">
        <f t="shared" ref="D190:G191" ca="1" si="114">D169</f>
        <v>615523.44559532881</v>
      </c>
      <c r="E190" s="17">
        <f t="shared" ca="1" si="114"/>
        <v>566818.54594435322</v>
      </c>
      <c r="F190" s="17">
        <f t="shared" ca="1" si="114"/>
        <v>529495.63528901932</v>
      </c>
      <c r="G190" s="17">
        <f t="shared" ca="1" si="114"/>
        <v>449136.11835878156</v>
      </c>
      <c r="H190" s="17">
        <f t="shared" ref="H190:AM190" ca="1" si="115">H169</f>
        <v>405493.30580093106</v>
      </c>
      <c r="I190" s="17">
        <f t="shared" ca="1" si="115"/>
        <v>395591.02540947287</v>
      </c>
      <c r="J190" s="17">
        <f t="shared" ca="1" si="115"/>
        <v>355835.83444133337</v>
      </c>
      <c r="K190" s="17">
        <f t="shared" ca="1" si="115"/>
        <v>283995.80718639237</v>
      </c>
      <c r="L190" s="17">
        <f t="shared" ca="1" si="115"/>
        <v>240951.16457455605</v>
      </c>
      <c r="M190" s="17">
        <f t="shared" ca="1" si="115"/>
        <v>196581.88886248111</v>
      </c>
      <c r="N190" s="17">
        <f t="shared" ca="1" si="115"/>
        <v>159081.59242159489</v>
      </c>
      <c r="O190" s="17">
        <f t="shared" ca="1" si="115"/>
        <v>129202.61024367121</v>
      </c>
      <c r="P190" s="17">
        <f t="shared" ca="1" si="115"/>
        <v>97998.759380603165</v>
      </c>
      <c r="Q190" s="17">
        <f t="shared" ca="1" si="115"/>
        <v>65430.525954565201</v>
      </c>
      <c r="R190" s="17">
        <f t="shared" ca="1" si="115"/>
        <v>31457.490092545777</v>
      </c>
      <c r="S190" s="17">
        <f t="shared" ca="1" si="115"/>
        <v>7311.2771293262776</v>
      </c>
      <c r="T190" s="17">
        <f t="shared" ca="1" si="115"/>
        <v>-8500.9986179600528</v>
      </c>
      <c r="U190" s="17">
        <f t="shared" ca="1" si="115"/>
        <v>-24401.151599326025</v>
      </c>
      <c r="V190" s="17">
        <f t="shared" ca="1" si="115"/>
        <v>-40382.155855835503</v>
      </c>
      <c r="W190" s="17">
        <f t="shared" ca="1" si="115"/>
        <v>-56436.533092885351</v>
      </c>
      <c r="X190" s="17">
        <f t="shared" ca="1" si="115"/>
        <v>-72556.333071212925</v>
      </c>
      <c r="Y190" s="17">
        <f t="shared" ca="1" si="115"/>
        <v>-88733.113258660698</v>
      </c>
      <c r="Z190" s="17">
        <f t="shared" ca="1" si="115"/>
        <v>-104957.91771674658</v>
      </c>
      <c r="AA190" s="17">
        <f t="shared" ca="1" si="115"/>
        <v>-121221.25519521507</v>
      </c>
      <c r="AB190" s="17">
        <f t="shared" ca="1" si="115"/>
        <v>-137513.07640684361</v>
      </c>
      <c r="AC190" s="17">
        <f t="shared" ca="1" si="115"/>
        <v>-153822.75045384717</v>
      </c>
      <c r="AD190" s="17">
        <f t="shared" ca="1" si="115"/>
        <v>-158452.24026646439</v>
      </c>
      <c r="AE190" s="17">
        <f t="shared" ca="1" si="115"/>
        <v>-162784.30756936097</v>
      </c>
      <c r="AF190" s="17">
        <f t="shared" ca="1" si="115"/>
        <v>-166799.12200714284</v>
      </c>
      <c r="AG190" s="17">
        <f t="shared" ca="1" si="115"/>
        <v>-170475.98562175149</v>
      </c>
      <c r="AH190" s="17">
        <f t="shared" ca="1" si="115"/>
        <v>-173793.30000708409</v>
      </c>
      <c r="AI190" s="17">
        <f t="shared" ca="1" si="115"/>
        <v>-176728.53230781946</v>
      </c>
      <c r="AJ190" s="17">
        <f t="shared" ca="1" si="115"/>
        <v>-179258.1800235158</v>
      </c>
      <c r="AK190" s="17">
        <f t="shared" ca="1" si="115"/>
        <v>-181357.7345777704</v>
      </c>
      <c r="AL190" s="17">
        <f t="shared" ca="1" si="115"/>
        <v>-183001.64361091712</v>
      </c>
      <c r="AM190" s="17">
        <f t="shared" ca="1" si="115"/>
        <v>-184163.27195337944</v>
      </c>
    </row>
    <row r="191" spans="1:39" x14ac:dyDescent="0.2">
      <c r="A191" s="13" t="s">
        <v>30</v>
      </c>
      <c r="C191" s="17">
        <f ca="1">C170</f>
        <v>1544949.5962261481</v>
      </c>
      <c r="D191" s="17">
        <f t="shared" ca="1" si="114"/>
        <v>1517852.4576191471</v>
      </c>
      <c r="E191" s="17">
        <f t="shared" ca="1" si="114"/>
        <v>1536665.4073570457</v>
      </c>
      <c r="F191" s="17">
        <f t="shared" ca="1" si="114"/>
        <v>1564554.2772227281</v>
      </c>
      <c r="G191" s="17">
        <f t="shared" ca="1" si="114"/>
        <v>1547921.1416809112</v>
      </c>
      <c r="H191" s="17">
        <f t="shared" ref="H191:AM191" ca="1" si="116">H170</f>
        <v>1569906.8427281843</v>
      </c>
      <c r="I191" s="17">
        <f t="shared" ca="1" si="116"/>
        <v>1627597.9826141801</v>
      </c>
      <c r="J191" s="17">
        <f t="shared" ca="1" si="116"/>
        <v>1657466.3970750612</v>
      </c>
      <c r="K191" s="17">
        <f t="shared" ca="1" si="116"/>
        <v>1657348.0718335188</v>
      </c>
      <c r="L191" s="17">
        <f t="shared" ca="1" si="116"/>
        <v>1688193.9094133012</v>
      </c>
      <c r="M191" s="17">
        <f t="shared" ca="1" si="116"/>
        <v>1719957.4899146184</v>
      </c>
      <c r="N191" s="17">
        <f t="shared" ca="1" si="116"/>
        <v>1746415.2307781556</v>
      </c>
      <c r="O191" s="17">
        <f t="shared" ca="1" si="116"/>
        <v>1766674.4278677478</v>
      </c>
      <c r="P191" s="17">
        <f t="shared" ca="1" si="116"/>
        <v>1787314.3552595668</v>
      </c>
      <c r="Q191" s="17">
        <f t="shared" ca="1" si="116"/>
        <v>1808362.7833341551</v>
      </c>
      <c r="R191" s="17">
        <f t="shared" ca="1" si="116"/>
        <v>1829849.8843077219</v>
      </c>
      <c r="S191" s="17">
        <f t="shared" ca="1" si="116"/>
        <v>1863081.3858142919</v>
      </c>
      <c r="T191" s="17">
        <f t="shared" ca="1" si="116"/>
        <v>1906642.2313823556</v>
      </c>
      <c r="U191" s="17">
        <f t="shared" ca="1" si="116"/>
        <v>1952192.3948001836</v>
      </c>
      <c r="V191" s="17">
        <f t="shared" ca="1" si="116"/>
        <v>1999824.8979947795</v>
      </c>
      <c r="W191" s="17">
        <f t="shared" ca="1" si="116"/>
        <v>2049637.6895170973</v>
      </c>
      <c r="X191" s="17">
        <f t="shared" ca="1" si="116"/>
        <v>2101733.9499324267</v>
      </c>
      <c r="Y191" s="17">
        <f t="shared" ca="1" si="116"/>
        <v>2156222.4186476739</v>
      </c>
      <c r="Z191" s="17">
        <f t="shared" ca="1" si="116"/>
        <v>2213217.7437923704</v>
      </c>
      <c r="AA191" s="17">
        <f t="shared" ca="1" si="116"/>
        <v>2272840.8568964163</v>
      </c>
      <c r="AB191" s="17">
        <f t="shared" ca="1" si="116"/>
        <v>2335219.3742437558</v>
      </c>
      <c r="AC191" s="17">
        <f t="shared" ca="1" si="116"/>
        <v>2400488.0269281873</v>
      </c>
      <c r="AD191" s="17">
        <f t="shared" ca="1" si="116"/>
        <v>2480475.9219059017</v>
      </c>
      <c r="AE191" s="17">
        <f t="shared" ca="1" si="116"/>
        <v>2563938.8058545557</v>
      </c>
      <c r="AF191" s="17">
        <f t="shared" ca="1" si="116"/>
        <v>2651042.9597167815</v>
      </c>
      <c r="AG191" s="17">
        <f t="shared" ca="1" si="116"/>
        <v>2741964.0154429642</v>
      </c>
      <c r="AH191" s="17">
        <f t="shared" ca="1" si="116"/>
        <v>2836887.5705297729</v>
      </c>
      <c r="AI191" s="17">
        <f t="shared" ca="1" si="116"/>
        <v>2936009.8473405582</v>
      </c>
      <c r="AJ191" s="17">
        <f t="shared" ca="1" si="116"/>
        <v>3039538.4006493622</v>
      </c>
      <c r="AK191" s="17">
        <f t="shared" ca="1" si="116"/>
        <v>3147692.8771211458</v>
      </c>
      <c r="AL191" s="17">
        <f t="shared" ca="1" si="116"/>
        <v>3260705.8307332876</v>
      </c>
      <c r="AM191" s="17">
        <f t="shared" ca="1" si="116"/>
        <v>3378823.5984590179</v>
      </c>
    </row>
    <row r="192" spans="1:39" x14ac:dyDescent="0.2">
      <c r="A192" s="13" t="s">
        <v>75</v>
      </c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</row>
    <row r="193" spans="1:39" x14ac:dyDescent="0.2">
      <c r="A193" s="29" t="s">
        <v>10</v>
      </c>
      <c r="C193" s="17">
        <f ca="1">C175</f>
        <v>714578.8</v>
      </c>
      <c r="D193" s="17">
        <f t="shared" ref="D193:G194" ca="1" si="117">D175</f>
        <v>615523.44559532881</v>
      </c>
      <c r="E193" s="17">
        <f t="shared" ca="1" si="117"/>
        <v>566818.54594435322</v>
      </c>
      <c r="F193" s="17">
        <f t="shared" ca="1" si="117"/>
        <v>529495.63528901932</v>
      </c>
      <c r="G193" s="17">
        <f t="shared" ca="1" si="117"/>
        <v>449136.11835878156</v>
      </c>
      <c r="H193" s="17">
        <f t="shared" ref="H193:AM193" ca="1" si="118">H175</f>
        <v>405493.30580093106</v>
      </c>
      <c r="I193" s="17">
        <f t="shared" ca="1" si="118"/>
        <v>395591.02540947287</v>
      </c>
      <c r="J193" s="17">
        <f t="shared" ca="1" si="118"/>
        <v>355835.83444133337</v>
      </c>
      <c r="K193" s="17">
        <f t="shared" ca="1" si="118"/>
        <v>283995.80718639237</v>
      </c>
      <c r="L193" s="17">
        <f t="shared" ca="1" si="118"/>
        <v>240951.16457455605</v>
      </c>
      <c r="M193" s="17">
        <f t="shared" ca="1" si="118"/>
        <v>196581.88886248111</v>
      </c>
      <c r="N193" s="17">
        <f t="shared" ca="1" si="118"/>
        <v>159081.59242159489</v>
      </c>
      <c r="O193" s="17">
        <f t="shared" ca="1" si="118"/>
        <v>129202.61024367121</v>
      </c>
      <c r="P193" s="17">
        <f t="shared" ca="1" si="118"/>
        <v>97998.759380603165</v>
      </c>
      <c r="Q193" s="17">
        <f t="shared" ca="1" si="118"/>
        <v>65430.525954565201</v>
      </c>
      <c r="R193" s="17">
        <f t="shared" ca="1" si="118"/>
        <v>50463.562747686359</v>
      </c>
      <c r="S193" s="17">
        <f t="shared" ca="1" si="118"/>
        <v>51530.780819453197</v>
      </c>
      <c r="T193" s="17">
        <f t="shared" ca="1" si="118"/>
        <v>52780.780819453197</v>
      </c>
      <c r="U193" s="17">
        <f t="shared" ca="1" si="118"/>
        <v>45240.990341074481</v>
      </c>
      <c r="V193" s="17">
        <f t="shared" ca="1" si="118"/>
        <v>29896.075844533276</v>
      </c>
      <c r="W193" s="17">
        <f t="shared" ca="1" si="118"/>
        <v>58136.512506285799</v>
      </c>
      <c r="X193" s="17">
        <f t="shared" ca="1" si="118"/>
        <v>34384.971093022825</v>
      </c>
      <c r="Y193" s="17">
        <f t="shared" ca="1" si="118"/>
        <v>343581.77262858348</v>
      </c>
      <c r="Z193" s="17">
        <f t="shared" ca="1" si="118"/>
        <v>303635.20740181976</v>
      </c>
      <c r="AA193" s="17">
        <f t="shared" ca="1" si="118"/>
        <v>261511.85376063696</v>
      </c>
      <c r="AB193" s="17">
        <f t="shared" ca="1" si="118"/>
        <v>217168.29473947425</v>
      </c>
      <c r="AC193" s="17">
        <f t="shared" ca="1" si="118"/>
        <v>170560.35803097562</v>
      </c>
      <c r="AD193" s="17">
        <f t="shared" ca="1" si="118"/>
        <v>133622.07711745868</v>
      </c>
      <c r="AE193" s="17">
        <f t="shared" ca="1" si="118"/>
        <v>94920.416280316305</v>
      </c>
      <c r="AF193" s="17">
        <f t="shared" ca="1" si="118"/>
        <v>773028.86869639892</v>
      </c>
      <c r="AG193" s="17">
        <f t="shared" ca="1" si="118"/>
        <v>703848.01677959471</v>
      </c>
      <c r="AH193" s="17">
        <f t="shared" ca="1" si="118"/>
        <v>630366.49583580438</v>
      </c>
      <c r="AI193" s="17">
        <f t="shared" ca="1" si="118"/>
        <v>552476.78913935332</v>
      </c>
      <c r="AJ193" s="17">
        <f t="shared" ca="1" si="118"/>
        <v>470068.69204642484</v>
      </c>
      <c r="AK193" s="17">
        <f t="shared" ca="1" si="118"/>
        <v>383029.24479710718</v>
      </c>
      <c r="AL193" s="17">
        <f t="shared" ca="1" si="118"/>
        <v>291242.66363749065</v>
      </c>
      <c r="AM193" s="17">
        <f t="shared" ca="1" si="118"/>
        <v>194590.27021981761</v>
      </c>
    </row>
    <row r="194" spans="1:39" x14ac:dyDescent="0.2">
      <c r="A194" s="29" t="s">
        <v>30</v>
      </c>
      <c r="C194" s="17">
        <f ca="1">C176</f>
        <v>1544949.5962261481</v>
      </c>
      <c r="D194" s="17">
        <f t="shared" ca="1" si="117"/>
        <v>1517852.4576191471</v>
      </c>
      <c r="E194" s="17">
        <f t="shared" ca="1" si="117"/>
        <v>1536665.4073570457</v>
      </c>
      <c r="F194" s="17">
        <f t="shared" ca="1" si="117"/>
        <v>1564554.2772227281</v>
      </c>
      <c r="G194" s="17">
        <f t="shared" ca="1" si="117"/>
        <v>1547921.1416809112</v>
      </c>
      <c r="H194" s="17">
        <f t="shared" ref="H194:AM194" ca="1" si="119">H176</f>
        <v>1569906.8427281841</v>
      </c>
      <c r="I194" s="17">
        <f t="shared" ca="1" si="119"/>
        <v>1627597.9826141801</v>
      </c>
      <c r="J194" s="17">
        <f t="shared" ca="1" si="119"/>
        <v>1657466.3970750612</v>
      </c>
      <c r="K194" s="17">
        <f t="shared" ca="1" si="119"/>
        <v>1657348.0718335188</v>
      </c>
      <c r="L194" s="17">
        <f t="shared" ca="1" si="119"/>
        <v>1688193.9094133012</v>
      </c>
      <c r="M194" s="17">
        <f t="shared" ca="1" si="119"/>
        <v>1719957.4899146184</v>
      </c>
      <c r="N194" s="17">
        <f t="shared" ca="1" si="119"/>
        <v>1746415.2307781556</v>
      </c>
      <c r="O194" s="17">
        <f t="shared" ca="1" si="119"/>
        <v>1766674.4278677478</v>
      </c>
      <c r="P194" s="17">
        <f t="shared" ca="1" si="119"/>
        <v>1787314.3552595668</v>
      </c>
      <c r="Q194" s="17">
        <f t="shared" ca="1" si="119"/>
        <v>1808362.7833341551</v>
      </c>
      <c r="R194" s="17">
        <f t="shared" ca="1" si="119"/>
        <v>1827776.0509628095</v>
      </c>
      <c r="S194" s="17">
        <f t="shared" ca="1" si="119"/>
        <v>1857084.1594451221</v>
      </c>
      <c r="T194" s="17">
        <f t="shared" ca="1" si="119"/>
        <v>1895713.8815061816</v>
      </c>
      <c r="U194" s="17">
        <f t="shared" ca="1" si="119"/>
        <v>1935520.5155581899</v>
      </c>
      <c r="V194" s="17">
        <f t="shared" ca="1" si="119"/>
        <v>1976883.986818162</v>
      </c>
      <c r="W194" s="17">
        <f t="shared" ca="1" si="119"/>
        <v>2011445.8128012577</v>
      </c>
      <c r="X194" s="17">
        <f t="shared" ca="1" si="119"/>
        <v>2046293.5503968438</v>
      </c>
      <c r="Y194" s="17">
        <f t="shared" ca="1" si="119"/>
        <v>2021130.3070861981</v>
      </c>
      <c r="Z194" s="17">
        <f t="shared" ca="1" si="119"/>
        <v>2031510.1978931627</v>
      </c>
      <c r="AA194" s="17">
        <f t="shared" ca="1" si="119"/>
        <v>2041223.0939667204</v>
      </c>
      <c r="AB194" s="17">
        <f t="shared" ca="1" si="119"/>
        <v>2050270.8721517404</v>
      </c>
      <c r="AC194" s="17">
        <f t="shared" ca="1" si="119"/>
        <v>2058656.0127656097</v>
      </c>
      <c r="AD194" s="17">
        <f t="shared" ca="1" si="119"/>
        <v>2078360.6014941316</v>
      </c>
      <c r="AE194" s="17">
        <f t="shared" ca="1" si="119"/>
        <v>2098001.0963882897</v>
      </c>
      <c r="AF194" s="17">
        <f t="shared" ca="1" si="119"/>
        <v>1986660.1042912295</v>
      </c>
      <c r="AG194" s="17">
        <f t="shared" ca="1" si="119"/>
        <v>1953888.1894422704</v>
      </c>
      <c r="AH194" s="17">
        <f t="shared" ca="1" si="119"/>
        <v>1917907.8736783604</v>
      </c>
      <c r="AI194" s="17">
        <f t="shared" ca="1" si="119"/>
        <v>1878644.4083171859</v>
      </c>
      <c r="AJ194" s="17">
        <f t="shared" ca="1" si="119"/>
        <v>1836021.3397995925</v>
      </c>
      <c r="AK194" s="17">
        <f t="shared" ca="1" si="119"/>
        <v>1789960.4719828698</v>
      </c>
      <c r="AL194" s="17">
        <f t="shared" ca="1" si="119"/>
        <v>1740381.8276388263</v>
      </c>
      <c r="AM194" s="17">
        <f t="shared" ca="1" si="119"/>
        <v>1687203.6091411933</v>
      </c>
    </row>
    <row r="195" spans="1:39" x14ac:dyDescent="0.2">
      <c r="A195" s="14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</row>
    <row r="196" spans="1:39" x14ac:dyDescent="0.2"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</row>
    <row r="197" spans="1:39" x14ac:dyDescent="0.2"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</row>
    <row r="198" spans="1:39" x14ac:dyDescent="0.2"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</row>
    <row r="199" spans="1:39" x14ac:dyDescent="0.2"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</row>
    <row r="200" spans="1:39" x14ac:dyDescent="0.2"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</row>
    <row r="201" spans="1:39" x14ac:dyDescent="0.2"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</row>
    <row r="202" spans="1:39" x14ac:dyDescent="0.2"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</row>
    <row r="203" spans="1:39" x14ac:dyDescent="0.2"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</row>
    <row r="204" spans="1:39" x14ac:dyDescent="0.2"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</row>
    <row r="205" spans="1:39" x14ac:dyDescent="0.2"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</row>
    <row r="206" spans="1:39" x14ac:dyDescent="0.2"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</row>
    <row r="207" spans="1:39" x14ac:dyDescent="0.2"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</row>
    <row r="208" spans="1:39" x14ac:dyDescent="0.2"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</row>
    <row r="209" spans="3:39" x14ac:dyDescent="0.2"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</row>
    <row r="210" spans="3:39" x14ac:dyDescent="0.2"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</row>
    <row r="211" spans="3:39" x14ac:dyDescent="0.2"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</row>
    <row r="212" spans="3:39" x14ac:dyDescent="0.2"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</row>
    <row r="213" spans="3:39" x14ac:dyDescent="0.2"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</row>
    <row r="214" spans="3:39" x14ac:dyDescent="0.2"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</row>
    <row r="215" spans="3:39" x14ac:dyDescent="0.2"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</row>
    <row r="216" spans="3:39" x14ac:dyDescent="0.2"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</row>
    <row r="217" spans="3:39" x14ac:dyDescent="0.2"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</row>
    <row r="218" spans="3:39" x14ac:dyDescent="0.2"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</row>
    <row r="219" spans="3:39" x14ac:dyDescent="0.2"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</row>
    <row r="220" spans="3:39" x14ac:dyDescent="0.2"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</row>
    <row r="221" spans="3:39" x14ac:dyDescent="0.2"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</row>
    <row r="222" spans="3:39" x14ac:dyDescent="0.2"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</row>
    <row r="223" spans="3:39" x14ac:dyDescent="0.2"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</row>
    <row r="224" spans="3:39" x14ac:dyDescent="0.2"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</row>
    <row r="225" spans="3:39" x14ac:dyDescent="0.2"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</row>
    <row r="226" spans="3:39" x14ac:dyDescent="0.2"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</row>
    <row r="227" spans="3:39" x14ac:dyDescent="0.2"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</row>
    <row r="228" spans="3:39" x14ac:dyDescent="0.2"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</row>
    <row r="229" spans="3:39" x14ac:dyDescent="0.2"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</row>
    <row r="230" spans="3:39" x14ac:dyDescent="0.2"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</row>
    <row r="231" spans="3:39" x14ac:dyDescent="0.2"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</row>
    <row r="232" spans="3:39" x14ac:dyDescent="0.2"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</row>
    <row r="233" spans="3:39" x14ac:dyDescent="0.2"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</row>
    <row r="234" spans="3:39" x14ac:dyDescent="0.2"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</row>
    <row r="235" spans="3:39" x14ac:dyDescent="0.2"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</row>
    <row r="236" spans="3:39" x14ac:dyDescent="0.2"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</row>
    <row r="237" spans="3:39" x14ac:dyDescent="0.2"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</row>
    <row r="238" spans="3:39" x14ac:dyDescent="0.2"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</row>
    <row r="239" spans="3:39" x14ac:dyDescent="0.2"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</row>
    <row r="240" spans="3:39" x14ac:dyDescent="0.2"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</row>
    <row r="241" spans="3:39" x14ac:dyDescent="0.2"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</row>
    <row r="242" spans="3:39" x14ac:dyDescent="0.2"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</row>
    <row r="243" spans="3:39" x14ac:dyDescent="0.2"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</row>
    <row r="244" spans="3:39" x14ac:dyDescent="0.2"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</row>
    <row r="245" spans="3:39" x14ac:dyDescent="0.2"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</row>
    <row r="246" spans="3:39" x14ac:dyDescent="0.2"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</row>
    <row r="247" spans="3:39" x14ac:dyDescent="0.2"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</row>
    <row r="248" spans="3:39" x14ac:dyDescent="0.2"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</row>
    <row r="249" spans="3:39" x14ac:dyDescent="0.2"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</row>
    <row r="250" spans="3:39" x14ac:dyDescent="0.2"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</row>
    <row r="251" spans="3:39" x14ac:dyDescent="0.2"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</row>
    <row r="252" spans="3:39" x14ac:dyDescent="0.2"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</row>
    <row r="253" spans="3:39" x14ac:dyDescent="0.2"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</row>
    <row r="254" spans="3:39" x14ac:dyDescent="0.2"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</row>
    <row r="255" spans="3:39" x14ac:dyDescent="0.2"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</row>
    <row r="256" spans="3:39" x14ac:dyDescent="0.2"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</row>
    <row r="257" spans="3:39" x14ac:dyDescent="0.2"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</row>
    <row r="258" spans="3:39" x14ac:dyDescent="0.2"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</row>
    <row r="259" spans="3:39" x14ac:dyDescent="0.2"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</row>
    <row r="260" spans="3:39" x14ac:dyDescent="0.2"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</row>
    <row r="261" spans="3:39" x14ac:dyDescent="0.2"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</row>
    <row r="262" spans="3:39" x14ac:dyDescent="0.2"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</row>
    <row r="263" spans="3:39" x14ac:dyDescent="0.2"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</row>
    <row r="264" spans="3:39" x14ac:dyDescent="0.2"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</row>
    <row r="265" spans="3:39" x14ac:dyDescent="0.2"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</row>
    <row r="266" spans="3:39" x14ac:dyDescent="0.2"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</row>
    <row r="267" spans="3:39" x14ac:dyDescent="0.2"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</row>
    <row r="268" spans="3:39" x14ac:dyDescent="0.2"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</row>
    <row r="269" spans="3:39" x14ac:dyDescent="0.2"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</row>
    <row r="270" spans="3:39" x14ac:dyDescent="0.2"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</row>
    <row r="271" spans="3:39" x14ac:dyDescent="0.2"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</row>
    <row r="272" spans="3:39" x14ac:dyDescent="0.2"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</row>
    <row r="273" spans="3:39" x14ac:dyDescent="0.2"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</row>
    <row r="274" spans="3:39" x14ac:dyDescent="0.2"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</row>
    <row r="275" spans="3:39" x14ac:dyDescent="0.2"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</row>
    <row r="276" spans="3:39" x14ac:dyDescent="0.2"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</row>
    <row r="277" spans="3:39" x14ac:dyDescent="0.2"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</row>
    <row r="278" spans="3:39" x14ac:dyDescent="0.2"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</row>
    <row r="279" spans="3:39" x14ac:dyDescent="0.2"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</row>
    <row r="280" spans="3:39" x14ac:dyDescent="0.2"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</row>
    <row r="281" spans="3:39" x14ac:dyDescent="0.2"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</row>
    <row r="282" spans="3:39" x14ac:dyDescent="0.2"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</row>
    <row r="283" spans="3:39" x14ac:dyDescent="0.2"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</row>
    <row r="284" spans="3:39" x14ac:dyDescent="0.2"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</row>
    <row r="285" spans="3:39" x14ac:dyDescent="0.2"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</row>
    <row r="286" spans="3:39" x14ac:dyDescent="0.2"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</row>
    <row r="287" spans="3:39" x14ac:dyDescent="0.2"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</row>
    <row r="288" spans="3:39" x14ac:dyDescent="0.2"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</row>
    <row r="289" spans="3:39" x14ac:dyDescent="0.2"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</row>
    <row r="290" spans="3:39" x14ac:dyDescent="0.2"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</row>
    <row r="291" spans="3:39" x14ac:dyDescent="0.2"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</row>
    <row r="292" spans="3:39" x14ac:dyDescent="0.2"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</row>
    <row r="293" spans="3:39" x14ac:dyDescent="0.2"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</row>
    <row r="294" spans="3:39" x14ac:dyDescent="0.2"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</row>
    <row r="295" spans="3:39" x14ac:dyDescent="0.2"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</row>
    <row r="296" spans="3:39" x14ac:dyDescent="0.2"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</row>
    <row r="297" spans="3:39" x14ac:dyDescent="0.2"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</row>
    <row r="298" spans="3:39" x14ac:dyDescent="0.2"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</row>
    <row r="299" spans="3:39" x14ac:dyDescent="0.2"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</row>
    <row r="300" spans="3:39" x14ac:dyDescent="0.2"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</row>
    <row r="301" spans="3:39" x14ac:dyDescent="0.2"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</row>
    <row r="302" spans="3:39" x14ac:dyDescent="0.2"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</row>
    <row r="303" spans="3:39" x14ac:dyDescent="0.2"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</row>
    <row r="304" spans="3:39" x14ac:dyDescent="0.2"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</row>
    <row r="305" spans="3:39" x14ac:dyDescent="0.2"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</row>
    <row r="306" spans="3:39" x14ac:dyDescent="0.2"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</row>
    <row r="307" spans="3:39" x14ac:dyDescent="0.2"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</row>
    <row r="308" spans="3:39" x14ac:dyDescent="0.2"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</row>
    <row r="309" spans="3:39" x14ac:dyDescent="0.2"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</row>
    <row r="310" spans="3:39" x14ac:dyDescent="0.2"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</row>
    <row r="311" spans="3:39" x14ac:dyDescent="0.2"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</row>
    <row r="312" spans="3:39" x14ac:dyDescent="0.2"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</row>
    <row r="313" spans="3:39" x14ac:dyDescent="0.2"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</row>
    <row r="314" spans="3:39" x14ac:dyDescent="0.2"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</row>
    <row r="315" spans="3:39" x14ac:dyDescent="0.2"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</row>
    <row r="316" spans="3:39" x14ac:dyDescent="0.2"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</row>
    <row r="317" spans="3:39" x14ac:dyDescent="0.2"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</row>
    <row r="318" spans="3:39" x14ac:dyDescent="0.2"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</row>
    <row r="319" spans="3:39" x14ac:dyDescent="0.2"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</row>
    <row r="320" spans="3:39" x14ac:dyDescent="0.2"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</row>
    <row r="321" spans="3:39" x14ac:dyDescent="0.2"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</row>
    <row r="322" spans="3:39" x14ac:dyDescent="0.2"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</row>
    <row r="323" spans="3:39" x14ac:dyDescent="0.2"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</row>
    <row r="324" spans="3:39" x14ac:dyDescent="0.2"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</row>
    <row r="325" spans="3:39" x14ac:dyDescent="0.2"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</row>
    <row r="326" spans="3:39" x14ac:dyDescent="0.2"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</row>
    <row r="327" spans="3:39" x14ac:dyDescent="0.2"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</row>
    <row r="328" spans="3:39" x14ac:dyDescent="0.2"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</row>
    <row r="329" spans="3:39" x14ac:dyDescent="0.2"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</row>
    <row r="330" spans="3:39" x14ac:dyDescent="0.2"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</row>
    <row r="331" spans="3:39" x14ac:dyDescent="0.2"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</row>
    <row r="332" spans="3:39" x14ac:dyDescent="0.2"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</row>
    <row r="333" spans="3:39" x14ac:dyDescent="0.2"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</row>
    <row r="334" spans="3:39" x14ac:dyDescent="0.2"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</row>
    <row r="335" spans="3:39" x14ac:dyDescent="0.2"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</row>
    <row r="336" spans="3:39" x14ac:dyDescent="0.2"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</row>
    <row r="337" spans="3:39" x14ac:dyDescent="0.2"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</row>
    <row r="338" spans="3:39" x14ac:dyDescent="0.2"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</row>
    <row r="339" spans="3:39" x14ac:dyDescent="0.2"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</row>
    <row r="340" spans="3:39" x14ac:dyDescent="0.2"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C8C7B-D167-A641-8E52-8DBE60839A73}">
  <sheetPr codeName="Sheet6"/>
  <dimension ref="O1:AA12"/>
  <sheetViews>
    <sheetView showGridLines="0" showRowColHeaders="0" topLeftCell="B1" zoomScale="111" zoomScaleNormal="110" workbookViewId="0">
      <selection activeCell="D34" sqref="D34"/>
    </sheetView>
  </sheetViews>
  <sheetFormatPr baseColWidth="10" defaultRowHeight="16" x14ac:dyDescent="0.2"/>
  <cols>
    <col min="1" max="1" width="2.1640625" customWidth="1"/>
    <col min="9" max="9" width="3.6640625" customWidth="1"/>
    <col min="17" max="17" width="3.6640625" customWidth="1"/>
    <col min="25" max="25" width="6.1640625" customWidth="1"/>
    <col min="27" max="27" width="0" hidden="1" customWidth="1"/>
  </cols>
  <sheetData>
    <row r="1" spans="15:27" x14ac:dyDescent="0.2">
      <c r="AA1" s="7" t="str">
        <f>"RETIRE NOW"</f>
        <v>RETIRE NOW</v>
      </c>
    </row>
    <row r="2" spans="15:27" x14ac:dyDescent="0.2">
      <c r="AA2" s="7" t="str">
        <f>"RETIRE AT "&amp;RetEarly!B3</f>
        <v>RETIRE AT 50</v>
      </c>
    </row>
    <row r="3" spans="15:27" x14ac:dyDescent="0.2">
      <c r="AA3" s="7" t="str">
        <f>"RETIRE AT "&amp;Inputs!C19</f>
        <v>RETIRE AT 65</v>
      </c>
    </row>
    <row r="12" spans="15:27" x14ac:dyDescent="0.2">
      <c r="O12" s="2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Inputs</vt:lpstr>
      <vt:lpstr>RetNorm</vt:lpstr>
      <vt:lpstr>RetEarly</vt:lpstr>
      <vt:lpstr>Charts</vt:lpstr>
      <vt:lpstr>EndAge</vt:lpstr>
      <vt:lpstr>inf</vt:lpstr>
      <vt:lpstr>princ</vt:lpstr>
      <vt:lpstr>RetAge</vt:lpstr>
      <vt:lpstr>rinc</vt:lpstr>
      <vt:lpstr>sincr</vt:lpstr>
      <vt:lpstr>stinc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Bonnici</dc:creator>
  <cp:lastModifiedBy>Kenneth Bonnici</cp:lastModifiedBy>
  <dcterms:created xsi:type="dcterms:W3CDTF">2026-01-26T20:28:02Z</dcterms:created>
  <dcterms:modified xsi:type="dcterms:W3CDTF">2026-02-22T16:27:13Z</dcterms:modified>
</cp:coreProperties>
</file>