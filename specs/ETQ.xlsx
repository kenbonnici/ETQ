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kennethbonnici/Projects/ETQ/specs/"/>
    </mc:Choice>
  </mc:AlternateContent>
  <xr:revisionPtr revIDLastSave="0" documentId="13_ncr:1_{0D08B8CC-AA73-BF45-ADAF-813058003EC3}" xr6:coauthVersionLast="47" xr6:coauthVersionMax="47" xr10:uidLastSave="{00000000-0000-0000-0000-000000000000}"/>
  <bookViews>
    <workbookView xWindow="38400" yWindow="600" windowWidth="38400" windowHeight="21000" activeTab="3" xr2:uid="{66CD462A-5593-B541-B64D-6AAD48C341ED}"/>
  </bookViews>
  <sheets>
    <sheet name="Inputs" sheetId="3" r:id="rId1"/>
    <sheet name="Output" sheetId="6" r:id="rId2"/>
    <sheet name="RetNorm_Engine" sheetId="4" r:id="rId3"/>
    <sheet name="RetEarly_Engine" sheetId="8" r:id="rId4"/>
  </sheets>
  <definedNames>
    <definedName name="AgeRange">RetNorm_Engine!$C$3:INDEX(RetNorm_Engine!$C$3:$XFD$3, COUNTA(RetNorm_Engine!$C$3:$XFD$3))</definedName>
    <definedName name="buffer">Inputs!$B$191</definedName>
    <definedName name="ChartCash_Early" localSheetId="3">RetEarly_Engine!$C$247:INDEX(RetEarly_Engine!$C$247:$XFD$247, COUNTA(RetEarly_Engine!$C$247:$XFD$247))</definedName>
    <definedName name="ChartCash_Norm">RetNorm_Engine!$C$247:INDEX(RetNorm_Engine!$C$247:$XFD$247, COUNTA(RetNorm_Engine!$C$247:$XFD$247))</definedName>
    <definedName name="ChartNW_Early" localSheetId="3">RetEarly_Engine!$C$248:INDEX(RetEarly_Engine!$C$248:$XFD$248, COUNTA(RetEarly_Engine!$C$248:$XFD$248))</definedName>
    <definedName name="ChartNW_Norm">RetNorm_Engine!$C$248:INDEX(RetNorm_Engine!$C$248:$XFD$248, COUNTA(RetNorm_Engine!$C$248:$XFD$248))</definedName>
    <definedName name="EndAge">Inputs!$B$166</definedName>
    <definedName name="inf">Inputs!$B$177</definedName>
    <definedName name="princ">Inputs!$B$179</definedName>
    <definedName name="RetAge">Inputs!$B$19</definedName>
    <definedName name="rinc">Inputs!$B$187</definedName>
    <definedName name="sincr">Inputs!$B$185</definedName>
    <definedName name="stinc">Inputs!$B$183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0" i="8" l="1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Y30" i="8"/>
  <c r="X30" i="8"/>
  <c r="W30" i="8"/>
  <c r="V30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A30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Y29" i="8"/>
  <c r="X29" i="8"/>
  <c r="W29" i="8"/>
  <c r="V29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A29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Y28" i="8"/>
  <c r="X28" i="8"/>
  <c r="W28" i="8"/>
  <c r="V28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A28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A27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Y26" i="8"/>
  <c r="X26" i="8"/>
  <c r="W26" i="8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A26" i="8"/>
  <c r="AM30" i="4"/>
  <c r="AL30" i="4"/>
  <c r="AK30" i="4"/>
  <c r="AJ30" i="4"/>
  <c r="AI30" i="4"/>
  <c r="AH30" i="4"/>
  <c r="AG30" i="4"/>
  <c r="AF30" i="4"/>
  <c r="AE30" i="4"/>
  <c r="AD30" i="4"/>
  <c r="AC30" i="4"/>
  <c r="AB30" i="4"/>
  <c r="AA30" i="4"/>
  <c r="Z30" i="4"/>
  <c r="Y30" i="4"/>
  <c r="X30" i="4"/>
  <c r="W30" i="4"/>
  <c r="V30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AM29" i="4"/>
  <c r="AL29" i="4"/>
  <c r="AK29" i="4"/>
  <c r="AJ29" i="4"/>
  <c r="AI29" i="4"/>
  <c r="AH29" i="4"/>
  <c r="AG29" i="4"/>
  <c r="AF29" i="4"/>
  <c r="AE29" i="4"/>
  <c r="AD29" i="4"/>
  <c r="AC29" i="4"/>
  <c r="AB29" i="4"/>
  <c r="AA29" i="4"/>
  <c r="Z29" i="4"/>
  <c r="Y29" i="4"/>
  <c r="X29" i="4"/>
  <c r="W29" i="4"/>
  <c r="V29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Y28" i="4"/>
  <c r="X28" i="4"/>
  <c r="W28" i="4"/>
  <c r="V28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AM27" i="4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AM26" i="4"/>
  <c r="AL26" i="4"/>
  <c r="AK26" i="4"/>
  <c r="AJ26" i="4"/>
  <c r="AI26" i="4"/>
  <c r="AH26" i="4"/>
  <c r="AG26" i="4"/>
  <c r="AF26" i="4"/>
  <c r="AE26" i="4"/>
  <c r="AD26" i="4"/>
  <c r="AC26" i="4"/>
  <c r="AB26" i="4"/>
  <c r="AA26" i="4"/>
  <c r="Z26" i="4"/>
  <c r="Y26" i="4"/>
  <c r="X26" i="4"/>
  <c r="W26" i="4"/>
  <c r="V26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AM242" i="8"/>
  <c r="AL242" i="8"/>
  <c r="AK242" i="8"/>
  <c r="AJ242" i="8"/>
  <c r="AI242" i="8"/>
  <c r="AH242" i="8"/>
  <c r="AG242" i="8"/>
  <c r="AF242" i="8"/>
  <c r="AE242" i="8"/>
  <c r="AD242" i="8"/>
  <c r="AC242" i="8"/>
  <c r="AB242" i="8"/>
  <c r="AA242" i="8"/>
  <c r="Z242" i="8"/>
  <c r="Y242" i="8"/>
  <c r="X242" i="8"/>
  <c r="W242" i="8"/>
  <c r="V242" i="8"/>
  <c r="U242" i="8"/>
  <c r="T242" i="8"/>
  <c r="S242" i="8"/>
  <c r="R242" i="8"/>
  <c r="Q242" i="8"/>
  <c r="P242" i="8"/>
  <c r="O242" i="8"/>
  <c r="N242" i="8"/>
  <c r="M242" i="8"/>
  <c r="L242" i="8"/>
  <c r="K242" i="8"/>
  <c r="J242" i="8"/>
  <c r="I242" i="8"/>
  <c r="H242" i="8"/>
  <c r="G242" i="8"/>
  <c r="F242" i="8"/>
  <c r="E242" i="8"/>
  <c r="D242" i="8"/>
  <c r="C242" i="8"/>
  <c r="A229" i="8"/>
  <c r="A223" i="8"/>
  <c r="AH222" i="8"/>
  <c r="U222" i="8"/>
  <c r="E222" i="8"/>
  <c r="A222" i="8"/>
  <c r="A221" i="8"/>
  <c r="A215" i="8"/>
  <c r="A214" i="8"/>
  <c r="A213" i="8"/>
  <c r="A187" i="8"/>
  <c r="AM169" i="8"/>
  <c r="AM166" i="8"/>
  <c r="A164" i="8"/>
  <c r="AM152" i="8"/>
  <c r="AM149" i="8"/>
  <c r="A147" i="8"/>
  <c r="B155" i="8" s="1"/>
  <c r="B138" i="8"/>
  <c r="A201" i="8" s="1"/>
  <c r="AM135" i="8"/>
  <c r="AM132" i="8"/>
  <c r="A130" i="8"/>
  <c r="B121" i="8"/>
  <c r="AM115" i="8"/>
  <c r="AM118" i="8" s="1"/>
  <c r="A113" i="8"/>
  <c r="B104" i="8"/>
  <c r="AM98" i="8"/>
  <c r="A96" i="8"/>
  <c r="C86" i="8"/>
  <c r="AM77" i="8"/>
  <c r="AM229" i="8" s="1"/>
  <c r="AL77" i="8"/>
  <c r="AL229" i="8" s="1"/>
  <c r="AK77" i="8"/>
  <c r="AK229" i="8" s="1"/>
  <c r="AJ77" i="8"/>
  <c r="AJ229" i="8" s="1"/>
  <c r="AI77" i="8"/>
  <c r="AI229" i="8" s="1"/>
  <c r="AH77" i="8"/>
  <c r="AH229" i="8" s="1"/>
  <c r="AG77" i="8"/>
  <c r="AG229" i="8" s="1"/>
  <c r="AF77" i="8"/>
  <c r="AF229" i="8" s="1"/>
  <c r="AE77" i="8"/>
  <c r="AE229" i="8" s="1"/>
  <c r="AD77" i="8"/>
  <c r="AD229" i="8" s="1"/>
  <c r="AC77" i="8"/>
  <c r="AC229" i="8" s="1"/>
  <c r="AB77" i="8"/>
  <c r="AB229" i="8" s="1"/>
  <c r="AA77" i="8"/>
  <c r="AA229" i="8" s="1"/>
  <c r="Z77" i="8"/>
  <c r="Z229" i="8" s="1"/>
  <c r="Y77" i="8"/>
  <c r="Y229" i="8" s="1"/>
  <c r="X77" i="8"/>
  <c r="X229" i="8" s="1"/>
  <c r="W77" i="8"/>
  <c r="W229" i="8" s="1"/>
  <c r="V77" i="8"/>
  <c r="V229" i="8" s="1"/>
  <c r="U77" i="8"/>
  <c r="U229" i="8" s="1"/>
  <c r="T77" i="8"/>
  <c r="T229" i="8" s="1"/>
  <c r="S77" i="8"/>
  <c r="S229" i="8" s="1"/>
  <c r="R77" i="8"/>
  <c r="R229" i="8" s="1"/>
  <c r="Q77" i="8"/>
  <c r="Q229" i="8" s="1"/>
  <c r="P77" i="8"/>
  <c r="P229" i="8" s="1"/>
  <c r="O77" i="8"/>
  <c r="O229" i="8" s="1"/>
  <c r="N77" i="8"/>
  <c r="N229" i="8" s="1"/>
  <c r="M77" i="8"/>
  <c r="M229" i="8" s="1"/>
  <c r="L77" i="8"/>
  <c r="L229" i="8" s="1"/>
  <c r="K77" i="8"/>
  <c r="K229" i="8" s="1"/>
  <c r="J77" i="8"/>
  <c r="J229" i="8" s="1"/>
  <c r="I77" i="8"/>
  <c r="I229" i="8" s="1"/>
  <c r="H77" i="8"/>
  <c r="H229" i="8" s="1"/>
  <c r="G77" i="8"/>
  <c r="G229" i="8" s="1"/>
  <c r="F77" i="8"/>
  <c r="F229" i="8" s="1"/>
  <c r="E77" i="8"/>
  <c r="E229" i="8" s="1"/>
  <c r="D77" i="8"/>
  <c r="D229" i="8" s="1"/>
  <c r="C77" i="8"/>
  <c r="C229" i="8" s="1"/>
  <c r="AM76" i="8"/>
  <c r="AL76" i="8"/>
  <c r="AK76" i="8"/>
  <c r="AJ76" i="8"/>
  <c r="AI76" i="8"/>
  <c r="AH76" i="8"/>
  <c r="AG76" i="8"/>
  <c r="AF76" i="8"/>
  <c r="AE76" i="8"/>
  <c r="AD76" i="8"/>
  <c r="AC76" i="8"/>
  <c r="AB76" i="8"/>
  <c r="AA76" i="8"/>
  <c r="Z76" i="8"/>
  <c r="Y76" i="8"/>
  <c r="X76" i="8"/>
  <c r="W76" i="8"/>
  <c r="V76" i="8"/>
  <c r="U76" i="8"/>
  <c r="T76" i="8"/>
  <c r="S76" i="8"/>
  <c r="R76" i="8"/>
  <c r="Q76" i="8"/>
  <c r="P76" i="8"/>
  <c r="O76" i="8"/>
  <c r="N76" i="8"/>
  <c r="M76" i="8"/>
  <c r="L76" i="8"/>
  <c r="K76" i="8"/>
  <c r="J76" i="8"/>
  <c r="I76" i="8"/>
  <c r="H76" i="8"/>
  <c r="G76" i="8"/>
  <c r="F76" i="8"/>
  <c r="E76" i="8"/>
  <c r="D76" i="8"/>
  <c r="C76" i="8"/>
  <c r="A76" i="8"/>
  <c r="A228" i="8" s="1"/>
  <c r="AM75" i="8"/>
  <c r="AL75" i="8"/>
  <c r="AK75" i="8"/>
  <c r="AJ75" i="8"/>
  <c r="AI75" i="8"/>
  <c r="AH75" i="8"/>
  <c r="AG75" i="8"/>
  <c r="AF75" i="8"/>
  <c r="AE75" i="8"/>
  <c r="AD75" i="8"/>
  <c r="AC75" i="8"/>
  <c r="AB75" i="8"/>
  <c r="AA75" i="8"/>
  <c r="Z75" i="8"/>
  <c r="Y75" i="8"/>
  <c r="X75" i="8"/>
  <c r="W75" i="8"/>
  <c r="V75" i="8"/>
  <c r="U75" i="8"/>
  <c r="T75" i="8"/>
  <c r="S75" i="8"/>
  <c r="R75" i="8"/>
  <c r="Q75" i="8"/>
  <c r="P75" i="8"/>
  <c r="O75" i="8"/>
  <c r="N75" i="8"/>
  <c r="M75" i="8"/>
  <c r="L75" i="8"/>
  <c r="K75" i="8"/>
  <c r="J75" i="8"/>
  <c r="I75" i="8"/>
  <c r="H75" i="8"/>
  <c r="G75" i="8"/>
  <c r="F75" i="8"/>
  <c r="E75" i="8"/>
  <c r="D75" i="8"/>
  <c r="C75" i="8"/>
  <c r="A75" i="8"/>
  <c r="A227" i="8" s="1"/>
  <c r="AM74" i="8"/>
  <c r="AL74" i="8"/>
  <c r="AK74" i="8"/>
  <c r="AJ74" i="8"/>
  <c r="AI74" i="8"/>
  <c r="AH74" i="8"/>
  <c r="AG74" i="8"/>
  <c r="AF74" i="8"/>
  <c r="AE74" i="8"/>
  <c r="AD74" i="8"/>
  <c r="AC74" i="8"/>
  <c r="AB74" i="8"/>
  <c r="AA74" i="8"/>
  <c r="Z74" i="8"/>
  <c r="Y74" i="8"/>
  <c r="X74" i="8"/>
  <c r="W74" i="8"/>
  <c r="V74" i="8"/>
  <c r="U74" i="8"/>
  <c r="T74" i="8"/>
  <c r="S74" i="8"/>
  <c r="R74" i="8"/>
  <c r="Q74" i="8"/>
  <c r="P74" i="8"/>
  <c r="O74" i="8"/>
  <c r="N74" i="8"/>
  <c r="M74" i="8"/>
  <c r="L74" i="8"/>
  <c r="K74" i="8"/>
  <c r="J74" i="8"/>
  <c r="I74" i="8"/>
  <c r="H74" i="8"/>
  <c r="G74" i="8"/>
  <c r="F74" i="8"/>
  <c r="E74" i="8"/>
  <c r="D74" i="8"/>
  <c r="C74" i="8"/>
  <c r="A74" i="8"/>
  <c r="A226" i="8" s="1"/>
  <c r="AM73" i="8"/>
  <c r="AL73" i="8"/>
  <c r="AK73" i="8"/>
  <c r="AJ73" i="8"/>
  <c r="AI73" i="8"/>
  <c r="AH73" i="8"/>
  <c r="AG73" i="8"/>
  <c r="AF73" i="8"/>
  <c r="AE73" i="8"/>
  <c r="AD73" i="8"/>
  <c r="AC73" i="8"/>
  <c r="AB73" i="8"/>
  <c r="AA73" i="8"/>
  <c r="Z73" i="8"/>
  <c r="Y73" i="8"/>
  <c r="X73" i="8"/>
  <c r="W73" i="8"/>
  <c r="V73" i="8"/>
  <c r="U73" i="8"/>
  <c r="T73" i="8"/>
  <c r="S73" i="8"/>
  <c r="R73" i="8"/>
  <c r="Q73" i="8"/>
  <c r="P73" i="8"/>
  <c r="O73" i="8"/>
  <c r="N73" i="8"/>
  <c r="M73" i="8"/>
  <c r="L73" i="8"/>
  <c r="K73" i="8"/>
  <c r="J73" i="8"/>
  <c r="I73" i="8"/>
  <c r="H73" i="8"/>
  <c r="G73" i="8"/>
  <c r="F73" i="8"/>
  <c r="E73" i="8"/>
  <c r="D73" i="8"/>
  <c r="C73" i="8"/>
  <c r="A73" i="8"/>
  <c r="A225" i="8" s="1"/>
  <c r="AM72" i="8"/>
  <c r="AL72" i="8"/>
  <c r="AK72" i="8"/>
  <c r="AJ72" i="8"/>
  <c r="AI72" i="8"/>
  <c r="AH72" i="8"/>
  <c r="AG72" i="8"/>
  <c r="AF72" i="8"/>
  <c r="AE72" i="8"/>
  <c r="AD72" i="8"/>
  <c r="AC72" i="8"/>
  <c r="AB72" i="8"/>
  <c r="AA72" i="8"/>
  <c r="Z72" i="8"/>
  <c r="Y72" i="8"/>
  <c r="X72" i="8"/>
  <c r="W72" i="8"/>
  <c r="V72" i="8"/>
  <c r="U72" i="8"/>
  <c r="T72" i="8"/>
  <c r="S72" i="8"/>
  <c r="R72" i="8"/>
  <c r="Q72" i="8"/>
  <c r="P72" i="8"/>
  <c r="O72" i="8"/>
  <c r="N72" i="8"/>
  <c r="M72" i="8"/>
  <c r="L72" i="8"/>
  <c r="K72" i="8"/>
  <c r="J72" i="8"/>
  <c r="I72" i="8"/>
  <c r="H72" i="8"/>
  <c r="G72" i="8"/>
  <c r="F72" i="8"/>
  <c r="E72" i="8"/>
  <c r="D72" i="8"/>
  <c r="C72" i="8"/>
  <c r="A72" i="8"/>
  <c r="A224" i="8" s="1"/>
  <c r="AM70" i="8"/>
  <c r="AM222" i="8" s="1"/>
  <c r="AL70" i="8"/>
  <c r="AL222" i="8" s="1"/>
  <c r="AK70" i="8"/>
  <c r="AK222" i="8" s="1"/>
  <c r="AJ70" i="8"/>
  <c r="AJ222" i="8" s="1"/>
  <c r="AI70" i="8"/>
  <c r="AI222" i="8" s="1"/>
  <c r="AH70" i="8"/>
  <c r="AG70" i="8"/>
  <c r="AG222" i="8" s="1"/>
  <c r="AF70" i="8"/>
  <c r="AF222" i="8" s="1"/>
  <c r="AE70" i="8"/>
  <c r="AE222" i="8" s="1"/>
  <c r="AD70" i="8"/>
  <c r="AD222" i="8" s="1"/>
  <c r="AC70" i="8"/>
  <c r="AC222" i="8" s="1"/>
  <c r="AB70" i="8"/>
  <c r="AB222" i="8" s="1"/>
  <c r="AA70" i="8"/>
  <c r="AA222" i="8" s="1"/>
  <c r="Z70" i="8"/>
  <c r="Z222" i="8" s="1"/>
  <c r="Y70" i="8"/>
  <c r="Y222" i="8" s="1"/>
  <c r="X70" i="8"/>
  <c r="X222" i="8" s="1"/>
  <c r="W70" i="8"/>
  <c r="W222" i="8" s="1"/>
  <c r="V70" i="8"/>
  <c r="V222" i="8" s="1"/>
  <c r="U70" i="8"/>
  <c r="T70" i="8"/>
  <c r="T222" i="8" s="1"/>
  <c r="S70" i="8"/>
  <c r="S222" i="8" s="1"/>
  <c r="R70" i="8"/>
  <c r="R222" i="8" s="1"/>
  <c r="Q70" i="8"/>
  <c r="Q222" i="8" s="1"/>
  <c r="P70" i="8"/>
  <c r="P222" i="8" s="1"/>
  <c r="O70" i="8"/>
  <c r="O222" i="8" s="1"/>
  <c r="N70" i="8"/>
  <c r="N222" i="8" s="1"/>
  <c r="M70" i="8"/>
  <c r="M222" i="8" s="1"/>
  <c r="L70" i="8"/>
  <c r="L222" i="8" s="1"/>
  <c r="K70" i="8"/>
  <c r="K222" i="8" s="1"/>
  <c r="J70" i="8"/>
  <c r="J222" i="8" s="1"/>
  <c r="I70" i="8"/>
  <c r="I222" i="8" s="1"/>
  <c r="H70" i="8"/>
  <c r="H222" i="8" s="1"/>
  <c r="G70" i="8"/>
  <c r="G222" i="8" s="1"/>
  <c r="F70" i="8"/>
  <c r="F222" i="8" s="1"/>
  <c r="E70" i="8"/>
  <c r="D70" i="8"/>
  <c r="D222" i="8" s="1"/>
  <c r="C70" i="8"/>
  <c r="C222" i="8" s="1"/>
  <c r="C69" i="8"/>
  <c r="D69" i="8" s="1"/>
  <c r="E69" i="8" s="1"/>
  <c r="F69" i="8" s="1"/>
  <c r="G69" i="8" s="1"/>
  <c r="H69" i="8" s="1"/>
  <c r="I69" i="8" s="1"/>
  <c r="J69" i="8" s="1"/>
  <c r="K69" i="8" s="1"/>
  <c r="L69" i="8" s="1"/>
  <c r="M69" i="8" s="1"/>
  <c r="N69" i="8" s="1"/>
  <c r="O69" i="8" s="1"/>
  <c r="P69" i="8" s="1"/>
  <c r="Q69" i="8" s="1"/>
  <c r="R69" i="8" s="1"/>
  <c r="S69" i="8" s="1"/>
  <c r="T69" i="8" s="1"/>
  <c r="U69" i="8" s="1"/>
  <c r="V69" i="8" s="1"/>
  <c r="W69" i="8" s="1"/>
  <c r="X69" i="8" s="1"/>
  <c r="Y69" i="8" s="1"/>
  <c r="Z69" i="8" s="1"/>
  <c r="AA69" i="8" s="1"/>
  <c r="AB69" i="8" s="1"/>
  <c r="AC69" i="8" s="1"/>
  <c r="AD69" i="8" s="1"/>
  <c r="AE69" i="8" s="1"/>
  <c r="AF69" i="8" s="1"/>
  <c r="AG69" i="8" s="1"/>
  <c r="AH69" i="8" s="1"/>
  <c r="AI69" i="8" s="1"/>
  <c r="AJ69" i="8" s="1"/>
  <c r="AK69" i="8" s="1"/>
  <c r="AL69" i="8" s="1"/>
  <c r="AM69" i="8" s="1"/>
  <c r="M68" i="8"/>
  <c r="N68" i="8" s="1"/>
  <c r="O68" i="8" s="1"/>
  <c r="P68" i="8" s="1"/>
  <c r="Q68" i="8" s="1"/>
  <c r="R68" i="8" s="1"/>
  <c r="S68" i="8" s="1"/>
  <c r="T68" i="8" s="1"/>
  <c r="U68" i="8" s="1"/>
  <c r="V68" i="8" s="1"/>
  <c r="W68" i="8" s="1"/>
  <c r="X68" i="8" s="1"/>
  <c r="Y68" i="8" s="1"/>
  <c r="Z68" i="8" s="1"/>
  <c r="AA68" i="8" s="1"/>
  <c r="AB68" i="8" s="1"/>
  <c r="AC68" i="8" s="1"/>
  <c r="AD68" i="8" s="1"/>
  <c r="AE68" i="8" s="1"/>
  <c r="AF68" i="8" s="1"/>
  <c r="AG68" i="8" s="1"/>
  <c r="AH68" i="8" s="1"/>
  <c r="AI68" i="8" s="1"/>
  <c r="AJ68" i="8" s="1"/>
  <c r="AK68" i="8" s="1"/>
  <c r="AL68" i="8" s="1"/>
  <c r="AM68" i="8" s="1"/>
  <c r="L68" i="8"/>
  <c r="D68" i="8"/>
  <c r="E68" i="8" s="1"/>
  <c r="F68" i="8" s="1"/>
  <c r="G68" i="8" s="1"/>
  <c r="H68" i="8" s="1"/>
  <c r="I68" i="8" s="1"/>
  <c r="J68" i="8" s="1"/>
  <c r="K68" i="8" s="1"/>
  <c r="C68" i="8"/>
  <c r="A68" i="8"/>
  <c r="H67" i="8"/>
  <c r="I67" i="8" s="1"/>
  <c r="J67" i="8" s="1"/>
  <c r="K67" i="8" s="1"/>
  <c r="L67" i="8" s="1"/>
  <c r="M67" i="8" s="1"/>
  <c r="N67" i="8" s="1"/>
  <c r="O67" i="8" s="1"/>
  <c r="P67" i="8" s="1"/>
  <c r="Q67" i="8" s="1"/>
  <c r="R67" i="8" s="1"/>
  <c r="S67" i="8" s="1"/>
  <c r="T67" i="8" s="1"/>
  <c r="U67" i="8" s="1"/>
  <c r="V67" i="8" s="1"/>
  <c r="W67" i="8" s="1"/>
  <c r="X67" i="8" s="1"/>
  <c r="Y67" i="8" s="1"/>
  <c r="Z67" i="8" s="1"/>
  <c r="AA67" i="8" s="1"/>
  <c r="AB67" i="8" s="1"/>
  <c r="AC67" i="8" s="1"/>
  <c r="AD67" i="8" s="1"/>
  <c r="AE67" i="8" s="1"/>
  <c r="AF67" i="8" s="1"/>
  <c r="AG67" i="8" s="1"/>
  <c r="AH67" i="8" s="1"/>
  <c r="AI67" i="8" s="1"/>
  <c r="AJ67" i="8" s="1"/>
  <c r="AK67" i="8" s="1"/>
  <c r="AL67" i="8" s="1"/>
  <c r="AM67" i="8" s="1"/>
  <c r="C67" i="8"/>
  <c r="D67" i="8" s="1"/>
  <c r="E67" i="8" s="1"/>
  <c r="F67" i="8" s="1"/>
  <c r="G67" i="8" s="1"/>
  <c r="A67" i="8"/>
  <c r="C66" i="8"/>
  <c r="D66" i="8" s="1"/>
  <c r="E66" i="8" s="1"/>
  <c r="F66" i="8" s="1"/>
  <c r="G66" i="8" s="1"/>
  <c r="H66" i="8" s="1"/>
  <c r="I66" i="8" s="1"/>
  <c r="J66" i="8" s="1"/>
  <c r="K66" i="8" s="1"/>
  <c r="L66" i="8" s="1"/>
  <c r="M66" i="8" s="1"/>
  <c r="N66" i="8" s="1"/>
  <c r="O66" i="8" s="1"/>
  <c r="P66" i="8" s="1"/>
  <c r="Q66" i="8" s="1"/>
  <c r="R66" i="8" s="1"/>
  <c r="S66" i="8" s="1"/>
  <c r="T66" i="8" s="1"/>
  <c r="U66" i="8" s="1"/>
  <c r="V66" i="8" s="1"/>
  <c r="W66" i="8" s="1"/>
  <c r="X66" i="8" s="1"/>
  <c r="Y66" i="8" s="1"/>
  <c r="Z66" i="8" s="1"/>
  <c r="AA66" i="8" s="1"/>
  <c r="AB66" i="8" s="1"/>
  <c r="AC66" i="8" s="1"/>
  <c r="AD66" i="8" s="1"/>
  <c r="AE66" i="8" s="1"/>
  <c r="AF66" i="8" s="1"/>
  <c r="AG66" i="8" s="1"/>
  <c r="AH66" i="8" s="1"/>
  <c r="AI66" i="8" s="1"/>
  <c r="AJ66" i="8" s="1"/>
  <c r="AK66" i="8" s="1"/>
  <c r="AL66" i="8" s="1"/>
  <c r="AM66" i="8" s="1"/>
  <c r="A66" i="8"/>
  <c r="G65" i="8"/>
  <c r="H65" i="8" s="1"/>
  <c r="I65" i="8" s="1"/>
  <c r="J65" i="8" s="1"/>
  <c r="K65" i="8" s="1"/>
  <c r="L65" i="8" s="1"/>
  <c r="M65" i="8" s="1"/>
  <c r="N65" i="8" s="1"/>
  <c r="O65" i="8" s="1"/>
  <c r="P65" i="8" s="1"/>
  <c r="Q65" i="8" s="1"/>
  <c r="R65" i="8" s="1"/>
  <c r="S65" i="8" s="1"/>
  <c r="T65" i="8" s="1"/>
  <c r="U65" i="8" s="1"/>
  <c r="V65" i="8" s="1"/>
  <c r="W65" i="8" s="1"/>
  <c r="X65" i="8" s="1"/>
  <c r="Y65" i="8" s="1"/>
  <c r="Z65" i="8" s="1"/>
  <c r="AA65" i="8" s="1"/>
  <c r="AB65" i="8" s="1"/>
  <c r="AC65" i="8" s="1"/>
  <c r="AD65" i="8" s="1"/>
  <c r="AE65" i="8" s="1"/>
  <c r="AF65" i="8" s="1"/>
  <c r="AG65" i="8" s="1"/>
  <c r="AH65" i="8" s="1"/>
  <c r="AI65" i="8" s="1"/>
  <c r="AJ65" i="8" s="1"/>
  <c r="AK65" i="8" s="1"/>
  <c r="AL65" i="8" s="1"/>
  <c r="AM65" i="8" s="1"/>
  <c r="F65" i="8"/>
  <c r="E65" i="8"/>
  <c r="C65" i="8"/>
  <c r="D65" i="8" s="1"/>
  <c r="A65" i="8"/>
  <c r="G64" i="8"/>
  <c r="H64" i="8" s="1"/>
  <c r="I64" i="8" s="1"/>
  <c r="J64" i="8" s="1"/>
  <c r="K64" i="8" s="1"/>
  <c r="L64" i="8" s="1"/>
  <c r="M64" i="8" s="1"/>
  <c r="N64" i="8" s="1"/>
  <c r="O64" i="8" s="1"/>
  <c r="P64" i="8" s="1"/>
  <c r="Q64" i="8" s="1"/>
  <c r="R64" i="8" s="1"/>
  <c r="S64" i="8" s="1"/>
  <c r="T64" i="8" s="1"/>
  <c r="U64" i="8" s="1"/>
  <c r="V64" i="8" s="1"/>
  <c r="W64" i="8" s="1"/>
  <c r="X64" i="8" s="1"/>
  <c r="Y64" i="8" s="1"/>
  <c r="Z64" i="8" s="1"/>
  <c r="AA64" i="8" s="1"/>
  <c r="AB64" i="8" s="1"/>
  <c r="AC64" i="8" s="1"/>
  <c r="AD64" i="8" s="1"/>
  <c r="AE64" i="8" s="1"/>
  <c r="AF64" i="8" s="1"/>
  <c r="AG64" i="8" s="1"/>
  <c r="AH64" i="8" s="1"/>
  <c r="AI64" i="8" s="1"/>
  <c r="AJ64" i="8" s="1"/>
  <c r="AK64" i="8" s="1"/>
  <c r="AL64" i="8" s="1"/>
  <c r="AM64" i="8" s="1"/>
  <c r="D64" i="8"/>
  <c r="E64" i="8" s="1"/>
  <c r="F64" i="8" s="1"/>
  <c r="C64" i="8"/>
  <c r="A64" i="8"/>
  <c r="C131" i="8" s="1"/>
  <c r="D62" i="8"/>
  <c r="D214" i="8" s="1"/>
  <c r="C62" i="8"/>
  <c r="C214" i="8" s="1"/>
  <c r="C57" i="8"/>
  <c r="A53" i="8"/>
  <c r="A52" i="8"/>
  <c r="A51" i="8"/>
  <c r="AH49" i="8"/>
  <c r="AG49" i="8"/>
  <c r="AF49" i="8"/>
  <c r="AE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A49" i="8"/>
  <c r="AM48" i="8"/>
  <c r="AL48" i="8"/>
  <c r="AK48" i="8"/>
  <c r="AJ48" i="8"/>
  <c r="AI48" i="8"/>
  <c r="AH48" i="8"/>
  <c r="AG48" i="8"/>
  <c r="AF48" i="8"/>
  <c r="AE48" i="8"/>
  <c r="AD48" i="8"/>
  <c r="Y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A48" i="8"/>
  <c r="AM47" i="8"/>
  <c r="AL47" i="8"/>
  <c r="AK47" i="8"/>
  <c r="AJ47" i="8"/>
  <c r="AI47" i="8"/>
  <c r="AH47" i="8"/>
  <c r="AG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M47" i="8"/>
  <c r="L47" i="8"/>
  <c r="I47" i="8"/>
  <c r="D47" i="8"/>
  <c r="A47" i="8"/>
  <c r="AM46" i="8"/>
  <c r="AM49" i="8" s="1"/>
  <c r="AL46" i="8"/>
  <c r="AL49" i="8" s="1"/>
  <c r="AK46" i="8"/>
  <c r="AK49" i="8" s="1"/>
  <c r="AJ46" i="8"/>
  <c r="AJ49" i="8" s="1"/>
  <c r="AI46" i="8"/>
  <c r="AI49" i="8" s="1"/>
  <c r="AH46" i="8"/>
  <c r="AG46" i="8"/>
  <c r="AF46" i="8"/>
  <c r="AE46" i="8"/>
  <c r="AD46" i="8"/>
  <c r="AD49" i="8" s="1"/>
  <c r="AC46" i="8"/>
  <c r="AC48" i="8" s="1"/>
  <c r="AB46" i="8"/>
  <c r="AB48" i="8" s="1"/>
  <c r="AA46" i="8"/>
  <c r="AA48" i="8" s="1"/>
  <c r="Z46" i="8"/>
  <c r="Z48" i="8" s="1"/>
  <c r="Y46" i="8"/>
  <c r="X46" i="8"/>
  <c r="X48" i="8" s="1"/>
  <c r="W46" i="8"/>
  <c r="W48" i="8" s="1"/>
  <c r="V46" i="8"/>
  <c r="V48" i="8" s="1"/>
  <c r="U46" i="8"/>
  <c r="T46" i="8"/>
  <c r="S46" i="8"/>
  <c r="S47" i="8" s="1"/>
  <c r="R46" i="8"/>
  <c r="R47" i="8" s="1"/>
  <c r="Q46" i="8"/>
  <c r="Q47" i="8" s="1"/>
  <c r="P46" i="8"/>
  <c r="P47" i="8" s="1"/>
  <c r="O46" i="8"/>
  <c r="O47" i="8" s="1"/>
  <c r="N46" i="8"/>
  <c r="N47" i="8" s="1"/>
  <c r="M46" i="8"/>
  <c r="L46" i="8"/>
  <c r="K46" i="8"/>
  <c r="K47" i="8" s="1"/>
  <c r="J46" i="8"/>
  <c r="J47" i="8" s="1"/>
  <c r="I46" i="8"/>
  <c r="H46" i="8"/>
  <c r="H47" i="8" s="1"/>
  <c r="G46" i="8"/>
  <c r="G47" i="8" s="1"/>
  <c r="F46" i="8"/>
  <c r="F47" i="8" s="1"/>
  <c r="E46" i="8"/>
  <c r="E47" i="8" s="1"/>
  <c r="D46" i="8"/>
  <c r="C46" i="8"/>
  <c r="C47" i="8" s="1"/>
  <c r="AM44" i="8"/>
  <c r="AL44" i="8"/>
  <c r="AK44" i="8"/>
  <c r="AJ44" i="8"/>
  <c r="AI44" i="8"/>
  <c r="AH44" i="8"/>
  <c r="AG44" i="8"/>
  <c r="AF44" i="8"/>
  <c r="AE44" i="8"/>
  <c r="AD44" i="8"/>
  <c r="AC44" i="8"/>
  <c r="AB44" i="8"/>
  <c r="AA44" i="8"/>
  <c r="Z44" i="8"/>
  <c r="Y44" i="8"/>
  <c r="X44" i="8"/>
  <c r="W44" i="8"/>
  <c r="V44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44" i="8"/>
  <c r="AM43" i="8"/>
  <c r="AL43" i="8"/>
  <c r="AK43" i="8"/>
  <c r="AJ43" i="8"/>
  <c r="AI43" i="8"/>
  <c r="AH43" i="8"/>
  <c r="AG43" i="8"/>
  <c r="AF43" i="8"/>
  <c r="AE43" i="8"/>
  <c r="AD43" i="8"/>
  <c r="AC43" i="8"/>
  <c r="AB43" i="8"/>
  <c r="AA43" i="8"/>
  <c r="Z43" i="8"/>
  <c r="Y43" i="8"/>
  <c r="X43" i="8"/>
  <c r="W43" i="8"/>
  <c r="V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43" i="8"/>
  <c r="AM42" i="8"/>
  <c r="AL42" i="8"/>
  <c r="AK42" i="8"/>
  <c r="AJ42" i="8"/>
  <c r="AI42" i="8"/>
  <c r="AH42" i="8"/>
  <c r="AG42" i="8"/>
  <c r="AF42" i="8"/>
  <c r="AE42" i="8"/>
  <c r="AD42" i="8"/>
  <c r="AC42" i="8"/>
  <c r="AB42" i="8"/>
  <c r="AA42" i="8"/>
  <c r="Z42" i="8"/>
  <c r="Y42" i="8"/>
  <c r="X42" i="8"/>
  <c r="W42" i="8"/>
  <c r="V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A42" i="8"/>
  <c r="AM41" i="8"/>
  <c r="AL41" i="8"/>
  <c r="AK41" i="8"/>
  <c r="AJ41" i="8"/>
  <c r="AI41" i="8"/>
  <c r="AH41" i="8"/>
  <c r="AG41" i="8"/>
  <c r="AF41" i="8"/>
  <c r="AE41" i="8"/>
  <c r="AD41" i="8"/>
  <c r="AC41" i="8"/>
  <c r="AB41" i="8"/>
  <c r="AA41" i="8"/>
  <c r="Z41" i="8"/>
  <c r="Y41" i="8"/>
  <c r="X41" i="8"/>
  <c r="W41" i="8"/>
  <c r="V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41" i="8"/>
  <c r="AM40" i="8"/>
  <c r="AL40" i="8"/>
  <c r="AK40" i="8"/>
  <c r="AJ40" i="8"/>
  <c r="AI40" i="8"/>
  <c r="AH40" i="8"/>
  <c r="AG40" i="8"/>
  <c r="AF40" i="8"/>
  <c r="AE40" i="8"/>
  <c r="AD40" i="8"/>
  <c r="AC40" i="8"/>
  <c r="AB40" i="8"/>
  <c r="AA40" i="8"/>
  <c r="Z40" i="8"/>
  <c r="Y40" i="8"/>
  <c r="X40" i="8"/>
  <c r="W40" i="8"/>
  <c r="V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A40" i="8"/>
  <c r="AM38" i="8"/>
  <c r="AL38" i="8"/>
  <c r="AK38" i="8"/>
  <c r="AJ38" i="8"/>
  <c r="AI38" i="8"/>
  <c r="AH38" i="8"/>
  <c r="AG38" i="8"/>
  <c r="AF38" i="8"/>
  <c r="AE38" i="8"/>
  <c r="AD38" i="8"/>
  <c r="AC38" i="8"/>
  <c r="AB38" i="8"/>
  <c r="AA38" i="8"/>
  <c r="Z38" i="8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M37" i="8"/>
  <c r="AL37" i="8"/>
  <c r="AK37" i="8"/>
  <c r="AJ37" i="8"/>
  <c r="AI37" i="8"/>
  <c r="AH37" i="8"/>
  <c r="AG37" i="8"/>
  <c r="AF37" i="8"/>
  <c r="AE37" i="8"/>
  <c r="AD37" i="8"/>
  <c r="AC37" i="8"/>
  <c r="AB37" i="8"/>
  <c r="AA37" i="8"/>
  <c r="Z37" i="8"/>
  <c r="Y37" i="8"/>
  <c r="X37" i="8"/>
  <c r="W37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A37" i="8"/>
  <c r="AM36" i="8"/>
  <c r="AL36" i="8"/>
  <c r="AK36" i="8"/>
  <c r="AJ36" i="8"/>
  <c r="AI36" i="8"/>
  <c r="AH36" i="8"/>
  <c r="AG36" i="8"/>
  <c r="AF36" i="8"/>
  <c r="AE36" i="8"/>
  <c r="AD36" i="8"/>
  <c r="AC36" i="8"/>
  <c r="AB36" i="8"/>
  <c r="AA36" i="8"/>
  <c r="Z36" i="8"/>
  <c r="Y36" i="8"/>
  <c r="X36" i="8"/>
  <c r="W36" i="8"/>
  <c r="V36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A36" i="8"/>
  <c r="AM35" i="8"/>
  <c r="AL35" i="8"/>
  <c r="AK35" i="8"/>
  <c r="AJ35" i="8"/>
  <c r="AI35" i="8"/>
  <c r="AH35" i="8"/>
  <c r="AG35" i="8"/>
  <c r="AF35" i="8"/>
  <c r="AE35" i="8"/>
  <c r="AD35" i="8"/>
  <c r="AC35" i="8"/>
  <c r="AB35" i="8"/>
  <c r="AA35" i="8"/>
  <c r="Z35" i="8"/>
  <c r="Y35" i="8"/>
  <c r="X35" i="8"/>
  <c r="W35" i="8"/>
  <c r="V35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A35" i="8"/>
  <c r="AM34" i="8"/>
  <c r="AL34" i="8"/>
  <c r="AK34" i="8"/>
  <c r="AJ34" i="8"/>
  <c r="AI34" i="8"/>
  <c r="AH34" i="8"/>
  <c r="AG34" i="8"/>
  <c r="AF34" i="8"/>
  <c r="AE34" i="8"/>
  <c r="AD34" i="8"/>
  <c r="AC34" i="8"/>
  <c r="AB34" i="8"/>
  <c r="AA34" i="8"/>
  <c r="Z34" i="8"/>
  <c r="Y34" i="8"/>
  <c r="X34" i="8"/>
  <c r="W34" i="8"/>
  <c r="V34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A34" i="8"/>
  <c r="AM33" i="8"/>
  <c r="AL33" i="8"/>
  <c r="AK33" i="8"/>
  <c r="AJ33" i="8"/>
  <c r="AI33" i="8"/>
  <c r="AH33" i="8"/>
  <c r="AG33" i="8"/>
  <c r="AF33" i="8"/>
  <c r="AE33" i="8"/>
  <c r="AD33" i="8"/>
  <c r="AC33" i="8"/>
  <c r="AB33" i="8"/>
  <c r="AA33" i="8"/>
  <c r="Z33" i="8"/>
  <c r="Y33" i="8"/>
  <c r="X33" i="8"/>
  <c r="W33" i="8"/>
  <c r="V33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A33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Y31" i="8"/>
  <c r="X31" i="8"/>
  <c r="W31" i="8"/>
  <c r="V31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C23" i="8"/>
  <c r="A19" i="8"/>
  <c r="A18" i="8"/>
  <c r="A17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O14" i="8"/>
  <c r="N14" i="8"/>
  <c r="I14" i="8"/>
  <c r="G14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Y13" i="8"/>
  <c r="X13" i="8"/>
  <c r="W13" i="8"/>
  <c r="V13" i="8"/>
  <c r="U13" i="8"/>
  <c r="T13" i="8"/>
  <c r="S13" i="8"/>
  <c r="R13" i="8"/>
  <c r="R14" i="8" s="1"/>
  <c r="Q13" i="8"/>
  <c r="Q14" i="8" s="1"/>
  <c r="P13" i="8"/>
  <c r="P14" i="8" s="1"/>
  <c r="O13" i="8"/>
  <c r="N13" i="8"/>
  <c r="M13" i="8"/>
  <c r="M14" i="8" s="1"/>
  <c r="L13" i="8"/>
  <c r="L14" i="8" s="1"/>
  <c r="K13" i="8"/>
  <c r="K14" i="8" s="1"/>
  <c r="J13" i="8"/>
  <c r="J14" i="8" s="1"/>
  <c r="I13" i="8"/>
  <c r="H13" i="8"/>
  <c r="H14" i="8" s="1"/>
  <c r="G13" i="8"/>
  <c r="F13" i="8"/>
  <c r="F14" i="8" s="1"/>
  <c r="E13" i="8"/>
  <c r="E14" i="8" s="1"/>
  <c r="D13" i="8"/>
  <c r="D14" i="8" s="1"/>
  <c r="C13" i="8"/>
  <c r="C14" i="8" s="1"/>
  <c r="D12" i="8"/>
  <c r="E12" i="8" s="1"/>
  <c r="F12" i="8" s="1"/>
  <c r="G12" i="8" s="1"/>
  <c r="H12" i="8" s="1"/>
  <c r="I12" i="8" s="1"/>
  <c r="J12" i="8" s="1"/>
  <c r="K12" i="8" s="1"/>
  <c r="L12" i="8" s="1"/>
  <c r="M12" i="8" s="1"/>
  <c r="N12" i="8" s="1"/>
  <c r="O12" i="8" s="1"/>
  <c r="P12" i="8" s="1"/>
  <c r="Q12" i="8" s="1"/>
  <c r="R12" i="8" s="1"/>
  <c r="S12" i="8" s="1"/>
  <c r="T12" i="8" s="1"/>
  <c r="U12" i="8" s="1"/>
  <c r="V12" i="8" s="1"/>
  <c r="W12" i="8" s="1"/>
  <c r="X12" i="8" s="1"/>
  <c r="Y12" i="8" s="1"/>
  <c r="Z12" i="8" s="1"/>
  <c r="AA12" i="8" s="1"/>
  <c r="AB12" i="8" s="1"/>
  <c r="AC12" i="8" s="1"/>
  <c r="AD12" i="8" s="1"/>
  <c r="AE12" i="8" s="1"/>
  <c r="AF12" i="8" s="1"/>
  <c r="AG12" i="8" s="1"/>
  <c r="AH12" i="8" s="1"/>
  <c r="AI12" i="8" s="1"/>
  <c r="AJ12" i="8" s="1"/>
  <c r="AK12" i="8" s="1"/>
  <c r="AL12" i="8" s="1"/>
  <c r="AM12" i="8" s="1"/>
  <c r="C12" i="8"/>
  <c r="A12" i="8"/>
  <c r="D11" i="8"/>
  <c r="E11" i="8" s="1"/>
  <c r="F11" i="8" s="1"/>
  <c r="G11" i="8" s="1"/>
  <c r="H11" i="8" s="1"/>
  <c r="I11" i="8" s="1"/>
  <c r="J11" i="8" s="1"/>
  <c r="K11" i="8" s="1"/>
  <c r="L11" i="8" s="1"/>
  <c r="M11" i="8" s="1"/>
  <c r="N11" i="8" s="1"/>
  <c r="O11" i="8" s="1"/>
  <c r="P11" i="8" s="1"/>
  <c r="Q11" i="8" s="1"/>
  <c r="R11" i="8" s="1"/>
  <c r="S11" i="8" s="1"/>
  <c r="T11" i="8" s="1"/>
  <c r="U11" i="8" s="1"/>
  <c r="V11" i="8" s="1"/>
  <c r="W11" i="8" s="1"/>
  <c r="X11" i="8" s="1"/>
  <c r="Y11" i="8" s="1"/>
  <c r="Z11" i="8" s="1"/>
  <c r="AA11" i="8" s="1"/>
  <c r="AB11" i="8" s="1"/>
  <c r="AC11" i="8" s="1"/>
  <c r="AD11" i="8" s="1"/>
  <c r="AE11" i="8" s="1"/>
  <c r="AF11" i="8" s="1"/>
  <c r="AG11" i="8" s="1"/>
  <c r="AH11" i="8" s="1"/>
  <c r="AI11" i="8" s="1"/>
  <c r="AJ11" i="8" s="1"/>
  <c r="AK11" i="8" s="1"/>
  <c r="AL11" i="8" s="1"/>
  <c r="AM11" i="8" s="1"/>
  <c r="C11" i="8"/>
  <c r="A11" i="8"/>
  <c r="C10" i="8"/>
  <c r="D10" i="8" s="1"/>
  <c r="E10" i="8" s="1"/>
  <c r="F10" i="8" s="1"/>
  <c r="G10" i="8" s="1"/>
  <c r="H10" i="8" s="1"/>
  <c r="I10" i="8" s="1"/>
  <c r="J10" i="8" s="1"/>
  <c r="K10" i="8" s="1"/>
  <c r="L10" i="8" s="1"/>
  <c r="M10" i="8" s="1"/>
  <c r="N10" i="8" s="1"/>
  <c r="O10" i="8" s="1"/>
  <c r="P10" i="8" s="1"/>
  <c r="Q10" i="8" s="1"/>
  <c r="R10" i="8" s="1"/>
  <c r="S10" i="8" s="1"/>
  <c r="T10" i="8" s="1"/>
  <c r="U10" i="8" s="1"/>
  <c r="V10" i="8" s="1"/>
  <c r="W10" i="8" s="1"/>
  <c r="X10" i="8" s="1"/>
  <c r="Y10" i="8" s="1"/>
  <c r="Z10" i="8" s="1"/>
  <c r="AA10" i="8" s="1"/>
  <c r="AB10" i="8" s="1"/>
  <c r="AC10" i="8" s="1"/>
  <c r="AD10" i="8" s="1"/>
  <c r="AE10" i="8" s="1"/>
  <c r="AF10" i="8" s="1"/>
  <c r="AG10" i="8" s="1"/>
  <c r="AH10" i="8" s="1"/>
  <c r="AI10" i="8" s="1"/>
  <c r="AJ10" i="8" s="1"/>
  <c r="AK10" i="8" s="1"/>
  <c r="AL10" i="8" s="1"/>
  <c r="AM10" i="8" s="1"/>
  <c r="A10" i="8"/>
  <c r="C9" i="8"/>
  <c r="D9" i="8" s="1"/>
  <c r="E9" i="8" s="1"/>
  <c r="F9" i="8" s="1"/>
  <c r="G9" i="8" s="1"/>
  <c r="H9" i="8" s="1"/>
  <c r="I9" i="8" s="1"/>
  <c r="J9" i="8" s="1"/>
  <c r="K9" i="8" s="1"/>
  <c r="L9" i="8" s="1"/>
  <c r="M9" i="8" s="1"/>
  <c r="N9" i="8" s="1"/>
  <c r="O9" i="8" s="1"/>
  <c r="P9" i="8" s="1"/>
  <c r="Q9" i="8" s="1"/>
  <c r="R9" i="8" s="1"/>
  <c r="S9" i="8" s="1"/>
  <c r="T9" i="8" s="1"/>
  <c r="U9" i="8" s="1"/>
  <c r="V9" i="8" s="1"/>
  <c r="W9" i="8" s="1"/>
  <c r="X9" i="8" s="1"/>
  <c r="Y9" i="8" s="1"/>
  <c r="Z9" i="8" s="1"/>
  <c r="AA9" i="8" s="1"/>
  <c r="AB9" i="8" s="1"/>
  <c r="AC9" i="8" s="1"/>
  <c r="AD9" i="8" s="1"/>
  <c r="AE9" i="8" s="1"/>
  <c r="AF9" i="8" s="1"/>
  <c r="AG9" i="8" s="1"/>
  <c r="AH9" i="8" s="1"/>
  <c r="AI9" i="8" s="1"/>
  <c r="AJ9" i="8" s="1"/>
  <c r="AK9" i="8" s="1"/>
  <c r="AL9" i="8" s="1"/>
  <c r="AM9" i="8" s="1"/>
  <c r="A9" i="8"/>
  <c r="E8" i="8"/>
  <c r="F8" i="8" s="1"/>
  <c r="G8" i="8" s="1"/>
  <c r="C8" i="8"/>
  <c r="D8" i="8" s="1"/>
  <c r="A8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AF14" i="8" s="1"/>
  <c r="A37" i="4"/>
  <c r="A36" i="4"/>
  <c r="O31" i="4"/>
  <c r="N31" i="4"/>
  <c r="M31" i="4"/>
  <c r="L31" i="4"/>
  <c r="K31" i="4"/>
  <c r="J31" i="4"/>
  <c r="I31" i="4"/>
  <c r="H31" i="4"/>
  <c r="G31" i="4"/>
  <c r="F31" i="4"/>
  <c r="E31" i="4"/>
  <c r="D31" i="4"/>
  <c r="C30" i="4"/>
  <c r="C29" i="4"/>
  <c r="AM166" i="4"/>
  <c r="A229" i="4"/>
  <c r="A223" i="4"/>
  <c r="A222" i="4"/>
  <c r="A221" i="4"/>
  <c r="A215" i="4"/>
  <c r="A214" i="4"/>
  <c r="A213" i="4"/>
  <c r="AM169" i="4"/>
  <c r="A164" i="4"/>
  <c r="B172" i="4" s="1"/>
  <c r="AM149" i="4"/>
  <c r="AM152" i="4" s="1"/>
  <c r="A147" i="4"/>
  <c r="AM132" i="4"/>
  <c r="AM135" i="4" s="1"/>
  <c r="A130" i="4"/>
  <c r="B138" i="4" s="1"/>
  <c r="A201" i="4" s="1"/>
  <c r="AM115" i="4"/>
  <c r="AM118" i="4" s="1"/>
  <c r="A113" i="4"/>
  <c r="B121" i="4" s="1"/>
  <c r="AM98" i="4"/>
  <c r="AM101" i="4" s="1"/>
  <c r="A96" i="4"/>
  <c r="B104" i="4" s="1"/>
  <c r="C77" i="4"/>
  <c r="C229" i="4" s="1"/>
  <c r="C76" i="4"/>
  <c r="A76" i="4"/>
  <c r="A228" i="4" s="1"/>
  <c r="C75" i="4"/>
  <c r="A75" i="4"/>
  <c r="A227" i="4" s="1"/>
  <c r="C74" i="4"/>
  <c r="A74" i="4"/>
  <c r="A226" i="4" s="1"/>
  <c r="C73" i="4"/>
  <c r="A73" i="4"/>
  <c r="A225" i="4" s="1"/>
  <c r="C72" i="4"/>
  <c r="A72" i="4"/>
  <c r="A224" i="4" s="1"/>
  <c r="C70" i="4"/>
  <c r="C222" i="4" s="1"/>
  <c r="C69" i="4"/>
  <c r="C68" i="4"/>
  <c r="D68" i="4" s="1"/>
  <c r="E68" i="4" s="1"/>
  <c r="F68" i="4" s="1"/>
  <c r="G68" i="4" s="1"/>
  <c r="H68" i="4" s="1"/>
  <c r="I68" i="4" s="1"/>
  <c r="J68" i="4" s="1"/>
  <c r="K68" i="4" s="1"/>
  <c r="L68" i="4" s="1"/>
  <c r="M68" i="4" s="1"/>
  <c r="N68" i="4" s="1"/>
  <c r="O68" i="4" s="1"/>
  <c r="P68" i="4" s="1"/>
  <c r="Q68" i="4" s="1"/>
  <c r="R68" i="4" s="1"/>
  <c r="S68" i="4" s="1"/>
  <c r="T68" i="4" s="1"/>
  <c r="U68" i="4" s="1"/>
  <c r="V68" i="4" s="1"/>
  <c r="W68" i="4" s="1"/>
  <c r="X68" i="4" s="1"/>
  <c r="Y68" i="4" s="1"/>
  <c r="Z68" i="4" s="1"/>
  <c r="AA68" i="4" s="1"/>
  <c r="AB68" i="4" s="1"/>
  <c r="AC68" i="4" s="1"/>
  <c r="AD68" i="4" s="1"/>
  <c r="AE68" i="4" s="1"/>
  <c r="AF68" i="4" s="1"/>
  <c r="AG68" i="4" s="1"/>
  <c r="AH68" i="4" s="1"/>
  <c r="AI68" i="4" s="1"/>
  <c r="AJ68" i="4" s="1"/>
  <c r="AK68" i="4" s="1"/>
  <c r="AL68" i="4" s="1"/>
  <c r="AM68" i="4" s="1"/>
  <c r="A68" i="4"/>
  <c r="C67" i="4"/>
  <c r="D67" i="4" s="1"/>
  <c r="E67" i="4" s="1"/>
  <c r="F67" i="4" s="1"/>
  <c r="G67" i="4" s="1"/>
  <c r="H67" i="4" s="1"/>
  <c r="I67" i="4" s="1"/>
  <c r="J67" i="4" s="1"/>
  <c r="K67" i="4" s="1"/>
  <c r="L67" i="4" s="1"/>
  <c r="M67" i="4" s="1"/>
  <c r="N67" i="4" s="1"/>
  <c r="O67" i="4" s="1"/>
  <c r="P67" i="4" s="1"/>
  <c r="Q67" i="4" s="1"/>
  <c r="R67" i="4" s="1"/>
  <c r="S67" i="4" s="1"/>
  <c r="T67" i="4" s="1"/>
  <c r="U67" i="4" s="1"/>
  <c r="V67" i="4" s="1"/>
  <c r="W67" i="4" s="1"/>
  <c r="X67" i="4" s="1"/>
  <c r="Y67" i="4" s="1"/>
  <c r="Z67" i="4" s="1"/>
  <c r="AA67" i="4" s="1"/>
  <c r="AB67" i="4" s="1"/>
  <c r="AC67" i="4" s="1"/>
  <c r="AD67" i="4" s="1"/>
  <c r="AE67" i="4" s="1"/>
  <c r="AF67" i="4" s="1"/>
  <c r="AG67" i="4" s="1"/>
  <c r="AH67" i="4" s="1"/>
  <c r="AI67" i="4" s="1"/>
  <c r="AJ67" i="4" s="1"/>
  <c r="AK67" i="4" s="1"/>
  <c r="AL67" i="4" s="1"/>
  <c r="AM67" i="4" s="1"/>
  <c r="A67" i="4"/>
  <c r="C66" i="4"/>
  <c r="D66" i="4" s="1"/>
  <c r="E66" i="4" s="1"/>
  <c r="F66" i="4" s="1"/>
  <c r="G66" i="4" s="1"/>
  <c r="H66" i="4" s="1"/>
  <c r="I66" i="4" s="1"/>
  <c r="J66" i="4" s="1"/>
  <c r="K66" i="4" s="1"/>
  <c r="L66" i="4" s="1"/>
  <c r="M66" i="4" s="1"/>
  <c r="N66" i="4" s="1"/>
  <c r="O66" i="4" s="1"/>
  <c r="P66" i="4" s="1"/>
  <c r="Q66" i="4" s="1"/>
  <c r="R66" i="4" s="1"/>
  <c r="S66" i="4" s="1"/>
  <c r="T66" i="4" s="1"/>
  <c r="U66" i="4" s="1"/>
  <c r="V66" i="4" s="1"/>
  <c r="W66" i="4" s="1"/>
  <c r="X66" i="4" s="1"/>
  <c r="Y66" i="4" s="1"/>
  <c r="Z66" i="4" s="1"/>
  <c r="AA66" i="4" s="1"/>
  <c r="AB66" i="4" s="1"/>
  <c r="AC66" i="4" s="1"/>
  <c r="AD66" i="4" s="1"/>
  <c r="AE66" i="4" s="1"/>
  <c r="AF66" i="4" s="1"/>
  <c r="AG66" i="4" s="1"/>
  <c r="AH66" i="4" s="1"/>
  <c r="AI66" i="4" s="1"/>
  <c r="AJ66" i="4" s="1"/>
  <c r="AK66" i="4" s="1"/>
  <c r="AL66" i="4" s="1"/>
  <c r="AM66" i="4" s="1"/>
  <c r="A66" i="4"/>
  <c r="C65" i="4"/>
  <c r="D65" i="4" s="1"/>
  <c r="E65" i="4" s="1"/>
  <c r="F65" i="4" s="1"/>
  <c r="G65" i="4" s="1"/>
  <c r="H65" i="4" s="1"/>
  <c r="I65" i="4" s="1"/>
  <c r="J65" i="4" s="1"/>
  <c r="K65" i="4" s="1"/>
  <c r="L65" i="4" s="1"/>
  <c r="M65" i="4" s="1"/>
  <c r="N65" i="4" s="1"/>
  <c r="O65" i="4" s="1"/>
  <c r="P65" i="4" s="1"/>
  <c r="Q65" i="4" s="1"/>
  <c r="R65" i="4" s="1"/>
  <c r="S65" i="4" s="1"/>
  <c r="T65" i="4" s="1"/>
  <c r="U65" i="4" s="1"/>
  <c r="V65" i="4" s="1"/>
  <c r="W65" i="4" s="1"/>
  <c r="X65" i="4" s="1"/>
  <c r="Y65" i="4" s="1"/>
  <c r="Z65" i="4" s="1"/>
  <c r="AA65" i="4" s="1"/>
  <c r="AB65" i="4" s="1"/>
  <c r="AC65" i="4" s="1"/>
  <c r="AD65" i="4" s="1"/>
  <c r="AE65" i="4" s="1"/>
  <c r="AF65" i="4" s="1"/>
  <c r="AG65" i="4" s="1"/>
  <c r="AH65" i="4" s="1"/>
  <c r="AI65" i="4" s="1"/>
  <c r="AJ65" i="4" s="1"/>
  <c r="AK65" i="4" s="1"/>
  <c r="AL65" i="4" s="1"/>
  <c r="AM65" i="4" s="1"/>
  <c r="A65" i="4"/>
  <c r="A193" i="4" s="1"/>
  <c r="C64" i="4"/>
  <c r="D64" i="4" s="1"/>
  <c r="E64" i="4" s="1"/>
  <c r="F64" i="4" s="1"/>
  <c r="G64" i="4" s="1"/>
  <c r="H64" i="4" s="1"/>
  <c r="I64" i="4" s="1"/>
  <c r="J64" i="4" s="1"/>
  <c r="K64" i="4" s="1"/>
  <c r="L64" i="4" s="1"/>
  <c r="M64" i="4" s="1"/>
  <c r="N64" i="4" s="1"/>
  <c r="O64" i="4" s="1"/>
  <c r="P64" i="4" s="1"/>
  <c r="Q64" i="4" s="1"/>
  <c r="R64" i="4" s="1"/>
  <c r="S64" i="4" s="1"/>
  <c r="T64" i="4" s="1"/>
  <c r="U64" i="4" s="1"/>
  <c r="V64" i="4" s="1"/>
  <c r="W64" i="4" s="1"/>
  <c r="X64" i="4" s="1"/>
  <c r="Y64" i="4" s="1"/>
  <c r="Z64" i="4" s="1"/>
  <c r="AA64" i="4" s="1"/>
  <c r="AB64" i="4" s="1"/>
  <c r="AC64" i="4" s="1"/>
  <c r="AD64" i="4" s="1"/>
  <c r="AE64" i="4" s="1"/>
  <c r="AF64" i="4" s="1"/>
  <c r="AG64" i="4" s="1"/>
  <c r="AH64" i="4" s="1"/>
  <c r="AI64" i="4" s="1"/>
  <c r="AJ64" i="4" s="1"/>
  <c r="AK64" i="4" s="1"/>
  <c r="AL64" i="4" s="1"/>
  <c r="AM64" i="4" s="1"/>
  <c r="A64" i="4"/>
  <c r="C62" i="4"/>
  <c r="C214" i="4" s="1"/>
  <c r="C57" i="4"/>
  <c r="A53" i="4"/>
  <c r="A52" i="4"/>
  <c r="A51" i="4"/>
  <c r="A49" i="4"/>
  <c r="A48" i="4"/>
  <c r="A47" i="4"/>
  <c r="D46" i="4"/>
  <c r="C46" i="4"/>
  <c r="D44" i="4"/>
  <c r="C44" i="4"/>
  <c r="A44" i="4"/>
  <c r="D43" i="4"/>
  <c r="C43" i="4"/>
  <c r="A43" i="4"/>
  <c r="D42" i="4"/>
  <c r="C42" i="4"/>
  <c r="A42" i="4"/>
  <c r="D41" i="4"/>
  <c r="C41" i="4"/>
  <c r="A41" i="4"/>
  <c r="D40" i="4"/>
  <c r="C40" i="4"/>
  <c r="A40" i="4"/>
  <c r="D38" i="4"/>
  <c r="C38" i="4"/>
  <c r="C37" i="4"/>
  <c r="C36" i="4"/>
  <c r="C35" i="4"/>
  <c r="A35" i="4"/>
  <c r="C34" i="4"/>
  <c r="A34" i="4"/>
  <c r="C33" i="4"/>
  <c r="A33" i="4"/>
  <c r="C31" i="4"/>
  <c r="A30" i="4"/>
  <c r="A29" i="4"/>
  <c r="C28" i="4"/>
  <c r="A28" i="4"/>
  <c r="C27" i="4"/>
  <c r="A27" i="4"/>
  <c r="C26" i="4"/>
  <c r="A26" i="4"/>
  <c r="C24" i="4"/>
  <c r="C23" i="4"/>
  <c r="A19" i="4"/>
  <c r="A18" i="4"/>
  <c r="A17" i="4"/>
  <c r="C12" i="4"/>
  <c r="D12" i="4" s="1"/>
  <c r="E12" i="4" s="1"/>
  <c r="F12" i="4" s="1"/>
  <c r="G12" i="4" s="1"/>
  <c r="H12" i="4" s="1"/>
  <c r="I12" i="4" s="1"/>
  <c r="J12" i="4" s="1"/>
  <c r="K12" i="4" s="1"/>
  <c r="L12" i="4" s="1"/>
  <c r="M12" i="4" s="1"/>
  <c r="N12" i="4" s="1"/>
  <c r="O12" i="4" s="1"/>
  <c r="P12" i="4" s="1"/>
  <c r="Q12" i="4" s="1"/>
  <c r="R12" i="4" s="1"/>
  <c r="S12" i="4" s="1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AG12" i="4" s="1"/>
  <c r="AH12" i="4" s="1"/>
  <c r="AI12" i="4" s="1"/>
  <c r="AJ12" i="4" s="1"/>
  <c r="AK12" i="4" s="1"/>
  <c r="AL12" i="4" s="1"/>
  <c r="AM12" i="4" s="1"/>
  <c r="A12" i="4"/>
  <c r="C11" i="4"/>
  <c r="D11" i="4" s="1"/>
  <c r="E11" i="4" s="1"/>
  <c r="F11" i="4" s="1"/>
  <c r="G11" i="4" s="1"/>
  <c r="H11" i="4" s="1"/>
  <c r="I11" i="4" s="1"/>
  <c r="J11" i="4" s="1"/>
  <c r="K11" i="4" s="1"/>
  <c r="L11" i="4" s="1"/>
  <c r="M11" i="4" s="1"/>
  <c r="N11" i="4" s="1"/>
  <c r="O11" i="4" s="1"/>
  <c r="P11" i="4" s="1"/>
  <c r="Q11" i="4" s="1"/>
  <c r="R11" i="4" s="1"/>
  <c r="S11" i="4" s="1"/>
  <c r="T11" i="4" s="1"/>
  <c r="U11" i="4" s="1"/>
  <c r="V11" i="4" s="1"/>
  <c r="W11" i="4" s="1"/>
  <c r="X11" i="4" s="1"/>
  <c r="Y11" i="4" s="1"/>
  <c r="Z11" i="4" s="1"/>
  <c r="AA11" i="4" s="1"/>
  <c r="AB11" i="4" s="1"/>
  <c r="AC11" i="4" s="1"/>
  <c r="AD11" i="4" s="1"/>
  <c r="AE11" i="4" s="1"/>
  <c r="AF11" i="4" s="1"/>
  <c r="AG11" i="4" s="1"/>
  <c r="AH11" i="4" s="1"/>
  <c r="AI11" i="4" s="1"/>
  <c r="AJ11" i="4" s="1"/>
  <c r="AK11" i="4" s="1"/>
  <c r="AL11" i="4" s="1"/>
  <c r="AM11" i="4" s="1"/>
  <c r="A11" i="4"/>
  <c r="C10" i="4"/>
  <c r="D10" i="4" s="1"/>
  <c r="E10" i="4" s="1"/>
  <c r="F10" i="4" s="1"/>
  <c r="G10" i="4" s="1"/>
  <c r="H10" i="4" s="1"/>
  <c r="I10" i="4" s="1"/>
  <c r="J10" i="4" s="1"/>
  <c r="K10" i="4" s="1"/>
  <c r="L10" i="4" s="1"/>
  <c r="M10" i="4" s="1"/>
  <c r="N10" i="4" s="1"/>
  <c r="O10" i="4" s="1"/>
  <c r="P10" i="4" s="1"/>
  <c r="Q10" i="4" s="1"/>
  <c r="R10" i="4" s="1"/>
  <c r="S10" i="4" s="1"/>
  <c r="T10" i="4" s="1"/>
  <c r="U10" i="4" s="1"/>
  <c r="V10" i="4" s="1"/>
  <c r="W10" i="4" s="1"/>
  <c r="X10" i="4" s="1"/>
  <c r="Y10" i="4" s="1"/>
  <c r="Z10" i="4" s="1"/>
  <c r="AA10" i="4" s="1"/>
  <c r="AB10" i="4" s="1"/>
  <c r="AC10" i="4" s="1"/>
  <c r="AD10" i="4" s="1"/>
  <c r="AE10" i="4" s="1"/>
  <c r="AF10" i="4" s="1"/>
  <c r="AG10" i="4" s="1"/>
  <c r="AH10" i="4" s="1"/>
  <c r="AI10" i="4" s="1"/>
  <c r="AJ10" i="4" s="1"/>
  <c r="AK10" i="4" s="1"/>
  <c r="AL10" i="4" s="1"/>
  <c r="AM10" i="4" s="1"/>
  <c r="A10" i="4"/>
  <c r="C9" i="4"/>
  <c r="D9" i="4" s="1"/>
  <c r="E9" i="4" s="1"/>
  <c r="F9" i="4" s="1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9" i="4"/>
  <c r="C8" i="4"/>
  <c r="D8" i="4" s="1"/>
  <c r="E8" i="4" s="1"/>
  <c r="F8" i="4" s="1"/>
  <c r="A8" i="4"/>
  <c r="C202" i="3"/>
  <c r="C201" i="3"/>
  <c r="C200" i="3"/>
  <c r="C198" i="3"/>
  <c r="C199" i="3"/>
  <c r="A202" i="3"/>
  <c r="A201" i="3"/>
  <c r="F202" i="3"/>
  <c r="F201" i="3"/>
  <c r="G120" i="3"/>
  <c r="G121" i="3" s="1"/>
  <c r="A119" i="3"/>
  <c r="G115" i="3"/>
  <c r="G116" i="3" s="1"/>
  <c r="A114" i="3"/>
  <c r="A90" i="3"/>
  <c r="A89" i="3"/>
  <c r="AE14" i="8" l="1"/>
  <c r="AM14" i="8"/>
  <c r="AB14" i="8"/>
  <c r="AC14" i="8"/>
  <c r="AA14" i="8"/>
  <c r="S14" i="8"/>
  <c r="U14" i="8"/>
  <c r="T14" i="8"/>
  <c r="W14" i="8"/>
  <c r="AI14" i="8"/>
  <c r="AH14" i="8"/>
  <c r="AL14" i="8"/>
  <c r="AG14" i="8"/>
  <c r="V14" i="8"/>
  <c r="H8" i="8"/>
  <c r="I8" i="8" s="1"/>
  <c r="J8" i="8" s="1"/>
  <c r="X14" i="8"/>
  <c r="AJ14" i="8"/>
  <c r="Y14" i="8"/>
  <c r="AK14" i="8"/>
  <c r="AD14" i="8"/>
  <c r="C137" i="8"/>
  <c r="C136" i="8"/>
  <c r="A209" i="8"/>
  <c r="A195" i="8"/>
  <c r="A219" i="8"/>
  <c r="Z14" i="8"/>
  <c r="A210" i="8"/>
  <c r="A220" i="8"/>
  <c r="A196" i="8"/>
  <c r="C165" i="8"/>
  <c r="B172" i="8"/>
  <c r="AM101" i="8"/>
  <c r="A185" i="8"/>
  <c r="A199" i="8"/>
  <c r="C97" i="8"/>
  <c r="E62" i="8"/>
  <c r="A193" i="8"/>
  <c r="A217" i="8"/>
  <c r="A207" i="8"/>
  <c r="A216" i="8"/>
  <c r="A206" i="8"/>
  <c r="A192" i="8"/>
  <c r="A208" i="8"/>
  <c r="A194" i="8"/>
  <c r="A218" i="8"/>
  <c r="A200" i="8"/>
  <c r="A186" i="8"/>
  <c r="A188" i="8"/>
  <c r="A202" i="8"/>
  <c r="C148" i="8"/>
  <c r="C114" i="8"/>
  <c r="D69" i="4"/>
  <c r="E69" i="4" s="1"/>
  <c r="F69" i="4" s="1"/>
  <c r="G69" i="4" s="1"/>
  <c r="H69" i="4" s="1"/>
  <c r="I69" i="4" s="1"/>
  <c r="J69" i="4" s="1"/>
  <c r="K69" i="4" s="1"/>
  <c r="L69" i="4" s="1"/>
  <c r="M69" i="4" s="1"/>
  <c r="N69" i="4" s="1"/>
  <c r="O69" i="4" s="1"/>
  <c r="P69" i="4" s="1"/>
  <c r="Q69" i="4" s="1"/>
  <c r="R69" i="4" s="1"/>
  <c r="S69" i="4" s="1"/>
  <c r="T69" i="4" s="1"/>
  <c r="U69" i="4" s="1"/>
  <c r="V69" i="4" s="1"/>
  <c r="W69" i="4" s="1"/>
  <c r="X69" i="4" s="1"/>
  <c r="Y69" i="4" s="1"/>
  <c r="Z69" i="4" s="1"/>
  <c r="AA69" i="4" s="1"/>
  <c r="AB69" i="4" s="1"/>
  <c r="AC69" i="4" s="1"/>
  <c r="AD69" i="4" s="1"/>
  <c r="AE69" i="4" s="1"/>
  <c r="AF69" i="4" s="1"/>
  <c r="AG69" i="4" s="1"/>
  <c r="AH69" i="4" s="1"/>
  <c r="AI69" i="4" s="1"/>
  <c r="AJ69" i="4" s="1"/>
  <c r="AK69" i="4" s="1"/>
  <c r="AL69" i="4" s="1"/>
  <c r="AM69" i="4" s="1"/>
  <c r="C86" i="4"/>
  <c r="G8" i="4"/>
  <c r="A189" i="4"/>
  <c r="A203" i="4"/>
  <c r="A206" i="4"/>
  <c r="A216" i="4"/>
  <c r="A192" i="4"/>
  <c r="C114" i="4"/>
  <c r="A210" i="4"/>
  <c r="A220" i="4"/>
  <c r="A196" i="4"/>
  <c r="A199" i="4"/>
  <c r="A185" i="4"/>
  <c r="C165" i="4"/>
  <c r="C97" i="4"/>
  <c r="D62" i="4"/>
  <c r="B155" i="4"/>
  <c r="C148" i="4"/>
  <c r="A208" i="4"/>
  <c r="A194" i="4"/>
  <c r="A218" i="4"/>
  <c r="A186" i="4"/>
  <c r="A200" i="4"/>
  <c r="A217" i="4"/>
  <c r="A207" i="4"/>
  <c r="A187" i="4"/>
  <c r="C131" i="4"/>
  <c r="A209" i="4"/>
  <c r="A219" i="4"/>
  <c r="A195" i="4"/>
  <c r="C154" i="8" l="1"/>
  <c r="C153" i="8"/>
  <c r="E214" i="8"/>
  <c r="F62" i="8"/>
  <c r="C102" i="8"/>
  <c r="C103" i="8"/>
  <c r="A189" i="8"/>
  <c r="A203" i="8"/>
  <c r="C120" i="8"/>
  <c r="C119" i="8"/>
  <c r="C171" i="8"/>
  <c r="C170" i="8"/>
  <c r="K8" i="8"/>
  <c r="C154" i="4"/>
  <c r="C153" i="4"/>
  <c r="C102" i="4"/>
  <c r="C103" i="4"/>
  <c r="H8" i="4"/>
  <c r="A202" i="4"/>
  <c r="A188" i="4"/>
  <c r="D214" i="4"/>
  <c r="E62" i="4"/>
  <c r="C170" i="4"/>
  <c r="C171" i="4"/>
  <c r="C137" i="4"/>
  <c r="C136" i="4"/>
  <c r="C119" i="4"/>
  <c r="C120" i="4"/>
  <c r="V3" i="6"/>
  <c r="B3" i="4"/>
  <c r="AA3" i="6"/>
  <c r="AA2" i="6"/>
  <c r="A109" i="3"/>
  <c r="A104" i="3"/>
  <c r="A99" i="3"/>
  <c r="L8" i="8" l="1"/>
  <c r="F214" i="8"/>
  <c r="G62" i="8"/>
  <c r="E214" i="4"/>
  <c r="F62" i="4"/>
  <c r="I8" i="4"/>
  <c r="C2" i="8"/>
  <c r="C2" i="4"/>
  <c r="C3" i="8"/>
  <c r="C3" i="4"/>
  <c r="F200" i="3"/>
  <c r="F199" i="3"/>
  <c r="F198" i="3"/>
  <c r="A200" i="3"/>
  <c r="A199" i="3"/>
  <c r="A198" i="3"/>
  <c r="A88" i="3"/>
  <c r="A87" i="3"/>
  <c r="A86" i="3"/>
  <c r="G105" i="3"/>
  <c r="G110" i="3"/>
  <c r="G100" i="3"/>
  <c r="D1" i="8"/>
  <c r="G15" i="3"/>
  <c r="M8" i="8" l="1"/>
  <c r="C19" i="8"/>
  <c r="C17" i="8"/>
  <c r="C18" i="8"/>
  <c r="C52" i="8"/>
  <c r="C51" i="8"/>
  <c r="C53" i="8"/>
  <c r="G214" i="8"/>
  <c r="H62" i="8"/>
  <c r="C47" i="4"/>
  <c r="C49" i="4"/>
  <c r="C6" i="4"/>
  <c r="C15" i="4"/>
  <c r="C13" i="4"/>
  <c r="C14" i="4" s="1"/>
  <c r="C5" i="4"/>
  <c r="C48" i="4"/>
  <c r="C53" i="4"/>
  <c r="C52" i="4"/>
  <c r="C17" i="4"/>
  <c r="C19" i="4"/>
  <c r="C51" i="4"/>
  <c r="C18" i="4"/>
  <c r="F214" i="4"/>
  <c r="G62" i="4"/>
  <c r="J8" i="4"/>
  <c r="G111" i="3"/>
  <c r="G106" i="3"/>
  <c r="G101" i="3"/>
  <c r="E1" i="8"/>
  <c r="D3" i="8"/>
  <c r="D2" i="8"/>
  <c r="D19" i="8" l="1"/>
  <c r="D51" i="8"/>
  <c r="D53" i="8"/>
  <c r="D18" i="8"/>
  <c r="D52" i="8"/>
  <c r="D17" i="8"/>
  <c r="C54" i="8"/>
  <c r="C20" i="8" s="1"/>
  <c r="C21" i="8" s="1"/>
  <c r="C56" i="8" s="1"/>
  <c r="C58" i="8" s="1"/>
  <c r="N8" i="8"/>
  <c r="H214" i="8"/>
  <c r="I62" i="8"/>
  <c r="C54" i="4"/>
  <c r="C20" i="4" s="1"/>
  <c r="C21" i="4" s="1"/>
  <c r="C56" i="4" s="1"/>
  <c r="C58" i="4" s="1"/>
  <c r="G214" i="4"/>
  <c r="H62" i="4"/>
  <c r="K8" i="4"/>
  <c r="F1" i="8"/>
  <c r="E3" i="8"/>
  <c r="E2" i="8"/>
  <c r="G125" i="3"/>
  <c r="D1" i="4"/>
  <c r="C61" i="8" l="1"/>
  <c r="D57" i="8"/>
  <c r="I214" i="8"/>
  <c r="J62" i="8"/>
  <c r="D54" i="8"/>
  <c r="O8" i="8"/>
  <c r="E19" i="8"/>
  <c r="E51" i="8"/>
  <c r="E18" i="8"/>
  <c r="E52" i="8"/>
  <c r="E17" i="8"/>
  <c r="E53" i="8"/>
  <c r="E38" i="4"/>
  <c r="D70" i="4"/>
  <c r="D222" i="4" s="1"/>
  <c r="E46" i="4"/>
  <c r="D77" i="4"/>
  <c r="D229" i="4" s="1"/>
  <c r="E44" i="4"/>
  <c r="D37" i="4"/>
  <c r="D74" i="4"/>
  <c r="D75" i="4"/>
  <c r="D33" i="4"/>
  <c r="D24" i="4"/>
  <c r="E43" i="4"/>
  <c r="D34" i="4"/>
  <c r="D76" i="4"/>
  <c r="D36" i="4"/>
  <c r="E42" i="4"/>
  <c r="D35" i="4"/>
  <c r="E41" i="4"/>
  <c r="E40" i="4"/>
  <c r="D72" i="4"/>
  <c r="D73" i="4"/>
  <c r="D57" i="4"/>
  <c r="C61" i="4"/>
  <c r="L8" i="4"/>
  <c r="H214" i="4"/>
  <c r="I62" i="4"/>
  <c r="G1" i="8"/>
  <c r="C242" i="4"/>
  <c r="F3" i="8"/>
  <c r="F2" i="8"/>
  <c r="G126" i="3"/>
  <c r="G16" i="3"/>
  <c r="D2" i="4"/>
  <c r="E1" i="4"/>
  <c r="D3" i="4"/>
  <c r="P8" i="8" l="1"/>
  <c r="J214" i="8"/>
  <c r="K62" i="8"/>
  <c r="E54" i="8"/>
  <c r="D20" i="8"/>
  <c r="D21" i="8" s="1"/>
  <c r="D56" i="8" s="1"/>
  <c r="D58" i="8" s="1"/>
  <c r="F19" i="8"/>
  <c r="F51" i="8"/>
  <c r="F18" i="8"/>
  <c r="F52" i="8"/>
  <c r="F17" i="8"/>
  <c r="F53" i="8"/>
  <c r="C235" i="8"/>
  <c r="C244" i="8" s="1"/>
  <c r="C78" i="8"/>
  <c r="C236" i="8" s="1"/>
  <c r="C245" i="8" s="1"/>
  <c r="C80" i="8"/>
  <c r="D49" i="4"/>
  <c r="D15" i="4"/>
  <c r="D13" i="4"/>
  <c r="D14" i="4" s="1"/>
  <c r="D5" i="4"/>
  <c r="D6" i="4"/>
  <c r="D48" i="4"/>
  <c r="D47" i="4"/>
  <c r="E70" i="4"/>
  <c r="E222" i="4" s="1"/>
  <c r="F46" i="4"/>
  <c r="E77" i="4"/>
  <c r="E229" i="4" s="1"/>
  <c r="F44" i="4"/>
  <c r="E76" i="4"/>
  <c r="E36" i="4"/>
  <c r="E37" i="4"/>
  <c r="E74" i="4"/>
  <c r="E35" i="4"/>
  <c r="E24" i="4"/>
  <c r="F43" i="4"/>
  <c r="F38" i="4"/>
  <c r="E75" i="4"/>
  <c r="F42" i="4"/>
  <c r="F41" i="4"/>
  <c r="F40" i="4"/>
  <c r="E72" i="4"/>
  <c r="E33" i="4"/>
  <c r="E73" i="4"/>
  <c r="E34" i="4"/>
  <c r="I214" i="4"/>
  <c r="J62" i="4"/>
  <c r="M8" i="4"/>
  <c r="C78" i="4"/>
  <c r="C80" i="4"/>
  <c r="D18" i="4"/>
  <c r="D52" i="4"/>
  <c r="D19" i="4"/>
  <c r="D53" i="4"/>
  <c r="D51" i="4"/>
  <c r="D17" i="4"/>
  <c r="H1" i="8"/>
  <c r="G2" i="8"/>
  <c r="G3" i="8"/>
  <c r="D242" i="4"/>
  <c r="E2" i="4"/>
  <c r="E3" i="4"/>
  <c r="F1" i="4"/>
  <c r="D61" i="8" l="1"/>
  <c r="E57" i="8"/>
  <c r="E20" i="8" s="1"/>
  <c r="E21" i="8" s="1"/>
  <c r="E56" i="8" s="1"/>
  <c r="E58" i="8" s="1"/>
  <c r="F54" i="8"/>
  <c r="G53" i="8"/>
  <c r="G51" i="8"/>
  <c r="G17" i="8"/>
  <c r="G18" i="8"/>
  <c r="G52" i="8"/>
  <c r="G19" i="8"/>
  <c r="C81" i="8"/>
  <c r="C87" i="8" s="1"/>
  <c r="K214" i="8"/>
  <c r="L62" i="8"/>
  <c r="Q8" i="8"/>
  <c r="H3" i="8"/>
  <c r="F77" i="4"/>
  <c r="F229" i="4" s="1"/>
  <c r="G44" i="4"/>
  <c r="F37" i="4"/>
  <c r="F76" i="4"/>
  <c r="G43" i="4"/>
  <c r="F35" i="4"/>
  <c r="F73" i="4"/>
  <c r="F74" i="4"/>
  <c r="G41" i="4"/>
  <c r="G40" i="4"/>
  <c r="F36" i="4"/>
  <c r="F24" i="4"/>
  <c r="G46" i="4"/>
  <c r="G38" i="4"/>
  <c r="F72" i="4"/>
  <c r="F75" i="4"/>
  <c r="G42" i="4"/>
  <c r="F34" i="4"/>
  <c r="F33" i="4"/>
  <c r="F70" i="4"/>
  <c r="F222" i="4" s="1"/>
  <c r="E49" i="4"/>
  <c r="E48" i="4"/>
  <c r="E13" i="4"/>
  <c r="E14" i="4" s="1"/>
  <c r="E15" i="4"/>
  <c r="E6" i="4"/>
  <c r="E5" i="4"/>
  <c r="E47" i="4"/>
  <c r="D54" i="4"/>
  <c r="D20" i="4" s="1"/>
  <c r="D21" i="4" s="1"/>
  <c r="D56" i="4" s="1"/>
  <c r="D58" i="4" s="1"/>
  <c r="E52" i="4"/>
  <c r="E51" i="4"/>
  <c r="E19" i="4"/>
  <c r="E18" i="4"/>
  <c r="E53" i="4"/>
  <c r="E17" i="4"/>
  <c r="C81" i="4"/>
  <c r="C87" i="4" s="1"/>
  <c r="N8" i="4"/>
  <c r="J214" i="4"/>
  <c r="K62" i="4"/>
  <c r="H2" i="8"/>
  <c r="I1" i="8"/>
  <c r="E242" i="4"/>
  <c r="F2" i="4"/>
  <c r="G1" i="4"/>
  <c r="F3" i="4"/>
  <c r="H53" i="8" l="1"/>
  <c r="H18" i="8"/>
  <c r="H17" i="8"/>
  <c r="H51" i="8"/>
  <c r="H19" i="8"/>
  <c r="H52" i="8"/>
  <c r="G54" i="8"/>
  <c r="R8" i="8"/>
  <c r="F57" i="8"/>
  <c r="F20" i="8" s="1"/>
  <c r="F21" i="8" s="1"/>
  <c r="F56" i="8" s="1"/>
  <c r="F58" i="8" s="1"/>
  <c r="E61" i="8"/>
  <c r="C90" i="8"/>
  <c r="C91" i="8" s="1"/>
  <c r="C93" i="8" s="1"/>
  <c r="C89" i="8"/>
  <c r="M62" i="8"/>
  <c r="L214" i="8"/>
  <c r="D235" i="8"/>
  <c r="D244" i="8" s="1"/>
  <c r="D80" i="8"/>
  <c r="D78" i="8"/>
  <c r="D236" i="8" s="1"/>
  <c r="D245" i="8" s="1"/>
  <c r="F48" i="4"/>
  <c r="F13" i="4"/>
  <c r="F14" i="4" s="1"/>
  <c r="F49" i="4"/>
  <c r="F15" i="4"/>
  <c r="F6" i="4"/>
  <c r="F5" i="4"/>
  <c r="F47" i="4"/>
  <c r="G76" i="4"/>
  <c r="G36" i="4"/>
  <c r="H43" i="4"/>
  <c r="G75" i="4"/>
  <c r="G74" i="4"/>
  <c r="G37" i="4"/>
  <c r="G24" i="4"/>
  <c r="H41" i="4"/>
  <c r="G35" i="4"/>
  <c r="G73" i="4"/>
  <c r="H46" i="4"/>
  <c r="G70" i="4"/>
  <c r="G222" i="4" s="1"/>
  <c r="G77" i="4"/>
  <c r="G229" i="4" s="1"/>
  <c r="H38" i="4"/>
  <c r="G72" i="4"/>
  <c r="G33" i="4"/>
  <c r="H40" i="4"/>
  <c r="H44" i="4"/>
  <c r="G34" i="4"/>
  <c r="H42" i="4"/>
  <c r="I3" i="8"/>
  <c r="C90" i="4"/>
  <c r="C91" i="4" s="1"/>
  <c r="C93" i="4" s="1"/>
  <c r="C94" i="4" s="1"/>
  <c r="C89" i="4"/>
  <c r="F17" i="4"/>
  <c r="F51" i="4"/>
  <c r="F52" i="4"/>
  <c r="F18" i="4"/>
  <c r="F19" i="4"/>
  <c r="F53" i="4"/>
  <c r="E54" i="4"/>
  <c r="O8" i="4"/>
  <c r="K214" i="4"/>
  <c r="L62" i="4"/>
  <c r="E57" i="4"/>
  <c r="D61" i="4"/>
  <c r="I2" i="8"/>
  <c r="J1" i="8"/>
  <c r="H1" i="4"/>
  <c r="F242" i="4"/>
  <c r="G2" i="4"/>
  <c r="G3" i="4"/>
  <c r="H54" i="8" l="1"/>
  <c r="C94" i="8"/>
  <c r="E235" i="8"/>
  <c r="E244" i="8" s="1"/>
  <c r="E78" i="8"/>
  <c r="E236" i="8" s="1"/>
  <c r="E245" i="8" s="1"/>
  <c r="E80" i="8"/>
  <c r="F61" i="8"/>
  <c r="G57" i="8"/>
  <c r="G20" i="8" s="1"/>
  <c r="G21" i="8" s="1"/>
  <c r="G56" i="8" s="1"/>
  <c r="G58" i="8" s="1"/>
  <c r="D81" i="8"/>
  <c r="D87" i="8" s="1"/>
  <c r="I53" i="8"/>
  <c r="I52" i="8"/>
  <c r="I17" i="8"/>
  <c r="I51" i="8"/>
  <c r="I18" i="8"/>
  <c r="I19" i="8"/>
  <c r="C221" i="8"/>
  <c r="D86" i="8"/>
  <c r="S8" i="8"/>
  <c r="M214" i="8"/>
  <c r="N62" i="8"/>
  <c r="H3" i="4"/>
  <c r="G6" i="4"/>
  <c r="G13" i="4"/>
  <c r="G14" i="4" s="1"/>
  <c r="G5" i="4"/>
  <c r="G48" i="4"/>
  <c r="G49" i="4"/>
  <c r="G15" i="4"/>
  <c r="G47" i="4"/>
  <c r="J3" i="8"/>
  <c r="I43" i="4"/>
  <c r="H35" i="4"/>
  <c r="H75" i="4"/>
  <c r="I42" i="4"/>
  <c r="H34" i="4"/>
  <c r="H72" i="4"/>
  <c r="I41" i="4"/>
  <c r="H73" i="4"/>
  <c r="I46" i="4"/>
  <c r="I38" i="4"/>
  <c r="H37" i="4"/>
  <c r="H33" i="4"/>
  <c r="I40" i="4"/>
  <c r="H76" i="4"/>
  <c r="I44" i="4"/>
  <c r="H36" i="4"/>
  <c r="H77" i="4"/>
  <c r="H229" i="4" s="1"/>
  <c r="H70" i="4"/>
  <c r="H222" i="4" s="1"/>
  <c r="H74" i="4"/>
  <c r="H24" i="4"/>
  <c r="F54" i="4"/>
  <c r="L214" i="4"/>
  <c r="M62" i="4"/>
  <c r="C221" i="4"/>
  <c r="D86" i="4"/>
  <c r="D80" i="4"/>
  <c r="D78" i="4"/>
  <c r="E20" i="4"/>
  <c r="E21" i="4" s="1"/>
  <c r="E56" i="4" s="1"/>
  <c r="E58" i="4" s="1"/>
  <c r="P8" i="4"/>
  <c r="H2" i="4"/>
  <c r="G51" i="4"/>
  <c r="G19" i="4"/>
  <c r="G52" i="4"/>
  <c r="G18" i="4"/>
  <c r="G17" i="4"/>
  <c r="G53" i="4"/>
  <c r="J2" i="8"/>
  <c r="K1" i="8"/>
  <c r="I1" i="4"/>
  <c r="H242" i="4"/>
  <c r="I3" i="4"/>
  <c r="G242" i="4"/>
  <c r="N214" i="8" l="1"/>
  <c r="O62" i="8"/>
  <c r="J52" i="8"/>
  <c r="J17" i="8"/>
  <c r="J51" i="8"/>
  <c r="J18" i="8"/>
  <c r="J19" i="8"/>
  <c r="J53" i="8"/>
  <c r="T8" i="8"/>
  <c r="F235" i="8"/>
  <c r="F244" i="8" s="1"/>
  <c r="F78" i="8"/>
  <c r="F236" i="8" s="1"/>
  <c r="F245" i="8" s="1"/>
  <c r="F80" i="8"/>
  <c r="E81" i="8"/>
  <c r="D90" i="8"/>
  <c r="D91" i="8"/>
  <c r="D93" i="8" s="1"/>
  <c r="H57" i="8"/>
  <c r="H20" i="8" s="1"/>
  <c r="H21" i="8" s="1"/>
  <c r="H56" i="8" s="1"/>
  <c r="H58" i="8" s="1"/>
  <c r="G61" i="8"/>
  <c r="D88" i="8"/>
  <c r="D89" i="8" s="1"/>
  <c r="I54" i="8"/>
  <c r="G54" i="4"/>
  <c r="K3" i="8"/>
  <c r="H47" i="4"/>
  <c r="H13" i="4"/>
  <c r="H14" i="4" s="1"/>
  <c r="H49" i="4"/>
  <c r="H5" i="4"/>
  <c r="H15" i="4"/>
  <c r="H48" i="4"/>
  <c r="H6" i="4"/>
  <c r="I75" i="4"/>
  <c r="J42" i="4"/>
  <c r="I74" i="4"/>
  <c r="I73" i="4"/>
  <c r="J46" i="4"/>
  <c r="I35" i="4"/>
  <c r="J38" i="4"/>
  <c r="I72" i="4"/>
  <c r="J44" i="4"/>
  <c r="I33" i="4"/>
  <c r="I77" i="4"/>
  <c r="I229" i="4" s="1"/>
  <c r="I34" i="4"/>
  <c r="J43" i="4"/>
  <c r="I37" i="4"/>
  <c r="J40" i="4"/>
  <c r="I76" i="4"/>
  <c r="J41" i="4"/>
  <c r="I36" i="4"/>
  <c r="I70" i="4"/>
  <c r="I222" i="4" s="1"/>
  <c r="I24" i="4"/>
  <c r="J3" i="4"/>
  <c r="I47" i="4"/>
  <c r="I49" i="4"/>
  <c r="I13" i="4"/>
  <c r="I14" i="4" s="1"/>
  <c r="I48" i="4"/>
  <c r="I15" i="4"/>
  <c r="I6" i="4"/>
  <c r="I5" i="4"/>
  <c r="I2" i="4"/>
  <c r="H53" i="4"/>
  <c r="H52" i="4"/>
  <c r="H18" i="4"/>
  <c r="H51" i="4"/>
  <c r="H17" i="4"/>
  <c r="H19" i="4"/>
  <c r="D81" i="4"/>
  <c r="D87" i="4" s="1"/>
  <c r="Q8" i="4"/>
  <c r="F57" i="4"/>
  <c r="F20" i="4" s="1"/>
  <c r="F21" i="4" s="1"/>
  <c r="F56" i="4" s="1"/>
  <c r="F58" i="4" s="1"/>
  <c r="E61" i="4"/>
  <c r="M214" i="4"/>
  <c r="N62" i="4"/>
  <c r="K2" i="8"/>
  <c r="J1" i="4"/>
  <c r="L1" i="8"/>
  <c r="I242" i="4"/>
  <c r="U8" i="8" l="1"/>
  <c r="G235" i="8"/>
  <c r="G244" i="8" s="1"/>
  <c r="G78" i="8"/>
  <c r="G236" i="8" s="1"/>
  <c r="G245" i="8" s="1"/>
  <c r="G80" i="8"/>
  <c r="J54" i="8"/>
  <c r="K52" i="8"/>
  <c r="K51" i="8"/>
  <c r="K53" i="8"/>
  <c r="K19" i="8"/>
  <c r="K17" i="8"/>
  <c r="K18" i="8"/>
  <c r="D221" i="8"/>
  <c r="E86" i="8"/>
  <c r="H61" i="8"/>
  <c r="I57" i="8"/>
  <c r="I20" i="8" s="1"/>
  <c r="I21" i="8" s="1"/>
  <c r="I56" i="8" s="1"/>
  <c r="I58" i="8" s="1"/>
  <c r="D94" i="8"/>
  <c r="C98" i="8" s="1"/>
  <c r="E87" i="8"/>
  <c r="O214" i="8"/>
  <c r="P62" i="8"/>
  <c r="F81" i="8"/>
  <c r="L3" i="8"/>
  <c r="J49" i="4"/>
  <c r="J13" i="4"/>
  <c r="J14" i="4" s="1"/>
  <c r="J15" i="4"/>
  <c r="J48" i="4"/>
  <c r="J6" i="4"/>
  <c r="J5" i="4"/>
  <c r="J242" i="4"/>
  <c r="K3" i="4"/>
  <c r="K42" i="4"/>
  <c r="J34" i="4"/>
  <c r="J74" i="4"/>
  <c r="K41" i="4"/>
  <c r="J33" i="4"/>
  <c r="J70" i="4"/>
  <c r="J222" i="4" s="1"/>
  <c r="K46" i="4"/>
  <c r="K47" i="4" s="1"/>
  <c r="K38" i="4"/>
  <c r="J72" i="4"/>
  <c r="K44" i="4"/>
  <c r="J76" i="4"/>
  <c r="K40" i="4"/>
  <c r="J35" i="4"/>
  <c r="J77" i="4"/>
  <c r="J229" i="4" s="1"/>
  <c r="J36" i="4"/>
  <c r="J73" i="4"/>
  <c r="J75" i="4"/>
  <c r="J37" i="4"/>
  <c r="K43" i="4"/>
  <c r="J24" i="4"/>
  <c r="J47" i="4"/>
  <c r="H54" i="4"/>
  <c r="D90" i="4"/>
  <c r="D91" i="4" s="1"/>
  <c r="D93" i="4" s="1"/>
  <c r="N214" i="4"/>
  <c r="O62" i="4"/>
  <c r="E78" i="4"/>
  <c r="E80" i="4"/>
  <c r="D88" i="4"/>
  <c r="D89" i="4" s="1"/>
  <c r="G57" i="4"/>
  <c r="G20" i="4" s="1"/>
  <c r="G21" i="4" s="1"/>
  <c r="G56" i="4" s="1"/>
  <c r="G58" i="4" s="1"/>
  <c r="F61" i="4"/>
  <c r="R8" i="4"/>
  <c r="J2" i="4"/>
  <c r="I18" i="4"/>
  <c r="I17" i="4"/>
  <c r="I53" i="4"/>
  <c r="I51" i="4"/>
  <c r="I52" i="4"/>
  <c r="I19" i="4"/>
  <c r="L2" i="8"/>
  <c r="M1" i="8"/>
  <c r="K1" i="4"/>
  <c r="G81" i="8" l="1"/>
  <c r="H235" i="8"/>
  <c r="H244" i="8" s="1"/>
  <c r="H80" i="8"/>
  <c r="H78" i="8"/>
  <c r="H236" i="8" s="1"/>
  <c r="H245" i="8" s="1"/>
  <c r="K54" i="8"/>
  <c r="C101" i="8"/>
  <c r="C185" i="8"/>
  <c r="C195" i="8" s="1"/>
  <c r="C219" i="8" s="1"/>
  <c r="C100" i="8"/>
  <c r="E88" i="8"/>
  <c r="E89" i="8" s="1"/>
  <c r="P214" i="8"/>
  <c r="Q62" i="8"/>
  <c r="E90" i="8"/>
  <c r="E91" i="8" s="1"/>
  <c r="I61" i="8"/>
  <c r="J57" i="8"/>
  <c r="J20" i="8" s="1"/>
  <c r="J21" i="8" s="1"/>
  <c r="J56" i="8" s="1"/>
  <c r="J58" i="8" s="1"/>
  <c r="L51" i="8"/>
  <c r="L53" i="8"/>
  <c r="L17" i="8"/>
  <c r="L18" i="8"/>
  <c r="L19" i="8"/>
  <c r="L52" i="8"/>
  <c r="V8" i="8"/>
  <c r="K74" i="4"/>
  <c r="L41" i="4"/>
  <c r="K73" i="4"/>
  <c r="K77" i="4"/>
  <c r="K229" i="4" s="1"/>
  <c r="L44" i="4"/>
  <c r="K72" i="4"/>
  <c r="K33" i="4"/>
  <c r="L43" i="4"/>
  <c r="L40" i="4"/>
  <c r="L42" i="4"/>
  <c r="L38" i="4"/>
  <c r="L46" i="4"/>
  <c r="K76" i="4"/>
  <c r="K34" i="4"/>
  <c r="K35" i="4"/>
  <c r="K75" i="4"/>
  <c r="K37" i="4"/>
  <c r="K70" i="4"/>
  <c r="K222" i="4" s="1"/>
  <c r="K24" i="4"/>
  <c r="K36" i="4"/>
  <c r="M3" i="8"/>
  <c r="K48" i="4"/>
  <c r="K6" i="4"/>
  <c r="K5" i="4"/>
  <c r="K15" i="4"/>
  <c r="K13" i="4"/>
  <c r="K14" i="4" s="1"/>
  <c r="K49" i="4"/>
  <c r="K242" i="4"/>
  <c r="L3" i="4"/>
  <c r="D94" i="4"/>
  <c r="C98" i="4" s="1"/>
  <c r="D221" i="4"/>
  <c r="E86" i="4"/>
  <c r="E81" i="4"/>
  <c r="H57" i="4"/>
  <c r="H20" i="4" s="1"/>
  <c r="H21" i="4" s="1"/>
  <c r="H56" i="4" s="1"/>
  <c r="H58" i="4" s="1"/>
  <c r="G61" i="4"/>
  <c r="I54" i="4"/>
  <c r="O214" i="4"/>
  <c r="P62" i="4"/>
  <c r="J52" i="4"/>
  <c r="J53" i="4"/>
  <c r="J51" i="4"/>
  <c r="J17" i="4"/>
  <c r="J19" i="4"/>
  <c r="J18" i="4"/>
  <c r="K2" i="4"/>
  <c r="S8" i="4"/>
  <c r="F78" i="4"/>
  <c r="F80" i="4"/>
  <c r="M2" i="8"/>
  <c r="N1" i="8"/>
  <c r="L1" i="4"/>
  <c r="L54" i="8" l="1"/>
  <c r="E93" i="8"/>
  <c r="E221" i="8"/>
  <c r="F86" i="8"/>
  <c r="D97" i="8"/>
  <c r="C104" i="8"/>
  <c r="K57" i="8"/>
  <c r="K20" i="8" s="1"/>
  <c r="K21" i="8" s="1"/>
  <c r="K56" i="8" s="1"/>
  <c r="K58" i="8" s="1"/>
  <c r="J61" i="8"/>
  <c r="W8" i="8"/>
  <c r="Q214" i="8"/>
  <c r="R62" i="8"/>
  <c r="I235" i="8"/>
  <c r="I244" i="8" s="1"/>
  <c r="I80" i="8"/>
  <c r="I78" i="8"/>
  <c r="I236" i="8" s="1"/>
  <c r="I245" i="8" s="1"/>
  <c r="M51" i="8"/>
  <c r="M53" i="8"/>
  <c r="M18" i="8"/>
  <c r="M17" i="8"/>
  <c r="M19" i="8"/>
  <c r="M52" i="8"/>
  <c r="H81" i="8"/>
  <c r="E87" i="4"/>
  <c r="L48" i="4"/>
  <c r="L15" i="4"/>
  <c r="L5" i="4"/>
  <c r="L49" i="4"/>
  <c r="L13" i="4"/>
  <c r="L14" i="4" s="1"/>
  <c r="L6" i="4"/>
  <c r="L242" i="4"/>
  <c r="M3" i="4"/>
  <c r="M242" i="4" s="1"/>
  <c r="M41" i="4"/>
  <c r="L33" i="4"/>
  <c r="L73" i="4"/>
  <c r="M40" i="4"/>
  <c r="L76" i="4"/>
  <c r="M44" i="4"/>
  <c r="M43" i="4"/>
  <c r="L36" i="4"/>
  <c r="L75" i="4"/>
  <c r="L37" i="4"/>
  <c r="M46" i="4"/>
  <c r="L72" i="4"/>
  <c r="L34" i="4"/>
  <c r="L74" i="4"/>
  <c r="L35" i="4"/>
  <c r="L77" i="4"/>
  <c r="L229" i="4" s="1"/>
  <c r="M42" i="4"/>
  <c r="M38" i="4"/>
  <c r="L70" i="4"/>
  <c r="L222" i="4" s="1"/>
  <c r="L24" i="4"/>
  <c r="N3" i="8"/>
  <c r="L47" i="4"/>
  <c r="K18" i="4"/>
  <c r="K53" i="4"/>
  <c r="K17" i="4"/>
  <c r="K19" i="4"/>
  <c r="K52" i="4"/>
  <c r="K51" i="4"/>
  <c r="L2" i="4"/>
  <c r="F81" i="4"/>
  <c r="G80" i="4"/>
  <c r="G78" i="4"/>
  <c r="T8" i="4"/>
  <c r="J54" i="4"/>
  <c r="P214" i="4"/>
  <c r="Q62" i="4"/>
  <c r="H61" i="4"/>
  <c r="I57" i="4"/>
  <c r="I20" i="4" s="1"/>
  <c r="I21" i="4" s="1"/>
  <c r="I56" i="4" s="1"/>
  <c r="I58" i="4" s="1"/>
  <c r="C185" i="4"/>
  <c r="C195" i="4" s="1"/>
  <c r="C219" i="4" s="1"/>
  <c r="C101" i="4"/>
  <c r="C100" i="4"/>
  <c r="N2" i="8"/>
  <c r="O1" i="8"/>
  <c r="M1" i="4"/>
  <c r="C235" i="4"/>
  <c r="M54" i="8" l="1"/>
  <c r="D102" i="8"/>
  <c r="D103" i="8"/>
  <c r="F87" i="8"/>
  <c r="J235" i="8"/>
  <c r="J244" i="8" s="1"/>
  <c r="J80" i="8"/>
  <c r="J78" i="8"/>
  <c r="J236" i="8" s="1"/>
  <c r="J245" i="8" s="1"/>
  <c r="X8" i="8"/>
  <c r="L57" i="8"/>
  <c r="L20" i="8" s="1"/>
  <c r="L21" i="8" s="1"/>
  <c r="L56" i="8" s="1"/>
  <c r="L58" i="8" s="1"/>
  <c r="K61" i="8"/>
  <c r="C199" i="8"/>
  <c r="C209" i="8" s="1"/>
  <c r="C227" i="8" s="1"/>
  <c r="C105" i="8"/>
  <c r="N53" i="8"/>
  <c r="N52" i="8"/>
  <c r="N18" i="8"/>
  <c r="N19" i="8"/>
  <c r="N17" i="8"/>
  <c r="N51" i="8"/>
  <c r="I81" i="8"/>
  <c r="R214" i="8"/>
  <c r="S62" i="8"/>
  <c r="E94" i="8"/>
  <c r="D98" i="8" s="1"/>
  <c r="N3" i="4"/>
  <c r="O3" i="8"/>
  <c r="M47" i="4"/>
  <c r="M48" i="4"/>
  <c r="M5" i="4"/>
  <c r="M49" i="4"/>
  <c r="M6" i="4"/>
  <c r="M15" i="4"/>
  <c r="M13" i="4"/>
  <c r="M14" i="4" s="1"/>
  <c r="N48" i="4"/>
  <c r="N5" i="4"/>
  <c r="N49" i="4"/>
  <c r="N6" i="4"/>
  <c r="N13" i="4"/>
  <c r="N14" i="4" s="1"/>
  <c r="N15" i="4"/>
  <c r="M73" i="4"/>
  <c r="N40" i="4"/>
  <c r="M72" i="4"/>
  <c r="N43" i="4"/>
  <c r="M33" i="4"/>
  <c r="M36" i="4"/>
  <c r="M70" i="4"/>
  <c r="M222" i="4" s="1"/>
  <c r="M34" i="4"/>
  <c r="M76" i="4"/>
  <c r="M74" i="4"/>
  <c r="N42" i="4"/>
  <c r="M24" i="4"/>
  <c r="N46" i="4"/>
  <c r="N47" i="4" s="1"/>
  <c r="M77" i="4"/>
  <c r="M229" i="4" s="1"/>
  <c r="N41" i="4"/>
  <c r="N38" i="4"/>
  <c r="M75" i="4"/>
  <c r="M37" i="4"/>
  <c r="N44" i="4"/>
  <c r="M35" i="4"/>
  <c r="K54" i="4"/>
  <c r="E88" i="4"/>
  <c r="E89" i="4" s="1"/>
  <c r="U8" i="4"/>
  <c r="G81" i="4"/>
  <c r="I61" i="4"/>
  <c r="J57" i="4"/>
  <c r="J20" i="4" s="1"/>
  <c r="J21" i="4" s="1"/>
  <c r="J56" i="4" s="1"/>
  <c r="J58" i="4" s="1"/>
  <c r="Q214" i="4"/>
  <c r="R62" i="4"/>
  <c r="E90" i="4"/>
  <c r="E91" i="4" s="1"/>
  <c r="L19" i="4"/>
  <c r="L51" i="4"/>
  <c r="L53" i="4"/>
  <c r="L17" i="4"/>
  <c r="L18" i="4"/>
  <c r="L52" i="4"/>
  <c r="M2" i="4"/>
  <c r="D97" i="4"/>
  <c r="C104" i="4"/>
  <c r="H80" i="4"/>
  <c r="H78" i="4"/>
  <c r="O2" i="8"/>
  <c r="P1" i="8"/>
  <c r="N1" i="4"/>
  <c r="N242" i="4"/>
  <c r="O3" i="4"/>
  <c r="C236" i="4"/>
  <c r="C245" i="4" s="1"/>
  <c r="C244" i="4"/>
  <c r="D235" i="4"/>
  <c r="D236" i="4"/>
  <c r="D245" i="4" s="1"/>
  <c r="J81" i="8" l="1"/>
  <c r="S214" i="8"/>
  <c r="T62" i="8"/>
  <c r="K235" i="8"/>
  <c r="K244" i="8" s="1"/>
  <c r="K80" i="8"/>
  <c r="K78" i="8"/>
  <c r="K236" i="8" s="1"/>
  <c r="K245" i="8" s="1"/>
  <c r="D99" i="8"/>
  <c r="D100" i="8" s="1"/>
  <c r="M57" i="8"/>
  <c r="M20" i="8" s="1"/>
  <c r="M21" i="8" s="1"/>
  <c r="M56" i="8" s="1"/>
  <c r="M58" i="8" s="1"/>
  <c r="L61" i="8"/>
  <c r="O53" i="8"/>
  <c r="O19" i="8"/>
  <c r="O52" i="8"/>
  <c r="O51" i="8"/>
  <c r="O17" i="8"/>
  <c r="O18" i="8"/>
  <c r="Y8" i="8"/>
  <c r="F90" i="8"/>
  <c r="F91" i="8" s="1"/>
  <c r="D101" i="8"/>
  <c r="D185" i="8"/>
  <c r="D195" i="8" s="1"/>
  <c r="D219" i="8" s="1"/>
  <c r="C107" i="8"/>
  <c r="F88" i="8"/>
  <c r="F89" i="8" s="1"/>
  <c r="N54" i="8"/>
  <c r="O40" i="4"/>
  <c r="N72" i="4"/>
  <c r="O38" i="4"/>
  <c r="N75" i="4"/>
  <c r="O43" i="4"/>
  <c r="N36" i="4"/>
  <c r="N70" i="4"/>
  <c r="N222" i="4" s="1"/>
  <c r="N35" i="4"/>
  <c r="N76" i="4"/>
  <c r="N33" i="4"/>
  <c r="N74" i="4"/>
  <c r="O46" i="4"/>
  <c r="N77" i="4"/>
  <c r="N229" i="4" s="1"/>
  <c r="O41" i="4"/>
  <c r="N34" i="4"/>
  <c r="N37" i="4"/>
  <c r="N73" i="4"/>
  <c r="O42" i="4"/>
  <c r="N24" i="4"/>
  <c r="O44" i="4"/>
  <c r="P3" i="8"/>
  <c r="O49" i="4"/>
  <c r="O47" i="4"/>
  <c r="O48" i="4"/>
  <c r="O6" i="4"/>
  <c r="O15" i="4"/>
  <c r="O13" i="4"/>
  <c r="O14" i="4" s="1"/>
  <c r="O5" i="4"/>
  <c r="E93" i="4"/>
  <c r="E221" i="4"/>
  <c r="F86" i="4"/>
  <c r="F87" i="4" s="1"/>
  <c r="C199" i="4"/>
  <c r="C209" i="4" s="1"/>
  <c r="C227" i="4" s="1"/>
  <c r="D102" i="4"/>
  <c r="D103" i="4"/>
  <c r="R214" i="4"/>
  <c r="S62" i="4"/>
  <c r="I80" i="4"/>
  <c r="I78" i="4"/>
  <c r="J61" i="4"/>
  <c r="K57" i="4"/>
  <c r="K20" i="4" s="1"/>
  <c r="K21" i="4" s="1"/>
  <c r="K56" i="4" s="1"/>
  <c r="K58" i="4" s="1"/>
  <c r="V8" i="4"/>
  <c r="H81" i="4"/>
  <c r="M53" i="4"/>
  <c r="M52" i="4"/>
  <c r="M19" i="4"/>
  <c r="M17" i="4"/>
  <c r="M18" i="4"/>
  <c r="M51" i="4"/>
  <c r="N2" i="4"/>
  <c r="L54" i="4"/>
  <c r="C105" i="4"/>
  <c r="P2" i="8"/>
  <c r="O1" i="4"/>
  <c r="Q1" i="8"/>
  <c r="P3" i="4"/>
  <c r="O242" i="4"/>
  <c r="D244" i="4"/>
  <c r="E235" i="4"/>
  <c r="E244" i="4" s="1"/>
  <c r="E236" i="4"/>
  <c r="E245" i="4" s="1"/>
  <c r="O54" i="8" l="1"/>
  <c r="E97" i="8"/>
  <c r="D104" i="8"/>
  <c r="F221" i="8"/>
  <c r="G86" i="8"/>
  <c r="F93" i="8"/>
  <c r="M61" i="8"/>
  <c r="N57" i="8"/>
  <c r="N20" i="8" s="1"/>
  <c r="N21" i="8" s="1"/>
  <c r="N56" i="8" s="1"/>
  <c r="N58" i="8" s="1"/>
  <c r="Z8" i="8"/>
  <c r="K81" i="8"/>
  <c r="T214" i="8"/>
  <c r="U62" i="8"/>
  <c r="C108" i="8"/>
  <c r="C109" i="8" s="1"/>
  <c r="C110" i="8" s="1"/>
  <c r="P52" i="8"/>
  <c r="P19" i="8"/>
  <c r="P51" i="8"/>
  <c r="P53" i="8"/>
  <c r="P17" i="8"/>
  <c r="P18" i="8"/>
  <c r="L235" i="8"/>
  <c r="L244" i="8" s="1"/>
  <c r="L80" i="8"/>
  <c r="L78" i="8"/>
  <c r="L236" i="8" s="1"/>
  <c r="L245" i="8" s="1"/>
  <c r="Q3" i="8"/>
  <c r="O72" i="4"/>
  <c r="O70" i="4"/>
  <c r="O222" i="4" s="1"/>
  <c r="P46" i="4"/>
  <c r="P47" i="4" s="1"/>
  <c r="P40" i="4"/>
  <c r="O77" i="4"/>
  <c r="O229" i="4" s="1"/>
  <c r="O34" i="4"/>
  <c r="O74" i="4"/>
  <c r="O35" i="4"/>
  <c r="P44" i="4"/>
  <c r="P41" i="4"/>
  <c r="O75" i="4"/>
  <c r="O36" i="4"/>
  <c r="O76" i="4"/>
  <c r="P38" i="4"/>
  <c r="O37" i="4"/>
  <c r="P42" i="4"/>
  <c r="O24" i="4"/>
  <c r="O73" i="4"/>
  <c r="O33" i="4"/>
  <c r="P43" i="4"/>
  <c r="P49" i="4"/>
  <c r="P48" i="4"/>
  <c r="P6" i="4"/>
  <c r="P15" i="4"/>
  <c r="P13" i="4"/>
  <c r="P14" i="4" s="1"/>
  <c r="P5" i="4"/>
  <c r="C107" i="4"/>
  <c r="W8" i="4"/>
  <c r="K61" i="4"/>
  <c r="L57" i="4"/>
  <c r="L20" i="4" s="1"/>
  <c r="L21" i="4" s="1"/>
  <c r="L56" i="4" s="1"/>
  <c r="L58" i="4" s="1"/>
  <c r="M54" i="4"/>
  <c r="J78" i="4"/>
  <c r="J80" i="4"/>
  <c r="N19" i="4"/>
  <c r="N53" i="4"/>
  <c r="N18" i="4"/>
  <c r="N52" i="4"/>
  <c r="N17" i="4"/>
  <c r="N51" i="4"/>
  <c r="O2" i="4"/>
  <c r="I81" i="4"/>
  <c r="S214" i="4"/>
  <c r="T62" i="4"/>
  <c r="E94" i="4"/>
  <c r="D98" i="4" s="1"/>
  <c r="Q2" i="8"/>
  <c r="R1" i="8"/>
  <c r="P1" i="4"/>
  <c r="P242" i="4"/>
  <c r="Q3" i="4"/>
  <c r="H235" i="4"/>
  <c r="H244" i="4" s="1"/>
  <c r="F235" i="4"/>
  <c r="F244" i="4" s="1"/>
  <c r="F236" i="4"/>
  <c r="F245" i="4" s="1"/>
  <c r="P54" i="8" l="1"/>
  <c r="C111" i="8"/>
  <c r="N61" i="8"/>
  <c r="O57" i="8"/>
  <c r="O20" i="8" s="1"/>
  <c r="O21" i="8" s="1"/>
  <c r="O56" i="8" s="1"/>
  <c r="O58" i="8" s="1"/>
  <c r="M235" i="8"/>
  <c r="M244" i="8" s="1"/>
  <c r="M80" i="8"/>
  <c r="M78" i="8"/>
  <c r="M236" i="8" s="1"/>
  <c r="M245" i="8" s="1"/>
  <c r="F94" i="8"/>
  <c r="E98" i="8" s="1"/>
  <c r="E99" i="8" s="1"/>
  <c r="U214" i="8"/>
  <c r="V62" i="8"/>
  <c r="D199" i="8"/>
  <c r="D209" i="8" s="1"/>
  <c r="D227" i="8" s="1"/>
  <c r="D105" i="8"/>
  <c r="L81" i="8"/>
  <c r="Q18" i="8"/>
  <c r="Q52" i="8"/>
  <c r="Q19" i="8"/>
  <c r="Q51" i="8"/>
  <c r="Q53" i="8"/>
  <c r="Q17" i="8"/>
  <c r="G87" i="8"/>
  <c r="G88" i="8" s="1"/>
  <c r="G89" i="8" s="1"/>
  <c r="AA8" i="8"/>
  <c r="E102" i="8"/>
  <c r="E103" i="8"/>
  <c r="R3" i="8"/>
  <c r="Q49" i="4"/>
  <c r="Q15" i="4"/>
  <c r="Q6" i="4"/>
  <c r="Q13" i="4"/>
  <c r="Q14" i="4" s="1"/>
  <c r="Q5" i="4"/>
  <c r="Q48" i="4"/>
  <c r="Q38" i="4"/>
  <c r="P70" i="4"/>
  <c r="P222" i="4" s="1"/>
  <c r="Q46" i="4"/>
  <c r="Q47" i="4" s="1"/>
  <c r="P77" i="4"/>
  <c r="P229" i="4" s="1"/>
  <c r="Q44" i="4"/>
  <c r="P37" i="4"/>
  <c r="P74" i="4"/>
  <c r="Q40" i="4"/>
  <c r="P34" i="4"/>
  <c r="P76" i="4"/>
  <c r="Q42" i="4"/>
  <c r="Q41" i="4"/>
  <c r="P72" i="4"/>
  <c r="P35" i="4"/>
  <c r="P73" i="4"/>
  <c r="P24" i="4"/>
  <c r="P75" i="4"/>
  <c r="P33" i="4"/>
  <c r="Q43" i="4"/>
  <c r="P36" i="4"/>
  <c r="P31" i="4"/>
  <c r="N54" i="4"/>
  <c r="F90" i="4"/>
  <c r="F91" i="4" s="1"/>
  <c r="F88" i="4"/>
  <c r="F89" i="4" s="1"/>
  <c r="X8" i="4"/>
  <c r="J81" i="4"/>
  <c r="K78" i="4"/>
  <c r="K80" i="4"/>
  <c r="D101" i="4"/>
  <c r="D185" i="4"/>
  <c r="D195" i="4" s="1"/>
  <c r="D219" i="4" s="1"/>
  <c r="D99" i="4"/>
  <c r="D100" i="4" s="1"/>
  <c r="T214" i="4"/>
  <c r="U62" i="4"/>
  <c r="M57" i="4"/>
  <c r="M20" i="4" s="1"/>
  <c r="M21" i="4" s="1"/>
  <c r="M56" i="4" s="1"/>
  <c r="M58" i="4" s="1"/>
  <c r="L61" i="4"/>
  <c r="O53" i="4"/>
  <c r="O52" i="4"/>
  <c r="O51" i="4"/>
  <c r="O17" i="4"/>
  <c r="O19" i="4"/>
  <c r="O18" i="4"/>
  <c r="P2" i="4"/>
  <c r="C108" i="4"/>
  <c r="C109" i="4" s="1"/>
  <c r="C110" i="4" s="1"/>
  <c r="C111" i="4" s="1"/>
  <c r="R2" i="8"/>
  <c r="S1" i="8"/>
  <c r="Q1" i="4"/>
  <c r="Q242" i="4"/>
  <c r="R3" i="4"/>
  <c r="H236" i="4"/>
  <c r="H245" i="4" s="1"/>
  <c r="G236" i="4"/>
  <c r="G245" i="4" s="1"/>
  <c r="G235" i="4"/>
  <c r="G221" i="8" l="1"/>
  <c r="H86" i="8"/>
  <c r="V214" i="8"/>
  <c r="W62" i="8"/>
  <c r="M81" i="8"/>
  <c r="Q54" i="8"/>
  <c r="O61" i="8"/>
  <c r="P57" i="8"/>
  <c r="P20" i="8" s="1"/>
  <c r="P21" i="8" s="1"/>
  <c r="P56" i="8" s="1"/>
  <c r="P58" i="8" s="1"/>
  <c r="E100" i="8"/>
  <c r="N235" i="8"/>
  <c r="N244" i="8" s="1"/>
  <c r="N80" i="8"/>
  <c r="N78" i="8"/>
  <c r="N236" i="8" s="1"/>
  <c r="N245" i="8" s="1"/>
  <c r="E101" i="8"/>
  <c r="E185" i="8"/>
  <c r="E195" i="8" s="1"/>
  <c r="E219" i="8" s="1"/>
  <c r="AB8" i="8"/>
  <c r="D107" i="8"/>
  <c r="R52" i="8"/>
  <c r="R19" i="8"/>
  <c r="R18" i="8"/>
  <c r="R53" i="8"/>
  <c r="R17" i="8"/>
  <c r="R51" i="8"/>
  <c r="G90" i="8"/>
  <c r="G91" i="8" s="1"/>
  <c r="S3" i="8"/>
  <c r="R48" i="4"/>
  <c r="R49" i="4"/>
  <c r="R15" i="4"/>
  <c r="R13" i="4"/>
  <c r="R14" i="4" s="1"/>
  <c r="R6" i="4"/>
  <c r="R5" i="4"/>
  <c r="Q70" i="4"/>
  <c r="Q222" i="4" s="1"/>
  <c r="R46" i="4"/>
  <c r="R47" i="4" s="1"/>
  <c r="Q77" i="4"/>
  <c r="Q229" i="4" s="1"/>
  <c r="R44" i="4"/>
  <c r="Q76" i="4"/>
  <c r="Q36" i="4"/>
  <c r="Q34" i="4"/>
  <c r="R42" i="4"/>
  <c r="Q24" i="4"/>
  <c r="Q73" i="4"/>
  <c r="R38" i="4"/>
  <c r="Q35" i="4"/>
  <c r="Q74" i="4"/>
  <c r="R41" i="4"/>
  <c r="Q75" i="4"/>
  <c r="Q37" i="4"/>
  <c r="Q31" i="4"/>
  <c r="R40" i="4"/>
  <c r="Q33" i="4"/>
  <c r="R43" i="4"/>
  <c r="Q72" i="4"/>
  <c r="F93" i="4"/>
  <c r="O54" i="4"/>
  <c r="K81" i="4"/>
  <c r="L78" i="4"/>
  <c r="L80" i="4"/>
  <c r="N57" i="4"/>
  <c r="N20" i="4" s="1"/>
  <c r="N21" i="4" s="1"/>
  <c r="N56" i="4" s="1"/>
  <c r="N58" i="4" s="1"/>
  <c r="M61" i="4"/>
  <c r="F221" i="4"/>
  <c r="G86" i="4"/>
  <c r="G87" i="4" s="1"/>
  <c r="U214" i="4"/>
  <c r="V62" i="4"/>
  <c r="E97" i="4"/>
  <c r="D104" i="4"/>
  <c r="Y8" i="4"/>
  <c r="P18" i="4"/>
  <c r="P52" i="4"/>
  <c r="P51" i="4"/>
  <c r="P17" i="4"/>
  <c r="P53" i="4"/>
  <c r="P19" i="4"/>
  <c r="Q2" i="4"/>
  <c r="S2" i="8"/>
  <c r="T1" i="8"/>
  <c r="R1" i="4"/>
  <c r="R242" i="4"/>
  <c r="S3" i="4"/>
  <c r="J235" i="4"/>
  <c r="J244" i="4" s="1"/>
  <c r="J236" i="4"/>
  <c r="J245" i="4" s="1"/>
  <c r="I235" i="4"/>
  <c r="I244" i="4" s="1"/>
  <c r="I236" i="4"/>
  <c r="I245" i="4" s="1"/>
  <c r="G244" i="4"/>
  <c r="G93" i="8" l="1"/>
  <c r="S53" i="8"/>
  <c r="S18" i="8"/>
  <c r="S51" i="8"/>
  <c r="S17" i="8"/>
  <c r="S19" i="8"/>
  <c r="S52" i="8"/>
  <c r="P61" i="8"/>
  <c r="Q57" i="8"/>
  <c r="Q20" i="8" s="1"/>
  <c r="Q21" i="8" s="1"/>
  <c r="Q56" i="8" s="1"/>
  <c r="Q58" i="8" s="1"/>
  <c r="AC8" i="8"/>
  <c r="R54" i="8"/>
  <c r="F97" i="8"/>
  <c r="E104" i="8"/>
  <c r="D108" i="8"/>
  <c r="D109" i="8" s="1"/>
  <c r="D110" i="8" s="1"/>
  <c r="O235" i="8"/>
  <c r="O244" i="8" s="1"/>
  <c r="O78" i="8"/>
  <c r="O236" i="8" s="1"/>
  <c r="O245" i="8" s="1"/>
  <c r="O80" i="8"/>
  <c r="X62" i="8"/>
  <c r="W214" i="8"/>
  <c r="H87" i="8"/>
  <c r="N81" i="8"/>
  <c r="R77" i="4"/>
  <c r="R229" i="4" s="1"/>
  <c r="S44" i="4"/>
  <c r="R37" i="4"/>
  <c r="R76" i="4"/>
  <c r="S43" i="4"/>
  <c r="R35" i="4"/>
  <c r="R73" i="4"/>
  <c r="R70" i="4"/>
  <c r="R222" i="4" s="1"/>
  <c r="S42" i="4"/>
  <c r="R75" i="4"/>
  <c r="S46" i="4"/>
  <c r="S47" i="4" s="1"/>
  <c r="R33" i="4"/>
  <c r="R74" i="4"/>
  <c r="S41" i="4"/>
  <c r="R24" i="4"/>
  <c r="S40" i="4"/>
  <c r="R34" i="4"/>
  <c r="S38" i="4"/>
  <c r="R36" i="4"/>
  <c r="R31" i="4"/>
  <c r="R72" i="4"/>
  <c r="T3" i="8"/>
  <c r="S49" i="4"/>
  <c r="S13" i="4"/>
  <c r="S48" i="4"/>
  <c r="S15" i="4"/>
  <c r="S5" i="4"/>
  <c r="S6" i="4"/>
  <c r="Z8" i="4"/>
  <c r="D199" i="4"/>
  <c r="D209" i="4" s="1"/>
  <c r="D227" i="4" s="1"/>
  <c r="E102" i="4"/>
  <c r="E103" i="4"/>
  <c r="V214" i="4"/>
  <c r="W62" i="4"/>
  <c r="P54" i="4"/>
  <c r="O57" i="4"/>
  <c r="O20" i="4" s="1"/>
  <c r="O21" i="4" s="1"/>
  <c r="O56" i="4" s="1"/>
  <c r="O58" i="4" s="1"/>
  <c r="N61" i="4"/>
  <c r="D105" i="4"/>
  <c r="Q52" i="4"/>
  <c r="Q51" i="4"/>
  <c r="Q17" i="4"/>
  <c r="Q53" i="4"/>
  <c r="Q19" i="4"/>
  <c r="Q18" i="4"/>
  <c r="R2" i="4"/>
  <c r="F94" i="4"/>
  <c r="E98" i="4" s="1"/>
  <c r="E99" i="4" s="1"/>
  <c r="E100" i="4" s="1"/>
  <c r="F97" i="4" s="1"/>
  <c r="L81" i="4"/>
  <c r="M78" i="4"/>
  <c r="M80" i="4"/>
  <c r="T2" i="8"/>
  <c r="U1" i="8"/>
  <c r="S1" i="4"/>
  <c r="T3" i="4"/>
  <c r="S242" i="4"/>
  <c r="K235" i="4"/>
  <c r="K244" i="4" s="1"/>
  <c r="K236" i="4"/>
  <c r="K245" i="4" s="1"/>
  <c r="S54" i="8" l="1"/>
  <c r="D111" i="8"/>
  <c r="C115" i="8" s="1"/>
  <c r="H90" i="8"/>
  <c r="H91" i="8" s="1"/>
  <c r="H88" i="8"/>
  <c r="H89" i="8" s="1"/>
  <c r="E199" i="8"/>
  <c r="E209" i="8" s="1"/>
  <c r="E227" i="8" s="1"/>
  <c r="E105" i="8"/>
  <c r="F103" i="8"/>
  <c r="F99" i="8"/>
  <c r="F102" i="8"/>
  <c r="T53" i="8"/>
  <c r="T18" i="8"/>
  <c r="T51" i="8"/>
  <c r="T17" i="8"/>
  <c r="T19" i="8"/>
  <c r="T52" i="8"/>
  <c r="AD8" i="8"/>
  <c r="G94" i="8"/>
  <c r="F98" i="8" s="1"/>
  <c r="X214" i="8"/>
  <c r="Y62" i="8"/>
  <c r="P235" i="8"/>
  <c r="P244" i="8" s="1"/>
  <c r="P80" i="8"/>
  <c r="P78" i="8"/>
  <c r="P236" i="8" s="1"/>
  <c r="P245" i="8" s="1"/>
  <c r="O81" i="8"/>
  <c r="R57" i="8"/>
  <c r="R20" i="8" s="1"/>
  <c r="R21" i="8" s="1"/>
  <c r="R56" i="8" s="1"/>
  <c r="R58" i="8" s="1"/>
  <c r="Q61" i="8"/>
  <c r="U3" i="8"/>
  <c r="T47" i="4"/>
  <c r="T49" i="4"/>
  <c r="T13" i="4"/>
  <c r="T14" i="4" s="1"/>
  <c r="T6" i="4"/>
  <c r="T15" i="4"/>
  <c r="T5" i="4"/>
  <c r="S76" i="4"/>
  <c r="S36" i="4"/>
  <c r="T43" i="4"/>
  <c r="S75" i="4"/>
  <c r="S24" i="4"/>
  <c r="S77" i="4"/>
  <c r="S229" i="4" s="1"/>
  <c r="S37" i="4"/>
  <c r="S31" i="4"/>
  <c r="S72" i="4"/>
  <c r="T41" i="4"/>
  <c r="T44" i="4"/>
  <c r="T42" i="4"/>
  <c r="S70" i="4"/>
  <c r="S222" i="4" s="1"/>
  <c r="T40" i="4"/>
  <c r="S34" i="4"/>
  <c r="T38" i="4"/>
  <c r="S33" i="4"/>
  <c r="T46" i="4"/>
  <c r="T48" i="4" s="1"/>
  <c r="S73" i="4"/>
  <c r="S74" i="4"/>
  <c r="S35" i="4"/>
  <c r="S14" i="4"/>
  <c r="Q54" i="4"/>
  <c r="R17" i="4"/>
  <c r="R51" i="4"/>
  <c r="R52" i="4"/>
  <c r="R53" i="4"/>
  <c r="R19" i="4"/>
  <c r="R18" i="4"/>
  <c r="S2" i="4"/>
  <c r="E104" i="4"/>
  <c r="W214" i="4"/>
  <c r="X62" i="4"/>
  <c r="G90" i="4"/>
  <c r="G91" i="4" s="1"/>
  <c r="F103" i="4"/>
  <c r="F102" i="4"/>
  <c r="M81" i="4"/>
  <c r="D107" i="4"/>
  <c r="N80" i="4"/>
  <c r="N78" i="4"/>
  <c r="G88" i="4"/>
  <c r="G89" i="4" s="1"/>
  <c r="E101" i="4"/>
  <c r="E185" i="4"/>
  <c r="E195" i="4" s="1"/>
  <c r="E219" i="4" s="1"/>
  <c r="P57" i="4"/>
  <c r="P20" i="4" s="1"/>
  <c r="P21" i="4" s="1"/>
  <c r="P56" i="4" s="1"/>
  <c r="P58" i="4" s="1"/>
  <c r="O61" i="4"/>
  <c r="AA8" i="4"/>
  <c r="U2" i="8"/>
  <c r="T1" i="4"/>
  <c r="V1" i="8"/>
  <c r="T242" i="4"/>
  <c r="U3" i="4"/>
  <c r="L235" i="4"/>
  <c r="L244" i="4" s="1"/>
  <c r="L236" i="4"/>
  <c r="L245" i="4" s="1"/>
  <c r="F101" i="8" l="1"/>
  <c r="F185" i="8"/>
  <c r="F195" i="8" s="1"/>
  <c r="F219" i="8" s="1"/>
  <c r="F100" i="8"/>
  <c r="E107" i="8"/>
  <c r="H221" i="8"/>
  <c r="I86" i="8"/>
  <c r="Q235" i="8"/>
  <c r="Q244" i="8" s="1"/>
  <c r="Q78" i="8"/>
  <c r="Q236" i="8" s="1"/>
  <c r="Q245" i="8" s="1"/>
  <c r="Q80" i="8"/>
  <c r="U53" i="8"/>
  <c r="U52" i="8"/>
  <c r="U17" i="8"/>
  <c r="U51" i="8"/>
  <c r="U19" i="8"/>
  <c r="U18" i="8"/>
  <c r="H93" i="8"/>
  <c r="P81" i="8"/>
  <c r="AE8" i="8"/>
  <c r="C186" i="8"/>
  <c r="C196" i="8" s="1"/>
  <c r="C220" i="8" s="1"/>
  <c r="C118" i="8"/>
  <c r="C117" i="8"/>
  <c r="R61" i="8"/>
  <c r="S57" i="8"/>
  <c r="S20" i="8" s="1"/>
  <c r="S21" i="8" s="1"/>
  <c r="S56" i="8" s="1"/>
  <c r="S58" i="8" s="1"/>
  <c r="T54" i="8"/>
  <c r="Y214" i="8"/>
  <c r="Z62" i="8"/>
  <c r="U43" i="4"/>
  <c r="T35" i="4"/>
  <c r="T75" i="4"/>
  <c r="U42" i="4"/>
  <c r="T34" i="4"/>
  <c r="T72" i="4"/>
  <c r="T77" i="4"/>
  <c r="T229" i="4" s="1"/>
  <c r="T76" i="4"/>
  <c r="T37" i="4"/>
  <c r="T31" i="4"/>
  <c r="U44" i="4"/>
  <c r="T24" i="4"/>
  <c r="T73" i="4"/>
  <c r="U38" i="4"/>
  <c r="U41" i="4"/>
  <c r="T33" i="4"/>
  <c r="T70" i="4"/>
  <c r="T222" i="4" s="1"/>
  <c r="T74" i="4"/>
  <c r="U40" i="4"/>
  <c r="U46" i="4"/>
  <c r="U48" i="4" s="1"/>
  <c r="T36" i="4"/>
  <c r="U13" i="4"/>
  <c r="U14" i="4" s="1"/>
  <c r="U49" i="4"/>
  <c r="U6" i="4"/>
  <c r="U47" i="4"/>
  <c r="U15" i="4"/>
  <c r="U5" i="4"/>
  <c r="V3" i="8"/>
  <c r="E105" i="4"/>
  <c r="E107" i="4" s="1"/>
  <c r="G221" i="4"/>
  <c r="H86" i="4"/>
  <c r="H87" i="4" s="1"/>
  <c r="X214" i="4"/>
  <c r="Y62" i="4"/>
  <c r="AB8" i="4"/>
  <c r="S51" i="4"/>
  <c r="S19" i="4"/>
  <c r="S53" i="4"/>
  <c r="S18" i="4"/>
  <c r="S52" i="4"/>
  <c r="S17" i="4"/>
  <c r="T2" i="4"/>
  <c r="N81" i="4"/>
  <c r="E199" i="4"/>
  <c r="E209" i="4" s="1"/>
  <c r="E227" i="4" s="1"/>
  <c r="D108" i="4"/>
  <c r="D109" i="4" s="1"/>
  <c r="D110" i="4" s="1"/>
  <c r="O78" i="4"/>
  <c r="O80" i="4"/>
  <c r="Q57" i="4"/>
  <c r="Q20" i="4" s="1"/>
  <c r="Q21" i="4" s="1"/>
  <c r="Q56" i="4" s="1"/>
  <c r="Q58" i="4" s="1"/>
  <c r="P61" i="4"/>
  <c r="R54" i="4"/>
  <c r="G93" i="4"/>
  <c r="V2" i="8"/>
  <c r="U1" i="4"/>
  <c r="W1" i="8"/>
  <c r="U242" i="4"/>
  <c r="V3" i="4"/>
  <c r="M235" i="4"/>
  <c r="M244" i="4" s="1"/>
  <c r="M236" i="4"/>
  <c r="M245" i="4" s="1"/>
  <c r="U54" i="8" l="1"/>
  <c r="Z214" i="8"/>
  <c r="AA62" i="8"/>
  <c r="T57" i="8"/>
  <c r="T20" i="8" s="1"/>
  <c r="T21" i="8" s="1"/>
  <c r="T56" i="8" s="1"/>
  <c r="T58" i="8" s="1"/>
  <c r="S61" i="8"/>
  <c r="R235" i="8"/>
  <c r="R244" i="8" s="1"/>
  <c r="R78" i="8"/>
  <c r="R236" i="8" s="1"/>
  <c r="R245" i="8" s="1"/>
  <c r="R80" i="8"/>
  <c r="D114" i="8"/>
  <c r="C121" i="8"/>
  <c r="I87" i="8"/>
  <c r="V52" i="8"/>
  <c r="V51" i="8"/>
  <c r="V17" i="8"/>
  <c r="V53" i="8"/>
  <c r="V18" i="8"/>
  <c r="V19" i="8"/>
  <c r="Q81" i="8"/>
  <c r="E108" i="8"/>
  <c r="E109" i="8" s="1"/>
  <c r="E110" i="8" s="1"/>
  <c r="AF8" i="8"/>
  <c r="H94" i="8"/>
  <c r="G97" i="8"/>
  <c r="F104" i="8"/>
  <c r="V49" i="4"/>
  <c r="V13" i="4"/>
  <c r="V14" i="4" s="1"/>
  <c r="V15" i="4"/>
  <c r="V6" i="4"/>
  <c r="V47" i="4"/>
  <c r="V5" i="4"/>
  <c r="W3" i="8"/>
  <c r="U75" i="4"/>
  <c r="V42" i="4"/>
  <c r="U74" i="4"/>
  <c r="U76" i="4"/>
  <c r="U37" i="4"/>
  <c r="U31" i="4"/>
  <c r="V41" i="4"/>
  <c r="U35" i="4"/>
  <c r="V40" i="4"/>
  <c r="U36" i="4"/>
  <c r="U24" i="4"/>
  <c r="V44" i="4"/>
  <c r="U73" i="4"/>
  <c r="U77" i="4"/>
  <c r="U229" i="4" s="1"/>
  <c r="U33" i="4"/>
  <c r="V38" i="4"/>
  <c r="U70" i="4"/>
  <c r="U222" i="4" s="1"/>
  <c r="U72" i="4"/>
  <c r="V43" i="4"/>
  <c r="U34" i="4"/>
  <c r="V46" i="4"/>
  <c r="V48" i="4" s="1"/>
  <c r="P80" i="4"/>
  <c r="P78" i="4"/>
  <c r="S54" i="4"/>
  <c r="AC8" i="4"/>
  <c r="Y214" i="4"/>
  <c r="Z62" i="4"/>
  <c r="R57" i="4"/>
  <c r="R20" i="4" s="1"/>
  <c r="R21" i="4" s="1"/>
  <c r="R56" i="4" s="1"/>
  <c r="R58" i="4" s="1"/>
  <c r="Q61" i="4"/>
  <c r="T53" i="4"/>
  <c r="T51" i="4"/>
  <c r="T19" i="4"/>
  <c r="T52" i="4"/>
  <c r="T18" i="4"/>
  <c r="T17" i="4"/>
  <c r="U2" i="4"/>
  <c r="O81" i="4"/>
  <c r="G94" i="4"/>
  <c r="F98" i="4" s="1"/>
  <c r="E108" i="4"/>
  <c r="E109" i="4" s="1"/>
  <c r="E110" i="4" s="1"/>
  <c r="W2" i="8"/>
  <c r="X1" i="8"/>
  <c r="V1" i="4"/>
  <c r="V242" i="4"/>
  <c r="W3" i="4"/>
  <c r="N235" i="4"/>
  <c r="N244" i="4" s="1"/>
  <c r="N236" i="4"/>
  <c r="N245" i="4" s="1"/>
  <c r="G98" i="8" l="1"/>
  <c r="C200" i="8"/>
  <c r="C210" i="8" s="1"/>
  <c r="C228" i="8" s="1"/>
  <c r="C122" i="8"/>
  <c r="W52" i="8"/>
  <c r="W51" i="8"/>
  <c r="W53" i="8"/>
  <c r="W19" i="8"/>
  <c r="W17" i="8"/>
  <c r="W18" i="8"/>
  <c r="D119" i="8"/>
  <c r="D120" i="8"/>
  <c r="R81" i="8"/>
  <c r="E111" i="8"/>
  <c r="D115" i="8" s="1"/>
  <c r="S235" i="8"/>
  <c r="S244" i="8" s="1"/>
  <c r="S78" i="8"/>
  <c r="S236" i="8" s="1"/>
  <c r="S245" i="8" s="1"/>
  <c r="S80" i="8"/>
  <c r="G103" i="8"/>
  <c r="G99" i="8"/>
  <c r="G100" i="8" s="1"/>
  <c r="H97" i="8" s="1"/>
  <c r="G102" i="8"/>
  <c r="V54" i="8"/>
  <c r="I90" i="8"/>
  <c r="I91" i="8" s="1"/>
  <c r="AA214" i="8"/>
  <c r="AB62" i="8"/>
  <c r="F199" i="8"/>
  <c r="F209" i="8" s="1"/>
  <c r="F227" i="8" s="1"/>
  <c r="T61" i="8"/>
  <c r="U57" i="8"/>
  <c r="U20" i="8" s="1"/>
  <c r="U21" i="8" s="1"/>
  <c r="U56" i="8" s="1"/>
  <c r="U58" i="8" s="1"/>
  <c r="AG8" i="8"/>
  <c r="G101" i="8"/>
  <c r="G185" i="8"/>
  <c r="G195" i="8" s="1"/>
  <c r="G219" i="8" s="1"/>
  <c r="I88" i="8"/>
  <c r="I89" i="8" s="1"/>
  <c r="F105" i="8"/>
  <c r="W42" i="4"/>
  <c r="V34" i="4"/>
  <c r="V74" i="4"/>
  <c r="W41" i="4"/>
  <c r="V33" i="4"/>
  <c r="V70" i="4"/>
  <c r="V222" i="4" s="1"/>
  <c r="W46" i="4"/>
  <c r="W48" i="4" s="1"/>
  <c r="V75" i="4"/>
  <c r="V35" i="4"/>
  <c r="W38" i="4"/>
  <c r="W43" i="4"/>
  <c r="W44" i="4"/>
  <c r="V73" i="4"/>
  <c r="V36" i="4"/>
  <c r="V77" i="4"/>
  <c r="V229" i="4" s="1"/>
  <c r="V72" i="4"/>
  <c r="V37" i="4"/>
  <c r="V24" i="4"/>
  <c r="V76" i="4"/>
  <c r="V31" i="4"/>
  <c r="W40" i="4"/>
  <c r="X3" i="8"/>
  <c r="W6" i="4"/>
  <c r="W49" i="4"/>
  <c r="W47" i="4"/>
  <c r="W5" i="4"/>
  <c r="W15" i="4"/>
  <c r="W13" i="4"/>
  <c r="W14" i="4" s="1"/>
  <c r="S57" i="4"/>
  <c r="S20" i="4" s="1"/>
  <c r="S21" i="4" s="1"/>
  <c r="S56" i="4" s="1"/>
  <c r="S58" i="4" s="1"/>
  <c r="R61" i="4"/>
  <c r="F101" i="4"/>
  <c r="F185" i="4"/>
  <c r="F195" i="4" s="1"/>
  <c r="F219" i="4" s="1"/>
  <c r="F99" i="4"/>
  <c r="F100" i="4" s="1"/>
  <c r="AD8" i="4"/>
  <c r="Q80" i="4"/>
  <c r="Q78" i="4"/>
  <c r="U18" i="4"/>
  <c r="U19" i="4"/>
  <c r="U51" i="4"/>
  <c r="U52" i="4"/>
  <c r="U53" i="4"/>
  <c r="U17" i="4"/>
  <c r="V2" i="4"/>
  <c r="Z214" i="4"/>
  <c r="AA62" i="4"/>
  <c r="P81" i="4"/>
  <c r="T54" i="4"/>
  <c r="H90" i="4"/>
  <c r="H91" i="4" s="1"/>
  <c r="H88" i="4"/>
  <c r="H89" i="4" s="1"/>
  <c r="X2" i="8"/>
  <c r="Y1" i="8"/>
  <c r="W1" i="4"/>
  <c r="X3" i="4"/>
  <c r="W242" i="4"/>
  <c r="O235" i="4"/>
  <c r="O244" i="4" s="1"/>
  <c r="O236" i="4"/>
  <c r="O245" i="4" s="1"/>
  <c r="W54" i="8" l="1"/>
  <c r="I221" i="8"/>
  <c r="J86" i="8"/>
  <c r="I93" i="8"/>
  <c r="G104" i="8"/>
  <c r="S81" i="8"/>
  <c r="H102" i="8"/>
  <c r="H103" i="8"/>
  <c r="AH8" i="8"/>
  <c r="T235" i="8"/>
  <c r="T244" i="8" s="1"/>
  <c r="T78" i="8"/>
  <c r="T236" i="8" s="1"/>
  <c r="T245" i="8" s="1"/>
  <c r="T80" i="8"/>
  <c r="D118" i="8"/>
  <c r="D186" i="8"/>
  <c r="D196" i="8" s="1"/>
  <c r="D220" i="8" s="1"/>
  <c r="F107" i="8"/>
  <c r="X51" i="8"/>
  <c r="X53" i="8"/>
  <c r="X52" i="8"/>
  <c r="X17" i="8"/>
  <c r="X18" i="8"/>
  <c r="X19" i="8"/>
  <c r="U61" i="8"/>
  <c r="V57" i="8"/>
  <c r="V20" i="8" s="1"/>
  <c r="V21" i="8" s="1"/>
  <c r="V56" i="8" s="1"/>
  <c r="V58" i="8" s="1"/>
  <c r="C124" i="8"/>
  <c r="AB214" i="8"/>
  <c r="AC62" i="8"/>
  <c r="D116" i="8"/>
  <c r="D117" i="8" s="1"/>
  <c r="Y3" i="8"/>
  <c r="W74" i="4"/>
  <c r="X41" i="4"/>
  <c r="W73" i="4"/>
  <c r="W77" i="4"/>
  <c r="W229" i="4" s="1"/>
  <c r="X44" i="4"/>
  <c r="W75" i="4"/>
  <c r="W35" i="4"/>
  <c r="X38" i="4"/>
  <c r="W36" i="4"/>
  <c r="X42" i="4"/>
  <c r="W70" i="4"/>
  <c r="W222" i="4" s="1"/>
  <c r="X46" i="4"/>
  <c r="X48" i="4" s="1"/>
  <c r="X43" i="4"/>
  <c r="X40" i="4"/>
  <c r="W33" i="4"/>
  <c r="W72" i="4"/>
  <c r="W37" i="4"/>
  <c r="W24" i="4"/>
  <c r="W31" i="4"/>
  <c r="W76" i="4"/>
  <c r="W34" i="4"/>
  <c r="X15" i="4"/>
  <c r="X5" i="4"/>
  <c r="X47" i="4"/>
  <c r="X6" i="4"/>
  <c r="X13" i="4"/>
  <c r="X14" i="4" s="1"/>
  <c r="X49" i="4"/>
  <c r="G97" i="4"/>
  <c r="F104" i="4"/>
  <c r="H93" i="4"/>
  <c r="Q81" i="4"/>
  <c r="AB62" i="4"/>
  <c r="AA214" i="4"/>
  <c r="AE8" i="4"/>
  <c r="V52" i="4"/>
  <c r="V17" i="4"/>
  <c r="V19" i="4"/>
  <c r="V51" i="4"/>
  <c r="V18" i="4"/>
  <c r="V53" i="4"/>
  <c r="W2" i="4"/>
  <c r="R80" i="4"/>
  <c r="R78" i="4"/>
  <c r="S61" i="4"/>
  <c r="T57" i="4"/>
  <c r="T20" i="4" s="1"/>
  <c r="T21" i="4" s="1"/>
  <c r="T56" i="4" s="1"/>
  <c r="T58" i="4" s="1"/>
  <c r="H221" i="4"/>
  <c r="I86" i="4"/>
  <c r="I87" i="4" s="1"/>
  <c r="U54" i="4"/>
  <c r="Y2" i="8"/>
  <c r="X1" i="4"/>
  <c r="Z1" i="8"/>
  <c r="Y3" i="4"/>
  <c r="X242" i="4"/>
  <c r="P235" i="4"/>
  <c r="P244" i="4" s="1"/>
  <c r="P236" i="4"/>
  <c r="P245" i="4" s="1"/>
  <c r="AC214" i="8" l="1"/>
  <c r="AD62" i="8"/>
  <c r="I94" i="8"/>
  <c r="H98" i="8" s="1"/>
  <c r="F108" i="8"/>
  <c r="F109" i="8" s="1"/>
  <c r="F110" i="8" s="1"/>
  <c r="C125" i="8"/>
  <c r="C126" i="8" s="1"/>
  <c r="C127" i="8" s="1"/>
  <c r="E114" i="8"/>
  <c r="D121" i="8"/>
  <c r="AI8" i="8"/>
  <c r="U235" i="8"/>
  <c r="U244" i="8" s="1"/>
  <c r="U80" i="8"/>
  <c r="U78" i="8"/>
  <c r="U236" i="8" s="1"/>
  <c r="U245" i="8" s="1"/>
  <c r="T81" i="8"/>
  <c r="G199" i="8"/>
  <c r="G209" i="8" s="1"/>
  <c r="G227" i="8" s="1"/>
  <c r="J87" i="8"/>
  <c r="X54" i="8"/>
  <c r="Y51" i="8"/>
  <c r="Y18" i="8"/>
  <c r="Y53" i="8"/>
  <c r="Y52" i="8"/>
  <c r="Y17" i="8"/>
  <c r="Y19" i="8"/>
  <c r="W57" i="8"/>
  <c r="W20" i="8" s="1"/>
  <c r="W21" i="8" s="1"/>
  <c r="W56" i="8" s="1"/>
  <c r="W58" i="8" s="1"/>
  <c r="V61" i="8"/>
  <c r="G105" i="8"/>
  <c r="Y47" i="4"/>
  <c r="Y5" i="4"/>
  <c r="Y15" i="4"/>
  <c r="Y13" i="4"/>
  <c r="Y14" i="4" s="1"/>
  <c r="Y6" i="4"/>
  <c r="Y49" i="4"/>
  <c r="Z3" i="8"/>
  <c r="Y41" i="4"/>
  <c r="X33" i="4"/>
  <c r="X73" i="4"/>
  <c r="Y40" i="4"/>
  <c r="X31" i="4"/>
  <c r="X76" i="4"/>
  <c r="Y38" i="4"/>
  <c r="X74" i="4"/>
  <c r="Y46" i="4"/>
  <c r="Y48" i="4" s="1"/>
  <c r="X70" i="4"/>
  <c r="X222" i="4" s="1"/>
  <c r="X34" i="4"/>
  <c r="X36" i="4"/>
  <c r="Y42" i="4"/>
  <c r="X75" i="4"/>
  <c r="X77" i="4"/>
  <c r="X229" i="4" s="1"/>
  <c r="X72" i="4"/>
  <c r="X37" i="4"/>
  <c r="X24" i="4"/>
  <c r="Y43" i="4"/>
  <c r="Y44" i="4"/>
  <c r="X35" i="4"/>
  <c r="V54" i="4"/>
  <c r="I88" i="4"/>
  <c r="I89" i="4" s="1"/>
  <c r="T61" i="4"/>
  <c r="U57" i="4"/>
  <c r="U20" i="4" s="1"/>
  <c r="U21" i="4" s="1"/>
  <c r="U56" i="4" s="1"/>
  <c r="U58" i="4" s="1"/>
  <c r="H94" i="4"/>
  <c r="G98" i="4" s="1"/>
  <c r="S80" i="4"/>
  <c r="S78" i="4"/>
  <c r="AF8" i="4"/>
  <c r="W51" i="4"/>
  <c r="W18" i="4"/>
  <c r="W19" i="4"/>
  <c r="W17" i="4"/>
  <c r="W52" i="4"/>
  <c r="W53" i="4"/>
  <c r="X2" i="4"/>
  <c r="AB214" i="4"/>
  <c r="AC62" i="4"/>
  <c r="F199" i="4"/>
  <c r="F209" i="4" s="1"/>
  <c r="F227" i="4" s="1"/>
  <c r="F105" i="4"/>
  <c r="R81" i="4"/>
  <c r="G103" i="4"/>
  <c r="G102" i="4"/>
  <c r="Z2" i="8"/>
  <c r="AA1" i="8"/>
  <c r="Y1" i="4"/>
  <c r="Y242" i="4"/>
  <c r="Z3" i="4"/>
  <c r="Q235" i="4"/>
  <c r="Q244" i="4" s="1"/>
  <c r="Q236" i="4"/>
  <c r="Q245" i="4" s="1"/>
  <c r="C128" i="8" l="1"/>
  <c r="F111" i="8"/>
  <c r="E115" i="8" s="1"/>
  <c r="E116" i="8" s="1"/>
  <c r="E117" i="8" s="1"/>
  <c r="E120" i="8"/>
  <c r="E119" i="8"/>
  <c r="J88" i="8"/>
  <c r="J89" i="8" s="1"/>
  <c r="G107" i="8"/>
  <c r="H101" i="8"/>
  <c r="H185" i="8"/>
  <c r="H195" i="8" s="1"/>
  <c r="H219" i="8" s="1"/>
  <c r="H99" i="8"/>
  <c r="H100" i="8" s="1"/>
  <c r="V235" i="8"/>
  <c r="V244" i="8" s="1"/>
  <c r="V80" i="8"/>
  <c r="V78" i="8"/>
  <c r="V236" i="8" s="1"/>
  <c r="V245" i="8" s="1"/>
  <c r="U81" i="8"/>
  <c r="Y54" i="8"/>
  <c r="J90" i="8"/>
  <c r="J91" i="8" s="1"/>
  <c r="W61" i="8"/>
  <c r="X57" i="8"/>
  <c r="X20" i="8" s="1"/>
  <c r="X21" i="8" s="1"/>
  <c r="X56" i="8" s="1"/>
  <c r="X58" i="8" s="1"/>
  <c r="AD214" i="8"/>
  <c r="AE62" i="8"/>
  <c r="Z53" i="8"/>
  <c r="Z52" i="8"/>
  <c r="Z17" i="8"/>
  <c r="Z18" i="8"/>
  <c r="Z19" i="8"/>
  <c r="Z51" i="8"/>
  <c r="AJ8" i="8"/>
  <c r="D200" i="8"/>
  <c r="D210" i="8" s="1"/>
  <c r="D228" i="8" s="1"/>
  <c r="D122" i="8"/>
  <c r="Z47" i="4"/>
  <c r="Z49" i="4"/>
  <c r="Z5" i="4"/>
  <c r="Z15" i="4"/>
  <c r="Z13" i="4"/>
  <c r="Z14" i="4" s="1"/>
  <c r="Z6" i="4"/>
  <c r="Y73" i="4"/>
  <c r="Z40" i="4"/>
  <c r="Y72" i="4"/>
  <c r="Z43" i="4"/>
  <c r="Y74" i="4"/>
  <c r="Z46" i="4"/>
  <c r="Z48" i="4" s="1"/>
  <c r="Z41" i="4"/>
  <c r="Y33" i="4"/>
  <c r="Z42" i="4"/>
  <c r="Y75" i="4"/>
  <c r="Y70" i="4"/>
  <c r="Y222" i="4" s="1"/>
  <c r="Y37" i="4"/>
  <c r="Y31" i="4"/>
  <c r="Y77" i="4"/>
  <c r="Y229" i="4" s="1"/>
  <c r="Y34" i="4"/>
  <c r="Y24" i="4"/>
  <c r="Y76" i="4"/>
  <c r="Z38" i="4"/>
  <c r="Z44" i="4"/>
  <c r="Y35" i="4"/>
  <c r="Y36" i="4"/>
  <c r="AA3" i="8"/>
  <c r="G99" i="4"/>
  <c r="G100" i="4" s="1"/>
  <c r="U61" i="4"/>
  <c r="V57" i="4"/>
  <c r="V20" i="4" s="1"/>
  <c r="V21" i="4" s="1"/>
  <c r="V56" i="4" s="1"/>
  <c r="V58" i="4" s="1"/>
  <c r="AG8" i="4"/>
  <c r="T80" i="4"/>
  <c r="T78" i="4"/>
  <c r="G101" i="4"/>
  <c r="G185" i="4"/>
  <c r="G195" i="4" s="1"/>
  <c r="G219" i="4" s="1"/>
  <c r="W54" i="4"/>
  <c r="I221" i="4"/>
  <c r="J86" i="4"/>
  <c r="J87" i="4" s="1"/>
  <c r="AC214" i="4"/>
  <c r="AD62" i="4"/>
  <c r="I90" i="4"/>
  <c r="I91" i="4" s="1"/>
  <c r="F107" i="4"/>
  <c r="S81" i="4"/>
  <c r="X19" i="4"/>
  <c r="X51" i="4"/>
  <c r="X18" i="4"/>
  <c r="X53" i="4"/>
  <c r="X17" i="4"/>
  <c r="X52" i="4"/>
  <c r="Y2" i="4"/>
  <c r="AA2" i="8"/>
  <c r="Z1" i="4"/>
  <c r="AB1" i="8"/>
  <c r="Z242" i="4"/>
  <c r="AA3" i="4"/>
  <c r="R236" i="4"/>
  <c r="R245" i="4" s="1"/>
  <c r="R235" i="4"/>
  <c r="R244" i="4" s="1"/>
  <c r="J221" i="8" l="1"/>
  <c r="K86" i="8"/>
  <c r="F114" i="8"/>
  <c r="E121" i="8"/>
  <c r="V81" i="8"/>
  <c r="D124" i="8"/>
  <c r="Y57" i="8"/>
  <c r="Y20" i="8" s="1"/>
  <c r="Y21" i="8" s="1"/>
  <c r="Y56" i="8" s="1"/>
  <c r="Y58" i="8" s="1"/>
  <c r="X61" i="8"/>
  <c r="AE214" i="8"/>
  <c r="AF62" i="8"/>
  <c r="I97" i="8"/>
  <c r="H104" i="8"/>
  <c r="H199" i="8" s="1"/>
  <c r="H209" i="8" s="1"/>
  <c r="H227" i="8" s="1"/>
  <c r="W235" i="8"/>
  <c r="W244" i="8" s="1"/>
  <c r="W80" i="8"/>
  <c r="W78" i="8"/>
  <c r="W236" i="8" s="1"/>
  <c r="W245" i="8" s="1"/>
  <c r="AK8" i="8"/>
  <c r="E118" i="8"/>
  <c r="E186" i="8"/>
  <c r="E196" i="8" s="1"/>
  <c r="E220" i="8" s="1"/>
  <c r="AA19" i="8"/>
  <c r="AA17" i="8"/>
  <c r="AA53" i="8"/>
  <c r="AA52" i="8"/>
  <c r="AA18" i="8"/>
  <c r="AA51" i="8"/>
  <c r="J93" i="8"/>
  <c r="Z54" i="8"/>
  <c r="G108" i="8"/>
  <c r="G109" i="8" s="1"/>
  <c r="G110" i="8" s="1"/>
  <c r="AB3" i="8"/>
  <c r="AA40" i="4"/>
  <c r="Z31" i="4"/>
  <c r="Z72" i="4"/>
  <c r="AA38" i="4"/>
  <c r="Z75" i="4"/>
  <c r="Z74" i="4"/>
  <c r="AA46" i="4"/>
  <c r="AA48" i="4" s="1"/>
  <c r="AA41" i="4"/>
  <c r="Z33" i="4"/>
  <c r="Z73" i="4"/>
  <c r="AA44" i="4"/>
  <c r="Z36" i="4"/>
  <c r="Z77" i="4"/>
  <c r="Z229" i="4" s="1"/>
  <c r="AA42" i="4"/>
  <c r="Z37" i="4"/>
  <c r="Z70" i="4"/>
  <c r="Z222" i="4" s="1"/>
  <c r="Z34" i="4"/>
  <c r="AA43" i="4"/>
  <c r="Z35" i="4"/>
  <c r="Z24" i="4"/>
  <c r="Z76" i="4"/>
  <c r="AA47" i="4"/>
  <c r="AA49" i="4"/>
  <c r="AA5" i="4"/>
  <c r="AA6" i="4"/>
  <c r="AA15" i="4"/>
  <c r="AA13" i="4"/>
  <c r="AA14" i="4" s="1"/>
  <c r="H97" i="4"/>
  <c r="G104" i="4"/>
  <c r="G105" i="4" s="1"/>
  <c r="G107" i="4" s="1"/>
  <c r="I93" i="4"/>
  <c r="V61" i="4"/>
  <c r="W57" i="4"/>
  <c r="W20" i="4" s="1"/>
  <c r="W21" i="4" s="1"/>
  <c r="W56" i="4" s="1"/>
  <c r="W58" i="4" s="1"/>
  <c r="F108" i="4"/>
  <c r="F109" i="4" s="1"/>
  <c r="F110" i="4" s="1"/>
  <c r="U80" i="4"/>
  <c r="U78" i="4"/>
  <c r="Y53" i="4"/>
  <c r="Y18" i="4"/>
  <c r="Y52" i="4"/>
  <c r="Y17" i="4"/>
  <c r="Y19" i="4"/>
  <c r="Y51" i="4"/>
  <c r="Z2" i="4"/>
  <c r="AD214" i="4"/>
  <c r="AE62" i="4"/>
  <c r="T81" i="4"/>
  <c r="X54" i="4"/>
  <c r="AH8" i="4"/>
  <c r="AB2" i="8"/>
  <c r="AC1" i="8"/>
  <c r="AA1" i="4"/>
  <c r="AB3" i="4"/>
  <c r="AA242" i="4"/>
  <c r="S235" i="4"/>
  <c r="S244" i="4" s="1"/>
  <c r="S236" i="4"/>
  <c r="S245" i="4" s="1"/>
  <c r="E122" i="8" l="1"/>
  <c r="AA54" i="8"/>
  <c r="E124" i="8"/>
  <c r="G111" i="8"/>
  <c r="F115" i="8" s="1"/>
  <c r="F116" i="8" s="1"/>
  <c r="Y61" i="8"/>
  <c r="Z57" i="8"/>
  <c r="Z20" i="8" s="1"/>
  <c r="Z21" i="8" s="1"/>
  <c r="Z56" i="8" s="1"/>
  <c r="Z58" i="8" s="1"/>
  <c r="D125" i="8"/>
  <c r="D126" i="8" s="1"/>
  <c r="D127" i="8" s="1"/>
  <c r="AL8" i="8"/>
  <c r="E200" i="8"/>
  <c r="E210" i="8" s="1"/>
  <c r="E228" i="8" s="1"/>
  <c r="J94" i="8"/>
  <c r="I98" i="8" s="1"/>
  <c r="AB52" i="8"/>
  <c r="AB19" i="8"/>
  <c r="AB53" i="8"/>
  <c r="AB18" i="8"/>
  <c r="AB17" i="8"/>
  <c r="AB51" i="8"/>
  <c r="I103" i="8"/>
  <c r="I102" i="8"/>
  <c r="K87" i="8"/>
  <c r="W81" i="8"/>
  <c r="AF214" i="8"/>
  <c r="AG62" i="8"/>
  <c r="X235" i="8"/>
  <c r="X244" i="8" s="1"/>
  <c r="X80" i="8"/>
  <c r="X78" i="8"/>
  <c r="X236" i="8" s="1"/>
  <c r="X245" i="8" s="1"/>
  <c r="F119" i="8"/>
  <c r="F120" i="8"/>
  <c r="H105" i="8"/>
  <c r="AC3" i="8"/>
  <c r="AB49" i="4"/>
  <c r="AB6" i="4"/>
  <c r="AB13" i="4"/>
  <c r="AB14" i="4" s="1"/>
  <c r="AB5" i="4"/>
  <c r="AB47" i="4"/>
  <c r="AB15" i="4"/>
  <c r="G199" i="4"/>
  <c r="G209" i="4" s="1"/>
  <c r="G227" i="4" s="1"/>
  <c r="AA72" i="4"/>
  <c r="AA70" i="4"/>
  <c r="AA222" i="4" s="1"/>
  <c r="AB46" i="4"/>
  <c r="AB48" i="4" s="1"/>
  <c r="AA33" i="4"/>
  <c r="AA73" i="4"/>
  <c r="AB44" i="4"/>
  <c r="AA36" i="4"/>
  <c r="AA76" i="4"/>
  <c r="AA75" i="4"/>
  <c r="AA37" i="4"/>
  <c r="AA31" i="4"/>
  <c r="AA77" i="4"/>
  <c r="AA229" i="4" s="1"/>
  <c r="AB43" i="4"/>
  <c r="AB38" i="4"/>
  <c r="AA24" i="4"/>
  <c r="AB42" i="4"/>
  <c r="AB41" i="4"/>
  <c r="AA35" i="4"/>
  <c r="AA34" i="4"/>
  <c r="AB40" i="4"/>
  <c r="AA74" i="4"/>
  <c r="H102" i="4"/>
  <c r="H103" i="4"/>
  <c r="I94" i="4"/>
  <c r="H98" i="4" s="1"/>
  <c r="J90" i="4"/>
  <c r="J91" i="4" s="1"/>
  <c r="U81" i="4"/>
  <c r="J88" i="4"/>
  <c r="J89" i="4" s="1"/>
  <c r="W61" i="4"/>
  <c r="X57" i="4"/>
  <c r="X20" i="4" s="1"/>
  <c r="X21" i="4" s="1"/>
  <c r="X56" i="4" s="1"/>
  <c r="X58" i="4" s="1"/>
  <c r="Z19" i="4"/>
  <c r="Z53" i="4"/>
  <c r="Z18" i="4"/>
  <c r="Z52" i="4"/>
  <c r="Z17" i="4"/>
  <c r="Z51" i="4"/>
  <c r="AA2" i="4"/>
  <c r="V78" i="4"/>
  <c r="V80" i="4"/>
  <c r="G108" i="4"/>
  <c r="G109" i="4" s="1"/>
  <c r="G110" i="4" s="1"/>
  <c r="AE214" i="4"/>
  <c r="AF62" i="4"/>
  <c r="AI8" i="4"/>
  <c r="Y54" i="4"/>
  <c r="AC2" i="8"/>
  <c r="AB1" i="4"/>
  <c r="AD1" i="8"/>
  <c r="AB242" i="4"/>
  <c r="AC3" i="4"/>
  <c r="T235" i="4"/>
  <c r="T244" i="4" s="1"/>
  <c r="T236" i="4"/>
  <c r="T245" i="4" s="1"/>
  <c r="AB54" i="8" l="1"/>
  <c r="D128" i="8"/>
  <c r="C132" i="8" s="1"/>
  <c r="I101" i="8"/>
  <c r="I185" i="8"/>
  <c r="I195" i="8" s="1"/>
  <c r="I219" i="8" s="1"/>
  <c r="X81" i="8"/>
  <c r="AM8" i="8"/>
  <c r="Z61" i="8"/>
  <c r="AA57" i="8"/>
  <c r="AA20" i="8" s="1"/>
  <c r="AA21" i="8" s="1"/>
  <c r="AA56" i="8" s="1"/>
  <c r="AA58" i="8" s="1"/>
  <c r="Y235" i="8"/>
  <c r="Y244" i="8" s="1"/>
  <c r="Y78" i="8"/>
  <c r="Y236" i="8" s="1"/>
  <c r="Y245" i="8" s="1"/>
  <c r="Y80" i="8"/>
  <c r="AG214" i="8"/>
  <c r="AH62" i="8"/>
  <c r="F118" i="8"/>
  <c r="F186" i="8"/>
  <c r="F196" i="8" s="1"/>
  <c r="F220" i="8" s="1"/>
  <c r="H107" i="8"/>
  <c r="K90" i="8"/>
  <c r="K91" i="8" s="1"/>
  <c r="E125" i="8"/>
  <c r="E126" i="8" s="1"/>
  <c r="E127" i="8" s="1"/>
  <c r="I99" i="8"/>
  <c r="I100" i="8" s="1"/>
  <c r="AC19" i="8"/>
  <c r="AC18" i="8"/>
  <c r="AC53" i="8"/>
  <c r="AC17" i="8"/>
  <c r="AC52" i="8"/>
  <c r="AC51" i="8"/>
  <c r="F117" i="8"/>
  <c r="K88" i="8"/>
  <c r="K89" i="8" s="1"/>
  <c r="AD3" i="8"/>
  <c r="AC49" i="4"/>
  <c r="AC6" i="4"/>
  <c r="AC47" i="4"/>
  <c r="AC13" i="4"/>
  <c r="AC14" i="4" s="1"/>
  <c r="AC5" i="4"/>
  <c r="AC15" i="4"/>
  <c r="AC38" i="4"/>
  <c r="AB70" i="4"/>
  <c r="AB222" i="4" s="1"/>
  <c r="AC46" i="4"/>
  <c r="AC48" i="4" s="1"/>
  <c r="AB77" i="4"/>
  <c r="AB229" i="4" s="1"/>
  <c r="AC44" i="4"/>
  <c r="AB37" i="4"/>
  <c r="AB74" i="4"/>
  <c r="AB73" i="4"/>
  <c r="AB36" i="4"/>
  <c r="AB72" i="4"/>
  <c r="AC43" i="4"/>
  <c r="AB35" i="4"/>
  <c r="AB31" i="4"/>
  <c r="AB75" i="4"/>
  <c r="AB76" i="4"/>
  <c r="AB33" i="4"/>
  <c r="AC42" i="4"/>
  <c r="AC41" i="4"/>
  <c r="AB34" i="4"/>
  <c r="AB24" i="4"/>
  <c r="AC40" i="4"/>
  <c r="Z54" i="4"/>
  <c r="J93" i="4"/>
  <c r="J221" i="4"/>
  <c r="K86" i="4"/>
  <c r="K87" i="4" s="1"/>
  <c r="V81" i="4"/>
  <c r="AA53" i="4"/>
  <c r="AA52" i="4"/>
  <c r="AA18" i="4"/>
  <c r="AA17" i="4"/>
  <c r="AA19" i="4"/>
  <c r="AA51" i="4"/>
  <c r="AB2" i="4"/>
  <c r="AJ8" i="4"/>
  <c r="H101" i="4"/>
  <c r="H185" i="4"/>
  <c r="H195" i="4" s="1"/>
  <c r="H219" i="4" s="1"/>
  <c r="H99" i="4"/>
  <c r="H100" i="4" s="1"/>
  <c r="AF214" i="4"/>
  <c r="AG62" i="4"/>
  <c r="Y57" i="4"/>
  <c r="Y20" i="4" s="1"/>
  <c r="Y21" i="4" s="1"/>
  <c r="Y56" i="4" s="1"/>
  <c r="Y58" i="4" s="1"/>
  <c r="X61" i="4"/>
  <c r="W80" i="4"/>
  <c r="W78" i="4"/>
  <c r="AD2" i="8"/>
  <c r="AC1" i="4"/>
  <c r="AE1" i="8"/>
  <c r="AD3" i="4"/>
  <c r="AC242" i="4"/>
  <c r="U235" i="4"/>
  <c r="U244" i="4" s="1"/>
  <c r="U236" i="4"/>
  <c r="U245" i="4" s="1"/>
  <c r="AC54" i="8" l="1"/>
  <c r="H108" i="8"/>
  <c r="H109" i="8" s="1"/>
  <c r="H110" i="8" s="1"/>
  <c r="AA61" i="8"/>
  <c r="AB57" i="8"/>
  <c r="AB20" i="8" s="1"/>
  <c r="AB21" i="8" s="1"/>
  <c r="AB56" i="8" s="1"/>
  <c r="AB58" i="8" s="1"/>
  <c r="G114" i="8"/>
  <c r="F121" i="8"/>
  <c r="K93" i="8"/>
  <c r="Y81" i="8"/>
  <c r="K221" i="8"/>
  <c r="L86" i="8"/>
  <c r="AD19" i="8"/>
  <c r="AD53" i="8"/>
  <c r="AD18" i="8"/>
  <c r="AD51" i="8"/>
  <c r="AD17" i="8"/>
  <c r="AD52" i="8"/>
  <c r="C187" i="8"/>
  <c r="C193" i="8" s="1"/>
  <c r="C217" i="8" s="1"/>
  <c r="C135" i="8"/>
  <c r="C134" i="8"/>
  <c r="E128" i="8"/>
  <c r="D132" i="8" s="1"/>
  <c r="D187" i="8" s="1"/>
  <c r="D193" i="8" s="1"/>
  <c r="D217" i="8" s="1"/>
  <c r="Z235" i="8"/>
  <c r="Z244" i="8" s="1"/>
  <c r="Z78" i="8"/>
  <c r="Z236" i="8" s="1"/>
  <c r="Z245" i="8" s="1"/>
  <c r="Z80" i="8"/>
  <c r="AH214" i="8"/>
  <c r="AI62" i="8"/>
  <c r="J97" i="8"/>
  <c r="I104" i="8"/>
  <c r="I199" i="8" s="1"/>
  <c r="I209" i="8" s="1"/>
  <c r="I227" i="8" s="1"/>
  <c r="AE3" i="8"/>
  <c r="AD48" i="4"/>
  <c r="AD15" i="4"/>
  <c r="AD47" i="4"/>
  <c r="AD5" i="4"/>
  <c r="AD13" i="4"/>
  <c r="AD14" i="4" s="1"/>
  <c r="AD6" i="4"/>
  <c r="AC70" i="4"/>
  <c r="AC222" i="4" s="1"/>
  <c r="AD46" i="4"/>
  <c r="AD49" i="4" s="1"/>
  <c r="AC77" i="4"/>
  <c r="AC229" i="4" s="1"/>
  <c r="AD44" i="4"/>
  <c r="AC76" i="4"/>
  <c r="AC36" i="4"/>
  <c r="AC72" i="4"/>
  <c r="AD43" i="4"/>
  <c r="AD40" i="4"/>
  <c r="AC34" i="4"/>
  <c r="AC24" i="4"/>
  <c r="AC75" i="4"/>
  <c r="AC37" i="4"/>
  <c r="AC31" i="4"/>
  <c r="AC73" i="4"/>
  <c r="AD38" i="4"/>
  <c r="AC35" i="4"/>
  <c r="AD41" i="4"/>
  <c r="AC33" i="4"/>
  <c r="AC74" i="4"/>
  <c r="AD42" i="4"/>
  <c r="AA54" i="4"/>
  <c r="I97" i="4"/>
  <c r="H104" i="4"/>
  <c r="H199" i="4" s="1"/>
  <c r="H209" i="4" s="1"/>
  <c r="H227" i="4" s="1"/>
  <c r="AG214" i="4"/>
  <c r="AH62" i="4"/>
  <c r="X78" i="4"/>
  <c r="X80" i="4"/>
  <c r="W81" i="4"/>
  <c r="Y61" i="4"/>
  <c r="Z57" i="4"/>
  <c r="Z20" i="4" s="1"/>
  <c r="Z21" i="4" s="1"/>
  <c r="Z56" i="4" s="1"/>
  <c r="Z58" i="4" s="1"/>
  <c r="AK8" i="4"/>
  <c r="AB18" i="4"/>
  <c r="AB52" i="4"/>
  <c r="AB17" i="4"/>
  <c r="AB53" i="4"/>
  <c r="AB19" i="4"/>
  <c r="AB51" i="4"/>
  <c r="AC2" i="4"/>
  <c r="J94" i="4"/>
  <c r="I98" i="4" s="1"/>
  <c r="AE2" i="8"/>
  <c r="AF1" i="8"/>
  <c r="AD1" i="4"/>
  <c r="AE3" i="4"/>
  <c r="AD242" i="4"/>
  <c r="V235" i="4"/>
  <c r="V244" i="4" s="1"/>
  <c r="V236" i="4"/>
  <c r="V245" i="4" s="1"/>
  <c r="K94" i="8" l="1"/>
  <c r="J98" i="8" s="1"/>
  <c r="J99" i="8" s="1"/>
  <c r="AB61" i="8"/>
  <c r="AC57" i="8"/>
  <c r="AC20" i="8" s="1"/>
  <c r="AC21" i="8" s="1"/>
  <c r="AC56" i="8" s="1"/>
  <c r="AC58" i="8" s="1"/>
  <c r="AI214" i="8"/>
  <c r="AJ62" i="8"/>
  <c r="G119" i="8"/>
  <c r="G120" i="8"/>
  <c r="AD54" i="8"/>
  <c r="AA235" i="8"/>
  <c r="AA244" i="8" s="1"/>
  <c r="AA78" i="8"/>
  <c r="AA236" i="8" s="1"/>
  <c r="AA245" i="8" s="1"/>
  <c r="AA80" i="8"/>
  <c r="D131" i="8"/>
  <c r="C138" i="8"/>
  <c r="J102" i="8"/>
  <c r="J103" i="8"/>
  <c r="Z81" i="8"/>
  <c r="H111" i="8"/>
  <c r="G115" i="8" s="1"/>
  <c r="G116" i="8" s="1"/>
  <c r="F200" i="8"/>
  <c r="F210" i="8" s="1"/>
  <c r="F228" i="8" s="1"/>
  <c r="AE53" i="8"/>
  <c r="AE18" i="8"/>
  <c r="AE17" i="8"/>
  <c r="AE52" i="8"/>
  <c r="AE19" i="8"/>
  <c r="AE51" i="8"/>
  <c r="F122" i="8"/>
  <c r="D135" i="8"/>
  <c r="L87" i="8"/>
  <c r="I105" i="8"/>
  <c r="AD77" i="4"/>
  <c r="AD229" i="4" s="1"/>
  <c r="AE44" i="4"/>
  <c r="AD37" i="4"/>
  <c r="AD76" i="4"/>
  <c r="AE43" i="4"/>
  <c r="AD35" i="4"/>
  <c r="AD73" i="4"/>
  <c r="AD72" i="4"/>
  <c r="AE40" i="4"/>
  <c r="AD34" i="4"/>
  <c r="AD70" i="4"/>
  <c r="AD222" i="4" s="1"/>
  <c r="AE38" i="4"/>
  <c r="AD33" i="4"/>
  <c r="AD31" i="4"/>
  <c r="AE42" i="4"/>
  <c r="AD36" i="4"/>
  <c r="AD24" i="4"/>
  <c r="AD74" i="4"/>
  <c r="AE46" i="4"/>
  <c r="AE49" i="4" s="1"/>
  <c r="AE41" i="4"/>
  <c r="AD75" i="4"/>
  <c r="AF3" i="8"/>
  <c r="AE48" i="4"/>
  <c r="AE15" i="4"/>
  <c r="AE47" i="4"/>
  <c r="AE13" i="4"/>
  <c r="AE14" i="4" s="1"/>
  <c r="AE5" i="4"/>
  <c r="AE6" i="4"/>
  <c r="H105" i="4"/>
  <c r="H107" i="4" s="1"/>
  <c r="AB54" i="4"/>
  <c r="AL8" i="4"/>
  <c r="AA57" i="4"/>
  <c r="AA20" i="4" s="1"/>
  <c r="AA21" i="4" s="1"/>
  <c r="AA56" i="4" s="1"/>
  <c r="AA58" i="4" s="1"/>
  <c r="Z61" i="4"/>
  <c r="Y80" i="4"/>
  <c r="Y78" i="4"/>
  <c r="K90" i="4"/>
  <c r="K91" i="4" s="1"/>
  <c r="K88" i="4"/>
  <c r="K89" i="4" s="1"/>
  <c r="I99" i="4"/>
  <c r="I100" i="4" s="1"/>
  <c r="J97" i="4" s="1"/>
  <c r="I103" i="4"/>
  <c r="I102" i="4"/>
  <c r="AH214" i="4"/>
  <c r="AI62" i="4"/>
  <c r="X81" i="4"/>
  <c r="I101" i="4"/>
  <c r="I185" i="4"/>
  <c r="I195" i="4" s="1"/>
  <c r="I219" i="4" s="1"/>
  <c r="AC52" i="4"/>
  <c r="AC51" i="4"/>
  <c r="AC53" i="4"/>
  <c r="AC17" i="4"/>
  <c r="AC19" i="4"/>
  <c r="AC18" i="4"/>
  <c r="AD2" i="4"/>
  <c r="AF2" i="8"/>
  <c r="AE1" i="4"/>
  <c r="AG1" i="8"/>
  <c r="AE242" i="4"/>
  <c r="AF3" i="4"/>
  <c r="W235" i="4"/>
  <c r="W244" i="4" s="1"/>
  <c r="W236" i="4"/>
  <c r="W245" i="4" s="1"/>
  <c r="F124" i="8" l="1"/>
  <c r="AF53" i="8"/>
  <c r="AF18" i="8"/>
  <c r="AF52" i="8"/>
  <c r="AF17" i="8"/>
  <c r="AF19" i="8"/>
  <c r="AF51" i="8"/>
  <c r="AE54" i="8"/>
  <c r="AJ214" i="8"/>
  <c r="AK62" i="8"/>
  <c r="C201" i="8"/>
  <c r="C207" i="8" s="1"/>
  <c r="C225" i="8" s="1"/>
  <c r="AD57" i="8"/>
  <c r="AD20" i="8" s="1"/>
  <c r="AD21" i="8" s="1"/>
  <c r="AD56" i="8" s="1"/>
  <c r="AD58" i="8" s="1"/>
  <c r="AC61" i="8"/>
  <c r="D133" i="8"/>
  <c r="D134" i="8" s="1"/>
  <c r="E131" i="8" s="1"/>
  <c r="D136" i="8"/>
  <c r="D137" i="8"/>
  <c r="L88" i="8"/>
  <c r="L89" i="8" s="1"/>
  <c r="AB235" i="8"/>
  <c r="AB244" i="8" s="1"/>
  <c r="AB80" i="8"/>
  <c r="AB78" i="8"/>
  <c r="AB236" i="8" s="1"/>
  <c r="AB245" i="8" s="1"/>
  <c r="G118" i="8"/>
  <c r="G186" i="8"/>
  <c r="G196" i="8" s="1"/>
  <c r="G220" i="8" s="1"/>
  <c r="J101" i="8"/>
  <c r="J185" i="8"/>
  <c r="J195" i="8" s="1"/>
  <c r="J219" i="8" s="1"/>
  <c r="AA81" i="8"/>
  <c r="L90" i="8"/>
  <c r="L91" i="8" s="1"/>
  <c r="I107" i="8"/>
  <c r="J100" i="8"/>
  <c r="C139" i="8"/>
  <c r="G117" i="8"/>
  <c r="AG3" i="8"/>
  <c r="AF47" i="4"/>
  <c r="AF13" i="4"/>
  <c r="AF14" i="4" s="1"/>
  <c r="AF15" i="4"/>
  <c r="AF48" i="4"/>
  <c r="AF5" i="4"/>
  <c r="AF6" i="4"/>
  <c r="AE76" i="4"/>
  <c r="AE36" i="4"/>
  <c r="AF43" i="4"/>
  <c r="AE75" i="4"/>
  <c r="AF44" i="4"/>
  <c r="AF40" i="4"/>
  <c r="AE34" i="4"/>
  <c r="AE24" i="4"/>
  <c r="AF42" i="4"/>
  <c r="AF41" i="4"/>
  <c r="AF38" i="4"/>
  <c r="AE73" i="4"/>
  <c r="AE77" i="4"/>
  <c r="AE229" i="4" s="1"/>
  <c r="AE33" i="4"/>
  <c r="AE74" i="4"/>
  <c r="AE37" i="4"/>
  <c r="AE72" i="4"/>
  <c r="AE70" i="4"/>
  <c r="AE222" i="4" s="1"/>
  <c r="AE31" i="4"/>
  <c r="AE35" i="4"/>
  <c r="AF46" i="4"/>
  <c r="AF49" i="4" s="1"/>
  <c r="AC54" i="4"/>
  <c r="K93" i="4"/>
  <c r="J102" i="4"/>
  <c r="J103" i="4"/>
  <c r="Y81" i="4"/>
  <c r="Z80" i="4"/>
  <c r="Z78" i="4"/>
  <c r="AB57" i="4"/>
  <c r="AB20" i="4" s="1"/>
  <c r="AB21" i="4" s="1"/>
  <c r="AB56" i="4" s="1"/>
  <c r="AB58" i="4" s="1"/>
  <c r="AA61" i="4"/>
  <c r="I104" i="4"/>
  <c r="I199" i="4" s="1"/>
  <c r="I209" i="4" s="1"/>
  <c r="I227" i="4" s="1"/>
  <c r="AM8" i="4"/>
  <c r="K221" i="4"/>
  <c r="L86" i="4"/>
  <c r="L87" i="4" s="1"/>
  <c r="AD17" i="4"/>
  <c r="AD51" i="4"/>
  <c r="AD53" i="4"/>
  <c r="AD52" i="4"/>
  <c r="AD19" i="4"/>
  <c r="AD18" i="4"/>
  <c r="AE2" i="4"/>
  <c r="H108" i="4"/>
  <c r="H109" i="4" s="1"/>
  <c r="H110" i="4" s="1"/>
  <c r="AI214" i="4"/>
  <c r="AJ62" i="4"/>
  <c r="AG2" i="8"/>
  <c r="AH1" i="8"/>
  <c r="AF1" i="4"/>
  <c r="AF242" i="4"/>
  <c r="AG3" i="4"/>
  <c r="X235" i="4"/>
  <c r="X244" i="4" s="1"/>
  <c r="X236" i="4"/>
  <c r="X245" i="4" s="1"/>
  <c r="AF54" i="8" l="1"/>
  <c r="L221" i="8"/>
  <c r="M86" i="8"/>
  <c r="L93" i="8"/>
  <c r="I108" i="8"/>
  <c r="I109" i="8" s="1"/>
  <c r="I110" i="8"/>
  <c r="E137" i="8"/>
  <c r="E136" i="8"/>
  <c r="D138" i="8"/>
  <c r="D139" i="8" s="1"/>
  <c r="AC235" i="8"/>
  <c r="AC244" i="8" s="1"/>
  <c r="AC78" i="8"/>
  <c r="AC236" i="8" s="1"/>
  <c r="AC245" i="8" s="1"/>
  <c r="AC80" i="8"/>
  <c r="H114" i="8"/>
  <c r="G121" i="8"/>
  <c r="AE57" i="8"/>
  <c r="AE20" i="8" s="1"/>
  <c r="AE21" i="8" s="1"/>
  <c r="AE56" i="8" s="1"/>
  <c r="AE58" i="8" s="1"/>
  <c r="AD61" i="8"/>
  <c r="F125" i="8"/>
  <c r="F126" i="8" s="1"/>
  <c r="F127" i="8" s="1"/>
  <c r="C141" i="8"/>
  <c r="K97" i="8"/>
  <c r="J104" i="8"/>
  <c r="J199" i="8" s="1"/>
  <c r="J209" i="8" s="1"/>
  <c r="J227" i="8" s="1"/>
  <c r="AK214" i="8"/>
  <c r="AL62" i="8"/>
  <c r="AG53" i="8"/>
  <c r="AG52" i="8"/>
  <c r="AG17" i="8"/>
  <c r="AG51" i="8"/>
  <c r="AG18" i="8"/>
  <c r="AG19" i="8"/>
  <c r="AB81" i="8"/>
  <c r="AH3" i="8"/>
  <c r="AG43" i="4"/>
  <c r="AF35" i="4"/>
  <c r="AF75" i="4"/>
  <c r="AG42" i="4"/>
  <c r="AF34" i="4"/>
  <c r="AF72" i="4"/>
  <c r="AF70" i="4"/>
  <c r="AF222" i="4" s="1"/>
  <c r="AF74" i="4"/>
  <c r="AF33" i="4"/>
  <c r="AF77" i="4"/>
  <c r="AF229" i="4" s="1"/>
  <c r="AG38" i="4"/>
  <c r="AG46" i="4"/>
  <c r="AG49" i="4" s="1"/>
  <c r="AG40" i="4"/>
  <c r="AG41" i="4"/>
  <c r="AF31" i="4"/>
  <c r="AF36" i="4"/>
  <c r="AF73" i="4"/>
  <c r="AF24" i="4"/>
  <c r="AG44" i="4"/>
  <c r="AF76" i="4"/>
  <c r="AF37" i="4"/>
  <c r="AG47" i="4"/>
  <c r="AG48" i="4"/>
  <c r="AG13" i="4"/>
  <c r="AG14" i="4" s="1"/>
  <c r="AG5" i="4"/>
  <c r="AG15" i="4"/>
  <c r="AG6" i="4"/>
  <c r="K94" i="4"/>
  <c r="J98" i="4" s="1"/>
  <c r="AA78" i="4"/>
  <c r="AA80" i="4"/>
  <c r="AE51" i="4"/>
  <c r="AE19" i="4"/>
  <c r="AE53" i="4"/>
  <c r="AE52" i="4"/>
  <c r="AE17" i="4"/>
  <c r="AE18" i="4"/>
  <c r="AF2" i="4"/>
  <c r="AC57" i="4"/>
  <c r="AC20" i="4" s="1"/>
  <c r="AC21" i="4" s="1"/>
  <c r="AC56" i="4" s="1"/>
  <c r="AC58" i="4" s="1"/>
  <c r="AB61" i="4"/>
  <c r="Z81" i="4"/>
  <c r="AJ214" i="4"/>
  <c r="AK62" i="4"/>
  <c r="AD54" i="4"/>
  <c r="I105" i="4"/>
  <c r="AH2" i="8"/>
  <c r="AG1" i="4"/>
  <c r="AI1" i="8"/>
  <c r="AG242" i="4"/>
  <c r="AH3" i="4"/>
  <c r="Y235" i="4"/>
  <c r="Y244" i="4" s="1"/>
  <c r="Y236" i="4"/>
  <c r="Y245" i="4" s="1"/>
  <c r="F128" i="8" l="1"/>
  <c r="E132" i="8" s="1"/>
  <c r="AC81" i="8"/>
  <c r="I111" i="8"/>
  <c r="H115" i="8" s="1"/>
  <c r="AD235" i="8"/>
  <c r="AD244" i="8" s="1"/>
  <c r="AD78" i="8"/>
  <c r="AD236" i="8" s="1"/>
  <c r="AD245" i="8" s="1"/>
  <c r="AD80" i="8"/>
  <c r="AH52" i="8"/>
  <c r="AH53" i="8"/>
  <c r="AH17" i="8"/>
  <c r="AH51" i="8"/>
  <c r="AH18" i="8"/>
  <c r="AH19" i="8"/>
  <c r="G200" i="8"/>
  <c r="G210" i="8" s="1"/>
  <c r="G228" i="8" s="1"/>
  <c r="AL214" i="8"/>
  <c r="AM62" i="8"/>
  <c r="AM214" i="8" s="1"/>
  <c r="G122" i="8"/>
  <c r="D141" i="8"/>
  <c r="J105" i="8"/>
  <c r="H120" i="8"/>
  <c r="H119" i="8"/>
  <c r="H116" i="8"/>
  <c r="K103" i="8"/>
  <c r="K102" i="8"/>
  <c r="L94" i="8"/>
  <c r="K98" i="8" s="1"/>
  <c r="C142" i="8"/>
  <c r="C143" i="8" s="1"/>
  <c r="C144" i="8" s="1"/>
  <c r="M87" i="8"/>
  <c r="M88" i="8" s="1"/>
  <c r="AF57" i="8"/>
  <c r="AF20" i="8" s="1"/>
  <c r="AF21" i="8" s="1"/>
  <c r="AF56" i="8" s="1"/>
  <c r="AF58" i="8" s="1"/>
  <c r="AE61" i="8"/>
  <c r="D201" i="8"/>
  <c r="D207" i="8" s="1"/>
  <c r="D225" i="8" s="1"/>
  <c r="AG54" i="8"/>
  <c r="AI3" i="8"/>
  <c r="AH13" i="4"/>
  <c r="AH14" i="4" s="1"/>
  <c r="AH47" i="4"/>
  <c r="AH15" i="4"/>
  <c r="AH48" i="4"/>
  <c r="AH6" i="4"/>
  <c r="AH5" i="4"/>
  <c r="AG75" i="4"/>
  <c r="AH42" i="4"/>
  <c r="AG74" i="4"/>
  <c r="AH43" i="4"/>
  <c r="AG70" i="4"/>
  <c r="AG222" i="4" s="1"/>
  <c r="AG37" i="4"/>
  <c r="AG31" i="4"/>
  <c r="AG33" i="4"/>
  <c r="AH46" i="4"/>
  <c r="AH49" i="4" s="1"/>
  <c r="AH40" i="4"/>
  <c r="AG34" i="4"/>
  <c r="AG24" i="4"/>
  <c r="AG76" i="4"/>
  <c r="AG72" i="4"/>
  <c r="AG36" i="4"/>
  <c r="AG73" i="4"/>
  <c r="AG35" i="4"/>
  <c r="AH44" i="4"/>
  <c r="AH38" i="4"/>
  <c r="AG77" i="4"/>
  <c r="AG229" i="4" s="1"/>
  <c r="AH41" i="4"/>
  <c r="AE54" i="4"/>
  <c r="AA81" i="4"/>
  <c r="L90" i="4"/>
  <c r="L91" i="4" s="1"/>
  <c r="AD57" i="4"/>
  <c r="AD20" i="4" s="1"/>
  <c r="AD21" i="4" s="1"/>
  <c r="AD56" i="4" s="1"/>
  <c r="AD58" i="4" s="1"/>
  <c r="AC61" i="4"/>
  <c r="L88" i="4"/>
  <c r="L89" i="4" s="1"/>
  <c r="I107" i="4"/>
  <c r="AB78" i="4"/>
  <c r="AB80" i="4"/>
  <c r="AF53" i="4"/>
  <c r="AF52" i="4"/>
  <c r="AF17" i="4"/>
  <c r="AF51" i="4"/>
  <c r="AF18" i="4"/>
  <c r="AF19" i="4"/>
  <c r="AG2" i="4"/>
  <c r="J101" i="4"/>
  <c r="J185" i="4"/>
  <c r="J195" i="4" s="1"/>
  <c r="J219" i="4" s="1"/>
  <c r="J99" i="4"/>
  <c r="J100" i="4" s="1"/>
  <c r="AK214" i="4"/>
  <c r="AL62" i="4"/>
  <c r="AI2" i="8"/>
  <c r="AJ1" i="8"/>
  <c r="AH1" i="4"/>
  <c r="AI3" i="4"/>
  <c r="AH242" i="4"/>
  <c r="Z235" i="4"/>
  <c r="Z244" i="4" s="1"/>
  <c r="Z236" i="4"/>
  <c r="Z245" i="4" s="1"/>
  <c r="M89" i="8" l="1"/>
  <c r="M221" i="8" s="1"/>
  <c r="C145" i="8"/>
  <c r="N86" i="8"/>
  <c r="AI52" i="8"/>
  <c r="AI51" i="8"/>
  <c r="AI19" i="8"/>
  <c r="AI18" i="8"/>
  <c r="AI17" i="8"/>
  <c r="AI53" i="8"/>
  <c r="AD81" i="8"/>
  <c r="D142" i="8"/>
  <c r="D143" i="8" s="1"/>
  <c r="D144" i="8" s="1"/>
  <c r="H118" i="8"/>
  <c r="H186" i="8"/>
  <c r="H196" i="8" s="1"/>
  <c r="H220" i="8" s="1"/>
  <c r="G124" i="8"/>
  <c r="K101" i="8"/>
  <c r="K185" i="8"/>
  <c r="K195" i="8" s="1"/>
  <c r="K219" i="8" s="1"/>
  <c r="AE235" i="8"/>
  <c r="AE244" i="8" s="1"/>
  <c r="AE78" i="8"/>
  <c r="AE236" i="8" s="1"/>
  <c r="AE245" i="8" s="1"/>
  <c r="AE80" i="8"/>
  <c r="K99" i="8"/>
  <c r="K100" i="8" s="1"/>
  <c r="AG57" i="8"/>
  <c r="AG20" i="8" s="1"/>
  <c r="AG21" i="8" s="1"/>
  <c r="AG56" i="8" s="1"/>
  <c r="AG58" i="8" s="1"/>
  <c r="AF61" i="8"/>
  <c r="AH54" i="8"/>
  <c r="E135" i="8"/>
  <c r="E187" i="8"/>
  <c r="E193" i="8" s="1"/>
  <c r="E217" i="8" s="1"/>
  <c r="E133" i="8"/>
  <c r="E134" i="8" s="1"/>
  <c r="J107" i="8"/>
  <c r="M90" i="8"/>
  <c r="M91" i="8" s="1"/>
  <c r="H117" i="8"/>
  <c r="AJ3" i="8"/>
  <c r="AI42" i="4"/>
  <c r="AH34" i="4"/>
  <c r="AH74" i="4"/>
  <c r="AI41" i="4"/>
  <c r="AH33" i="4"/>
  <c r="AH70" i="4"/>
  <c r="AH222" i="4" s="1"/>
  <c r="AI46" i="4"/>
  <c r="AI49" i="4" s="1"/>
  <c r="AH37" i="4"/>
  <c r="AH31" i="4"/>
  <c r="AH77" i="4"/>
  <c r="AH229" i="4" s="1"/>
  <c r="AH73" i="4"/>
  <c r="AI40" i="4"/>
  <c r="AH24" i="4"/>
  <c r="AI43" i="4"/>
  <c r="AH76" i="4"/>
  <c r="AH72" i="4"/>
  <c r="AH36" i="4"/>
  <c r="AH35" i="4"/>
  <c r="AI38" i="4"/>
  <c r="AI44" i="4"/>
  <c r="AH75" i="4"/>
  <c r="AI47" i="4"/>
  <c r="AI6" i="4"/>
  <c r="AI13" i="4"/>
  <c r="AI14" i="4" s="1"/>
  <c r="AI48" i="4"/>
  <c r="AI15" i="4"/>
  <c r="AI5" i="4"/>
  <c r="L221" i="4"/>
  <c r="M86" i="4"/>
  <c r="M87" i="4" s="1"/>
  <c r="L93" i="4"/>
  <c r="AF54" i="4"/>
  <c r="AC80" i="4"/>
  <c r="AC78" i="4"/>
  <c r="K97" i="4"/>
  <c r="J104" i="4"/>
  <c r="AE57" i="4"/>
  <c r="AE20" i="4" s="1"/>
  <c r="AE21" i="4" s="1"/>
  <c r="AE56" i="4" s="1"/>
  <c r="AE58" i="4" s="1"/>
  <c r="AD61" i="4"/>
  <c r="AB81" i="4"/>
  <c r="AG18" i="4"/>
  <c r="AG52" i="4"/>
  <c r="AG51" i="4"/>
  <c r="AG17" i="4"/>
  <c r="AG19" i="4"/>
  <c r="AG53" i="4"/>
  <c r="AH2" i="4"/>
  <c r="I108" i="4"/>
  <c r="I109" i="4" s="1"/>
  <c r="I110" i="4" s="1"/>
  <c r="AM62" i="4"/>
  <c r="AM214" i="4" s="1"/>
  <c r="AL214" i="4"/>
  <c r="AJ2" i="8"/>
  <c r="AK1" i="8"/>
  <c r="AI1" i="4"/>
  <c r="AI242" i="4"/>
  <c r="AJ3" i="4"/>
  <c r="AA235" i="4"/>
  <c r="AA244" i="4" s="1"/>
  <c r="AA236" i="4"/>
  <c r="AA245" i="4" s="1"/>
  <c r="AI54" i="8" l="1"/>
  <c r="F131" i="8"/>
  <c r="E138" i="8"/>
  <c r="L97" i="8"/>
  <c r="K104" i="8"/>
  <c r="M93" i="8"/>
  <c r="E139" i="8"/>
  <c r="AG61" i="8"/>
  <c r="AH57" i="8"/>
  <c r="AH20" i="8" s="1"/>
  <c r="AH21" i="8" s="1"/>
  <c r="AH56" i="8" s="1"/>
  <c r="AH58" i="8" s="1"/>
  <c r="N87" i="8"/>
  <c r="N88" i="8" s="1"/>
  <c r="N89" i="8" s="1"/>
  <c r="G125" i="8"/>
  <c r="G126" i="8" s="1"/>
  <c r="G127" i="8" s="1"/>
  <c r="I114" i="8"/>
  <c r="H121" i="8"/>
  <c r="H200" i="8" s="1"/>
  <c r="H210" i="8" s="1"/>
  <c r="H228" i="8" s="1"/>
  <c r="AE81" i="8"/>
  <c r="D145" i="8"/>
  <c r="C149" i="8"/>
  <c r="J108" i="8"/>
  <c r="J109" i="8" s="1"/>
  <c r="J110" i="8" s="1"/>
  <c r="AF235" i="8"/>
  <c r="AF244" i="8" s="1"/>
  <c r="AF78" i="8"/>
  <c r="AF236" i="8" s="1"/>
  <c r="AF245" i="8" s="1"/>
  <c r="AF80" i="8"/>
  <c r="AJ51" i="8"/>
  <c r="AJ52" i="8"/>
  <c r="AJ17" i="8"/>
  <c r="AJ18" i="8"/>
  <c r="AJ19" i="8"/>
  <c r="AJ53" i="8"/>
  <c r="AJ48" i="4"/>
  <c r="AJ15" i="4"/>
  <c r="AJ5" i="4"/>
  <c r="AJ13" i="4"/>
  <c r="AJ14" i="4" s="1"/>
  <c r="AJ47" i="4"/>
  <c r="AJ6" i="4"/>
  <c r="AK3" i="8"/>
  <c r="AI74" i="4"/>
  <c r="AJ41" i="4"/>
  <c r="AI73" i="4"/>
  <c r="AI24" i="4"/>
  <c r="AI77" i="4"/>
  <c r="AI229" i="4" s="1"/>
  <c r="AJ44" i="4"/>
  <c r="AI70" i="4"/>
  <c r="AI222" i="4" s="1"/>
  <c r="AI37" i="4"/>
  <c r="AI31" i="4"/>
  <c r="AJ42" i="4"/>
  <c r="AI76" i="4"/>
  <c r="AI35" i="4"/>
  <c r="AJ46" i="4"/>
  <c r="AJ49" i="4" s="1"/>
  <c r="AI36" i="4"/>
  <c r="AJ40" i="4"/>
  <c r="AJ43" i="4"/>
  <c r="AI34" i="4"/>
  <c r="AI72" i="4"/>
  <c r="AI33" i="4"/>
  <c r="AJ38" i="4"/>
  <c r="AI75" i="4"/>
  <c r="AC81" i="4"/>
  <c r="AD80" i="4"/>
  <c r="AD78" i="4"/>
  <c r="AF57" i="4"/>
  <c r="AF20" i="4" s="1"/>
  <c r="AF21" i="4" s="1"/>
  <c r="AF56" i="4" s="1"/>
  <c r="AF58" i="4" s="1"/>
  <c r="AE61" i="4"/>
  <c r="L94" i="4"/>
  <c r="K98" i="4" s="1"/>
  <c r="J199" i="4"/>
  <c r="J209" i="4" s="1"/>
  <c r="J227" i="4" s="1"/>
  <c r="J105" i="4"/>
  <c r="AG54" i="4"/>
  <c r="AH52" i="4"/>
  <c r="AH51" i="4"/>
  <c r="AH19" i="4"/>
  <c r="AH18" i="4"/>
  <c r="AH17" i="4"/>
  <c r="AH53" i="4"/>
  <c r="AI2" i="4"/>
  <c r="K102" i="4"/>
  <c r="K103" i="4"/>
  <c r="AK2" i="8"/>
  <c r="AJ1" i="4"/>
  <c r="AL1" i="8"/>
  <c r="AJ242" i="4"/>
  <c r="AK3" i="4"/>
  <c r="AB235" i="4"/>
  <c r="AB244" i="4" s="1"/>
  <c r="AB236" i="4"/>
  <c r="AB245" i="4" s="1"/>
  <c r="N221" i="8" l="1"/>
  <c r="O86" i="8"/>
  <c r="G128" i="8"/>
  <c r="F132" i="8" s="1"/>
  <c r="J111" i="8"/>
  <c r="I115" i="8" s="1"/>
  <c r="C188" i="8"/>
  <c r="C194" i="8" s="1"/>
  <c r="C218" i="8" s="1"/>
  <c r="C152" i="8"/>
  <c r="C151" i="8"/>
  <c r="AG235" i="8"/>
  <c r="AG244" i="8" s="1"/>
  <c r="AG78" i="8"/>
  <c r="AG236" i="8" s="1"/>
  <c r="AG245" i="8" s="1"/>
  <c r="AG80" i="8"/>
  <c r="H122" i="8"/>
  <c r="AI57" i="8"/>
  <c r="AI20" i="8" s="1"/>
  <c r="AI21" i="8" s="1"/>
  <c r="AI56" i="8" s="1"/>
  <c r="AI58" i="8" s="1"/>
  <c r="AH61" i="8"/>
  <c r="M94" i="8"/>
  <c r="L98" i="8" s="1"/>
  <c r="E141" i="8"/>
  <c r="I119" i="8"/>
  <c r="I120" i="8"/>
  <c r="K199" i="8"/>
  <c r="K209" i="8" s="1"/>
  <c r="K227" i="8" s="1"/>
  <c r="K105" i="8"/>
  <c r="AF81" i="8"/>
  <c r="L99" i="8"/>
  <c r="L100" i="8" s="1"/>
  <c r="M97" i="8" s="1"/>
  <c r="L103" i="8"/>
  <c r="L102" i="8"/>
  <c r="AJ54" i="8"/>
  <c r="AK51" i="8"/>
  <c r="AK52" i="8"/>
  <c r="AK18" i="8"/>
  <c r="AK19" i="8"/>
  <c r="AK17" i="8"/>
  <c r="AK53" i="8"/>
  <c r="E201" i="8"/>
  <c r="E207" i="8" s="1"/>
  <c r="E225" i="8" s="1"/>
  <c r="N90" i="8"/>
  <c r="N91" i="8" s="1"/>
  <c r="F137" i="8"/>
  <c r="F133" i="8"/>
  <c r="F134" i="8" s="1"/>
  <c r="F136" i="8"/>
  <c r="AK41" i="4"/>
  <c r="AJ33" i="4"/>
  <c r="AJ73" i="4"/>
  <c r="AK40" i="4"/>
  <c r="AJ31" i="4"/>
  <c r="AJ76" i="4"/>
  <c r="AK42" i="4"/>
  <c r="AJ77" i="4"/>
  <c r="AJ229" i="4" s="1"/>
  <c r="AJ35" i="4"/>
  <c r="AK38" i="4"/>
  <c r="AJ72" i="4"/>
  <c r="AK43" i="4"/>
  <c r="AJ34" i="4"/>
  <c r="AJ24" i="4"/>
  <c r="AK46" i="4"/>
  <c r="AK44" i="4"/>
  <c r="AJ36" i="4"/>
  <c r="AJ70" i="4"/>
  <c r="AJ222" i="4" s="1"/>
  <c r="AJ75" i="4"/>
  <c r="AJ74" i="4"/>
  <c r="AJ37" i="4"/>
  <c r="AK47" i="4"/>
  <c r="AK48" i="4"/>
  <c r="AK5" i="4"/>
  <c r="AK6" i="4"/>
  <c r="AK49" i="4"/>
  <c r="AK15" i="4"/>
  <c r="AK13" i="4"/>
  <c r="AK14" i="4" s="1"/>
  <c r="AL3" i="8"/>
  <c r="K101" i="4"/>
  <c r="K185" i="4"/>
  <c r="K195" i="4" s="1"/>
  <c r="K219" i="4" s="1"/>
  <c r="AD81" i="4"/>
  <c r="AH54" i="4"/>
  <c r="M90" i="4"/>
  <c r="M91" i="4" s="1"/>
  <c r="AE80" i="4"/>
  <c r="AE78" i="4"/>
  <c r="M88" i="4"/>
  <c r="M89" i="4" s="1"/>
  <c r="AG57" i="4"/>
  <c r="AG20" i="4" s="1"/>
  <c r="AG21" i="4" s="1"/>
  <c r="AG56" i="4" s="1"/>
  <c r="AG58" i="4" s="1"/>
  <c r="AF61" i="4"/>
  <c r="K99" i="4"/>
  <c r="K100" i="4" s="1"/>
  <c r="J107" i="4"/>
  <c r="AI52" i="4"/>
  <c r="AI19" i="4"/>
  <c r="AI17" i="4"/>
  <c r="AI51" i="4"/>
  <c r="AI53" i="4"/>
  <c r="AI18" i="4"/>
  <c r="AJ2" i="4"/>
  <c r="AL2" i="8"/>
  <c r="AM1" i="8"/>
  <c r="AK1" i="4"/>
  <c r="AL3" i="4"/>
  <c r="AK242" i="4"/>
  <c r="AC235" i="4"/>
  <c r="AC244" i="4" s="1"/>
  <c r="AC236" i="4"/>
  <c r="AC245" i="4" s="1"/>
  <c r="N93" i="8" l="1"/>
  <c r="G131" i="8"/>
  <c r="F138" i="8"/>
  <c r="D148" i="8"/>
  <c r="C155" i="8"/>
  <c r="E142" i="8"/>
  <c r="E143" i="8" s="1"/>
  <c r="E144" i="8" s="1"/>
  <c r="L104" i="8"/>
  <c r="L199" i="8" s="1"/>
  <c r="L209" i="8" s="1"/>
  <c r="L227" i="8" s="1"/>
  <c r="M103" i="8"/>
  <c r="M102" i="8"/>
  <c r="AL53" i="8"/>
  <c r="AL51" i="8"/>
  <c r="AL52" i="8"/>
  <c r="AL19" i="8"/>
  <c r="AL18" i="8"/>
  <c r="AL17" i="8"/>
  <c r="L101" i="8"/>
  <c r="L185" i="8"/>
  <c r="L195" i="8" s="1"/>
  <c r="L219" i="8" s="1"/>
  <c r="I118" i="8"/>
  <c r="I186" i="8"/>
  <c r="I196" i="8" s="1"/>
  <c r="I220" i="8" s="1"/>
  <c r="K107" i="8"/>
  <c r="AH235" i="8"/>
  <c r="AH244" i="8" s="1"/>
  <c r="AH80" i="8"/>
  <c r="AH78" i="8"/>
  <c r="AH236" i="8" s="1"/>
  <c r="AH245" i="8" s="1"/>
  <c r="H124" i="8"/>
  <c r="AK54" i="8"/>
  <c r="I116" i="8"/>
  <c r="I117" i="8" s="1"/>
  <c r="O87" i="8"/>
  <c r="AI61" i="8"/>
  <c r="AJ57" i="8"/>
  <c r="AJ20" i="8" s="1"/>
  <c r="AJ21" i="8" s="1"/>
  <c r="AJ56" i="8" s="1"/>
  <c r="AJ58" i="8" s="1"/>
  <c r="F135" i="8"/>
  <c r="F139" i="8" s="1"/>
  <c r="F187" i="8"/>
  <c r="F193" i="8" s="1"/>
  <c r="F217" i="8" s="1"/>
  <c r="AG81" i="8"/>
  <c r="AM3" i="8"/>
  <c r="AL47" i="4"/>
  <c r="AL48" i="4"/>
  <c r="AL5" i="4"/>
  <c r="AL6" i="4"/>
  <c r="AL15" i="4"/>
  <c r="AL13" i="4"/>
  <c r="AL14" i="4" s="1"/>
  <c r="AK73" i="4"/>
  <c r="AL40" i="4"/>
  <c r="AK72" i="4"/>
  <c r="AL43" i="4"/>
  <c r="AK77" i="4"/>
  <c r="AK229" i="4" s="1"/>
  <c r="AK35" i="4"/>
  <c r="AK76" i="4"/>
  <c r="AL38" i="4"/>
  <c r="AK75" i="4"/>
  <c r="AL44" i="4"/>
  <c r="AL46" i="4"/>
  <c r="AL49" i="4" s="1"/>
  <c r="AK74" i="4"/>
  <c r="AK70" i="4"/>
  <c r="AK222" i="4" s="1"/>
  <c r="AK36" i="4"/>
  <c r="AK31" i="4"/>
  <c r="AL42" i="4"/>
  <c r="AK24" i="4"/>
  <c r="AK34" i="4"/>
  <c r="AL41" i="4"/>
  <c r="AK37" i="4"/>
  <c r="AK33" i="4"/>
  <c r="AI54" i="4"/>
  <c r="M93" i="4"/>
  <c r="M221" i="4"/>
  <c r="N86" i="4"/>
  <c r="N87" i="4" s="1"/>
  <c r="AJ19" i="4"/>
  <c r="AJ51" i="4"/>
  <c r="AJ53" i="4"/>
  <c r="AJ18" i="4"/>
  <c r="AJ17" i="4"/>
  <c r="AJ52" i="4"/>
  <c r="AK2" i="4"/>
  <c r="AF80" i="4"/>
  <c r="AF78" i="4"/>
  <c r="AH57" i="4"/>
  <c r="AH20" i="4" s="1"/>
  <c r="AH21" i="4" s="1"/>
  <c r="AH56" i="4" s="1"/>
  <c r="AH58" i="4" s="1"/>
  <c r="AG61" i="4"/>
  <c r="L97" i="4"/>
  <c r="K104" i="4"/>
  <c r="K199" i="4" s="1"/>
  <c r="K209" i="4" s="1"/>
  <c r="K227" i="4" s="1"/>
  <c r="AE81" i="4"/>
  <c r="J108" i="4"/>
  <c r="J109" i="4" s="1"/>
  <c r="J110" i="4" s="1"/>
  <c r="AM2" i="8"/>
  <c r="AL1" i="4"/>
  <c r="AL242" i="4"/>
  <c r="AM3" i="4"/>
  <c r="AD235" i="4"/>
  <c r="AD244" i="4" s="1"/>
  <c r="AD236" i="4"/>
  <c r="AD245" i="4" s="1"/>
  <c r="L105" i="8" l="1"/>
  <c r="F141" i="8"/>
  <c r="E145" i="8"/>
  <c r="D149" i="8" s="1"/>
  <c r="D150" i="8" s="1"/>
  <c r="D151" i="8" s="1"/>
  <c r="E148" i="8" s="1"/>
  <c r="L107" i="8"/>
  <c r="J114" i="8"/>
  <c r="I121" i="8"/>
  <c r="H125" i="8"/>
  <c r="H126" i="8" s="1"/>
  <c r="H127" i="8" s="1"/>
  <c r="AK57" i="8"/>
  <c r="AK20" i="8" s="1"/>
  <c r="AK21" i="8" s="1"/>
  <c r="AK56" i="8" s="1"/>
  <c r="AK58" i="8" s="1"/>
  <c r="AJ61" i="8"/>
  <c r="AH81" i="8"/>
  <c r="AI235" i="8"/>
  <c r="AI244" i="8" s="1"/>
  <c r="AI80" i="8"/>
  <c r="AI78" i="8"/>
  <c r="AI236" i="8" s="1"/>
  <c r="AI245" i="8" s="1"/>
  <c r="C202" i="8"/>
  <c r="C208" i="8" s="1"/>
  <c r="C226" i="8" s="1"/>
  <c r="K108" i="8"/>
  <c r="K109" i="8" s="1"/>
  <c r="K110" i="8" s="1"/>
  <c r="D153" i="8"/>
  <c r="D154" i="8"/>
  <c r="AL54" i="8"/>
  <c r="F201" i="8"/>
  <c r="F207" i="8" s="1"/>
  <c r="F225" i="8" s="1"/>
  <c r="G136" i="8"/>
  <c r="G137" i="8"/>
  <c r="O90" i="8"/>
  <c r="O91" i="8" s="1"/>
  <c r="AM51" i="8"/>
  <c r="AM19" i="8"/>
  <c r="AM17" i="8"/>
  <c r="AM52" i="8"/>
  <c r="AM53" i="8"/>
  <c r="AM18" i="8"/>
  <c r="O88" i="8"/>
  <c r="O89" i="8" s="1"/>
  <c r="C156" i="8"/>
  <c r="N94" i="8"/>
  <c r="M98" i="8" s="1"/>
  <c r="AM47" i="4"/>
  <c r="AM48" i="4"/>
  <c r="AM5" i="4"/>
  <c r="AM6" i="4"/>
  <c r="AM15" i="4"/>
  <c r="AM13" i="4"/>
  <c r="AM14" i="4" s="1"/>
  <c r="AM40" i="4"/>
  <c r="AL31" i="4"/>
  <c r="AL72" i="4"/>
  <c r="AM38" i="4"/>
  <c r="AL75" i="4"/>
  <c r="AL76" i="4"/>
  <c r="AL34" i="4"/>
  <c r="AL35" i="4"/>
  <c r="AL74" i="4"/>
  <c r="AM41" i="4"/>
  <c r="AM42" i="4"/>
  <c r="AL73" i="4"/>
  <c r="AM44" i="4"/>
  <c r="AM43" i="4"/>
  <c r="AL70" i="4"/>
  <c r="AL222" i="4" s="1"/>
  <c r="AL36" i="4"/>
  <c r="AM46" i="4"/>
  <c r="AM49" i="4" s="1"/>
  <c r="AL77" i="4"/>
  <c r="AL229" i="4" s="1"/>
  <c r="AL37" i="4"/>
  <c r="AL24" i="4"/>
  <c r="AL33" i="4"/>
  <c r="AK53" i="4"/>
  <c r="AK51" i="4"/>
  <c r="AK19" i="4"/>
  <c r="AK18" i="4"/>
  <c r="AK17" i="4"/>
  <c r="AK52" i="4"/>
  <c r="AL2" i="4"/>
  <c r="AJ54" i="4"/>
  <c r="L103" i="4"/>
  <c r="L102" i="4"/>
  <c r="AG80" i="4"/>
  <c r="AG78" i="4"/>
  <c r="M94" i="4"/>
  <c r="L98" i="4" s="1"/>
  <c r="L99" i="4" s="1"/>
  <c r="AH61" i="4"/>
  <c r="AI57" i="4"/>
  <c r="AI20" i="4" s="1"/>
  <c r="AI21" i="4" s="1"/>
  <c r="AI56" i="4" s="1"/>
  <c r="AI58" i="4" s="1"/>
  <c r="K105" i="4"/>
  <c r="AF81" i="4"/>
  <c r="AM1" i="4"/>
  <c r="AM242" i="4"/>
  <c r="AE235" i="4"/>
  <c r="AE244" i="4" s="1"/>
  <c r="AE236" i="4"/>
  <c r="AE245" i="4" s="1"/>
  <c r="AM54" i="8" l="1"/>
  <c r="O93" i="8"/>
  <c r="H128" i="8"/>
  <c r="G132" i="8" s="1"/>
  <c r="K111" i="8"/>
  <c r="J115" i="8" s="1"/>
  <c r="J116" i="8" s="1"/>
  <c r="J117" i="8" s="1"/>
  <c r="AL57" i="8"/>
  <c r="AL20" i="8" s="1"/>
  <c r="AL21" i="8" s="1"/>
  <c r="AL56" i="8" s="1"/>
  <c r="AL58" i="8" s="1"/>
  <c r="AK61" i="8"/>
  <c r="O221" i="8"/>
  <c r="P86" i="8"/>
  <c r="D155" i="8"/>
  <c r="I200" i="8"/>
  <c r="I210" i="8" s="1"/>
  <c r="I228" i="8" s="1"/>
  <c r="I122" i="8"/>
  <c r="M101" i="8"/>
  <c r="M185" i="8"/>
  <c r="M195" i="8" s="1"/>
  <c r="M219" i="8" s="1"/>
  <c r="M99" i="8"/>
  <c r="M100" i="8" s="1"/>
  <c r="J120" i="8"/>
  <c r="J119" i="8"/>
  <c r="C158" i="8"/>
  <c r="L108" i="8"/>
  <c r="L109" i="8" s="1"/>
  <c r="L110" i="8" s="1"/>
  <c r="AI81" i="8"/>
  <c r="D152" i="8"/>
  <c r="D188" i="8"/>
  <c r="D194" i="8" s="1"/>
  <c r="D218" i="8" s="1"/>
  <c r="E153" i="8"/>
  <c r="E154" i="8"/>
  <c r="AJ235" i="8"/>
  <c r="AJ244" i="8" s="1"/>
  <c r="AJ80" i="8"/>
  <c r="AJ78" i="8"/>
  <c r="AJ236" i="8" s="1"/>
  <c r="AJ245" i="8" s="1"/>
  <c r="F142" i="8"/>
  <c r="F143" i="8" s="1"/>
  <c r="F144" i="8" s="1"/>
  <c r="AM72" i="4"/>
  <c r="AM70" i="4"/>
  <c r="AM222" i="4" s="1"/>
  <c r="AM75" i="4"/>
  <c r="AM33" i="4"/>
  <c r="AM35" i="4"/>
  <c r="AM76" i="4"/>
  <c r="AM74" i="4"/>
  <c r="AM37" i="4"/>
  <c r="AM73" i="4"/>
  <c r="AM34" i="4"/>
  <c r="AM36" i="4"/>
  <c r="AM77" i="4"/>
  <c r="AM229" i="4" s="1"/>
  <c r="AM31" i="4"/>
  <c r="AM24" i="4"/>
  <c r="L100" i="4"/>
  <c r="M97" i="4" s="1"/>
  <c r="M102" i="4" s="1"/>
  <c r="AK54" i="4"/>
  <c r="AG81" i="4"/>
  <c r="K107" i="4"/>
  <c r="AI61" i="4"/>
  <c r="AJ57" i="4"/>
  <c r="AJ20" i="4" s="1"/>
  <c r="AJ21" i="4" s="1"/>
  <c r="AJ56" i="4" s="1"/>
  <c r="AJ58" i="4" s="1"/>
  <c r="N88" i="4"/>
  <c r="N89" i="4" s="1"/>
  <c r="AL19" i="4"/>
  <c r="AL53" i="4"/>
  <c r="AL18" i="4"/>
  <c r="AL17" i="4"/>
  <c r="AL51" i="4"/>
  <c r="AL52" i="4"/>
  <c r="AM2" i="4"/>
  <c r="AH78" i="4"/>
  <c r="AH80" i="4"/>
  <c r="N90" i="4"/>
  <c r="N91" i="4" s="1"/>
  <c r="L101" i="4"/>
  <c r="L185" i="4"/>
  <c r="L195" i="4" s="1"/>
  <c r="L219" i="4" s="1"/>
  <c r="AF235" i="4"/>
  <c r="AF244" i="4" s="1"/>
  <c r="AF236" i="4"/>
  <c r="AF245" i="4" s="1"/>
  <c r="L111" i="8" l="1"/>
  <c r="K114" i="8"/>
  <c r="J121" i="8"/>
  <c r="J200" i="8" s="1"/>
  <c r="J210" i="8" s="1"/>
  <c r="J228" i="8" s="1"/>
  <c r="F145" i="8"/>
  <c r="E149" i="8" s="1"/>
  <c r="D202" i="8"/>
  <c r="D208" i="8" s="1"/>
  <c r="D226" i="8" s="1"/>
  <c r="C159" i="8"/>
  <c r="C160" i="8" s="1"/>
  <c r="C161" i="8" s="1"/>
  <c r="AJ81" i="8"/>
  <c r="I124" i="8"/>
  <c r="P87" i="8"/>
  <c r="AK235" i="8"/>
  <c r="AK244" i="8" s="1"/>
  <c r="AK80" i="8"/>
  <c r="AK78" i="8"/>
  <c r="AK236" i="8" s="1"/>
  <c r="AK245" i="8" s="1"/>
  <c r="D156" i="8"/>
  <c r="AL61" i="8"/>
  <c r="AM57" i="8"/>
  <c r="AM20" i="8" s="1"/>
  <c r="AM21" i="8" s="1"/>
  <c r="AM56" i="8" s="1"/>
  <c r="AM58" i="8" s="1"/>
  <c r="AM61" i="8" s="1"/>
  <c r="N97" i="8"/>
  <c r="M104" i="8"/>
  <c r="J118" i="8"/>
  <c r="J186" i="8"/>
  <c r="J196" i="8" s="1"/>
  <c r="J220" i="8" s="1"/>
  <c r="G135" i="8"/>
  <c r="G187" i="8"/>
  <c r="G193" i="8" s="1"/>
  <c r="G217" i="8" s="1"/>
  <c r="G133" i="8"/>
  <c r="G134" i="8" s="1"/>
  <c r="O94" i="8"/>
  <c r="M103" i="4"/>
  <c r="L104" i="4"/>
  <c r="L199" i="4" s="1"/>
  <c r="L209" i="4" s="1"/>
  <c r="L227" i="4" s="1"/>
  <c r="AL54" i="4"/>
  <c r="N93" i="4"/>
  <c r="O86" i="4"/>
  <c r="O87" i="4" s="1"/>
  <c r="N221" i="4"/>
  <c r="AM53" i="4"/>
  <c r="AM52" i="4"/>
  <c r="AM19" i="4"/>
  <c r="AM18" i="4"/>
  <c r="AM17" i="4"/>
  <c r="AM51" i="4"/>
  <c r="AH81" i="4"/>
  <c r="AK57" i="4"/>
  <c r="AK20" i="4" s="1"/>
  <c r="AK21" i="4" s="1"/>
  <c r="AK56" i="4" s="1"/>
  <c r="AK58" i="4" s="1"/>
  <c r="AJ61" i="4"/>
  <c r="AI80" i="4"/>
  <c r="AI78" i="4"/>
  <c r="K108" i="4"/>
  <c r="K109" i="4" s="1"/>
  <c r="K110" i="4" s="1"/>
  <c r="AG235" i="4"/>
  <c r="AG244" i="4" s="1"/>
  <c r="AG236" i="4"/>
  <c r="AG245" i="4" s="1"/>
  <c r="J122" i="8" l="1"/>
  <c r="H131" i="8"/>
  <c r="G138" i="8"/>
  <c r="J124" i="8"/>
  <c r="AL80" i="8"/>
  <c r="AL235" i="8"/>
  <c r="AL244" i="8" s="1"/>
  <c r="AL78" i="8"/>
  <c r="AL236" i="8" s="1"/>
  <c r="AL245" i="8" s="1"/>
  <c r="I125" i="8"/>
  <c r="I126" i="8" s="1"/>
  <c r="I127" i="8" s="1"/>
  <c r="N102" i="8"/>
  <c r="N103" i="8"/>
  <c r="AM235" i="8"/>
  <c r="AM244" i="8" s="1"/>
  <c r="AM78" i="8"/>
  <c r="AM236" i="8" s="1"/>
  <c r="AM245" i="8" s="1"/>
  <c r="AM80" i="8"/>
  <c r="AK81" i="8"/>
  <c r="E152" i="8"/>
  <c r="E188" i="8"/>
  <c r="E194" i="8" s="1"/>
  <c r="E218" i="8" s="1"/>
  <c r="E150" i="8"/>
  <c r="E151" i="8" s="1"/>
  <c r="D158" i="8"/>
  <c r="P90" i="8"/>
  <c r="P91" i="8" s="1"/>
  <c r="K119" i="8"/>
  <c r="K120" i="8"/>
  <c r="K116" i="8"/>
  <c r="N98" i="8"/>
  <c r="P89" i="8"/>
  <c r="M199" i="8"/>
  <c r="M209" i="8" s="1"/>
  <c r="M227" i="8" s="1"/>
  <c r="M105" i="8"/>
  <c r="C162" i="8"/>
  <c r="P88" i="8"/>
  <c r="K115" i="8"/>
  <c r="L105" i="4"/>
  <c r="L107" i="4" s="1"/>
  <c r="L108" i="4" s="1"/>
  <c r="L109" i="4" s="1"/>
  <c r="L110" i="4" s="1"/>
  <c r="AM54" i="4"/>
  <c r="N94" i="4"/>
  <c r="M98" i="4" s="1"/>
  <c r="AJ80" i="4"/>
  <c r="AJ78" i="4"/>
  <c r="AK61" i="4"/>
  <c r="AL57" i="4"/>
  <c r="AL20" i="4" s="1"/>
  <c r="AL21" i="4" s="1"/>
  <c r="AL56" i="4" s="1"/>
  <c r="AL58" i="4" s="1"/>
  <c r="AI81" i="4"/>
  <c r="AH235" i="4"/>
  <c r="AH244" i="4" s="1"/>
  <c r="AH236" i="4"/>
  <c r="AH245" i="4" s="1"/>
  <c r="K117" i="8" l="1"/>
  <c r="L114" i="8" s="1"/>
  <c r="F148" i="8"/>
  <c r="E155" i="8"/>
  <c r="K121" i="8"/>
  <c r="K200" i="8" s="1"/>
  <c r="K210" i="8" s="1"/>
  <c r="K228" i="8" s="1"/>
  <c r="P93" i="8"/>
  <c r="P221" i="8"/>
  <c r="Q86" i="8"/>
  <c r="I128" i="8"/>
  <c r="H132" i="8" s="1"/>
  <c r="H133" i="8" s="1"/>
  <c r="N101" i="8"/>
  <c r="N185" i="8"/>
  <c r="N195" i="8" s="1"/>
  <c r="N219" i="8" s="1"/>
  <c r="AL81" i="8"/>
  <c r="J125" i="8"/>
  <c r="J126" i="8" s="1"/>
  <c r="J127" i="8" s="1"/>
  <c r="K118" i="8"/>
  <c r="K186" i="8"/>
  <c r="K196" i="8" s="1"/>
  <c r="K220" i="8" s="1"/>
  <c r="N99" i="8"/>
  <c r="N100" i="8" s="1"/>
  <c r="G201" i="8"/>
  <c r="G207" i="8" s="1"/>
  <c r="G225" i="8" s="1"/>
  <c r="G139" i="8"/>
  <c r="M107" i="8"/>
  <c r="D159" i="8"/>
  <c r="D160" i="8" s="1"/>
  <c r="D161" i="8" s="1"/>
  <c r="H136" i="8"/>
  <c r="H137" i="8"/>
  <c r="AJ81" i="4"/>
  <c r="O90" i="4"/>
  <c r="O91" i="4" s="1"/>
  <c r="M101" i="4"/>
  <c r="M185" i="4"/>
  <c r="M195" i="4" s="1"/>
  <c r="M219" i="4" s="1"/>
  <c r="M99" i="4"/>
  <c r="M100" i="4" s="1"/>
  <c r="O88" i="4"/>
  <c r="O89" i="4" s="1"/>
  <c r="AL61" i="4"/>
  <c r="AM57" i="4"/>
  <c r="AM20" i="4" s="1"/>
  <c r="AM21" i="4" s="1"/>
  <c r="AM56" i="4" s="1"/>
  <c r="AM58" i="4" s="1"/>
  <c r="AM61" i="4" s="1"/>
  <c r="AK80" i="4"/>
  <c r="AK78" i="4"/>
  <c r="AI236" i="4"/>
  <c r="AI245" i="4" s="1"/>
  <c r="AI235" i="4"/>
  <c r="AI244" i="4" s="1"/>
  <c r="K122" i="8" l="1"/>
  <c r="D162" i="8"/>
  <c r="C166" i="8" s="1"/>
  <c r="O97" i="8"/>
  <c r="N104" i="8"/>
  <c r="G141" i="8"/>
  <c r="K124" i="8"/>
  <c r="H135" i="8"/>
  <c r="H187" i="8"/>
  <c r="H193" i="8" s="1"/>
  <c r="H217" i="8" s="1"/>
  <c r="P94" i="8"/>
  <c r="H134" i="8"/>
  <c r="J128" i="8"/>
  <c r="L120" i="8"/>
  <c r="L119" i="8"/>
  <c r="E202" i="8"/>
  <c r="E208" i="8" s="1"/>
  <c r="E226" i="8" s="1"/>
  <c r="E156" i="8"/>
  <c r="M108" i="8"/>
  <c r="M109" i="8" s="1"/>
  <c r="M110" i="8" s="1"/>
  <c r="AM81" i="8"/>
  <c r="Q87" i="8"/>
  <c r="F154" i="8"/>
  <c r="F153" i="8"/>
  <c r="N97" i="4"/>
  <c r="M104" i="4"/>
  <c r="M199" i="4" s="1"/>
  <c r="M209" i="4" s="1"/>
  <c r="M227" i="4" s="1"/>
  <c r="O93" i="4"/>
  <c r="P86" i="4"/>
  <c r="P87" i="4" s="1"/>
  <c r="O221" i="4"/>
  <c r="AK81" i="4"/>
  <c r="AM78" i="4"/>
  <c r="AM80" i="4"/>
  <c r="AL80" i="4"/>
  <c r="AL78" i="4"/>
  <c r="AJ236" i="4"/>
  <c r="AJ245" i="4" s="1"/>
  <c r="AJ235" i="4"/>
  <c r="AJ244" i="4" s="1"/>
  <c r="O98" i="8" l="1"/>
  <c r="M111" i="8"/>
  <c r="L115" i="8" s="1"/>
  <c r="E158" i="8"/>
  <c r="O101" i="8"/>
  <c r="O185" i="8"/>
  <c r="O195" i="8" s="1"/>
  <c r="O219" i="8" s="1"/>
  <c r="Q90" i="8"/>
  <c r="Q91" i="8" s="1"/>
  <c r="G142" i="8"/>
  <c r="G143" i="8" s="1"/>
  <c r="G144" i="8" s="1"/>
  <c r="Q89" i="8"/>
  <c r="O103" i="8"/>
  <c r="O99" i="8"/>
  <c r="O100" i="8" s="1"/>
  <c r="O102" i="8"/>
  <c r="K125" i="8"/>
  <c r="K126" i="8" s="1"/>
  <c r="K127" i="8" s="1"/>
  <c r="N199" i="8"/>
  <c r="N209" i="8" s="1"/>
  <c r="N227" i="8" s="1"/>
  <c r="N105" i="8"/>
  <c r="Q88" i="8"/>
  <c r="I131" i="8"/>
  <c r="I132" i="8" s="1"/>
  <c r="H138" i="8"/>
  <c r="C189" i="8"/>
  <c r="C192" i="8" s="1"/>
  <c r="C216" i="8" s="1"/>
  <c r="C169" i="8"/>
  <c r="C168" i="8"/>
  <c r="M105" i="4"/>
  <c r="M107" i="4" s="1"/>
  <c r="AL81" i="4"/>
  <c r="O94" i="4"/>
  <c r="N98" i="4" s="1"/>
  <c r="N99" i="4" s="1"/>
  <c r="N100" i="4" s="1"/>
  <c r="O97" i="4" s="1"/>
  <c r="N103" i="4"/>
  <c r="N102" i="4"/>
  <c r="AK235" i="4"/>
  <c r="AK244" i="4" s="1"/>
  <c r="AK236" i="4"/>
  <c r="AK245" i="4" s="1"/>
  <c r="I135" i="8" l="1"/>
  <c r="I187" i="8"/>
  <c r="I193" i="8" s="1"/>
  <c r="I217" i="8" s="1"/>
  <c r="P97" i="8"/>
  <c r="O104" i="8"/>
  <c r="O199" i="8" s="1"/>
  <c r="O209" i="8" s="1"/>
  <c r="O227" i="8" s="1"/>
  <c r="Q93" i="8"/>
  <c r="K128" i="8"/>
  <c r="J132" i="8" s="1"/>
  <c r="N107" i="8"/>
  <c r="G145" i="8"/>
  <c r="F149" i="8" s="1"/>
  <c r="Q221" i="8"/>
  <c r="R86" i="8"/>
  <c r="D165" i="8"/>
  <c r="C172" i="8"/>
  <c r="C173" i="8" s="1"/>
  <c r="I137" i="8"/>
  <c r="I136" i="8"/>
  <c r="I133" i="8"/>
  <c r="I134" i="8"/>
  <c r="J131" i="8" s="1"/>
  <c r="E159" i="8"/>
  <c r="E160" i="8" s="1"/>
  <c r="E161" i="8" s="1"/>
  <c r="H201" i="8"/>
  <c r="H207" i="8" s="1"/>
  <c r="H225" i="8" s="1"/>
  <c r="H139" i="8"/>
  <c r="L118" i="8"/>
  <c r="L186" i="8"/>
  <c r="L196" i="8" s="1"/>
  <c r="L220" i="8" s="1"/>
  <c r="L116" i="8"/>
  <c r="L117" i="8" s="1"/>
  <c r="AM81" i="4"/>
  <c r="P90" i="4"/>
  <c r="P91" i="4" s="1"/>
  <c r="M108" i="4"/>
  <c r="M109" i="4" s="1"/>
  <c r="M110" i="4" s="1"/>
  <c r="P88" i="4"/>
  <c r="P89" i="4" s="1"/>
  <c r="O102" i="4"/>
  <c r="O103" i="4"/>
  <c r="N104" i="4"/>
  <c r="N199" i="4" s="1"/>
  <c r="N209" i="4" s="1"/>
  <c r="N227" i="4" s="1"/>
  <c r="N101" i="4"/>
  <c r="N185" i="4"/>
  <c r="N195" i="4" s="1"/>
  <c r="N219" i="4" s="1"/>
  <c r="AL235" i="4"/>
  <c r="AL244" i="4" s="1"/>
  <c r="AL236" i="4"/>
  <c r="AL245" i="4" s="1"/>
  <c r="AM235" i="4"/>
  <c r="AM244" i="4" s="1"/>
  <c r="AM236" i="4"/>
  <c r="AM245" i="4" s="1"/>
  <c r="O105" i="8" l="1"/>
  <c r="O107" i="8" s="1"/>
  <c r="C175" i="8"/>
  <c r="M114" i="8"/>
  <c r="L121" i="8"/>
  <c r="E162" i="8"/>
  <c r="D166" i="8" s="1"/>
  <c r="N108" i="8"/>
  <c r="N109" i="8" s="1"/>
  <c r="R87" i="8"/>
  <c r="H141" i="8"/>
  <c r="J136" i="8"/>
  <c r="J133" i="8"/>
  <c r="J134" i="8" s="1"/>
  <c r="K131" i="8" s="1"/>
  <c r="J137" i="8"/>
  <c r="O108" i="8"/>
  <c r="O109" i="8" s="1"/>
  <c r="J135" i="8"/>
  <c r="J187" i="8"/>
  <c r="J193" i="8" s="1"/>
  <c r="J217" i="8" s="1"/>
  <c r="D171" i="8"/>
  <c r="D170" i="8"/>
  <c r="F152" i="8"/>
  <c r="F188" i="8"/>
  <c r="F194" i="8" s="1"/>
  <c r="F218" i="8" s="1"/>
  <c r="F150" i="8"/>
  <c r="F151" i="8" s="1"/>
  <c r="I138" i="8"/>
  <c r="I201" i="8" s="1"/>
  <c r="I207" i="8" s="1"/>
  <c r="I225" i="8" s="1"/>
  <c r="Q94" i="8"/>
  <c r="P98" i="8" s="1"/>
  <c r="P99" i="8" s="1"/>
  <c r="C203" i="8"/>
  <c r="C206" i="8" s="1"/>
  <c r="C224" i="8" s="1"/>
  <c r="P102" i="8"/>
  <c r="P103" i="8"/>
  <c r="N105" i="4"/>
  <c r="N107" i="4" s="1"/>
  <c r="Q86" i="4"/>
  <c r="Q87" i="4" s="1"/>
  <c r="P221" i="4"/>
  <c r="P93" i="4"/>
  <c r="O110" i="8" l="1"/>
  <c r="N110" i="8"/>
  <c r="I139" i="8"/>
  <c r="I141" i="8" s="1"/>
  <c r="I142" i="8" s="1"/>
  <c r="I143" i="8" s="1"/>
  <c r="K136" i="8"/>
  <c r="K137" i="8"/>
  <c r="G148" i="8"/>
  <c r="F155" i="8"/>
  <c r="F156" i="8" s="1"/>
  <c r="N111" i="8"/>
  <c r="M115" i="8" s="1"/>
  <c r="M116" i="8" s="1"/>
  <c r="M117" i="8" s="1"/>
  <c r="D169" i="8"/>
  <c r="D189" i="8"/>
  <c r="D192" i="8" s="1"/>
  <c r="D216" i="8" s="1"/>
  <c r="R90" i="8"/>
  <c r="R91" i="8" s="1"/>
  <c r="J138" i="8"/>
  <c r="J201" i="8" s="1"/>
  <c r="J207" i="8" s="1"/>
  <c r="J225" i="8" s="1"/>
  <c r="M120" i="8"/>
  <c r="M119" i="8"/>
  <c r="D167" i="8"/>
  <c r="D168" i="8" s="1"/>
  <c r="P101" i="8"/>
  <c r="P185" i="8"/>
  <c r="P195" i="8" s="1"/>
  <c r="P219" i="8" s="1"/>
  <c r="R88" i="8"/>
  <c r="R89" i="8" s="1"/>
  <c r="L200" i="8"/>
  <c r="L210" i="8" s="1"/>
  <c r="L228" i="8" s="1"/>
  <c r="L122" i="8"/>
  <c r="P100" i="8"/>
  <c r="H142" i="8"/>
  <c r="H143" i="8" s="1"/>
  <c r="C176" i="8"/>
  <c r="C177" i="8" s="1"/>
  <c r="C178" i="8" s="1"/>
  <c r="C180" i="8" s="1"/>
  <c r="C213" i="8" s="1"/>
  <c r="N108" i="4"/>
  <c r="N109" i="4" s="1"/>
  <c r="N110" i="4" s="1"/>
  <c r="P94" i="4"/>
  <c r="O98" i="4" s="1"/>
  <c r="I144" i="8" l="1"/>
  <c r="H144" i="8"/>
  <c r="N114" i="8"/>
  <c r="M121" i="8"/>
  <c r="M200" i="8" s="1"/>
  <c r="M210" i="8" s="1"/>
  <c r="M228" i="8" s="1"/>
  <c r="F158" i="8"/>
  <c r="R93" i="8"/>
  <c r="R221" i="8"/>
  <c r="S86" i="8"/>
  <c r="O111" i="8"/>
  <c r="J139" i="8"/>
  <c r="L124" i="8"/>
  <c r="M118" i="8"/>
  <c r="M122" i="8" s="1"/>
  <c r="M186" i="8"/>
  <c r="M196" i="8" s="1"/>
  <c r="M220" i="8" s="1"/>
  <c r="H145" i="8"/>
  <c r="G149" i="8" s="1"/>
  <c r="G153" i="8"/>
  <c r="G154" i="8"/>
  <c r="G150" i="8"/>
  <c r="G151" i="8" s="1"/>
  <c r="Q97" i="8"/>
  <c r="P104" i="8"/>
  <c r="E165" i="8"/>
  <c r="D172" i="8"/>
  <c r="C239" i="8"/>
  <c r="C247" i="8" s="1"/>
  <c r="C230" i="8"/>
  <c r="C240" i="8" s="1"/>
  <c r="C248" i="8" s="1"/>
  <c r="F202" i="8"/>
  <c r="F208" i="8" s="1"/>
  <c r="F226" i="8" s="1"/>
  <c r="Q90" i="4"/>
  <c r="Q91" i="4" s="1"/>
  <c r="Q88" i="4"/>
  <c r="Q89" i="4" s="1"/>
  <c r="O101" i="4"/>
  <c r="O185" i="4"/>
  <c r="O195" i="4" s="1"/>
  <c r="O219" i="4" s="1"/>
  <c r="O99" i="4"/>
  <c r="O100" i="4" s="1"/>
  <c r="N115" i="8" l="1"/>
  <c r="H148" i="8"/>
  <c r="G155" i="8"/>
  <c r="D203" i="8"/>
  <c r="D206" i="8" s="1"/>
  <c r="D224" i="8" s="1"/>
  <c r="E171" i="8"/>
  <c r="E170" i="8"/>
  <c r="M124" i="8"/>
  <c r="J141" i="8"/>
  <c r="N118" i="8"/>
  <c r="N186" i="8"/>
  <c r="N196" i="8" s="1"/>
  <c r="N220" i="8" s="1"/>
  <c r="S87" i="8"/>
  <c r="F159" i="8"/>
  <c r="F160" i="8" s="1"/>
  <c r="F161" i="8" s="1"/>
  <c r="D173" i="8"/>
  <c r="Q102" i="8"/>
  <c r="Q103" i="8"/>
  <c r="L125" i="8"/>
  <c r="L126" i="8" s="1"/>
  <c r="L127" i="8" s="1"/>
  <c r="R94" i="8"/>
  <c r="Q98" i="8" s="1"/>
  <c r="Q99" i="8" s="1"/>
  <c r="G152" i="8"/>
  <c r="G156" i="8" s="1"/>
  <c r="G188" i="8"/>
  <c r="G194" i="8" s="1"/>
  <c r="G218" i="8" s="1"/>
  <c r="I145" i="8"/>
  <c r="H149" i="8" s="1"/>
  <c r="H188" i="8" s="1"/>
  <c r="H194" i="8" s="1"/>
  <c r="H218" i="8" s="1"/>
  <c r="P199" i="8"/>
  <c r="P209" i="8" s="1"/>
  <c r="P227" i="8" s="1"/>
  <c r="P105" i="8"/>
  <c r="N116" i="8"/>
  <c r="N117" i="8" s="1"/>
  <c r="O114" i="8" s="1"/>
  <c r="N119" i="8"/>
  <c r="N120" i="8"/>
  <c r="Q93" i="4"/>
  <c r="P97" i="4"/>
  <c r="O104" i="4"/>
  <c r="Q221" i="4"/>
  <c r="R86" i="4"/>
  <c r="R87" i="4" s="1"/>
  <c r="N121" i="8" l="1"/>
  <c r="N200" i="8" s="1"/>
  <c r="N210" i="8" s="1"/>
  <c r="N228" i="8" s="1"/>
  <c r="Q100" i="8"/>
  <c r="R97" i="8" s="1"/>
  <c r="F162" i="8"/>
  <c r="E166" i="8" s="1"/>
  <c r="L128" i="8"/>
  <c r="K132" i="8" s="1"/>
  <c r="R102" i="8"/>
  <c r="R103" i="8"/>
  <c r="J142" i="8"/>
  <c r="J143" i="8" s="1"/>
  <c r="J144" i="8" s="1"/>
  <c r="H152" i="8"/>
  <c r="M125" i="8"/>
  <c r="M126" i="8" s="1"/>
  <c r="M127" i="8" s="1"/>
  <c r="S90" i="8"/>
  <c r="S91" i="8" s="1"/>
  <c r="O120" i="8"/>
  <c r="O119" i="8"/>
  <c r="Q101" i="8"/>
  <c r="Q185" i="8"/>
  <c r="Q195" i="8" s="1"/>
  <c r="Q219" i="8" s="1"/>
  <c r="P107" i="8"/>
  <c r="D175" i="8"/>
  <c r="S88" i="8"/>
  <c r="S89" i="8" s="1"/>
  <c r="G202" i="8"/>
  <c r="G208" i="8" s="1"/>
  <c r="G226" i="8" s="1"/>
  <c r="G158" i="8"/>
  <c r="H153" i="8"/>
  <c r="H154" i="8"/>
  <c r="H150" i="8"/>
  <c r="H151" i="8" s="1"/>
  <c r="O199" i="4"/>
  <c r="O209" i="4" s="1"/>
  <c r="O227" i="4" s="1"/>
  <c r="O105" i="4"/>
  <c r="P102" i="4"/>
  <c r="P103" i="4"/>
  <c r="Q94" i="4"/>
  <c r="P98" i="4" s="1"/>
  <c r="P99" i="4" s="1"/>
  <c r="P100" i="4" s="1"/>
  <c r="Q104" i="8" l="1"/>
  <c r="Q199" i="8" s="1"/>
  <c r="Q209" i="8" s="1"/>
  <c r="Q227" i="8" s="1"/>
  <c r="N122" i="8"/>
  <c r="N124" i="8" s="1"/>
  <c r="I148" i="8"/>
  <c r="I153" i="8" s="1"/>
  <c r="H155" i="8"/>
  <c r="H202" i="8" s="1"/>
  <c r="H208" i="8" s="1"/>
  <c r="H226" i="8" s="1"/>
  <c r="Q105" i="8"/>
  <c r="Q107" i="8" s="1"/>
  <c r="S93" i="8"/>
  <c r="M128" i="8"/>
  <c r="J145" i="8"/>
  <c r="I149" i="8" s="1"/>
  <c r="I150" i="8" s="1"/>
  <c r="I151" i="8" s="1"/>
  <c r="D176" i="8"/>
  <c r="D177" i="8" s="1"/>
  <c r="D178" i="8" s="1"/>
  <c r="D180" i="8" s="1"/>
  <c r="D213" i="8" s="1"/>
  <c r="S221" i="8"/>
  <c r="T86" i="8"/>
  <c r="K135" i="8"/>
  <c r="K187" i="8"/>
  <c r="K193" i="8" s="1"/>
  <c r="K217" i="8" s="1"/>
  <c r="K133" i="8"/>
  <c r="K134" i="8" s="1"/>
  <c r="G159" i="8"/>
  <c r="G160" i="8" s="1"/>
  <c r="G161" i="8" s="1"/>
  <c r="N125" i="8"/>
  <c r="N126" i="8" s="1"/>
  <c r="N127" i="8" s="1"/>
  <c r="P108" i="8"/>
  <c r="P109" i="8" s="1"/>
  <c r="P110" i="8" s="1"/>
  <c r="E169" i="8"/>
  <c r="E189" i="8"/>
  <c r="E192" i="8" s="1"/>
  <c r="E216" i="8" s="1"/>
  <c r="E167" i="8"/>
  <c r="E168" i="8" s="1"/>
  <c r="Q97" i="4"/>
  <c r="P104" i="4"/>
  <c r="P199" i="4" s="1"/>
  <c r="P209" i="4" s="1"/>
  <c r="P227" i="4" s="1"/>
  <c r="O107" i="4"/>
  <c r="R90" i="4"/>
  <c r="R91" i="4" s="1"/>
  <c r="P101" i="4"/>
  <c r="P185" i="4"/>
  <c r="P195" i="4" s="1"/>
  <c r="P219" i="4" s="1"/>
  <c r="R88" i="4"/>
  <c r="R89" i="4" s="1"/>
  <c r="H156" i="8" l="1"/>
  <c r="H158" i="8" s="1"/>
  <c r="I154" i="8"/>
  <c r="D239" i="8"/>
  <c r="D247" i="8" s="1"/>
  <c r="D230" i="8"/>
  <c r="D240" i="8" s="1"/>
  <c r="D248" i="8" s="1"/>
  <c r="P111" i="8"/>
  <c r="O115" i="8" s="1"/>
  <c r="J148" i="8"/>
  <c r="I155" i="8"/>
  <c r="I202" i="8" s="1"/>
  <c r="I208" i="8" s="1"/>
  <c r="I226" i="8" s="1"/>
  <c r="N128" i="8"/>
  <c r="G162" i="8"/>
  <c r="F166" i="8" s="1"/>
  <c r="H159" i="8"/>
  <c r="H160" i="8" s="1"/>
  <c r="H161" i="8" s="1"/>
  <c r="F165" i="8"/>
  <c r="E172" i="8"/>
  <c r="T87" i="8"/>
  <c r="S94" i="8"/>
  <c r="R98" i="8" s="1"/>
  <c r="L131" i="8"/>
  <c r="L132" i="8" s="1"/>
  <c r="K138" i="8"/>
  <c r="K201" i="8" s="1"/>
  <c r="K207" i="8" s="1"/>
  <c r="K225" i="8" s="1"/>
  <c r="I152" i="8"/>
  <c r="I188" i="8"/>
  <c r="I194" i="8" s="1"/>
  <c r="I218" i="8" s="1"/>
  <c r="Q108" i="8"/>
  <c r="Q109" i="8" s="1"/>
  <c r="Q110" i="8" s="1"/>
  <c r="P105" i="4"/>
  <c r="P107" i="4" s="1"/>
  <c r="P108" i="4" s="1"/>
  <c r="P109" i="4" s="1"/>
  <c r="R221" i="4"/>
  <c r="S86" i="4"/>
  <c r="S87" i="4" s="1"/>
  <c r="R93" i="4"/>
  <c r="O108" i="4"/>
  <c r="O109" i="4" s="1"/>
  <c r="O110" i="4" s="1"/>
  <c r="Q102" i="4"/>
  <c r="Q103" i="4"/>
  <c r="I156" i="8" l="1"/>
  <c r="L135" i="8"/>
  <c r="L187" i="8"/>
  <c r="L193" i="8" s="1"/>
  <c r="L217" i="8" s="1"/>
  <c r="H162" i="8"/>
  <c r="G166" i="8" s="1"/>
  <c r="I158" i="8"/>
  <c r="Q111" i="8"/>
  <c r="R101" i="8"/>
  <c r="R185" i="8"/>
  <c r="R195" i="8" s="1"/>
  <c r="R219" i="8" s="1"/>
  <c r="R99" i="8"/>
  <c r="R100" i="8" s="1"/>
  <c r="T90" i="8"/>
  <c r="T91" i="8" s="1"/>
  <c r="J154" i="8"/>
  <c r="J153" i="8"/>
  <c r="T88" i="8"/>
  <c r="T89" i="8" s="1"/>
  <c r="O118" i="8"/>
  <c r="O186" i="8"/>
  <c r="O196" i="8" s="1"/>
  <c r="O220" i="8" s="1"/>
  <c r="O116" i="8"/>
  <c r="O117" i="8" s="1"/>
  <c r="F169" i="8"/>
  <c r="G189" i="8"/>
  <c r="G192" i="8" s="1"/>
  <c r="G216" i="8" s="1"/>
  <c r="F189" i="8"/>
  <c r="F192" i="8" s="1"/>
  <c r="F216" i="8" s="1"/>
  <c r="E203" i="8"/>
  <c r="E206" i="8" s="1"/>
  <c r="E224" i="8" s="1"/>
  <c r="E173" i="8"/>
  <c r="K139" i="8"/>
  <c r="L136" i="8"/>
  <c r="L137" i="8"/>
  <c r="L133" i="8"/>
  <c r="L134" i="8" s="1"/>
  <c r="F171" i="8"/>
  <c r="F170" i="8"/>
  <c r="F167" i="8"/>
  <c r="F168" i="8" s="1"/>
  <c r="G165" i="8" s="1"/>
  <c r="P110" i="4"/>
  <c r="R94" i="4"/>
  <c r="Q98" i="4" s="1"/>
  <c r="S88" i="4"/>
  <c r="S97" i="8" l="1"/>
  <c r="R104" i="8"/>
  <c r="M131" i="8"/>
  <c r="M132" i="8" s="1"/>
  <c r="L138" i="8"/>
  <c r="L201" i="8" s="1"/>
  <c r="L207" i="8" s="1"/>
  <c r="L225" i="8" s="1"/>
  <c r="T221" i="8"/>
  <c r="U86" i="8"/>
  <c r="I159" i="8"/>
  <c r="I160" i="8" s="1"/>
  <c r="I161" i="8" s="1"/>
  <c r="P114" i="8"/>
  <c r="P115" i="8" s="1"/>
  <c r="O121" i="8"/>
  <c r="T93" i="8"/>
  <c r="G169" i="8"/>
  <c r="G167" i="8"/>
  <c r="G168" i="8" s="1"/>
  <c r="G171" i="8"/>
  <c r="G170" i="8"/>
  <c r="K141" i="8"/>
  <c r="E175" i="8"/>
  <c r="F172" i="8"/>
  <c r="F173" i="8" s="1"/>
  <c r="F175" i="8" s="1"/>
  <c r="S89" i="4"/>
  <c r="S90" i="4"/>
  <c r="S91" i="4" s="1"/>
  <c r="Q101" i="4"/>
  <c r="Q185" i="4"/>
  <c r="Q195" i="4" s="1"/>
  <c r="Q219" i="4" s="1"/>
  <c r="Q99" i="4"/>
  <c r="Q100" i="4" s="1"/>
  <c r="H165" i="8" l="1"/>
  <c r="G172" i="8"/>
  <c r="M135" i="8"/>
  <c r="M187" i="8"/>
  <c r="M193" i="8" s="1"/>
  <c r="M217" i="8" s="1"/>
  <c r="G173" i="8"/>
  <c r="G175" i="8" s="1"/>
  <c r="F176" i="8"/>
  <c r="F177" i="8" s="1"/>
  <c r="I162" i="8"/>
  <c r="H166" i="8" s="1"/>
  <c r="H170" i="8"/>
  <c r="H171" i="8"/>
  <c r="H167" i="8"/>
  <c r="H168" i="8" s="1"/>
  <c r="F203" i="8"/>
  <c r="F206" i="8" s="1"/>
  <c r="F224" i="8" s="1"/>
  <c r="G203" i="8"/>
  <c r="G206" i="8" s="1"/>
  <c r="G224" i="8" s="1"/>
  <c r="P118" i="8"/>
  <c r="P186" i="8"/>
  <c r="P196" i="8" s="1"/>
  <c r="P220" i="8" s="1"/>
  <c r="U87" i="8"/>
  <c r="E176" i="8"/>
  <c r="E177" i="8" s="1"/>
  <c r="M133" i="8"/>
  <c r="M137" i="8"/>
  <c r="M134" i="8"/>
  <c r="N131" i="8" s="1"/>
  <c r="M136" i="8"/>
  <c r="R199" i="8"/>
  <c r="R209" i="8" s="1"/>
  <c r="R227" i="8" s="1"/>
  <c r="R105" i="8"/>
  <c r="S103" i="8"/>
  <c r="S102" i="8"/>
  <c r="T94" i="8"/>
  <c r="S98" i="8" s="1"/>
  <c r="O200" i="8"/>
  <c r="O210" i="8" s="1"/>
  <c r="O228" i="8" s="1"/>
  <c r="O122" i="8"/>
  <c r="K142" i="8"/>
  <c r="K143" i="8" s="1"/>
  <c r="K144" i="8" s="1"/>
  <c r="P119" i="8"/>
  <c r="P120" i="8"/>
  <c r="P116" i="8"/>
  <c r="P117" i="8" s="1"/>
  <c r="L139" i="8"/>
  <c r="R97" i="4"/>
  <c r="Q104" i="4"/>
  <c r="Q199" i="4" s="1"/>
  <c r="Q209" i="4" s="1"/>
  <c r="Q227" i="4" s="1"/>
  <c r="S93" i="4"/>
  <c r="S221" i="4"/>
  <c r="T86" i="4"/>
  <c r="T87" i="4" s="1"/>
  <c r="F178" i="8" l="1"/>
  <c r="F180" i="8" s="1"/>
  <c r="F213" i="8" s="1"/>
  <c r="F239" i="8" s="1"/>
  <c r="F247" i="8" s="1"/>
  <c r="I165" i="8"/>
  <c r="H172" i="8"/>
  <c r="K145" i="8"/>
  <c r="J149" i="8" s="1"/>
  <c r="Q114" i="8"/>
  <c r="P121" i="8"/>
  <c r="P200" i="8" s="1"/>
  <c r="P210" i="8" s="1"/>
  <c r="P228" i="8" s="1"/>
  <c r="R107" i="8"/>
  <c r="O124" i="8"/>
  <c r="N137" i="8"/>
  <c r="N136" i="8"/>
  <c r="G176" i="8"/>
  <c r="G177" i="8" s="1"/>
  <c r="G178" i="8" s="1"/>
  <c r="G180" i="8" s="1"/>
  <c r="G213" i="8" s="1"/>
  <c r="S101" i="8"/>
  <c r="S185" i="8"/>
  <c r="S195" i="8" s="1"/>
  <c r="S219" i="8" s="1"/>
  <c r="L141" i="8"/>
  <c r="S99" i="8"/>
  <c r="S100" i="8" s="1"/>
  <c r="H169" i="8"/>
  <c r="H189" i="8"/>
  <c r="H192" i="8" s="1"/>
  <c r="H216" i="8" s="1"/>
  <c r="U90" i="8"/>
  <c r="U91" i="8" s="1"/>
  <c r="U93" i="8" s="1"/>
  <c r="M138" i="8"/>
  <c r="M201" i="8" s="1"/>
  <c r="M207" i="8" s="1"/>
  <c r="M225" i="8" s="1"/>
  <c r="E178" i="8"/>
  <c r="E180" i="8" s="1"/>
  <c r="E213" i="8" s="1"/>
  <c r="U88" i="8"/>
  <c r="U89" i="8" s="1"/>
  <c r="Q105" i="4"/>
  <c r="Q107" i="4" s="1"/>
  <c r="R102" i="4"/>
  <c r="R103" i="4"/>
  <c r="S94" i="4"/>
  <c r="R98" i="4" s="1"/>
  <c r="R99" i="4" s="1"/>
  <c r="R100" i="4" s="1"/>
  <c r="S97" i="4" s="1"/>
  <c r="H173" i="8" l="1"/>
  <c r="F230" i="8"/>
  <c r="F240" i="8" s="1"/>
  <c r="F248" i="8" s="1"/>
  <c r="M139" i="8"/>
  <c r="M141" i="8" s="1"/>
  <c r="U94" i="8"/>
  <c r="T98" i="8" s="1"/>
  <c r="M142" i="8"/>
  <c r="M143" i="8" s="1"/>
  <c r="G239" i="8"/>
  <c r="G247" i="8" s="1"/>
  <c r="G230" i="8"/>
  <c r="G240" i="8" s="1"/>
  <c r="G248" i="8" s="1"/>
  <c r="H175" i="8"/>
  <c r="P122" i="8"/>
  <c r="E239" i="8"/>
  <c r="E247" i="8" s="1"/>
  <c r="E230" i="8"/>
  <c r="E240" i="8" s="1"/>
  <c r="E248" i="8" s="1"/>
  <c r="U221" i="8"/>
  <c r="V86" i="8"/>
  <c r="R108" i="8"/>
  <c r="R109" i="8" s="1"/>
  <c r="R110" i="8" s="1"/>
  <c r="Q119" i="8"/>
  <c r="Q120" i="8"/>
  <c r="J152" i="8"/>
  <c r="J188" i="8"/>
  <c r="J194" i="8" s="1"/>
  <c r="J218" i="8" s="1"/>
  <c r="J150" i="8"/>
  <c r="J151" i="8" s="1"/>
  <c r="H203" i="8"/>
  <c r="H206" i="8" s="1"/>
  <c r="H224" i="8" s="1"/>
  <c r="L142" i="8"/>
  <c r="L143" i="8" s="1"/>
  <c r="I170" i="8"/>
  <c r="I171" i="8"/>
  <c r="T97" i="8"/>
  <c r="S104" i="8"/>
  <c r="O125" i="8"/>
  <c r="O126" i="8" s="1"/>
  <c r="O127" i="8" s="1"/>
  <c r="R104" i="4"/>
  <c r="R199" i="4" s="1"/>
  <c r="R209" i="4" s="1"/>
  <c r="R227" i="4" s="1"/>
  <c r="S103" i="4"/>
  <c r="S102" i="4"/>
  <c r="R101" i="4"/>
  <c r="R185" i="4"/>
  <c r="R195" i="4" s="1"/>
  <c r="R219" i="4" s="1"/>
  <c r="T90" i="4"/>
  <c r="T91" i="4" s="1"/>
  <c r="T93" i="4" s="1"/>
  <c r="T88" i="4"/>
  <c r="T89" i="4" s="1"/>
  <c r="Q108" i="4"/>
  <c r="Q109" i="4" s="1"/>
  <c r="Q110" i="4" s="1"/>
  <c r="M144" i="8" l="1"/>
  <c r="O128" i="8"/>
  <c r="N132" i="8" s="1"/>
  <c r="R111" i="8"/>
  <c r="Q115" i="8" s="1"/>
  <c r="L144" i="8"/>
  <c r="T103" i="8"/>
  <c r="T102" i="8"/>
  <c r="T99" i="8"/>
  <c r="T100" i="8" s="1"/>
  <c r="U97" i="8" s="1"/>
  <c r="H176" i="8"/>
  <c r="H177" i="8" s="1"/>
  <c r="H178" i="8" s="1"/>
  <c r="H180" i="8" s="1"/>
  <c r="H213" i="8" s="1"/>
  <c r="S199" i="8"/>
  <c r="S209" i="8" s="1"/>
  <c r="S227" i="8" s="1"/>
  <c r="S105" i="8"/>
  <c r="K148" i="8"/>
  <c r="J155" i="8"/>
  <c r="J202" i="8" s="1"/>
  <c r="J208" i="8" s="1"/>
  <c r="J226" i="8" s="1"/>
  <c r="T101" i="8"/>
  <c r="T185" i="8"/>
  <c r="T195" i="8" s="1"/>
  <c r="T219" i="8" s="1"/>
  <c r="P124" i="8"/>
  <c r="V87" i="8"/>
  <c r="R105" i="4"/>
  <c r="R107" i="4" s="1"/>
  <c r="T94" i="4"/>
  <c r="S98" i="4" s="1"/>
  <c r="T221" i="4"/>
  <c r="U86" i="4"/>
  <c r="U87" i="4" s="1"/>
  <c r="H239" i="8" l="1"/>
  <c r="H247" i="8" s="1"/>
  <c r="H230" i="8"/>
  <c r="H240" i="8" s="1"/>
  <c r="H248" i="8" s="1"/>
  <c r="L145" i="8"/>
  <c r="S107" i="8"/>
  <c r="V90" i="8"/>
  <c r="V91" i="8" s="1"/>
  <c r="V93" i="8" s="1"/>
  <c r="P125" i="8"/>
  <c r="P126" i="8" s="1"/>
  <c r="P127" i="8" s="1"/>
  <c r="T104" i="8"/>
  <c r="T199" i="8" s="1"/>
  <c r="T209" i="8" s="1"/>
  <c r="T227" i="8" s="1"/>
  <c r="K154" i="8"/>
  <c r="K153" i="8"/>
  <c r="U102" i="8"/>
  <c r="U103" i="8"/>
  <c r="J156" i="8"/>
  <c r="Q118" i="8"/>
  <c r="Q186" i="8"/>
  <c r="Q196" i="8" s="1"/>
  <c r="Q220" i="8" s="1"/>
  <c r="Q116" i="8"/>
  <c r="Q117" i="8" s="1"/>
  <c r="N135" i="8"/>
  <c r="N187" i="8"/>
  <c r="N193" i="8" s="1"/>
  <c r="N217" i="8" s="1"/>
  <c r="N133" i="8"/>
  <c r="N134" i="8" s="1"/>
  <c r="V88" i="8"/>
  <c r="V89" i="8"/>
  <c r="S101" i="4"/>
  <c r="S185" i="4"/>
  <c r="S195" i="4" s="1"/>
  <c r="S219" i="4" s="1"/>
  <c r="S99" i="4"/>
  <c r="S100" i="4" s="1"/>
  <c r="U88" i="4"/>
  <c r="R108" i="4"/>
  <c r="R109" i="4" s="1"/>
  <c r="R110" i="4" s="1"/>
  <c r="T105" i="8" l="1"/>
  <c r="T107" i="8" s="1"/>
  <c r="P128" i="8"/>
  <c r="O131" i="8"/>
  <c r="N138" i="8"/>
  <c r="N201" i="8" s="1"/>
  <c r="N207" i="8" s="1"/>
  <c r="N225" i="8" s="1"/>
  <c r="V94" i="8"/>
  <c r="U98" i="8" s="1"/>
  <c r="N139" i="8"/>
  <c r="R114" i="8"/>
  <c r="Q121" i="8"/>
  <c r="T108" i="8"/>
  <c r="T109" i="8" s="1"/>
  <c r="T110" i="8" s="1"/>
  <c r="K149" i="8"/>
  <c r="M145" i="8"/>
  <c r="L149" i="8" s="1"/>
  <c r="V221" i="8"/>
  <c r="W86" i="8"/>
  <c r="S108" i="8"/>
  <c r="S109" i="8" s="1"/>
  <c r="S110" i="8" s="1"/>
  <c r="J158" i="8"/>
  <c r="U90" i="4"/>
  <c r="U91" i="4" s="1"/>
  <c r="U93" i="4" s="1"/>
  <c r="U89" i="4"/>
  <c r="T97" i="4"/>
  <c r="S104" i="4"/>
  <c r="S199" i="4" s="1"/>
  <c r="S209" i="4" s="1"/>
  <c r="S227" i="4" s="1"/>
  <c r="O132" i="8" l="1"/>
  <c r="O135" i="8" s="1"/>
  <c r="S111" i="8"/>
  <c r="R115" i="8" s="1"/>
  <c r="K152" i="8"/>
  <c r="K188" i="8"/>
  <c r="K194" i="8" s="1"/>
  <c r="K218" i="8" s="1"/>
  <c r="K150" i="8"/>
  <c r="K151" i="8" s="1"/>
  <c r="U101" i="8"/>
  <c r="U185" i="8"/>
  <c r="U195" i="8" s="1"/>
  <c r="U219" i="8" s="1"/>
  <c r="U99" i="8"/>
  <c r="U100" i="8" s="1"/>
  <c r="W87" i="8"/>
  <c r="O137" i="8"/>
  <c r="O136" i="8"/>
  <c r="O133" i="8"/>
  <c r="O134" i="8" s="1"/>
  <c r="Q200" i="8"/>
  <c r="Q210" i="8" s="1"/>
  <c r="Q228" i="8" s="1"/>
  <c r="Q122" i="8"/>
  <c r="N141" i="8"/>
  <c r="J159" i="8"/>
  <c r="J160" i="8" s="1"/>
  <c r="J161" i="8" s="1"/>
  <c r="O187" i="8"/>
  <c r="O193" i="8" s="1"/>
  <c r="O217" i="8" s="1"/>
  <c r="R119" i="8"/>
  <c r="R120" i="8"/>
  <c r="R116" i="8"/>
  <c r="R117" i="8" s="1"/>
  <c r="L152" i="8"/>
  <c r="L188" i="8"/>
  <c r="L194" i="8" s="1"/>
  <c r="L218" i="8" s="1"/>
  <c r="S105" i="4"/>
  <c r="S107" i="4" s="1"/>
  <c r="U221" i="4"/>
  <c r="V86" i="4"/>
  <c r="V87" i="4" s="1"/>
  <c r="T103" i="4"/>
  <c r="T102" i="4"/>
  <c r="U94" i="4"/>
  <c r="T98" i="4" s="1"/>
  <c r="P131" i="8" l="1"/>
  <c r="O138" i="8"/>
  <c r="O201" i="8" s="1"/>
  <c r="O207" i="8" s="1"/>
  <c r="O225" i="8" s="1"/>
  <c r="S114" i="8"/>
  <c r="R121" i="8"/>
  <c r="R200" i="8" s="1"/>
  <c r="R210" i="8" s="1"/>
  <c r="R228" i="8" s="1"/>
  <c r="L148" i="8"/>
  <c r="K155" i="8"/>
  <c r="Q124" i="8"/>
  <c r="R118" i="8"/>
  <c r="R122" i="8" s="1"/>
  <c r="R186" i="8"/>
  <c r="R196" i="8" s="1"/>
  <c r="R220" i="8" s="1"/>
  <c r="W90" i="8"/>
  <c r="W91" i="8" s="1"/>
  <c r="W93" i="8" s="1"/>
  <c r="J162" i="8"/>
  <c r="I166" i="8" s="1"/>
  <c r="W88" i="8"/>
  <c r="W89" i="8" s="1"/>
  <c r="V97" i="8"/>
  <c r="U104" i="8"/>
  <c r="U199" i="8" s="1"/>
  <c r="U209" i="8" s="1"/>
  <c r="U227" i="8" s="1"/>
  <c r="N142" i="8"/>
  <c r="N143" i="8" s="1"/>
  <c r="N144" i="8" s="1"/>
  <c r="T111" i="8"/>
  <c r="S115" i="8" s="1"/>
  <c r="S108" i="4"/>
  <c r="S109" i="4" s="1"/>
  <c r="S110" i="4" s="1"/>
  <c r="T101" i="4"/>
  <c r="T185" i="4"/>
  <c r="T195" i="4" s="1"/>
  <c r="T219" i="4" s="1"/>
  <c r="T99" i="4"/>
  <c r="T100" i="4" s="1"/>
  <c r="V88" i="4"/>
  <c r="O139" i="8" l="1"/>
  <c r="R124" i="8"/>
  <c r="N145" i="8"/>
  <c r="M149" i="8" s="1"/>
  <c r="L154" i="8"/>
  <c r="L153" i="8"/>
  <c r="L150" i="8"/>
  <c r="L151" i="8" s="1"/>
  <c r="U105" i="8"/>
  <c r="W221" i="8"/>
  <c r="X86" i="8"/>
  <c r="Q125" i="8"/>
  <c r="Q126" i="8" s="1"/>
  <c r="Q127" i="8" s="1"/>
  <c r="K202" i="8"/>
  <c r="K208" i="8" s="1"/>
  <c r="K226" i="8" s="1"/>
  <c r="K156" i="8"/>
  <c r="V103" i="8"/>
  <c r="V102" i="8"/>
  <c r="I169" i="8"/>
  <c r="I189" i="8"/>
  <c r="I192" i="8" s="1"/>
  <c r="I216" i="8" s="1"/>
  <c r="I167" i="8"/>
  <c r="I168" i="8" s="1"/>
  <c r="O141" i="8"/>
  <c r="W94" i="8"/>
  <c r="V98" i="8" s="1"/>
  <c r="V99" i="8" s="1"/>
  <c r="V100" i="8" s="1"/>
  <c r="S116" i="8"/>
  <c r="S117" i="8" s="1"/>
  <c r="T114" i="8" s="1"/>
  <c r="S120" i="8"/>
  <c r="S119" i="8"/>
  <c r="S118" i="8"/>
  <c r="S186" i="8"/>
  <c r="S196" i="8" s="1"/>
  <c r="S220" i="8" s="1"/>
  <c r="P136" i="8"/>
  <c r="P137" i="8"/>
  <c r="U97" i="4"/>
  <c r="T104" i="4"/>
  <c r="T199" i="4" s="1"/>
  <c r="T209" i="4" s="1"/>
  <c r="T227" i="4" s="1"/>
  <c r="V90" i="4"/>
  <c r="V91" i="4" s="1"/>
  <c r="V93" i="4" s="1"/>
  <c r="V89" i="4"/>
  <c r="Q128" i="8" l="1"/>
  <c r="P132" i="8" s="1"/>
  <c r="W97" i="8"/>
  <c r="V104" i="8"/>
  <c r="V199" i="8" s="1"/>
  <c r="V209" i="8" s="1"/>
  <c r="V227" i="8" s="1"/>
  <c r="M148" i="8"/>
  <c r="L155" i="8"/>
  <c r="L202" i="8" s="1"/>
  <c r="L208" i="8" s="1"/>
  <c r="L226" i="8" s="1"/>
  <c r="J165" i="8"/>
  <c r="I172" i="8"/>
  <c r="I203" i="8" s="1"/>
  <c r="I206" i="8" s="1"/>
  <c r="I224" i="8" s="1"/>
  <c r="I173" i="8"/>
  <c r="U107" i="8"/>
  <c r="T120" i="8"/>
  <c r="T119" i="8"/>
  <c r="S121" i="8"/>
  <c r="S200" i="8" s="1"/>
  <c r="S210" i="8" s="1"/>
  <c r="S228" i="8" s="1"/>
  <c r="R125" i="8"/>
  <c r="R126" i="8" s="1"/>
  <c r="R127" i="8" s="1"/>
  <c r="V101" i="8"/>
  <c r="V185" i="8"/>
  <c r="V195" i="8" s="1"/>
  <c r="V219" i="8" s="1"/>
  <c r="M152" i="8"/>
  <c r="M188" i="8"/>
  <c r="M194" i="8" s="1"/>
  <c r="M218" i="8" s="1"/>
  <c r="O142" i="8"/>
  <c r="O143" i="8" s="1"/>
  <c r="O144" i="8" s="1"/>
  <c r="K158" i="8"/>
  <c r="X87" i="8"/>
  <c r="X88" i="8" s="1"/>
  <c r="X89" i="8" s="1"/>
  <c r="T105" i="4"/>
  <c r="T107" i="4" s="1"/>
  <c r="V94" i="4"/>
  <c r="U98" i="4" s="1"/>
  <c r="U99" i="4" s="1"/>
  <c r="U100" i="4" s="1"/>
  <c r="U102" i="4"/>
  <c r="U103" i="4"/>
  <c r="V221" i="4"/>
  <c r="W86" i="4"/>
  <c r="W87" i="4" s="1"/>
  <c r="V105" i="8" l="1"/>
  <c r="X221" i="8"/>
  <c r="Y86" i="8"/>
  <c r="V107" i="8"/>
  <c r="O145" i="8"/>
  <c r="R128" i="8"/>
  <c r="K159" i="8"/>
  <c r="K160" i="8" s="1"/>
  <c r="K161" i="8" s="1"/>
  <c r="P135" i="8"/>
  <c r="P187" i="8"/>
  <c r="P193" i="8" s="1"/>
  <c r="P217" i="8" s="1"/>
  <c r="P133" i="8"/>
  <c r="P134" i="8" s="1"/>
  <c r="M153" i="8"/>
  <c r="M154" i="8"/>
  <c r="M150" i="8"/>
  <c r="M151" i="8" s="1"/>
  <c r="U108" i="8"/>
  <c r="U109" i="8" s="1"/>
  <c r="U110" i="8" s="1"/>
  <c r="I175" i="8"/>
  <c r="J170" i="8"/>
  <c r="J171" i="8"/>
  <c r="L156" i="8"/>
  <c r="W103" i="8"/>
  <c r="W102" i="8"/>
  <c r="X90" i="8"/>
  <c r="X91" i="8"/>
  <c r="X93" i="8" s="1"/>
  <c r="S122" i="8"/>
  <c r="V97" i="4"/>
  <c r="U104" i="4"/>
  <c r="U199" i="4" s="1"/>
  <c r="U209" i="4" s="1"/>
  <c r="U227" i="4" s="1"/>
  <c r="T108" i="4"/>
  <c r="T109" i="4" s="1"/>
  <c r="T110" i="4" s="1"/>
  <c r="U101" i="4"/>
  <c r="U185" i="4"/>
  <c r="U195" i="4" s="1"/>
  <c r="U219" i="4" s="1"/>
  <c r="K162" i="8" l="1"/>
  <c r="J166" i="8" s="1"/>
  <c r="U111" i="8"/>
  <c r="T115" i="8" s="1"/>
  <c r="N148" i="8"/>
  <c r="N149" i="8" s="1"/>
  <c r="M155" i="8"/>
  <c r="M202" i="8" s="1"/>
  <c r="M208" i="8" s="1"/>
  <c r="M226" i="8" s="1"/>
  <c r="I176" i="8"/>
  <c r="I177" i="8" s="1"/>
  <c r="I178" i="8" s="1"/>
  <c r="I180" i="8" s="1"/>
  <c r="I213" i="8" s="1"/>
  <c r="V108" i="8"/>
  <c r="V109" i="8" s="1"/>
  <c r="V110" i="8" s="1"/>
  <c r="L158" i="8"/>
  <c r="Q131" i="8"/>
  <c r="Q132" i="8" s="1"/>
  <c r="P138" i="8"/>
  <c r="Y87" i="8"/>
  <c r="Y88" i="8" s="1"/>
  <c r="S124" i="8"/>
  <c r="X94" i="8"/>
  <c r="W98" i="8" s="1"/>
  <c r="U105" i="4"/>
  <c r="V102" i="4"/>
  <c r="V103" i="4"/>
  <c r="W90" i="4"/>
  <c r="W91" i="4" s="1"/>
  <c r="W93" i="4" s="1"/>
  <c r="W88" i="4"/>
  <c r="W89" i="4" s="1"/>
  <c r="Q135" i="8" l="1"/>
  <c r="Q187" i="8"/>
  <c r="Q193" i="8" s="1"/>
  <c r="Q217" i="8" s="1"/>
  <c r="N152" i="8"/>
  <c r="N188" i="8"/>
  <c r="N194" i="8" s="1"/>
  <c r="N218" i="8" s="1"/>
  <c r="V111" i="8"/>
  <c r="U115" i="8" s="1"/>
  <c r="P201" i="8"/>
  <c r="P207" i="8" s="1"/>
  <c r="P225" i="8" s="1"/>
  <c r="P139" i="8"/>
  <c r="I239" i="8"/>
  <c r="I247" i="8" s="1"/>
  <c r="I230" i="8"/>
  <c r="I240" i="8" s="1"/>
  <c r="I248" i="8" s="1"/>
  <c r="L159" i="8"/>
  <c r="L160" i="8" s="1"/>
  <c r="L161" i="8" s="1"/>
  <c r="J169" i="8"/>
  <c r="J189" i="8"/>
  <c r="J192" i="8" s="1"/>
  <c r="J216" i="8" s="1"/>
  <c r="J167" i="8"/>
  <c r="J168" i="8"/>
  <c r="Q133" i="8"/>
  <c r="Q136" i="8"/>
  <c r="Q137" i="8"/>
  <c r="Q134" i="8"/>
  <c r="R131" i="8" s="1"/>
  <c r="Q138" i="8"/>
  <c r="Q201" i="8" s="1"/>
  <c r="Q207" i="8" s="1"/>
  <c r="Q225" i="8" s="1"/>
  <c r="W101" i="8"/>
  <c r="W185" i="8"/>
  <c r="W195" i="8" s="1"/>
  <c r="W219" i="8" s="1"/>
  <c r="W99" i="8"/>
  <c r="W100" i="8" s="1"/>
  <c r="S125" i="8"/>
  <c r="S126" i="8" s="1"/>
  <c r="S127" i="8" s="1"/>
  <c r="T118" i="8"/>
  <c r="T186" i="8"/>
  <c r="T196" i="8" s="1"/>
  <c r="T220" i="8" s="1"/>
  <c r="T116" i="8"/>
  <c r="T117" i="8" s="1"/>
  <c r="Y90" i="8"/>
  <c r="Y91" i="8" s="1"/>
  <c r="Y93" i="8" s="1"/>
  <c r="N153" i="8"/>
  <c r="N154" i="8"/>
  <c r="N150" i="8"/>
  <c r="N151" i="8" s="1"/>
  <c r="O148" i="8" s="1"/>
  <c r="Y89" i="8"/>
  <c r="M156" i="8"/>
  <c r="W94" i="4"/>
  <c r="V98" i="4" s="1"/>
  <c r="W221" i="4"/>
  <c r="X86" i="4"/>
  <c r="X87" i="4" s="1"/>
  <c r="U107" i="4"/>
  <c r="Q139" i="8" l="1"/>
  <c r="Y94" i="8"/>
  <c r="X98" i="8" s="1"/>
  <c r="U114" i="8"/>
  <c r="T121" i="8"/>
  <c r="S128" i="8"/>
  <c r="R132" i="8" s="1"/>
  <c r="L162" i="8"/>
  <c r="K166" i="8" s="1"/>
  <c r="X97" i="8"/>
  <c r="W104" i="8"/>
  <c r="W199" i="8" s="1"/>
  <c r="W209" i="8" s="1"/>
  <c r="W227" i="8" s="1"/>
  <c r="N155" i="8"/>
  <c r="N202" i="8" s="1"/>
  <c r="N208" i="8" s="1"/>
  <c r="N226" i="8" s="1"/>
  <c r="M158" i="8"/>
  <c r="O154" i="8"/>
  <c r="O153" i="8"/>
  <c r="P141" i="8"/>
  <c r="Q141" i="8"/>
  <c r="K165" i="8"/>
  <c r="J172" i="8"/>
  <c r="U118" i="8"/>
  <c r="U186" i="8"/>
  <c r="U196" i="8" s="1"/>
  <c r="U220" i="8" s="1"/>
  <c r="R133" i="8"/>
  <c r="R134" i="8" s="1"/>
  <c r="R137" i="8"/>
  <c r="R136" i="8"/>
  <c r="Y221" i="8"/>
  <c r="Z86" i="8"/>
  <c r="U108" i="4"/>
  <c r="U109" i="4" s="1"/>
  <c r="U110" i="4" s="1"/>
  <c r="X88" i="4"/>
  <c r="X89" i="4" s="1"/>
  <c r="V101" i="4"/>
  <c r="V185" i="4"/>
  <c r="V195" i="4" s="1"/>
  <c r="V219" i="4" s="1"/>
  <c r="V99" i="4"/>
  <c r="V100" i="4" s="1"/>
  <c r="S131" i="8" l="1"/>
  <c r="R138" i="8"/>
  <c r="R201" i="8" s="1"/>
  <c r="R207" i="8" s="1"/>
  <c r="R225" i="8" s="1"/>
  <c r="P142" i="8"/>
  <c r="P143" i="8" s="1"/>
  <c r="P144" i="8" s="1"/>
  <c r="N156" i="8"/>
  <c r="S137" i="8"/>
  <c r="S136" i="8"/>
  <c r="U119" i="8"/>
  <c r="U116" i="8"/>
  <c r="U117" i="8" s="1"/>
  <c r="U120" i="8"/>
  <c r="Q142" i="8"/>
  <c r="Q143" i="8" s="1"/>
  <c r="Q144" i="8" s="1"/>
  <c r="X99" i="8"/>
  <c r="X100" i="8" s="1"/>
  <c r="Y97" i="8" s="1"/>
  <c r="X103" i="8"/>
  <c r="X102" i="8"/>
  <c r="W105" i="8"/>
  <c r="J203" i="8"/>
  <c r="J206" i="8" s="1"/>
  <c r="J224" i="8" s="1"/>
  <c r="J173" i="8"/>
  <c r="X101" i="8"/>
  <c r="X185" i="8"/>
  <c r="X195" i="8" s="1"/>
  <c r="X219" i="8" s="1"/>
  <c r="Z87" i="8"/>
  <c r="K169" i="8"/>
  <c r="K189" i="8"/>
  <c r="K192" i="8" s="1"/>
  <c r="K216" i="8" s="1"/>
  <c r="R135" i="8"/>
  <c r="R139" i="8" s="1"/>
  <c r="R187" i="8"/>
  <c r="R193" i="8" s="1"/>
  <c r="R217" i="8" s="1"/>
  <c r="T200" i="8"/>
  <c r="T210" i="8" s="1"/>
  <c r="T228" i="8" s="1"/>
  <c r="T122" i="8"/>
  <c r="K167" i="8"/>
  <c r="K170" i="8"/>
  <c r="K171" i="8"/>
  <c r="K168" i="8"/>
  <c r="L165" i="8" s="1"/>
  <c r="M159" i="8"/>
  <c r="M160" i="8" s="1"/>
  <c r="M161" i="8" s="1"/>
  <c r="X221" i="4"/>
  <c r="Y86" i="4"/>
  <c r="Y87" i="4" s="1"/>
  <c r="W97" i="4"/>
  <c r="V104" i="4"/>
  <c r="X90" i="4"/>
  <c r="X91" i="4" s="1"/>
  <c r="X93" i="4" s="1"/>
  <c r="X104" i="8" l="1"/>
  <c r="X199" i="8" s="1"/>
  <c r="X209" i="8" s="1"/>
  <c r="X227" i="8" s="1"/>
  <c r="V114" i="8"/>
  <c r="U121" i="8"/>
  <c r="U200" i="8" s="1"/>
  <c r="U210" i="8" s="1"/>
  <c r="U228" i="8" s="1"/>
  <c r="R141" i="8"/>
  <c r="M162" i="8"/>
  <c r="L166" i="8" s="1"/>
  <c r="P145" i="8"/>
  <c r="O149" i="8" s="1"/>
  <c r="J175" i="8"/>
  <c r="U122" i="8"/>
  <c r="U124" i="8" s="1"/>
  <c r="Y103" i="8"/>
  <c r="Y102" i="8"/>
  <c r="Z88" i="8"/>
  <c r="Z89" i="8" s="1"/>
  <c r="N158" i="8"/>
  <c r="W107" i="8"/>
  <c r="K172" i="8"/>
  <c r="K203" i="8" s="1"/>
  <c r="K206" i="8" s="1"/>
  <c r="K224" i="8" s="1"/>
  <c r="L171" i="8"/>
  <c r="L170" i="8"/>
  <c r="Z90" i="8"/>
  <c r="Z91" i="8" s="1"/>
  <c r="Z93" i="8" s="1"/>
  <c r="T124" i="8"/>
  <c r="V199" i="4"/>
  <c r="V209" i="4" s="1"/>
  <c r="V227" i="4" s="1"/>
  <c r="V105" i="4"/>
  <c r="X94" i="4"/>
  <c r="W98" i="4" s="1"/>
  <c r="W99" i="4" s="1"/>
  <c r="W100" i="4" s="1"/>
  <c r="W102" i="4"/>
  <c r="W103" i="4"/>
  <c r="X105" i="8" l="1"/>
  <c r="X107" i="8" s="1"/>
  <c r="U125" i="8"/>
  <c r="U126" i="8" s="1"/>
  <c r="Z221" i="8"/>
  <c r="AA86" i="8"/>
  <c r="Z94" i="8"/>
  <c r="Y98" i="8" s="1"/>
  <c r="R142" i="8"/>
  <c r="R143" i="8" s="1"/>
  <c r="R144" i="8" s="1"/>
  <c r="T125" i="8"/>
  <c r="T126" i="8" s="1"/>
  <c r="U127" i="8" s="1"/>
  <c r="L169" i="8"/>
  <c r="L189" i="8"/>
  <c r="L192" i="8" s="1"/>
  <c r="L216" i="8" s="1"/>
  <c r="O152" i="8"/>
  <c r="O188" i="8"/>
  <c r="O194" i="8" s="1"/>
  <c r="O218" i="8" s="1"/>
  <c r="O150" i="8"/>
  <c r="O151" i="8" s="1"/>
  <c r="L167" i="8"/>
  <c r="L168" i="8" s="1"/>
  <c r="Q145" i="8"/>
  <c r="V120" i="8"/>
  <c r="V119" i="8"/>
  <c r="X108" i="8"/>
  <c r="X109" i="8" s="1"/>
  <c r="N159" i="8"/>
  <c r="N160" i="8" s="1"/>
  <c r="N161" i="8" s="1"/>
  <c r="W108" i="8"/>
  <c r="W109" i="8" s="1"/>
  <c r="J176" i="8"/>
  <c r="J177" i="8" s="1"/>
  <c r="J178" i="8" s="1"/>
  <c r="J180" i="8" s="1"/>
  <c r="J213" i="8" s="1"/>
  <c r="K173" i="8"/>
  <c r="X97" i="4"/>
  <c r="W104" i="4"/>
  <c r="W199" i="4" s="1"/>
  <c r="W209" i="4" s="1"/>
  <c r="W227" i="4" s="1"/>
  <c r="V107" i="4"/>
  <c r="Y88" i="4"/>
  <c r="Y89" i="4" s="1"/>
  <c r="Y90" i="4"/>
  <c r="Y91" i="4" s="1"/>
  <c r="Y93" i="4" s="1"/>
  <c r="W101" i="4"/>
  <c r="W185" i="4"/>
  <c r="W195" i="4" s="1"/>
  <c r="W219" i="4" s="1"/>
  <c r="X110" i="8" l="1"/>
  <c r="P148" i="8"/>
  <c r="P149" i="8" s="1"/>
  <c r="O155" i="8"/>
  <c r="O202" i="8" s="1"/>
  <c r="O208" i="8" s="1"/>
  <c r="O226" i="8" s="1"/>
  <c r="N162" i="8"/>
  <c r="M166" i="8" s="1"/>
  <c r="T127" i="8"/>
  <c r="R145" i="8"/>
  <c r="K175" i="8"/>
  <c r="M165" i="8"/>
  <c r="L172" i="8"/>
  <c r="L203" i="8" s="1"/>
  <c r="L206" i="8" s="1"/>
  <c r="L224" i="8" s="1"/>
  <c r="J230" i="8"/>
  <c r="J240" i="8" s="1"/>
  <c r="J248" i="8" s="1"/>
  <c r="J239" i="8"/>
  <c r="J247" i="8" s="1"/>
  <c r="W110" i="8"/>
  <c r="Y101" i="8"/>
  <c r="Y185" i="8"/>
  <c r="Y195" i="8" s="1"/>
  <c r="Y219" i="8" s="1"/>
  <c r="Y99" i="8"/>
  <c r="Y100" i="8" s="1"/>
  <c r="AA87" i="8"/>
  <c r="W105" i="4"/>
  <c r="W107" i="4" s="1"/>
  <c r="Y94" i="4"/>
  <c r="X98" i="4" s="1"/>
  <c r="Y221" i="4"/>
  <c r="Z86" i="4"/>
  <c r="Z87" i="4" s="1"/>
  <c r="V108" i="4"/>
  <c r="V109" i="4" s="1"/>
  <c r="V110" i="4" s="1"/>
  <c r="X103" i="4"/>
  <c r="X102" i="4"/>
  <c r="O156" i="8" l="1"/>
  <c r="O158" i="8" s="1"/>
  <c r="P152" i="8"/>
  <c r="P188" i="8"/>
  <c r="P194" i="8" s="1"/>
  <c r="P218" i="8" s="1"/>
  <c r="W111" i="8"/>
  <c r="T128" i="8"/>
  <c r="AA90" i="8"/>
  <c r="AA91" i="8" s="1"/>
  <c r="AA93" i="8" s="1"/>
  <c r="M167" i="8"/>
  <c r="M168" i="8" s="1"/>
  <c r="M171" i="8"/>
  <c r="M170" i="8"/>
  <c r="M169" i="8"/>
  <c r="M189" i="8"/>
  <c r="M192" i="8" s="1"/>
  <c r="M216" i="8" s="1"/>
  <c r="AA88" i="8"/>
  <c r="AA89" i="8" s="1"/>
  <c r="L173" i="8"/>
  <c r="Z97" i="8"/>
  <c r="Y104" i="8"/>
  <c r="Y199" i="8" s="1"/>
  <c r="Y209" i="8" s="1"/>
  <c r="Y227" i="8" s="1"/>
  <c r="K176" i="8"/>
  <c r="K177" i="8" s="1"/>
  <c r="K178" i="8" s="1"/>
  <c r="K180" i="8" s="1"/>
  <c r="K213" i="8" s="1"/>
  <c r="P150" i="8"/>
  <c r="P151" i="8" s="1"/>
  <c r="Q148" i="8" s="1"/>
  <c r="Q149" i="8" s="1"/>
  <c r="P153" i="8"/>
  <c r="P154" i="8"/>
  <c r="Z88" i="4"/>
  <c r="X101" i="4"/>
  <c r="X185" i="4"/>
  <c r="X195" i="4" s="1"/>
  <c r="X219" i="4" s="1"/>
  <c r="X99" i="4"/>
  <c r="X100" i="4" s="1"/>
  <c r="W108" i="4"/>
  <c r="W109" i="4" s="1"/>
  <c r="W110" i="4" s="1"/>
  <c r="Q188" i="8" l="1"/>
  <c r="Q194" i="8" s="1"/>
  <c r="Q218" i="8" s="1"/>
  <c r="Q152" i="8"/>
  <c r="AA221" i="8"/>
  <c r="AB86" i="8"/>
  <c r="N165" i="8"/>
  <c r="M172" i="8"/>
  <c r="M203" i="8" s="1"/>
  <c r="M206" i="8" s="1"/>
  <c r="M224" i="8" s="1"/>
  <c r="K230" i="8"/>
  <c r="K240" i="8" s="1"/>
  <c r="K248" i="8" s="1"/>
  <c r="K239" i="8"/>
  <c r="K247" i="8" s="1"/>
  <c r="Z102" i="8"/>
  <c r="Z103" i="8"/>
  <c r="AA94" i="8"/>
  <c r="Z98" i="8" s="1"/>
  <c r="Z99" i="8" s="1"/>
  <c r="Z100" i="8" s="1"/>
  <c r="L175" i="8"/>
  <c r="Q150" i="8"/>
  <c r="Q151" i="8" s="1"/>
  <c r="R148" i="8" s="1"/>
  <c r="Q153" i="8"/>
  <c r="Q154" i="8"/>
  <c r="P155" i="8"/>
  <c r="P202" i="8" s="1"/>
  <c r="P208" i="8" s="1"/>
  <c r="P226" i="8" s="1"/>
  <c r="S132" i="8"/>
  <c r="U128" i="8"/>
  <c r="T132" i="8" s="1"/>
  <c r="O159" i="8"/>
  <c r="O160" i="8" s="1"/>
  <c r="O161" i="8" s="1"/>
  <c r="V115" i="8"/>
  <c r="X111" i="8"/>
  <c r="W115" i="8" s="1"/>
  <c r="Y105" i="8"/>
  <c r="Z89" i="4"/>
  <c r="Z221" i="4" s="1"/>
  <c r="Y97" i="4"/>
  <c r="X104" i="4"/>
  <c r="Z90" i="4"/>
  <c r="Z91" i="4" s="1"/>
  <c r="Z93" i="4" s="1"/>
  <c r="M173" i="8" l="1"/>
  <c r="M175" i="8" s="1"/>
  <c r="O162" i="8"/>
  <c r="N166" i="8" s="1"/>
  <c r="AA97" i="8"/>
  <c r="Z104" i="8"/>
  <c r="Z199" i="8" s="1"/>
  <c r="Z209" i="8" s="1"/>
  <c r="Z227" i="8" s="1"/>
  <c r="M176" i="8"/>
  <c r="M177" i="8" s="1"/>
  <c r="Y107" i="8"/>
  <c r="V118" i="8"/>
  <c r="V186" i="8"/>
  <c r="V196" i="8" s="1"/>
  <c r="V220" i="8" s="1"/>
  <c r="V116" i="8"/>
  <c r="V117" i="8" s="1"/>
  <c r="N171" i="8"/>
  <c r="N167" i="8"/>
  <c r="N168" i="8" s="1"/>
  <c r="N170" i="8"/>
  <c r="R154" i="8"/>
  <c r="R153" i="8"/>
  <c r="Q155" i="8"/>
  <c r="Q202" i="8" s="1"/>
  <c r="Q208" i="8" s="1"/>
  <c r="Q226" i="8" s="1"/>
  <c r="W118" i="8"/>
  <c r="W186" i="8"/>
  <c r="W196" i="8" s="1"/>
  <c r="W220" i="8" s="1"/>
  <c r="L176" i="8"/>
  <c r="L177" i="8" s="1"/>
  <c r="M178" i="8" s="1"/>
  <c r="M180" i="8" s="1"/>
  <c r="M213" i="8" s="1"/>
  <c r="T135" i="8"/>
  <c r="T187" i="8"/>
  <c r="T193" i="8" s="1"/>
  <c r="T217" i="8" s="1"/>
  <c r="Z101" i="8"/>
  <c r="Z105" i="8" s="1"/>
  <c r="Z107" i="8" s="1"/>
  <c r="Z185" i="8"/>
  <c r="Z195" i="8" s="1"/>
  <c r="Z219" i="8" s="1"/>
  <c r="AB87" i="8"/>
  <c r="P156" i="8"/>
  <c r="S135" i="8"/>
  <c r="S187" i="8"/>
  <c r="S193" i="8" s="1"/>
  <c r="S217" i="8" s="1"/>
  <c r="S133" i="8"/>
  <c r="S134" i="8" s="1"/>
  <c r="AA86" i="4"/>
  <c r="AA87" i="4" s="1"/>
  <c r="Z94" i="4"/>
  <c r="Y98" i="4" s="1"/>
  <c r="X199" i="4"/>
  <c r="X209" i="4" s="1"/>
  <c r="X227" i="4" s="1"/>
  <c r="X105" i="4"/>
  <c r="Y102" i="4"/>
  <c r="Y103" i="4"/>
  <c r="L178" i="8" l="1"/>
  <c r="L180" i="8" s="1"/>
  <c r="L213" i="8" s="1"/>
  <c r="Q156" i="8"/>
  <c r="O165" i="8"/>
  <c r="N172" i="8"/>
  <c r="N203" i="8" s="1"/>
  <c r="N206" i="8" s="1"/>
  <c r="N224" i="8" s="1"/>
  <c r="Z108" i="8"/>
  <c r="Z109" i="8" s="1"/>
  <c r="M239" i="8"/>
  <c r="M247" i="8" s="1"/>
  <c r="M230" i="8"/>
  <c r="M240" i="8" s="1"/>
  <c r="M248" i="8" s="1"/>
  <c r="W114" i="8"/>
  <c r="V121" i="8"/>
  <c r="P158" i="8"/>
  <c r="Q158" i="8"/>
  <c r="T131" i="8"/>
  <c r="S138" i="8"/>
  <c r="S201" i="8" s="1"/>
  <c r="S207" i="8" s="1"/>
  <c r="S225" i="8" s="1"/>
  <c r="Y108" i="8"/>
  <c r="Y109" i="8" s="1"/>
  <c r="Y110" i="8" s="1"/>
  <c r="AA102" i="8"/>
  <c r="AA103" i="8"/>
  <c r="AB90" i="8"/>
  <c r="AB91" i="8" s="1"/>
  <c r="AB93" i="8" s="1"/>
  <c r="AB88" i="8"/>
  <c r="L230" i="8"/>
  <c r="L240" i="8" s="1"/>
  <c r="L248" i="8" s="1"/>
  <c r="L239" i="8"/>
  <c r="L247" i="8" s="1"/>
  <c r="AB89" i="8"/>
  <c r="N169" i="8"/>
  <c r="N173" i="8" s="1"/>
  <c r="N189" i="8"/>
  <c r="N192" i="8" s="1"/>
  <c r="N216" i="8" s="1"/>
  <c r="Y101" i="4"/>
  <c r="Y185" i="4"/>
  <c r="Y195" i="4" s="1"/>
  <c r="Y219" i="4" s="1"/>
  <c r="Y99" i="4"/>
  <c r="Y100" i="4" s="1"/>
  <c r="X107" i="4"/>
  <c r="AA90" i="4"/>
  <c r="AA91" i="4" s="1"/>
  <c r="AA93" i="4" s="1"/>
  <c r="AA88" i="4"/>
  <c r="AA89" i="4" s="1"/>
  <c r="Z110" i="8" l="1"/>
  <c r="P159" i="8"/>
  <c r="P160" i="8" s="1"/>
  <c r="P161" i="8" s="1"/>
  <c r="AB94" i="8"/>
  <c r="AA98" i="8" s="1"/>
  <c r="V200" i="8"/>
  <c r="V210" i="8" s="1"/>
  <c r="V228" i="8" s="1"/>
  <c r="V122" i="8"/>
  <c r="W119" i="8"/>
  <c r="W116" i="8"/>
  <c r="W117" i="8" s="1"/>
  <c r="W120" i="8"/>
  <c r="AB221" i="8"/>
  <c r="AC86" i="8"/>
  <c r="S139" i="8"/>
  <c r="Q159" i="8"/>
  <c r="Q160" i="8" s="1"/>
  <c r="Y111" i="8"/>
  <c r="X115" i="8" s="1"/>
  <c r="T137" i="8"/>
  <c r="T133" i="8"/>
  <c r="T134" i="8" s="1"/>
  <c r="T136" i="8"/>
  <c r="N175" i="8"/>
  <c r="O170" i="8"/>
  <c r="O171" i="8"/>
  <c r="AA221" i="4"/>
  <c r="AB86" i="4"/>
  <c r="AB87" i="4" s="1"/>
  <c r="AA94" i="4"/>
  <c r="Z98" i="4" s="1"/>
  <c r="X108" i="4"/>
  <c r="X109" i="4" s="1"/>
  <c r="X110" i="4" s="1"/>
  <c r="Z97" i="4"/>
  <c r="Y104" i="4"/>
  <c r="Y199" i="4" s="1"/>
  <c r="Y209" i="4" s="1"/>
  <c r="Y227" i="4" s="1"/>
  <c r="Q161" i="8" l="1"/>
  <c r="X114" i="8"/>
  <c r="W121" i="8"/>
  <c r="W200" i="8" s="1"/>
  <c r="W210" i="8" s="1"/>
  <c r="W228" i="8" s="1"/>
  <c r="U131" i="8"/>
  <c r="T138" i="8"/>
  <c r="T201" i="8" s="1"/>
  <c r="T207" i="8" s="1"/>
  <c r="T225" i="8" s="1"/>
  <c r="V124" i="8"/>
  <c r="AA101" i="8"/>
  <c r="AA185" i="8"/>
  <c r="AA195" i="8" s="1"/>
  <c r="AA219" i="8" s="1"/>
  <c r="AA99" i="8"/>
  <c r="AA100" i="8" s="1"/>
  <c r="X118" i="8"/>
  <c r="X186" i="8"/>
  <c r="X196" i="8" s="1"/>
  <c r="X220" i="8" s="1"/>
  <c r="N176" i="8"/>
  <c r="N177" i="8" s="1"/>
  <c r="N178" i="8" s="1"/>
  <c r="N180" i="8" s="1"/>
  <c r="N213" i="8" s="1"/>
  <c r="P162" i="8"/>
  <c r="O166" i="8" s="1"/>
  <c r="S141" i="8"/>
  <c r="AC87" i="8"/>
  <c r="Z111" i="8"/>
  <c r="Y115" i="8" s="1"/>
  <c r="Y105" i="4"/>
  <c r="Y107" i="4" s="1"/>
  <c r="Z103" i="4"/>
  <c r="Z102" i="4"/>
  <c r="Z99" i="4"/>
  <c r="Z100" i="4" s="1"/>
  <c r="Z101" i="4"/>
  <c r="Z185" i="4"/>
  <c r="Z195" i="4" s="1"/>
  <c r="Z219" i="4" s="1"/>
  <c r="W122" i="8" l="1"/>
  <c r="W124" i="8" s="1"/>
  <c r="N239" i="8"/>
  <c r="N247" i="8" s="1"/>
  <c r="N230" i="8"/>
  <c r="N240" i="8" s="1"/>
  <c r="N248" i="8" s="1"/>
  <c r="S142" i="8"/>
  <c r="S143" i="8" s="1"/>
  <c r="S144" i="8" s="1"/>
  <c r="T139" i="8"/>
  <c r="AC90" i="8"/>
  <c r="AC91" i="8" s="1"/>
  <c r="AC93" i="8" s="1"/>
  <c r="AC88" i="8"/>
  <c r="AC89" i="8" s="1"/>
  <c r="AB97" i="8"/>
  <c r="AA104" i="8"/>
  <c r="X116" i="8"/>
  <c r="X117" i="8" s="1"/>
  <c r="X120" i="8"/>
  <c r="X119" i="8"/>
  <c r="W125" i="8"/>
  <c r="W126" i="8" s="1"/>
  <c r="O169" i="8"/>
  <c r="O189" i="8"/>
  <c r="O192" i="8" s="1"/>
  <c r="O216" i="8" s="1"/>
  <c r="O167" i="8"/>
  <c r="O168" i="8" s="1"/>
  <c r="Y118" i="8"/>
  <c r="Y186" i="8"/>
  <c r="Y196" i="8" s="1"/>
  <c r="Y220" i="8" s="1"/>
  <c r="V125" i="8"/>
  <c r="V126" i="8" s="1"/>
  <c r="W127" i="8" s="1"/>
  <c r="U137" i="8"/>
  <c r="U136" i="8"/>
  <c r="Q162" i="8"/>
  <c r="P166" i="8" s="1"/>
  <c r="AA97" i="4"/>
  <c r="Z104" i="4"/>
  <c r="Z199" i="4" s="1"/>
  <c r="Z209" i="4" s="1"/>
  <c r="Z227" i="4" s="1"/>
  <c r="Y108" i="4"/>
  <c r="Y109" i="4" s="1"/>
  <c r="Y110" i="4" s="1"/>
  <c r="AB90" i="4"/>
  <c r="AB91" i="4" s="1"/>
  <c r="AB93" i="4" s="1"/>
  <c r="AB88" i="4"/>
  <c r="AB89" i="4" s="1"/>
  <c r="V127" i="8" l="1"/>
  <c r="Y114" i="8"/>
  <c r="X121" i="8"/>
  <c r="X200" i="8" s="1"/>
  <c r="X210" i="8" s="1"/>
  <c r="X228" i="8" s="1"/>
  <c r="AC221" i="8"/>
  <c r="AD86" i="8"/>
  <c r="S145" i="8"/>
  <c r="R149" i="8" s="1"/>
  <c r="P165" i="8"/>
  <c r="O172" i="8"/>
  <c r="O203" i="8" s="1"/>
  <c r="O206" i="8" s="1"/>
  <c r="O224" i="8" s="1"/>
  <c r="AB102" i="8"/>
  <c r="AB103" i="8"/>
  <c r="T141" i="8"/>
  <c r="AA199" i="8"/>
  <c r="AA209" i="8" s="1"/>
  <c r="AA227" i="8" s="1"/>
  <c r="AA105" i="8"/>
  <c r="AC94" i="8"/>
  <c r="AB98" i="8" s="1"/>
  <c r="AB99" i="8" s="1"/>
  <c r="AB100" i="8" s="1"/>
  <c r="V128" i="8"/>
  <c r="U132" i="8" s="1"/>
  <c r="P169" i="8"/>
  <c r="P189" i="8"/>
  <c r="P192" i="8" s="1"/>
  <c r="P216" i="8" s="1"/>
  <c r="Z105" i="4"/>
  <c r="Z107" i="4" s="1"/>
  <c r="AB221" i="4"/>
  <c r="AC86" i="4"/>
  <c r="AC87" i="4" s="1"/>
  <c r="AB94" i="4"/>
  <c r="AA98" i="4" s="1"/>
  <c r="AA99" i="4" s="1"/>
  <c r="AA102" i="4"/>
  <c r="AA103" i="4"/>
  <c r="X122" i="8" l="1"/>
  <c r="AC97" i="8"/>
  <c r="AB104" i="8"/>
  <c r="AB199" i="8" s="1"/>
  <c r="AB209" i="8" s="1"/>
  <c r="AB227" i="8" s="1"/>
  <c r="U135" i="8"/>
  <c r="U187" i="8"/>
  <c r="U193" i="8" s="1"/>
  <c r="U217" i="8" s="1"/>
  <c r="U133" i="8"/>
  <c r="U134" i="8" s="1"/>
  <c r="P170" i="8"/>
  <c r="P171" i="8"/>
  <c r="P167" i="8"/>
  <c r="P168" i="8" s="1"/>
  <c r="Q165" i="8" s="1"/>
  <c r="AA107" i="8"/>
  <c r="X124" i="8"/>
  <c r="R152" i="8"/>
  <c r="R188" i="8"/>
  <c r="R194" i="8" s="1"/>
  <c r="R218" i="8" s="1"/>
  <c r="R150" i="8"/>
  <c r="R151" i="8" s="1"/>
  <c r="T142" i="8"/>
  <c r="T143" i="8" s="1"/>
  <c r="T144" i="8" s="1"/>
  <c r="Y119" i="8"/>
  <c r="Y120" i="8"/>
  <c r="Y116" i="8"/>
  <c r="Y117" i="8" s="1"/>
  <c r="O173" i="8"/>
  <c r="AB101" i="8"/>
  <c r="AB185" i="8"/>
  <c r="AB195" i="8" s="1"/>
  <c r="AB219" i="8" s="1"/>
  <c r="AD87" i="8"/>
  <c r="W128" i="8"/>
  <c r="V132" i="8" s="1"/>
  <c r="AA101" i="4"/>
  <c r="AA185" i="4"/>
  <c r="AA195" i="4" s="1"/>
  <c r="AA219" i="4" s="1"/>
  <c r="AA100" i="4"/>
  <c r="Z108" i="4"/>
  <c r="Z109" i="4" s="1"/>
  <c r="Z110" i="4" s="1"/>
  <c r="AB105" i="8" l="1"/>
  <c r="Z114" i="8"/>
  <c r="Y121" i="8"/>
  <c r="Y200" i="8" s="1"/>
  <c r="Y210" i="8" s="1"/>
  <c r="Y228" i="8" s="1"/>
  <c r="S148" i="8"/>
  <c r="R155" i="8"/>
  <c r="AD90" i="8"/>
  <c r="AD91" i="8" s="1"/>
  <c r="AD93" i="8" s="1"/>
  <c r="Q171" i="8"/>
  <c r="Q170" i="8"/>
  <c r="AD88" i="8"/>
  <c r="AD89" i="8" s="1"/>
  <c r="P172" i="8"/>
  <c r="P203" i="8" s="1"/>
  <c r="P206" i="8" s="1"/>
  <c r="P224" i="8" s="1"/>
  <c r="P173" i="8"/>
  <c r="P175" i="8" s="1"/>
  <c r="Y122" i="8"/>
  <c r="X125" i="8"/>
  <c r="X126" i="8" s="1"/>
  <c r="X127" i="8" s="1"/>
  <c r="O175" i="8"/>
  <c r="T145" i="8"/>
  <c r="V131" i="8"/>
  <c r="U138" i="8"/>
  <c r="AB107" i="8"/>
  <c r="V135" i="8"/>
  <c r="V187" i="8"/>
  <c r="V193" i="8" s="1"/>
  <c r="V217" i="8" s="1"/>
  <c r="AA108" i="8"/>
  <c r="AA109" i="8" s="1"/>
  <c r="AA110" i="8" s="1"/>
  <c r="AC102" i="8"/>
  <c r="AC103" i="8"/>
  <c r="AC90" i="4"/>
  <c r="AC91" i="4" s="1"/>
  <c r="AC93" i="4" s="1"/>
  <c r="AB97" i="4"/>
  <c r="AA104" i="4"/>
  <c r="AC88" i="4"/>
  <c r="AC89" i="4" s="1"/>
  <c r="S149" i="8" l="1"/>
  <c r="AA111" i="8"/>
  <c r="Z115" i="8" s="1"/>
  <c r="AD94" i="8"/>
  <c r="AC98" i="8" s="1"/>
  <c r="AD221" i="8"/>
  <c r="AE86" i="8"/>
  <c r="S152" i="8"/>
  <c r="S188" i="8"/>
  <c r="S194" i="8" s="1"/>
  <c r="S218" i="8" s="1"/>
  <c r="O176" i="8"/>
  <c r="O177" i="8" s="1"/>
  <c r="P178" i="8" s="1"/>
  <c r="P180" i="8" s="1"/>
  <c r="P213" i="8" s="1"/>
  <c r="X128" i="8"/>
  <c r="W132" i="8" s="1"/>
  <c r="Y124" i="8"/>
  <c r="R202" i="8"/>
  <c r="R208" i="8" s="1"/>
  <c r="R226" i="8" s="1"/>
  <c r="R156" i="8"/>
  <c r="AB108" i="8"/>
  <c r="AB109" i="8" s="1"/>
  <c r="AB110" i="8" s="1"/>
  <c r="S153" i="8"/>
  <c r="S150" i="8"/>
  <c r="S151" i="8" s="1"/>
  <c r="T148" i="8" s="1"/>
  <c r="S154" i="8"/>
  <c r="P176" i="8"/>
  <c r="P177" i="8" s="1"/>
  <c r="U201" i="8"/>
  <c r="U207" i="8" s="1"/>
  <c r="U225" i="8" s="1"/>
  <c r="U139" i="8"/>
  <c r="V136" i="8"/>
  <c r="V133" i="8"/>
  <c r="V137" i="8"/>
  <c r="V134" i="8"/>
  <c r="W131" i="8" s="1"/>
  <c r="Z116" i="8"/>
  <c r="Z117" i="8" s="1"/>
  <c r="Z120" i="8"/>
  <c r="Z119" i="8"/>
  <c r="AC94" i="4"/>
  <c r="AB98" i="4" s="1"/>
  <c r="AB99" i="4" s="1"/>
  <c r="AB100" i="4" s="1"/>
  <c r="AC221" i="4"/>
  <c r="AD86" i="4"/>
  <c r="AD87" i="4" s="1"/>
  <c r="AB103" i="4"/>
  <c r="AB102" i="4"/>
  <c r="AA199" i="4"/>
  <c r="AA209" i="4" s="1"/>
  <c r="AA227" i="4" s="1"/>
  <c r="AA105" i="4"/>
  <c r="P239" i="8" l="1"/>
  <c r="P247" i="8" s="1"/>
  <c r="P230" i="8"/>
  <c r="P240" i="8" s="1"/>
  <c r="P248" i="8" s="1"/>
  <c r="AA114" i="8"/>
  <c r="Z121" i="8"/>
  <c r="Z200" i="8" s="1"/>
  <c r="Z210" i="8" s="1"/>
  <c r="Z228" i="8" s="1"/>
  <c r="V138" i="8"/>
  <c r="V201" i="8" s="1"/>
  <c r="V207" i="8" s="1"/>
  <c r="V225" i="8" s="1"/>
  <c r="AB111" i="8"/>
  <c r="AA115" i="8" s="1"/>
  <c r="S155" i="8"/>
  <c r="S202" i="8" s="1"/>
  <c r="S208" i="8" s="1"/>
  <c r="S226" i="8" s="1"/>
  <c r="AE87" i="8"/>
  <c r="T153" i="8"/>
  <c r="T154" i="8"/>
  <c r="O178" i="8"/>
  <c r="O180" i="8" s="1"/>
  <c r="O213" i="8" s="1"/>
  <c r="W136" i="8"/>
  <c r="W133" i="8"/>
  <c r="W134" i="8"/>
  <c r="X131" i="8" s="1"/>
  <c r="W137" i="8"/>
  <c r="R158" i="8"/>
  <c r="U141" i="8"/>
  <c r="W135" i="8"/>
  <c r="W187" i="8"/>
  <c r="W193" i="8" s="1"/>
  <c r="W217" i="8" s="1"/>
  <c r="AC101" i="8"/>
  <c r="AC185" i="8"/>
  <c r="AC195" i="8" s="1"/>
  <c r="AC219" i="8" s="1"/>
  <c r="AC99" i="8"/>
  <c r="AC100" i="8" s="1"/>
  <c r="Y125" i="8"/>
  <c r="Y126" i="8" s="1"/>
  <c r="Y127" i="8" s="1"/>
  <c r="Z118" i="8"/>
  <c r="Z186" i="8"/>
  <c r="Z196" i="8" s="1"/>
  <c r="Z220" i="8" s="1"/>
  <c r="AC97" i="4"/>
  <c r="AC102" i="4" s="1"/>
  <c r="AB104" i="4"/>
  <c r="AB199" i="4" s="1"/>
  <c r="AB209" i="4" s="1"/>
  <c r="AB227" i="4" s="1"/>
  <c r="AA107" i="4"/>
  <c r="AB101" i="4"/>
  <c r="AB185" i="4"/>
  <c r="AB195" i="4" s="1"/>
  <c r="AB219" i="4" s="1"/>
  <c r="V139" i="8" l="1"/>
  <c r="W138" i="8"/>
  <c r="W201" i="8" s="1"/>
  <c r="W207" i="8" s="1"/>
  <c r="W225" i="8" s="1"/>
  <c r="Z122" i="8"/>
  <c r="Z124" i="8" s="1"/>
  <c r="AD97" i="8"/>
  <c r="AC104" i="8"/>
  <c r="Y128" i="8"/>
  <c r="X132" i="8" s="1"/>
  <c r="U142" i="8"/>
  <c r="U143" i="8" s="1"/>
  <c r="U144" i="8" s="1"/>
  <c r="AE90" i="8"/>
  <c r="AE91" i="8" s="1"/>
  <c r="AE93" i="8" s="1"/>
  <c r="AE88" i="8"/>
  <c r="AE89" i="8" s="1"/>
  <c r="X136" i="8"/>
  <c r="X137" i="8"/>
  <c r="V141" i="8"/>
  <c r="S156" i="8"/>
  <c r="AA120" i="8"/>
  <c r="AA119" i="8"/>
  <c r="AA116" i="8"/>
  <c r="AA117" i="8" s="1"/>
  <c r="AA118" i="8"/>
  <c r="AA186" i="8"/>
  <c r="AA196" i="8" s="1"/>
  <c r="AA220" i="8" s="1"/>
  <c r="O239" i="8"/>
  <c r="O247" i="8" s="1"/>
  <c r="O230" i="8"/>
  <c r="O240" i="8" s="1"/>
  <c r="O248" i="8" s="1"/>
  <c r="R159" i="8"/>
  <c r="R160" i="8" s="1"/>
  <c r="R161" i="8" s="1"/>
  <c r="AC103" i="4"/>
  <c r="AB105" i="4"/>
  <c r="AB107" i="4" s="1"/>
  <c r="AD90" i="4"/>
  <c r="AD91" i="4" s="1"/>
  <c r="AD93" i="4" s="1"/>
  <c r="AD88" i="4"/>
  <c r="AD89" i="4" s="1"/>
  <c r="AA108" i="4"/>
  <c r="AA109" i="4" s="1"/>
  <c r="AA110" i="4" s="1"/>
  <c r="W139" i="8" l="1"/>
  <c r="W141" i="8" s="1"/>
  <c r="W142" i="8" s="1"/>
  <c r="W143" i="8" s="1"/>
  <c r="AB114" i="8"/>
  <c r="AA121" i="8"/>
  <c r="AA200" i="8" s="1"/>
  <c r="AA210" i="8" s="1"/>
  <c r="AA228" i="8" s="1"/>
  <c r="AE221" i="8"/>
  <c r="AF86" i="8"/>
  <c r="U145" i="8"/>
  <c r="T149" i="8" s="1"/>
  <c r="R162" i="8"/>
  <c r="Q166" i="8" s="1"/>
  <c r="AE94" i="8"/>
  <c r="AD98" i="8" s="1"/>
  <c r="AD99" i="8" s="1"/>
  <c r="AA122" i="8"/>
  <c r="AC199" i="8"/>
  <c r="AC209" i="8" s="1"/>
  <c r="AC227" i="8" s="1"/>
  <c r="AC105" i="8"/>
  <c r="S158" i="8"/>
  <c r="V142" i="8"/>
  <c r="V143" i="8" s="1"/>
  <c r="V144" i="8" s="1"/>
  <c r="X135" i="8"/>
  <c r="X187" i="8"/>
  <c r="X193" i="8" s="1"/>
  <c r="X217" i="8" s="1"/>
  <c r="Z125" i="8"/>
  <c r="Z126" i="8" s="1"/>
  <c r="Z127" i="8" s="1"/>
  <c r="AD102" i="8"/>
  <c r="AD103" i="8"/>
  <c r="X133" i="8"/>
  <c r="X134" i="8" s="1"/>
  <c r="AD94" i="4"/>
  <c r="AC98" i="4" s="1"/>
  <c r="AD221" i="4"/>
  <c r="AE86" i="4"/>
  <c r="AE87" i="4" s="1"/>
  <c r="AB108" i="4"/>
  <c r="AB109" i="4" s="1"/>
  <c r="AB110" i="4" s="1"/>
  <c r="W144" i="8" l="1"/>
  <c r="Z128" i="8"/>
  <c r="Y131" i="8"/>
  <c r="X138" i="8"/>
  <c r="X201" i="8" s="1"/>
  <c r="X207" i="8" s="1"/>
  <c r="X225" i="8" s="1"/>
  <c r="AA124" i="8"/>
  <c r="T152" i="8"/>
  <c r="T188" i="8"/>
  <c r="T194" i="8" s="1"/>
  <c r="T218" i="8" s="1"/>
  <c r="T150" i="8"/>
  <c r="T151" i="8" s="1"/>
  <c r="Q169" i="8"/>
  <c r="Q189" i="8"/>
  <c r="Q192" i="8" s="1"/>
  <c r="Q216" i="8" s="1"/>
  <c r="Q167" i="8"/>
  <c r="Q168" i="8" s="1"/>
  <c r="S159" i="8"/>
  <c r="S160" i="8" s="1"/>
  <c r="S161" i="8" s="1"/>
  <c r="AD101" i="8"/>
  <c r="AD185" i="8"/>
  <c r="AD195" i="8" s="1"/>
  <c r="AD219" i="8" s="1"/>
  <c r="V145" i="8"/>
  <c r="AF87" i="8"/>
  <c r="AD100" i="8"/>
  <c r="AC107" i="8"/>
  <c r="AB119" i="8"/>
  <c r="AB120" i="8"/>
  <c r="AE88" i="4"/>
  <c r="AE89" i="4" s="1"/>
  <c r="AC101" i="4"/>
  <c r="AC185" i="4"/>
  <c r="AC195" i="4" s="1"/>
  <c r="AC219" i="4" s="1"/>
  <c r="AC99" i="4"/>
  <c r="AC100" i="4" s="1"/>
  <c r="W145" i="8" l="1"/>
  <c r="R165" i="8"/>
  <c r="Q172" i="8"/>
  <c r="S162" i="8"/>
  <c r="R166" i="8" s="1"/>
  <c r="U148" i="8"/>
  <c r="U149" i="8" s="1"/>
  <c r="T155" i="8"/>
  <c r="AA125" i="8"/>
  <c r="AA126" i="8" s="1"/>
  <c r="AA127" i="8" s="1"/>
  <c r="AF90" i="8"/>
  <c r="AF91" i="8" s="1"/>
  <c r="AF93" i="8" s="1"/>
  <c r="Y132" i="8"/>
  <c r="Y133" i="8" s="1"/>
  <c r="AC108" i="8"/>
  <c r="AC109" i="8" s="1"/>
  <c r="AC110" i="8" s="1"/>
  <c r="AE97" i="8"/>
  <c r="AD104" i="8"/>
  <c r="AD199" i="8" s="1"/>
  <c r="AD209" i="8" s="1"/>
  <c r="AD227" i="8" s="1"/>
  <c r="Y136" i="8"/>
  <c r="Y137" i="8"/>
  <c r="AF88" i="8"/>
  <c r="AF89" i="8" s="1"/>
  <c r="X139" i="8"/>
  <c r="AE221" i="4"/>
  <c r="AF86" i="4"/>
  <c r="AF87" i="4" s="1"/>
  <c r="AD97" i="4"/>
  <c r="AC104" i="4"/>
  <c r="AE90" i="4"/>
  <c r="AE91" i="4" s="1"/>
  <c r="AE93" i="4" s="1"/>
  <c r="U188" i="8" l="1"/>
  <c r="U194" i="8" s="1"/>
  <c r="U218" i="8" s="1"/>
  <c r="U152" i="8"/>
  <c r="AA128" i="8"/>
  <c r="AF94" i="8"/>
  <c r="AE98" i="8" s="1"/>
  <c r="AC111" i="8"/>
  <c r="AB115" i="8" s="1"/>
  <c r="AE102" i="8"/>
  <c r="AE103" i="8"/>
  <c r="T202" i="8"/>
  <c r="T208" i="8" s="1"/>
  <c r="T226" i="8" s="1"/>
  <c r="T156" i="8"/>
  <c r="U153" i="8"/>
  <c r="U150" i="8"/>
  <c r="U151" i="8" s="1"/>
  <c r="U154" i="8"/>
  <c r="X141" i="8"/>
  <c r="Y135" i="8"/>
  <c r="Y187" i="8"/>
  <c r="Y193" i="8" s="1"/>
  <c r="Y217" i="8" s="1"/>
  <c r="AF221" i="8"/>
  <c r="AG86" i="8"/>
  <c r="R169" i="8"/>
  <c r="R189" i="8"/>
  <c r="R192" i="8" s="1"/>
  <c r="R216" i="8" s="1"/>
  <c r="Y134" i="8"/>
  <c r="AD105" i="8"/>
  <c r="Q203" i="8"/>
  <c r="Q206" i="8" s="1"/>
  <c r="Q224" i="8" s="1"/>
  <c r="Q173" i="8"/>
  <c r="R170" i="8"/>
  <c r="R167" i="8"/>
  <c r="R168" i="8" s="1"/>
  <c r="R171" i="8"/>
  <c r="AE94" i="4"/>
  <c r="AD98" i="4" s="1"/>
  <c r="AD99" i="4" s="1"/>
  <c r="AD100" i="4" s="1"/>
  <c r="AE97" i="4" s="1"/>
  <c r="AC199" i="4"/>
  <c r="AC209" i="4" s="1"/>
  <c r="AC227" i="4" s="1"/>
  <c r="AC105" i="4"/>
  <c r="AD102" i="4"/>
  <c r="AD103" i="4"/>
  <c r="S165" i="8" l="1"/>
  <c r="R172" i="8"/>
  <c r="R203" i="8" s="1"/>
  <c r="R206" i="8" s="1"/>
  <c r="R224" i="8" s="1"/>
  <c r="V148" i="8"/>
  <c r="V149" i="8" s="1"/>
  <c r="U155" i="8"/>
  <c r="U202" i="8" s="1"/>
  <c r="U208" i="8" s="1"/>
  <c r="U226" i="8" s="1"/>
  <c r="Q175" i="8"/>
  <c r="X142" i="8"/>
  <c r="X143" i="8" s="1"/>
  <c r="X144" i="8" s="1"/>
  <c r="AB118" i="8"/>
  <c r="AB186" i="8"/>
  <c r="AB196" i="8" s="1"/>
  <c r="AB220" i="8" s="1"/>
  <c r="AB116" i="8"/>
  <c r="AB117" i="8" s="1"/>
  <c r="AE101" i="8"/>
  <c r="AE185" i="8"/>
  <c r="AE195" i="8" s="1"/>
  <c r="AE219" i="8" s="1"/>
  <c r="T158" i="8"/>
  <c r="AD107" i="8"/>
  <c r="Z131" i="8"/>
  <c r="Z132" i="8" s="1"/>
  <c r="Y138" i="8"/>
  <c r="AG87" i="8"/>
  <c r="AG88" i="8" s="1"/>
  <c r="AE99" i="8"/>
  <c r="AE100" i="8" s="1"/>
  <c r="AD104" i="4"/>
  <c r="AD199" i="4" s="1"/>
  <c r="AD209" i="4" s="1"/>
  <c r="AD227" i="4" s="1"/>
  <c r="AE102" i="4"/>
  <c r="AE103" i="4"/>
  <c r="AF90" i="4"/>
  <c r="AF91" i="4" s="1"/>
  <c r="AF93" i="4" s="1"/>
  <c r="AF88" i="4"/>
  <c r="AF89" i="4" s="1"/>
  <c r="AC107" i="4"/>
  <c r="AD101" i="4"/>
  <c r="AD185" i="4"/>
  <c r="AD195" i="4" s="1"/>
  <c r="AD219" i="4" s="1"/>
  <c r="R173" i="8" l="1"/>
  <c r="R175" i="8" s="1"/>
  <c r="V152" i="8"/>
  <c r="V188" i="8"/>
  <c r="V194" i="8" s="1"/>
  <c r="V218" i="8" s="1"/>
  <c r="AC114" i="8"/>
  <c r="AB121" i="8"/>
  <c r="X145" i="8"/>
  <c r="W149" i="8" s="1"/>
  <c r="R176" i="8"/>
  <c r="R177" i="8" s="1"/>
  <c r="AF97" i="8"/>
  <c r="AE104" i="8"/>
  <c r="Q176" i="8"/>
  <c r="Q177" i="8" s="1"/>
  <c r="Q178" i="8" s="1"/>
  <c r="Q180" i="8" s="1"/>
  <c r="Q213" i="8" s="1"/>
  <c r="AG89" i="8"/>
  <c r="Z135" i="8"/>
  <c r="Z187" i="8"/>
  <c r="Z193" i="8" s="1"/>
  <c r="Z217" i="8" s="1"/>
  <c r="V150" i="8"/>
  <c r="V151" i="8"/>
  <c r="W148" i="8" s="1"/>
  <c r="V153" i="8"/>
  <c r="V154" i="8"/>
  <c r="Y201" i="8"/>
  <c r="Y207" i="8" s="1"/>
  <c r="Y225" i="8" s="1"/>
  <c r="Y139" i="8"/>
  <c r="T159" i="8"/>
  <c r="T160" i="8" s="1"/>
  <c r="T161" i="8" s="1"/>
  <c r="Z137" i="8"/>
  <c r="Z136" i="8"/>
  <c r="Z133" i="8"/>
  <c r="Z134" i="8" s="1"/>
  <c r="AG90" i="8"/>
  <c r="AG91" i="8" s="1"/>
  <c r="AG93" i="8" s="1"/>
  <c r="AD108" i="8"/>
  <c r="AD109" i="8" s="1"/>
  <c r="AD110" i="8" s="1"/>
  <c r="S171" i="8"/>
  <c r="S170" i="8"/>
  <c r="U156" i="8"/>
  <c r="AD105" i="4"/>
  <c r="AD107" i="4" s="1"/>
  <c r="AF94" i="4"/>
  <c r="AE98" i="4" s="1"/>
  <c r="AF221" i="4"/>
  <c r="AG86" i="4"/>
  <c r="AG87" i="4" s="1"/>
  <c r="AC108" i="4"/>
  <c r="AC109" i="4" s="1"/>
  <c r="AC110" i="4" s="1"/>
  <c r="AA131" i="8" l="1"/>
  <c r="Z138" i="8"/>
  <c r="Z201" i="8" s="1"/>
  <c r="Z207" i="8" s="1"/>
  <c r="Z225" i="8" s="1"/>
  <c r="AD111" i="8"/>
  <c r="AC115" i="8" s="1"/>
  <c r="Q230" i="8"/>
  <c r="Q240" i="8" s="1"/>
  <c r="Q248" i="8" s="1"/>
  <c r="Q239" i="8"/>
  <c r="Q247" i="8" s="1"/>
  <c r="T162" i="8"/>
  <c r="S166" i="8" s="1"/>
  <c r="AF103" i="8"/>
  <c r="AF102" i="8"/>
  <c r="AG221" i="8"/>
  <c r="AH86" i="8"/>
  <c r="Y141" i="8"/>
  <c r="V155" i="8"/>
  <c r="V202" i="8" s="1"/>
  <c r="V208" i="8" s="1"/>
  <c r="V226" i="8" s="1"/>
  <c r="R178" i="8"/>
  <c r="R180" i="8" s="1"/>
  <c r="R213" i="8" s="1"/>
  <c r="W154" i="8"/>
  <c r="W150" i="8"/>
  <c r="W151" i="8" s="1"/>
  <c r="X148" i="8" s="1"/>
  <c r="W153" i="8"/>
  <c r="W152" i="8"/>
  <c r="W188" i="8"/>
  <c r="W194" i="8" s="1"/>
  <c r="W218" i="8" s="1"/>
  <c r="AE199" i="8"/>
  <c r="AE209" i="8" s="1"/>
  <c r="AE227" i="8" s="1"/>
  <c r="AE105" i="8"/>
  <c r="AB200" i="8"/>
  <c r="AB210" i="8" s="1"/>
  <c r="AB228" i="8" s="1"/>
  <c r="AB122" i="8"/>
  <c r="AG94" i="8"/>
  <c r="AF98" i="8" s="1"/>
  <c r="U158" i="8"/>
  <c r="AC120" i="8"/>
  <c r="AC119" i="8"/>
  <c r="AC116" i="8"/>
  <c r="AC117" i="8" s="1"/>
  <c r="AD108" i="4"/>
  <c r="AD109" i="4" s="1"/>
  <c r="AD110" i="4" s="1"/>
  <c r="AE101" i="4"/>
  <c r="AE185" i="4"/>
  <c r="AE195" i="4" s="1"/>
  <c r="AE219" i="4" s="1"/>
  <c r="AE99" i="4"/>
  <c r="AE100" i="4" s="1"/>
  <c r="V156" i="8" l="1"/>
  <c r="AD114" i="8"/>
  <c r="AC121" i="8"/>
  <c r="AC200" i="8" s="1"/>
  <c r="AC210" i="8" s="1"/>
  <c r="AC228" i="8" s="1"/>
  <c r="AF101" i="8"/>
  <c r="AF185" i="8"/>
  <c r="AF195" i="8" s="1"/>
  <c r="AF219" i="8" s="1"/>
  <c r="R230" i="8"/>
  <c r="R240" i="8" s="1"/>
  <c r="R248" i="8" s="1"/>
  <c r="R239" i="8"/>
  <c r="R247" i="8" s="1"/>
  <c r="X154" i="8"/>
  <c r="X153" i="8"/>
  <c r="AB124" i="8"/>
  <c r="S169" i="8"/>
  <c r="S189" i="8"/>
  <c r="S192" i="8" s="1"/>
  <c r="S216" i="8" s="1"/>
  <c r="S167" i="8"/>
  <c r="S168" i="8" s="1"/>
  <c r="AE107" i="8"/>
  <c r="Y142" i="8"/>
  <c r="Y143" i="8" s="1"/>
  <c r="Y144" i="8" s="1"/>
  <c r="AC118" i="8"/>
  <c r="AC122" i="8" s="1"/>
  <c r="AC124" i="8" s="1"/>
  <c r="AC186" i="8"/>
  <c r="AC196" i="8" s="1"/>
  <c r="AC220" i="8" s="1"/>
  <c r="AH87" i="8"/>
  <c r="V158" i="8"/>
  <c r="U159" i="8"/>
  <c r="U160" i="8" s="1"/>
  <c r="U161" i="8" s="1"/>
  <c r="W155" i="8"/>
  <c r="W202" i="8" s="1"/>
  <c r="W208" i="8" s="1"/>
  <c r="W226" i="8" s="1"/>
  <c r="AF99" i="8"/>
  <c r="AF100" i="8" s="1"/>
  <c r="AA137" i="8"/>
  <c r="AA136" i="8"/>
  <c r="Z139" i="8"/>
  <c r="AF97" i="4"/>
  <c r="AE104" i="4"/>
  <c r="AE199" i="4" s="1"/>
  <c r="AE209" i="4" s="1"/>
  <c r="AE227" i="4" s="1"/>
  <c r="AG90" i="4"/>
  <c r="AG91" i="4" s="1"/>
  <c r="AG93" i="4" s="1"/>
  <c r="AG88" i="4"/>
  <c r="AG89" i="4" s="1"/>
  <c r="AG97" i="8" l="1"/>
  <c r="AF104" i="8"/>
  <c r="T165" i="8"/>
  <c r="S172" i="8"/>
  <c r="S203" i="8" s="1"/>
  <c r="S206" i="8" s="1"/>
  <c r="S224" i="8" s="1"/>
  <c r="U162" i="8"/>
  <c r="T166" i="8" s="1"/>
  <c r="AB125" i="8"/>
  <c r="AB126" i="8" s="1"/>
  <c r="W156" i="8"/>
  <c r="Y145" i="8"/>
  <c r="X149" i="8" s="1"/>
  <c r="AH90" i="8"/>
  <c r="AH91" i="8" s="1"/>
  <c r="AH93" i="8" s="1"/>
  <c r="AC125" i="8"/>
  <c r="AC126" i="8" s="1"/>
  <c r="AE108" i="8"/>
  <c r="AE109" i="8" s="1"/>
  <c r="AE110" i="8" s="1"/>
  <c r="Z141" i="8"/>
  <c r="V159" i="8"/>
  <c r="V160" i="8" s="1"/>
  <c r="V161" i="8" s="1"/>
  <c r="AH88" i="8"/>
  <c r="AH89" i="8" s="1"/>
  <c r="AD120" i="8"/>
  <c r="AD119" i="8"/>
  <c r="AE105" i="4"/>
  <c r="AE107" i="4" s="1"/>
  <c r="AG221" i="4"/>
  <c r="AH86" i="4"/>
  <c r="AH87" i="4" s="1"/>
  <c r="AG94" i="4"/>
  <c r="AF98" i="4" s="1"/>
  <c r="AF103" i="4"/>
  <c r="AF102" i="4"/>
  <c r="AC127" i="8" l="1"/>
  <c r="AB127" i="8"/>
  <c r="AE111" i="8"/>
  <c r="AD115" i="8" s="1"/>
  <c r="AH94" i="8"/>
  <c r="AG98" i="8" s="1"/>
  <c r="AH221" i="8"/>
  <c r="AI86" i="8"/>
  <c r="V162" i="8"/>
  <c r="U166" i="8" s="1"/>
  <c r="X152" i="8"/>
  <c r="X188" i="8"/>
  <c r="X194" i="8" s="1"/>
  <c r="X218" i="8" s="1"/>
  <c r="X150" i="8"/>
  <c r="X151" i="8" s="1"/>
  <c r="AB128" i="8"/>
  <c r="AA132" i="8" s="1"/>
  <c r="Z142" i="8"/>
  <c r="Z143" i="8" s="1"/>
  <c r="Z144" i="8" s="1"/>
  <c r="T169" i="8"/>
  <c r="T189" i="8"/>
  <c r="T192" i="8" s="1"/>
  <c r="T216" i="8" s="1"/>
  <c r="T171" i="8"/>
  <c r="T170" i="8"/>
  <c r="T167" i="8"/>
  <c r="T168" i="8" s="1"/>
  <c r="AF199" i="8"/>
  <c r="AF209" i="8" s="1"/>
  <c r="AF227" i="8" s="1"/>
  <c r="AF105" i="8"/>
  <c r="W158" i="8"/>
  <c r="AG103" i="8"/>
  <c r="AG99" i="8"/>
  <c r="AG102" i="8"/>
  <c r="AG100" i="8"/>
  <c r="AH97" i="8" s="1"/>
  <c r="S173" i="8"/>
  <c r="AF101" i="4"/>
  <c r="AF185" i="4"/>
  <c r="AF195" i="4" s="1"/>
  <c r="AF219" i="4" s="1"/>
  <c r="AE108" i="4"/>
  <c r="AE109" i="4" s="1"/>
  <c r="AE110" i="4" s="1"/>
  <c r="AH88" i="4"/>
  <c r="AF99" i="4"/>
  <c r="AF100" i="4" s="1"/>
  <c r="Z145" i="8" l="1"/>
  <c r="Y148" i="8"/>
  <c r="X155" i="8"/>
  <c r="U165" i="8"/>
  <c r="T172" i="8"/>
  <c r="T203" i="8" s="1"/>
  <c r="T206" i="8" s="1"/>
  <c r="T224" i="8" s="1"/>
  <c r="AH103" i="8"/>
  <c r="AH102" i="8"/>
  <c r="U169" i="8"/>
  <c r="U189" i="8"/>
  <c r="U192" i="8" s="1"/>
  <c r="U216" i="8" s="1"/>
  <c r="AI87" i="8"/>
  <c r="AG104" i="8"/>
  <c r="AG199" i="8" s="1"/>
  <c r="AG209" i="8" s="1"/>
  <c r="AG227" i="8" s="1"/>
  <c r="W159" i="8"/>
  <c r="W160" i="8" s="1"/>
  <c r="W161" i="8" s="1"/>
  <c r="AF107" i="8"/>
  <c r="AG101" i="8"/>
  <c r="AG185" i="8"/>
  <c r="AG195" i="8" s="1"/>
  <c r="AG219" i="8" s="1"/>
  <c r="AA135" i="8"/>
  <c r="AA187" i="8"/>
  <c r="AA193" i="8" s="1"/>
  <c r="AA217" i="8" s="1"/>
  <c r="AA133" i="8"/>
  <c r="AA134" i="8" s="1"/>
  <c r="AC128" i="8"/>
  <c r="S175" i="8"/>
  <c r="AD118" i="8"/>
  <c r="AD186" i="8"/>
  <c r="AD196" i="8" s="1"/>
  <c r="AD220" i="8" s="1"/>
  <c r="AD116" i="8"/>
  <c r="AD117" i="8" s="1"/>
  <c r="AG97" i="4"/>
  <c r="AF104" i="4"/>
  <c r="AF199" i="4" s="1"/>
  <c r="AF209" i="4" s="1"/>
  <c r="AF227" i="4" s="1"/>
  <c r="AH90" i="4"/>
  <c r="AH91" i="4" s="1"/>
  <c r="AH93" i="4" s="1"/>
  <c r="AH89" i="4"/>
  <c r="AG105" i="8" l="1"/>
  <c r="Y149" i="8"/>
  <c r="Y188" i="8" s="1"/>
  <c r="Y194" i="8" s="1"/>
  <c r="Y218" i="8" s="1"/>
  <c r="AE114" i="8"/>
  <c r="AD121" i="8"/>
  <c r="W162" i="8"/>
  <c r="V166" i="8" s="1"/>
  <c r="AG107" i="8"/>
  <c r="AF108" i="8"/>
  <c r="AF109" i="8" s="1"/>
  <c r="AF110" i="8" s="1"/>
  <c r="S176" i="8"/>
  <c r="S177" i="8" s="1"/>
  <c r="S178" i="8" s="1"/>
  <c r="S180" i="8" s="1"/>
  <c r="S213" i="8" s="1"/>
  <c r="AB132" i="8"/>
  <c r="AI90" i="8"/>
  <c r="AI91" i="8" s="1"/>
  <c r="AI93" i="8" s="1"/>
  <c r="U171" i="8"/>
  <c r="U167" i="8"/>
  <c r="U168" i="8" s="1"/>
  <c r="U170" i="8"/>
  <c r="Y152" i="8"/>
  <c r="AI88" i="8"/>
  <c r="AI89" i="8" s="1"/>
  <c r="AB131" i="8"/>
  <c r="AA138" i="8"/>
  <c r="X202" i="8"/>
  <c r="X208" i="8" s="1"/>
  <c r="X226" i="8" s="1"/>
  <c r="X156" i="8"/>
  <c r="Y154" i="8"/>
  <c r="Y150" i="8"/>
  <c r="Y151" i="8" s="1"/>
  <c r="Y153" i="8"/>
  <c r="T173" i="8"/>
  <c r="AH94" i="4"/>
  <c r="AG98" i="4" s="1"/>
  <c r="AG99" i="4" s="1"/>
  <c r="AG100" i="4" s="1"/>
  <c r="AH221" i="4"/>
  <c r="AI86" i="4"/>
  <c r="AI87" i="4" s="1"/>
  <c r="AG103" i="4"/>
  <c r="AG102" i="4"/>
  <c r="AF105" i="4"/>
  <c r="Z148" i="8" l="1"/>
  <c r="Y155" i="8"/>
  <c r="Y202" i="8" s="1"/>
  <c r="Y208" i="8" s="1"/>
  <c r="Y226" i="8" s="1"/>
  <c r="S239" i="8"/>
  <c r="S247" i="8" s="1"/>
  <c r="S230" i="8"/>
  <c r="S240" i="8" s="1"/>
  <c r="S248" i="8" s="1"/>
  <c r="V165" i="8"/>
  <c r="U172" i="8"/>
  <c r="U203" i="8" s="1"/>
  <c r="U206" i="8" s="1"/>
  <c r="U224" i="8" s="1"/>
  <c r="AF111" i="8"/>
  <c r="AE115" i="8" s="1"/>
  <c r="AI221" i="8"/>
  <c r="AJ86" i="8"/>
  <c r="AB136" i="8"/>
  <c r="AB133" i="8"/>
  <c r="AB134" i="8" s="1"/>
  <c r="AB137" i="8"/>
  <c r="X158" i="8"/>
  <c r="AI94" i="8"/>
  <c r="AH98" i="8" s="1"/>
  <c r="AD200" i="8"/>
  <c r="AD210" i="8" s="1"/>
  <c r="AD228" i="8" s="1"/>
  <c r="AD122" i="8"/>
  <c r="AB135" i="8"/>
  <c r="AB187" i="8"/>
  <c r="AB193" i="8" s="1"/>
  <c r="AB217" i="8" s="1"/>
  <c r="T175" i="8"/>
  <c r="AG108" i="8"/>
  <c r="AG109" i="8" s="1"/>
  <c r="AG110" i="8" s="1"/>
  <c r="V169" i="8"/>
  <c r="V189" i="8"/>
  <c r="V192" i="8" s="1"/>
  <c r="V216" i="8" s="1"/>
  <c r="AA201" i="8"/>
  <c r="AA207" i="8" s="1"/>
  <c r="AA225" i="8" s="1"/>
  <c r="AA139" i="8"/>
  <c r="AE119" i="8"/>
  <c r="AE120" i="8"/>
  <c r="AH97" i="4"/>
  <c r="AG104" i="4"/>
  <c r="AG199" i="4" s="1"/>
  <c r="AG209" i="4" s="1"/>
  <c r="AG227" i="4" s="1"/>
  <c r="AF107" i="4"/>
  <c r="AG101" i="4"/>
  <c r="AG185" i="4"/>
  <c r="AG195" i="4" s="1"/>
  <c r="AG219" i="4" s="1"/>
  <c r="AC131" i="8" l="1"/>
  <c r="AB138" i="8"/>
  <c r="AB201" i="8" s="1"/>
  <c r="AB207" i="8" s="1"/>
  <c r="AB225" i="8" s="1"/>
  <c r="AG111" i="8"/>
  <c r="AF115" i="8" s="1"/>
  <c r="AJ87" i="8"/>
  <c r="AE118" i="8"/>
  <c r="AE186" i="8"/>
  <c r="AE196" i="8" s="1"/>
  <c r="AE220" i="8" s="1"/>
  <c r="X159" i="8"/>
  <c r="X160" i="8" s="1"/>
  <c r="X161" i="8" s="1"/>
  <c r="T176" i="8"/>
  <c r="T177" i="8" s="1"/>
  <c r="T178" i="8" s="1"/>
  <c r="T180" i="8" s="1"/>
  <c r="T213" i="8" s="1"/>
  <c r="AE116" i="8"/>
  <c r="AE117" i="8" s="1"/>
  <c r="AH101" i="8"/>
  <c r="AH185" i="8"/>
  <c r="AH195" i="8" s="1"/>
  <c r="AH219" i="8" s="1"/>
  <c r="AH99" i="8"/>
  <c r="AH100" i="8" s="1"/>
  <c r="V167" i="8"/>
  <c r="V170" i="8"/>
  <c r="V171" i="8"/>
  <c r="V168" i="8"/>
  <c r="W165" i="8" s="1"/>
  <c r="U173" i="8"/>
  <c r="AA141" i="8"/>
  <c r="AD124" i="8"/>
  <c r="Y156" i="8"/>
  <c r="Z153" i="8"/>
  <c r="Z154" i="8"/>
  <c r="AG105" i="4"/>
  <c r="AG107" i="4" s="1"/>
  <c r="AG108" i="4" s="1"/>
  <c r="AG109" i="4" s="1"/>
  <c r="AI88" i="4"/>
  <c r="AI89" i="4" s="1"/>
  <c r="AH103" i="4"/>
  <c r="AH102" i="4"/>
  <c r="AF108" i="4"/>
  <c r="AF109" i="4" s="1"/>
  <c r="AF110" i="4" s="1"/>
  <c r="AI90" i="4"/>
  <c r="AI91" i="4" s="1"/>
  <c r="AI93" i="4" s="1"/>
  <c r="AB139" i="8" l="1"/>
  <c r="AB141" i="8" s="1"/>
  <c r="V172" i="8"/>
  <c r="V203" i="8" s="1"/>
  <c r="V206" i="8" s="1"/>
  <c r="V224" i="8" s="1"/>
  <c r="T239" i="8"/>
  <c r="T247" i="8" s="1"/>
  <c r="T230" i="8"/>
  <c r="T240" i="8" s="1"/>
  <c r="T248" i="8" s="1"/>
  <c r="AF114" i="8"/>
  <c r="AE121" i="8"/>
  <c r="AE200" i="8" s="1"/>
  <c r="AE210" i="8" s="1"/>
  <c r="AE228" i="8" s="1"/>
  <c r="AI97" i="8"/>
  <c r="AH104" i="8"/>
  <c r="AH199" i="8" s="1"/>
  <c r="AH209" i="8" s="1"/>
  <c r="AH227" i="8" s="1"/>
  <c r="AJ90" i="8"/>
  <c r="AJ91" i="8" s="1"/>
  <c r="AJ93" i="8" s="1"/>
  <c r="AB142" i="8"/>
  <c r="AB143" i="8" s="1"/>
  <c r="AA142" i="8"/>
  <c r="AA143" i="8" s="1"/>
  <c r="AA144" i="8" s="1"/>
  <c r="Y158" i="8"/>
  <c r="AD125" i="8"/>
  <c r="AD126" i="8" s="1"/>
  <c r="AD127" i="8" s="1"/>
  <c r="AJ88" i="8"/>
  <c r="AJ89" i="8" s="1"/>
  <c r="X162" i="8"/>
  <c r="W166" i="8" s="1"/>
  <c r="U175" i="8"/>
  <c r="W171" i="8"/>
  <c r="W170" i="8"/>
  <c r="AF118" i="8"/>
  <c r="AF186" i="8"/>
  <c r="AF196" i="8" s="1"/>
  <c r="AF220" i="8" s="1"/>
  <c r="AC136" i="8"/>
  <c r="AC137" i="8"/>
  <c r="AI221" i="4"/>
  <c r="AJ86" i="4"/>
  <c r="AG110" i="4"/>
  <c r="AI94" i="4"/>
  <c r="AH98" i="4" s="1"/>
  <c r="AE122" i="8" l="1"/>
  <c r="V173" i="8"/>
  <c r="V175" i="8" s="1"/>
  <c r="AB144" i="8"/>
  <c r="AA145" i="8"/>
  <c r="Z149" i="8" s="1"/>
  <c r="AJ221" i="8"/>
  <c r="AK86" i="8"/>
  <c r="AD128" i="8"/>
  <c r="AC132" i="8" s="1"/>
  <c r="V176" i="8"/>
  <c r="V177" i="8" s="1"/>
  <c r="Y159" i="8"/>
  <c r="Y160" i="8" s="1"/>
  <c r="Y161" i="8" s="1"/>
  <c r="AH105" i="8"/>
  <c r="W169" i="8"/>
  <c r="W189" i="8"/>
  <c r="W192" i="8" s="1"/>
  <c r="W216" i="8" s="1"/>
  <c r="AJ94" i="8"/>
  <c r="AI98" i="8" s="1"/>
  <c r="AI99" i="8" s="1"/>
  <c r="AI103" i="8"/>
  <c r="AI102" i="8"/>
  <c r="AE124" i="8"/>
  <c r="AF120" i="8"/>
  <c r="AF119" i="8"/>
  <c r="AF116" i="8"/>
  <c r="AF117" i="8" s="1"/>
  <c r="AG114" i="8" s="1"/>
  <c r="W167" i="8"/>
  <c r="W168" i="8" s="1"/>
  <c r="U176" i="8"/>
  <c r="U177" i="8" s="1"/>
  <c r="U178" i="8" s="1"/>
  <c r="U180" i="8" s="1"/>
  <c r="U213" i="8" s="1"/>
  <c r="AJ87" i="4"/>
  <c r="AJ88" i="4" s="1"/>
  <c r="AJ89" i="4" s="1"/>
  <c r="AH101" i="4"/>
  <c r="AH185" i="4"/>
  <c r="AH195" i="4" s="1"/>
  <c r="AH219" i="4" s="1"/>
  <c r="AH99" i="4"/>
  <c r="AH100" i="4" s="1"/>
  <c r="AB145" i="8" l="1"/>
  <c r="V178" i="8"/>
  <c r="V180" i="8" s="1"/>
  <c r="V213" i="8" s="1"/>
  <c r="AI100" i="8"/>
  <c r="AJ97" i="8" s="1"/>
  <c r="AI104" i="8"/>
  <c r="AI199" i="8" s="1"/>
  <c r="AI209" i="8" s="1"/>
  <c r="AI227" i="8" s="1"/>
  <c r="X165" i="8"/>
  <c r="W172" i="8"/>
  <c r="Y162" i="8"/>
  <c r="X166" i="8" s="1"/>
  <c r="AG120" i="8"/>
  <c r="AG119" i="8"/>
  <c r="V230" i="8"/>
  <c r="V240" i="8" s="1"/>
  <c r="V248" i="8" s="1"/>
  <c r="V239" i="8"/>
  <c r="V247" i="8" s="1"/>
  <c r="U239" i="8"/>
  <c r="U247" i="8" s="1"/>
  <c r="U230" i="8"/>
  <c r="U240" i="8" s="1"/>
  <c r="U248" i="8" s="1"/>
  <c r="AC135" i="8"/>
  <c r="AC187" i="8"/>
  <c r="AC193" i="8" s="1"/>
  <c r="AC217" i="8" s="1"/>
  <c r="AC133" i="8"/>
  <c r="AC134" i="8" s="1"/>
  <c r="AK87" i="8"/>
  <c r="AH107" i="8"/>
  <c r="AJ90" i="4"/>
  <c r="AJ91" i="4" s="1"/>
  <c r="AJ93" i="4" s="1"/>
  <c r="AJ94" i="4" s="1"/>
  <c r="AI98" i="4" s="1"/>
  <c r="AF121" i="8"/>
  <c r="AF200" i="8" s="1"/>
  <c r="AF210" i="8" s="1"/>
  <c r="AF228" i="8" s="1"/>
  <c r="AI101" i="8"/>
  <c r="AI105" i="8" s="1"/>
  <c r="AI185" i="8"/>
  <c r="AI195" i="8" s="1"/>
  <c r="AI219" i="8" s="1"/>
  <c r="AE125" i="8"/>
  <c r="AE126" i="8" s="1"/>
  <c r="AE127" i="8" s="1"/>
  <c r="Z152" i="8"/>
  <c r="Z188" i="8"/>
  <c r="Z194" i="8" s="1"/>
  <c r="Z218" i="8" s="1"/>
  <c r="Z150" i="8"/>
  <c r="Z151" i="8"/>
  <c r="AI97" i="4"/>
  <c r="AH104" i="4"/>
  <c r="AH199" i="4" s="1"/>
  <c r="AH209" i="4" s="1"/>
  <c r="AH227" i="4" s="1"/>
  <c r="AJ221" i="4"/>
  <c r="AK86" i="4"/>
  <c r="AK87" i="4" s="1"/>
  <c r="AF122" i="8" l="1"/>
  <c r="AD131" i="8"/>
  <c r="AC138" i="8"/>
  <c r="AC201" i="8" s="1"/>
  <c r="AC207" i="8" s="1"/>
  <c r="AC225" i="8" s="1"/>
  <c r="AI107" i="8"/>
  <c r="AC139" i="8"/>
  <c r="AE128" i="8"/>
  <c r="AD132" i="8" s="1"/>
  <c r="AF124" i="8"/>
  <c r="X171" i="8"/>
  <c r="X167" i="8"/>
  <c r="X170" i="8"/>
  <c r="X168" i="8"/>
  <c r="Y165" i="8" s="1"/>
  <c r="W203" i="8"/>
  <c r="W206" i="8" s="1"/>
  <c r="W224" i="8" s="1"/>
  <c r="W173" i="8"/>
  <c r="AK90" i="8"/>
  <c r="AK91" i="8"/>
  <c r="AK93" i="8" s="1"/>
  <c r="AK88" i="8"/>
  <c r="AK89" i="8" s="1"/>
  <c r="X169" i="8"/>
  <c r="X189" i="8"/>
  <c r="X192" i="8" s="1"/>
  <c r="X216" i="8" s="1"/>
  <c r="AA148" i="8"/>
  <c r="AA149" i="8" s="1"/>
  <c r="Z155" i="8"/>
  <c r="Z202" i="8" s="1"/>
  <c r="Z208" i="8" s="1"/>
  <c r="Z226" i="8" s="1"/>
  <c r="AH108" i="8"/>
  <c r="AH109" i="8" s="1"/>
  <c r="AH110" i="8" s="1"/>
  <c r="AJ103" i="8"/>
  <c r="AJ102" i="8"/>
  <c r="AI101" i="4"/>
  <c r="AI185" i="4"/>
  <c r="AI195" i="4" s="1"/>
  <c r="AI219" i="4" s="1"/>
  <c r="AI99" i="4"/>
  <c r="AI100" i="4" s="1"/>
  <c r="AJ97" i="4" s="1"/>
  <c r="AI102" i="4"/>
  <c r="AI103" i="4"/>
  <c r="AH105" i="4"/>
  <c r="AA152" i="8" l="1"/>
  <c r="AA188" i="8"/>
  <c r="AA194" i="8" s="1"/>
  <c r="AA218" i="8" s="1"/>
  <c r="Z156" i="8"/>
  <c r="X172" i="8"/>
  <c r="X203" i="8" s="1"/>
  <c r="X206" i="8" s="1"/>
  <c r="X224" i="8" s="1"/>
  <c r="AK221" i="8"/>
  <c r="AL86" i="8"/>
  <c r="AC141" i="8"/>
  <c r="W175" i="8"/>
  <c r="Z158" i="8"/>
  <c r="AD135" i="8"/>
  <c r="AD187" i="8"/>
  <c r="AD193" i="8" s="1"/>
  <c r="AD217" i="8" s="1"/>
  <c r="Y170" i="8"/>
  <c r="Y171" i="8"/>
  <c r="AA154" i="8"/>
  <c r="AA153" i="8"/>
  <c r="AA150" i="8"/>
  <c r="AA151" i="8" s="1"/>
  <c r="AF125" i="8"/>
  <c r="AF126" i="8" s="1"/>
  <c r="AF127" i="8" s="1"/>
  <c r="AK94" i="8"/>
  <c r="AJ98" i="8" s="1"/>
  <c r="AH111" i="8"/>
  <c r="AG115" i="8" s="1"/>
  <c r="AI108" i="8"/>
  <c r="AI109" i="8" s="1"/>
  <c r="AI110" i="8" s="1"/>
  <c r="AD133" i="8"/>
  <c r="AD134" i="8" s="1"/>
  <c r="AE131" i="8" s="1"/>
  <c r="AD136" i="8"/>
  <c r="AD137" i="8"/>
  <c r="AK90" i="4"/>
  <c r="AK91" i="4" s="1"/>
  <c r="AK93" i="4" s="1"/>
  <c r="AH107" i="4"/>
  <c r="AK88" i="4"/>
  <c r="AK89" i="4" s="1"/>
  <c r="AJ103" i="4"/>
  <c r="AJ102" i="4"/>
  <c r="AI104" i="4"/>
  <c r="X173" i="8" l="1"/>
  <c r="X175" i="8" s="1"/>
  <c r="AI111" i="8"/>
  <c r="AH115" i="8" s="1"/>
  <c r="AB148" i="8"/>
  <c r="AA155" i="8"/>
  <c r="AA202" i="8" s="1"/>
  <c r="AA208" i="8" s="1"/>
  <c r="AA226" i="8" s="1"/>
  <c r="Z159" i="8"/>
  <c r="Z160" i="8" s="1"/>
  <c r="Z161" i="8" s="1"/>
  <c r="AE136" i="8"/>
  <c r="AE137" i="8"/>
  <c r="AD138" i="8"/>
  <c r="AD201" i="8" s="1"/>
  <c r="AD207" i="8" s="1"/>
  <c r="AD225" i="8" s="1"/>
  <c r="AF128" i="8"/>
  <c r="AE132" i="8" s="1"/>
  <c r="AE133" i="8" s="1"/>
  <c r="AJ101" i="8"/>
  <c r="AJ185" i="8"/>
  <c r="AJ195" i="8" s="1"/>
  <c r="AJ219" i="8" s="1"/>
  <c r="AJ99" i="8"/>
  <c r="AJ100" i="8" s="1"/>
  <c r="AC142" i="8"/>
  <c r="AC143" i="8" s="1"/>
  <c r="AC144" i="8" s="1"/>
  <c r="AL87" i="8"/>
  <c r="W176" i="8"/>
  <c r="W177" i="8" s="1"/>
  <c r="W178" i="8" s="1"/>
  <c r="W180" i="8" s="1"/>
  <c r="W213" i="8" s="1"/>
  <c r="X176" i="8"/>
  <c r="X177" i="8" s="1"/>
  <c r="AG118" i="8"/>
  <c r="AG186" i="8"/>
  <c r="AG196" i="8" s="1"/>
  <c r="AG220" i="8" s="1"/>
  <c r="AG116" i="8"/>
  <c r="AG117" i="8" s="1"/>
  <c r="AK94" i="4"/>
  <c r="AJ98" i="4" s="1"/>
  <c r="AK221" i="4"/>
  <c r="AL86" i="4"/>
  <c r="AL87" i="4" s="1"/>
  <c r="AH108" i="4"/>
  <c r="AH109" i="4" s="1"/>
  <c r="AH110" i="4" s="1"/>
  <c r="AI199" i="4"/>
  <c r="AI209" i="4" s="1"/>
  <c r="AI227" i="4" s="1"/>
  <c r="AI105" i="4"/>
  <c r="X178" i="8" l="1"/>
  <c r="X180" i="8" s="1"/>
  <c r="X213" i="8" s="1"/>
  <c r="X239" i="8" s="1"/>
  <c r="X247" i="8" s="1"/>
  <c r="AE134" i="8"/>
  <c r="AF131" i="8" s="1"/>
  <c r="AC145" i="8"/>
  <c r="AB149" i="8" s="1"/>
  <c r="AB150" i="8" s="1"/>
  <c r="X230" i="8"/>
  <c r="X240" i="8" s="1"/>
  <c r="X248" i="8" s="1"/>
  <c r="Z162" i="8"/>
  <c r="Y166" i="8" s="1"/>
  <c r="AK97" i="8"/>
  <c r="AJ104" i="8"/>
  <c r="AH114" i="8"/>
  <c r="AG121" i="8"/>
  <c r="AG200" i="8" s="1"/>
  <c r="AG210" i="8" s="1"/>
  <c r="AG228" i="8" s="1"/>
  <c r="AF137" i="8"/>
  <c r="AF136" i="8"/>
  <c r="W230" i="8"/>
  <c r="W240" i="8" s="1"/>
  <c r="W248" i="8" s="1"/>
  <c r="W239" i="8"/>
  <c r="W247" i="8" s="1"/>
  <c r="AE135" i="8"/>
  <c r="AE187" i="8"/>
  <c r="AE193" i="8" s="1"/>
  <c r="AE217" i="8" s="1"/>
  <c r="AB154" i="8"/>
  <c r="AB153" i="8"/>
  <c r="AD139" i="8"/>
  <c r="AL90" i="8"/>
  <c r="AL91" i="8" s="1"/>
  <c r="AL93" i="8" s="1"/>
  <c r="AH118" i="8"/>
  <c r="AH186" i="8"/>
  <c r="AH196" i="8" s="1"/>
  <c r="AH220" i="8" s="1"/>
  <c r="AL88" i="8"/>
  <c r="AL89" i="8" s="1"/>
  <c r="AA156" i="8"/>
  <c r="AL88" i="4"/>
  <c r="AJ101" i="4"/>
  <c r="AJ185" i="4"/>
  <c r="AJ195" i="4" s="1"/>
  <c r="AJ219" i="4" s="1"/>
  <c r="AJ99" i="4"/>
  <c r="AJ100" i="4" s="1"/>
  <c r="AI107" i="4"/>
  <c r="AE138" i="8" l="1"/>
  <c r="AE201" i="8" s="1"/>
  <c r="AE207" i="8" s="1"/>
  <c r="AE225" i="8" s="1"/>
  <c r="AL94" i="8"/>
  <c r="AK98" i="8" s="1"/>
  <c r="AL221" i="8"/>
  <c r="AM86" i="8"/>
  <c r="Y169" i="8"/>
  <c r="Y189" i="8"/>
  <c r="Y192" i="8" s="1"/>
  <c r="Y216" i="8" s="1"/>
  <c r="Y167" i="8"/>
  <c r="Y168" i="8" s="1"/>
  <c r="AK103" i="8"/>
  <c r="AK99" i="8"/>
  <c r="AK100" i="8" s="1"/>
  <c r="AL97" i="8" s="1"/>
  <c r="AK102" i="8"/>
  <c r="AA158" i="8"/>
  <c r="AH120" i="8"/>
  <c r="AH119" i="8"/>
  <c r="AH116" i="8"/>
  <c r="AH117" i="8" s="1"/>
  <c r="AI114" i="8" s="1"/>
  <c r="AJ199" i="8"/>
  <c r="AJ209" i="8" s="1"/>
  <c r="AJ227" i="8" s="1"/>
  <c r="AJ105" i="8"/>
  <c r="AB152" i="8"/>
  <c r="AB188" i="8"/>
  <c r="AB194" i="8" s="1"/>
  <c r="AB218" i="8" s="1"/>
  <c r="AD141" i="8"/>
  <c r="AB151" i="8"/>
  <c r="AG122" i="8"/>
  <c r="AL89" i="4"/>
  <c r="AM86" i="4" s="1"/>
  <c r="AM87" i="4" s="1"/>
  <c r="AK97" i="4"/>
  <c r="AJ104" i="4"/>
  <c r="AJ199" i="4" s="1"/>
  <c r="AJ209" i="4" s="1"/>
  <c r="AJ227" i="4" s="1"/>
  <c r="AL90" i="4"/>
  <c r="AL91" i="4" s="1"/>
  <c r="AL93" i="4" s="1"/>
  <c r="AI108" i="4"/>
  <c r="AI109" i="4" s="1"/>
  <c r="AI110" i="4" s="1"/>
  <c r="AE139" i="8" l="1"/>
  <c r="AE141" i="8" s="1"/>
  <c r="AH121" i="8"/>
  <c r="AH200" i="8" s="1"/>
  <c r="AH210" i="8" s="1"/>
  <c r="AH228" i="8" s="1"/>
  <c r="Z165" i="8"/>
  <c r="Y172" i="8"/>
  <c r="Y203" i="8" s="1"/>
  <c r="Y206" i="8" s="1"/>
  <c r="Y224" i="8" s="1"/>
  <c r="AL102" i="8"/>
  <c r="AL103" i="8"/>
  <c r="AJ107" i="8"/>
  <c r="AD142" i="8"/>
  <c r="AD143" i="8" s="1"/>
  <c r="AD144" i="8" s="1"/>
  <c r="AM87" i="8"/>
  <c r="AE142" i="8"/>
  <c r="AE143" i="8" s="1"/>
  <c r="AA159" i="8"/>
  <c r="AA160" i="8" s="1"/>
  <c r="AA161" i="8" s="1"/>
  <c r="AI119" i="8"/>
  <c r="AI120" i="8"/>
  <c r="AH122" i="8"/>
  <c r="AH124" i="8" s="1"/>
  <c r="AK104" i="8"/>
  <c r="AK199" i="8" s="1"/>
  <c r="AK209" i="8" s="1"/>
  <c r="AK227" i="8" s="1"/>
  <c r="AK101" i="8"/>
  <c r="AK185" i="8"/>
  <c r="AK195" i="8" s="1"/>
  <c r="AK219" i="8" s="1"/>
  <c r="AG124" i="8"/>
  <c r="AC148" i="8"/>
  <c r="AB155" i="8"/>
  <c r="AB202" i="8" s="1"/>
  <c r="AB208" i="8" s="1"/>
  <c r="AB226" i="8" s="1"/>
  <c r="AL221" i="4"/>
  <c r="AJ105" i="4"/>
  <c r="AJ107" i="4" s="1"/>
  <c r="AL94" i="4"/>
  <c r="AK98" i="4" s="1"/>
  <c r="AK102" i="4"/>
  <c r="AK103" i="4"/>
  <c r="AK105" i="8" l="1"/>
  <c r="Y173" i="8"/>
  <c r="AA162" i="8"/>
  <c r="Z166" i="8" s="1"/>
  <c r="AK107" i="8"/>
  <c r="AD145" i="8"/>
  <c r="AC149" i="8" s="1"/>
  <c r="AC150" i="8" s="1"/>
  <c r="AJ108" i="8"/>
  <c r="AJ109" i="8" s="1"/>
  <c r="AJ110" i="8" s="1"/>
  <c r="AG125" i="8"/>
  <c r="AG126" i="8" s="1"/>
  <c r="AG127" i="8" s="1"/>
  <c r="AE144" i="8"/>
  <c r="AC153" i="8"/>
  <c r="AC154" i="8"/>
  <c r="AM90" i="8"/>
  <c r="AM91" i="8" s="1"/>
  <c r="AM93" i="8" s="1"/>
  <c r="Y175" i="8"/>
  <c r="Z170" i="8"/>
  <c r="Z171" i="8"/>
  <c r="AH125" i="8"/>
  <c r="AH126" i="8" s="1"/>
  <c r="AM88" i="8"/>
  <c r="AM89" i="8" s="1"/>
  <c r="AM221" i="8" s="1"/>
  <c r="AB156" i="8"/>
  <c r="AK101" i="4"/>
  <c r="AK185" i="4"/>
  <c r="AK195" i="4" s="1"/>
  <c r="AK219" i="4" s="1"/>
  <c r="AM88" i="4"/>
  <c r="AM89" i="4" s="1"/>
  <c r="AM221" i="4" s="1"/>
  <c r="AK99" i="4"/>
  <c r="AK100" i="4" s="1"/>
  <c r="AJ108" i="4"/>
  <c r="AJ109" i="4" s="1"/>
  <c r="AJ110" i="4" s="1"/>
  <c r="AM90" i="4"/>
  <c r="AM91" i="4" s="1"/>
  <c r="AM93" i="4" s="1"/>
  <c r="AM94" i="8" l="1"/>
  <c r="AL98" i="8" s="1"/>
  <c r="AJ111" i="8"/>
  <c r="AI115" i="8" s="1"/>
  <c r="AG128" i="8"/>
  <c r="AF132" i="8" s="1"/>
  <c r="AE145" i="8"/>
  <c r="AC152" i="8"/>
  <c r="AC188" i="8"/>
  <c r="AC194" i="8" s="1"/>
  <c r="AC218" i="8" s="1"/>
  <c r="AH127" i="8"/>
  <c r="AK108" i="8"/>
  <c r="AK109" i="8" s="1"/>
  <c r="AK110" i="8" s="1"/>
  <c r="Z169" i="8"/>
  <c r="Z189" i="8"/>
  <c r="Z192" i="8" s="1"/>
  <c r="Z216" i="8" s="1"/>
  <c r="Y176" i="8"/>
  <c r="Y177" i="8" s="1"/>
  <c r="Y178" i="8" s="1"/>
  <c r="Y180" i="8" s="1"/>
  <c r="Y213" i="8" s="1"/>
  <c r="AB158" i="8"/>
  <c r="AC151" i="8"/>
  <c r="Z167" i="8"/>
  <c r="Z168" i="8" s="1"/>
  <c r="AL97" i="4"/>
  <c r="AK104" i="4"/>
  <c r="AM94" i="4"/>
  <c r="AL98" i="4" s="1"/>
  <c r="AK111" i="8" l="1"/>
  <c r="AJ115" i="8" s="1"/>
  <c r="AD148" i="8"/>
  <c r="AD149" i="8" s="1"/>
  <c r="AC155" i="8"/>
  <c r="Y239" i="8"/>
  <c r="Y247" i="8" s="1"/>
  <c r="Y230" i="8"/>
  <c r="Y240" i="8" s="1"/>
  <c r="Y248" i="8" s="1"/>
  <c r="AF135" i="8"/>
  <c r="AF187" i="8"/>
  <c r="AF193" i="8" s="1"/>
  <c r="AF217" i="8" s="1"/>
  <c r="AF133" i="8"/>
  <c r="AF134" i="8" s="1"/>
  <c r="AI118" i="8"/>
  <c r="AI186" i="8"/>
  <c r="AI196" i="8" s="1"/>
  <c r="AI220" i="8" s="1"/>
  <c r="AI116" i="8"/>
  <c r="AI117" i="8" s="1"/>
  <c r="AL101" i="8"/>
  <c r="AL185" i="8"/>
  <c r="AL195" i="8" s="1"/>
  <c r="AL219" i="8" s="1"/>
  <c r="AM185" i="8"/>
  <c r="AM195" i="8" s="1"/>
  <c r="AM219" i="8" s="1"/>
  <c r="AL99" i="8"/>
  <c r="AL100" i="8" s="1"/>
  <c r="AB159" i="8"/>
  <c r="AB160" i="8" s="1"/>
  <c r="AB161" i="8" s="1"/>
  <c r="AA165" i="8"/>
  <c r="Z172" i="8"/>
  <c r="AH128" i="8"/>
  <c r="AL101" i="4"/>
  <c r="AM185" i="4"/>
  <c r="AM195" i="4" s="1"/>
  <c r="AM219" i="4" s="1"/>
  <c r="AL185" i="4"/>
  <c r="AL195" i="4" s="1"/>
  <c r="AL219" i="4" s="1"/>
  <c r="AK199" i="4"/>
  <c r="AK209" i="4" s="1"/>
  <c r="AK227" i="4" s="1"/>
  <c r="AK105" i="4"/>
  <c r="AL99" i="4"/>
  <c r="AL100" i="4" s="1"/>
  <c r="AL103" i="4"/>
  <c r="AL102" i="4"/>
  <c r="AD188" i="8" l="1"/>
  <c r="AD194" i="8" s="1"/>
  <c r="AD218" i="8" s="1"/>
  <c r="AD152" i="8"/>
  <c r="AB162" i="8"/>
  <c r="AA166" i="8" s="1"/>
  <c r="AA167" i="8" s="1"/>
  <c r="AA168" i="8" s="1"/>
  <c r="AB165" i="8" s="1"/>
  <c r="AJ114" i="8"/>
  <c r="AI121" i="8"/>
  <c r="AF139" i="8"/>
  <c r="AM97" i="8"/>
  <c r="AL104" i="8"/>
  <c r="AG132" i="8"/>
  <c r="AD154" i="8"/>
  <c r="AD150" i="8"/>
  <c r="AD151" i="8" s="1"/>
  <c r="AE148" i="8" s="1"/>
  <c r="AD153" i="8"/>
  <c r="AG131" i="8"/>
  <c r="AF138" i="8"/>
  <c r="AF201" i="8" s="1"/>
  <c r="AF207" i="8" s="1"/>
  <c r="AF225" i="8" s="1"/>
  <c r="AC202" i="8"/>
  <c r="AC208" i="8" s="1"/>
  <c r="AC226" i="8" s="1"/>
  <c r="AC156" i="8"/>
  <c r="AJ118" i="8"/>
  <c r="AJ186" i="8"/>
  <c r="AJ196" i="8" s="1"/>
  <c r="AJ220" i="8" s="1"/>
  <c r="Z203" i="8"/>
  <c r="Z206" i="8" s="1"/>
  <c r="Z224" i="8" s="1"/>
  <c r="Z173" i="8"/>
  <c r="AA170" i="8"/>
  <c r="AA171" i="8"/>
  <c r="AM97" i="4"/>
  <c r="AL104" i="4"/>
  <c r="AL199" i="4" s="1"/>
  <c r="AL209" i="4" s="1"/>
  <c r="AL227" i="4" s="1"/>
  <c r="AK107" i="4"/>
  <c r="AB170" i="8" l="1"/>
  <c r="AB171" i="8"/>
  <c r="AL199" i="8"/>
  <c r="AL209" i="8" s="1"/>
  <c r="AL227" i="8" s="1"/>
  <c r="AL105" i="8"/>
  <c r="AJ116" i="8"/>
  <c r="AJ120" i="8"/>
  <c r="AJ119" i="8"/>
  <c r="AJ117" i="8"/>
  <c r="AK114" i="8" s="1"/>
  <c r="AJ121" i="8"/>
  <c r="AJ200" i="8" s="1"/>
  <c r="AJ210" i="8" s="1"/>
  <c r="AJ228" i="8" s="1"/>
  <c r="AE153" i="8"/>
  <c r="AE154" i="8"/>
  <c r="Z175" i="8"/>
  <c r="AD155" i="8"/>
  <c r="AD202" i="8" s="1"/>
  <c r="AD208" i="8" s="1"/>
  <c r="AD226" i="8" s="1"/>
  <c r="AG135" i="8"/>
  <c r="AG187" i="8"/>
  <c r="AG193" i="8" s="1"/>
  <c r="AG217" i="8" s="1"/>
  <c r="AM99" i="8"/>
  <c r="AM100" i="8" s="1"/>
  <c r="AM104" i="8" s="1"/>
  <c r="AM199" i="8" s="1"/>
  <c r="AM209" i="8" s="1"/>
  <c r="AM227" i="8" s="1"/>
  <c r="AM103" i="8"/>
  <c r="AM102" i="8"/>
  <c r="AF141" i="8"/>
  <c r="AI200" i="8"/>
  <c r="AI210" i="8" s="1"/>
  <c r="AI228" i="8" s="1"/>
  <c r="AI122" i="8"/>
  <c r="AA169" i="8"/>
  <c r="AA173" i="8" s="1"/>
  <c r="AA189" i="8"/>
  <c r="AA192" i="8" s="1"/>
  <c r="AA216" i="8" s="1"/>
  <c r="AC158" i="8"/>
  <c r="AA172" i="8"/>
  <c r="AA203" i="8" s="1"/>
  <c r="AA206" i="8" s="1"/>
  <c r="AA224" i="8" s="1"/>
  <c r="AG137" i="8"/>
  <c r="AG133" i="8"/>
  <c r="AG134" i="8" s="1"/>
  <c r="AG136" i="8"/>
  <c r="AM103" i="4"/>
  <c r="AM99" i="4"/>
  <c r="AM100" i="4" s="1"/>
  <c r="AM104" i="4" s="1"/>
  <c r="AM199" i="4" s="1"/>
  <c r="AM209" i="4" s="1"/>
  <c r="AM227" i="4" s="1"/>
  <c r="AM102" i="4"/>
  <c r="AK108" i="4"/>
  <c r="AK109" i="4" s="1"/>
  <c r="AK110" i="4" s="1"/>
  <c r="AL105" i="4"/>
  <c r="AD156" i="8" l="1"/>
  <c r="AD158" i="8" s="1"/>
  <c r="AA175" i="8"/>
  <c r="AD159" i="8"/>
  <c r="AD160" i="8" s="1"/>
  <c r="AH131" i="8"/>
  <c r="AG138" i="8"/>
  <c r="AG201" i="8" s="1"/>
  <c r="AG207" i="8" s="1"/>
  <c r="AG225" i="8" s="1"/>
  <c r="Z176" i="8"/>
  <c r="Z177" i="8" s="1"/>
  <c r="Z178" i="8" s="1"/>
  <c r="Z180" i="8" s="1"/>
  <c r="Z213" i="8" s="1"/>
  <c r="AK120" i="8"/>
  <c r="AK119" i="8"/>
  <c r="AF142" i="8"/>
  <c r="AF143" i="8" s="1"/>
  <c r="AF144" i="8" s="1"/>
  <c r="AM105" i="8"/>
  <c r="AM107" i="8" s="1"/>
  <c r="AJ122" i="8"/>
  <c r="AJ124" i="8" s="1"/>
  <c r="AI124" i="8"/>
  <c r="AL107" i="8"/>
  <c r="AC159" i="8"/>
  <c r="AC160" i="8" s="1"/>
  <c r="AC161" i="8" s="1"/>
  <c r="AM105" i="4"/>
  <c r="AM107" i="4" s="1"/>
  <c r="AL107" i="4"/>
  <c r="AF145" i="8" l="1"/>
  <c r="AE149" i="8" s="1"/>
  <c r="Z239" i="8"/>
  <c r="Z247" i="8" s="1"/>
  <c r="Z230" i="8"/>
  <c r="Z240" i="8" s="1"/>
  <c r="Z248" i="8" s="1"/>
  <c r="AC162" i="8"/>
  <c r="AB166" i="8" s="1"/>
  <c r="AL108" i="8"/>
  <c r="AL109" i="8" s="1"/>
  <c r="AL110" i="8" s="1"/>
  <c r="AJ125" i="8"/>
  <c r="AJ126" i="8" s="1"/>
  <c r="AI125" i="8"/>
  <c r="AI126" i="8" s="1"/>
  <c r="AH136" i="8"/>
  <c r="AH137" i="8"/>
  <c r="AD161" i="8"/>
  <c r="AG139" i="8"/>
  <c r="AA176" i="8"/>
  <c r="AA177" i="8" s="1"/>
  <c r="AA178" i="8" s="1"/>
  <c r="AA180" i="8" s="1"/>
  <c r="AA213" i="8" s="1"/>
  <c r="AM108" i="8"/>
  <c r="AM109" i="8" s="1"/>
  <c r="AM108" i="4"/>
  <c r="AM109" i="4" s="1"/>
  <c r="AL108" i="4"/>
  <c r="AL109" i="4" s="1"/>
  <c r="AM110" i="8" l="1"/>
  <c r="AJ127" i="8"/>
  <c r="AI127" i="8"/>
  <c r="AL111" i="8"/>
  <c r="AK115" i="8" s="1"/>
  <c r="AA230" i="8"/>
  <c r="AA240" i="8" s="1"/>
  <c r="AA248" i="8" s="1"/>
  <c r="AA239" i="8"/>
  <c r="AA247" i="8" s="1"/>
  <c r="AI128" i="8"/>
  <c r="AH132" i="8" s="1"/>
  <c r="AB169" i="8"/>
  <c r="AB189" i="8"/>
  <c r="AB192" i="8" s="1"/>
  <c r="AB216" i="8" s="1"/>
  <c r="AB167" i="8"/>
  <c r="AB168" i="8" s="1"/>
  <c r="AG141" i="8"/>
  <c r="AD162" i="8"/>
  <c r="AE152" i="8"/>
  <c r="AE188" i="8"/>
  <c r="AE194" i="8" s="1"/>
  <c r="AE218" i="8" s="1"/>
  <c r="AE150" i="8"/>
  <c r="AE151" i="8" s="1"/>
  <c r="AM110" i="4"/>
  <c r="AL110" i="4"/>
  <c r="AC165" i="8" l="1"/>
  <c r="AC166" i="8" s="1"/>
  <c r="AB172" i="8"/>
  <c r="AF148" i="8"/>
  <c r="AE155" i="8"/>
  <c r="AE202" i="8" s="1"/>
  <c r="AE208" i="8" s="1"/>
  <c r="AE226" i="8" s="1"/>
  <c r="AK118" i="8"/>
  <c r="AK186" i="8"/>
  <c r="AK196" i="8" s="1"/>
  <c r="AK220" i="8" s="1"/>
  <c r="AK116" i="8"/>
  <c r="AK117" i="8" s="1"/>
  <c r="AH135" i="8"/>
  <c r="AH187" i="8"/>
  <c r="AH193" i="8" s="1"/>
  <c r="AH217" i="8" s="1"/>
  <c r="AH133" i="8"/>
  <c r="AH134" i="8" s="1"/>
  <c r="AG142" i="8"/>
  <c r="AG143" i="8" s="1"/>
  <c r="AG144" i="8" s="1"/>
  <c r="AM111" i="8"/>
  <c r="AL115" i="8" s="1"/>
  <c r="AJ128" i="8"/>
  <c r="D111" i="4"/>
  <c r="C115" i="4" s="1"/>
  <c r="C186" i="4" s="1"/>
  <c r="C196" i="4" s="1"/>
  <c r="C220" i="4" s="1"/>
  <c r="AC169" i="8" l="1"/>
  <c r="AC189" i="8"/>
  <c r="AC192" i="8" s="1"/>
  <c r="AC216" i="8" s="1"/>
  <c r="AI131" i="8"/>
  <c r="AH138" i="8"/>
  <c r="AL118" i="8"/>
  <c r="AM186" i="8"/>
  <c r="AM196" i="8" s="1"/>
  <c r="AM220" i="8" s="1"/>
  <c r="AL186" i="8"/>
  <c r="AL196" i="8" s="1"/>
  <c r="AL220" i="8" s="1"/>
  <c r="AG145" i="8"/>
  <c r="AF149" i="8" s="1"/>
  <c r="AC171" i="8"/>
  <c r="AC167" i="8"/>
  <c r="AC168" i="8" s="1"/>
  <c r="AC170" i="8"/>
  <c r="AI132" i="8"/>
  <c r="AL114" i="8"/>
  <c r="AK121" i="8"/>
  <c r="AF154" i="8"/>
  <c r="AF153" i="8"/>
  <c r="AB203" i="8"/>
  <c r="AB206" i="8" s="1"/>
  <c r="AB224" i="8" s="1"/>
  <c r="AB173" i="8"/>
  <c r="AE156" i="8"/>
  <c r="E111" i="4"/>
  <c r="D115" i="4" s="1"/>
  <c r="D118" i="4" s="1"/>
  <c r="C117" i="4"/>
  <c r="C118" i="4"/>
  <c r="F111" i="4" l="1"/>
  <c r="G111" i="4" s="1"/>
  <c r="F115" i="4" s="1"/>
  <c r="D186" i="4"/>
  <c r="D196" i="4" s="1"/>
  <c r="D220" i="4" s="1"/>
  <c r="AD165" i="8"/>
  <c r="AC172" i="8"/>
  <c r="AC203" i="8" s="1"/>
  <c r="AC206" i="8" s="1"/>
  <c r="AC224" i="8" s="1"/>
  <c r="AE158" i="8"/>
  <c r="AB175" i="8"/>
  <c r="AF152" i="8"/>
  <c r="AF188" i="8"/>
  <c r="AF194" i="8" s="1"/>
  <c r="AF218" i="8" s="1"/>
  <c r="AF150" i="8"/>
  <c r="AF151" i="8" s="1"/>
  <c r="AK200" i="8"/>
  <c r="AK210" i="8" s="1"/>
  <c r="AK228" i="8" s="1"/>
  <c r="AK122" i="8"/>
  <c r="AL116" i="8"/>
  <c r="AL117" i="8" s="1"/>
  <c r="AM114" i="8" s="1"/>
  <c r="AL119" i="8"/>
  <c r="AL120" i="8"/>
  <c r="AI135" i="8"/>
  <c r="AI187" i="8"/>
  <c r="AI193" i="8" s="1"/>
  <c r="AI217" i="8" s="1"/>
  <c r="AH201" i="8"/>
  <c r="AH207" i="8" s="1"/>
  <c r="AH225" i="8" s="1"/>
  <c r="AH139" i="8"/>
  <c r="AI133" i="8"/>
  <c r="AI134" i="8" s="1"/>
  <c r="AI137" i="8"/>
  <c r="AI136" i="8"/>
  <c r="C121" i="4"/>
  <c r="D114" i="4"/>
  <c r="F118" i="4"/>
  <c r="E115" i="4"/>
  <c r="H111" i="4"/>
  <c r="AJ131" i="8" l="1"/>
  <c r="AI138" i="8"/>
  <c r="AH141" i="8"/>
  <c r="AG148" i="8"/>
  <c r="AF155" i="8"/>
  <c r="AM120" i="8"/>
  <c r="AM119" i="8"/>
  <c r="AM116" i="8"/>
  <c r="AM117" i="8" s="1"/>
  <c r="AM121" i="8" s="1"/>
  <c r="AB176" i="8"/>
  <c r="AB177" i="8" s="1"/>
  <c r="AB178" i="8" s="1"/>
  <c r="AB180" i="8" s="1"/>
  <c r="AB213" i="8" s="1"/>
  <c r="AL121" i="8"/>
  <c r="AL200" i="8" s="1"/>
  <c r="AL210" i="8" s="1"/>
  <c r="AL228" i="8" s="1"/>
  <c r="AE159" i="8"/>
  <c r="AE160" i="8" s="1"/>
  <c r="AE161" i="8" s="1"/>
  <c r="AC173" i="8"/>
  <c r="AK124" i="8"/>
  <c r="AD171" i="8"/>
  <c r="AD170" i="8"/>
  <c r="G115" i="4"/>
  <c r="G186" i="4" s="1"/>
  <c r="G196" i="4" s="1"/>
  <c r="G220" i="4" s="1"/>
  <c r="I111" i="4"/>
  <c r="D116" i="4"/>
  <c r="D117" i="4" s="1"/>
  <c r="D119" i="4"/>
  <c r="D120" i="4"/>
  <c r="E118" i="4"/>
  <c r="E186" i="4"/>
  <c r="E196" i="4" s="1"/>
  <c r="E220" i="4" s="1"/>
  <c r="F186" i="4"/>
  <c r="F196" i="4" s="1"/>
  <c r="F220" i="4" s="1"/>
  <c r="C200" i="4"/>
  <c r="C210" i="4" s="1"/>
  <c r="C228" i="4" s="1"/>
  <c r="C122" i="4"/>
  <c r="AL122" i="8" l="1"/>
  <c r="AL124" i="8" s="1"/>
  <c r="AM200" i="8"/>
  <c r="AM210" i="8" s="1"/>
  <c r="AM228" i="8" s="1"/>
  <c r="AE162" i="8"/>
  <c r="AD166" i="8" s="1"/>
  <c r="AB230" i="8"/>
  <c r="AB240" i="8" s="1"/>
  <c r="AB248" i="8" s="1"/>
  <c r="AB239" i="8"/>
  <c r="AB247" i="8" s="1"/>
  <c r="AK125" i="8"/>
  <c r="AK126" i="8" s="1"/>
  <c r="AK127" i="8" s="1"/>
  <c r="AG154" i="8"/>
  <c r="AG153" i="8"/>
  <c r="AM122" i="8"/>
  <c r="AM124" i="8" s="1"/>
  <c r="AH142" i="8"/>
  <c r="AH143" i="8" s="1"/>
  <c r="AH144" i="8" s="1"/>
  <c r="AI201" i="8"/>
  <c r="AI207" i="8" s="1"/>
  <c r="AI225" i="8" s="1"/>
  <c r="AI139" i="8"/>
  <c r="AL125" i="8"/>
  <c r="AL126" i="8" s="1"/>
  <c r="AC175" i="8"/>
  <c r="AF202" i="8"/>
  <c r="AF208" i="8" s="1"/>
  <c r="AF226" i="8" s="1"/>
  <c r="AF156" i="8"/>
  <c r="AJ136" i="8"/>
  <c r="AJ137" i="8"/>
  <c r="E114" i="4"/>
  <c r="D121" i="4"/>
  <c r="D122" i="4" s="1"/>
  <c r="C124" i="4"/>
  <c r="G118" i="4"/>
  <c r="H115" i="4"/>
  <c r="J111" i="4"/>
  <c r="AK128" i="8" l="1"/>
  <c r="AJ132" i="8" s="1"/>
  <c r="AF158" i="8"/>
  <c r="AL127" i="8"/>
  <c r="AM125" i="8"/>
  <c r="AM126" i="8" s="1"/>
  <c r="AM127" i="8" s="1"/>
  <c r="AC176" i="8"/>
  <c r="AC177" i="8" s="1"/>
  <c r="AC178" i="8" s="1"/>
  <c r="AC180" i="8" s="1"/>
  <c r="AC213" i="8" s="1"/>
  <c r="AI141" i="8"/>
  <c r="AH145" i="8"/>
  <c r="AG149" i="8" s="1"/>
  <c r="AD169" i="8"/>
  <c r="AD189" i="8"/>
  <c r="AD192" i="8" s="1"/>
  <c r="AD216" i="8" s="1"/>
  <c r="AD167" i="8"/>
  <c r="AD168" i="8" s="1"/>
  <c r="C125" i="4"/>
  <c r="C126" i="4" s="1"/>
  <c r="C127" i="4" s="1"/>
  <c r="C128" i="4" s="1"/>
  <c r="H118" i="4"/>
  <c r="D124" i="4"/>
  <c r="H186" i="4"/>
  <c r="H196" i="4" s="1"/>
  <c r="H220" i="4" s="1"/>
  <c r="D200" i="4"/>
  <c r="D210" i="4" s="1"/>
  <c r="D228" i="4" s="1"/>
  <c r="I115" i="4"/>
  <c r="K111" i="4"/>
  <c r="E116" i="4"/>
  <c r="E117" i="4" s="1"/>
  <c r="E120" i="4"/>
  <c r="E119" i="4"/>
  <c r="AC239" i="8" l="1"/>
  <c r="AC247" i="8" s="1"/>
  <c r="AC230" i="8"/>
  <c r="AC240" i="8" s="1"/>
  <c r="AC248" i="8" s="1"/>
  <c r="AE165" i="8"/>
  <c r="AD172" i="8"/>
  <c r="AD203" i="8" s="1"/>
  <c r="AD206" i="8" s="1"/>
  <c r="AD224" i="8" s="1"/>
  <c r="AF159" i="8"/>
  <c r="AF160" i="8" s="1"/>
  <c r="AF161" i="8" s="1"/>
  <c r="AI142" i="8"/>
  <c r="AI143" i="8" s="1"/>
  <c r="AI144" i="8" s="1"/>
  <c r="AL128" i="8"/>
  <c r="AG152" i="8"/>
  <c r="AG188" i="8"/>
  <c r="AG194" i="8" s="1"/>
  <c r="AG218" i="8" s="1"/>
  <c r="AG150" i="8"/>
  <c r="AG151" i="8" s="1"/>
  <c r="AJ135" i="8"/>
  <c r="AJ187" i="8"/>
  <c r="AJ193" i="8" s="1"/>
  <c r="AJ217" i="8" s="1"/>
  <c r="AJ133" i="8"/>
  <c r="AJ134" i="8" s="1"/>
  <c r="F114" i="4"/>
  <c r="E121" i="4"/>
  <c r="J115" i="4"/>
  <c r="J186" i="4" s="1"/>
  <c r="J196" i="4" s="1"/>
  <c r="J220" i="4" s="1"/>
  <c r="I118" i="4"/>
  <c r="D125" i="4"/>
  <c r="D126" i="4" s="1"/>
  <c r="D127" i="4" s="1"/>
  <c r="L111" i="4"/>
  <c r="M111" i="4" s="1"/>
  <c r="L115" i="4" s="1"/>
  <c r="I186" i="4"/>
  <c r="I196" i="4" s="1"/>
  <c r="I220" i="4" s="1"/>
  <c r="E122" i="4"/>
  <c r="AH148" i="8" l="1"/>
  <c r="AG155" i="8"/>
  <c r="AG202" i="8" s="1"/>
  <c r="AG208" i="8" s="1"/>
  <c r="AG226" i="8" s="1"/>
  <c r="AE171" i="8"/>
  <c r="AE170" i="8"/>
  <c r="AF162" i="8"/>
  <c r="AE166" i="8" s="1"/>
  <c r="AK131" i="8"/>
  <c r="AJ138" i="8"/>
  <c r="AI145" i="8"/>
  <c r="AH149" i="8" s="1"/>
  <c r="AM128" i="8"/>
  <c r="AD173" i="8"/>
  <c r="N111" i="4"/>
  <c r="M115" i="4" s="1"/>
  <c r="M118" i="4" s="1"/>
  <c r="D128" i="4"/>
  <c r="C132" i="4" s="1"/>
  <c r="L118" i="4"/>
  <c r="J118" i="4"/>
  <c r="K115" i="4"/>
  <c r="L186" i="4" s="1"/>
  <c r="L196" i="4" s="1"/>
  <c r="L220" i="4" s="1"/>
  <c r="E200" i="4"/>
  <c r="E210" i="4" s="1"/>
  <c r="E228" i="4" s="1"/>
  <c r="E124" i="4"/>
  <c r="F116" i="4"/>
  <c r="F117" i="4" s="1"/>
  <c r="G114" i="4" s="1"/>
  <c r="F119" i="4"/>
  <c r="F120" i="4"/>
  <c r="AG156" i="8" l="1"/>
  <c r="AK136" i="8"/>
  <c r="AK137" i="8"/>
  <c r="AE169" i="8"/>
  <c r="AE189" i="8"/>
  <c r="AE192" i="8" s="1"/>
  <c r="AE216" i="8" s="1"/>
  <c r="AK132" i="8"/>
  <c r="AD175" i="8"/>
  <c r="AE167" i="8"/>
  <c r="AE168" i="8" s="1"/>
  <c r="AG158" i="8"/>
  <c r="AH152" i="8"/>
  <c r="AH188" i="8"/>
  <c r="AH194" i="8" s="1"/>
  <c r="AH218" i="8" s="1"/>
  <c r="AJ201" i="8"/>
  <c r="AJ207" i="8" s="1"/>
  <c r="AJ225" i="8" s="1"/>
  <c r="AJ139" i="8"/>
  <c r="AH150" i="8"/>
  <c r="AH151" i="8" s="1"/>
  <c r="AH153" i="8"/>
  <c r="AH154" i="8"/>
  <c r="O111" i="4"/>
  <c r="N115" i="4" s="1"/>
  <c r="N118" i="4" s="1"/>
  <c r="C187" i="4"/>
  <c r="C193" i="4" s="1"/>
  <c r="C217" i="4" s="1"/>
  <c r="C134" i="4"/>
  <c r="C135" i="4"/>
  <c r="K118" i="4"/>
  <c r="K186" i="4"/>
  <c r="K196" i="4" s="1"/>
  <c r="K220" i="4" s="1"/>
  <c r="F121" i="4"/>
  <c r="E125" i="4"/>
  <c r="E126" i="4" s="1"/>
  <c r="E127" i="4" s="1"/>
  <c r="M186" i="4"/>
  <c r="M196" i="4" s="1"/>
  <c r="M220" i="4" s="1"/>
  <c r="G120" i="4"/>
  <c r="G119" i="4"/>
  <c r="G116" i="4"/>
  <c r="G117" i="4" s="1"/>
  <c r="H114" i="4" s="1"/>
  <c r="N186" i="4" l="1"/>
  <c r="N196" i="4" s="1"/>
  <c r="N220" i="4" s="1"/>
  <c r="AI148" i="8"/>
  <c r="AH155" i="8"/>
  <c r="AH202" i="8" s="1"/>
  <c r="AH208" i="8" s="1"/>
  <c r="AH226" i="8" s="1"/>
  <c r="AF165" i="8"/>
  <c r="AE172" i="8"/>
  <c r="AE203" i="8" s="1"/>
  <c r="AE206" i="8" s="1"/>
  <c r="AE224" i="8" s="1"/>
  <c r="AJ141" i="8"/>
  <c r="AK135" i="8"/>
  <c r="AK187" i="8"/>
  <c r="AK193" i="8" s="1"/>
  <c r="AK217" i="8" s="1"/>
  <c r="AG159" i="8"/>
  <c r="AG160" i="8" s="1"/>
  <c r="AG161" i="8" s="1"/>
  <c r="AK133" i="8"/>
  <c r="AK134" i="8" s="1"/>
  <c r="AD176" i="8"/>
  <c r="AD177" i="8" s="1"/>
  <c r="AD178" i="8" s="1"/>
  <c r="AD180" i="8" s="1"/>
  <c r="AD213" i="8" s="1"/>
  <c r="P111" i="4"/>
  <c r="H116" i="4"/>
  <c r="H117" i="4" s="1"/>
  <c r="H119" i="4"/>
  <c r="H120" i="4"/>
  <c r="G121" i="4"/>
  <c r="D131" i="4"/>
  <c r="C138" i="4"/>
  <c r="C139" i="4" s="1"/>
  <c r="F200" i="4"/>
  <c r="F210" i="4" s="1"/>
  <c r="F228" i="4" s="1"/>
  <c r="F122" i="4"/>
  <c r="E128" i="4"/>
  <c r="AG162" i="8" l="1"/>
  <c r="AF166" i="8" s="1"/>
  <c r="AD239" i="8"/>
  <c r="AD247" i="8" s="1"/>
  <c r="AD230" i="8"/>
  <c r="AD240" i="8" s="1"/>
  <c r="AD248" i="8" s="1"/>
  <c r="AL131" i="8"/>
  <c r="AK138" i="8"/>
  <c r="AK201" i="8" s="1"/>
  <c r="AK207" i="8" s="1"/>
  <c r="AK225" i="8" s="1"/>
  <c r="AE173" i="8"/>
  <c r="AI153" i="8"/>
  <c r="AI154" i="8"/>
  <c r="AJ142" i="8"/>
  <c r="AJ143" i="8" s="1"/>
  <c r="AJ144" i="8" s="1"/>
  <c r="AF167" i="8"/>
  <c r="AF168" i="8" s="1"/>
  <c r="AG165" i="8" s="1"/>
  <c r="AF170" i="8"/>
  <c r="AF171" i="8"/>
  <c r="AH156" i="8"/>
  <c r="O115" i="4"/>
  <c r="Q111" i="4"/>
  <c r="I114" i="4"/>
  <c r="I120" i="4" s="1"/>
  <c r="H121" i="4"/>
  <c r="H200" i="4" s="1"/>
  <c r="H210" i="4" s="1"/>
  <c r="H228" i="4" s="1"/>
  <c r="C201" i="4"/>
  <c r="C207" i="4" s="1"/>
  <c r="C225" i="4" s="1"/>
  <c r="F124" i="4"/>
  <c r="G122" i="4"/>
  <c r="G124" i="4" s="1"/>
  <c r="H122" i="4"/>
  <c r="D132" i="4"/>
  <c r="D133" i="4" s="1"/>
  <c r="D136" i="4"/>
  <c r="D137" i="4"/>
  <c r="G200" i="4"/>
  <c r="G210" i="4" s="1"/>
  <c r="G228" i="4" s="1"/>
  <c r="AJ145" i="8" l="1"/>
  <c r="AI149" i="8" s="1"/>
  <c r="AG170" i="8"/>
  <c r="AG171" i="8"/>
  <c r="AH158" i="8"/>
  <c r="AE175" i="8"/>
  <c r="I119" i="4"/>
  <c r="AK139" i="8"/>
  <c r="AF172" i="8"/>
  <c r="AF203" i="8" s="1"/>
  <c r="AF206" i="8" s="1"/>
  <c r="AF224" i="8" s="1"/>
  <c r="AL136" i="8"/>
  <c r="AL137" i="8"/>
  <c r="AL132" i="8"/>
  <c r="AF169" i="8"/>
  <c r="AF173" i="8" s="1"/>
  <c r="AF189" i="8"/>
  <c r="AF192" i="8" s="1"/>
  <c r="AF216" i="8" s="1"/>
  <c r="I116" i="4"/>
  <c r="I117" i="4" s="1"/>
  <c r="J114" i="4" s="1"/>
  <c r="P115" i="4"/>
  <c r="R111" i="4"/>
  <c r="O186" i="4"/>
  <c r="O196" i="4" s="1"/>
  <c r="O220" i="4" s="1"/>
  <c r="O118" i="4"/>
  <c r="J116" i="4"/>
  <c r="J117" i="4" s="1"/>
  <c r="K114" i="4" s="1"/>
  <c r="J119" i="4"/>
  <c r="J120" i="4"/>
  <c r="F125" i="4"/>
  <c r="F126" i="4" s="1"/>
  <c r="G127" i="4" s="1"/>
  <c r="C141" i="4"/>
  <c r="D135" i="4"/>
  <c r="D187" i="4"/>
  <c r="D193" i="4" s="1"/>
  <c r="D217" i="4" s="1"/>
  <c r="H124" i="4"/>
  <c r="G125" i="4"/>
  <c r="G126" i="4" s="1"/>
  <c r="D134" i="4"/>
  <c r="I121" i="4"/>
  <c r="I122" i="4" l="1"/>
  <c r="AF175" i="8"/>
  <c r="AE176" i="8"/>
  <c r="AE177" i="8" s="1"/>
  <c r="AE178" i="8" s="1"/>
  <c r="AE180" i="8" s="1"/>
  <c r="AE213" i="8" s="1"/>
  <c r="AL135" i="8"/>
  <c r="AM187" i="8"/>
  <c r="AM193" i="8" s="1"/>
  <c r="AM217" i="8" s="1"/>
  <c r="AL187" i="8"/>
  <c r="AL193" i="8" s="1"/>
  <c r="AL217" i="8" s="1"/>
  <c r="AH159" i="8"/>
  <c r="AH160" i="8" s="1"/>
  <c r="AH161" i="8" s="1"/>
  <c r="AL133" i="8"/>
  <c r="AL134" i="8" s="1"/>
  <c r="AK141" i="8"/>
  <c r="AI152" i="8"/>
  <c r="AI188" i="8"/>
  <c r="AI194" i="8" s="1"/>
  <c r="AI218" i="8" s="1"/>
  <c r="AI150" i="8"/>
  <c r="AI151" i="8" s="1"/>
  <c r="Q115" i="4"/>
  <c r="S111" i="4"/>
  <c r="P186" i="4"/>
  <c r="P196" i="4" s="1"/>
  <c r="P220" i="4" s="1"/>
  <c r="P118" i="4"/>
  <c r="F127" i="4"/>
  <c r="F128" i="4" s="1"/>
  <c r="G128" i="4" s="1"/>
  <c r="J121" i="4"/>
  <c r="J200" i="4" s="1"/>
  <c r="J210" i="4" s="1"/>
  <c r="J228" i="4" s="1"/>
  <c r="C142" i="4"/>
  <c r="C143" i="4" s="1"/>
  <c r="C144" i="4" s="1"/>
  <c r="C145" i="4" s="1"/>
  <c r="I124" i="4"/>
  <c r="H125" i="4"/>
  <c r="H126" i="4" s="1"/>
  <c r="H127" i="4" s="1"/>
  <c r="E131" i="4"/>
  <c r="D138" i="4"/>
  <c r="K116" i="4"/>
  <c r="K117" i="4" s="1"/>
  <c r="L114" i="4" s="1"/>
  <c r="K120" i="4"/>
  <c r="K119" i="4"/>
  <c r="I200" i="4"/>
  <c r="I210" i="4" s="1"/>
  <c r="I228" i="4" s="1"/>
  <c r="AJ148" i="8" l="1"/>
  <c r="AI155" i="8"/>
  <c r="AM131" i="8"/>
  <c r="AL138" i="8"/>
  <c r="AH162" i="8"/>
  <c r="AG166" i="8" s="1"/>
  <c r="AE239" i="8"/>
  <c r="AE247" i="8" s="1"/>
  <c r="AE230" i="8"/>
  <c r="AE240" i="8" s="1"/>
  <c r="AE248" i="8" s="1"/>
  <c r="AK142" i="8"/>
  <c r="AK143" i="8" s="1"/>
  <c r="AK144" i="8" s="1"/>
  <c r="AF176" i="8"/>
  <c r="AF177" i="8" s="1"/>
  <c r="AF178" i="8" s="1"/>
  <c r="AF180" i="8" s="1"/>
  <c r="AF213" i="8" s="1"/>
  <c r="T111" i="4"/>
  <c r="R115" i="4"/>
  <c r="Q118" i="4"/>
  <c r="Q186" i="4"/>
  <c r="Q196" i="4" s="1"/>
  <c r="Q220" i="4" s="1"/>
  <c r="H128" i="4"/>
  <c r="J122" i="4"/>
  <c r="I125" i="4"/>
  <c r="I126" i="4" s="1"/>
  <c r="I127" i="4" s="1"/>
  <c r="E137" i="4"/>
  <c r="E136" i="4"/>
  <c r="K121" i="4"/>
  <c r="K200" i="4" s="1"/>
  <c r="K210" i="4" s="1"/>
  <c r="K228" i="4" s="1"/>
  <c r="F132" i="4"/>
  <c r="L116" i="4"/>
  <c r="L117" i="4" s="1"/>
  <c r="M114" i="4" s="1"/>
  <c r="L119" i="4"/>
  <c r="L120" i="4"/>
  <c r="E132" i="4"/>
  <c r="D201" i="4"/>
  <c r="D207" i="4" s="1"/>
  <c r="D225" i="4" s="1"/>
  <c r="D139" i="4"/>
  <c r="AK145" i="8" l="1"/>
  <c r="AJ149" i="8" s="1"/>
  <c r="AF239" i="8"/>
  <c r="AF247" i="8" s="1"/>
  <c r="AF230" i="8"/>
  <c r="AF240" i="8" s="1"/>
  <c r="AF248" i="8" s="1"/>
  <c r="AG169" i="8"/>
  <c r="AG189" i="8"/>
  <c r="AG192" i="8" s="1"/>
  <c r="AG216" i="8" s="1"/>
  <c r="AG167" i="8"/>
  <c r="AG168" i="8" s="1"/>
  <c r="AL201" i="8"/>
  <c r="AL207" i="8" s="1"/>
  <c r="AL225" i="8" s="1"/>
  <c r="AL139" i="8"/>
  <c r="AM137" i="8"/>
  <c r="AM136" i="8"/>
  <c r="AM133" i="8"/>
  <c r="AM134" i="8" s="1"/>
  <c r="AM138" i="8" s="1"/>
  <c r="AM201" i="8" s="1"/>
  <c r="AM207" i="8" s="1"/>
  <c r="AM225" i="8" s="1"/>
  <c r="AI202" i="8"/>
  <c r="AI208" i="8" s="1"/>
  <c r="AI226" i="8" s="1"/>
  <c r="AI156" i="8"/>
  <c r="AJ153" i="8"/>
  <c r="AJ154" i="8"/>
  <c r="AJ150" i="8"/>
  <c r="AJ151" i="8" s="1"/>
  <c r="R186" i="4"/>
  <c r="R196" i="4" s="1"/>
  <c r="R220" i="4" s="1"/>
  <c r="R118" i="4"/>
  <c r="S115" i="4"/>
  <c r="U111" i="4"/>
  <c r="K122" i="4"/>
  <c r="K124" i="4" s="1"/>
  <c r="I128" i="4"/>
  <c r="D141" i="4"/>
  <c r="E135" i="4"/>
  <c r="E187" i="4"/>
  <c r="E193" i="4" s="1"/>
  <c r="E217" i="4" s="1"/>
  <c r="F187" i="4"/>
  <c r="F193" i="4" s="1"/>
  <c r="F217" i="4" s="1"/>
  <c r="F135" i="4"/>
  <c r="J124" i="4"/>
  <c r="L121" i="4"/>
  <c r="L200" i="4" s="1"/>
  <c r="L210" i="4" s="1"/>
  <c r="L228" i="4" s="1"/>
  <c r="M116" i="4"/>
  <c r="M117" i="4" s="1"/>
  <c r="N114" i="4" s="1"/>
  <c r="M120" i="4"/>
  <c r="M119" i="4"/>
  <c r="E133" i="4"/>
  <c r="E134" i="4" s="1"/>
  <c r="G132" i="4"/>
  <c r="G187" i="4" s="1"/>
  <c r="G193" i="4" s="1"/>
  <c r="G217" i="4" s="1"/>
  <c r="AK148" i="8" l="1"/>
  <c r="AJ155" i="8"/>
  <c r="AJ202" i="8" s="1"/>
  <c r="AJ208" i="8" s="1"/>
  <c r="AJ226" i="8" s="1"/>
  <c r="AH165" i="8"/>
  <c r="AG172" i="8"/>
  <c r="AG203" i="8" s="1"/>
  <c r="AG206" i="8" s="1"/>
  <c r="AG224" i="8" s="1"/>
  <c r="AL141" i="8"/>
  <c r="AM139" i="8"/>
  <c r="AM141" i="8" s="1"/>
  <c r="AI158" i="8"/>
  <c r="AJ152" i="8"/>
  <c r="AJ156" i="8" s="1"/>
  <c r="AJ188" i="8"/>
  <c r="AJ194" i="8" s="1"/>
  <c r="AJ218" i="8" s="1"/>
  <c r="S118" i="4"/>
  <c r="S186" i="4"/>
  <c r="S196" i="4" s="1"/>
  <c r="S220" i="4" s="1"/>
  <c r="V111" i="4"/>
  <c r="U115" i="4" s="1"/>
  <c r="U118" i="4" s="1"/>
  <c r="T115" i="4"/>
  <c r="L122" i="4"/>
  <c r="L124" i="4" s="1"/>
  <c r="L125" i="4" s="1"/>
  <c r="L126" i="4" s="1"/>
  <c r="F131" i="4"/>
  <c r="E138" i="4"/>
  <c r="D142" i="4"/>
  <c r="D143" i="4" s="1"/>
  <c r="D144" i="4" s="1"/>
  <c r="M121" i="4"/>
  <c r="M200" i="4" s="1"/>
  <c r="M210" i="4" s="1"/>
  <c r="M228" i="4" s="1"/>
  <c r="H132" i="4"/>
  <c r="J125" i="4"/>
  <c r="J126" i="4" s="1"/>
  <c r="J127" i="4" s="1"/>
  <c r="G135" i="4"/>
  <c r="N119" i="4"/>
  <c r="N116" i="4"/>
  <c r="N117" i="4" s="1"/>
  <c r="N120" i="4"/>
  <c r="K125" i="4"/>
  <c r="K126" i="4" s="1"/>
  <c r="AM142" i="8" l="1"/>
  <c r="AM143" i="8" s="1"/>
  <c r="AJ158" i="8"/>
  <c r="AL142" i="8"/>
  <c r="AL143" i="8" s="1"/>
  <c r="AM144" i="8" s="1"/>
  <c r="AI159" i="8"/>
  <c r="AI160" i="8" s="1"/>
  <c r="AI161" i="8" s="1"/>
  <c r="AH171" i="8"/>
  <c r="AH170" i="8"/>
  <c r="AG173" i="8"/>
  <c r="AK153" i="8"/>
  <c r="AK154" i="8"/>
  <c r="T186" i="4"/>
  <c r="T196" i="4" s="1"/>
  <c r="T220" i="4" s="1"/>
  <c r="T118" i="4"/>
  <c r="U186" i="4"/>
  <c r="U196" i="4" s="1"/>
  <c r="U220" i="4" s="1"/>
  <c r="W111" i="4"/>
  <c r="K127" i="4"/>
  <c r="O114" i="4"/>
  <c r="N121" i="4"/>
  <c r="N200" i="4" s="1"/>
  <c r="N210" i="4" s="1"/>
  <c r="N228" i="4" s="1"/>
  <c r="H135" i="4"/>
  <c r="H187" i="4"/>
  <c r="H193" i="4" s="1"/>
  <c r="H217" i="4" s="1"/>
  <c r="J128" i="4"/>
  <c r="D145" i="4"/>
  <c r="C149" i="4" s="1"/>
  <c r="M122" i="4"/>
  <c r="M124" i="4" s="1"/>
  <c r="L127" i="4"/>
  <c r="E201" i="4"/>
  <c r="E207" i="4" s="1"/>
  <c r="E225" i="4" s="1"/>
  <c r="E139" i="4"/>
  <c r="F133" i="4"/>
  <c r="F134" i="4" s="1"/>
  <c r="G131" i="4" s="1"/>
  <c r="F137" i="4"/>
  <c r="F136" i="4"/>
  <c r="AI162" i="8" l="1"/>
  <c r="AH166" i="8" s="1"/>
  <c r="AL144" i="8"/>
  <c r="AG175" i="8"/>
  <c r="AJ159" i="8"/>
  <c r="AJ160" i="8" s="1"/>
  <c r="AJ161" i="8" s="1"/>
  <c r="K128" i="4"/>
  <c r="J132" i="4" s="1"/>
  <c r="V115" i="4"/>
  <c r="X111" i="4"/>
  <c r="W115" i="4" s="1"/>
  <c r="W118" i="4" s="1"/>
  <c r="G133" i="4"/>
  <c r="G134" i="4" s="1"/>
  <c r="G136" i="4"/>
  <c r="G137" i="4"/>
  <c r="O120" i="4"/>
  <c r="O116" i="4"/>
  <c r="O117" i="4" s="1"/>
  <c r="O119" i="4"/>
  <c r="M125" i="4"/>
  <c r="M126" i="4" s="1"/>
  <c r="M127" i="4" s="1"/>
  <c r="E141" i="4"/>
  <c r="N122" i="4"/>
  <c r="N124" i="4" s="1"/>
  <c r="C152" i="4"/>
  <c r="C151" i="4"/>
  <c r="C188" i="4"/>
  <c r="C194" i="4" s="1"/>
  <c r="C218" i="4" s="1"/>
  <c r="I132" i="4"/>
  <c r="F138" i="4"/>
  <c r="F139" i="4" s="1"/>
  <c r="AL145" i="8" l="1"/>
  <c r="AJ162" i="8"/>
  <c r="AG176" i="8"/>
  <c r="AG177" i="8" s="1"/>
  <c r="AG178" i="8" s="1"/>
  <c r="AG180" i="8" s="1"/>
  <c r="AG213" i="8" s="1"/>
  <c r="AH169" i="8"/>
  <c r="AH189" i="8"/>
  <c r="AH192" i="8" s="1"/>
  <c r="AH216" i="8" s="1"/>
  <c r="AH167" i="8"/>
  <c r="AH168" i="8" s="1"/>
  <c r="L128" i="4"/>
  <c r="M128" i="4" s="1"/>
  <c r="W186" i="4"/>
  <c r="W196" i="4" s="1"/>
  <c r="W220" i="4" s="1"/>
  <c r="Y111" i="4"/>
  <c r="X115" i="4" s="1"/>
  <c r="X186" i="4" s="1"/>
  <c r="X196" i="4" s="1"/>
  <c r="X220" i="4" s="1"/>
  <c r="V118" i="4"/>
  <c r="V186" i="4"/>
  <c r="V196" i="4" s="1"/>
  <c r="V220" i="4" s="1"/>
  <c r="P114" i="4"/>
  <c r="O121" i="4"/>
  <c r="O200" i="4" s="1"/>
  <c r="O210" i="4" s="1"/>
  <c r="O228" i="4" s="1"/>
  <c r="H131" i="4"/>
  <c r="G138" i="4"/>
  <c r="F201" i="4"/>
  <c r="F207" i="4" s="1"/>
  <c r="F225" i="4" s="1"/>
  <c r="I135" i="4"/>
  <c r="I187" i="4"/>
  <c r="I193" i="4" s="1"/>
  <c r="I217" i="4" s="1"/>
  <c r="J187" i="4"/>
  <c r="J193" i="4" s="1"/>
  <c r="J217" i="4" s="1"/>
  <c r="E142" i="4"/>
  <c r="E143" i="4" s="1"/>
  <c r="E144" i="4" s="1"/>
  <c r="J135" i="4"/>
  <c r="F141" i="4"/>
  <c r="D148" i="4"/>
  <c r="C155" i="4"/>
  <c r="N125" i="4"/>
  <c r="N126" i="4" s="1"/>
  <c r="N127" i="4" s="1"/>
  <c r="X118" i="4" l="1"/>
  <c r="Z111" i="4"/>
  <c r="Y115" i="4" s="1"/>
  <c r="Y118" i="4" s="1"/>
  <c r="AA111" i="4"/>
  <c r="Z115" i="4" s="1"/>
  <c r="K132" i="4"/>
  <c r="K135" i="4" s="1"/>
  <c r="AI165" i="8"/>
  <c r="AI166" i="8" s="1"/>
  <c r="AH172" i="8"/>
  <c r="AH203" i="8" s="1"/>
  <c r="AH206" i="8" s="1"/>
  <c r="AH224" i="8" s="1"/>
  <c r="AG239" i="8"/>
  <c r="AG247" i="8" s="1"/>
  <c r="AG230" i="8"/>
  <c r="AG240" i="8" s="1"/>
  <c r="AG248" i="8" s="1"/>
  <c r="AK149" i="8"/>
  <c r="AM145" i="8"/>
  <c r="O122" i="4"/>
  <c r="O124" i="4" s="1"/>
  <c r="O125" i="4" s="1"/>
  <c r="O126" i="4" s="1"/>
  <c r="O127" i="4" s="1"/>
  <c r="E145" i="4"/>
  <c r="D149" i="4" s="1"/>
  <c r="D150" i="4" s="1"/>
  <c r="H136" i="4"/>
  <c r="H133" i="4"/>
  <c r="H134" i="4" s="1"/>
  <c r="H137" i="4"/>
  <c r="K187" i="4"/>
  <c r="K193" i="4" s="1"/>
  <c r="K217" i="4" s="1"/>
  <c r="L132" i="4"/>
  <c r="C202" i="4"/>
  <c r="C208" i="4" s="1"/>
  <c r="C226" i="4" s="1"/>
  <c r="C156" i="4"/>
  <c r="D154" i="4"/>
  <c r="D153" i="4"/>
  <c r="N128" i="4"/>
  <c r="G139" i="4"/>
  <c r="F142" i="4"/>
  <c r="F143" i="4" s="1"/>
  <c r="F144" i="4" s="1"/>
  <c r="G201" i="4"/>
  <c r="G207" i="4" s="1"/>
  <c r="G225" i="4" s="1"/>
  <c r="P116" i="4"/>
  <c r="P117" i="4" s="1"/>
  <c r="P120" i="4"/>
  <c r="P119" i="4"/>
  <c r="Y186" i="4" l="1"/>
  <c r="Y196" i="4" s="1"/>
  <c r="Y220" i="4" s="1"/>
  <c r="AB111" i="4"/>
  <c r="AI169" i="8"/>
  <c r="AI189" i="8"/>
  <c r="AI192" i="8" s="1"/>
  <c r="AI216" i="8" s="1"/>
  <c r="AK152" i="8"/>
  <c r="AK188" i="8"/>
  <c r="AK194" i="8" s="1"/>
  <c r="AK218" i="8" s="1"/>
  <c r="AK150" i="8"/>
  <c r="AK151" i="8" s="1"/>
  <c r="AI171" i="8"/>
  <c r="AI167" i="8"/>
  <c r="AI168" i="8" s="1"/>
  <c r="AI170" i="8"/>
  <c r="AH173" i="8"/>
  <c r="F145" i="4"/>
  <c r="E149" i="4" s="1"/>
  <c r="E188" i="4" s="1"/>
  <c r="E194" i="4" s="1"/>
  <c r="E218" i="4" s="1"/>
  <c r="I131" i="4"/>
  <c r="H138" i="4"/>
  <c r="H139" i="4" s="1"/>
  <c r="H141" i="4" s="1"/>
  <c r="Q114" i="4"/>
  <c r="P121" i="4"/>
  <c r="P200" i="4" s="1"/>
  <c r="P210" i="4" s="1"/>
  <c r="P228" i="4" s="1"/>
  <c r="Z118" i="4"/>
  <c r="Z186" i="4"/>
  <c r="Z196" i="4" s="1"/>
  <c r="Z220" i="4" s="1"/>
  <c r="AA115" i="4"/>
  <c r="AC111" i="4"/>
  <c r="M132" i="4"/>
  <c r="O128" i="4"/>
  <c r="C158" i="4"/>
  <c r="G141" i="4"/>
  <c r="D152" i="4"/>
  <c r="D188" i="4"/>
  <c r="D194" i="4" s="1"/>
  <c r="D218" i="4" s="1"/>
  <c r="D151" i="4"/>
  <c r="L135" i="4"/>
  <c r="L187" i="4"/>
  <c r="L193" i="4" s="1"/>
  <c r="L217" i="4" s="1"/>
  <c r="AJ165" i="8" l="1"/>
  <c r="AI172" i="8"/>
  <c r="AI203" i="8" s="1"/>
  <c r="AI206" i="8" s="1"/>
  <c r="AI224" i="8" s="1"/>
  <c r="AH175" i="8"/>
  <c r="AI173" i="8"/>
  <c r="AI175" i="8" s="1"/>
  <c r="AL148" i="8"/>
  <c r="AK155" i="8"/>
  <c r="AK202" i="8" s="1"/>
  <c r="AK208" i="8" s="1"/>
  <c r="AK226" i="8" s="1"/>
  <c r="H142" i="4"/>
  <c r="H143" i="4" s="1"/>
  <c r="Q116" i="4"/>
  <c r="Q117" i="4" s="1"/>
  <c r="R114" i="4" s="1"/>
  <c r="Q119" i="4"/>
  <c r="Q120" i="4"/>
  <c r="P122" i="4"/>
  <c r="P124" i="4" s="1"/>
  <c r="C159" i="4"/>
  <c r="C160" i="4" s="1"/>
  <c r="C161" i="4" s="1"/>
  <c r="C162" i="4" s="1"/>
  <c r="N132" i="4"/>
  <c r="I133" i="4"/>
  <c r="I134" i="4" s="1"/>
  <c r="I137" i="4"/>
  <c r="I136" i="4"/>
  <c r="G142" i="4"/>
  <c r="G143" i="4" s="1"/>
  <c r="E148" i="4"/>
  <c r="D155" i="4"/>
  <c r="AB115" i="4"/>
  <c r="AD111" i="4"/>
  <c r="H201" i="4"/>
  <c r="H207" i="4" s="1"/>
  <c r="H225" i="4" s="1"/>
  <c r="M135" i="4"/>
  <c r="M187" i="4"/>
  <c r="M193" i="4" s="1"/>
  <c r="M217" i="4" s="1"/>
  <c r="E152" i="4"/>
  <c r="AA118" i="4"/>
  <c r="AA186" i="4"/>
  <c r="AA196" i="4" s="1"/>
  <c r="AA220" i="4" s="1"/>
  <c r="AI176" i="8" l="1"/>
  <c r="AI177" i="8" s="1"/>
  <c r="H144" i="4"/>
  <c r="AK156" i="8"/>
  <c r="AL153" i="8"/>
  <c r="AL154" i="8"/>
  <c r="AL149" i="8"/>
  <c r="AH176" i="8"/>
  <c r="AH177" i="8" s="1"/>
  <c r="AI178" i="8" s="1"/>
  <c r="AI180" i="8" s="1"/>
  <c r="AI213" i="8" s="1"/>
  <c r="AJ171" i="8"/>
  <c r="AJ170" i="8"/>
  <c r="J131" i="4"/>
  <c r="I138" i="4"/>
  <c r="I201" i="4" s="1"/>
  <c r="I207" i="4" s="1"/>
  <c r="I225" i="4" s="1"/>
  <c r="R116" i="4"/>
  <c r="R117" i="4" s="1"/>
  <c r="R119" i="4"/>
  <c r="R120" i="4"/>
  <c r="P125" i="4"/>
  <c r="P126" i="4" s="1"/>
  <c r="P127" i="4" s="1"/>
  <c r="D202" i="4"/>
  <c r="D208" i="4" s="1"/>
  <c r="D226" i="4" s="1"/>
  <c r="E154" i="4"/>
  <c r="E153" i="4"/>
  <c r="E150" i="4"/>
  <c r="E151" i="4" s="1"/>
  <c r="D156" i="4"/>
  <c r="G144" i="4"/>
  <c r="AC115" i="4"/>
  <c r="AE111" i="4"/>
  <c r="AB118" i="4"/>
  <c r="AB186" i="4"/>
  <c r="AB196" i="4" s="1"/>
  <c r="AB220" i="4" s="1"/>
  <c r="N135" i="4"/>
  <c r="N187" i="4"/>
  <c r="N193" i="4" s="1"/>
  <c r="N217" i="4" s="1"/>
  <c r="Q121" i="4"/>
  <c r="Q200" i="4" s="1"/>
  <c r="Q210" i="4" s="1"/>
  <c r="Q228" i="4" s="1"/>
  <c r="AI230" i="8" l="1"/>
  <c r="AI240" i="8" s="1"/>
  <c r="AI248" i="8" s="1"/>
  <c r="AI239" i="8"/>
  <c r="AI247" i="8" s="1"/>
  <c r="AL150" i="8"/>
  <c r="AL151" i="8" s="1"/>
  <c r="AL152" i="8"/>
  <c r="AL188" i="8"/>
  <c r="AL194" i="8" s="1"/>
  <c r="AL218" i="8" s="1"/>
  <c r="AM188" i="8"/>
  <c r="AM194" i="8" s="1"/>
  <c r="AM218" i="8" s="1"/>
  <c r="AK158" i="8"/>
  <c r="AH178" i="8"/>
  <c r="AH180" i="8" s="1"/>
  <c r="AH213" i="8" s="1"/>
  <c r="I139" i="4"/>
  <c r="I141" i="4" s="1"/>
  <c r="S114" i="4"/>
  <c r="R121" i="4"/>
  <c r="R200" i="4" s="1"/>
  <c r="R210" i="4" s="1"/>
  <c r="R228" i="4" s="1"/>
  <c r="F148" i="4"/>
  <c r="E155" i="4"/>
  <c r="D158" i="4"/>
  <c r="J137" i="4"/>
  <c r="J136" i="4"/>
  <c r="J133" i="4"/>
  <c r="J134" i="4" s="1"/>
  <c r="AC118" i="4"/>
  <c r="AC186" i="4"/>
  <c r="AC196" i="4" s="1"/>
  <c r="AC220" i="4" s="1"/>
  <c r="G145" i="4"/>
  <c r="P128" i="4"/>
  <c r="Q122" i="4"/>
  <c r="Q124" i="4" s="1"/>
  <c r="AD115" i="4"/>
  <c r="AF111" i="4"/>
  <c r="R122" i="4" l="1"/>
  <c r="AM148" i="8"/>
  <c r="AL155" i="8"/>
  <c r="AL202" i="8" s="1"/>
  <c r="AL208" i="8" s="1"/>
  <c r="AL226" i="8" s="1"/>
  <c r="AH230" i="8"/>
  <c r="AH240" i="8" s="1"/>
  <c r="AH248" i="8" s="1"/>
  <c r="AH239" i="8"/>
  <c r="AH247" i="8" s="1"/>
  <c r="AK159" i="8"/>
  <c r="AK160" i="8" s="1"/>
  <c r="AK161" i="8" s="1"/>
  <c r="K131" i="4"/>
  <c r="J138" i="4"/>
  <c r="J201" i="4" s="1"/>
  <c r="J207" i="4" s="1"/>
  <c r="J225" i="4" s="1"/>
  <c r="AD118" i="4"/>
  <c r="AD186" i="4"/>
  <c r="AD196" i="4" s="1"/>
  <c r="AD220" i="4" s="1"/>
  <c r="Q125" i="4"/>
  <c r="Q126" i="4" s="1"/>
  <c r="Q127" i="4" s="1"/>
  <c r="O132" i="4"/>
  <c r="R124" i="4"/>
  <c r="I142" i="4"/>
  <c r="I143" i="4" s="1"/>
  <c r="I144" i="4" s="1"/>
  <c r="D159" i="4"/>
  <c r="D160" i="4" s="1"/>
  <c r="D161" i="4" s="1"/>
  <c r="F153" i="4"/>
  <c r="F154" i="4"/>
  <c r="F149" i="4"/>
  <c r="F150" i="4" s="1"/>
  <c r="H145" i="4"/>
  <c r="G149" i="4" s="1"/>
  <c r="S119" i="4"/>
  <c r="S120" i="4"/>
  <c r="S116" i="4"/>
  <c r="S117" i="4" s="1"/>
  <c r="E202" i="4"/>
  <c r="E208" i="4" s="1"/>
  <c r="E226" i="4" s="1"/>
  <c r="E156" i="4"/>
  <c r="AE115" i="4"/>
  <c r="AG111" i="4"/>
  <c r="AK162" i="8" l="1"/>
  <c r="AJ166" i="8" s="1"/>
  <c r="AM153" i="8"/>
  <c r="AM154" i="8"/>
  <c r="AM150" i="8"/>
  <c r="AM151" i="8" s="1"/>
  <c r="AM155" i="8" s="1"/>
  <c r="AM202" i="8" s="1"/>
  <c r="AM208" i="8" s="1"/>
  <c r="AM226" i="8" s="1"/>
  <c r="AL156" i="8"/>
  <c r="F151" i="4"/>
  <c r="G148" i="4" s="1"/>
  <c r="G150" i="4" s="1"/>
  <c r="G151" i="4" s="1"/>
  <c r="J139" i="4"/>
  <c r="J141" i="4" s="1"/>
  <c r="T114" i="4"/>
  <c r="S121" i="4"/>
  <c r="S200" i="4" s="1"/>
  <c r="S210" i="4" s="1"/>
  <c r="S228" i="4" s="1"/>
  <c r="G153" i="4"/>
  <c r="G154" i="4"/>
  <c r="AF115" i="4"/>
  <c r="AH111" i="4"/>
  <c r="E158" i="4"/>
  <c r="R125" i="4"/>
  <c r="R126" i="4" s="1"/>
  <c r="R127" i="4" s="1"/>
  <c r="G152" i="4"/>
  <c r="F152" i="4"/>
  <c r="F188" i="4"/>
  <c r="F194" i="4" s="1"/>
  <c r="F218" i="4" s="1"/>
  <c r="G188" i="4"/>
  <c r="G194" i="4" s="1"/>
  <c r="G218" i="4" s="1"/>
  <c r="K137" i="4"/>
  <c r="K133" i="4"/>
  <c r="K134" i="4" s="1"/>
  <c r="K136" i="4"/>
  <c r="AE118" i="4"/>
  <c r="AE186" i="4"/>
  <c r="AE196" i="4" s="1"/>
  <c r="AE220" i="4" s="1"/>
  <c r="D162" i="4"/>
  <c r="C166" i="4" s="1"/>
  <c r="O135" i="4"/>
  <c r="O187" i="4"/>
  <c r="O193" i="4" s="1"/>
  <c r="O217" i="4" s="1"/>
  <c r="Q128" i="4"/>
  <c r="I145" i="4"/>
  <c r="H149" i="4" s="1"/>
  <c r="AL158" i="8" l="1"/>
  <c r="F155" i="4"/>
  <c r="S122" i="4"/>
  <c r="S124" i="4" s="1"/>
  <c r="S125" i="4" s="1"/>
  <c r="S126" i="4" s="1"/>
  <c r="S127" i="4" s="1"/>
  <c r="AM156" i="8"/>
  <c r="AM158" i="8" s="1"/>
  <c r="AJ169" i="8"/>
  <c r="AJ189" i="8"/>
  <c r="AJ192" i="8" s="1"/>
  <c r="AJ216" i="8" s="1"/>
  <c r="AJ167" i="8"/>
  <c r="AJ168" i="8" s="1"/>
  <c r="C168" i="4"/>
  <c r="C169" i="4"/>
  <c r="C189" i="4"/>
  <c r="C192" i="4" s="1"/>
  <c r="C216" i="4" s="1"/>
  <c r="F156" i="4"/>
  <c r="F158" i="4" s="1"/>
  <c r="L131" i="4"/>
  <c r="K138" i="4"/>
  <c r="K201" i="4" s="1"/>
  <c r="K207" i="4" s="1"/>
  <c r="K225" i="4" s="1"/>
  <c r="R128" i="4"/>
  <c r="H148" i="4"/>
  <c r="G155" i="4"/>
  <c r="G202" i="4" s="1"/>
  <c r="G208" i="4" s="1"/>
  <c r="G226" i="4" s="1"/>
  <c r="J142" i="4"/>
  <c r="J143" i="4" s="1"/>
  <c r="J144" i="4" s="1"/>
  <c r="E159" i="4"/>
  <c r="E160" i="4" s="1"/>
  <c r="E161" i="4" s="1"/>
  <c r="F202" i="4"/>
  <c r="F208" i="4" s="1"/>
  <c r="F226" i="4" s="1"/>
  <c r="P132" i="4"/>
  <c r="AG115" i="4"/>
  <c r="AI111" i="4"/>
  <c r="H152" i="4"/>
  <c r="H188" i="4"/>
  <c r="H194" i="4" s="1"/>
  <c r="H218" i="4" s="1"/>
  <c r="AF118" i="4"/>
  <c r="AF186" i="4"/>
  <c r="AF196" i="4" s="1"/>
  <c r="AF220" i="4" s="1"/>
  <c r="T116" i="4"/>
  <c r="T117" i="4" s="1"/>
  <c r="U114" i="4" s="1"/>
  <c r="T119" i="4"/>
  <c r="T120" i="4"/>
  <c r="AK165" i="8" l="1"/>
  <c r="AJ172" i="8"/>
  <c r="AM159" i="8"/>
  <c r="AM160" i="8" s="1"/>
  <c r="AL159" i="8"/>
  <c r="AL160" i="8" s="1"/>
  <c r="G156" i="4"/>
  <c r="G158" i="4" s="1"/>
  <c r="K139" i="4"/>
  <c r="C172" i="4"/>
  <c r="D165" i="4"/>
  <c r="J145" i="4"/>
  <c r="I149" i="4" s="1"/>
  <c r="S128" i="4"/>
  <c r="G159" i="4"/>
  <c r="G160" i="4" s="1"/>
  <c r="U116" i="4"/>
  <c r="U117" i="4" s="1"/>
  <c r="U119" i="4"/>
  <c r="U120" i="4"/>
  <c r="P135" i="4"/>
  <c r="P187" i="4"/>
  <c r="P193" i="4" s="1"/>
  <c r="P217" i="4" s="1"/>
  <c r="AG118" i="4"/>
  <c r="AG186" i="4"/>
  <c r="AG196" i="4" s="1"/>
  <c r="AG220" i="4" s="1"/>
  <c r="H153" i="4"/>
  <c r="H154" i="4"/>
  <c r="H150" i="4"/>
  <c r="H151" i="4" s="1"/>
  <c r="I148" i="4" s="1"/>
  <c r="K141" i="4"/>
  <c r="T121" i="4"/>
  <c r="T200" i="4" s="1"/>
  <c r="T210" i="4" s="1"/>
  <c r="T228" i="4" s="1"/>
  <c r="F159" i="4"/>
  <c r="F160" i="4" s="1"/>
  <c r="F161" i="4" s="1"/>
  <c r="E162" i="4"/>
  <c r="D166" i="4" s="1"/>
  <c r="Q132" i="4"/>
  <c r="AH115" i="4"/>
  <c r="AJ111" i="4"/>
  <c r="L137" i="4"/>
  <c r="L136" i="4"/>
  <c r="L133" i="4"/>
  <c r="L134" i="4" s="1"/>
  <c r="M131" i="4" s="1"/>
  <c r="AM161" i="8" l="1"/>
  <c r="AL161" i="8"/>
  <c r="AJ203" i="8"/>
  <c r="AJ206" i="8" s="1"/>
  <c r="AJ224" i="8" s="1"/>
  <c r="AJ173" i="8"/>
  <c r="AK170" i="8"/>
  <c r="AK171" i="8"/>
  <c r="D169" i="4"/>
  <c r="D189" i="4"/>
  <c r="D192" i="4" s="1"/>
  <c r="D216" i="4" s="1"/>
  <c r="D170" i="4"/>
  <c r="D171" i="4"/>
  <c r="D167" i="4"/>
  <c r="D168" i="4" s="1"/>
  <c r="E165" i="4" s="1"/>
  <c r="C203" i="4"/>
  <c r="C206" i="4" s="1"/>
  <c r="C224" i="4" s="1"/>
  <c r="C173" i="4"/>
  <c r="T122" i="4"/>
  <c r="T124" i="4" s="1"/>
  <c r="T125" i="4" s="1"/>
  <c r="T126" i="4" s="1"/>
  <c r="T127" i="4" s="1"/>
  <c r="G161" i="4"/>
  <c r="L138" i="4"/>
  <c r="L201" i="4" s="1"/>
  <c r="L207" i="4" s="1"/>
  <c r="L225" i="4" s="1"/>
  <c r="F162" i="4"/>
  <c r="E166" i="4" s="1"/>
  <c r="E169" i="4" s="1"/>
  <c r="V114" i="4"/>
  <c r="U121" i="4"/>
  <c r="U200" i="4" s="1"/>
  <c r="U210" i="4" s="1"/>
  <c r="U228" i="4" s="1"/>
  <c r="AH118" i="4"/>
  <c r="AH186" i="4"/>
  <c r="AH196" i="4" s="1"/>
  <c r="AH220" i="4" s="1"/>
  <c r="M137" i="4"/>
  <c r="M133" i="4"/>
  <c r="M134" i="4" s="1"/>
  <c r="M136" i="4"/>
  <c r="Q135" i="4"/>
  <c r="Q187" i="4"/>
  <c r="Q193" i="4" s="1"/>
  <c r="Q217" i="4" s="1"/>
  <c r="R132" i="4"/>
  <c r="H155" i="4"/>
  <c r="K142" i="4"/>
  <c r="K143" i="4" s="1"/>
  <c r="K144" i="4" s="1"/>
  <c r="I152" i="4"/>
  <c r="I188" i="4"/>
  <c r="I194" i="4" s="1"/>
  <c r="I218" i="4" s="1"/>
  <c r="I150" i="4"/>
  <c r="I151" i="4" s="1"/>
  <c r="I154" i="4"/>
  <c r="I153" i="4"/>
  <c r="AI115" i="4"/>
  <c r="AK111" i="4"/>
  <c r="AJ175" i="8" l="1"/>
  <c r="AL162" i="8"/>
  <c r="E189" i="4"/>
  <c r="E192" i="4" s="1"/>
  <c r="E216" i="4" s="1"/>
  <c r="C175" i="4"/>
  <c r="L139" i="4"/>
  <c r="D172" i="4"/>
  <c r="D203" i="4" s="1"/>
  <c r="D206" i="4" s="1"/>
  <c r="D224" i="4" s="1"/>
  <c r="G162" i="4"/>
  <c r="F166" i="4" s="1"/>
  <c r="F189" i="4" s="1"/>
  <c r="F192" i="4" s="1"/>
  <c r="F216" i="4" s="1"/>
  <c r="E171" i="4"/>
  <c r="E170" i="4"/>
  <c r="E167" i="4"/>
  <c r="E168" i="4" s="1"/>
  <c r="F165" i="4" s="1"/>
  <c r="K145" i="4"/>
  <c r="J149" i="4" s="1"/>
  <c r="T128" i="4"/>
  <c r="J148" i="4"/>
  <c r="I155" i="4"/>
  <c r="I156" i="4" s="1"/>
  <c r="N131" i="4"/>
  <c r="M138" i="4"/>
  <c r="M201" i="4" s="1"/>
  <c r="M207" i="4" s="1"/>
  <c r="M225" i="4" s="1"/>
  <c r="U122" i="4"/>
  <c r="U124" i="4" s="1"/>
  <c r="AJ115" i="4"/>
  <c r="AL111" i="4"/>
  <c r="L141" i="4"/>
  <c r="AI118" i="4"/>
  <c r="AI186" i="4"/>
  <c r="AI196" i="4" s="1"/>
  <c r="AI220" i="4" s="1"/>
  <c r="H202" i="4"/>
  <c r="H208" i="4" s="1"/>
  <c r="H226" i="4" s="1"/>
  <c r="H156" i="4"/>
  <c r="R135" i="4"/>
  <c r="R187" i="4"/>
  <c r="R193" i="4" s="1"/>
  <c r="R217" i="4" s="1"/>
  <c r="V119" i="4"/>
  <c r="V116" i="4"/>
  <c r="V117" i="4" s="1"/>
  <c r="V120" i="4"/>
  <c r="AK166" i="8" l="1"/>
  <c r="AM162" i="8"/>
  <c r="AJ176" i="8"/>
  <c r="AJ177" i="8" s="1"/>
  <c r="AJ178" i="8" s="1"/>
  <c r="AJ180" i="8" s="1"/>
  <c r="AJ213" i="8" s="1"/>
  <c r="D173" i="4"/>
  <c r="D175" i="4" s="1"/>
  <c r="F169" i="4"/>
  <c r="C176" i="4"/>
  <c r="C177" i="4" s="1"/>
  <c r="C178" i="4" s="1"/>
  <c r="F171" i="4"/>
  <c r="F167" i="4"/>
  <c r="F170" i="4"/>
  <c r="F168" i="4"/>
  <c r="G165" i="4" s="1"/>
  <c r="E172" i="4"/>
  <c r="M139" i="4"/>
  <c r="M141" i="4" s="1"/>
  <c r="M142" i="4" s="1"/>
  <c r="M143" i="4" s="1"/>
  <c r="W114" i="4"/>
  <c r="V121" i="4"/>
  <c r="V200" i="4" s="1"/>
  <c r="V210" i="4" s="1"/>
  <c r="V228" i="4" s="1"/>
  <c r="L142" i="4"/>
  <c r="L143" i="4" s="1"/>
  <c r="H158" i="4"/>
  <c r="I158" i="4"/>
  <c r="AK115" i="4"/>
  <c r="AM111" i="4"/>
  <c r="AL115" i="4" s="1"/>
  <c r="AJ118" i="4"/>
  <c r="AJ186" i="4"/>
  <c r="AJ196" i="4" s="1"/>
  <c r="AJ220" i="4" s="1"/>
  <c r="I202" i="4"/>
  <c r="I208" i="4" s="1"/>
  <c r="I226" i="4" s="1"/>
  <c r="N136" i="4"/>
  <c r="N133" i="4"/>
  <c r="N134" i="4" s="1"/>
  <c r="O131" i="4" s="1"/>
  <c r="N137" i="4"/>
  <c r="J150" i="4"/>
  <c r="J151" i="4" s="1"/>
  <c r="K148" i="4" s="1"/>
  <c r="J153" i="4"/>
  <c r="J154" i="4"/>
  <c r="S132" i="4"/>
  <c r="U125" i="4"/>
  <c r="U126" i="4" s="1"/>
  <c r="U127" i="4" s="1"/>
  <c r="J152" i="4"/>
  <c r="J188" i="4"/>
  <c r="J194" i="4" s="1"/>
  <c r="J218" i="4" s="1"/>
  <c r="AJ230" i="8" l="1"/>
  <c r="AJ240" i="8" s="1"/>
  <c r="AJ248" i="8" s="1"/>
  <c r="AJ239" i="8"/>
  <c r="AJ247" i="8" s="1"/>
  <c r="AK169" i="8"/>
  <c r="AK189" i="8"/>
  <c r="AK192" i="8" s="1"/>
  <c r="AK216" i="8" s="1"/>
  <c r="AK167" i="8"/>
  <c r="AK168" i="8" s="1"/>
  <c r="F172" i="4"/>
  <c r="F173" i="4" s="1"/>
  <c r="D176" i="4"/>
  <c r="D177" i="4" s="1"/>
  <c r="D178" i="4" s="1"/>
  <c r="D180" i="4" s="1"/>
  <c r="D213" i="4" s="1"/>
  <c r="V122" i="4"/>
  <c r="V124" i="4" s="1"/>
  <c r="V125" i="4" s="1"/>
  <c r="V126" i="4" s="1"/>
  <c r="V127" i="4" s="1"/>
  <c r="M144" i="4"/>
  <c r="E173" i="4"/>
  <c r="E203" i="4"/>
  <c r="E206" i="4" s="1"/>
  <c r="E224" i="4" s="1"/>
  <c r="G170" i="4"/>
  <c r="G171" i="4"/>
  <c r="N138" i="4"/>
  <c r="N201" i="4" s="1"/>
  <c r="N207" i="4" s="1"/>
  <c r="N225" i="4" s="1"/>
  <c r="L144" i="4"/>
  <c r="K153" i="4"/>
  <c r="K154" i="4"/>
  <c r="U128" i="4"/>
  <c r="AL118" i="4"/>
  <c r="AM186" i="4"/>
  <c r="AM196" i="4" s="1"/>
  <c r="AM220" i="4" s="1"/>
  <c r="AL186" i="4"/>
  <c r="AL196" i="4" s="1"/>
  <c r="AL220" i="4" s="1"/>
  <c r="S135" i="4"/>
  <c r="S187" i="4"/>
  <c r="S193" i="4" s="1"/>
  <c r="S217" i="4" s="1"/>
  <c r="W116" i="4"/>
  <c r="W117" i="4" s="1"/>
  <c r="W119" i="4"/>
  <c r="W120" i="4"/>
  <c r="J155" i="4"/>
  <c r="AK118" i="4"/>
  <c r="AK186" i="4"/>
  <c r="AK196" i="4" s="1"/>
  <c r="AK220" i="4" s="1"/>
  <c r="O137" i="4"/>
  <c r="O133" i="4"/>
  <c r="O134" i="4" s="1"/>
  <c r="O136" i="4"/>
  <c r="I159" i="4"/>
  <c r="I160" i="4" s="1"/>
  <c r="H159" i="4"/>
  <c r="H160" i="4" s="1"/>
  <c r="H161" i="4" s="1"/>
  <c r="AL165" i="8" l="1"/>
  <c r="AL166" i="8" s="1"/>
  <c r="AK172" i="8"/>
  <c r="F203" i="4"/>
  <c r="F206" i="4" s="1"/>
  <c r="F224" i="4" s="1"/>
  <c r="E175" i="4"/>
  <c r="F175" i="4"/>
  <c r="C180" i="4"/>
  <c r="C213" i="4" s="1"/>
  <c r="D230" i="4"/>
  <c r="D240" i="4" s="1"/>
  <c r="D248" i="4" s="1"/>
  <c r="D239" i="4"/>
  <c r="D247" i="4" s="1"/>
  <c r="N139" i="4"/>
  <c r="N141" i="4" s="1"/>
  <c r="I161" i="4"/>
  <c r="P131" i="4"/>
  <c r="P137" i="4" s="1"/>
  <c r="O138" i="4"/>
  <c r="O201" i="4" s="1"/>
  <c r="O207" i="4" s="1"/>
  <c r="O225" i="4" s="1"/>
  <c r="X114" i="4"/>
  <c r="W121" i="4"/>
  <c r="W200" i="4" s="1"/>
  <c r="W210" i="4" s="1"/>
  <c r="W228" i="4" s="1"/>
  <c r="V128" i="4"/>
  <c r="J202" i="4"/>
  <c r="J208" i="4" s="1"/>
  <c r="J226" i="4" s="1"/>
  <c r="J156" i="4"/>
  <c r="L145" i="4"/>
  <c r="H162" i="4"/>
  <c r="T132" i="4"/>
  <c r="AL189" i="8" l="1"/>
  <c r="AL192" i="8" s="1"/>
  <c r="AL216" i="8" s="1"/>
  <c r="AL169" i="8"/>
  <c r="AM189" i="8"/>
  <c r="AM192" i="8" s="1"/>
  <c r="AM216" i="8" s="1"/>
  <c r="AK203" i="8"/>
  <c r="AK206" i="8" s="1"/>
  <c r="AK224" i="8" s="1"/>
  <c r="AK173" i="8"/>
  <c r="AL170" i="8"/>
  <c r="AL167" i="8"/>
  <c r="AL168" i="8" s="1"/>
  <c r="AM165" i="8" s="1"/>
  <c r="AL171" i="8"/>
  <c r="F176" i="4"/>
  <c r="F177" i="4" s="1"/>
  <c r="E176" i="4"/>
  <c r="E177" i="4" s="1"/>
  <c r="O139" i="4"/>
  <c r="O141" i="4" s="1"/>
  <c r="O142" i="4" s="1"/>
  <c r="O143" i="4" s="1"/>
  <c r="P133" i="4"/>
  <c r="P134" i="4" s="1"/>
  <c r="Q131" i="4" s="1"/>
  <c r="P136" i="4"/>
  <c r="C230" i="4"/>
  <c r="C240" i="4" s="1"/>
  <c r="C248" i="4" s="1"/>
  <c r="C239" i="4"/>
  <c r="C247" i="4" s="1"/>
  <c r="I162" i="4"/>
  <c r="H166" i="4" s="1"/>
  <c r="G166" i="4"/>
  <c r="W122" i="4"/>
  <c r="W124" i="4" s="1"/>
  <c r="W125" i="4" s="1"/>
  <c r="W126" i="4" s="1"/>
  <c r="W127" i="4" s="1"/>
  <c r="J158" i="4"/>
  <c r="K149" i="4"/>
  <c r="M145" i="4"/>
  <c r="L149" i="4" s="1"/>
  <c r="N142" i="4"/>
  <c r="N143" i="4" s="1"/>
  <c r="U132" i="4"/>
  <c r="T135" i="4"/>
  <c r="T187" i="4"/>
  <c r="T193" i="4" s="1"/>
  <c r="T217" i="4" s="1"/>
  <c r="X120" i="4"/>
  <c r="X119" i="4"/>
  <c r="X116" i="4"/>
  <c r="X117" i="4" s="1"/>
  <c r="Y114" i="4" s="1"/>
  <c r="F178" i="4" l="1"/>
  <c r="AL172" i="8"/>
  <c r="AL203" i="8" s="1"/>
  <c r="AL206" i="8" s="1"/>
  <c r="AL224" i="8" s="1"/>
  <c r="AM170" i="8"/>
  <c r="AM171" i="8"/>
  <c r="AM167" i="8"/>
  <c r="AM168" i="8" s="1"/>
  <c r="AM172" i="8" s="1"/>
  <c r="AM203" i="8" s="1"/>
  <c r="AM206" i="8" s="1"/>
  <c r="AM224" i="8" s="1"/>
  <c r="AK175" i="8"/>
  <c r="O144" i="4"/>
  <c r="E178" i="4"/>
  <c r="E180" i="4" s="1"/>
  <c r="E213" i="4" s="1"/>
  <c r="P138" i="4"/>
  <c r="P201" i="4" s="1"/>
  <c r="P207" i="4" s="1"/>
  <c r="P225" i="4" s="1"/>
  <c r="N144" i="4"/>
  <c r="N145" i="4" s="1"/>
  <c r="M149" i="4" s="1"/>
  <c r="H169" i="4"/>
  <c r="G169" i="4"/>
  <c r="G189" i="4"/>
  <c r="G192" i="4" s="1"/>
  <c r="G216" i="4" s="1"/>
  <c r="H189" i="4"/>
  <c r="H192" i="4" s="1"/>
  <c r="H216" i="4" s="1"/>
  <c r="G167" i="4"/>
  <c r="G168" i="4" s="1"/>
  <c r="W128" i="4"/>
  <c r="L152" i="4"/>
  <c r="L188" i="4"/>
  <c r="L194" i="4" s="1"/>
  <c r="L218" i="4" s="1"/>
  <c r="K152" i="4"/>
  <c r="K188" i="4"/>
  <c r="K194" i="4" s="1"/>
  <c r="K218" i="4" s="1"/>
  <c r="K150" i="4"/>
  <c r="K151" i="4" s="1"/>
  <c r="U135" i="4"/>
  <c r="U187" i="4"/>
  <c r="U193" i="4" s="1"/>
  <c r="U217" i="4" s="1"/>
  <c r="Y116" i="4"/>
  <c r="Y117" i="4" s="1"/>
  <c r="Z114" i="4" s="1"/>
  <c r="Y120" i="4"/>
  <c r="Y119" i="4"/>
  <c r="X121" i="4"/>
  <c r="X200" i="4" s="1"/>
  <c r="X210" i="4" s="1"/>
  <c r="X228" i="4" s="1"/>
  <c r="J159" i="4"/>
  <c r="J160" i="4" s="1"/>
  <c r="J161" i="4" s="1"/>
  <c r="Q133" i="4"/>
  <c r="Q134" i="4" s="1"/>
  <c r="R131" i="4" s="1"/>
  <c r="Q137" i="4"/>
  <c r="Q136" i="4"/>
  <c r="AK176" i="8" l="1"/>
  <c r="AK177" i="8" s="1"/>
  <c r="AK178" i="8" s="1"/>
  <c r="AK180" i="8" s="1"/>
  <c r="AK213" i="8" s="1"/>
  <c r="AM173" i="8"/>
  <c r="AL173" i="8"/>
  <c r="X122" i="4"/>
  <c r="X124" i="4" s="1"/>
  <c r="X125" i="4" s="1"/>
  <c r="X126" i="4" s="1"/>
  <c r="X127" i="4" s="1"/>
  <c r="P139" i="4"/>
  <c r="P141" i="4" s="1"/>
  <c r="P142" i="4" s="1"/>
  <c r="P143" i="4" s="1"/>
  <c r="P144" i="4" s="1"/>
  <c r="F180" i="4"/>
  <c r="F213" i="4" s="1"/>
  <c r="O145" i="4"/>
  <c r="N149" i="4" s="1"/>
  <c r="E230" i="4"/>
  <c r="E240" i="4" s="1"/>
  <c r="E248" i="4" s="1"/>
  <c r="E239" i="4"/>
  <c r="E247" i="4" s="1"/>
  <c r="H165" i="4"/>
  <c r="G172" i="4"/>
  <c r="L148" i="4"/>
  <c r="K155" i="4"/>
  <c r="K202" i="4" s="1"/>
  <c r="K208" i="4" s="1"/>
  <c r="K226" i="4" s="1"/>
  <c r="R133" i="4"/>
  <c r="R134" i="4" s="1"/>
  <c r="R136" i="4"/>
  <c r="R137" i="4"/>
  <c r="Z116" i="4"/>
  <c r="Z117" i="4" s="1"/>
  <c r="AA114" i="4" s="1"/>
  <c r="Z119" i="4"/>
  <c r="Z120" i="4"/>
  <c r="Q138" i="4"/>
  <c r="Q201" i="4" s="1"/>
  <c r="Q207" i="4" s="1"/>
  <c r="Q225" i="4" s="1"/>
  <c r="J162" i="4"/>
  <c r="I166" i="4" s="1"/>
  <c r="N152" i="4"/>
  <c r="N188" i="4"/>
  <c r="N194" i="4" s="1"/>
  <c r="N218" i="4" s="1"/>
  <c r="V132" i="4"/>
  <c r="Y121" i="4"/>
  <c r="Y200" i="4" s="1"/>
  <c r="Y210" i="4" s="1"/>
  <c r="Y228" i="4" s="1"/>
  <c r="M152" i="4"/>
  <c r="M188" i="4"/>
  <c r="M194" i="4" s="1"/>
  <c r="M218" i="4" s="1"/>
  <c r="AK239" i="8" l="1"/>
  <c r="AK247" i="8" s="1"/>
  <c r="AK230" i="8"/>
  <c r="AK240" i="8" s="1"/>
  <c r="AK248" i="8" s="1"/>
  <c r="AM175" i="8"/>
  <c r="AL175" i="8"/>
  <c r="K156" i="4"/>
  <c r="F239" i="4"/>
  <c r="F247" i="4" s="1"/>
  <c r="F230" i="4"/>
  <c r="F240" i="4" s="1"/>
  <c r="F248" i="4" s="1"/>
  <c r="I169" i="4"/>
  <c r="I189" i="4"/>
  <c r="I192" i="4" s="1"/>
  <c r="I216" i="4" s="1"/>
  <c r="G173" i="4"/>
  <c r="G203" i="4"/>
  <c r="G206" i="4" s="1"/>
  <c r="G224" i="4" s="1"/>
  <c r="H170" i="4"/>
  <c r="H167" i="4"/>
  <c r="H168" i="4" s="1"/>
  <c r="I165" i="4" s="1"/>
  <c r="H171" i="4"/>
  <c r="S131" i="4"/>
  <c r="S133" i="4" s="1"/>
  <c r="S134" i="4" s="1"/>
  <c r="R138" i="4"/>
  <c r="R201" i="4" s="1"/>
  <c r="R207" i="4" s="1"/>
  <c r="R225" i="4" s="1"/>
  <c r="Z121" i="4"/>
  <c r="Z200" i="4" s="1"/>
  <c r="Z210" i="4" s="1"/>
  <c r="Z228" i="4" s="1"/>
  <c r="P145" i="4"/>
  <c r="O149" i="4" s="1"/>
  <c r="X128" i="4"/>
  <c r="V135" i="4"/>
  <c r="V187" i="4"/>
  <c r="V193" i="4" s="1"/>
  <c r="V217" i="4" s="1"/>
  <c r="Q139" i="4"/>
  <c r="K158" i="4"/>
  <c r="Y122" i="4"/>
  <c r="Y124" i="4" s="1"/>
  <c r="AA120" i="4"/>
  <c r="AA119" i="4"/>
  <c r="AA116" i="4"/>
  <c r="AA117" i="4" s="1"/>
  <c r="L153" i="4"/>
  <c r="L150" i="4"/>
  <c r="L151" i="4" s="1"/>
  <c r="M148" i="4" s="1"/>
  <c r="L154" i="4"/>
  <c r="AM176" i="8" l="1"/>
  <c r="AM177" i="8" s="1"/>
  <c r="AL176" i="8"/>
  <c r="AL177" i="8" s="1"/>
  <c r="AM178" i="8" s="1"/>
  <c r="AM180" i="8" s="1"/>
  <c r="AM213" i="8" s="1"/>
  <c r="G175" i="4"/>
  <c r="Z122" i="4"/>
  <c r="Z124" i="4" s="1"/>
  <c r="H172" i="4"/>
  <c r="H203" i="4" s="1"/>
  <c r="H206" i="4" s="1"/>
  <c r="H224" i="4" s="1"/>
  <c r="R139" i="4"/>
  <c r="R141" i="4" s="1"/>
  <c r="I167" i="4"/>
  <c r="I170" i="4"/>
  <c r="I168" i="4"/>
  <c r="J165" i="4" s="1"/>
  <c r="I171" i="4"/>
  <c r="S136" i="4"/>
  <c r="S137" i="4"/>
  <c r="T131" i="4"/>
  <c r="S138" i="4"/>
  <c r="S201" i="4" s="1"/>
  <c r="S207" i="4" s="1"/>
  <c r="S225" i="4" s="1"/>
  <c r="AB114" i="4"/>
  <c r="AA121" i="4"/>
  <c r="AA200" i="4" s="1"/>
  <c r="AA210" i="4" s="1"/>
  <c r="AA228" i="4" s="1"/>
  <c r="Q141" i="4"/>
  <c r="W132" i="4"/>
  <c r="Y125" i="4"/>
  <c r="Y126" i="4" s="1"/>
  <c r="Y127" i="4" s="1"/>
  <c r="M150" i="4"/>
  <c r="M151" i="4" s="1"/>
  <c r="M153" i="4"/>
  <c r="M154" i="4"/>
  <c r="O152" i="4"/>
  <c r="O188" i="4"/>
  <c r="O194" i="4" s="1"/>
  <c r="O218" i="4" s="1"/>
  <c r="K159" i="4"/>
  <c r="K160" i="4" s="1"/>
  <c r="K161" i="4" s="1"/>
  <c r="L155" i="4"/>
  <c r="L202" i="4" s="1"/>
  <c r="L208" i="4" s="1"/>
  <c r="L226" i="4" s="1"/>
  <c r="L156" i="4" l="1"/>
  <c r="AM230" i="8"/>
  <c r="AM240" i="8" s="1"/>
  <c r="AM248" i="8" s="1"/>
  <c r="AM239" i="8"/>
  <c r="AM247" i="8" s="1"/>
  <c r="AL178" i="8"/>
  <c r="AL180" i="8" s="1"/>
  <c r="AL213" i="8" s="1"/>
  <c r="I172" i="4"/>
  <c r="I203" i="4" s="1"/>
  <c r="I206" i="4" s="1"/>
  <c r="I224" i="4" s="1"/>
  <c r="AA122" i="4"/>
  <c r="AA124" i="4" s="1"/>
  <c r="AA125" i="4" s="1"/>
  <c r="AA126" i="4" s="1"/>
  <c r="G176" i="4"/>
  <c r="G177" i="4" s="1"/>
  <c r="G178" i="4" s="1"/>
  <c r="H173" i="4"/>
  <c r="I173" i="4"/>
  <c r="J171" i="4"/>
  <c r="J170" i="4"/>
  <c r="Y128" i="4"/>
  <c r="K162" i="4"/>
  <c r="J166" i="4" s="1"/>
  <c r="N148" i="4"/>
  <c r="M155" i="4"/>
  <c r="M202" i="4" s="1"/>
  <c r="M208" i="4" s="1"/>
  <c r="M226" i="4" s="1"/>
  <c r="L158" i="4"/>
  <c r="R142" i="4"/>
  <c r="R143" i="4" s="1"/>
  <c r="AB119" i="4"/>
  <c r="AB120" i="4"/>
  <c r="AB116" i="4"/>
  <c r="AB117" i="4" s="1"/>
  <c r="S139" i="4"/>
  <c r="Q142" i="4"/>
  <c r="Q143" i="4" s="1"/>
  <c r="Z125" i="4"/>
  <c r="Z126" i="4" s="1"/>
  <c r="Z127" i="4" s="1"/>
  <c r="W135" i="4"/>
  <c r="W187" i="4"/>
  <c r="W193" i="4" s="1"/>
  <c r="W217" i="4" s="1"/>
  <c r="T133" i="4"/>
  <c r="T134" i="4" s="1"/>
  <c r="T136" i="4"/>
  <c r="T137" i="4"/>
  <c r="AL239" i="8" l="1"/>
  <c r="AL247" i="8" s="1"/>
  <c r="AL230" i="8"/>
  <c r="AL240" i="8" s="1"/>
  <c r="AL248" i="8" s="1"/>
  <c r="H175" i="4"/>
  <c r="I175" i="4"/>
  <c r="G180" i="4"/>
  <c r="G213" i="4" s="1"/>
  <c r="G230" i="4" s="1"/>
  <c r="G240" i="4" s="1"/>
  <c r="G248" i="4" s="1"/>
  <c r="J169" i="4"/>
  <c r="J189" i="4"/>
  <c r="J192" i="4" s="1"/>
  <c r="J216" i="4" s="1"/>
  <c r="J167" i="4"/>
  <c r="J168" i="4" s="1"/>
  <c r="AA127" i="4"/>
  <c r="R144" i="4"/>
  <c r="M156" i="4"/>
  <c r="M158" i="4" s="1"/>
  <c r="M159" i="4" s="1"/>
  <c r="M160" i="4" s="1"/>
  <c r="AC114" i="4"/>
  <c r="AB121" i="4"/>
  <c r="AB200" i="4" s="1"/>
  <c r="AB210" i="4" s="1"/>
  <c r="AB228" i="4" s="1"/>
  <c r="U131" i="4"/>
  <c r="T138" i="4"/>
  <c r="T201" i="4" s="1"/>
  <c r="T207" i="4" s="1"/>
  <c r="T225" i="4" s="1"/>
  <c r="S141" i="4"/>
  <c r="X132" i="4"/>
  <c r="L159" i="4"/>
  <c r="L160" i="4" s="1"/>
  <c r="N153" i="4"/>
  <c r="N154" i="4"/>
  <c r="N150" i="4"/>
  <c r="N151" i="4" s="1"/>
  <c r="O148" i="4" s="1"/>
  <c r="Z128" i="4"/>
  <c r="Q144" i="4"/>
  <c r="AB122" i="4" l="1"/>
  <c r="AB124" i="4" s="1"/>
  <c r="G239" i="4"/>
  <c r="G247" i="4" s="1"/>
  <c r="I176" i="4"/>
  <c r="I177" i="4" s="1"/>
  <c r="H176" i="4"/>
  <c r="H177" i="4" s="1"/>
  <c r="AA128" i="4"/>
  <c r="K165" i="4"/>
  <c r="J172" i="4"/>
  <c r="M161" i="4"/>
  <c r="N155" i="4"/>
  <c r="N202" i="4" s="1"/>
  <c r="N208" i="4" s="1"/>
  <c r="N226" i="4" s="1"/>
  <c r="L161" i="4"/>
  <c r="X135" i="4"/>
  <c r="X187" i="4"/>
  <c r="X193" i="4" s="1"/>
  <c r="X217" i="4" s="1"/>
  <c r="U133" i="4"/>
  <c r="U134" i="4" s="1"/>
  <c r="V131" i="4" s="1"/>
  <c r="U137" i="4"/>
  <c r="U136" i="4"/>
  <c r="T139" i="4"/>
  <c r="AC119" i="4"/>
  <c r="AC120" i="4"/>
  <c r="AC116" i="4"/>
  <c r="AC117" i="4" s="1"/>
  <c r="AD114" i="4" s="1"/>
  <c r="Z132" i="4"/>
  <c r="Q145" i="4"/>
  <c r="AB125" i="4"/>
  <c r="AB126" i="4" s="1"/>
  <c r="AB127" i="4" s="1"/>
  <c r="Y132" i="4"/>
  <c r="O150" i="4"/>
  <c r="O151" i="4" s="1"/>
  <c r="P148" i="4" s="1"/>
  <c r="O154" i="4"/>
  <c r="O153" i="4"/>
  <c r="S142" i="4"/>
  <c r="S143" i="4" s="1"/>
  <c r="S144" i="4" s="1"/>
  <c r="I178" i="4" l="1"/>
  <c r="H178" i="4"/>
  <c r="H180" i="4" s="1"/>
  <c r="H213" i="4" s="1"/>
  <c r="H230" i="4" s="1"/>
  <c r="H240" i="4" s="1"/>
  <c r="H248" i="4" s="1"/>
  <c r="I180" i="4"/>
  <c r="I213" i="4" s="1"/>
  <c r="L162" i="4"/>
  <c r="M162" i="4" s="1"/>
  <c r="L166" i="4" s="1"/>
  <c r="K166" i="4"/>
  <c r="K167" i="4" s="1"/>
  <c r="K168" i="4" s="1"/>
  <c r="L165" i="4" s="1"/>
  <c r="J203" i="4"/>
  <c r="J206" i="4" s="1"/>
  <c r="J224" i="4" s="1"/>
  <c r="J173" i="4"/>
  <c r="N156" i="4"/>
  <c r="N158" i="4" s="1"/>
  <c r="K170" i="4"/>
  <c r="K171" i="4"/>
  <c r="AB128" i="4"/>
  <c r="P149" i="4"/>
  <c r="R145" i="4"/>
  <c r="Q149" i="4" s="1"/>
  <c r="P154" i="4"/>
  <c r="P153" i="4"/>
  <c r="AD116" i="4"/>
  <c r="AD117" i="4" s="1"/>
  <c r="AD119" i="4"/>
  <c r="AD120" i="4"/>
  <c r="Y135" i="4"/>
  <c r="Y187" i="4"/>
  <c r="Y193" i="4" s="1"/>
  <c r="Y217" i="4" s="1"/>
  <c r="AC121" i="4"/>
  <c r="AC200" i="4" s="1"/>
  <c r="AC210" i="4" s="1"/>
  <c r="AC228" i="4" s="1"/>
  <c r="T141" i="4"/>
  <c r="V136" i="4"/>
  <c r="V137" i="4"/>
  <c r="V133" i="4"/>
  <c r="V134" i="4" s="1"/>
  <c r="U138" i="4"/>
  <c r="U201" i="4" s="1"/>
  <c r="U207" i="4" s="1"/>
  <c r="U225" i="4" s="1"/>
  <c r="Z135" i="4"/>
  <c r="Z187" i="4"/>
  <c r="Z193" i="4" s="1"/>
  <c r="Z217" i="4" s="1"/>
  <c r="O155" i="4"/>
  <c r="O202" i="4" s="1"/>
  <c r="O208" i="4" s="1"/>
  <c r="O226" i="4" s="1"/>
  <c r="H239" i="4" l="1"/>
  <c r="H247" i="4" s="1"/>
  <c r="J175" i="4"/>
  <c r="I239" i="4"/>
  <c r="I247" i="4" s="1"/>
  <c r="I230" i="4"/>
  <c r="I240" i="4" s="1"/>
  <c r="I248" i="4" s="1"/>
  <c r="K172" i="4"/>
  <c r="K203" i="4" s="1"/>
  <c r="K206" i="4" s="1"/>
  <c r="K224" i="4" s="1"/>
  <c r="L171" i="4"/>
  <c r="L170" i="4"/>
  <c r="L167" i="4"/>
  <c r="L168" i="4" s="1"/>
  <c r="M165" i="4" s="1"/>
  <c r="K169" i="4"/>
  <c r="K189" i="4"/>
  <c r="K192" i="4" s="1"/>
  <c r="K216" i="4" s="1"/>
  <c r="L169" i="4"/>
  <c r="L189" i="4"/>
  <c r="L192" i="4" s="1"/>
  <c r="L216" i="4" s="1"/>
  <c r="U139" i="4"/>
  <c r="U141" i="4" s="1"/>
  <c r="U142" i="4" s="1"/>
  <c r="U143" i="4" s="1"/>
  <c r="W131" i="4"/>
  <c r="V138" i="4"/>
  <c r="V201" i="4" s="1"/>
  <c r="V207" i="4" s="1"/>
  <c r="V225" i="4" s="1"/>
  <c r="AE114" i="4"/>
  <c r="AD121" i="4"/>
  <c r="AD200" i="4" s="1"/>
  <c r="AD210" i="4" s="1"/>
  <c r="AD228" i="4" s="1"/>
  <c r="AC122" i="4"/>
  <c r="AC124" i="4" s="1"/>
  <c r="P150" i="4"/>
  <c r="P151" i="4" s="1"/>
  <c r="Q152" i="4"/>
  <c r="Q188" i="4"/>
  <c r="Q194" i="4" s="1"/>
  <c r="Q218" i="4" s="1"/>
  <c r="AA132" i="4"/>
  <c r="T142" i="4"/>
  <c r="T143" i="4" s="1"/>
  <c r="T144" i="4" s="1"/>
  <c r="S145" i="4"/>
  <c r="R149" i="4" s="1"/>
  <c r="P152" i="4"/>
  <c r="P188" i="4"/>
  <c r="P194" i="4" s="1"/>
  <c r="P218" i="4" s="1"/>
  <c r="N159" i="4"/>
  <c r="N160" i="4" s="1"/>
  <c r="N161" i="4" s="1"/>
  <c r="O156" i="4"/>
  <c r="U144" i="4" l="1"/>
  <c r="J176" i="4"/>
  <c r="J177" i="4" s="1"/>
  <c r="J178" i="4" s="1"/>
  <c r="L172" i="4"/>
  <c r="L203" i="4" s="1"/>
  <c r="L206" i="4" s="1"/>
  <c r="L224" i="4" s="1"/>
  <c r="K173" i="4"/>
  <c r="M171" i="4"/>
  <c r="M170" i="4"/>
  <c r="AD122" i="4"/>
  <c r="AD124" i="4" s="1"/>
  <c r="AD125" i="4" s="1"/>
  <c r="AD126" i="4" s="1"/>
  <c r="N162" i="4"/>
  <c r="M166" i="4" s="1"/>
  <c r="T145" i="4"/>
  <c r="S149" i="4" s="1"/>
  <c r="Q148" i="4"/>
  <c r="P155" i="4"/>
  <c r="P202" i="4" s="1"/>
  <c r="P208" i="4" s="1"/>
  <c r="P226" i="4" s="1"/>
  <c r="R152" i="4"/>
  <c r="R188" i="4"/>
  <c r="R194" i="4" s="1"/>
  <c r="R218" i="4" s="1"/>
  <c r="W137" i="4"/>
  <c r="W136" i="4"/>
  <c r="W133" i="4"/>
  <c r="W134" i="4" s="1"/>
  <c r="O158" i="4"/>
  <c r="AC125" i="4"/>
  <c r="AC126" i="4" s="1"/>
  <c r="AC127" i="4" s="1"/>
  <c r="V139" i="4"/>
  <c r="AE119" i="4"/>
  <c r="AE116" i="4"/>
  <c r="AE117" i="4" s="1"/>
  <c r="AE120" i="4"/>
  <c r="AA135" i="4"/>
  <c r="AA187" i="4"/>
  <c r="AA193" i="4" s="1"/>
  <c r="AA217" i="4" s="1"/>
  <c r="L173" i="4" l="1"/>
  <c r="K175" i="4"/>
  <c r="L175" i="4"/>
  <c r="J180" i="4"/>
  <c r="J213" i="4" s="1"/>
  <c r="M169" i="4"/>
  <c r="M189" i="4"/>
  <c r="M192" i="4" s="1"/>
  <c r="M216" i="4" s="1"/>
  <c r="M167" i="4"/>
  <c r="M168" i="4" s="1"/>
  <c r="AD127" i="4"/>
  <c r="AF114" i="4"/>
  <c r="AE121" i="4"/>
  <c r="AE200" i="4" s="1"/>
  <c r="AE210" i="4" s="1"/>
  <c r="AE228" i="4" s="1"/>
  <c r="X131" i="4"/>
  <c r="W138" i="4"/>
  <c r="W201" i="4" s="1"/>
  <c r="W207" i="4" s="1"/>
  <c r="W225" i="4" s="1"/>
  <c r="V141" i="4"/>
  <c r="Q150" i="4"/>
  <c r="Q151" i="4" s="1"/>
  <c r="R148" i="4" s="1"/>
  <c r="Q153" i="4"/>
  <c r="Q154" i="4"/>
  <c r="P156" i="4"/>
  <c r="U145" i="4"/>
  <c r="T149" i="4" s="1"/>
  <c r="AC128" i="4"/>
  <c r="S152" i="4"/>
  <c r="S188" i="4"/>
  <c r="S194" i="4" s="1"/>
  <c r="S218" i="4" s="1"/>
  <c r="O159" i="4"/>
  <c r="O160" i="4" s="1"/>
  <c r="O161" i="4" s="1"/>
  <c r="L176" i="4" l="1"/>
  <c r="L177" i="4" s="1"/>
  <c r="K176" i="4"/>
  <c r="K177" i="4" s="1"/>
  <c r="AD128" i="4"/>
  <c r="AC132" i="4" s="1"/>
  <c r="J239" i="4"/>
  <c r="J247" i="4" s="1"/>
  <c r="J230" i="4"/>
  <c r="J240" i="4" s="1"/>
  <c r="J248" i="4" s="1"/>
  <c r="W139" i="4"/>
  <c r="W141" i="4" s="1"/>
  <c r="W142" i="4" s="1"/>
  <c r="W143" i="4" s="1"/>
  <c r="N165" i="4"/>
  <c r="M172" i="4"/>
  <c r="AE122" i="4"/>
  <c r="AE124" i="4" s="1"/>
  <c r="AE125" i="4" s="1"/>
  <c r="AE126" i="4" s="1"/>
  <c r="AE127" i="4" s="1"/>
  <c r="T152" i="4"/>
  <c r="T188" i="4"/>
  <c r="T194" i="4" s="1"/>
  <c r="T218" i="4" s="1"/>
  <c r="V142" i="4"/>
  <c r="V143" i="4" s="1"/>
  <c r="V144" i="4" s="1"/>
  <c r="P158" i="4"/>
  <c r="R154" i="4"/>
  <c r="R153" i="4"/>
  <c r="R150" i="4"/>
  <c r="R151" i="4" s="1"/>
  <c r="Q155" i="4"/>
  <c r="Q202" i="4" s="1"/>
  <c r="Q208" i="4" s="1"/>
  <c r="Q226" i="4" s="1"/>
  <c r="X133" i="4"/>
  <c r="X134" i="4" s="1"/>
  <c r="X136" i="4"/>
  <c r="X137" i="4"/>
  <c r="O162" i="4"/>
  <c r="N166" i="4" s="1"/>
  <c r="AB132" i="4"/>
  <c r="AF119" i="4"/>
  <c r="AF120" i="4"/>
  <c r="AF116" i="4"/>
  <c r="AF117" i="4" s="1"/>
  <c r="L178" i="4" l="1"/>
  <c r="W144" i="4"/>
  <c r="K178" i="4"/>
  <c r="L180" i="4"/>
  <c r="L213" i="4" s="1"/>
  <c r="M203" i="4"/>
  <c r="M206" i="4" s="1"/>
  <c r="M224" i="4" s="1"/>
  <c r="M173" i="4"/>
  <c r="N169" i="4"/>
  <c r="N189" i="4"/>
  <c r="N192" i="4" s="1"/>
  <c r="N216" i="4" s="1"/>
  <c r="N167" i="4"/>
  <c r="N168" i="4" s="1"/>
  <c r="O165" i="4" s="1"/>
  <c r="N170" i="4"/>
  <c r="N171" i="4"/>
  <c r="N172" i="4"/>
  <c r="N203" i="4" s="1"/>
  <c r="N206" i="4" s="1"/>
  <c r="N224" i="4" s="1"/>
  <c r="V145" i="4"/>
  <c r="U149" i="4" s="1"/>
  <c r="Y131" i="4"/>
  <c r="X138" i="4"/>
  <c r="X201" i="4" s="1"/>
  <c r="X207" i="4" s="1"/>
  <c r="X225" i="4" s="1"/>
  <c r="S148" i="4"/>
  <c r="R155" i="4"/>
  <c r="R202" i="4" s="1"/>
  <c r="R208" i="4" s="1"/>
  <c r="R226" i="4" s="1"/>
  <c r="AG114" i="4"/>
  <c r="AF121" i="4"/>
  <c r="AF200" i="4" s="1"/>
  <c r="AF210" i="4" s="1"/>
  <c r="AF228" i="4" s="1"/>
  <c r="AE128" i="4"/>
  <c r="AC135" i="4"/>
  <c r="AC187" i="4"/>
  <c r="AC193" i="4" s="1"/>
  <c r="AC217" i="4" s="1"/>
  <c r="AB135" i="4"/>
  <c r="AB187" i="4"/>
  <c r="AB193" i="4" s="1"/>
  <c r="AB217" i="4" s="1"/>
  <c r="P159" i="4"/>
  <c r="P160" i="4" s="1"/>
  <c r="P161" i="4" s="1"/>
  <c r="Q156" i="4"/>
  <c r="M175" i="4" l="1"/>
  <c r="K180" i="4"/>
  <c r="K213" i="4" s="1"/>
  <c r="N173" i="4"/>
  <c r="N175" i="4" s="1"/>
  <c r="L230" i="4"/>
  <c r="L240" i="4" s="1"/>
  <c r="L248" i="4" s="1"/>
  <c r="L239" i="4"/>
  <c r="L247" i="4" s="1"/>
  <c r="W145" i="4"/>
  <c r="V149" i="4" s="1"/>
  <c r="V152" i="4" s="1"/>
  <c r="O170" i="4"/>
  <c r="O171" i="4"/>
  <c r="AF122" i="4"/>
  <c r="AF124" i="4" s="1"/>
  <c r="AF125" i="4" s="1"/>
  <c r="AF126" i="4" s="1"/>
  <c r="AF127" i="4" s="1"/>
  <c r="R156" i="4"/>
  <c r="R158" i="4" s="1"/>
  <c r="P162" i="4"/>
  <c r="O166" i="4" s="1"/>
  <c r="O167" i="4" s="1"/>
  <c r="O168" i="4" s="1"/>
  <c r="AG119" i="4"/>
  <c r="AG116" i="4"/>
  <c r="AG117" i="4" s="1"/>
  <c r="AG120" i="4"/>
  <c r="U152" i="4"/>
  <c r="U188" i="4"/>
  <c r="U194" i="4" s="1"/>
  <c r="U218" i="4" s="1"/>
  <c r="AD132" i="4"/>
  <c r="S150" i="4"/>
  <c r="S151" i="4" s="1"/>
  <c r="T148" i="4" s="1"/>
  <c r="S154" i="4"/>
  <c r="S153" i="4"/>
  <c r="Q158" i="4"/>
  <c r="Y137" i="4"/>
  <c r="Y133" i="4"/>
  <c r="Y134" i="4" s="1"/>
  <c r="Y136" i="4"/>
  <c r="X139" i="4"/>
  <c r="N176" i="4" l="1"/>
  <c r="N177" i="4" s="1"/>
  <c r="M176" i="4"/>
  <c r="M177" i="4" s="1"/>
  <c r="N178" i="4" s="1"/>
  <c r="P165" i="4"/>
  <c r="P171" i="4" s="1"/>
  <c r="O172" i="4"/>
  <c r="O203" i="4" s="1"/>
  <c r="O206" i="4" s="1"/>
  <c r="O224" i="4" s="1"/>
  <c r="V188" i="4"/>
  <c r="V194" i="4" s="1"/>
  <c r="V218" i="4" s="1"/>
  <c r="K239" i="4"/>
  <c r="K247" i="4" s="1"/>
  <c r="K230" i="4"/>
  <c r="K240" i="4" s="1"/>
  <c r="K248" i="4" s="1"/>
  <c r="P170" i="4"/>
  <c r="O169" i="4"/>
  <c r="O189" i="4"/>
  <c r="O192" i="4" s="1"/>
  <c r="O216" i="4" s="1"/>
  <c r="Z131" i="4"/>
  <c r="Z133" i="4" s="1"/>
  <c r="Z134" i="4" s="1"/>
  <c r="Y138" i="4"/>
  <c r="Y201" i="4" s="1"/>
  <c r="Y207" i="4" s="1"/>
  <c r="Y225" i="4" s="1"/>
  <c r="AF128" i="4"/>
  <c r="AH114" i="4"/>
  <c r="AG121" i="4"/>
  <c r="AG200" i="4" s="1"/>
  <c r="AG210" i="4" s="1"/>
  <c r="AG228" i="4" s="1"/>
  <c r="T153" i="4"/>
  <c r="T150" i="4"/>
  <c r="T151" i="4" s="1"/>
  <c r="U148" i="4" s="1"/>
  <c r="T154" i="4"/>
  <c r="AD135" i="4"/>
  <c r="AD187" i="4"/>
  <c r="AD193" i="4" s="1"/>
  <c r="AD217" i="4" s="1"/>
  <c r="R159" i="4"/>
  <c r="R160" i="4" s="1"/>
  <c r="Q159" i="4"/>
  <c r="Q160" i="4" s="1"/>
  <c r="Q161" i="4" s="1"/>
  <c r="X141" i="4"/>
  <c r="S155" i="4"/>
  <c r="S202" i="4" s="1"/>
  <c r="S208" i="4" s="1"/>
  <c r="S226" i="4" s="1"/>
  <c r="Z136" i="4" l="1"/>
  <c r="Z137" i="4"/>
  <c r="M178" i="4"/>
  <c r="R161" i="4"/>
  <c r="O173" i="4"/>
  <c r="M180" i="4"/>
  <c r="M213" i="4" s="1"/>
  <c r="M230" i="4" s="1"/>
  <c r="M240" i="4" s="1"/>
  <c r="M248" i="4" s="1"/>
  <c r="Y139" i="4"/>
  <c r="Y141" i="4" s="1"/>
  <c r="Y142" i="4" s="1"/>
  <c r="Y143" i="4" s="1"/>
  <c r="AG122" i="4"/>
  <c r="AG124" i="4" s="1"/>
  <c r="AG125" i="4" s="1"/>
  <c r="AG126" i="4" s="1"/>
  <c r="AA131" i="4"/>
  <c r="Z138" i="4"/>
  <c r="Z201" i="4" s="1"/>
  <c r="Z207" i="4" s="1"/>
  <c r="Z225" i="4" s="1"/>
  <c r="S156" i="4"/>
  <c r="Q162" i="4"/>
  <c r="T155" i="4"/>
  <c r="T202" i="4" s="1"/>
  <c r="T208" i="4" s="1"/>
  <c r="T226" i="4" s="1"/>
  <c r="X142" i="4"/>
  <c r="X143" i="4" s="1"/>
  <c r="AH116" i="4"/>
  <c r="AH117" i="4" s="1"/>
  <c r="AH119" i="4"/>
  <c r="AH120" i="4"/>
  <c r="U153" i="4"/>
  <c r="U154" i="4"/>
  <c r="U150" i="4"/>
  <c r="U151" i="4" s="1"/>
  <c r="AE132" i="4"/>
  <c r="M239" i="4" l="1"/>
  <c r="M247" i="4" s="1"/>
  <c r="O175" i="4"/>
  <c r="AI114" i="4"/>
  <c r="AI116" i="4" s="1"/>
  <c r="AI117" i="4" s="1"/>
  <c r="AH121" i="4"/>
  <c r="AH200" i="4" s="1"/>
  <c r="AH210" i="4" s="1"/>
  <c r="AH228" i="4" s="1"/>
  <c r="N180" i="4"/>
  <c r="N213" i="4" s="1"/>
  <c r="R162" i="4"/>
  <c r="Q166" i="4" s="1"/>
  <c r="P166" i="4"/>
  <c r="AG127" i="4"/>
  <c r="AG128" i="4" s="1"/>
  <c r="T156" i="4"/>
  <c r="T158" i="4" s="1"/>
  <c r="Y144" i="4"/>
  <c r="V148" i="4"/>
  <c r="U155" i="4"/>
  <c r="U202" i="4" s="1"/>
  <c r="U208" i="4" s="1"/>
  <c r="U226" i="4" s="1"/>
  <c r="AA133" i="4"/>
  <c r="AA134" i="4" s="1"/>
  <c r="AA136" i="4"/>
  <c r="AA137" i="4"/>
  <c r="AI119" i="4"/>
  <c r="AE135" i="4"/>
  <c r="AE187" i="4"/>
  <c r="AE193" i="4" s="1"/>
  <c r="AE217" i="4" s="1"/>
  <c r="S158" i="4"/>
  <c r="X144" i="4"/>
  <c r="Z139" i="4"/>
  <c r="AI120" i="4" l="1"/>
  <c r="AH122" i="4"/>
  <c r="AH124" i="4" s="1"/>
  <c r="O176" i="4"/>
  <c r="O177" i="4" s="1"/>
  <c r="O178" i="4" s="1"/>
  <c r="O180" i="4" s="1"/>
  <c r="O213" i="4" s="1"/>
  <c r="N230" i="4"/>
  <c r="N240" i="4" s="1"/>
  <c r="N248" i="4" s="1"/>
  <c r="N239" i="4"/>
  <c r="N247" i="4" s="1"/>
  <c r="P169" i="4"/>
  <c r="P189" i="4"/>
  <c r="P192" i="4" s="1"/>
  <c r="P216" i="4" s="1"/>
  <c r="P167" i="4"/>
  <c r="P168" i="4" s="1"/>
  <c r="Q169" i="4"/>
  <c r="Q189" i="4"/>
  <c r="Q192" i="4" s="1"/>
  <c r="Q216" i="4" s="1"/>
  <c r="U156" i="4"/>
  <c r="U158" i="4" s="1"/>
  <c r="U159" i="4" s="1"/>
  <c r="U160" i="4" s="1"/>
  <c r="AJ114" i="4"/>
  <c r="AI121" i="4"/>
  <c r="AI200" i="4" s="1"/>
  <c r="AI210" i="4" s="1"/>
  <c r="AI228" i="4" s="1"/>
  <c r="AB131" i="4"/>
  <c r="AA138" i="4"/>
  <c r="AA201" i="4" s="1"/>
  <c r="AA207" i="4" s="1"/>
  <c r="AA225" i="4" s="1"/>
  <c r="Z141" i="4"/>
  <c r="X145" i="4"/>
  <c r="T159" i="4"/>
  <c r="T160" i="4" s="1"/>
  <c r="S159" i="4"/>
  <c r="S160" i="4" s="1"/>
  <c r="S161" i="4" s="1"/>
  <c r="AH125" i="4"/>
  <c r="AH126" i="4" s="1"/>
  <c r="AH127" i="4" s="1"/>
  <c r="V150" i="4"/>
  <c r="V151" i="4" s="1"/>
  <c r="V154" i="4"/>
  <c r="V153" i="4"/>
  <c r="AF132" i="4"/>
  <c r="O239" i="4" l="1"/>
  <c r="O247" i="4" s="1"/>
  <c r="O230" i="4"/>
  <c r="O240" i="4" s="1"/>
  <c r="O248" i="4" s="1"/>
  <c r="W148" i="4"/>
  <c r="W154" i="4" s="1"/>
  <c r="V155" i="4"/>
  <c r="V202" i="4" s="1"/>
  <c r="V208" i="4" s="1"/>
  <c r="V226" i="4" s="1"/>
  <c r="AI122" i="4"/>
  <c r="AI124" i="4" s="1"/>
  <c r="AI125" i="4" s="1"/>
  <c r="AI126" i="4" s="1"/>
  <c r="AI127" i="4" s="1"/>
  <c r="Q165" i="4"/>
  <c r="P172" i="4"/>
  <c r="U161" i="4"/>
  <c r="AA139" i="4"/>
  <c r="AA141" i="4" s="1"/>
  <c r="AA142" i="4" s="1"/>
  <c r="AA143" i="4" s="1"/>
  <c r="V156" i="4"/>
  <c r="V158" i="4" s="1"/>
  <c r="V159" i="4" s="1"/>
  <c r="V160" i="4" s="1"/>
  <c r="V161" i="4" s="1"/>
  <c r="T161" i="4"/>
  <c r="AF135" i="4"/>
  <c r="AF187" i="4"/>
  <c r="AF193" i="4" s="1"/>
  <c r="AF217" i="4" s="1"/>
  <c r="AJ119" i="4"/>
  <c r="AJ120" i="4"/>
  <c r="AJ116" i="4"/>
  <c r="AJ117" i="4" s="1"/>
  <c r="S162" i="4"/>
  <c r="R166" i="4" s="1"/>
  <c r="AH128" i="4"/>
  <c r="W149" i="4"/>
  <c r="Y145" i="4"/>
  <c r="X149" i="4" s="1"/>
  <c r="AB133" i="4"/>
  <c r="AB134" i="4" s="1"/>
  <c r="AC131" i="4" s="1"/>
  <c r="AB137" i="4"/>
  <c r="AB136" i="4"/>
  <c r="Z142" i="4"/>
  <c r="Z143" i="4" s="1"/>
  <c r="Z144" i="4" s="1"/>
  <c r="W150" i="4" l="1"/>
  <c r="AA144" i="4"/>
  <c r="W153" i="4"/>
  <c r="P203" i="4"/>
  <c r="P206" i="4" s="1"/>
  <c r="P224" i="4" s="1"/>
  <c r="P173" i="4"/>
  <c r="R169" i="4"/>
  <c r="R189" i="4"/>
  <c r="R192" i="4" s="1"/>
  <c r="R216" i="4" s="1"/>
  <c r="Q171" i="4"/>
  <c r="Q170" i="4"/>
  <c r="Q167" i="4"/>
  <c r="Q168" i="4" s="1"/>
  <c r="R165" i="4" s="1"/>
  <c r="W151" i="4"/>
  <c r="X148" i="4" s="1"/>
  <c r="X153" i="4" s="1"/>
  <c r="AI128" i="4"/>
  <c r="Z145" i="4"/>
  <c r="Y149" i="4" s="1"/>
  <c r="AK114" i="4"/>
  <c r="AJ121" i="4"/>
  <c r="AJ200" i="4" s="1"/>
  <c r="AJ210" i="4" s="1"/>
  <c r="AJ228" i="4" s="1"/>
  <c r="AG132" i="4"/>
  <c r="AC133" i="4"/>
  <c r="AC134" i="4" s="1"/>
  <c r="AD131" i="4" s="1"/>
  <c r="AC136" i="4"/>
  <c r="AC137" i="4"/>
  <c r="AB138" i="4"/>
  <c r="AB201" i="4" s="1"/>
  <c r="AB207" i="4" s="1"/>
  <c r="AB225" i="4" s="1"/>
  <c r="T162" i="4"/>
  <c r="X152" i="4"/>
  <c r="X188" i="4"/>
  <c r="X194" i="4" s="1"/>
  <c r="X218" i="4" s="1"/>
  <c r="W152" i="4"/>
  <c r="W188" i="4"/>
  <c r="W194" i="4" s="1"/>
  <c r="W218" i="4" s="1"/>
  <c r="P175" i="4" l="1"/>
  <c r="X150" i="4"/>
  <c r="X151" i="4" s="1"/>
  <c r="X155" i="4" s="1"/>
  <c r="W155" i="4"/>
  <c r="W202" i="4" s="1"/>
  <c r="W208" i="4" s="1"/>
  <c r="W226" i="4" s="1"/>
  <c r="X154" i="4"/>
  <c r="Q172" i="4"/>
  <c r="Q203" i="4" s="1"/>
  <c r="Q206" i="4" s="1"/>
  <c r="Q224" i="4" s="1"/>
  <c r="U162" i="4"/>
  <c r="S166" i="4"/>
  <c r="R170" i="4"/>
  <c r="R171" i="4"/>
  <c r="R167" i="4"/>
  <c r="R168" i="4" s="1"/>
  <c r="AK119" i="4"/>
  <c r="AK116" i="4"/>
  <c r="AK117" i="4" s="1"/>
  <c r="AK120" i="4"/>
  <c r="Y152" i="4"/>
  <c r="Y188" i="4"/>
  <c r="Y194" i="4" s="1"/>
  <c r="Y218" i="4" s="1"/>
  <c r="AC138" i="4"/>
  <c r="AC201" i="4" s="1"/>
  <c r="AC207" i="4" s="1"/>
  <c r="AC225" i="4" s="1"/>
  <c r="AH132" i="4"/>
  <c r="AG135" i="4"/>
  <c r="AG187" i="4"/>
  <c r="AG193" i="4" s="1"/>
  <c r="AG217" i="4" s="1"/>
  <c r="AA145" i="4"/>
  <c r="Z149" i="4" s="1"/>
  <c r="AD133" i="4"/>
  <c r="AD137" i="4"/>
  <c r="AD134" i="4"/>
  <c r="AE131" i="4" s="1"/>
  <c r="AD136" i="4"/>
  <c r="AJ122" i="4"/>
  <c r="AJ124" i="4" s="1"/>
  <c r="AB139" i="4"/>
  <c r="X156" i="4" l="1"/>
  <c r="W156" i="4"/>
  <c r="W158" i="4" s="1"/>
  <c r="X202" i="4"/>
  <c r="X208" i="4" s="1"/>
  <c r="X226" i="4" s="1"/>
  <c r="P176" i="4"/>
  <c r="P177" i="4" s="1"/>
  <c r="P178" i="4" s="1"/>
  <c r="Y148" i="4"/>
  <c r="Y153" i="4" s="1"/>
  <c r="S165" i="4"/>
  <c r="R172" i="4"/>
  <c r="R203" i="4" s="1"/>
  <c r="R206" i="4" s="1"/>
  <c r="R224" i="4" s="1"/>
  <c r="V162" i="4"/>
  <c r="U166" i="4" s="1"/>
  <c r="T166" i="4"/>
  <c r="R173" i="4"/>
  <c r="S169" i="4"/>
  <c r="S189" i="4"/>
  <c r="S192" i="4" s="1"/>
  <c r="S216" i="4" s="1"/>
  <c r="Q173" i="4"/>
  <c r="AC139" i="4"/>
  <c r="AC141" i="4" s="1"/>
  <c r="AC142" i="4" s="1"/>
  <c r="AC143" i="4" s="1"/>
  <c r="AL114" i="4"/>
  <c r="AK121" i="4"/>
  <c r="AK200" i="4" s="1"/>
  <c r="AK210" i="4" s="1"/>
  <c r="AK228" i="4" s="1"/>
  <c r="X158" i="4"/>
  <c r="W159" i="4"/>
  <c r="W160" i="4" s="1"/>
  <c r="W161" i="4" s="1"/>
  <c r="Z152" i="4"/>
  <c r="Z188" i="4"/>
  <c r="Z194" i="4" s="1"/>
  <c r="Z218" i="4" s="1"/>
  <c r="AB141" i="4"/>
  <c r="AE136" i="4"/>
  <c r="AE137" i="4"/>
  <c r="AE133" i="4"/>
  <c r="AE134" i="4" s="1"/>
  <c r="AF131" i="4" s="1"/>
  <c r="AH135" i="4"/>
  <c r="AH187" i="4"/>
  <c r="AH193" i="4" s="1"/>
  <c r="AH217" i="4" s="1"/>
  <c r="AJ125" i="4"/>
  <c r="AJ126" i="4" s="1"/>
  <c r="AJ127" i="4" s="1"/>
  <c r="AD138" i="4"/>
  <c r="AD201" i="4" s="1"/>
  <c r="AD207" i="4" s="1"/>
  <c r="AD225" i="4" s="1"/>
  <c r="Y150" i="4" l="1"/>
  <c r="Y151" i="4" s="1"/>
  <c r="Y154" i="4"/>
  <c r="R175" i="4"/>
  <c r="Q175" i="4"/>
  <c r="P180" i="4"/>
  <c r="P213" i="4" s="1"/>
  <c r="P230" i="4" s="1"/>
  <c r="P240" i="4" s="1"/>
  <c r="P248" i="4" s="1"/>
  <c r="U169" i="4"/>
  <c r="U189" i="4"/>
  <c r="U192" i="4" s="1"/>
  <c r="U216" i="4" s="1"/>
  <c r="P239" i="4"/>
  <c r="P247" i="4" s="1"/>
  <c r="T169" i="4"/>
  <c r="T189" i="4"/>
  <c r="T192" i="4" s="1"/>
  <c r="T216" i="4" s="1"/>
  <c r="S171" i="4"/>
  <c r="S167" i="4"/>
  <c r="S168" i="4" s="1"/>
  <c r="S170" i="4"/>
  <c r="AK122" i="4"/>
  <c r="AK124" i="4" s="1"/>
  <c r="AK125" i="4" s="1"/>
  <c r="AK126" i="4" s="1"/>
  <c r="AK127" i="4" s="1"/>
  <c r="W162" i="4"/>
  <c r="V166" i="4" s="1"/>
  <c r="Z148" i="4"/>
  <c r="Y155" i="4"/>
  <c r="Y202" i="4" s="1"/>
  <c r="Y208" i="4" s="1"/>
  <c r="Y226" i="4" s="1"/>
  <c r="AJ128" i="4"/>
  <c r="X159" i="4"/>
  <c r="X160" i="4" s="1"/>
  <c r="X161" i="4" s="1"/>
  <c r="AB142" i="4"/>
  <c r="AB143" i="4" s="1"/>
  <c r="AC144" i="4" s="1"/>
  <c r="AF136" i="4"/>
  <c r="AF137" i="4"/>
  <c r="AF133" i="4"/>
  <c r="AF134" i="4" s="1"/>
  <c r="AD139" i="4"/>
  <c r="AL116" i="4"/>
  <c r="AL117" i="4" s="1"/>
  <c r="AL119" i="4"/>
  <c r="AL120" i="4"/>
  <c r="AE138" i="4"/>
  <c r="AE201" i="4" s="1"/>
  <c r="AE207" i="4" s="1"/>
  <c r="AE225" i="4" s="1"/>
  <c r="Q176" i="4" l="1"/>
  <c r="Q177" i="4" s="1"/>
  <c r="Q178" i="4" s="1"/>
  <c r="R176" i="4"/>
  <c r="R177" i="4" s="1"/>
  <c r="R178" i="4" s="1"/>
  <c r="R180" i="4" s="1"/>
  <c r="R213" i="4" s="1"/>
  <c r="AE139" i="4"/>
  <c r="AE141" i="4" s="1"/>
  <c r="AE142" i="4" s="1"/>
  <c r="AE143" i="4" s="1"/>
  <c r="T165" i="4"/>
  <c r="S172" i="4"/>
  <c r="S203" i="4" s="1"/>
  <c r="S206" i="4" s="1"/>
  <c r="S224" i="4" s="1"/>
  <c r="V169" i="4"/>
  <c r="V189" i="4"/>
  <c r="V192" i="4" s="1"/>
  <c r="V216" i="4" s="1"/>
  <c r="AM114" i="4"/>
  <c r="AM119" i="4" s="1"/>
  <c r="AL121" i="4"/>
  <c r="AL200" i="4" s="1"/>
  <c r="AL210" i="4" s="1"/>
  <c r="AL228" i="4" s="1"/>
  <c r="AG131" i="4"/>
  <c r="AF138" i="4"/>
  <c r="AF201" i="4" s="1"/>
  <c r="AF207" i="4" s="1"/>
  <c r="AF225" i="4" s="1"/>
  <c r="X162" i="4"/>
  <c r="W166" i="4" s="1"/>
  <c r="AK128" i="4"/>
  <c r="AD141" i="4"/>
  <c r="Y156" i="4"/>
  <c r="AB144" i="4"/>
  <c r="AI132" i="4"/>
  <c r="Z154" i="4"/>
  <c r="Z150" i="4"/>
  <c r="Z151" i="4" s="1"/>
  <c r="Z153" i="4"/>
  <c r="S173" i="4" l="1"/>
  <c r="S175" i="4" s="1"/>
  <c r="AM116" i="4"/>
  <c r="AM117" i="4" s="1"/>
  <c r="AM121" i="4" s="1"/>
  <c r="AM200" i="4" s="1"/>
  <c r="AM210" i="4" s="1"/>
  <c r="AM228" i="4" s="1"/>
  <c r="AM120" i="4"/>
  <c r="AL122" i="4"/>
  <c r="AL124" i="4" s="1"/>
  <c r="AL125" i="4" s="1"/>
  <c r="AL126" i="4" s="1"/>
  <c r="AL127" i="4" s="1"/>
  <c r="Q180" i="4"/>
  <c r="Q213" i="4" s="1"/>
  <c r="AA148" i="4"/>
  <c r="AA153" i="4" s="1"/>
  <c r="Z155" i="4"/>
  <c r="Z202" i="4" s="1"/>
  <c r="Z208" i="4" s="1"/>
  <c r="Z226" i="4" s="1"/>
  <c r="W169" i="4"/>
  <c r="W189" i="4"/>
  <c r="W192" i="4" s="1"/>
  <c r="W216" i="4" s="1"/>
  <c r="R239" i="4"/>
  <c r="R247" i="4" s="1"/>
  <c r="R230" i="4"/>
  <c r="R240" i="4" s="1"/>
  <c r="R248" i="4" s="1"/>
  <c r="T171" i="4"/>
  <c r="T170" i="4"/>
  <c r="T167" i="4"/>
  <c r="T168" i="4" s="1"/>
  <c r="U165" i="4" s="1"/>
  <c r="AF139" i="4"/>
  <c r="AF141" i="4" s="1"/>
  <c r="AF142" i="4" s="1"/>
  <c r="AF143" i="4" s="1"/>
  <c r="AD142" i="4"/>
  <c r="AD143" i="4" s="1"/>
  <c r="AE144" i="4" s="1"/>
  <c r="AG136" i="4"/>
  <c r="AG137" i="4"/>
  <c r="AG133" i="4"/>
  <c r="AG134" i="4" s="1"/>
  <c r="AB145" i="4"/>
  <c r="Y158" i="4"/>
  <c r="AJ132" i="4"/>
  <c r="AI135" i="4"/>
  <c r="AI187" i="4"/>
  <c r="AI193" i="4" s="1"/>
  <c r="AI217" i="4" s="1"/>
  <c r="AM122" i="4" l="1"/>
  <c r="AM124" i="4"/>
  <c r="S176" i="4"/>
  <c r="S177" i="4" s="1"/>
  <c r="S178" i="4" s="1"/>
  <c r="AA154" i="4"/>
  <c r="Z156" i="4"/>
  <c r="Z158" i="4" s="1"/>
  <c r="AD144" i="4"/>
  <c r="Q239" i="4"/>
  <c r="Q247" i="4" s="1"/>
  <c r="Q230" i="4"/>
  <c r="Q240" i="4" s="1"/>
  <c r="Q248" i="4" s="1"/>
  <c r="U171" i="4"/>
  <c r="U170" i="4"/>
  <c r="U167" i="4"/>
  <c r="U168" i="4" s="1"/>
  <c r="V165" i="4" s="1"/>
  <c r="T172" i="4"/>
  <c r="T203" i="4" s="1"/>
  <c r="T206" i="4" s="1"/>
  <c r="T224" i="4" s="1"/>
  <c r="AH131" i="4"/>
  <c r="AG138" i="4"/>
  <c r="AG201" i="4" s="1"/>
  <c r="AG207" i="4" s="1"/>
  <c r="AG225" i="4" s="1"/>
  <c r="AJ135" i="4"/>
  <c r="AJ187" i="4"/>
  <c r="AJ193" i="4" s="1"/>
  <c r="AJ217" i="4" s="1"/>
  <c r="AA149" i="4"/>
  <c r="AC145" i="4"/>
  <c r="AB149" i="4" s="1"/>
  <c r="AM125" i="4"/>
  <c r="AM126" i="4" s="1"/>
  <c r="AM127" i="4" s="1"/>
  <c r="Y159" i="4"/>
  <c r="Y160" i="4" s="1"/>
  <c r="Y161" i="4" s="1"/>
  <c r="AL128" i="4"/>
  <c r="Z159" i="4"/>
  <c r="Z160" i="4" s="1"/>
  <c r="AF144" i="4"/>
  <c r="U172" i="4" l="1"/>
  <c r="S180" i="4"/>
  <c r="S213" i="4" s="1"/>
  <c r="T173" i="4"/>
  <c r="AG139" i="4"/>
  <c r="AG141" i="4" s="1"/>
  <c r="U203" i="4"/>
  <c r="U206" i="4" s="1"/>
  <c r="U224" i="4" s="1"/>
  <c r="V170" i="4"/>
  <c r="V171" i="4"/>
  <c r="V167" i="4"/>
  <c r="V168" i="4" s="1"/>
  <c r="U173" i="4"/>
  <c r="U175" i="4" s="1"/>
  <c r="Z161" i="4"/>
  <c r="AD145" i="4"/>
  <c r="AM128" i="4"/>
  <c r="Y162" i="4"/>
  <c r="AB152" i="4"/>
  <c r="AB188" i="4"/>
  <c r="AB194" i="4" s="1"/>
  <c r="AB218" i="4" s="1"/>
  <c r="AA152" i="4"/>
  <c r="AA188" i="4"/>
  <c r="AA194" i="4" s="1"/>
  <c r="AA218" i="4" s="1"/>
  <c r="AA150" i="4"/>
  <c r="AA151" i="4" s="1"/>
  <c r="AH137" i="4"/>
  <c r="AH133" i="4"/>
  <c r="AH134" i="4" s="1"/>
  <c r="AI131" i="4" s="1"/>
  <c r="AH136" i="4"/>
  <c r="AK132" i="4"/>
  <c r="T175" i="4" l="1"/>
  <c r="U176" i="4"/>
  <c r="U177" i="4" s="1"/>
  <c r="S239" i="4"/>
  <c r="S247" i="4" s="1"/>
  <c r="S230" i="4"/>
  <c r="S240" i="4" s="1"/>
  <c r="S248" i="4" s="1"/>
  <c r="W165" i="4"/>
  <c r="V172" i="4"/>
  <c r="V203" i="4" s="1"/>
  <c r="V206" i="4" s="1"/>
  <c r="V224" i="4" s="1"/>
  <c r="Z162" i="4"/>
  <c r="Y166" i="4" s="1"/>
  <c r="X166" i="4"/>
  <c r="AC149" i="4"/>
  <c r="AE145" i="4"/>
  <c r="AB148" i="4"/>
  <c r="AA155" i="4"/>
  <c r="AA202" i="4" s="1"/>
  <c r="AA208" i="4" s="1"/>
  <c r="AA226" i="4" s="1"/>
  <c r="AH138" i="4"/>
  <c r="AH201" i="4" s="1"/>
  <c r="AH207" i="4" s="1"/>
  <c r="AH225" i="4" s="1"/>
  <c r="AL132" i="4"/>
  <c r="AG142" i="4"/>
  <c r="AG143" i="4" s="1"/>
  <c r="AG144" i="4" s="1"/>
  <c r="AI133" i="4"/>
  <c r="AI134" i="4" s="1"/>
  <c r="AI137" i="4"/>
  <c r="AI136" i="4"/>
  <c r="AK135" i="4"/>
  <c r="AK187" i="4"/>
  <c r="AK193" i="4" s="1"/>
  <c r="AK217" i="4" s="1"/>
  <c r="T176" i="4" l="1"/>
  <c r="T177" i="4" s="1"/>
  <c r="U178" i="4" s="1"/>
  <c r="V173" i="4"/>
  <c r="X169" i="4"/>
  <c r="X189" i="4"/>
  <c r="X192" i="4" s="1"/>
  <c r="X216" i="4" s="1"/>
  <c r="Y169" i="4"/>
  <c r="Y189" i="4"/>
  <c r="Y192" i="4" s="1"/>
  <c r="Y216" i="4" s="1"/>
  <c r="W167" i="4"/>
  <c r="W168" i="4" s="1"/>
  <c r="X165" i="4" s="1"/>
  <c r="W171" i="4"/>
  <c r="W170" i="4"/>
  <c r="AD149" i="4"/>
  <c r="AD188" i="4" s="1"/>
  <c r="AD194" i="4" s="1"/>
  <c r="AD218" i="4" s="1"/>
  <c r="AF145" i="4"/>
  <c r="AE149" i="4" s="1"/>
  <c r="AE152" i="4" s="1"/>
  <c r="AC152" i="4"/>
  <c r="AC188" i="4"/>
  <c r="AC194" i="4" s="1"/>
  <c r="AC218" i="4" s="1"/>
  <c r="AJ131" i="4"/>
  <c r="AI138" i="4"/>
  <c r="AI201" i="4" s="1"/>
  <c r="AI207" i="4" s="1"/>
  <c r="AI225" i="4" s="1"/>
  <c r="AL135" i="4"/>
  <c r="AL187" i="4"/>
  <c r="AL193" i="4" s="1"/>
  <c r="AL217" i="4" s="1"/>
  <c r="AM187" i="4"/>
  <c r="AM193" i="4" s="1"/>
  <c r="AM217" i="4" s="1"/>
  <c r="AH139" i="4"/>
  <c r="AB154" i="4"/>
  <c r="AB150" i="4"/>
  <c r="AB151" i="4" s="1"/>
  <c r="AC148" i="4" s="1"/>
  <c r="AB153" i="4"/>
  <c r="AA156" i="4"/>
  <c r="V175" i="4" l="1"/>
  <c r="T178" i="4"/>
  <c r="AG145" i="4"/>
  <c r="AF149" i="4" s="1"/>
  <c r="AF152" i="4" s="1"/>
  <c r="U180" i="4"/>
  <c r="U213" i="4" s="1"/>
  <c r="X171" i="4"/>
  <c r="X170" i="4"/>
  <c r="X167" i="4"/>
  <c r="X168" i="4" s="1"/>
  <c r="Y165" i="4" s="1"/>
  <c r="W172" i="4"/>
  <c r="W203" i="4" s="1"/>
  <c r="W206" i="4" s="1"/>
  <c r="W224" i="4" s="1"/>
  <c r="AI139" i="4"/>
  <c r="AI141" i="4" s="1"/>
  <c r="AI142" i="4" s="1"/>
  <c r="AI143" i="4" s="1"/>
  <c r="AD152" i="4"/>
  <c r="AE188" i="4"/>
  <c r="AE194" i="4" s="1"/>
  <c r="AE218" i="4" s="1"/>
  <c r="AC154" i="4"/>
  <c r="AC150" i="4"/>
  <c r="AC151" i="4" s="1"/>
  <c r="AC153" i="4"/>
  <c r="AB155" i="4"/>
  <c r="AB202" i="4" s="1"/>
  <c r="AB208" i="4" s="1"/>
  <c r="AB226" i="4" s="1"/>
  <c r="AJ133" i="4"/>
  <c r="AJ134" i="4" s="1"/>
  <c r="AJ136" i="4"/>
  <c r="AJ137" i="4"/>
  <c r="AA158" i="4"/>
  <c r="AH141" i="4"/>
  <c r="W173" i="4" l="1"/>
  <c r="V176" i="4"/>
  <c r="V177" i="4" s="1"/>
  <c r="V178" i="4" s="1"/>
  <c r="AF188" i="4"/>
  <c r="AF194" i="4" s="1"/>
  <c r="AF218" i="4" s="1"/>
  <c r="X172" i="4"/>
  <c r="T180" i="4"/>
  <c r="T213" i="4" s="1"/>
  <c r="U239" i="4"/>
  <c r="U247" i="4" s="1"/>
  <c r="U230" i="4"/>
  <c r="U240" i="4" s="1"/>
  <c r="U248" i="4" s="1"/>
  <c r="X173" i="4"/>
  <c r="X175" i="4" s="1"/>
  <c r="X203" i="4"/>
  <c r="X206" i="4" s="1"/>
  <c r="X224" i="4" s="1"/>
  <c r="Y170" i="4"/>
  <c r="Y171" i="4"/>
  <c r="Y167" i="4"/>
  <c r="Y168" i="4" s="1"/>
  <c r="Z165" i="4" s="1"/>
  <c r="AK131" i="4"/>
  <c r="AK137" i="4" s="1"/>
  <c r="AJ138" i="4"/>
  <c r="AJ201" i="4" s="1"/>
  <c r="AJ207" i="4" s="1"/>
  <c r="AJ225" i="4" s="1"/>
  <c r="AD148" i="4"/>
  <c r="AC155" i="4"/>
  <c r="AC202" i="4" s="1"/>
  <c r="AC208" i="4" s="1"/>
  <c r="AC226" i="4" s="1"/>
  <c r="AB156" i="4"/>
  <c r="AA159" i="4"/>
  <c r="AA160" i="4" s="1"/>
  <c r="AA161" i="4" s="1"/>
  <c r="AH142" i="4"/>
  <c r="AH143" i="4" s="1"/>
  <c r="AI144" i="4" s="1"/>
  <c r="X176" i="4" l="1"/>
  <c r="X177" i="4" s="1"/>
  <c r="W175" i="4"/>
  <c r="T230" i="4"/>
  <c r="T240" i="4" s="1"/>
  <c r="T248" i="4" s="1"/>
  <c r="T239" i="4"/>
  <c r="T247" i="4" s="1"/>
  <c r="AJ139" i="4"/>
  <c r="AJ141" i="4" s="1"/>
  <c r="Z171" i="4"/>
  <c r="Z170" i="4"/>
  <c r="AK136" i="4"/>
  <c r="AK133" i="4"/>
  <c r="AK134" i="4" s="1"/>
  <c r="AL131" i="4" s="1"/>
  <c r="Y172" i="4"/>
  <c r="Y203" i="4" s="1"/>
  <c r="Y206" i="4" s="1"/>
  <c r="Y224" i="4" s="1"/>
  <c r="AH144" i="4"/>
  <c r="AH145" i="4" s="1"/>
  <c r="AG149" i="4" s="1"/>
  <c r="AA162" i="4"/>
  <c r="Z166" i="4" s="1"/>
  <c r="AD153" i="4"/>
  <c r="AD154" i="4"/>
  <c r="AD150" i="4"/>
  <c r="AD151" i="4" s="1"/>
  <c r="AB158" i="4"/>
  <c r="AC156" i="4"/>
  <c r="AC158" i="4" s="1"/>
  <c r="W176" i="4" l="1"/>
  <c r="W177" i="4" s="1"/>
  <c r="X178" i="4" s="1"/>
  <c r="X180" i="4" s="1"/>
  <c r="X213" i="4" s="1"/>
  <c r="V180" i="4"/>
  <c r="V213" i="4" s="1"/>
  <c r="Z169" i="4"/>
  <c r="Z189" i="4"/>
  <c r="Z192" i="4" s="1"/>
  <c r="Z216" i="4" s="1"/>
  <c r="Z167" i="4"/>
  <c r="Z168" i="4" s="1"/>
  <c r="Y173" i="4"/>
  <c r="AK138" i="4"/>
  <c r="AI145" i="4"/>
  <c r="AH149" i="4" s="1"/>
  <c r="AH152" i="4" s="1"/>
  <c r="AE148" i="4"/>
  <c r="AD155" i="4"/>
  <c r="AD202" i="4" s="1"/>
  <c r="AD208" i="4" s="1"/>
  <c r="AD226" i="4" s="1"/>
  <c r="AC159" i="4"/>
  <c r="AC160" i="4" s="1"/>
  <c r="AG152" i="4"/>
  <c r="AG188" i="4"/>
  <c r="AG194" i="4" s="1"/>
  <c r="AG218" i="4" s="1"/>
  <c r="AJ142" i="4"/>
  <c r="AJ143" i="4" s="1"/>
  <c r="AB159" i="4"/>
  <c r="AB160" i="4" s="1"/>
  <c r="AL137" i="4"/>
  <c r="AL133" i="4"/>
  <c r="AL134" i="4" s="1"/>
  <c r="AL136" i="4"/>
  <c r="AC161" i="4" l="1"/>
  <c r="AD156" i="4"/>
  <c r="AD158" i="4" s="1"/>
  <c r="Y175" i="4"/>
  <c r="W178" i="4"/>
  <c r="W180" i="4" s="1"/>
  <c r="W213" i="4" s="1"/>
  <c r="X239" i="4"/>
  <c r="X247" i="4" s="1"/>
  <c r="X230" i="4"/>
  <c r="X240" i="4" s="1"/>
  <c r="X248" i="4" s="1"/>
  <c r="AH188" i="4"/>
  <c r="AH194" i="4" s="1"/>
  <c r="AH218" i="4" s="1"/>
  <c r="V230" i="4"/>
  <c r="V240" i="4" s="1"/>
  <c r="V248" i="4" s="1"/>
  <c r="V239" i="4"/>
  <c r="V247" i="4" s="1"/>
  <c r="AK201" i="4"/>
  <c r="AK207" i="4" s="1"/>
  <c r="AK225" i="4" s="1"/>
  <c r="AK139" i="4"/>
  <c r="AK141" i="4" s="1"/>
  <c r="AK142" i="4" s="1"/>
  <c r="AK143" i="4" s="1"/>
  <c r="AA165" i="4"/>
  <c r="Z172" i="4"/>
  <c r="AJ144" i="4"/>
  <c r="AJ145" i="4" s="1"/>
  <c r="AI149" i="4" s="1"/>
  <c r="AM131" i="4"/>
  <c r="AL138" i="4"/>
  <c r="AL201" i="4" s="1"/>
  <c r="AL207" i="4" s="1"/>
  <c r="AL225" i="4" s="1"/>
  <c r="AL139" i="4"/>
  <c r="AB161" i="4"/>
  <c r="AD159" i="4"/>
  <c r="AD160" i="4" s="1"/>
  <c r="AD161" i="4" s="1"/>
  <c r="AE153" i="4"/>
  <c r="AE150" i="4"/>
  <c r="AE151" i="4" s="1"/>
  <c r="AE154" i="4"/>
  <c r="W230" i="4" l="1"/>
  <c r="W240" i="4" s="1"/>
  <c r="W248" i="4" s="1"/>
  <c r="W239" i="4"/>
  <c r="W247" i="4" s="1"/>
  <c r="Y176" i="4"/>
  <c r="Y177" i="4" s="1"/>
  <c r="Y178" i="4" s="1"/>
  <c r="AL141" i="4"/>
  <c r="AL142" i="4" s="1"/>
  <c r="AL143" i="4" s="1"/>
  <c r="AL144" i="4" s="1"/>
  <c r="Z203" i="4"/>
  <c r="Z206" i="4" s="1"/>
  <c r="Z224" i="4" s="1"/>
  <c r="Z173" i="4"/>
  <c r="AA170" i="4"/>
  <c r="AA171" i="4"/>
  <c r="AK144" i="4"/>
  <c r="AK145" i="4" s="1"/>
  <c r="AJ149" i="4" s="1"/>
  <c r="AF148" i="4"/>
  <c r="AE155" i="4"/>
  <c r="AE202" i="4" s="1"/>
  <c r="AE208" i="4" s="1"/>
  <c r="AE226" i="4" s="1"/>
  <c r="AM133" i="4"/>
  <c r="AM134" i="4" s="1"/>
  <c r="AM138" i="4" s="1"/>
  <c r="AM201" i="4" s="1"/>
  <c r="AM207" i="4" s="1"/>
  <c r="AM225" i="4" s="1"/>
  <c r="AM137" i="4"/>
  <c r="AM136" i="4"/>
  <c r="AB162" i="4"/>
  <c r="AI152" i="4"/>
  <c r="AI188" i="4"/>
  <c r="AI194" i="4" s="1"/>
  <c r="AI218" i="4" s="1"/>
  <c r="Z175" i="4" l="1"/>
  <c r="AE156" i="4"/>
  <c r="AE158" i="4" s="1"/>
  <c r="Y180" i="4"/>
  <c r="Y213" i="4" s="1"/>
  <c r="AJ152" i="4"/>
  <c r="AJ188" i="4"/>
  <c r="AJ194" i="4" s="1"/>
  <c r="AJ218" i="4" s="1"/>
  <c r="AC162" i="4"/>
  <c r="AB166" i="4" s="1"/>
  <c r="AA166" i="4"/>
  <c r="AL145" i="4"/>
  <c r="AK149" i="4" s="1"/>
  <c r="AM139" i="4"/>
  <c r="AM141" i="4" s="1"/>
  <c r="AF153" i="4"/>
  <c r="AF150" i="4"/>
  <c r="AF151" i="4" s="1"/>
  <c r="AG148" i="4" s="1"/>
  <c r="AF154" i="4"/>
  <c r="Z176" i="4" l="1"/>
  <c r="Z177" i="4" s="1"/>
  <c r="Z178" i="4" s="1"/>
  <c r="Y239" i="4"/>
  <c r="Y247" i="4" s="1"/>
  <c r="Y230" i="4"/>
  <c r="Y240" i="4" s="1"/>
  <c r="Y248" i="4" s="1"/>
  <c r="AD162" i="4"/>
  <c r="AC166" i="4" s="1"/>
  <c r="AC169" i="4" s="1"/>
  <c r="AB169" i="4"/>
  <c r="AB189" i="4"/>
  <c r="AB192" i="4" s="1"/>
  <c r="AB216" i="4" s="1"/>
  <c r="AA169" i="4"/>
  <c r="AA189" i="4"/>
  <c r="AA192" i="4" s="1"/>
  <c r="AA216" i="4" s="1"/>
  <c r="AA167" i="4"/>
  <c r="AA168" i="4" s="1"/>
  <c r="AG150" i="4"/>
  <c r="AG151" i="4" s="1"/>
  <c r="AH148" i="4" s="1"/>
  <c r="AG154" i="4"/>
  <c r="AG153" i="4"/>
  <c r="AM142" i="4"/>
  <c r="AM143" i="4" s="1"/>
  <c r="AM144" i="4" s="1"/>
  <c r="AF155" i="4"/>
  <c r="AF202" i="4" s="1"/>
  <c r="AF208" i="4" s="1"/>
  <c r="AF226" i="4" s="1"/>
  <c r="AK152" i="4"/>
  <c r="AK188" i="4"/>
  <c r="AK194" i="4" s="1"/>
  <c r="AK218" i="4" s="1"/>
  <c r="AE159" i="4"/>
  <c r="AE160" i="4" s="1"/>
  <c r="AE161" i="4" s="1"/>
  <c r="AC189" i="4" l="1"/>
  <c r="AC192" i="4" s="1"/>
  <c r="AC216" i="4" s="1"/>
  <c r="Z180" i="4"/>
  <c r="Z213" i="4" s="1"/>
  <c r="Z239" i="4" s="1"/>
  <c r="Z247" i="4" s="1"/>
  <c r="AB165" i="4"/>
  <c r="AA172" i="4"/>
  <c r="Z230" i="4"/>
  <c r="Z240" i="4" s="1"/>
  <c r="Z248" i="4" s="1"/>
  <c r="AG155" i="4"/>
  <c r="AG156" i="4" s="1"/>
  <c r="AF156" i="4"/>
  <c r="AG202" i="4"/>
  <c r="AG208" i="4" s="1"/>
  <c r="AG226" i="4" s="1"/>
  <c r="AM145" i="4"/>
  <c r="AL149" i="4" s="1"/>
  <c r="AF158" i="4"/>
  <c r="AE162" i="4"/>
  <c r="AD166" i="4" s="1"/>
  <c r="AH154" i="4"/>
  <c r="AH150" i="4"/>
  <c r="AH151" i="4" s="1"/>
  <c r="AH153" i="4"/>
  <c r="AG158" i="4" l="1"/>
  <c r="AD169" i="4"/>
  <c r="AD189" i="4"/>
  <c r="AD192" i="4" s="1"/>
  <c r="AD216" i="4" s="1"/>
  <c r="AA203" i="4"/>
  <c r="AA206" i="4" s="1"/>
  <c r="AA224" i="4" s="1"/>
  <c r="AA173" i="4"/>
  <c r="AB171" i="4"/>
  <c r="AB167" i="4"/>
  <c r="AB168" i="4" s="1"/>
  <c r="AC165" i="4" s="1"/>
  <c r="AB170" i="4"/>
  <c r="AI148" i="4"/>
  <c r="AH155" i="4"/>
  <c r="AH202" i="4" s="1"/>
  <c r="AH208" i="4" s="1"/>
  <c r="AH226" i="4" s="1"/>
  <c r="AG159" i="4"/>
  <c r="AG160" i="4" s="1"/>
  <c r="AF159" i="4"/>
  <c r="AF160" i="4" s="1"/>
  <c r="AG161" i="4" s="1"/>
  <c r="AL152" i="4"/>
  <c r="AM188" i="4"/>
  <c r="AM194" i="4" s="1"/>
  <c r="AM218" i="4" s="1"/>
  <c r="AL188" i="4"/>
  <c r="AL194" i="4" s="1"/>
  <c r="AL218" i="4" s="1"/>
  <c r="AH156" i="4" l="1"/>
  <c r="AA175" i="4"/>
  <c r="AC171" i="4"/>
  <c r="AC170" i="4"/>
  <c r="AC167" i="4"/>
  <c r="AC168" i="4" s="1"/>
  <c r="AD165" i="4" s="1"/>
  <c r="AB172" i="4"/>
  <c r="AB203" i="4" s="1"/>
  <c r="AB206" i="4" s="1"/>
  <c r="AB224" i="4" s="1"/>
  <c r="AF161" i="4"/>
  <c r="AH158" i="4"/>
  <c r="AI150" i="4"/>
  <c r="AI151" i="4" s="1"/>
  <c r="AI153" i="4"/>
  <c r="AI154" i="4"/>
  <c r="AB173" i="4" l="1"/>
  <c r="AB175" i="4"/>
  <c r="AA176" i="4"/>
  <c r="AA177" i="4" s="1"/>
  <c r="AA178" i="4" s="1"/>
  <c r="AC172" i="4"/>
  <c r="AC203" i="4" s="1"/>
  <c r="AC206" i="4" s="1"/>
  <c r="AC224" i="4" s="1"/>
  <c r="AD170" i="4"/>
  <c r="AD171" i="4"/>
  <c r="AD167" i="4"/>
  <c r="AD168" i="4" s="1"/>
  <c r="AE165" i="4" s="1"/>
  <c r="AJ148" i="4"/>
  <c r="AI155" i="4"/>
  <c r="AI202" i="4" s="1"/>
  <c r="AI208" i="4" s="1"/>
  <c r="AI226" i="4" s="1"/>
  <c r="AF162" i="4"/>
  <c r="AH159" i="4"/>
  <c r="AH160" i="4" s="1"/>
  <c r="AH161" i="4" s="1"/>
  <c r="AI156" i="4"/>
  <c r="AC173" i="4" l="1"/>
  <c r="AC175" i="4" s="1"/>
  <c r="AB176" i="4"/>
  <c r="AB177" i="4" s="1"/>
  <c r="AB178" i="4" s="1"/>
  <c r="AA180" i="4"/>
  <c r="AA213" i="4" s="1"/>
  <c r="AD172" i="4"/>
  <c r="AD203" i="4" s="1"/>
  <c r="AD206" i="4" s="1"/>
  <c r="AD224" i="4" s="1"/>
  <c r="AE170" i="4"/>
  <c r="AE171" i="4"/>
  <c r="AG162" i="4"/>
  <c r="AF166" i="4" s="1"/>
  <c r="AE166" i="4"/>
  <c r="AI158" i="4"/>
  <c r="AJ154" i="4"/>
  <c r="AJ150" i="4"/>
  <c r="AJ151" i="4" s="1"/>
  <c r="AK148" i="4" s="1"/>
  <c r="AJ153" i="4"/>
  <c r="AC176" i="4" l="1"/>
  <c r="AC177" i="4" s="1"/>
  <c r="AC178" i="4" s="1"/>
  <c r="AB180" i="4"/>
  <c r="AB213" i="4" s="1"/>
  <c r="AA230" i="4"/>
  <c r="AA240" i="4" s="1"/>
  <c r="AA248" i="4" s="1"/>
  <c r="AA239" i="4"/>
  <c r="AA247" i="4" s="1"/>
  <c r="AD173" i="4"/>
  <c r="AF169" i="4"/>
  <c r="AF189" i="4"/>
  <c r="AF192" i="4" s="1"/>
  <c r="AF216" i="4" s="1"/>
  <c r="AE167" i="4"/>
  <c r="AE168" i="4" s="1"/>
  <c r="AB239" i="4"/>
  <c r="AB247" i="4" s="1"/>
  <c r="AB230" i="4"/>
  <c r="AB240" i="4" s="1"/>
  <c r="AB248" i="4" s="1"/>
  <c r="AE169" i="4"/>
  <c r="AE189" i="4"/>
  <c r="AE192" i="4" s="1"/>
  <c r="AE216" i="4" s="1"/>
  <c r="AH162" i="4"/>
  <c r="AG166" i="4" s="1"/>
  <c r="AK150" i="4"/>
  <c r="AK151" i="4" s="1"/>
  <c r="AK153" i="4"/>
  <c r="AK154" i="4"/>
  <c r="AJ155" i="4"/>
  <c r="AJ202" i="4" s="1"/>
  <c r="AJ208" i="4" s="1"/>
  <c r="AJ226" i="4" s="1"/>
  <c r="AI159" i="4"/>
  <c r="AI160" i="4" s="1"/>
  <c r="AI161" i="4" s="1"/>
  <c r="AJ156" i="4"/>
  <c r="AD175" i="4" l="1"/>
  <c r="AC180" i="4"/>
  <c r="AC213" i="4" s="1"/>
  <c r="AF165" i="4"/>
  <c r="AE172" i="4"/>
  <c r="AG169" i="4"/>
  <c r="AG189" i="4"/>
  <c r="AG192" i="4" s="1"/>
  <c r="AG216" i="4" s="1"/>
  <c r="AI162" i="4"/>
  <c r="AH166" i="4" s="1"/>
  <c r="AL148" i="4"/>
  <c r="AK155" i="4"/>
  <c r="AK202" i="4" s="1"/>
  <c r="AK208" i="4" s="1"/>
  <c r="AK226" i="4" s="1"/>
  <c r="AJ158" i="4"/>
  <c r="AD176" i="4" l="1"/>
  <c r="AD177" i="4" s="1"/>
  <c r="AD178" i="4" s="1"/>
  <c r="AK156" i="4"/>
  <c r="AK158" i="4" s="1"/>
  <c r="AK159" i="4" s="1"/>
  <c r="AK160" i="4" s="1"/>
  <c r="AC239" i="4"/>
  <c r="AC247" i="4" s="1"/>
  <c r="AC230" i="4"/>
  <c r="AC240" i="4" s="1"/>
  <c r="AC248" i="4" s="1"/>
  <c r="AE203" i="4"/>
  <c r="AE206" i="4" s="1"/>
  <c r="AE224" i="4" s="1"/>
  <c r="AE173" i="4"/>
  <c r="AH169" i="4"/>
  <c r="AH189" i="4"/>
  <c r="AH192" i="4" s="1"/>
  <c r="AH216" i="4" s="1"/>
  <c r="AF171" i="4"/>
  <c r="AF167" i="4"/>
  <c r="AF168" i="4" s="1"/>
  <c r="AG165" i="4" s="1"/>
  <c r="AF170" i="4"/>
  <c r="AJ159" i="4"/>
  <c r="AJ160" i="4" s="1"/>
  <c r="AJ161" i="4" s="1"/>
  <c r="AL150" i="4"/>
  <c r="AL151" i="4" s="1"/>
  <c r="AL153" i="4"/>
  <c r="AL154" i="4"/>
  <c r="AK161" i="4" l="1"/>
  <c r="AE175" i="4"/>
  <c r="AD180" i="4"/>
  <c r="AD213" i="4" s="1"/>
  <c r="AF172" i="4"/>
  <c r="AF203" i="4" s="1"/>
  <c r="AF206" i="4" s="1"/>
  <c r="AF224" i="4" s="1"/>
  <c r="AG167" i="4"/>
  <c r="AG168" i="4" s="1"/>
  <c r="AG170" i="4"/>
  <c r="AG171" i="4"/>
  <c r="AM148" i="4"/>
  <c r="AM150" i="4" s="1"/>
  <c r="AL155" i="4"/>
  <c r="AL202" i="4" s="1"/>
  <c r="AL208" i="4" s="1"/>
  <c r="AL226" i="4" s="1"/>
  <c r="AJ162" i="4"/>
  <c r="AL156" i="4" l="1"/>
  <c r="AL158" i="4" s="1"/>
  <c r="AL159" i="4" s="1"/>
  <c r="AL160" i="4" s="1"/>
  <c r="AL161" i="4" s="1"/>
  <c r="AE176" i="4"/>
  <c r="AE177" i="4" s="1"/>
  <c r="AE178" i="4" s="1"/>
  <c r="AF173" i="4"/>
  <c r="AH165" i="4"/>
  <c r="AH170" i="4" s="1"/>
  <c r="AG172" i="4"/>
  <c r="AG203" i="4" s="1"/>
  <c r="AG206" i="4" s="1"/>
  <c r="AG224" i="4" s="1"/>
  <c r="AD239" i="4"/>
  <c r="AD247" i="4" s="1"/>
  <c r="AD230" i="4"/>
  <c r="AD240" i="4" s="1"/>
  <c r="AD248" i="4" s="1"/>
  <c r="AM154" i="4"/>
  <c r="AM151" i="4"/>
  <c r="AM155" i="4" s="1"/>
  <c r="AM202" i="4" s="1"/>
  <c r="AM208" i="4" s="1"/>
  <c r="AM226" i="4" s="1"/>
  <c r="AM153" i="4"/>
  <c r="AH167" i="4"/>
  <c r="AH168" i="4" s="1"/>
  <c r="AI165" i="4" s="1"/>
  <c r="AK162" i="4"/>
  <c r="AJ166" i="4" s="1"/>
  <c r="AI166" i="4"/>
  <c r="AM156" i="4" l="1"/>
  <c r="AM158" i="4" s="1"/>
  <c r="AM159" i="4" s="1"/>
  <c r="AM160" i="4" s="1"/>
  <c r="AM161" i="4" s="1"/>
  <c r="AL162" i="4"/>
  <c r="AK166" i="4" s="1"/>
  <c r="AK169" i="4" s="1"/>
  <c r="AF175" i="4"/>
  <c r="AH172" i="4"/>
  <c r="AH203" i="4" s="1"/>
  <c r="AH206" i="4" s="1"/>
  <c r="AH224" i="4" s="1"/>
  <c r="AG173" i="4"/>
  <c r="AG175" i="4" s="1"/>
  <c r="AH171" i="4"/>
  <c r="AI169" i="4"/>
  <c r="AI189" i="4"/>
  <c r="AI192" i="4" s="1"/>
  <c r="AI216" i="4" s="1"/>
  <c r="AI170" i="4"/>
  <c r="AI167" i="4"/>
  <c r="AI168" i="4" s="1"/>
  <c r="AJ165" i="4" s="1"/>
  <c r="AI171" i="4"/>
  <c r="AJ169" i="4"/>
  <c r="AJ189" i="4"/>
  <c r="AJ192" i="4" s="1"/>
  <c r="AJ216" i="4" s="1"/>
  <c r="AK189" i="4" l="1"/>
  <c r="AK192" i="4" s="1"/>
  <c r="AK216" i="4" s="1"/>
  <c r="AH173" i="4"/>
  <c r="AH175" i="4" s="1"/>
  <c r="AI172" i="4"/>
  <c r="AH176" i="4"/>
  <c r="AH177" i="4" s="1"/>
  <c r="AG176" i="4"/>
  <c r="AG177" i="4" s="1"/>
  <c r="AF176" i="4"/>
  <c r="AF177" i="4" s="1"/>
  <c r="AI203" i="4"/>
  <c r="AI206" i="4" s="1"/>
  <c r="AI224" i="4" s="1"/>
  <c r="AI173" i="4"/>
  <c r="AI175" i="4" s="1"/>
  <c r="AE180" i="4"/>
  <c r="AE213" i="4" s="1"/>
  <c r="AJ167" i="4"/>
  <c r="AJ168" i="4" s="1"/>
  <c r="AJ170" i="4"/>
  <c r="AJ171" i="4"/>
  <c r="AM162" i="4"/>
  <c r="AL166" i="4" s="1"/>
  <c r="AH178" i="4" l="1"/>
  <c r="AF178" i="4"/>
  <c r="AF180" i="4" s="1"/>
  <c r="AF213" i="4" s="1"/>
  <c r="AF230" i="4" s="1"/>
  <c r="AF240" i="4" s="1"/>
  <c r="AF248" i="4" s="1"/>
  <c r="AI176" i="4"/>
  <c r="AI177" i="4" s="1"/>
  <c r="AI178" i="4" s="1"/>
  <c r="AG178" i="4"/>
  <c r="AG180" i="4" s="1"/>
  <c r="AG213" i="4" s="1"/>
  <c r="AE239" i="4"/>
  <c r="AE247" i="4" s="1"/>
  <c r="AE230" i="4"/>
  <c r="AE240" i="4" s="1"/>
  <c r="AE248" i="4" s="1"/>
  <c r="AK165" i="4"/>
  <c r="AJ172" i="4"/>
  <c r="AJ203" i="4" s="1"/>
  <c r="AJ206" i="4" s="1"/>
  <c r="AJ224" i="4" s="1"/>
  <c r="AL169" i="4"/>
  <c r="AL189" i="4"/>
  <c r="AL192" i="4" s="1"/>
  <c r="AL216" i="4" s="1"/>
  <c r="AM189" i="4"/>
  <c r="AM192" i="4" s="1"/>
  <c r="AM216" i="4" s="1"/>
  <c r="AF239" i="4" l="1"/>
  <c r="AF247" i="4" s="1"/>
  <c r="AG239" i="4"/>
  <c r="AG247" i="4" s="1"/>
  <c r="AG230" i="4"/>
  <c r="AG240" i="4" s="1"/>
  <c r="AG248" i="4" s="1"/>
  <c r="AI180" i="4"/>
  <c r="AI213" i="4" s="1"/>
  <c r="AJ173" i="4"/>
  <c r="AH180" i="4"/>
  <c r="AH213" i="4" s="1"/>
  <c r="AK170" i="4"/>
  <c r="AK171" i="4"/>
  <c r="AK167" i="4"/>
  <c r="AK168" i="4" s="1"/>
  <c r="AL165" i="4" s="1"/>
  <c r="AJ175" i="4" l="1"/>
  <c r="AI230" i="4"/>
  <c r="AI240" i="4" s="1"/>
  <c r="AI248" i="4" s="1"/>
  <c r="AI239" i="4"/>
  <c r="AI247" i="4" s="1"/>
  <c r="AK172" i="4"/>
  <c r="AK203" i="4" s="1"/>
  <c r="AK206" i="4" s="1"/>
  <c r="AK224" i="4" s="1"/>
  <c r="AH239" i="4"/>
  <c r="AH247" i="4" s="1"/>
  <c r="AH230" i="4"/>
  <c r="AH240" i="4" s="1"/>
  <c r="AH248" i="4" s="1"/>
  <c r="AL167" i="4"/>
  <c r="AL168" i="4" s="1"/>
  <c r="AM165" i="4" s="1"/>
  <c r="AL171" i="4"/>
  <c r="AL170" i="4"/>
  <c r="AJ176" i="4" l="1"/>
  <c r="AJ177" i="4" s="1"/>
  <c r="AJ178" i="4" s="1"/>
  <c r="AJ180" i="4" s="1"/>
  <c r="AJ213" i="4" s="1"/>
  <c r="AK173" i="4"/>
  <c r="AL172" i="4"/>
  <c r="AL203" i="4" s="1"/>
  <c r="AL206" i="4" s="1"/>
  <c r="AL224" i="4" s="1"/>
  <c r="AM167" i="4"/>
  <c r="AM168" i="4" s="1"/>
  <c r="AM172" i="4" s="1"/>
  <c r="AM203" i="4" s="1"/>
  <c r="AM206" i="4" s="1"/>
  <c r="AM224" i="4" s="1"/>
  <c r="AM170" i="4"/>
  <c r="AM171" i="4"/>
  <c r="AL173" i="4" l="1"/>
  <c r="AL175" i="4" s="1"/>
  <c r="AK175" i="4"/>
  <c r="AJ230" i="4"/>
  <c r="AJ240" i="4" s="1"/>
  <c r="AJ248" i="4" s="1"/>
  <c r="AJ239" i="4"/>
  <c r="AJ247" i="4" s="1"/>
  <c r="AM173" i="4"/>
  <c r="AM175" i="4" s="1"/>
  <c r="AM176" i="4" l="1"/>
  <c r="AM177" i="4" s="1"/>
  <c r="AK176" i="4"/>
  <c r="AK177" i="4" s="1"/>
  <c r="AL176" i="4"/>
  <c r="AL177" i="4" s="1"/>
  <c r="AM178" i="4" l="1"/>
  <c r="AM180" i="4" s="1"/>
  <c r="AM213" i="4" s="1"/>
  <c r="AM239" i="4" s="1"/>
  <c r="AM247" i="4" s="1"/>
  <c r="AL178" i="4"/>
  <c r="AL180" i="4" s="1"/>
  <c r="AL213" i="4" s="1"/>
  <c r="AK178" i="4"/>
  <c r="AK180" i="4" s="1"/>
  <c r="AK213" i="4" s="1"/>
  <c r="AM230" i="4" l="1"/>
  <c r="AM240" i="4" s="1"/>
  <c r="AM248" i="4" s="1"/>
  <c r="AL239" i="4"/>
  <c r="AL247" i="4" s="1"/>
  <c r="AL230" i="4"/>
  <c r="AL240" i="4" s="1"/>
  <c r="AL248" i="4" s="1"/>
  <c r="AK239" i="4"/>
  <c r="AK247" i="4" s="1"/>
  <c r="AK230" i="4"/>
  <c r="AK240" i="4" s="1"/>
  <c r="AK248" i="4" s="1"/>
</calcChain>
</file>

<file path=xl/sharedStrings.xml><?xml version="1.0" encoding="utf-8"?>
<sst xmlns="http://schemas.openxmlformats.org/spreadsheetml/2006/main" count="535" uniqueCount="181">
  <si>
    <t>Stock market investments</t>
  </si>
  <si>
    <t>Age</t>
  </si>
  <si>
    <t>Home loan</t>
  </si>
  <si>
    <t>Credit card balances</t>
  </si>
  <si>
    <t>more / less than current</t>
  </si>
  <si>
    <t>Housing rent</t>
  </si>
  <si>
    <t>Year</t>
  </si>
  <si>
    <t>Home</t>
  </si>
  <si>
    <t>Interest on cash balances</t>
  </si>
  <si>
    <t>Cash</t>
  </si>
  <si>
    <t>Cash b/fwd</t>
  </si>
  <si>
    <t>Cash c/fwd</t>
  </si>
  <si>
    <t>Stock market equity investments</t>
  </si>
  <si>
    <t>Home loan repayment</t>
  </si>
  <si>
    <t>Net from other work</t>
  </si>
  <si>
    <t>Continue other work until age</t>
  </si>
  <si>
    <t>Living expenses</t>
  </si>
  <si>
    <t>Inflows</t>
  </si>
  <si>
    <t>Outflows</t>
  </si>
  <si>
    <t>Net Cash Flow</t>
  </si>
  <si>
    <t>Liquidation required</t>
  </si>
  <si>
    <t>Liquidations</t>
  </si>
  <si>
    <t>b/fwd</t>
  </si>
  <si>
    <t>Disposals</t>
  </si>
  <si>
    <t>Growth</t>
  </si>
  <si>
    <t>c/fwd</t>
  </si>
  <si>
    <t>Disposal costs</t>
  </si>
  <si>
    <t>Stock market equity</t>
  </si>
  <si>
    <t>Net worth</t>
  </si>
  <si>
    <t>Name</t>
  </si>
  <si>
    <t>Home current market value</t>
  </si>
  <si>
    <t>Rental income foregone</t>
  </si>
  <si>
    <t>Dependents</t>
  </si>
  <si>
    <t>Home loan (mortgage)</t>
  </si>
  <si>
    <t>Other loan</t>
  </si>
  <si>
    <t>Other loan repayment</t>
  </si>
  <si>
    <t>Loan repayment</t>
  </si>
  <si>
    <t>Net proceeds</t>
  </si>
  <si>
    <t>Balance</t>
  </si>
  <si>
    <t>Plan to live until age</t>
  </si>
  <si>
    <t>Dependent 1</t>
  </si>
  <si>
    <t>Dependent 2</t>
  </si>
  <si>
    <t>Dependent 3</t>
  </si>
  <si>
    <t>Property 1</t>
  </si>
  <si>
    <t>Property 2</t>
  </si>
  <si>
    <t>Property 3</t>
  </si>
  <si>
    <t>Amount</t>
  </si>
  <si>
    <t>Net employment / self-employment income</t>
  </si>
  <si>
    <t>Other post-retirement income</t>
  </si>
  <si>
    <t>if not a home owner</t>
  </si>
  <si>
    <t>Annual cost saved</t>
  </si>
  <si>
    <t>Property loan balances after liquidations</t>
  </si>
  <si>
    <t>Other property</t>
  </si>
  <si>
    <t>Other property loans repayments</t>
  </si>
  <si>
    <t>Dependents cost</t>
  </si>
  <si>
    <t>Other property costs</t>
  </si>
  <si>
    <t>Current baseline</t>
  </si>
  <si>
    <t>from 66-75</t>
  </si>
  <si>
    <t>from age 76</t>
  </si>
  <si>
    <t>Spending adjustment (at today's euros)</t>
  </si>
  <si>
    <t>Major one-off expense events</t>
  </si>
  <si>
    <t>Other property loans</t>
  </si>
  <si>
    <t>Net worth adjustments after liquidations</t>
  </si>
  <si>
    <t>Cum property loan repayments on liquidations</t>
  </si>
  <si>
    <t>Adjusted net worth</t>
  </si>
  <si>
    <t>Cum property disposals</t>
  </si>
  <si>
    <t>Property values after liquidations</t>
  </si>
  <si>
    <t>Without liquidations</t>
  </si>
  <si>
    <t>With liquidations</t>
  </si>
  <si>
    <t>Charts</t>
  </si>
  <si>
    <t>Net rental income from other properties</t>
  </si>
  <si>
    <t>Credit cards cleared</t>
  </si>
  <si>
    <t>Net Worth before liquidations</t>
  </si>
  <si>
    <t>from now to 65</t>
  </si>
  <si>
    <t>Extra cash</t>
  </si>
  <si>
    <t>Extra interest</t>
  </si>
  <si>
    <t>Cash buffer at any time</t>
  </si>
  <si>
    <t>Cash available (after buffer)</t>
  </si>
  <si>
    <t>Outputs</t>
  </si>
  <si>
    <t>Full pension</t>
  </si>
  <si>
    <t>Pension reduction from early retirement</t>
  </si>
  <si>
    <t>QUICK START</t>
  </si>
  <si>
    <t>Your age</t>
  </si>
  <si>
    <t>Current net annual income</t>
  </si>
  <si>
    <t>Must be entered</t>
  </si>
  <si>
    <t>Net of tax, from employment or self-employment</t>
  </si>
  <si>
    <t>Total cash balances</t>
  </si>
  <si>
    <t>current and savings accounts, bonds, term deposits</t>
  </si>
  <si>
    <t>Current market value of equity portfolio</t>
  </si>
  <si>
    <t>Interest rate</t>
  </si>
  <si>
    <t>Monthly repayment</t>
  </si>
  <si>
    <t>Months remaining</t>
  </si>
  <si>
    <t>Years remaining</t>
  </si>
  <si>
    <t>Annual pension at retirement</t>
  </si>
  <si>
    <t>Net annual state pension entitlement</t>
  </si>
  <si>
    <t>Statutory retirement age</t>
  </si>
  <si>
    <t>Year at which pension starts</t>
  </si>
  <si>
    <t>DEEPER DIVE</t>
  </si>
  <si>
    <t>including inflation</t>
  </si>
  <si>
    <t>Years from now</t>
  </si>
  <si>
    <t>Leave blank if none</t>
  </si>
  <si>
    <t>Years to support</t>
  </si>
  <si>
    <t>Other income</t>
  </si>
  <si>
    <t>net annual after all costs and tax</t>
  </si>
  <si>
    <t>Annual living expenses</t>
  </si>
  <si>
    <t>Other loans</t>
  </si>
  <si>
    <t>Income Event 1</t>
  </si>
  <si>
    <t>Income Event 2</t>
  </si>
  <si>
    <t>Income Event 3</t>
  </si>
  <si>
    <t>Enter 0 or leave blank if none</t>
  </si>
  <si>
    <t>Expense Event 1</t>
  </si>
  <si>
    <t>Expense Event 2</t>
  </si>
  <si>
    <t>Expense Event 3</t>
  </si>
  <si>
    <t>Market value</t>
  </si>
  <si>
    <t>Annual costs</t>
  </si>
  <si>
    <t>Repairs, maintenance, etc.</t>
  </si>
  <si>
    <t xml:space="preserve">Investment Properties </t>
  </si>
  <si>
    <t>Other work income (net annual)</t>
  </si>
  <si>
    <t>FINER DETAILS</t>
  </si>
  <si>
    <t>Cash interest rate</t>
  </si>
  <si>
    <t>Stock market return</t>
  </si>
  <si>
    <t>Rental income annual increase</t>
  </si>
  <si>
    <t>Salary annual growth rate</t>
  </si>
  <si>
    <t>Property annual appreciation</t>
  </si>
  <si>
    <t>Pension reduction per year early</t>
  </si>
  <si>
    <t>From age</t>
  </si>
  <si>
    <t>To age</t>
  </si>
  <si>
    <t>Food, education, healthcare,
etc.</t>
  </si>
  <si>
    <t>Annual cost</t>
  </si>
  <si>
    <t>emergency reserve</t>
  </si>
  <si>
    <t>reduction in pension for each year retired early</t>
  </si>
  <si>
    <t>tax, broker and other fees</t>
  </si>
  <si>
    <t>Stock market selling costs</t>
  </si>
  <si>
    <t>Property disposal costs</t>
  </si>
  <si>
    <t xml:space="preserve">agency, tax, legal fees </t>
  </si>
  <si>
    <t>Property liquidation order</t>
  </si>
  <si>
    <t>0 = would never sell</t>
  </si>
  <si>
    <t>Major life expense events</t>
  </si>
  <si>
    <t>Major life income events</t>
  </si>
  <si>
    <t>Major one-off income events</t>
  </si>
  <si>
    <t>Part-time / consulting / side projects etc. Leave blank if none</t>
  </si>
  <si>
    <t>Assumed cleared in Year 1. Leave blank if none</t>
  </si>
  <si>
    <t>Leave blank if not a home owner</t>
  </si>
  <si>
    <t>Leave blank if no mortgage</t>
  </si>
  <si>
    <t>User Tooltips</t>
  </si>
  <si>
    <t>UI Notes</t>
  </si>
  <si>
    <t>Excel helpers</t>
  </si>
  <si>
    <t>Defaults</t>
  </si>
  <si>
    <t>Activated only if user wants to</t>
  </si>
  <si>
    <t>Works behind the scenes, show and allow edit if user wants to</t>
  </si>
  <si>
    <t>Hide until user enters dependent name</t>
  </si>
  <si>
    <t>Hide until user enters property name</t>
  </si>
  <si>
    <t>Show with property name only if name was entered</t>
  </si>
  <si>
    <t>Show only if other work income entered</t>
  </si>
  <si>
    <t>show only if not a home owner (B12="")</t>
  </si>
  <si>
    <t>Sliema</t>
  </si>
  <si>
    <t>Cash balance after disposals inc interest</t>
  </si>
  <si>
    <t>Retire at</t>
  </si>
  <si>
    <t>Cash available (after extra interest)</t>
  </si>
  <si>
    <t>Only show if value&gt;0 entered in B141</t>
  </si>
  <si>
    <t>User inputs</t>
  </si>
  <si>
    <t>Qormi</t>
  </si>
  <si>
    <t>Wedding</t>
  </si>
  <si>
    <t>John</t>
  </si>
  <si>
    <t>Jack</t>
  </si>
  <si>
    <t>Bill</t>
  </si>
  <si>
    <t>Gzira</t>
  </si>
  <si>
    <t>Inheritance</t>
  </si>
  <si>
    <t>Sell Painting</t>
  </si>
  <si>
    <t>Sell Jewels</t>
  </si>
  <si>
    <t>New Car</t>
  </si>
  <si>
    <t>New AC</t>
  </si>
  <si>
    <t>Dependent 4</t>
  </si>
  <si>
    <t>Dependent 5</t>
  </si>
  <si>
    <t>Stephen</t>
  </si>
  <si>
    <t>Jane</t>
  </si>
  <si>
    <t>Property 4</t>
  </si>
  <si>
    <t>Property 5</t>
  </si>
  <si>
    <t>Gudja</t>
  </si>
  <si>
    <t>Marsa</t>
  </si>
  <si>
    <t>General inflation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</si>
</sst>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,##0\ ;\(#,##0\);\ \ \ \-\ "/>
    <numFmt numFmtId="165" formatCode="#,##0.0\ ;\(#,##0.0\);\ \ \ \-\ "/>
    <numFmt numFmtId="166" formatCode="0.0%"/>
    <numFmt numFmtId="167" formatCode="0;0;"/>
    <numFmt numFmtId="168" formatCode=";;"/>
  </numFmts>
  <fonts count="16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C00000"/>
      <name val="Aptos Narrow"/>
      <scheme val="minor"/>
    </font>
    <font>
      <b/>
      <sz val="14"/>
      <color theme="1"/>
      <name val="Aptos Narrow"/>
      <scheme val="minor"/>
    </font>
    <font>
      <sz val="8"/>
      <color theme="0" tint="-0.249977111117893"/>
      <name val="Aptos Narrow"/>
      <scheme val="minor"/>
    </font>
    <font>
      <sz val="12"/>
      <name val="Aptos Narrow"/>
      <scheme val="minor"/>
    </font>
    <font>
      <sz val="12"/>
      <color rgb="FF9C5700"/>
      <name val="Aptos Narrow"/>
      <family val="2"/>
      <scheme val="minor"/>
    </font>
    <font>
      <b/>
      <sz val="12"/>
      <name val="Aptos Narrow"/>
      <scheme val="minor"/>
    </font>
    <font>
      <b/>
      <sz val="22"/>
      <color theme="1"/>
      <name val="Aptos Narrow"/>
      <scheme val="minor"/>
    </font>
    <font>
      <b/>
      <sz val="10"/>
      <name val="Aptos Narrow"/>
      <scheme val="minor"/>
    </font>
    <font>
      <sz val="10"/>
      <name val="Aptos Narrow"/>
      <scheme val="minor"/>
    </font>
    <font>
      <b/>
      <sz val="10"/>
      <color theme="0" tint="-0.499984740745262"/>
      <name val="Aptos Narrow"/>
      <scheme val="minor"/>
    </font>
    <font>
      <sz val="10"/>
      <color theme="0" tint="-0.499984740745262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EB9C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ED6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0" tint="-0.14993743705557422"/>
      </left>
      <right/>
      <top style="thin">
        <color theme="0" tint="-0.14993743705557422"/>
      </top>
      <bottom style="thin">
        <color theme="0" tint="-0.14993743705557422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9" fillId="3" borderId="0" applyNumberFormat="0" applyBorder="0" applyAlignment="0" applyProtection="0"/>
  </cellStyleXfs>
  <cellXfs count="78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 indent="2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0" fontId="5" fillId="0" borderId="0" xfId="0" applyFont="1" applyAlignment="1">
      <alignment horizontal="center"/>
    </xf>
    <xf numFmtId="164" fontId="3" fillId="0" borderId="2" xfId="0" applyNumberFormat="1" applyFont="1" applyBorder="1" applyAlignment="1">
      <alignment horizontal="right"/>
    </xf>
    <xf numFmtId="164" fontId="2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left"/>
    </xf>
    <xf numFmtId="0" fontId="6" fillId="0" borderId="0" xfId="0" applyFont="1"/>
    <xf numFmtId="164" fontId="0" fillId="0" borderId="0" xfId="0" applyNumberFormat="1" applyAlignment="1">
      <alignment horizontal="right"/>
    </xf>
    <xf numFmtId="0" fontId="7" fillId="0" borderId="0" xfId="0" applyFont="1" applyAlignment="1">
      <alignment horizontal="center"/>
    </xf>
    <xf numFmtId="0" fontId="2" fillId="0" borderId="0" xfId="0" applyFont="1" applyAlignment="1">
      <alignment horizontal="left" indent="1"/>
    </xf>
    <xf numFmtId="0" fontId="3" fillId="0" borderId="0" xfId="0" applyFont="1" applyAlignment="1">
      <alignment horizontal="left" indent="3"/>
    </xf>
    <xf numFmtId="0" fontId="3" fillId="0" borderId="0" xfId="0" applyFont="1" applyAlignment="1">
      <alignment horizontal="left" indent="4"/>
    </xf>
    <xf numFmtId="0" fontId="8" fillId="0" borderId="0" xfId="0" applyFont="1" applyAlignment="1">
      <alignment horizontal="left" indent="2"/>
    </xf>
    <xf numFmtId="0" fontId="8" fillId="0" borderId="0" xfId="0" applyFont="1" applyAlignment="1">
      <alignment horizontal="center"/>
    </xf>
    <xf numFmtId="164" fontId="8" fillId="0" borderId="0" xfId="0" applyNumberFormat="1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left" indent="3"/>
    </xf>
    <xf numFmtId="164" fontId="3" fillId="0" borderId="0" xfId="0" applyNumberFormat="1" applyFont="1" applyAlignment="1">
      <alignment horizontal="center"/>
    </xf>
    <xf numFmtId="0" fontId="3" fillId="0" borderId="3" xfId="0" applyFont="1" applyBorder="1" applyAlignment="1">
      <alignment horizontal="left" indent="1"/>
    </xf>
    <xf numFmtId="0" fontId="6" fillId="0" borderId="3" xfId="0" applyFont="1" applyBorder="1"/>
    <xf numFmtId="0" fontId="3" fillId="0" borderId="3" xfId="0" applyFont="1" applyBorder="1" applyAlignment="1">
      <alignment horizontal="center"/>
    </xf>
    <xf numFmtId="164" fontId="3" fillId="0" borderId="3" xfId="0" applyNumberFormat="1" applyFont="1" applyBorder="1" applyAlignment="1">
      <alignment horizontal="right"/>
    </xf>
    <xf numFmtId="164" fontId="5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 indent="1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0" fontId="1" fillId="3" borderId="0" xfId="3" applyFont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164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0" applyNumberFormat="1" applyFont="1" applyFill="1" applyBorder="1" applyAlignment="1" applyProtection="1">
      <alignment horizontal="center"/>
      <protection locked="0"/>
    </xf>
    <xf numFmtId="164" fontId="8" fillId="0" borderId="0" xfId="0" applyNumberFormat="1" applyFont="1" applyAlignment="1">
      <alignment horizontal="center"/>
    </xf>
    <xf numFmtId="0" fontId="8" fillId="2" borderId="1" xfId="0" applyFont="1" applyFill="1" applyBorder="1" applyAlignment="1" applyProtection="1">
      <alignment horizontal="center"/>
      <protection locked="0"/>
    </xf>
    <xf numFmtId="0" fontId="8" fillId="4" borderId="4" xfId="0" applyFont="1" applyFill="1" applyBorder="1" applyAlignment="1" applyProtection="1">
      <alignment horizontal="center"/>
      <protection locked="0"/>
    </xf>
    <xf numFmtId="9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1" applyNumberFormat="1" applyFont="1" applyFill="1" applyBorder="1" applyAlignment="1" applyProtection="1">
      <alignment horizontal="center"/>
      <protection locked="0"/>
    </xf>
    <xf numFmtId="9" fontId="8" fillId="2" borderId="1" xfId="1" applyFont="1" applyFill="1" applyBorder="1" applyAlignment="1" applyProtection="1">
      <alignment horizontal="center"/>
      <protection locked="0"/>
    </xf>
    <xf numFmtId="167" fontId="8" fillId="2" borderId="1" xfId="2" applyNumberFormat="1" applyFont="1" applyFill="1" applyBorder="1" applyAlignment="1" applyProtection="1">
      <alignment horizontal="center"/>
      <protection locked="0"/>
    </xf>
    <xf numFmtId="0" fontId="10" fillId="0" borderId="3" xfId="0" applyFont="1" applyBorder="1" applyAlignment="1">
      <alignment horizontal="center"/>
    </xf>
    <xf numFmtId="165" fontId="8" fillId="0" borderId="0" xfId="0" applyNumberFormat="1" applyFont="1" applyAlignment="1">
      <alignment horizontal="center"/>
    </xf>
    <xf numFmtId="0" fontId="8" fillId="5" borderId="0" xfId="0" applyFont="1" applyFill="1"/>
    <xf numFmtId="164" fontId="8" fillId="0" borderId="5" xfId="0" applyNumberFormat="1" applyFont="1" applyBorder="1" applyAlignment="1" applyProtection="1">
      <alignment horizontal="center"/>
      <protection locked="0"/>
    </xf>
    <xf numFmtId="9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1" applyNumberFormat="1" applyFont="1" applyFill="1" applyBorder="1" applyAlignment="1" applyProtection="1">
      <alignment horizontal="center"/>
      <protection locked="0"/>
    </xf>
    <xf numFmtId="9" fontId="8" fillId="0" borderId="5" xfId="1" applyFont="1" applyFill="1" applyBorder="1" applyAlignment="1" applyProtection="1">
      <alignment horizontal="center"/>
      <protection locked="0"/>
    </xf>
    <xf numFmtId="0" fontId="8" fillId="5" borderId="0" xfId="0" applyFont="1" applyFill="1" applyAlignment="1">
      <alignment horizontal="left" indent="3"/>
    </xf>
    <xf numFmtId="0" fontId="10" fillId="0" borderId="3" xfId="0" applyFont="1" applyBorder="1" applyAlignment="1">
      <alignment horizontal="left" indent="1"/>
    </xf>
    <xf numFmtId="0" fontId="10" fillId="0" borderId="0" xfId="0" applyFont="1" applyAlignment="1">
      <alignment horizontal="left" indent="2"/>
    </xf>
    <xf numFmtId="0" fontId="8" fillId="0" borderId="0" xfId="0" applyFont="1" applyAlignment="1">
      <alignment horizontal="left" indent="4"/>
    </xf>
    <xf numFmtId="167" fontId="8" fillId="0" borderId="0" xfId="0" applyNumberFormat="1" applyFont="1" applyAlignment="1">
      <alignment horizontal="left" indent="3"/>
    </xf>
    <xf numFmtId="0" fontId="8" fillId="0" borderId="0" xfId="0" applyFont="1" applyAlignment="1">
      <alignment horizontal="left" wrapText="1" indent="2"/>
    </xf>
    <xf numFmtId="168" fontId="8" fillId="0" borderId="0" xfId="0" applyNumberFormat="1" applyFont="1" applyAlignment="1">
      <alignment horizontal="left" indent="3"/>
    </xf>
    <xf numFmtId="0" fontId="6" fillId="0" borderId="0" xfId="0" applyFont="1" applyAlignment="1">
      <alignment horizontal="center"/>
    </xf>
    <xf numFmtId="0" fontId="12" fillId="5" borderId="0" xfId="0" applyFont="1" applyFill="1" applyAlignment="1">
      <alignment horizontal="left" indent="1"/>
    </xf>
    <xf numFmtId="0" fontId="13" fillId="0" borderId="0" xfId="0" applyFont="1"/>
    <xf numFmtId="0" fontId="13" fillId="0" borderId="0" xfId="0" applyFont="1" applyAlignment="1">
      <alignment horizontal="left" indent="1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43" fontId="13" fillId="0" borderId="0" xfId="2" applyFont="1" applyBorder="1" applyAlignment="1">
      <alignment horizontal="right"/>
    </xf>
    <xf numFmtId="164" fontId="13" fillId="0" borderId="0" xfId="0" applyNumberFormat="1" applyFont="1" applyAlignment="1">
      <alignment horizontal="right"/>
    </xf>
    <xf numFmtId="0" fontId="12" fillId="5" borderId="0" xfId="0" applyFont="1" applyFill="1"/>
    <xf numFmtId="43" fontId="13" fillId="0" borderId="0" xfId="2" applyFont="1" applyBorder="1" applyAlignment="1"/>
    <xf numFmtId="0" fontId="14" fillId="5" borderId="0" xfId="0" applyFont="1" applyFill="1" applyAlignment="1">
      <alignment horizontal="left"/>
    </xf>
    <xf numFmtId="0" fontId="15" fillId="0" borderId="0" xfId="0" applyFont="1"/>
    <xf numFmtId="0" fontId="15" fillId="0" borderId="0" xfId="0" applyFont="1" applyAlignment="1">
      <alignment horizontal="left"/>
    </xf>
    <xf numFmtId="43" fontId="15" fillId="0" borderId="0" xfId="2" applyFont="1" applyBorder="1" applyAlignment="1">
      <alignment horizontal="left"/>
    </xf>
    <xf numFmtId="165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left" indent="1"/>
    </xf>
    <xf numFmtId="0" fontId="15" fillId="0" borderId="0" xfId="0" applyFont="1" applyAlignment="1">
      <alignment horizontal="center"/>
    </xf>
    <xf numFmtId="164" fontId="15" fillId="0" borderId="0" xfId="0" applyNumberFormat="1" applyFont="1" applyAlignment="1">
      <alignment horizontal="center"/>
    </xf>
    <xf numFmtId="0" fontId="11" fillId="6" borderId="0" xfId="0" applyFont="1" applyFill="1" applyAlignment="1">
      <alignment horizontal="center" vertical="center"/>
    </xf>
  </cellXfs>
  <cellStyles count="4">
    <cellStyle name="Comma" xfId="2" builtinId="3"/>
    <cellStyle name="Neutral" xfId="3" builtinId="28"/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FFED6"/>
      <color rgb="FFFFFF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Cash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51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  <c:pt idx="6">
                  <c:v>55</c:v>
                </c:pt>
                <c:pt idx="7">
                  <c:v>56</c:v>
                </c:pt>
                <c:pt idx="8">
                  <c:v>57</c:v>
                </c:pt>
                <c:pt idx="9">
                  <c:v>58</c:v>
                </c:pt>
                <c:pt idx="10">
                  <c:v>59</c:v>
                </c:pt>
                <c:pt idx="11">
                  <c:v>60</c:v>
                </c:pt>
                <c:pt idx="12">
                  <c:v>61</c:v>
                </c:pt>
                <c:pt idx="13">
                  <c:v>62</c:v>
                </c:pt>
                <c:pt idx="14">
                  <c:v>63</c:v>
                </c:pt>
                <c:pt idx="15">
                  <c:v>64</c:v>
                </c:pt>
                <c:pt idx="16">
                  <c:v>65</c:v>
                </c:pt>
                <c:pt idx="17">
                  <c:v>66</c:v>
                </c:pt>
                <c:pt idx="18">
                  <c:v>67</c:v>
                </c:pt>
                <c:pt idx="19">
                  <c:v>68</c:v>
                </c:pt>
                <c:pt idx="20">
                  <c:v>69</c:v>
                </c:pt>
                <c:pt idx="21">
                  <c:v>70</c:v>
                </c:pt>
                <c:pt idx="22">
                  <c:v>71</c:v>
                </c:pt>
                <c:pt idx="23">
                  <c:v>72</c:v>
                </c:pt>
                <c:pt idx="24">
                  <c:v>73</c:v>
                </c:pt>
                <c:pt idx="25">
                  <c:v>74</c:v>
                </c:pt>
                <c:pt idx="26">
                  <c:v>75</c:v>
                </c:pt>
                <c:pt idx="27">
                  <c:v>76</c:v>
                </c:pt>
                <c:pt idx="28">
                  <c:v>77</c:v>
                </c:pt>
                <c:pt idx="29">
                  <c:v>78</c:v>
                </c:pt>
                <c:pt idx="30">
                  <c:v>79</c:v>
                </c:pt>
                <c:pt idx="31">
                  <c:v>80</c:v>
                </c:pt>
                <c:pt idx="32">
                  <c:v>81</c:v>
                </c:pt>
                <c:pt idx="33">
                  <c:v>82</c:v>
                </c:pt>
                <c:pt idx="34">
                  <c:v>83</c:v>
                </c:pt>
                <c:pt idx="35">
                  <c:v>84</c:v>
                </c:pt>
                <c:pt idx="36">
                  <c:v>85</c:v>
                </c:pt>
              </c:numCache>
            </c:numRef>
          </c:cat>
          <c:val>
            <c:numRef>
              <c:f>RetEarly_Engine!ChartCash_Early</c:f>
              <c:numCache>
                <c:formatCode>#,##0\ ;\(#,##0\);\ \ \ \-\ </c:formatCode>
                <c:ptCount val="37"/>
                <c:pt idx="0">
                  <c:v>77716.75</c:v>
                </c:pt>
                <c:pt idx="1">
                  <c:v>109048.49374999999</c:v>
                </c:pt>
                <c:pt idx="2">
                  <c:v>111891.10341475303</c:v>
                </c:pt>
                <c:pt idx="3">
                  <c:v>95330.661493535095</c:v>
                </c:pt>
                <c:pt idx="4">
                  <c:v>163023.26474117296</c:v>
                </c:pt>
                <c:pt idx="5">
                  <c:v>122547.97472219041</c:v>
                </c:pt>
                <c:pt idx="6">
                  <c:v>243196.12586942854</c:v>
                </c:pt>
                <c:pt idx="7">
                  <c:v>182566.76412242133</c:v>
                </c:pt>
                <c:pt idx="8">
                  <c:v>200990.74855410369</c:v>
                </c:pt>
                <c:pt idx="9">
                  <c:v>123575.24818873481</c:v>
                </c:pt>
                <c:pt idx="10">
                  <c:v>95885.18085720489</c:v>
                </c:pt>
                <c:pt idx="11">
                  <c:v>332152.25828154449</c:v>
                </c:pt>
                <c:pt idx="12">
                  <c:v>298138.03872029216</c:v>
                </c:pt>
                <c:pt idx="13">
                  <c:v>262458.6047747056</c:v>
                </c:pt>
                <c:pt idx="14">
                  <c:v>224881.30441036529</c:v>
                </c:pt>
                <c:pt idx="15">
                  <c:v>185240.0591854208</c:v>
                </c:pt>
                <c:pt idx="16">
                  <c:v>161443.42557287621</c:v>
                </c:pt>
                <c:pt idx="17">
                  <c:v>144173.85752878783</c:v>
                </c:pt>
                <c:pt idx="18">
                  <c:v>125991.80812952048</c:v>
                </c:pt>
                <c:pt idx="19">
                  <c:v>106879.99411652473</c:v>
                </c:pt>
                <c:pt idx="20">
                  <c:v>86820.86601304714</c:v>
                </c:pt>
                <c:pt idx="21">
                  <c:v>531372.24335418153</c:v>
                </c:pt>
                <c:pt idx="22">
                  <c:v>485715.81625120947</c:v>
                </c:pt>
                <c:pt idx="23">
                  <c:v>437225.03210156446</c:v>
                </c:pt>
                <c:pt idx="24">
                  <c:v>385768.37854727457</c:v>
                </c:pt>
                <c:pt idx="25">
                  <c:v>331271.70885322365</c:v>
                </c:pt>
                <c:pt idx="26">
                  <c:v>273659.02261591784</c:v>
                </c:pt>
                <c:pt idx="27">
                  <c:v>222834.89451556181</c:v>
                </c:pt>
                <c:pt idx="28">
                  <c:v>169093.2587753351</c:v>
                </c:pt>
                <c:pt idx="29">
                  <c:v>111995.15765293146</c:v>
                </c:pt>
                <c:pt idx="30">
                  <c:v>51704.582945994451</c:v>
                </c:pt>
                <c:pt idx="31">
                  <c:v>-10096.230584341451</c:v>
                </c:pt>
                <c:pt idx="32">
                  <c:v>-73440.212509342353</c:v>
                </c:pt>
                <c:pt idx="33">
                  <c:v>-138366.81180566468</c:v>
                </c:pt>
                <c:pt idx="34">
                  <c:v>-204916.49626401666</c:v>
                </c:pt>
                <c:pt idx="35">
                  <c:v>-273130.77909961465</c:v>
                </c:pt>
                <c:pt idx="36">
                  <c:v>-342653.98168804793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  <c:pt idx="6">
                  <c:v>55</c:v>
                </c:pt>
                <c:pt idx="7">
                  <c:v>56</c:v>
                </c:pt>
                <c:pt idx="8">
                  <c:v>57</c:v>
                </c:pt>
                <c:pt idx="9">
                  <c:v>58</c:v>
                </c:pt>
                <c:pt idx="10">
                  <c:v>59</c:v>
                </c:pt>
                <c:pt idx="11">
                  <c:v>60</c:v>
                </c:pt>
                <c:pt idx="12">
                  <c:v>61</c:v>
                </c:pt>
                <c:pt idx="13">
                  <c:v>62</c:v>
                </c:pt>
                <c:pt idx="14">
                  <c:v>63</c:v>
                </c:pt>
                <c:pt idx="15">
                  <c:v>64</c:v>
                </c:pt>
                <c:pt idx="16">
                  <c:v>65</c:v>
                </c:pt>
                <c:pt idx="17">
                  <c:v>66</c:v>
                </c:pt>
                <c:pt idx="18">
                  <c:v>67</c:v>
                </c:pt>
                <c:pt idx="19">
                  <c:v>68</c:v>
                </c:pt>
                <c:pt idx="20">
                  <c:v>69</c:v>
                </c:pt>
                <c:pt idx="21">
                  <c:v>70</c:v>
                </c:pt>
                <c:pt idx="22">
                  <c:v>71</c:v>
                </c:pt>
                <c:pt idx="23">
                  <c:v>72</c:v>
                </c:pt>
                <c:pt idx="24">
                  <c:v>73</c:v>
                </c:pt>
                <c:pt idx="25">
                  <c:v>74</c:v>
                </c:pt>
                <c:pt idx="26">
                  <c:v>75</c:v>
                </c:pt>
                <c:pt idx="27">
                  <c:v>76</c:v>
                </c:pt>
                <c:pt idx="28">
                  <c:v>77</c:v>
                </c:pt>
                <c:pt idx="29">
                  <c:v>78</c:v>
                </c:pt>
                <c:pt idx="30">
                  <c:v>79</c:v>
                </c:pt>
                <c:pt idx="31">
                  <c:v>80</c:v>
                </c:pt>
                <c:pt idx="32">
                  <c:v>81</c:v>
                </c:pt>
                <c:pt idx="33">
                  <c:v>82</c:v>
                </c:pt>
                <c:pt idx="34">
                  <c:v>83</c:v>
                </c:pt>
                <c:pt idx="35">
                  <c:v>84</c:v>
                </c:pt>
                <c:pt idx="36">
                  <c:v>85</c:v>
                </c:pt>
              </c:numCache>
            </c:numRef>
          </c:cat>
          <c:val>
            <c:numRef>
              <c:f>[0]!ChartCash_Norm</c:f>
              <c:numCache>
                <c:formatCode>#,##0\ ;\(#,##0\);\ \ \ \-\ </c:formatCode>
                <c:ptCount val="37"/>
                <c:pt idx="0">
                  <c:v>77716.75</c:v>
                </c:pt>
                <c:pt idx="1">
                  <c:v>109048.49374999999</c:v>
                </c:pt>
                <c:pt idx="2">
                  <c:v>120800.38421875003</c:v>
                </c:pt>
                <c:pt idx="3">
                  <c:v>167283.44827895577</c:v>
                </c:pt>
                <c:pt idx="4">
                  <c:v>218918.83267437888</c:v>
                </c:pt>
                <c:pt idx="5">
                  <c:v>285901.78181548161</c:v>
                </c:pt>
                <c:pt idx="6">
                  <c:v>363696.65132994356</c:v>
                </c:pt>
                <c:pt idx="7">
                  <c:v>428989.26300950802</c:v>
                </c:pt>
                <c:pt idx="8">
                  <c:v>579281.37409876089</c:v>
                </c:pt>
                <c:pt idx="9">
                  <c:v>641876.82255875634</c:v>
                </c:pt>
                <c:pt idx="10">
                  <c:v>761038.5473662219</c:v>
                </c:pt>
                <c:pt idx="11">
                  <c:v>886583.81996541878</c:v>
                </c:pt>
                <c:pt idx="12">
                  <c:v>1018782.1407048926</c:v>
                </c:pt>
                <c:pt idx="13">
                  <c:v>1157913.239204355</c:v>
                </c:pt>
                <c:pt idx="14">
                  <c:v>1304267.4396996587</c:v>
                </c:pt>
                <c:pt idx="15">
                  <c:v>1458146.0389312971</c:v>
                </c:pt>
                <c:pt idx="16">
                  <c:v>1513929.4664830596</c:v>
                </c:pt>
                <c:pt idx="17">
                  <c:v>1579631.0553787265</c:v>
                </c:pt>
                <c:pt idx="18">
                  <c:v>1648018.7707598673</c:v>
                </c:pt>
                <c:pt idx="19">
                  <c:v>1719196.2730464134</c:v>
                </c:pt>
                <c:pt idx="20">
                  <c:v>1793271.0393779005</c:v>
                </c:pt>
                <c:pt idx="21">
                  <c:v>1849947.5795442504</c:v>
                </c:pt>
                <c:pt idx="22">
                  <c:v>1908727.9885819815</c:v>
                </c:pt>
                <c:pt idx="23">
                  <c:v>1969693.7621849393</c:v>
                </c:pt>
                <c:pt idx="24">
                  <c:v>2032929.5076662535</c:v>
                </c:pt>
                <c:pt idx="25">
                  <c:v>2098523.0591570721</c:v>
                </c:pt>
                <c:pt idx="26">
                  <c:v>2166565.5969370482</c:v>
                </c:pt>
                <c:pt idx="27">
                  <c:v>2247012.5086333081</c:v>
                </c:pt>
                <c:pt idx="28">
                  <c:v>2330594.3413533093</c:v>
                </c:pt>
                <c:pt idx="29">
                  <c:v>2417431.5621965392</c:v>
                </c:pt>
                <c:pt idx="30">
                  <c:v>2507649.1223028628</c:v>
                </c:pt>
                <c:pt idx="31">
                  <c:v>2601376.6183629362</c:v>
                </c:pt>
                <c:pt idx="32">
                  <c:v>2698748.4597796248</c:v>
                </c:pt>
                <c:pt idx="33">
                  <c:v>2799904.041673373</c:v>
                </c:pt>
                <c:pt idx="34">
                  <c:v>2904987.92393093</c:v>
                </c:pt>
                <c:pt idx="35">
                  <c:v>3014150.0165034966</c:v>
                </c:pt>
                <c:pt idx="36">
                  <c:v>3127545.7711672578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Net Worth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51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  <c:pt idx="6">
                  <c:v>55</c:v>
                </c:pt>
                <c:pt idx="7">
                  <c:v>56</c:v>
                </c:pt>
                <c:pt idx="8">
                  <c:v>57</c:v>
                </c:pt>
                <c:pt idx="9">
                  <c:v>58</c:v>
                </c:pt>
                <c:pt idx="10">
                  <c:v>59</c:v>
                </c:pt>
                <c:pt idx="11">
                  <c:v>60</c:v>
                </c:pt>
                <c:pt idx="12">
                  <c:v>61</c:v>
                </c:pt>
                <c:pt idx="13">
                  <c:v>62</c:v>
                </c:pt>
                <c:pt idx="14">
                  <c:v>63</c:v>
                </c:pt>
                <c:pt idx="15">
                  <c:v>64</c:v>
                </c:pt>
                <c:pt idx="16">
                  <c:v>65</c:v>
                </c:pt>
                <c:pt idx="17">
                  <c:v>66</c:v>
                </c:pt>
                <c:pt idx="18">
                  <c:v>67</c:v>
                </c:pt>
                <c:pt idx="19">
                  <c:v>68</c:v>
                </c:pt>
                <c:pt idx="20">
                  <c:v>69</c:v>
                </c:pt>
                <c:pt idx="21">
                  <c:v>70</c:v>
                </c:pt>
                <c:pt idx="22">
                  <c:v>71</c:v>
                </c:pt>
                <c:pt idx="23">
                  <c:v>72</c:v>
                </c:pt>
                <c:pt idx="24">
                  <c:v>73</c:v>
                </c:pt>
                <c:pt idx="25">
                  <c:v>74</c:v>
                </c:pt>
                <c:pt idx="26">
                  <c:v>75</c:v>
                </c:pt>
                <c:pt idx="27">
                  <c:v>76</c:v>
                </c:pt>
                <c:pt idx="28">
                  <c:v>77</c:v>
                </c:pt>
                <c:pt idx="29">
                  <c:v>78</c:v>
                </c:pt>
                <c:pt idx="30">
                  <c:v>79</c:v>
                </c:pt>
                <c:pt idx="31">
                  <c:v>80</c:v>
                </c:pt>
                <c:pt idx="32">
                  <c:v>81</c:v>
                </c:pt>
                <c:pt idx="33">
                  <c:v>82</c:v>
                </c:pt>
                <c:pt idx="34">
                  <c:v>83</c:v>
                </c:pt>
                <c:pt idx="35">
                  <c:v>84</c:v>
                </c:pt>
                <c:pt idx="36">
                  <c:v>85</c:v>
                </c:pt>
              </c:numCache>
            </c:numRef>
          </c:cat>
          <c:val>
            <c:numRef>
              <c:f>RetEarly_Engine!ChartNW_Early</c:f>
              <c:numCache>
                <c:formatCode>#,##0\ ;\(#,##0\);\ \ \ \-\ </c:formatCode>
                <c:ptCount val="37"/>
                <c:pt idx="0">
                  <c:v>1502255.030484352</c:v>
                </c:pt>
                <c:pt idx="1">
                  <c:v>1601971.8939653663</c:v>
                </c:pt>
                <c:pt idx="2">
                  <c:v>1584169.6388663864</c:v>
                </c:pt>
                <c:pt idx="3">
                  <c:v>1601203.9751105551</c:v>
                </c:pt>
                <c:pt idx="4">
                  <c:v>1599024.628803341</c:v>
                </c:pt>
                <c:pt idx="5">
                  <c:v>1617128.9271149298</c:v>
                </c:pt>
                <c:pt idx="6">
                  <c:v>1604780.2930441611</c:v>
                </c:pt>
                <c:pt idx="7">
                  <c:v>1591664.3815805877</c:v>
                </c:pt>
                <c:pt idx="8">
                  <c:v>1658765.1865764798</c:v>
                </c:pt>
                <c:pt idx="9">
                  <c:v>1628761.5930541516</c:v>
                </c:pt>
                <c:pt idx="10">
                  <c:v>1646227.1160685844</c:v>
                </c:pt>
                <c:pt idx="11">
                  <c:v>1615337.0564431059</c:v>
                </c:pt>
                <c:pt idx="12">
                  <c:v>1619818.3808267005</c:v>
                </c:pt>
                <c:pt idx="13">
                  <c:v>1623789.3571443062</c:v>
                </c:pt>
                <c:pt idx="14">
                  <c:v>1627051.9793510539</c:v>
                </c:pt>
                <c:pt idx="15">
                  <c:v>1629475.8543743305</c:v>
                </c:pt>
                <c:pt idx="16">
                  <c:v>1649006.2946174531</c:v>
                </c:pt>
                <c:pt idx="17">
                  <c:v>1676363.6126447022</c:v>
                </c:pt>
                <c:pt idx="18">
                  <c:v>1704147.2558989122</c:v>
                </c:pt>
                <c:pt idx="19">
                  <c:v>1732380.1053189985</c:v>
                </c:pt>
                <c:pt idx="20">
                  <c:v>1761085.9805515951</c:v>
                </c:pt>
                <c:pt idx="21">
                  <c:v>1681034.2886706511</c:v>
                </c:pt>
                <c:pt idx="22">
                  <c:v>1669867.7229271731</c:v>
                </c:pt>
                <c:pt idx="23">
                  <c:v>1656901.4959778069</c:v>
                </c:pt>
                <c:pt idx="24">
                  <c:v>1642035.1363398044</c:v>
                </c:pt>
                <c:pt idx="25">
                  <c:v>1625226.4693795294</c:v>
                </c:pt>
                <c:pt idx="26">
                  <c:v>1606432.4259580127</c:v>
                </c:pt>
                <c:pt idx="27">
                  <c:v>1595591.4999579198</c:v>
                </c:pt>
                <c:pt idx="28">
                  <c:v>1583032.5623809637</c:v>
                </c:pt>
                <c:pt idx="29">
                  <c:v>1568352.6403667291</c:v>
                </c:pt>
                <c:pt idx="30">
                  <c:v>1551752.7901412062</c:v>
                </c:pt>
                <c:pt idx="31">
                  <c:v>1534953.4228267265</c:v>
                </c:pt>
                <c:pt idx="32">
                  <c:v>1517960.9305040576</c:v>
                </c:pt>
                <c:pt idx="33">
                  <c:v>1500776.3654981372</c:v>
                </c:pt>
                <c:pt idx="34">
                  <c:v>1483400.9763588994</c:v>
                </c:pt>
                <c:pt idx="35">
                  <c:v>1465836.217701989</c:v>
                </c:pt>
                <c:pt idx="36">
                  <c:v>1448482.0250176038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  <c:pt idx="6">
                  <c:v>55</c:v>
                </c:pt>
                <c:pt idx="7">
                  <c:v>56</c:v>
                </c:pt>
                <c:pt idx="8">
                  <c:v>57</c:v>
                </c:pt>
                <c:pt idx="9">
                  <c:v>58</c:v>
                </c:pt>
                <c:pt idx="10">
                  <c:v>59</c:v>
                </c:pt>
                <c:pt idx="11">
                  <c:v>60</c:v>
                </c:pt>
                <c:pt idx="12">
                  <c:v>61</c:v>
                </c:pt>
                <c:pt idx="13">
                  <c:v>62</c:v>
                </c:pt>
                <c:pt idx="14">
                  <c:v>63</c:v>
                </c:pt>
                <c:pt idx="15">
                  <c:v>64</c:v>
                </c:pt>
                <c:pt idx="16">
                  <c:v>65</c:v>
                </c:pt>
                <c:pt idx="17">
                  <c:v>66</c:v>
                </c:pt>
                <c:pt idx="18">
                  <c:v>67</c:v>
                </c:pt>
                <c:pt idx="19">
                  <c:v>68</c:v>
                </c:pt>
                <c:pt idx="20">
                  <c:v>69</c:v>
                </c:pt>
                <c:pt idx="21">
                  <c:v>70</c:v>
                </c:pt>
                <c:pt idx="22">
                  <c:v>71</c:v>
                </c:pt>
                <c:pt idx="23">
                  <c:v>72</c:v>
                </c:pt>
                <c:pt idx="24">
                  <c:v>73</c:v>
                </c:pt>
                <c:pt idx="25">
                  <c:v>74</c:v>
                </c:pt>
                <c:pt idx="26">
                  <c:v>75</c:v>
                </c:pt>
                <c:pt idx="27">
                  <c:v>76</c:v>
                </c:pt>
                <c:pt idx="28">
                  <c:v>77</c:v>
                </c:pt>
                <c:pt idx="29">
                  <c:v>78</c:v>
                </c:pt>
                <c:pt idx="30">
                  <c:v>79</c:v>
                </c:pt>
                <c:pt idx="31">
                  <c:v>80</c:v>
                </c:pt>
                <c:pt idx="32">
                  <c:v>81</c:v>
                </c:pt>
                <c:pt idx="33">
                  <c:v>82</c:v>
                </c:pt>
                <c:pt idx="34">
                  <c:v>83</c:v>
                </c:pt>
                <c:pt idx="35">
                  <c:v>84</c:v>
                </c:pt>
                <c:pt idx="36">
                  <c:v>85</c:v>
                </c:pt>
              </c:numCache>
            </c:numRef>
          </c:cat>
          <c:val>
            <c:numRef>
              <c:f>[0]!ChartNW_Norm</c:f>
              <c:numCache>
                <c:formatCode>#,##0\ ;\(#,##0\);\ \ \ \-\ </c:formatCode>
                <c:ptCount val="37"/>
                <c:pt idx="0">
                  <c:v>1502255.030484352</c:v>
                </c:pt>
                <c:pt idx="1">
                  <c:v>1601971.8939653663</c:v>
                </c:pt>
                <c:pt idx="2">
                  <c:v>1684328.4015844876</c:v>
                </c:pt>
                <c:pt idx="3">
                  <c:v>1802937.006310463</c:v>
                </c:pt>
                <c:pt idx="4">
                  <c:v>1927421.2402849826</c:v>
                </c:pt>
                <c:pt idx="5">
                  <c:v>2064953.2124391431</c:v>
                </c:pt>
                <c:pt idx="6">
                  <c:v>2206605.9587726984</c:v>
                </c:pt>
                <c:pt idx="7">
                  <c:v>2336984.315261797</c:v>
                </c:pt>
                <c:pt idx="8">
                  <c:v>2553696.5652745049</c:v>
                </c:pt>
                <c:pt idx="9">
                  <c:v>2682201.6501127994</c:v>
                </c:pt>
                <c:pt idx="10">
                  <c:v>2865811.5072427955</c:v>
                </c:pt>
                <c:pt idx="11">
                  <c:v>3057997.4271338722</c:v>
                </c:pt>
                <c:pt idx="12">
                  <c:v>3259115.4112636279</c:v>
                </c:pt>
                <c:pt idx="13">
                  <c:v>3469535.9434690997</c:v>
                </c:pt>
                <c:pt idx="14">
                  <c:v>3689644.6155287321</c:v>
                </c:pt>
                <c:pt idx="15">
                  <c:v>3919842.7837065398</c:v>
                </c:pt>
                <c:pt idx="16">
                  <c:v>4054616.0275665605</c:v>
                </c:pt>
                <c:pt idx="17">
                  <c:v>4202088.2403769335</c:v>
                </c:pt>
                <c:pt idx="18">
                  <c:v>4355143.7005567988</c:v>
                </c:pt>
                <c:pt idx="19">
                  <c:v>4514008.5023259325</c:v>
                </c:pt>
                <c:pt idx="20">
                  <c:v>4678919.0712515805</c:v>
                </c:pt>
                <c:pt idx="21">
                  <c:v>4829715.8029471757</c:v>
                </c:pt>
                <c:pt idx="22">
                  <c:v>4986044.0693058725</c:v>
                </c:pt>
                <c:pt idx="23">
                  <c:v>5148136.5207989374</c:v>
                </c:pt>
                <c:pt idx="24">
                  <c:v>5316237.3201445313</c:v>
                </c:pt>
                <c:pt idx="25">
                  <c:v>5490602.8188040266</c:v>
                </c:pt>
                <c:pt idx="26">
                  <c:v>5671502.2791912882</c:v>
                </c:pt>
                <c:pt idx="27">
                  <c:v>5869079.3835584801</c:v>
                </c:pt>
                <c:pt idx="28">
                  <c:v>6074263.882105805</c:v>
                </c:pt>
                <c:pt idx="29">
                  <c:v>6287387.101517546</c:v>
                </c:pt>
                <c:pt idx="30">
                  <c:v>6508797.3131371113</c:v>
                </c:pt>
                <c:pt idx="31">
                  <c:v>6738860.7590825101</c:v>
                </c:pt>
                <c:pt idx="32">
                  <c:v>6977962.7492139079</c:v>
                </c:pt>
                <c:pt idx="33">
                  <c:v>7226508.8342432585</c:v>
                </c:pt>
                <c:pt idx="34">
                  <c:v>7484926.0606866907</c:v>
                </c:pt>
                <c:pt idx="35">
                  <c:v>7753664.3138034102</c:v>
                </c:pt>
                <c:pt idx="36">
                  <c:v>8033197.7551429691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15" fmlaLink="RetEarly_Engine!$B$3" max="65" min="18" page="10" val="51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297479</xdr:colOff>
      <xdr:row>1</xdr:row>
      <xdr:rowOff>128162</xdr:rowOff>
    </xdr:from>
    <xdr:to>
      <xdr:col>10</xdr:col>
      <xdr:colOff>297478</xdr:colOff>
      <xdr:row>30</xdr:row>
      <xdr:rowOff>160180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4EF6F3C-5549-FFD1-5465-CCE02109B7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423336</xdr:colOff>
      <xdr:row>1</xdr:row>
      <xdr:rowOff>128162</xdr:rowOff>
    </xdr:from>
    <xdr:to>
      <xdr:col>20</xdr:col>
      <xdr:colOff>423336</xdr:colOff>
      <xdr:row>30</xdr:row>
      <xdr:rowOff>160180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22D580-9C83-6C91-B509-F2CDB56D14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38100</xdr:colOff>
          <xdr:row>4</xdr:row>
          <xdr:rowOff>63500</xdr:rowOff>
        </xdr:from>
        <xdr:to>
          <xdr:col>21</xdr:col>
          <xdr:colOff>660400</xdr:colOff>
          <xdr:row>9</xdr:row>
          <xdr:rowOff>63500</xdr:rowOff>
        </xdr:to>
        <xdr:sp macro="" textlink="">
          <xdr:nvSpPr>
            <xdr:cNvPr id="2049" name="Spinner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C09A-970C-8B4A-8DAA-2452C038377E}">
  <sheetPr codeName="Sheet1">
    <tabColor rgb="FFFFFF00"/>
  </sheetPr>
  <dimension ref="A1:M208"/>
  <sheetViews>
    <sheetView zoomScale="135" zoomScaleNormal="120" workbookViewId="0">
      <pane ySplit="1" topLeftCell="A172" activePane="bottomLeft" state="frozen"/>
      <selection pane="bottomLeft" activeCell="A178" sqref="A178"/>
    </sheetView>
  </sheetViews>
  <sheetFormatPr baseColWidth="10" defaultRowHeight="16"/>
  <cols>
    <col min="1" max="1" width="37.83203125" style="22" customWidth="1"/>
    <col min="2" max="2" width="11.6640625" style="19" customWidth="1"/>
    <col min="3" max="3" width="10.83203125" style="21"/>
    <col min="4" max="4" width="45.33203125" style="63" customWidth="1"/>
    <col min="5" max="5" width="43.83203125" style="61" bestFit="1" customWidth="1"/>
    <col min="6" max="6" width="16.1640625" style="71" customWidth="1"/>
    <col min="7" max="7" width="6.5" style="70" customWidth="1"/>
    <col min="8" max="11" width="10.83203125" style="21"/>
    <col min="12" max="12" width="10.83203125" style="2"/>
    <col min="13" max="16384" width="10.83203125" style="21"/>
  </cols>
  <sheetData>
    <row r="1" spans="1:12" ht="35" customHeight="1">
      <c r="A1" s="52"/>
      <c r="B1" s="60" t="s">
        <v>160</v>
      </c>
      <c r="C1" s="46"/>
      <c r="D1" s="60" t="s">
        <v>144</v>
      </c>
      <c r="E1" s="67" t="s">
        <v>145</v>
      </c>
      <c r="F1" s="69" t="s">
        <v>146</v>
      </c>
      <c r="G1" s="69"/>
    </row>
    <row r="2" spans="1:12">
      <c r="A2" s="53" t="s">
        <v>81</v>
      </c>
      <c r="B2" s="33"/>
      <c r="D2" s="61"/>
      <c r="F2" s="70"/>
      <c r="L2" s="21"/>
    </row>
    <row r="3" spans="1:12">
      <c r="D3" s="62"/>
      <c r="L3" s="21"/>
    </row>
    <row r="4" spans="1:12">
      <c r="A4" s="18" t="s">
        <v>82</v>
      </c>
      <c r="B4" s="35">
        <v>48</v>
      </c>
      <c r="D4" s="62" t="s">
        <v>84</v>
      </c>
      <c r="L4" s="21"/>
    </row>
    <row r="5" spans="1:12">
      <c r="A5" s="18"/>
      <c r="D5" s="62"/>
      <c r="L5" s="21"/>
    </row>
    <row r="6" spans="1:12">
      <c r="A6" s="18" t="s">
        <v>83</v>
      </c>
      <c r="B6" s="35">
        <v>80000</v>
      </c>
      <c r="D6" s="62" t="s">
        <v>85</v>
      </c>
      <c r="L6" s="21"/>
    </row>
    <row r="7" spans="1:12">
      <c r="A7" s="18"/>
      <c r="D7" s="62"/>
      <c r="L7" s="21"/>
    </row>
    <row r="8" spans="1:12">
      <c r="A8" s="18" t="s">
        <v>86</v>
      </c>
      <c r="B8" s="35">
        <v>50000</v>
      </c>
      <c r="D8" s="62" t="s">
        <v>87</v>
      </c>
      <c r="L8" s="21"/>
    </row>
    <row r="9" spans="1:12">
      <c r="A9" s="18"/>
      <c r="D9" s="62"/>
      <c r="L9" s="21"/>
    </row>
    <row r="10" spans="1:12">
      <c r="A10" s="18" t="s">
        <v>0</v>
      </c>
      <c r="B10" s="35">
        <v>30000</v>
      </c>
      <c r="D10" s="62" t="s">
        <v>88</v>
      </c>
      <c r="L10" s="21"/>
    </row>
    <row r="11" spans="1:12">
      <c r="A11" s="18"/>
      <c r="D11" s="62"/>
      <c r="L11" s="21"/>
    </row>
    <row r="12" spans="1:12">
      <c r="A12" s="18" t="s">
        <v>30</v>
      </c>
      <c r="B12" s="35">
        <v>600000</v>
      </c>
      <c r="D12" s="62" t="s">
        <v>142</v>
      </c>
      <c r="L12" s="21"/>
    </row>
    <row r="13" spans="1:12">
      <c r="A13" s="18"/>
      <c r="D13" s="62"/>
      <c r="L13" s="21"/>
    </row>
    <row r="14" spans="1:12">
      <c r="A14" s="18" t="s">
        <v>33</v>
      </c>
      <c r="E14" s="68"/>
      <c r="L14" s="21"/>
    </row>
    <row r="15" spans="1:12">
      <c r="A15" s="22" t="s">
        <v>38</v>
      </c>
      <c r="B15" s="35">
        <v>50000</v>
      </c>
      <c r="D15" s="62" t="s">
        <v>143</v>
      </c>
      <c r="F15" s="72" t="s">
        <v>91</v>
      </c>
      <c r="G15" s="73">
        <f>IFERROR(NPER(B16/12,-B17,B15),"")</f>
        <v>68.044528885100064</v>
      </c>
      <c r="L15" s="21"/>
    </row>
    <row r="16" spans="1:12">
      <c r="A16" s="22" t="s">
        <v>89</v>
      </c>
      <c r="B16" s="36">
        <v>0.03</v>
      </c>
      <c r="D16" s="62"/>
      <c r="F16" s="72" t="s">
        <v>92</v>
      </c>
      <c r="G16" s="73">
        <f>IFERROR(G15/12,"")</f>
        <v>5.6703774070916717</v>
      </c>
      <c r="L16" s="21"/>
    </row>
    <row r="17" spans="1:12">
      <c r="A17" s="22" t="s">
        <v>90</v>
      </c>
      <c r="B17" s="35">
        <v>800</v>
      </c>
      <c r="D17" s="62"/>
      <c r="L17" s="21"/>
    </row>
    <row r="18" spans="1:12">
      <c r="A18" s="18"/>
      <c r="D18" s="62"/>
      <c r="L18" s="21"/>
    </row>
    <row r="19" spans="1:12">
      <c r="A19" s="18" t="s">
        <v>95</v>
      </c>
      <c r="B19" s="35">
        <v>65</v>
      </c>
      <c r="D19" s="62" t="s">
        <v>96</v>
      </c>
      <c r="L19" s="21"/>
    </row>
    <row r="20" spans="1:12">
      <c r="A20" s="18"/>
      <c r="B20" s="37"/>
      <c r="D20" s="62"/>
      <c r="L20" s="21"/>
    </row>
    <row r="21" spans="1:12">
      <c r="A21" s="18" t="s">
        <v>93</v>
      </c>
      <c r="B21" s="35">
        <v>16000</v>
      </c>
      <c r="D21" s="62" t="s">
        <v>94</v>
      </c>
      <c r="L21" s="21"/>
    </row>
    <row r="22" spans="1:12">
      <c r="A22" s="18"/>
      <c r="D22" s="62"/>
      <c r="L22" s="21"/>
    </row>
    <row r="23" spans="1:12">
      <c r="A23" s="18" t="s">
        <v>5</v>
      </c>
      <c r="B23" s="35"/>
      <c r="D23" s="62" t="s">
        <v>49</v>
      </c>
      <c r="E23" s="61" t="s">
        <v>154</v>
      </c>
      <c r="L23" s="21"/>
    </row>
    <row r="24" spans="1:12">
      <c r="A24" s="18"/>
      <c r="D24" s="62"/>
      <c r="L24" s="21"/>
    </row>
    <row r="25" spans="1:12">
      <c r="A25" s="18" t="s">
        <v>104</v>
      </c>
      <c r="B25" s="35">
        <v>50000</v>
      </c>
      <c r="D25" s="62"/>
      <c r="L25" s="21"/>
    </row>
    <row r="26" spans="1:12">
      <c r="D26" s="62"/>
      <c r="L26" s="21"/>
    </row>
    <row r="27" spans="1:12">
      <c r="D27" s="62"/>
      <c r="L27" s="21"/>
    </row>
    <row r="28" spans="1:12">
      <c r="A28" s="53" t="s">
        <v>97</v>
      </c>
      <c r="B28" s="33"/>
      <c r="D28" s="62"/>
      <c r="E28" s="61" t="s">
        <v>148</v>
      </c>
      <c r="L28" s="21"/>
    </row>
    <row r="29" spans="1:12">
      <c r="D29" s="62"/>
      <c r="L29" s="21"/>
    </row>
    <row r="30" spans="1:12">
      <c r="A30" s="54" t="s">
        <v>32</v>
      </c>
      <c r="D30" s="62"/>
      <c r="L30" s="21"/>
    </row>
    <row r="31" spans="1:12">
      <c r="D31" s="62"/>
      <c r="L31" s="21"/>
    </row>
    <row r="32" spans="1:12">
      <c r="A32" s="22" t="s">
        <v>40</v>
      </c>
      <c r="L32" s="21"/>
    </row>
    <row r="33" spans="1:12">
      <c r="A33" s="55" t="s">
        <v>29</v>
      </c>
      <c r="B33" s="38" t="s">
        <v>163</v>
      </c>
      <c r="D33" s="62" t="s">
        <v>100</v>
      </c>
      <c r="L33" s="21"/>
    </row>
    <row r="34" spans="1:12">
      <c r="A34" s="55" t="s">
        <v>128</v>
      </c>
      <c r="B34" s="35">
        <v>2000</v>
      </c>
      <c r="D34" s="62" t="s">
        <v>127</v>
      </c>
      <c r="E34" s="61" t="s">
        <v>150</v>
      </c>
      <c r="L34" s="21"/>
    </row>
    <row r="35" spans="1:12">
      <c r="A35" s="55" t="s">
        <v>101</v>
      </c>
      <c r="B35" s="35">
        <v>3</v>
      </c>
      <c r="D35" s="62" t="s">
        <v>99</v>
      </c>
      <c r="E35" s="61" t="s">
        <v>150</v>
      </c>
      <c r="L35" s="21"/>
    </row>
    <row r="36" spans="1:12">
      <c r="L36" s="21"/>
    </row>
    <row r="37" spans="1:12">
      <c r="A37" s="22" t="s">
        <v>41</v>
      </c>
      <c r="L37" s="21"/>
    </row>
    <row r="38" spans="1:12">
      <c r="A38" s="55" t="s">
        <v>29</v>
      </c>
      <c r="B38" s="38" t="s">
        <v>164</v>
      </c>
      <c r="D38" s="62" t="s">
        <v>100</v>
      </c>
      <c r="L38" s="21"/>
    </row>
    <row r="39" spans="1:12">
      <c r="A39" s="55" t="s">
        <v>128</v>
      </c>
      <c r="B39" s="35">
        <v>1000</v>
      </c>
      <c r="D39" s="62" t="s">
        <v>127</v>
      </c>
      <c r="E39" s="61" t="s">
        <v>150</v>
      </c>
      <c r="L39" s="21"/>
    </row>
    <row r="40" spans="1:12">
      <c r="A40" s="55" t="s">
        <v>101</v>
      </c>
      <c r="B40" s="35">
        <v>5</v>
      </c>
      <c r="D40" s="62" t="s">
        <v>99</v>
      </c>
      <c r="E40" s="61" t="s">
        <v>150</v>
      </c>
      <c r="L40" s="21"/>
    </row>
    <row r="42" spans="1:12">
      <c r="A42" s="22" t="s">
        <v>42</v>
      </c>
      <c r="L42" s="21"/>
    </row>
    <row r="43" spans="1:12">
      <c r="A43" s="55" t="s">
        <v>29</v>
      </c>
      <c r="B43" s="38" t="s">
        <v>165</v>
      </c>
      <c r="D43" s="62" t="s">
        <v>100</v>
      </c>
      <c r="L43" s="21"/>
    </row>
    <row r="44" spans="1:12">
      <c r="A44" s="55" t="s">
        <v>128</v>
      </c>
      <c r="B44" s="35">
        <v>4000</v>
      </c>
      <c r="D44" s="62" t="s">
        <v>127</v>
      </c>
      <c r="E44" s="61" t="s">
        <v>150</v>
      </c>
      <c r="L44" s="21"/>
    </row>
    <row r="45" spans="1:12">
      <c r="A45" s="55" t="s">
        <v>101</v>
      </c>
      <c r="B45" s="35">
        <v>2</v>
      </c>
      <c r="D45" s="62" t="s">
        <v>99</v>
      </c>
      <c r="E45" s="61" t="s">
        <v>150</v>
      </c>
      <c r="L45" s="21"/>
    </row>
    <row r="46" spans="1:12">
      <c r="A46" s="55"/>
      <c r="B46" s="34"/>
      <c r="D46" s="62"/>
      <c r="L46" s="21"/>
    </row>
    <row r="47" spans="1:12">
      <c r="A47" s="22" t="s">
        <v>172</v>
      </c>
      <c r="L47" s="21"/>
    </row>
    <row r="48" spans="1:12">
      <c r="A48" s="55" t="s">
        <v>29</v>
      </c>
      <c r="B48" s="38" t="s">
        <v>174</v>
      </c>
      <c r="D48" s="62" t="s">
        <v>100</v>
      </c>
      <c r="L48" s="21"/>
    </row>
    <row r="49" spans="1:12">
      <c r="A49" s="55" t="s">
        <v>128</v>
      </c>
      <c r="B49" s="35">
        <v>2500</v>
      </c>
      <c r="D49" s="62" t="s">
        <v>127</v>
      </c>
      <c r="E49" s="61" t="s">
        <v>150</v>
      </c>
      <c r="L49" s="21"/>
    </row>
    <row r="50" spans="1:12">
      <c r="A50" s="55" t="s">
        <v>101</v>
      </c>
      <c r="B50" s="35">
        <v>3</v>
      </c>
      <c r="D50" s="62" t="s">
        <v>99</v>
      </c>
      <c r="E50" s="61" t="s">
        <v>150</v>
      </c>
      <c r="L50" s="21"/>
    </row>
    <row r="52" spans="1:12">
      <c r="A52" s="22" t="s">
        <v>173</v>
      </c>
      <c r="L52" s="21"/>
    </row>
    <row r="53" spans="1:12">
      <c r="A53" s="55" t="s">
        <v>29</v>
      </c>
      <c r="B53" s="38" t="s">
        <v>175</v>
      </c>
      <c r="D53" s="62" t="s">
        <v>100</v>
      </c>
      <c r="L53" s="21"/>
    </row>
    <row r="54" spans="1:12">
      <c r="A54" s="55" t="s">
        <v>128</v>
      </c>
      <c r="B54" s="35">
        <v>2860</v>
      </c>
      <c r="D54" s="62" t="s">
        <v>127</v>
      </c>
      <c r="E54" s="61" t="s">
        <v>150</v>
      </c>
      <c r="L54" s="21"/>
    </row>
    <row r="55" spans="1:12">
      <c r="A55" s="55" t="s">
        <v>101</v>
      </c>
      <c r="B55" s="35">
        <v>6</v>
      </c>
      <c r="D55" s="62" t="s">
        <v>99</v>
      </c>
      <c r="E55" s="61" t="s">
        <v>150</v>
      </c>
      <c r="L55" s="21"/>
    </row>
    <row r="56" spans="1:12">
      <c r="A56" s="55"/>
      <c r="B56" s="34"/>
      <c r="D56" s="62"/>
      <c r="L56" s="21"/>
    </row>
    <row r="57" spans="1:12">
      <c r="A57" s="54" t="s">
        <v>116</v>
      </c>
      <c r="D57" s="62"/>
      <c r="L57" s="21"/>
    </row>
    <row r="58" spans="1:12">
      <c r="A58" s="54"/>
      <c r="D58" s="62"/>
      <c r="L58" s="21"/>
    </row>
    <row r="59" spans="1:12">
      <c r="A59" s="22" t="s">
        <v>43</v>
      </c>
      <c r="D59" s="62"/>
      <c r="L59" s="21"/>
    </row>
    <row r="60" spans="1:12">
      <c r="A60" s="55" t="s">
        <v>29</v>
      </c>
      <c r="B60" s="38" t="s">
        <v>155</v>
      </c>
      <c r="D60" s="62" t="s">
        <v>100</v>
      </c>
      <c r="L60" s="21"/>
    </row>
    <row r="61" spans="1:12">
      <c r="A61" s="55" t="s">
        <v>113</v>
      </c>
      <c r="B61" s="35">
        <v>300000</v>
      </c>
      <c r="D61" s="62"/>
      <c r="E61" s="61" t="s">
        <v>151</v>
      </c>
      <c r="L61" s="21"/>
    </row>
    <row r="62" spans="1:12">
      <c r="A62" s="55" t="s">
        <v>114</v>
      </c>
      <c r="B62" s="35">
        <v>5000</v>
      </c>
      <c r="D62" s="62" t="s">
        <v>115</v>
      </c>
      <c r="E62" s="61" t="s">
        <v>151</v>
      </c>
      <c r="L62" s="21"/>
    </row>
    <row r="63" spans="1:12">
      <c r="D63" s="62"/>
      <c r="L63" s="21"/>
    </row>
    <row r="64" spans="1:12">
      <c r="A64" s="22" t="s">
        <v>44</v>
      </c>
      <c r="D64" s="62"/>
      <c r="L64" s="21"/>
    </row>
    <row r="65" spans="1:12">
      <c r="A65" s="55" t="s">
        <v>29</v>
      </c>
      <c r="B65" s="38" t="s">
        <v>166</v>
      </c>
      <c r="D65" s="62" t="s">
        <v>100</v>
      </c>
      <c r="L65" s="21"/>
    </row>
    <row r="66" spans="1:12">
      <c r="A66" s="55" t="s">
        <v>113</v>
      </c>
      <c r="B66" s="35">
        <v>150000</v>
      </c>
      <c r="D66" s="62"/>
      <c r="E66" s="61" t="s">
        <v>151</v>
      </c>
      <c r="L66" s="21"/>
    </row>
    <row r="67" spans="1:12">
      <c r="A67" s="55" t="s">
        <v>114</v>
      </c>
      <c r="B67" s="35">
        <v>2000</v>
      </c>
      <c r="D67" s="62" t="s">
        <v>115</v>
      </c>
      <c r="E67" s="61" t="s">
        <v>151</v>
      </c>
      <c r="L67" s="21"/>
    </row>
    <row r="68" spans="1:12">
      <c r="D68" s="62"/>
      <c r="L68" s="21"/>
    </row>
    <row r="69" spans="1:12">
      <c r="A69" s="22" t="s">
        <v>45</v>
      </c>
      <c r="D69" s="62"/>
      <c r="L69" s="21"/>
    </row>
    <row r="70" spans="1:12">
      <c r="A70" s="55" t="s">
        <v>29</v>
      </c>
      <c r="B70" s="38" t="s">
        <v>161</v>
      </c>
      <c r="D70" s="62" t="s">
        <v>100</v>
      </c>
      <c r="L70" s="21"/>
    </row>
    <row r="71" spans="1:12">
      <c r="A71" s="55" t="s">
        <v>113</v>
      </c>
      <c r="B71" s="35">
        <v>220000</v>
      </c>
      <c r="D71" s="62"/>
      <c r="E71" s="61" t="s">
        <v>151</v>
      </c>
      <c r="L71" s="21"/>
    </row>
    <row r="72" spans="1:12">
      <c r="A72" s="55" t="s">
        <v>114</v>
      </c>
      <c r="B72" s="35">
        <v>1200</v>
      </c>
      <c r="D72" s="62" t="s">
        <v>115</v>
      </c>
      <c r="E72" s="61" t="s">
        <v>151</v>
      </c>
      <c r="L72" s="21"/>
    </row>
    <row r="73" spans="1:12">
      <c r="A73" s="55"/>
      <c r="D73" s="62"/>
      <c r="L73" s="21"/>
    </row>
    <row r="74" spans="1:12">
      <c r="A74" s="22" t="s">
        <v>176</v>
      </c>
      <c r="D74" s="62"/>
      <c r="L74" s="21"/>
    </row>
    <row r="75" spans="1:12">
      <c r="A75" s="55" t="s">
        <v>29</v>
      </c>
      <c r="B75" s="38" t="s">
        <v>178</v>
      </c>
      <c r="D75" s="62" t="s">
        <v>100</v>
      </c>
      <c r="L75" s="21"/>
    </row>
    <row r="76" spans="1:12">
      <c r="A76" s="55" t="s">
        <v>113</v>
      </c>
      <c r="B76" s="35">
        <v>80000</v>
      </c>
      <c r="D76" s="62"/>
      <c r="E76" s="61" t="s">
        <v>151</v>
      </c>
      <c r="L76" s="21"/>
    </row>
    <row r="77" spans="1:12">
      <c r="A77" s="55" t="s">
        <v>114</v>
      </c>
      <c r="B77" s="35">
        <v>1000</v>
      </c>
      <c r="D77" s="62" t="s">
        <v>115</v>
      </c>
      <c r="E77" s="61" t="s">
        <v>151</v>
      </c>
      <c r="L77" s="21"/>
    </row>
    <row r="78" spans="1:12">
      <c r="D78" s="62"/>
      <c r="L78" s="21"/>
    </row>
    <row r="79" spans="1:12">
      <c r="A79" s="22" t="s">
        <v>177</v>
      </c>
      <c r="D79" s="62"/>
      <c r="L79" s="21"/>
    </row>
    <row r="80" spans="1:12">
      <c r="A80" s="55" t="s">
        <v>29</v>
      </c>
      <c r="B80" s="38" t="s">
        <v>179</v>
      </c>
      <c r="D80" s="62" t="s">
        <v>100</v>
      </c>
      <c r="L80" s="21"/>
    </row>
    <row r="81" spans="1:12">
      <c r="A81" s="55" t="s">
        <v>113</v>
      </c>
      <c r="B81" s="35">
        <v>120000</v>
      </c>
      <c r="D81" s="62"/>
      <c r="E81" s="61" t="s">
        <v>151</v>
      </c>
      <c r="L81" s="21"/>
    </row>
    <row r="82" spans="1:12">
      <c r="A82" s="55" t="s">
        <v>114</v>
      </c>
      <c r="B82" s="35">
        <v>800</v>
      </c>
      <c r="D82" s="62" t="s">
        <v>115</v>
      </c>
      <c r="E82" s="61" t="s">
        <v>151</v>
      </c>
      <c r="L82" s="21"/>
    </row>
    <row r="83" spans="1:12">
      <c r="A83" s="55"/>
      <c r="D83" s="62"/>
      <c r="L83" s="21"/>
    </row>
    <row r="84" spans="1:12">
      <c r="A84" s="54" t="s">
        <v>102</v>
      </c>
      <c r="L84" s="21"/>
    </row>
    <row r="85" spans="1:12">
      <c r="D85" s="62"/>
      <c r="L85" s="21"/>
    </row>
    <row r="86" spans="1:12">
      <c r="A86" s="22" t="str">
        <f>"Rental income: "&amp;B60</f>
        <v>Rental income: Sliema</v>
      </c>
      <c r="B86" s="35">
        <v>12000</v>
      </c>
      <c r="D86" s="62" t="s">
        <v>103</v>
      </c>
      <c r="E86" s="61" t="s">
        <v>152</v>
      </c>
      <c r="L86" s="21"/>
    </row>
    <row r="87" spans="1:12">
      <c r="A87" s="22" t="str">
        <f>"Rental income: "&amp;B65</f>
        <v>Rental income: Gzira</v>
      </c>
      <c r="B87" s="35">
        <v>10000</v>
      </c>
      <c r="D87" s="62" t="s">
        <v>103</v>
      </c>
      <c r="E87" s="61" t="s">
        <v>152</v>
      </c>
      <c r="L87" s="21"/>
    </row>
    <row r="88" spans="1:12">
      <c r="A88" s="22" t="str">
        <f>"Rental income: "&amp;B70</f>
        <v>Rental income: Qormi</v>
      </c>
      <c r="B88" s="35">
        <v>8000</v>
      </c>
      <c r="D88" s="62" t="s">
        <v>103</v>
      </c>
      <c r="E88" s="61" t="s">
        <v>152</v>
      </c>
      <c r="L88" s="21"/>
    </row>
    <row r="89" spans="1:12">
      <c r="A89" s="22" t="str">
        <f>"Rental income: "&amp;B75</f>
        <v>Rental income: Gudja</v>
      </c>
      <c r="B89" s="35">
        <v>5000</v>
      </c>
      <c r="D89" s="62" t="s">
        <v>103</v>
      </c>
      <c r="E89" s="61" t="s">
        <v>152</v>
      </c>
      <c r="L89" s="21"/>
    </row>
    <row r="90" spans="1:12">
      <c r="A90" s="22" t="str">
        <f>"Rental income: "&amp;B80</f>
        <v>Rental income: Marsa</v>
      </c>
      <c r="B90" s="35">
        <v>6500</v>
      </c>
      <c r="D90" s="62" t="s">
        <v>103</v>
      </c>
      <c r="E90" s="61" t="s">
        <v>152</v>
      </c>
      <c r="L90" s="21"/>
    </row>
    <row r="91" spans="1:12">
      <c r="D91" s="62"/>
      <c r="L91" s="21"/>
    </row>
    <row r="92" spans="1:12">
      <c r="A92" s="22" t="s">
        <v>117</v>
      </c>
      <c r="B92" s="35">
        <v>2000</v>
      </c>
      <c r="D92" s="62" t="s">
        <v>140</v>
      </c>
      <c r="L92" s="21"/>
    </row>
    <row r="93" spans="1:12">
      <c r="A93" s="22" t="s">
        <v>15</v>
      </c>
      <c r="B93" s="35">
        <v>58</v>
      </c>
      <c r="D93" s="62"/>
      <c r="E93" s="61" t="s">
        <v>153</v>
      </c>
      <c r="L93" s="21"/>
    </row>
    <row r="94" spans="1:12">
      <c r="D94" s="62"/>
      <c r="L94" s="21"/>
    </row>
    <row r="95" spans="1:12">
      <c r="A95" s="54" t="s">
        <v>105</v>
      </c>
      <c r="D95" s="62"/>
      <c r="L95" s="21"/>
    </row>
    <row r="96" spans="1:12">
      <c r="D96" s="62"/>
      <c r="J96" s="45"/>
      <c r="L96" s="21"/>
    </row>
    <row r="97" spans="1:12">
      <c r="A97" s="22" t="s">
        <v>3</v>
      </c>
      <c r="B97" s="35">
        <v>1000</v>
      </c>
      <c r="D97" s="62" t="s">
        <v>141</v>
      </c>
      <c r="L97" s="21"/>
    </row>
    <row r="98" spans="1:12">
      <c r="D98" s="62"/>
      <c r="L98" s="21"/>
    </row>
    <row r="99" spans="1:12">
      <c r="A99" s="56" t="str">
        <f>B60 &amp; " Property"</f>
        <v>Sliema Property</v>
      </c>
      <c r="F99" s="72"/>
      <c r="G99" s="74"/>
      <c r="J99" s="45"/>
      <c r="L99" s="21"/>
    </row>
    <row r="100" spans="1:12">
      <c r="A100" s="55" t="s">
        <v>38</v>
      </c>
      <c r="B100" s="35">
        <v>50000</v>
      </c>
      <c r="D100" s="62" t="s">
        <v>109</v>
      </c>
      <c r="F100" s="72" t="s">
        <v>91</v>
      </c>
      <c r="G100" s="73">
        <f>IFERROR(NPER(B101/12,-B102,B100),"")</f>
        <v>115.21661015797439</v>
      </c>
      <c r="L100" s="21"/>
    </row>
    <row r="101" spans="1:12">
      <c r="A101" s="55" t="s">
        <v>89</v>
      </c>
      <c r="B101" s="36">
        <v>0.03</v>
      </c>
      <c r="D101" s="62"/>
      <c r="F101" s="72" t="s">
        <v>92</v>
      </c>
      <c r="G101" s="73">
        <f>IFERROR(G100/12,"")</f>
        <v>9.6013841798311983</v>
      </c>
      <c r="L101" s="21"/>
    </row>
    <row r="102" spans="1:12">
      <c r="A102" s="55" t="s">
        <v>90</v>
      </c>
      <c r="B102" s="35">
        <v>500</v>
      </c>
      <c r="D102" s="62"/>
      <c r="G102" s="74"/>
      <c r="J102" s="45"/>
      <c r="L102" s="21"/>
    </row>
    <row r="103" spans="1:12">
      <c r="B103" s="21"/>
      <c r="D103" s="62"/>
      <c r="G103" s="74"/>
      <c r="J103" s="45"/>
      <c r="L103" s="21"/>
    </row>
    <row r="104" spans="1:12">
      <c r="A104" s="56" t="str">
        <f>B65 &amp; " Property"</f>
        <v>Gzira Property</v>
      </c>
      <c r="B104" s="21"/>
      <c r="F104" s="72"/>
      <c r="G104" s="74"/>
      <c r="L104" s="21"/>
    </row>
    <row r="105" spans="1:12">
      <c r="A105" s="55" t="s">
        <v>38</v>
      </c>
      <c r="B105" s="35">
        <v>8500</v>
      </c>
      <c r="D105" s="62" t="s">
        <v>109</v>
      </c>
      <c r="F105" s="72" t="s">
        <v>91</v>
      </c>
      <c r="G105" s="73">
        <f>IFERROR(NPER(B106/12,-B107,B105),"")</f>
        <v>44.117014509786529</v>
      </c>
      <c r="L105" s="21"/>
    </row>
    <row r="106" spans="1:12">
      <c r="A106" s="55" t="s">
        <v>89</v>
      </c>
      <c r="B106" s="36">
        <v>0.02</v>
      </c>
      <c r="D106" s="62"/>
      <c r="F106" s="72" t="s">
        <v>92</v>
      </c>
      <c r="G106" s="73">
        <f>IFERROR(G105/12,"")</f>
        <v>3.6764178758155439</v>
      </c>
      <c r="L106" s="21"/>
    </row>
    <row r="107" spans="1:12">
      <c r="A107" s="55" t="s">
        <v>90</v>
      </c>
      <c r="B107" s="35">
        <v>200</v>
      </c>
      <c r="D107" s="62"/>
      <c r="G107" s="74"/>
      <c r="L107" s="21"/>
    </row>
    <row r="108" spans="1:12">
      <c r="D108" s="62"/>
      <c r="G108" s="74"/>
      <c r="L108" s="21"/>
    </row>
    <row r="109" spans="1:12">
      <c r="A109" s="56" t="str">
        <f>B70&amp; " Property"</f>
        <v>Qormi Property</v>
      </c>
      <c r="B109" s="21"/>
      <c r="F109" s="72"/>
      <c r="G109" s="74"/>
      <c r="L109" s="21"/>
    </row>
    <row r="110" spans="1:12">
      <c r="A110" s="55" t="s">
        <v>38</v>
      </c>
      <c r="B110" s="35">
        <v>15000</v>
      </c>
      <c r="D110" s="62" t="s">
        <v>109</v>
      </c>
      <c r="F110" s="72" t="s">
        <v>91</v>
      </c>
      <c r="G110" s="73">
        <f>IFERROR(NPER(B111/12,-B112,B110),"")</f>
        <v>69.187438742600861</v>
      </c>
      <c r="L110" s="21"/>
    </row>
    <row r="111" spans="1:12">
      <c r="A111" s="55" t="s">
        <v>89</v>
      </c>
      <c r="B111" s="36">
        <v>0.05</v>
      </c>
      <c r="D111" s="62"/>
      <c r="F111" s="72" t="s">
        <v>92</v>
      </c>
      <c r="G111" s="73">
        <f>IFERROR(G110/12,"")</f>
        <v>5.7656198952167381</v>
      </c>
      <c r="J111" s="45"/>
      <c r="L111" s="21"/>
    </row>
    <row r="112" spans="1:12">
      <c r="A112" s="55" t="s">
        <v>90</v>
      </c>
      <c r="B112" s="35">
        <v>250</v>
      </c>
      <c r="D112" s="62"/>
      <c r="G112" s="74"/>
      <c r="J112" s="45"/>
      <c r="L112" s="21"/>
    </row>
    <row r="113" spans="1:12">
      <c r="B113" s="21"/>
      <c r="D113" s="62"/>
      <c r="G113" s="74"/>
      <c r="L113" s="21"/>
    </row>
    <row r="114" spans="1:12">
      <c r="A114" s="56" t="str">
        <f>B75 &amp; " Property"</f>
        <v>Gudja Property</v>
      </c>
      <c r="B114" s="21"/>
      <c r="F114" s="72"/>
      <c r="G114" s="74"/>
      <c r="L114" s="21"/>
    </row>
    <row r="115" spans="1:12">
      <c r="A115" s="55" t="s">
        <v>38</v>
      </c>
      <c r="B115" s="35">
        <v>4680</v>
      </c>
      <c r="D115" s="62" t="s">
        <v>109</v>
      </c>
      <c r="F115" s="72" t="s">
        <v>91</v>
      </c>
      <c r="G115" s="73">
        <f>IFERROR(NPER(B116/12,-B117,B115),"")</f>
        <v>61.603232323170296</v>
      </c>
      <c r="L115" s="21"/>
    </row>
    <row r="116" spans="1:12">
      <c r="A116" s="55" t="s">
        <v>89</v>
      </c>
      <c r="B116" s="36">
        <v>0.02</v>
      </c>
      <c r="D116" s="62"/>
      <c r="F116" s="72" t="s">
        <v>92</v>
      </c>
      <c r="G116" s="73">
        <f>IFERROR(G115/12,"")</f>
        <v>5.133602693597525</v>
      </c>
      <c r="L116" s="21"/>
    </row>
    <row r="117" spans="1:12">
      <c r="A117" s="55" t="s">
        <v>90</v>
      </c>
      <c r="B117" s="35">
        <v>80</v>
      </c>
      <c r="D117" s="62"/>
      <c r="G117" s="74"/>
      <c r="L117" s="21"/>
    </row>
    <row r="118" spans="1:12">
      <c r="D118" s="62"/>
      <c r="G118" s="74"/>
      <c r="L118" s="21"/>
    </row>
    <row r="119" spans="1:12">
      <c r="A119" s="56" t="str">
        <f>B80&amp; " Property"</f>
        <v>Marsa Property</v>
      </c>
      <c r="B119" s="21"/>
      <c r="F119" s="72"/>
      <c r="G119" s="74"/>
      <c r="L119" s="21"/>
    </row>
    <row r="120" spans="1:12">
      <c r="A120" s="55" t="s">
        <v>38</v>
      </c>
      <c r="B120" s="35">
        <v>9524</v>
      </c>
      <c r="D120" s="62" t="s">
        <v>109</v>
      </c>
      <c r="F120" s="72" t="s">
        <v>91</v>
      </c>
      <c r="G120" s="73">
        <f>IFERROR(NPER(B121/12,-B122,B120),"")</f>
        <v>88.577073398502804</v>
      </c>
      <c r="L120" s="21"/>
    </row>
    <row r="121" spans="1:12">
      <c r="A121" s="55" t="s">
        <v>89</v>
      </c>
      <c r="B121" s="36">
        <v>0.03</v>
      </c>
      <c r="D121" s="62"/>
      <c r="F121" s="72" t="s">
        <v>92</v>
      </c>
      <c r="G121" s="73">
        <f>IFERROR(G120/12,"")</f>
        <v>7.381422783208567</v>
      </c>
      <c r="J121" s="45"/>
      <c r="L121" s="21"/>
    </row>
    <row r="122" spans="1:12">
      <c r="A122" s="55" t="s">
        <v>90</v>
      </c>
      <c r="B122" s="35">
        <v>120</v>
      </c>
      <c r="D122" s="62"/>
      <c r="G122" s="74"/>
      <c r="J122" s="45"/>
      <c r="L122" s="21"/>
    </row>
    <row r="123" spans="1:12">
      <c r="B123" s="21"/>
      <c r="D123" s="62"/>
      <c r="G123" s="74"/>
      <c r="L123" s="21"/>
    </row>
    <row r="124" spans="1:12">
      <c r="A124" s="22" t="s">
        <v>34</v>
      </c>
      <c r="D124" s="62"/>
      <c r="F124" s="72"/>
      <c r="G124" s="73"/>
      <c r="L124" s="21"/>
    </row>
    <row r="125" spans="1:12">
      <c r="A125" s="55" t="s">
        <v>38</v>
      </c>
      <c r="B125" s="35">
        <v>4000</v>
      </c>
      <c r="D125" s="62" t="s">
        <v>100</v>
      </c>
      <c r="F125" s="72" t="s">
        <v>91</v>
      </c>
      <c r="G125" s="73">
        <f>IFERROR(NPER(B126/12,-B127,B125),"")</f>
        <v>102.42032525150438</v>
      </c>
      <c r="L125" s="21"/>
    </row>
    <row r="126" spans="1:12">
      <c r="A126" s="55" t="s">
        <v>89</v>
      </c>
      <c r="B126" s="36">
        <v>0.06</v>
      </c>
      <c r="D126" s="62"/>
      <c r="F126" s="72" t="s">
        <v>92</v>
      </c>
      <c r="G126" s="73">
        <f>IFERROR(G125/12,"")</f>
        <v>8.5350271042920323</v>
      </c>
      <c r="L126" s="21"/>
    </row>
    <row r="127" spans="1:12">
      <c r="A127" s="55" t="s">
        <v>90</v>
      </c>
      <c r="B127" s="35">
        <v>50</v>
      </c>
      <c r="D127" s="62"/>
      <c r="E127" s="68"/>
      <c r="L127" s="21"/>
    </row>
    <row r="128" spans="1:12">
      <c r="D128" s="62"/>
      <c r="E128" s="68"/>
      <c r="L128" s="21"/>
    </row>
    <row r="129" spans="1:12">
      <c r="A129" s="54" t="s">
        <v>138</v>
      </c>
      <c r="D129" s="62"/>
      <c r="L129" s="21"/>
    </row>
    <row r="130" spans="1:12">
      <c r="B130" s="34"/>
      <c r="L130" s="21"/>
    </row>
    <row r="131" spans="1:12" s="19" customFormat="1">
      <c r="A131" s="22" t="s">
        <v>106</v>
      </c>
      <c r="B131" s="34"/>
      <c r="D131" s="63"/>
      <c r="E131" s="61"/>
      <c r="F131" s="71"/>
      <c r="G131" s="75"/>
    </row>
    <row r="132" spans="1:12" s="19" customFormat="1">
      <c r="A132" s="55" t="s">
        <v>29</v>
      </c>
      <c r="B132" s="39" t="s">
        <v>167</v>
      </c>
      <c r="D132" s="62" t="s">
        <v>100</v>
      </c>
      <c r="E132" s="61"/>
      <c r="F132" s="71"/>
      <c r="G132" s="75"/>
    </row>
    <row r="133" spans="1:12" s="19" customFormat="1">
      <c r="A133" s="55" t="s">
        <v>46</v>
      </c>
      <c r="B133" s="35">
        <v>50000</v>
      </c>
      <c r="D133" s="62" t="s">
        <v>109</v>
      </c>
      <c r="E133" s="61"/>
      <c r="F133" s="71"/>
      <c r="G133" s="75"/>
    </row>
    <row r="134" spans="1:12" s="19" customFormat="1">
      <c r="A134" s="55" t="s">
        <v>6</v>
      </c>
      <c r="B134" s="38">
        <v>2035</v>
      </c>
      <c r="D134" s="63"/>
      <c r="E134" s="61"/>
      <c r="F134" s="71"/>
      <c r="G134" s="75"/>
    </row>
    <row r="135" spans="1:12" s="19" customFormat="1">
      <c r="A135" s="22"/>
      <c r="B135" s="34"/>
      <c r="D135" s="63"/>
      <c r="E135" s="61"/>
      <c r="F135" s="71"/>
      <c r="G135" s="75"/>
    </row>
    <row r="136" spans="1:12" s="19" customFormat="1">
      <c r="A136" s="22" t="s">
        <v>107</v>
      </c>
      <c r="B136" s="34"/>
      <c r="D136" s="63"/>
      <c r="E136" s="61"/>
      <c r="F136" s="71"/>
      <c r="G136" s="75"/>
    </row>
    <row r="137" spans="1:12" s="19" customFormat="1">
      <c r="A137" s="55" t="s">
        <v>29</v>
      </c>
      <c r="B137" s="39" t="s">
        <v>168</v>
      </c>
      <c r="D137" s="62" t="s">
        <v>100</v>
      </c>
      <c r="E137" s="61"/>
      <c r="F137" s="71"/>
      <c r="G137" s="75"/>
    </row>
    <row r="138" spans="1:12" s="19" customFormat="1">
      <c r="A138" s="55" t="s">
        <v>46</v>
      </c>
      <c r="B138" s="35">
        <v>10000</v>
      </c>
      <c r="D138" s="62" t="s">
        <v>109</v>
      </c>
      <c r="E138" s="61"/>
      <c r="F138" s="71"/>
      <c r="G138" s="75"/>
    </row>
    <row r="139" spans="1:12" s="19" customFormat="1">
      <c r="A139" s="55" t="s">
        <v>6</v>
      </c>
      <c r="B139" s="38">
        <v>2029</v>
      </c>
      <c r="D139" s="63"/>
      <c r="E139" s="61"/>
      <c r="F139" s="71"/>
      <c r="G139" s="75"/>
    </row>
    <row r="140" spans="1:12" s="19" customFormat="1">
      <c r="A140" s="22"/>
      <c r="B140" s="34"/>
      <c r="D140" s="63"/>
      <c r="E140" s="61"/>
      <c r="F140" s="71"/>
      <c r="G140" s="75"/>
    </row>
    <row r="141" spans="1:12" s="19" customFormat="1">
      <c r="A141" s="22" t="s">
        <v>108</v>
      </c>
      <c r="B141" s="34"/>
      <c r="D141" s="63"/>
      <c r="E141" s="61"/>
      <c r="F141" s="71"/>
      <c r="G141" s="75"/>
    </row>
    <row r="142" spans="1:12" s="19" customFormat="1">
      <c r="A142" s="55" t="s">
        <v>29</v>
      </c>
      <c r="B142" s="39" t="s">
        <v>169</v>
      </c>
      <c r="D142" s="62" t="s">
        <v>100</v>
      </c>
      <c r="E142" s="61"/>
      <c r="F142" s="71"/>
      <c r="G142" s="75"/>
    </row>
    <row r="143" spans="1:12" s="19" customFormat="1">
      <c r="A143" s="55" t="s">
        <v>46</v>
      </c>
      <c r="B143" s="35">
        <v>5000</v>
      </c>
      <c r="D143" s="62" t="s">
        <v>109</v>
      </c>
      <c r="E143" s="61"/>
      <c r="F143" s="71"/>
      <c r="G143" s="75"/>
    </row>
    <row r="144" spans="1:12" s="19" customFormat="1">
      <c r="A144" s="55" t="s">
        <v>6</v>
      </c>
      <c r="B144" s="38">
        <v>2032</v>
      </c>
      <c r="D144" s="63"/>
      <c r="E144" s="61"/>
      <c r="F144" s="71"/>
      <c r="G144" s="75"/>
    </row>
    <row r="145" spans="1:12" s="19" customFormat="1">
      <c r="A145" s="22"/>
      <c r="B145" s="34"/>
      <c r="D145" s="63"/>
      <c r="E145" s="61"/>
      <c r="F145" s="71"/>
      <c r="G145" s="75"/>
    </row>
    <row r="146" spans="1:12">
      <c r="A146" s="54" t="s">
        <v>137</v>
      </c>
      <c r="B146" s="34"/>
      <c r="L146" s="21"/>
    </row>
    <row r="147" spans="1:12">
      <c r="A147" s="55"/>
      <c r="B147" s="34"/>
      <c r="L147" s="21"/>
    </row>
    <row r="148" spans="1:12" s="19" customFormat="1">
      <c r="A148" s="22" t="s">
        <v>110</v>
      </c>
      <c r="B148" s="34"/>
      <c r="D148" s="63"/>
      <c r="E148" s="61"/>
      <c r="F148" s="71"/>
      <c r="G148" s="75"/>
    </row>
    <row r="149" spans="1:12" s="19" customFormat="1">
      <c r="A149" s="55" t="s">
        <v>29</v>
      </c>
      <c r="B149" s="39" t="s">
        <v>162</v>
      </c>
      <c r="D149" s="62" t="s">
        <v>100</v>
      </c>
      <c r="E149" s="61"/>
      <c r="F149" s="71"/>
      <c r="G149" s="75"/>
    </row>
    <row r="150" spans="1:12" s="19" customFormat="1">
      <c r="A150" s="55" t="s">
        <v>46</v>
      </c>
      <c r="B150" s="35">
        <v>40000</v>
      </c>
      <c r="D150" s="62" t="s">
        <v>109</v>
      </c>
      <c r="E150" s="61"/>
      <c r="F150" s="71"/>
      <c r="G150" s="75"/>
    </row>
    <row r="151" spans="1:12" s="19" customFormat="1">
      <c r="A151" s="55" t="s">
        <v>6</v>
      </c>
      <c r="B151" s="38">
        <v>2036</v>
      </c>
      <c r="D151" s="63"/>
      <c r="E151" s="61"/>
      <c r="F151" s="71"/>
      <c r="G151" s="75"/>
    </row>
    <row r="152" spans="1:12" s="19" customFormat="1">
      <c r="A152" s="22"/>
      <c r="B152" s="34"/>
      <c r="D152" s="63"/>
      <c r="E152" s="61"/>
      <c r="F152" s="71"/>
      <c r="G152" s="75"/>
    </row>
    <row r="153" spans="1:12" s="19" customFormat="1">
      <c r="A153" s="22" t="s">
        <v>111</v>
      </c>
      <c r="B153" s="34"/>
      <c r="D153" s="63"/>
      <c r="E153" s="61"/>
      <c r="F153" s="71"/>
      <c r="G153" s="75"/>
    </row>
    <row r="154" spans="1:12" s="19" customFormat="1">
      <c r="A154" s="55" t="s">
        <v>29</v>
      </c>
      <c r="B154" s="39" t="s">
        <v>170</v>
      </c>
      <c r="D154" s="62" t="s">
        <v>100</v>
      </c>
      <c r="E154" s="61"/>
      <c r="F154" s="71"/>
      <c r="G154" s="75"/>
    </row>
    <row r="155" spans="1:12" s="19" customFormat="1">
      <c r="A155" s="55" t="s">
        <v>46</v>
      </c>
      <c r="B155" s="35">
        <v>35000</v>
      </c>
      <c r="D155" s="62" t="s">
        <v>109</v>
      </c>
      <c r="E155" s="61"/>
      <c r="F155" s="71"/>
      <c r="G155" s="75"/>
    </row>
    <row r="156" spans="1:12" s="19" customFormat="1">
      <c r="A156" s="55" t="s">
        <v>6</v>
      </c>
      <c r="B156" s="38">
        <v>2029</v>
      </c>
      <c r="D156" s="63"/>
      <c r="E156" s="61"/>
      <c r="F156" s="71"/>
      <c r="G156" s="75"/>
    </row>
    <row r="157" spans="1:12">
      <c r="B157" s="34"/>
      <c r="L157" s="21"/>
    </row>
    <row r="158" spans="1:12">
      <c r="A158" s="22" t="s">
        <v>112</v>
      </c>
      <c r="B158" s="34"/>
      <c r="L158" s="21"/>
    </row>
    <row r="159" spans="1:12">
      <c r="A159" s="55" t="s">
        <v>29</v>
      </c>
      <c r="B159" s="39" t="s">
        <v>171</v>
      </c>
      <c r="D159" s="62" t="s">
        <v>100</v>
      </c>
      <c r="L159" s="21"/>
    </row>
    <row r="160" spans="1:12">
      <c r="A160" s="55" t="s">
        <v>46</v>
      </c>
      <c r="B160" s="35">
        <v>15000</v>
      </c>
      <c r="D160" s="62" t="s">
        <v>109</v>
      </c>
      <c r="L160" s="21"/>
    </row>
    <row r="161" spans="1:12">
      <c r="A161" s="55" t="s">
        <v>6</v>
      </c>
      <c r="B161" s="38">
        <v>2034</v>
      </c>
      <c r="L161" s="21"/>
    </row>
    <row r="162" spans="1:12">
      <c r="A162" s="55"/>
      <c r="D162" s="62"/>
      <c r="L162" s="21"/>
    </row>
    <row r="163" spans="1:12">
      <c r="A163" s="55"/>
      <c r="D163" s="62"/>
      <c r="L163" s="21"/>
    </row>
    <row r="164" spans="1:12">
      <c r="A164" s="53" t="s">
        <v>118</v>
      </c>
      <c r="B164" s="33"/>
      <c r="C164" s="44" t="s">
        <v>147</v>
      </c>
      <c r="D164" s="62"/>
      <c r="E164" s="61" t="s">
        <v>149</v>
      </c>
      <c r="L164" s="21"/>
    </row>
    <row r="165" spans="1:12">
      <c r="D165" s="62"/>
      <c r="L165" s="21"/>
    </row>
    <row r="166" spans="1:12">
      <c r="A166" s="18" t="s">
        <v>39</v>
      </c>
      <c r="B166" s="35">
        <v>85</v>
      </c>
      <c r="C166" s="47">
        <v>85</v>
      </c>
      <c r="L166" s="21"/>
    </row>
    <row r="167" spans="1:12">
      <c r="A167" s="18"/>
      <c r="C167" s="19"/>
      <c r="D167" s="62"/>
      <c r="L167" s="21"/>
    </row>
    <row r="168" spans="1:12" s="19" customFormat="1">
      <c r="A168" s="18" t="s">
        <v>59</v>
      </c>
      <c r="D168" s="63"/>
      <c r="E168" s="61"/>
      <c r="F168" s="71"/>
      <c r="G168" s="75"/>
    </row>
    <row r="169" spans="1:12" s="19" customFormat="1">
      <c r="A169" s="22" t="s">
        <v>73</v>
      </c>
      <c r="B169" s="40">
        <v>0</v>
      </c>
      <c r="C169" s="48">
        <v>0</v>
      </c>
      <c r="D169" s="64" t="s">
        <v>4</v>
      </c>
      <c r="E169" s="61"/>
      <c r="F169" s="71"/>
      <c r="G169" s="75"/>
    </row>
    <row r="170" spans="1:12" s="19" customFormat="1">
      <c r="A170" s="22" t="s">
        <v>57</v>
      </c>
      <c r="B170" s="40">
        <v>-0.1</v>
      </c>
      <c r="C170" s="48">
        <v>-0.1</v>
      </c>
      <c r="D170" s="64" t="s">
        <v>4</v>
      </c>
      <c r="E170" s="61"/>
      <c r="F170" s="71"/>
      <c r="G170" s="75"/>
    </row>
    <row r="171" spans="1:12" s="19" customFormat="1">
      <c r="A171" s="22" t="s">
        <v>58</v>
      </c>
      <c r="B171" s="40">
        <v>-0.2</v>
      </c>
      <c r="C171" s="48">
        <v>-0.2</v>
      </c>
      <c r="D171" s="64" t="s">
        <v>4</v>
      </c>
      <c r="E171" s="61"/>
      <c r="F171" s="71"/>
      <c r="G171" s="75"/>
    </row>
    <row r="172" spans="1:12">
      <c r="C172" s="19"/>
      <c r="L172" s="21"/>
    </row>
    <row r="173" spans="1:12">
      <c r="A173" s="18" t="s">
        <v>48</v>
      </c>
      <c r="B173" s="35">
        <v>12000</v>
      </c>
      <c r="C173" s="47"/>
      <c r="D173" s="62" t="s">
        <v>109</v>
      </c>
      <c r="L173" s="21"/>
    </row>
    <row r="174" spans="1:12">
      <c r="A174" s="22" t="s">
        <v>125</v>
      </c>
      <c r="B174" s="35">
        <v>58</v>
      </c>
      <c r="C174" s="47"/>
      <c r="D174" s="62"/>
      <c r="L174" s="21"/>
    </row>
    <row r="175" spans="1:12">
      <c r="A175" s="22" t="s">
        <v>126</v>
      </c>
      <c r="B175" s="35">
        <v>69</v>
      </c>
      <c r="C175" s="47"/>
      <c r="D175" s="62"/>
      <c r="E175" s="61" t="s">
        <v>159</v>
      </c>
      <c r="L175" s="21"/>
    </row>
    <row r="176" spans="1:12">
      <c r="C176" s="19"/>
      <c r="D176" s="62"/>
      <c r="L176" s="21"/>
    </row>
    <row r="177" spans="1:12">
      <c r="A177" s="18" t="s">
        <v>180</v>
      </c>
      <c r="B177" s="36">
        <v>2.5000000000000001E-2</v>
      </c>
      <c r="C177" s="49">
        <v>2.5000000000000001E-2</v>
      </c>
      <c r="L177" s="21"/>
    </row>
    <row r="178" spans="1:12">
      <c r="C178" s="19"/>
      <c r="D178" s="62"/>
      <c r="L178" s="21"/>
    </row>
    <row r="179" spans="1:12">
      <c r="A179" s="18" t="s">
        <v>123</v>
      </c>
      <c r="B179" s="36">
        <v>0.03</v>
      </c>
      <c r="C179" s="49">
        <v>0.03</v>
      </c>
      <c r="D179" s="62" t="s">
        <v>98</v>
      </c>
      <c r="L179" s="21"/>
    </row>
    <row r="180" spans="1:12">
      <c r="C180" s="19"/>
      <c r="D180" s="62"/>
      <c r="L180" s="21"/>
    </row>
    <row r="181" spans="1:12">
      <c r="A181" s="18" t="s">
        <v>119</v>
      </c>
      <c r="B181" s="41">
        <v>2.5000000000000001E-2</v>
      </c>
      <c r="C181" s="50">
        <v>2.5000000000000001E-2</v>
      </c>
      <c r="D181" s="62" t="s">
        <v>98</v>
      </c>
      <c r="L181" s="21"/>
    </row>
    <row r="182" spans="1:12">
      <c r="C182" s="19"/>
      <c r="D182" s="62"/>
      <c r="L182" s="21"/>
    </row>
    <row r="183" spans="1:12">
      <c r="A183" s="18" t="s">
        <v>120</v>
      </c>
      <c r="B183" s="42">
        <v>0.08</v>
      </c>
      <c r="C183" s="51">
        <v>0.08</v>
      </c>
      <c r="D183" s="62" t="s">
        <v>98</v>
      </c>
      <c r="L183" s="21"/>
    </row>
    <row r="184" spans="1:12">
      <c r="C184" s="19"/>
      <c r="D184" s="62"/>
      <c r="L184" s="21"/>
    </row>
    <row r="185" spans="1:12">
      <c r="A185" s="18" t="s">
        <v>122</v>
      </c>
      <c r="B185" s="40">
        <v>0.03</v>
      </c>
      <c r="C185" s="48">
        <v>0.03</v>
      </c>
      <c r="D185" s="62" t="s">
        <v>98</v>
      </c>
      <c r="L185" s="21"/>
    </row>
    <row r="186" spans="1:12">
      <c r="C186" s="19"/>
      <c r="D186" s="62"/>
      <c r="L186" s="21"/>
    </row>
    <row r="187" spans="1:12">
      <c r="A187" s="18" t="s">
        <v>121</v>
      </c>
      <c r="B187" s="40">
        <v>0.03</v>
      </c>
      <c r="C187" s="48">
        <v>0.03</v>
      </c>
      <c r="L187" s="21"/>
    </row>
    <row r="188" spans="1:12">
      <c r="C188" s="19"/>
      <c r="D188" s="62"/>
      <c r="L188" s="21"/>
    </row>
    <row r="189" spans="1:12" ht="17">
      <c r="A189" s="57" t="s">
        <v>124</v>
      </c>
      <c r="B189" s="35">
        <v>300</v>
      </c>
      <c r="C189" s="47">
        <v>300</v>
      </c>
      <c r="D189" s="62" t="s">
        <v>130</v>
      </c>
      <c r="L189" s="21"/>
    </row>
    <row r="190" spans="1:12">
      <c r="A190" s="18"/>
      <c r="C190" s="19"/>
      <c r="D190" s="62"/>
      <c r="L190" s="21"/>
    </row>
    <row r="191" spans="1:12">
      <c r="A191" s="18" t="s">
        <v>76</v>
      </c>
      <c r="B191" s="35">
        <v>40000</v>
      </c>
      <c r="C191" s="47">
        <v>40000</v>
      </c>
      <c r="D191" s="62" t="s">
        <v>129</v>
      </c>
      <c r="L191" s="21"/>
    </row>
    <row r="192" spans="1:12">
      <c r="C192" s="19"/>
      <c r="D192" s="62"/>
      <c r="L192" s="21"/>
    </row>
    <row r="193" spans="1:13">
      <c r="A193" s="18" t="s">
        <v>132</v>
      </c>
      <c r="B193" s="40">
        <v>0.05</v>
      </c>
      <c r="C193" s="48">
        <v>0.05</v>
      </c>
      <c r="D193" s="62" t="s">
        <v>131</v>
      </c>
      <c r="L193" s="21"/>
    </row>
    <row r="194" spans="1:13">
      <c r="A194" s="55"/>
      <c r="C194" s="19"/>
      <c r="L194" s="21"/>
    </row>
    <row r="195" spans="1:13">
      <c r="A195" s="18" t="s">
        <v>133</v>
      </c>
      <c r="B195" s="40">
        <v>0.15</v>
      </c>
      <c r="C195" s="48">
        <v>0.15</v>
      </c>
      <c r="D195" s="62" t="s">
        <v>134</v>
      </c>
      <c r="L195" s="21"/>
    </row>
    <row r="196" spans="1:13">
      <c r="C196" s="19"/>
      <c r="L196" s="21"/>
      <c r="M196" s="19"/>
    </row>
    <row r="197" spans="1:13" ht="17">
      <c r="A197" s="57" t="s">
        <v>135</v>
      </c>
      <c r="C197" s="19"/>
      <c r="D197" s="65"/>
      <c r="L197" s="21"/>
      <c r="M197" s="19"/>
    </row>
    <row r="198" spans="1:13">
      <c r="A198" s="58" t="str">
        <f>B60</f>
        <v>Sliema</v>
      </c>
      <c r="B198" s="43">
        <v>5</v>
      </c>
      <c r="C198" s="19">
        <f t="shared" ref="C198" si="0">IF(F198&lt;=0,"",_xlfn.RANK.EQ(F198,$F$198:$F$202,1)-COUNTIF($F$198:$F$202,0))</f>
        <v>5</v>
      </c>
      <c r="D198" s="62" t="s">
        <v>136</v>
      </c>
      <c r="F198" s="75">
        <f>B61</f>
        <v>300000</v>
      </c>
      <c r="L198" s="21"/>
    </row>
    <row r="199" spans="1:13">
      <c r="A199" s="58" t="str">
        <f>B65</f>
        <v>Gzira</v>
      </c>
      <c r="B199" s="43">
        <v>3</v>
      </c>
      <c r="C199" s="19">
        <f>IF(F199&lt;=0,"",_xlfn.RANK.EQ(F199,$F$198:$F$202,1)-COUNTIF($F$198:$F$202,0))</f>
        <v>3</v>
      </c>
      <c r="D199" s="66"/>
      <c r="F199" s="75">
        <f>B66</f>
        <v>150000</v>
      </c>
      <c r="L199" s="21"/>
    </row>
    <row r="200" spans="1:13">
      <c r="A200" s="58" t="str">
        <f>B70</f>
        <v>Qormi</v>
      </c>
      <c r="B200" s="43">
        <v>4</v>
      </c>
      <c r="C200" s="19">
        <f t="shared" ref="C200:C202" si="1">IF(F200&lt;=0,"",_xlfn.RANK.EQ(F200,$F$198:$F$202,1)-COUNTIF($F$198:$F$202,0))</f>
        <v>4</v>
      </c>
      <c r="D200" s="66"/>
      <c r="F200" s="75">
        <f>B71</f>
        <v>220000</v>
      </c>
      <c r="L200" s="21"/>
    </row>
    <row r="201" spans="1:13">
      <c r="A201" s="58" t="str">
        <f>B75</f>
        <v>Gudja</v>
      </c>
      <c r="B201" s="43">
        <v>1</v>
      </c>
      <c r="C201" s="19">
        <f t="shared" si="1"/>
        <v>1</v>
      </c>
      <c r="D201" s="66"/>
      <c r="F201" s="76">
        <f>B76</f>
        <v>80000</v>
      </c>
      <c r="L201" s="21"/>
    </row>
    <row r="202" spans="1:13">
      <c r="A202" s="58" t="str">
        <f>B80</f>
        <v>Marsa</v>
      </c>
      <c r="B202" s="43">
        <v>2</v>
      </c>
      <c r="C202" s="19">
        <f t="shared" si="1"/>
        <v>2</v>
      </c>
      <c r="D202" s="66"/>
      <c r="F202" s="76">
        <f>B81</f>
        <v>120000</v>
      </c>
      <c r="L202" s="21"/>
    </row>
    <row r="203" spans="1:13">
      <c r="L203" s="21"/>
    </row>
    <row r="204" spans="1:13">
      <c r="L204" s="21"/>
    </row>
    <row r="205" spans="1:13">
      <c r="L205" s="21"/>
    </row>
    <row r="206" spans="1:13">
      <c r="L206" s="21"/>
    </row>
    <row r="207" spans="1:13">
      <c r="L207" s="21"/>
    </row>
    <row r="208" spans="1:13">
      <c r="L208" s="21"/>
    </row>
  </sheetData>
  <phoneticPr fontId="4" type="noConversion"/>
  <dataValidations count="6">
    <dataValidation type="list" allowBlank="1" showInputMessage="1" showErrorMessage="1" sqref="B198:B202" xr:uid="{1C76E72A-4A74-9342-9CD6-96E686486B37}">
      <formula1>"0,1,2,3"</formula1>
    </dataValidation>
    <dataValidation type="whole" allowBlank="1" showInputMessage="1" showErrorMessage="1" sqref="B4:C4" xr:uid="{CEBCBBEB-61E4-314B-B9D6-B93D3329E6F5}">
      <formula1>18</formula1>
      <formula2>100</formula2>
    </dataValidation>
    <dataValidation type="decimal" allowBlank="1" showInputMessage="1" showErrorMessage="1" sqref="B179:C179" xr:uid="{A76CC167-ADB1-954D-BA8F-57DA6856622B}">
      <formula1>0</formula1>
      <formula2>0.5</formula2>
    </dataValidation>
    <dataValidation type="whole" allowBlank="1" showInputMessage="1" showErrorMessage="1" sqref="B35:C35 B40:C40 B45:C45 B50:C50 B55:C55" xr:uid="{A3B04CD6-6A0C-9D4A-960A-19DFAACFBC84}">
      <formula1>1</formula1>
      <formula2>99</formula2>
    </dataValidation>
    <dataValidation type="custom" allowBlank="1" showInputMessage="1" showErrorMessage="1" sqref="C166" xr:uid="{78711C78-86C7-AC4E-B0D1-FA577F555676}">
      <formula1>AND(C166&gt;I4,C166&lt;=100)</formula1>
    </dataValidation>
    <dataValidation type="custom" allowBlank="1" showInputMessage="1" showErrorMessage="1" sqref="B166" xr:uid="{CFCAF581-183B-7347-97B6-0AC7B0FFD5E6}">
      <formula1>AND(B166&gt;B4,B166&lt;=100)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8C7B-D167-A641-8E52-8DBE60839A73}">
  <sheetPr codeName="Sheet6">
    <tabColor theme="7" tint="0.79998168889431442"/>
  </sheetPr>
  <dimension ref="J2:AA13"/>
  <sheetViews>
    <sheetView showGridLines="0" zoomScale="111" zoomScaleNormal="110" workbookViewId="0">
      <selection activeCell="V10" sqref="V10"/>
    </sheetView>
  </sheetViews>
  <sheetFormatPr baseColWidth="10" defaultColWidth="11.1640625" defaultRowHeight="16"/>
  <cols>
    <col min="21" max="21" width="11.5" customWidth="1"/>
    <col min="22" max="22" width="8.6640625" customWidth="1"/>
    <col min="23" max="27" width="0" hidden="1" customWidth="1"/>
  </cols>
  <sheetData>
    <row r="2" spans="10:27" ht="19">
      <c r="V2" s="59" t="s">
        <v>157</v>
      </c>
      <c r="AA2" s="2" t="str">
        <f>"Retire at  "&amp;RetEarly_Engine!B3</f>
        <v>Retire at  51</v>
      </c>
    </row>
    <row r="3" spans="10:27">
      <c r="V3" s="77">
        <f>RetEarly_Engine!B3</f>
        <v>51</v>
      </c>
      <c r="AA3" s="2" t="str">
        <f>"Retire at  "&amp;RetAge</f>
        <v>Retire at  65</v>
      </c>
    </row>
    <row r="4" spans="10:27">
      <c r="K4" s="2"/>
      <c r="V4" s="77"/>
    </row>
    <row r="13" spans="10:27">
      <c r="J13" s="13"/>
    </row>
  </sheetData>
  <mergeCells count="1">
    <mergeCell ref="V3:V4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Spinner 1">
              <controlPr defaultSize="0" autoPict="0">
                <anchor moveWithCells="1" sizeWithCells="1">
                  <from>
                    <xdr:col>21</xdr:col>
                    <xdr:colOff>38100</xdr:colOff>
                    <xdr:row>4</xdr:row>
                    <xdr:rowOff>63500</xdr:rowOff>
                  </from>
                  <to>
                    <xdr:col>21</xdr:col>
                    <xdr:colOff>660400</xdr:colOff>
                    <xdr:row>9</xdr:row>
                    <xdr:rowOff>63500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5D27E-B873-BD4B-AD92-1E837389CA3B}">
  <sheetPr codeName="Sheet2"/>
  <dimension ref="A1:AM394"/>
  <sheetViews>
    <sheetView zoomScale="110" zoomScaleNormal="110" workbookViewId="0">
      <pane xSplit="1" ySplit="3" topLeftCell="T220" activePane="bottomRight" state="frozen"/>
      <selection activeCell="A246" sqref="A246:XFD253"/>
      <selection pane="topRight" activeCell="A246" sqref="A246:XFD253"/>
      <selection pane="bottomLeft" activeCell="A246" sqref="A246:XFD253"/>
      <selection pane="bottomRight" activeCell="AM248" sqref="AM248"/>
    </sheetView>
  </sheetViews>
  <sheetFormatPr baseColWidth="10" defaultRowHeight="16"/>
  <cols>
    <col min="1" max="1" width="39.33203125" style="2" customWidth="1"/>
    <col min="2" max="2" width="4.33203125" style="6" customWidth="1"/>
    <col min="3" max="39" width="11.83203125" style="2" customWidth="1"/>
    <col min="40" max="2605" width="11.83203125" customWidth="1"/>
  </cols>
  <sheetData>
    <row r="1" spans="1:39">
      <c r="B1" s="5">
        <v>0</v>
      </c>
      <c r="C1" s="2">
        <v>1</v>
      </c>
      <c r="D1" s="2">
        <f>C1+1</f>
        <v>2</v>
      </c>
      <c r="E1" s="2">
        <f t="shared" ref="E1:I2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si="0"/>
        <v>7</v>
      </c>
      <c r="J1" s="2">
        <f t="shared" ref="J1:J3" si="1">I1+1</f>
        <v>8</v>
      </c>
      <c r="K1" s="2">
        <f t="shared" ref="K1:K3" si="2">J1+1</f>
        <v>9</v>
      </c>
      <c r="L1" s="2">
        <f t="shared" ref="L1:L3" si="3">K1+1</f>
        <v>10</v>
      </c>
      <c r="M1" s="2">
        <f t="shared" ref="M1:M3" si="4">L1+1</f>
        <v>11</v>
      </c>
      <c r="N1" s="2">
        <f t="shared" ref="N1:N3" si="5">M1+1</f>
        <v>12</v>
      </c>
      <c r="O1" s="2">
        <f t="shared" ref="O1:O3" si="6">N1+1</f>
        <v>13</v>
      </c>
      <c r="P1" s="2">
        <f t="shared" ref="P1:P3" si="7">O1+1</f>
        <v>14</v>
      </c>
      <c r="Q1" s="2">
        <f t="shared" ref="Q1:Q3" si="8">P1+1</f>
        <v>15</v>
      </c>
      <c r="R1" s="2">
        <f t="shared" ref="R1:R3" si="9">Q1+1</f>
        <v>16</v>
      </c>
      <c r="S1" s="2">
        <f t="shared" ref="S1:S3" si="10">R1+1</f>
        <v>17</v>
      </c>
      <c r="T1" s="2">
        <f t="shared" ref="T1:T3" si="11">S1+1</f>
        <v>18</v>
      </c>
      <c r="U1" s="2">
        <f t="shared" ref="U1:U3" si="12">T1+1</f>
        <v>19</v>
      </c>
      <c r="V1" s="2">
        <f t="shared" ref="V1:V3" si="13">U1+1</f>
        <v>20</v>
      </c>
      <c r="W1" s="2">
        <f t="shared" ref="W1:W3" si="14">V1+1</f>
        <v>21</v>
      </c>
      <c r="X1" s="2">
        <f t="shared" ref="X1:X3" si="15">W1+1</f>
        <v>22</v>
      </c>
      <c r="Y1" s="2">
        <f t="shared" ref="Y1:Y3" si="16">X1+1</f>
        <v>23</v>
      </c>
      <c r="Z1" s="2">
        <f t="shared" ref="Z1:Z3" si="17">Y1+1</f>
        <v>24</v>
      </c>
      <c r="AA1" s="2">
        <f t="shared" ref="AA1:AA3" si="18">Z1+1</f>
        <v>25</v>
      </c>
      <c r="AB1" s="2">
        <f t="shared" ref="AB1:AB3" si="19">AA1+1</f>
        <v>26</v>
      </c>
      <c r="AC1" s="2">
        <f t="shared" ref="AC1:AC3" si="20">AB1+1</f>
        <v>27</v>
      </c>
      <c r="AD1" s="2">
        <f t="shared" ref="AD1:AD3" si="21">AC1+1</f>
        <v>28</v>
      </c>
      <c r="AE1" s="2">
        <f t="shared" ref="AE1:AE3" si="22">AD1+1</f>
        <v>29</v>
      </c>
      <c r="AF1" s="2">
        <f t="shared" ref="AF1:AF3" si="23">AE1+1</f>
        <v>30</v>
      </c>
      <c r="AG1" s="2">
        <f t="shared" ref="AG1:AG3" si="24">AF1+1</f>
        <v>31</v>
      </c>
      <c r="AH1" s="2">
        <f t="shared" ref="AH1:AH3" si="25">AG1+1</f>
        <v>32</v>
      </c>
      <c r="AI1" s="2">
        <f t="shared" ref="AI1:AI3" si="26">AH1+1</f>
        <v>33</v>
      </c>
      <c r="AJ1" s="2">
        <f t="shared" ref="AJ1:AJ3" si="27">AI1+1</f>
        <v>34</v>
      </c>
      <c r="AK1" s="2">
        <f t="shared" ref="AK1:AK3" si="28">AJ1+1</f>
        <v>35</v>
      </c>
      <c r="AL1" s="2">
        <f t="shared" ref="AL1:AL3" si="29">AK1+1</f>
        <v>36</v>
      </c>
      <c r="AM1" s="2">
        <f t="shared" ref="AM1:AM3" si="30">AL1+1</f>
        <v>37</v>
      </c>
    </row>
    <row r="2" spans="1:39">
      <c r="A2" s="10"/>
      <c r="B2" s="5" t="s">
        <v>6</v>
      </c>
      <c r="C2" s="2">
        <f ca="1">YEAR(TODAY())+1</f>
        <v>2027</v>
      </c>
      <c r="D2" s="2">
        <f ca="1">C2+1</f>
        <v>2028</v>
      </c>
      <c r="E2" s="2">
        <f t="shared" ca="1" si="0"/>
        <v>2029</v>
      </c>
      <c r="F2" s="2">
        <f t="shared" ca="1" si="0"/>
        <v>2030</v>
      </c>
      <c r="G2" s="2">
        <f t="shared" ca="1" si="0"/>
        <v>2031</v>
      </c>
      <c r="H2" s="2">
        <f t="shared" ca="1" si="0"/>
        <v>2032</v>
      </c>
      <c r="I2" s="2">
        <f t="shared" ca="1" si="0"/>
        <v>2033</v>
      </c>
      <c r="J2" s="2">
        <f t="shared" ca="1" si="1"/>
        <v>2034</v>
      </c>
      <c r="K2" s="2">
        <f t="shared" ca="1" si="2"/>
        <v>2035</v>
      </c>
      <c r="L2" s="2">
        <f t="shared" ca="1" si="3"/>
        <v>2036</v>
      </c>
      <c r="M2" s="2">
        <f t="shared" ca="1" si="4"/>
        <v>2037</v>
      </c>
      <c r="N2" s="2">
        <f t="shared" ca="1" si="5"/>
        <v>2038</v>
      </c>
      <c r="O2" s="2">
        <f t="shared" ca="1" si="6"/>
        <v>2039</v>
      </c>
      <c r="P2" s="2">
        <f t="shared" ca="1" si="7"/>
        <v>2040</v>
      </c>
      <c r="Q2" s="2">
        <f t="shared" ca="1" si="8"/>
        <v>2041</v>
      </c>
      <c r="R2" s="2">
        <f t="shared" ca="1" si="9"/>
        <v>2042</v>
      </c>
      <c r="S2" s="2">
        <f t="shared" ca="1" si="10"/>
        <v>2043</v>
      </c>
      <c r="T2" s="2">
        <f t="shared" ca="1" si="11"/>
        <v>2044</v>
      </c>
      <c r="U2" s="2">
        <f t="shared" ca="1" si="12"/>
        <v>2045</v>
      </c>
      <c r="V2" s="2">
        <f t="shared" ca="1" si="13"/>
        <v>2046</v>
      </c>
      <c r="W2" s="2">
        <f t="shared" ca="1" si="14"/>
        <v>2047</v>
      </c>
      <c r="X2" s="2">
        <f t="shared" ca="1" si="15"/>
        <v>2048</v>
      </c>
      <c r="Y2" s="2">
        <f t="shared" ca="1" si="16"/>
        <v>2049</v>
      </c>
      <c r="Z2" s="2">
        <f t="shared" ca="1" si="17"/>
        <v>2050</v>
      </c>
      <c r="AA2" s="2">
        <f t="shared" ca="1" si="18"/>
        <v>2051</v>
      </c>
      <c r="AB2" s="2">
        <f t="shared" ca="1" si="19"/>
        <v>2052</v>
      </c>
      <c r="AC2" s="2">
        <f t="shared" ca="1" si="20"/>
        <v>2053</v>
      </c>
      <c r="AD2" s="2">
        <f t="shared" ca="1" si="21"/>
        <v>2054</v>
      </c>
      <c r="AE2" s="2">
        <f t="shared" ca="1" si="22"/>
        <v>2055</v>
      </c>
      <c r="AF2" s="2">
        <f t="shared" ca="1" si="23"/>
        <v>2056</v>
      </c>
      <c r="AG2" s="2">
        <f t="shared" ca="1" si="24"/>
        <v>2057</v>
      </c>
      <c r="AH2" s="2">
        <f t="shared" ca="1" si="25"/>
        <v>2058</v>
      </c>
      <c r="AI2" s="2">
        <f t="shared" ca="1" si="26"/>
        <v>2059</v>
      </c>
      <c r="AJ2" s="2">
        <f t="shared" ca="1" si="27"/>
        <v>2060</v>
      </c>
      <c r="AK2" s="2">
        <f t="shared" ca="1" si="28"/>
        <v>2061</v>
      </c>
      <c r="AL2" s="2">
        <f t="shared" ca="1" si="29"/>
        <v>2062</v>
      </c>
      <c r="AM2" s="2">
        <f t="shared" ca="1" si="30"/>
        <v>2063</v>
      </c>
    </row>
    <row r="3" spans="1:39">
      <c r="A3" s="31"/>
      <c r="B3" s="32">
        <f>Inputs!B19</f>
        <v>65</v>
      </c>
      <c r="C3" s="2">
        <f>Inputs!B4+1</f>
        <v>49</v>
      </c>
      <c r="D3" s="2">
        <f>C3+1</f>
        <v>50</v>
      </c>
      <c r="E3" s="2">
        <f t="shared" ref="E3:I3" si="31">D3+1</f>
        <v>51</v>
      </c>
      <c r="F3" s="2">
        <f t="shared" si="31"/>
        <v>52</v>
      </c>
      <c r="G3" s="2">
        <f t="shared" si="31"/>
        <v>53</v>
      </c>
      <c r="H3" s="2">
        <f t="shared" si="31"/>
        <v>54</v>
      </c>
      <c r="I3" s="2">
        <f t="shared" si="31"/>
        <v>55</v>
      </c>
      <c r="J3" s="2">
        <f t="shared" si="1"/>
        <v>56</v>
      </c>
      <c r="K3" s="2">
        <f t="shared" si="2"/>
        <v>57</v>
      </c>
      <c r="L3" s="2">
        <f t="shared" si="3"/>
        <v>58</v>
      </c>
      <c r="M3" s="2">
        <f t="shared" si="4"/>
        <v>59</v>
      </c>
      <c r="N3" s="2">
        <f t="shared" si="5"/>
        <v>60</v>
      </c>
      <c r="O3" s="2">
        <f t="shared" si="6"/>
        <v>61</v>
      </c>
      <c r="P3" s="2">
        <f t="shared" si="7"/>
        <v>62</v>
      </c>
      <c r="Q3" s="2">
        <f t="shared" si="8"/>
        <v>63</v>
      </c>
      <c r="R3" s="2">
        <f t="shared" si="9"/>
        <v>64</v>
      </c>
      <c r="S3" s="2">
        <f t="shared" si="10"/>
        <v>65</v>
      </c>
      <c r="T3" s="2">
        <f t="shared" si="11"/>
        <v>66</v>
      </c>
      <c r="U3" s="2">
        <f t="shared" si="12"/>
        <v>67</v>
      </c>
      <c r="V3" s="2">
        <f t="shared" si="13"/>
        <v>68</v>
      </c>
      <c r="W3" s="2">
        <f t="shared" si="14"/>
        <v>69</v>
      </c>
      <c r="X3" s="2">
        <f t="shared" si="15"/>
        <v>70</v>
      </c>
      <c r="Y3" s="2">
        <f t="shared" si="16"/>
        <v>71</v>
      </c>
      <c r="Z3" s="2">
        <f t="shared" si="17"/>
        <v>72</v>
      </c>
      <c r="AA3" s="2">
        <f t="shared" si="18"/>
        <v>73</v>
      </c>
      <c r="AB3" s="2">
        <f t="shared" si="19"/>
        <v>74</v>
      </c>
      <c r="AC3" s="2">
        <f t="shared" si="20"/>
        <v>75</v>
      </c>
      <c r="AD3" s="2">
        <f t="shared" si="21"/>
        <v>76</v>
      </c>
      <c r="AE3" s="2">
        <f t="shared" si="22"/>
        <v>77</v>
      </c>
      <c r="AF3" s="2">
        <f t="shared" si="23"/>
        <v>78</v>
      </c>
      <c r="AG3" s="2">
        <f t="shared" si="24"/>
        <v>79</v>
      </c>
      <c r="AH3" s="2">
        <f t="shared" si="25"/>
        <v>80</v>
      </c>
      <c r="AI3" s="2">
        <f t="shared" si="26"/>
        <v>81</v>
      </c>
      <c r="AJ3" s="2">
        <f t="shared" si="27"/>
        <v>82</v>
      </c>
      <c r="AK3" s="2">
        <f t="shared" si="28"/>
        <v>83</v>
      </c>
      <c r="AL3" s="2">
        <f t="shared" si="29"/>
        <v>84</v>
      </c>
      <c r="AM3" s="2">
        <f t="shared" si="30"/>
        <v>85</v>
      </c>
    </row>
    <row r="4" spans="1:39" ht="19">
      <c r="A4" s="12" t="s">
        <v>17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>
      <c r="A5" s="4" t="s">
        <v>47</v>
      </c>
      <c r="B5" s="8"/>
      <c r="C5" s="7">
        <f>IF(AND(Inputs!$B$19&gt;C3,$B$3&gt;C3),Inputs!$B$6*(1+sincr)^B1,0)</f>
        <v>80000</v>
      </c>
      <c r="D5" s="7">
        <f>IF(AND(Inputs!$B$19&gt;D3,$B$3&gt;D3),Inputs!$B$6*(1+sincr)^C1,0)</f>
        <v>82400</v>
      </c>
      <c r="E5" s="7">
        <f>IF(AND(Inputs!$B$19&gt;E3,$B$3&gt;E3),Inputs!$B$6*(1+sincr)^D1,0)</f>
        <v>84872</v>
      </c>
      <c r="F5" s="7">
        <f>IF(AND(Inputs!$B$19&gt;F3,$B$3&gt;F3),Inputs!$B$6*(1+sincr)^E1,0)</f>
        <v>87418.16</v>
      </c>
      <c r="G5" s="7">
        <f>IF(AND(Inputs!$B$19&gt;G3,$B$3&gt;G3),Inputs!$B$6*(1+sincr)^F1,0)</f>
        <v>90040.704799999992</v>
      </c>
      <c r="H5" s="7">
        <f>IF(AND(Inputs!$B$19&gt;H3,$B$3&gt;H3),Inputs!$B$6*(1+sincr)^G1,0)</f>
        <v>92741.925943999988</v>
      </c>
      <c r="I5" s="7">
        <f>IF(AND(Inputs!$B$19&gt;I3,$B$3&gt;I3),Inputs!$B$6*(1+sincr)^H1,0)</f>
        <v>95524.183722319998</v>
      </c>
      <c r="J5" s="7">
        <f>IF(AND(Inputs!$B$19&gt;J3,$B$3&gt;J3),Inputs!$B$6*(1+sincr)^I1,0)</f>
        <v>98389.909233989601</v>
      </c>
      <c r="K5" s="7">
        <f>IF(AND(Inputs!$B$19&gt;K3,$B$3&gt;K3),Inputs!$B$6*(1+sincr)^J1,0)</f>
        <v>101341.60651100927</v>
      </c>
      <c r="L5" s="7">
        <f>IF(AND(Inputs!$B$19&gt;L3,$B$3&gt;L3),Inputs!$B$6*(1+sincr)^K1,0)</f>
        <v>104381.85470633955</v>
      </c>
      <c r="M5" s="7">
        <f>IF(AND(Inputs!$B$19&gt;M3,$B$3&gt;M3),Inputs!$B$6*(1+sincr)^L1,0)</f>
        <v>107513.31034752974</v>
      </c>
      <c r="N5" s="7">
        <f>IF(AND(Inputs!$B$19&gt;N3,$B$3&gt;N3),Inputs!$B$6*(1+sincr)^M1,0)</f>
        <v>110738.70965795564</v>
      </c>
      <c r="O5" s="7">
        <f>IF(AND(Inputs!$B$19&gt;O3,$B$3&gt;O3),Inputs!$B$6*(1+sincr)^N1,0)</f>
        <v>114060.87094769429</v>
      </c>
      <c r="P5" s="7">
        <f>IF(AND(Inputs!$B$19&gt;P3,$B$3&gt;P3),Inputs!$B$6*(1+sincr)^O1,0)</f>
        <v>117482.69707612511</v>
      </c>
      <c r="Q5" s="7">
        <f>IF(AND(Inputs!$B$19&gt;Q3,$B$3&gt;Q3),Inputs!$B$6*(1+sincr)^P1,0)</f>
        <v>121007.17798840888</v>
      </c>
      <c r="R5" s="7">
        <f>IF(AND(Inputs!$B$19&gt;R3,$B$3&gt;R3),Inputs!$B$6*(1+sincr)^Q1,0)</f>
        <v>124637.39332806115</v>
      </c>
      <c r="S5" s="7">
        <f>IF(AND(Inputs!$B$19&gt;S3,$B$3&gt;S3),Inputs!$B$6*(1+sincr)^R1,0)</f>
        <v>0</v>
      </c>
      <c r="T5" s="7">
        <f>IF(AND(Inputs!$B$19&gt;T3,$B$3&gt;T3),Inputs!$B$6*(1+sincr)^S1,0)</f>
        <v>0</v>
      </c>
      <c r="U5" s="7">
        <f>IF(AND(Inputs!$B$19&gt;U3,$B$3&gt;U3),Inputs!$B$6*(1+sincr)^T1,0)</f>
        <v>0</v>
      </c>
      <c r="V5" s="7">
        <f>IF(AND(Inputs!$B$19&gt;V3,$B$3&gt;V3),Inputs!$B$6*(1+sincr)^U1,0)</f>
        <v>0</v>
      </c>
      <c r="W5" s="7">
        <f>IF(AND(Inputs!$B$19&gt;W3,$B$3&gt;W3),Inputs!$B$6*(1+sincr)^V1,0)</f>
        <v>0</v>
      </c>
      <c r="X5" s="7">
        <f>IF(AND(Inputs!$B$19&gt;X3,$B$3&gt;X3),Inputs!$B$6*(1+sincr)^W1,0)</f>
        <v>0</v>
      </c>
      <c r="Y5" s="7">
        <f>IF(AND(Inputs!$B$19&gt;Y3,$B$3&gt;Y3),Inputs!$B$6*(1+sincr)^X1,0)</f>
        <v>0</v>
      </c>
      <c r="Z5" s="7">
        <f>IF(AND(Inputs!$B$19&gt;Z3,$B$3&gt;Z3),Inputs!$B$6*(1+sincr)^Y1,0)</f>
        <v>0</v>
      </c>
      <c r="AA5" s="7">
        <f>IF(AND(Inputs!$B$19&gt;AA3,$B$3&gt;AA3),Inputs!$B$6*(1+sincr)^Z1,0)</f>
        <v>0</v>
      </c>
      <c r="AB5" s="7">
        <f>IF(AND(Inputs!$B$19&gt;AB3,$B$3&gt;AB3),Inputs!$B$6*(1+sincr)^AA1,0)</f>
        <v>0</v>
      </c>
      <c r="AC5" s="7">
        <f>IF(AND(Inputs!$B$19&gt;AC3,$B$3&gt;AC3),Inputs!$B$6*(1+sincr)^AB1,0)</f>
        <v>0</v>
      </c>
      <c r="AD5" s="7">
        <f>IF(AND(Inputs!$B$19&gt;AD3,$B$3&gt;AD3),Inputs!$B$6*(1+sincr)^AC1,0)</f>
        <v>0</v>
      </c>
      <c r="AE5" s="7">
        <f>IF(AND(Inputs!$B$19&gt;AE3,$B$3&gt;AE3),Inputs!$B$6*(1+sincr)^AD1,0)</f>
        <v>0</v>
      </c>
      <c r="AF5" s="7">
        <f>IF(AND(Inputs!$B$19&gt;AF3,$B$3&gt;AF3),Inputs!$B$6*(1+sincr)^AE1,0)</f>
        <v>0</v>
      </c>
      <c r="AG5" s="7">
        <f>IF(AND(Inputs!$B$19&gt;AG3,$B$3&gt;AG3),Inputs!$B$6*(1+sincr)^AF1,0)</f>
        <v>0</v>
      </c>
      <c r="AH5" s="7">
        <f>IF(AND(Inputs!$B$19&gt;AH3,$B$3&gt;AH3),Inputs!$B$6*(1+sincr)^AG1,0)</f>
        <v>0</v>
      </c>
      <c r="AI5" s="7">
        <f>IF(AND(Inputs!$B$19&gt;AI3,$B$3&gt;AI3),Inputs!$B$6*(1+sincr)^AH1,0)</f>
        <v>0</v>
      </c>
      <c r="AJ5" s="7">
        <f>IF(AND(Inputs!$B$19&gt;AJ3,$B$3&gt;AJ3),Inputs!$B$6*(1+sincr)^AI1,0)</f>
        <v>0</v>
      </c>
      <c r="AK5" s="7">
        <f>IF(AND(Inputs!$B$19&gt;AK3,$B$3&gt;AK3),Inputs!$B$6*(1+sincr)^AJ1,0)</f>
        <v>0</v>
      </c>
      <c r="AL5" s="7">
        <f>IF(AND(Inputs!$B$19&gt;AL3,$B$3&gt;AL3),Inputs!$B$6*(1+sincr)^AK1,0)</f>
        <v>0</v>
      </c>
      <c r="AM5" s="7">
        <f>IF(AND(Inputs!$B$19&gt;AM3,$B$3&gt;AM3),Inputs!$B$6*(1+sincr)^AL1,0)</f>
        <v>0</v>
      </c>
    </row>
    <row r="6" spans="1:39">
      <c r="A6" s="4" t="s">
        <v>14</v>
      </c>
      <c r="B6" s="8"/>
      <c r="C6" s="7">
        <f>IF(C$3&lt;=Inputs!$B$93,Inputs!$B$92,0)*(1+inf)^B$1</f>
        <v>2000</v>
      </c>
      <c r="D6" s="7">
        <f>IF(D$3&lt;=Inputs!$B$93,Inputs!$B$92,0)*(1+inf)^C$1</f>
        <v>2050</v>
      </c>
      <c r="E6" s="7">
        <f>IF(E$3&lt;=Inputs!$B$93,Inputs!$B$92,0)*(1+inf)^D$1</f>
        <v>2101.25</v>
      </c>
      <c r="F6" s="7">
        <f>IF(F$3&lt;=Inputs!$B$93,Inputs!$B$92,0)*(1+inf)^E$1</f>
        <v>2153.7812499999995</v>
      </c>
      <c r="G6" s="7">
        <f>IF(G$3&lt;=Inputs!$B$93,Inputs!$B$92,0)*(1+inf)^F$1</f>
        <v>2207.6257812499994</v>
      </c>
      <c r="H6" s="7">
        <f>IF(H$3&lt;=Inputs!$B$93,Inputs!$B$92,0)*(1+inf)^G$1</f>
        <v>2262.8164257812491</v>
      </c>
      <c r="I6" s="7">
        <f>IF(I$3&lt;=Inputs!$B$93,Inputs!$B$92,0)*(1+inf)^H$1</f>
        <v>2319.3868364257805</v>
      </c>
      <c r="J6" s="7">
        <f>IF(J$3&lt;=Inputs!$B$93,Inputs!$B$92,0)*(1+inf)^I$1</f>
        <v>2377.3715073364251</v>
      </c>
      <c r="K6" s="7">
        <f>IF(K$3&lt;=Inputs!$B$93,Inputs!$B$92,0)*(1+inf)^J$1</f>
        <v>2436.8057950198354</v>
      </c>
      <c r="L6" s="7">
        <f>IF(L$3&lt;=Inputs!$B$93,Inputs!$B$92,0)*(1+inf)^K$1</f>
        <v>2497.7259398953311</v>
      </c>
      <c r="M6" s="7">
        <f>IF(M$3&lt;=Inputs!$B$93,Inputs!$B$92,0)*(1+inf)^L$1</f>
        <v>0</v>
      </c>
      <c r="N6" s="7">
        <f>IF(N$3&lt;=Inputs!$B$93,Inputs!$B$92,0)*(1+inf)^M$1</f>
        <v>0</v>
      </c>
      <c r="O6" s="7">
        <f>IF(O$3&lt;=Inputs!$B$93,Inputs!$B$92,0)*(1+inf)^N$1</f>
        <v>0</v>
      </c>
      <c r="P6" s="7">
        <f>IF(P$3&lt;=Inputs!$B$93,Inputs!$B$92,0)*(1+inf)^O$1</f>
        <v>0</v>
      </c>
      <c r="Q6" s="7">
        <f>IF(Q$3&lt;=Inputs!$B$93,Inputs!$B$92,0)*(1+inf)^P$1</f>
        <v>0</v>
      </c>
      <c r="R6" s="7">
        <f>IF(R$3&lt;=Inputs!$B$93,Inputs!$B$92,0)*(1+inf)^Q$1</f>
        <v>0</v>
      </c>
      <c r="S6" s="7">
        <f>IF(S$3&lt;=Inputs!$B$93,Inputs!$B$92,0)*(1+inf)^R$1</f>
        <v>0</v>
      </c>
      <c r="T6" s="7">
        <f>IF(T$3&lt;=Inputs!$B$93,Inputs!$B$92,0)*(1+inf)^S$1</f>
        <v>0</v>
      </c>
      <c r="U6" s="7">
        <f>IF(U$3&lt;=Inputs!$B$93,Inputs!$B$92,0)*(1+inf)^T$1</f>
        <v>0</v>
      </c>
      <c r="V6" s="7">
        <f>IF(V$3&lt;=Inputs!$B$93,Inputs!$B$92,0)*(1+inf)^U$1</f>
        <v>0</v>
      </c>
      <c r="W6" s="7">
        <f>IF(W$3&lt;=Inputs!$B$93,Inputs!$B$92,0)*(1+inf)^V$1</f>
        <v>0</v>
      </c>
      <c r="X6" s="7">
        <f>IF(X$3&lt;=Inputs!$B$93,Inputs!$B$92,0)*(1+inf)^W$1</f>
        <v>0</v>
      </c>
      <c r="Y6" s="7">
        <f>IF(Y$3&lt;=Inputs!$B$93,Inputs!$B$92,0)*(1+inf)^X$1</f>
        <v>0</v>
      </c>
      <c r="Z6" s="7">
        <f>IF(Z$3&lt;=Inputs!$B$93,Inputs!$B$92,0)*(1+inf)^Y$1</f>
        <v>0</v>
      </c>
      <c r="AA6" s="7">
        <f>IF(AA$3&lt;=Inputs!$B$93,Inputs!$B$92,0)*(1+inf)^Z$1</f>
        <v>0</v>
      </c>
      <c r="AB6" s="7">
        <f>IF(AB$3&lt;=Inputs!$B$93,Inputs!$B$92,0)*(1+inf)^AA$1</f>
        <v>0</v>
      </c>
      <c r="AC6" s="7">
        <f>IF(AC$3&lt;=Inputs!$B$93,Inputs!$B$92,0)*(1+inf)^AB$1</f>
        <v>0</v>
      </c>
      <c r="AD6" s="7">
        <f>IF(AD$3&lt;=Inputs!$B$93,Inputs!$B$92,0)*(1+inf)^AC$1</f>
        <v>0</v>
      </c>
      <c r="AE6" s="7">
        <f>IF(AE$3&lt;=Inputs!$B$93,Inputs!$B$92,0)*(1+inf)^AD$1</f>
        <v>0</v>
      </c>
      <c r="AF6" s="7">
        <f>IF(AF$3&lt;=Inputs!$B$93,Inputs!$B$92,0)*(1+inf)^AE$1</f>
        <v>0</v>
      </c>
      <c r="AG6" s="7">
        <f>IF(AG$3&lt;=Inputs!$B$93,Inputs!$B$92,0)*(1+inf)^AF$1</f>
        <v>0</v>
      </c>
      <c r="AH6" s="7">
        <f>IF(AH$3&lt;=Inputs!$B$93,Inputs!$B$92,0)*(1+inf)^AG$1</f>
        <v>0</v>
      </c>
      <c r="AI6" s="7">
        <f>IF(AI$3&lt;=Inputs!$B$93,Inputs!$B$92,0)*(1+inf)^AH$1</f>
        <v>0</v>
      </c>
      <c r="AJ6" s="7">
        <f>IF(AJ$3&lt;=Inputs!$B$93,Inputs!$B$92,0)*(1+inf)^AI$1</f>
        <v>0</v>
      </c>
      <c r="AK6" s="7">
        <f>IF(AK$3&lt;=Inputs!$B$93,Inputs!$B$92,0)*(1+inf)^AJ$1</f>
        <v>0</v>
      </c>
      <c r="AL6" s="7">
        <f>IF(AL$3&lt;=Inputs!$B$93,Inputs!$B$92,0)*(1+inf)^AK$1</f>
        <v>0</v>
      </c>
      <c r="AM6" s="7">
        <f>IF(AM$3&lt;=Inputs!$B$93,Inputs!$B$92,0)*(1+inf)^AL$1</f>
        <v>0</v>
      </c>
    </row>
    <row r="7" spans="1:39">
      <c r="A7" s="4" t="s">
        <v>70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>
      <c r="A8" s="3" t="str">
        <f>TEXT(Inputs!$B$60,"")</f>
        <v>Sliema</v>
      </c>
      <c r="C8" s="7">
        <f>Inputs!B86</f>
        <v>12000</v>
      </c>
      <c r="D8" s="7">
        <f t="shared" ref="D8:S12" si="32">C8*(1+rinc)</f>
        <v>12360</v>
      </c>
      <c r="E8" s="7">
        <f t="shared" si="32"/>
        <v>12730.800000000001</v>
      </c>
      <c r="F8" s="7">
        <f t="shared" si="32"/>
        <v>13112.724000000002</v>
      </c>
      <c r="G8" s="7">
        <f t="shared" si="32"/>
        <v>13506.105720000003</v>
      </c>
      <c r="H8" s="7">
        <f t="shared" si="32"/>
        <v>13911.288891600003</v>
      </c>
      <c r="I8" s="7">
        <f t="shared" si="32"/>
        <v>14328.627558348004</v>
      </c>
      <c r="J8" s="7">
        <f t="shared" si="32"/>
        <v>14758.486385098444</v>
      </c>
      <c r="K8" s="7">
        <f t="shared" si="32"/>
        <v>15201.240976651397</v>
      </c>
      <c r="L8" s="7">
        <f t="shared" si="32"/>
        <v>15657.278205950939</v>
      </c>
      <c r="M8" s="7">
        <f t="shared" si="32"/>
        <v>16126.996552129467</v>
      </c>
      <c r="N8" s="7">
        <f t="shared" si="32"/>
        <v>16610.806448693351</v>
      </c>
      <c r="O8" s="7">
        <f t="shared" si="32"/>
        <v>17109.130642154152</v>
      </c>
      <c r="P8" s="7">
        <f t="shared" si="32"/>
        <v>17622.404561418778</v>
      </c>
      <c r="Q8" s="7">
        <f t="shared" si="32"/>
        <v>18151.076698261342</v>
      </c>
      <c r="R8" s="7">
        <f t="shared" si="32"/>
        <v>18695.608999209184</v>
      </c>
      <c r="S8" s="7">
        <f t="shared" si="32"/>
        <v>19256.47726918546</v>
      </c>
      <c r="T8" s="7">
        <f t="shared" ref="T8:AI12" si="33">S8*(1+rinc)</f>
        <v>19834.171587261026</v>
      </c>
      <c r="U8" s="7">
        <f t="shared" si="33"/>
        <v>20429.196734878857</v>
      </c>
      <c r="V8" s="7">
        <f t="shared" si="33"/>
        <v>21042.072636925222</v>
      </c>
      <c r="W8" s="7">
        <f t="shared" si="33"/>
        <v>21673.334816032981</v>
      </c>
      <c r="X8" s="7">
        <f t="shared" si="33"/>
        <v>22323.53486051397</v>
      </c>
      <c r="Y8" s="7">
        <f t="shared" si="33"/>
        <v>22993.240906329389</v>
      </c>
      <c r="Z8" s="7">
        <f t="shared" si="33"/>
        <v>23683.038133519272</v>
      </c>
      <c r="AA8" s="7">
        <f t="shared" si="33"/>
        <v>24393.529277524853</v>
      </c>
      <c r="AB8" s="7">
        <f t="shared" si="33"/>
        <v>25125.3351558506</v>
      </c>
      <c r="AC8" s="7">
        <f t="shared" si="33"/>
        <v>25879.09521052612</v>
      </c>
      <c r="AD8" s="7">
        <f t="shared" si="33"/>
        <v>26655.468066841906</v>
      </c>
      <c r="AE8" s="7">
        <f t="shared" si="33"/>
        <v>27455.132108847163</v>
      </c>
      <c r="AF8" s="7">
        <f t="shared" si="33"/>
        <v>28278.78607211258</v>
      </c>
      <c r="AG8" s="7">
        <f t="shared" si="33"/>
        <v>29127.14965427596</v>
      </c>
      <c r="AH8" s="7">
        <f t="shared" si="33"/>
        <v>30000.964143904239</v>
      </c>
      <c r="AI8" s="7">
        <f t="shared" si="33"/>
        <v>30900.993068221367</v>
      </c>
      <c r="AJ8" s="7">
        <f t="shared" ref="AJ8:AM12" si="34">AI8*(1+rinc)</f>
        <v>31828.022860268007</v>
      </c>
      <c r="AK8" s="7">
        <f t="shared" si="34"/>
        <v>32782.863546076049</v>
      </c>
      <c r="AL8" s="7">
        <f t="shared" si="34"/>
        <v>33766.349452458329</v>
      </c>
      <c r="AM8" s="7">
        <f t="shared" si="34"/>
        <v>34779.339936032084</v>
      </c>
    </row>
    <row r="9" spans="1:39">
      <c r="A9" s="3" t="str">
        <f>TEXT(Inputs!$B$65,"")</f>
        <v>Gzira</v>
      </c>
      <c r="C9" s="7">
        <f>Inputs!B87</f>
        <v>10000</v>
      </c>
      <c r="D9" s="7">
        <f t="shared" si="32"/>
        <v>10300</v>
      </c>
      <c r="E9" s="7">
        <f t="shared" si="32"/>
        <v>10609</v>
      </c>
      <c r="F9" s="7">
        <f t="shared" si="32"/>
        <v>10927.27</v>
      </c>
      <c r="G9" s="7">
        <f t="shared" si="32"/>
        <v>11255.088100000001</v>
      </c>
      <c r="H9" s="7">
        <f t="shared" si="32"/>
        <v>11592.740743</v>
      </c>
      <c r="I9" s="7">
        <f t="shared" si="32"/>
        <v>11940.52296529</v>
      </c>
      <c r="J9" s="7">
        <f t="shared" si="32"/>
        <v>12298.7386542487</v>
      </c>
      <c r="K9" s="7">
        <f t="shared" si="32"/>
        <v>12667.700813876161</v>
      </c>
      <c r="L9" s="7">
        <f t="shared" si="32"/>
        <v>13047.731838292446</v>
      </c>
      <c r="M9" s="7">
        <f t="shared" si="32"/>
        <v>13439.163793441219</v>
      </c>
      <c r="N9" s="7">
        <f t="shared" si="32"/>
        <v>13842.338707244457</v>
      </c>
      <c r="O9" s="7">
        <f t="shared" si="32"/>
        <v>14257.60886846179</v>
      </c>
      <c r="P9" s="7">
        <f t="shared" si="32"/>
        <v>14685.337134515645</v>
      </c>
      <c r="Q9" s="7">
        <f t="shared" si="32"/>
        <v>15125.897248551115</v>
      </c>
      <c r="R9" s="7">
        <f t="shared" si="32"/>
        <v>15579.67416600765</v>
      </c>
      <c r="S9" s="7">
        <f t="shared" si="32"/>
        <v>16047.06439098788</v>
      </c>
      <c r="T9" s="7">
        <f t="shared" si="33"/>
        <v>16528.476322717517</v>
      </c>
      <c r="U9" s="7">
        <f t="shared" si="33"/>
        <v>17024.330612399044</v>
      </c>
      <c r="V9" s="7">
        <f t="shared" si="33"/>
        <v>17535.060530771018</v>
      </c>
      <c r="W9" s="7">
        <f t="shared" si="33"/>
        <v>18061.11234669415</v>
      </c>
      <c r="X9" s="7">
        <f t="shared" si="33"/>
        <v>18602.945717094975</v>
      </c>
      <c r="Y9" s="7">
        <f t="shared" si="33"/>
        <v>19161.034088607827</v>
      </c>
      <c r="Z9" s="7">
        <f t="shared" si="33"/>
        <v>19735.865111266063</v>
      </c>
      <c r="AA9" s="7">
        <f t="shared" si="33"/>
        <v>20327.941064604045</v>
      </c>
      <c r="AB9" s="7">
        <f t="shared" si="33"/>
        <v>20937.779296542169</v>
      </c>
      <c r="AC9" s="7">
        <f t="shared" si="33"/>
        <v>21565.912675438434</v>
      </c>
      <c r="AD9" s="7">
        <f t="shared" si="33"/>
        <v>22212.890055701588</v>
      </c>
      <c r="AE9" s="7">
        <f t="shared" si="33"/>
        <v>22879.276757372634</v>
      </c>
      <c r="AF9" s="7">
        <f t="shared" si="33"/>
        <v>23565.655060093814</v>
      </c>
      <c r="AG9" s="7">
        <f t="shared" si="33"/>
        <v>24272.624711896628</v>
      </c>
      <c r="AH9" s="7">
        <f t="shared" si="33"/>
        <v>25000.803453253528</v>
      </c>
      <c r="AI9" s="7">
        <f t="shared" si="33"/>
        <v>25750.827556851134</v>
      </c>
      <c r="AJ9" s="7">
        <f t="shared" si="34"/>
        <v>26523.35238355667</v>
      </c>
      <c r="AK9" s="7">
        <f t="shared" si="34"/>
        <v>27319.052955063373</v>
      </c>
      <c r="AL9" s="7">
        <f t="shared" si="34"/>
        <v>28138.624543715276</v>
      </c>
      <c r="AM9" s="7">
        <f t="shared" si="34"/>
        <v>28982.783280026735</v>
      </c>
    </row>
    <row r="10" spans="1:39">
      <c r="A10" s="3" t="str">
        <f>TEXT(Inputs!$B$70,"")</f>
        <v>Qormi</v>
      </c>
      <c r="C10" s="7">
        <f>Inputs!B88</f>
        <v>8000</v>
      </c>
      <c r="D10" s="7">
        <f t="shared" si="32"/>
        <v>8240</v>
      </c>
      <c r="E10" s="7">
        <f t="shared" si="32"/>
        <v>8487.2000000000007</v>
      </c>
      <c r="F10" s="7">
        <f t="shared" si="32"/>
        <v>8741.8160000000007</v>
      </c>
      <c r="G10" s="7">
        <f t="shared" si="32"/>
        <v>9004.0704800000003</v>
      </c>
      <c r="H10" s="7">
        <f t="shared" si="32"/>
        <v>9274.1925944000013</v>
      </c>
      <c r="I10" s="7">
        <f t="shared" si="32"/>
        <v>9552.4183722320013</v>
      </c>
      <c r="J10" s="7">
        <f t="shared" si="32"/>
        <v>9838.990923398962</v>
      </c>
      <c r="K10" s="7">
        <f t="shared" si="32"/>
        <v>10134.16065110093</v>
      </c>
      <c r="L10" s="7">
        <f t="shared" si="32"/>
        <v>10438.185470633958</v>
      </c>
      <c r="M10" s="7">
        <f t="shared" si="32"/>
        <v>10751.331034752977</v>
      </c>
      <c r="N10" s="7">
        <f t="shared" si="32"/>
        <v>11073.870965795566</v>
      </c>
      <c r="O10" s="7">
        <f t="shared" si="32"/>
        <v>11406.087094769433</v>
      </c>
      <c r="P10" s="7">
        <f t="shared" si="32"/>
        <v>11748.269707612517</v>
      </c>
      <c r="Q10" s="7">
        <f t="shared" si="32"/>
        <v>12100.717798840893</v>
      </c>
      <c r="R10" s="7">
        <f t="shared" si="32"/>
        <v>12463.739332806121</v>
      </c>
      <c r="S10" s="7">
        <f t="shared" si="32"/>
        <v>12837.651512790304</v>
      </c>
      <c r="T10" s="7">
        <f t="shared" si="33"/>
        <v>13222.781058174014</v>
      </c>
      <c r="U10" s="7">
        <f t="shared" si="33"/>
        <v>13619.464489919235</v>
      </c>
      <c r="V10" s="7">
        <f t="shared" si="33"/>
        <v>14028.048424616813</v>
      </c>
      <c r="W10" s="7">
        <f t="shared" si="33"/>
        <v>14448.889877355317</v>
      </c>
      <c r="X10" s="7">
        <f t="shared" si="33"/>
        <v>14882.356573675977</v>
      </c>
      <c r="Y10" s="7">
        <f t="shared" si="33"/>
        <v>15328.827270886257</v>
      </c>
      <c r="Z10" s="7">
        <f t="shared" si="33"/>
        <v>15788.692089012846</v>
      </c>
      <c r="AA10" s="7">
        <f t="shared" si="33"/>
        <v>16262.352851683232</v>
      </c>
      <c r="AB10" s="7">
        <f t="shared" si="33"/>
        <v>16750.22343723373</v>
      </c>
      <c r="AC10" s="7">
        <f t="shared" si="33"/>
        <v>17252.730140350741</v>
      </c>
      <c r="AD10" s="7">
        <f t="shared" si="33"/>
        <v>17770.312044561262</v>
      </c>
      <c r="AE10" s="7">
        <f t="shared" si="33"/>
        <v>18303.421405898102</v>
      </c>
      <c r="AF10" s="7">
        <f t="shared" si="33"/>
        <v>18852.524048075044</v>
      </c>
      <c r="AG10" s="7">
        <f t="shared" si="33"/>
        <v>19418.099769517295</v>
      </c>
      <c r="AH10" s="7">
        <f t="shared" si="33"/>
        <v>20000.642762602816</v>
      </c>
      <c r="AI10" s="7">
        <f t="shared" si="33"/>
        <v>20600.662045480902</v>
      </c>
      <c r="AJ10" s="7">
        <f t="shared" si="34"/>
        <v>21218.68190684533</v>
      </c>
      <c r="AK10" s="7">
        <f t="shared" si="34"/>
        <v>21855.24236405069</v>
      </c>
      <c r="AL10" s="7">
        <f t="shared" si="34"/>
        <v>22510.899634972211</v>
      </c>
      <c r="AM10" s="7">
        <f t="shared" si="34"/>
        <v>23186.226624021379</v>
      </c>
    </row>
    <row r="11" spans="1:39">
      <c r="A11" s="3" t="str">
        <f>TEXT(Inputs!$B$75,"")</f>
        <v>Gudja</v>
      </c>
      <c r="C11" s="7">
        <f>Inputs!B89</f>
        <v>5000</v>
      </c>
      <c r="D11" s="7">
        <f t="shared" si="32"/>
        <v>5150</v>
      </c>
      <c r="E11" s="7">
        <f t="shared" si="32"/>
        <v>5304.5</v>
      </c>
      <c r="F11" s="7">
        <f t="shared" si="32"/>
        <v>5463.6350000000002</v>
      </c>
      <c r="G11" s="7">
        <f t="shared" si="32"/>
        <v>5627.5440500000004</v>
      </c>
      <c r="H11" s="7">
        <f t="shared" si="32"/>
        <v>5796.3703715000001</v>
      </c>
      <c r="I11" s="7">
        <f t="shared" si="32"/>
        <v>5970.2614826449999</v>
      </c>
      <c r="J11" s="7">
        <f t="shared" si="32"/>
        <v>6149.3693271243501</v>
      </c>
      <c r="K11" s="7">
        <f t="shared" si="32"/>
        <v>6333.8504069380806</v>
      </c>
      <c r="L11" s="7">
        <f t="shared" si="32"/>
        <v>6523.865919146223</v>
      </c>
      <c r="M11" s="7">
        <f t="shared" si="32"/>
        <v>6719.5818967206096</v>
      </c>
      <c r="N11" s="7">
        <f t="shared" si="32"/>
        <v>6921.1693536222283</v>
      </c>
      <c r="O11" s="7">
        <f t="shared" si="32"/>
        <v>7128.8044342308949</v>
      </c>
      <c r="P11" s="7">
        <f t="shared" si="32"/>
        <v>7342.6685672578224</v>
      </c>
      <c r="Q11" s="7">
        <f t="shared" si="32"/>
        <v>7562.9486242755574</v>
      </c>
      <c r="R11" s="7">
        <f t="shared" si="32"/>
        <v>7789.8370830038248</v>
      </c>
      <c r="S11" s="7">
        <f t="shared" si="32"/>
        <v>8023.53219549394</v>
      </c>
      <c r="T11" s="7">
        <f t="shared" si="33"/>
        <v>8264.2381613587586</v>
      </c>
      <c r="U11" s="7">
        <f t="shared" si="33"/>
        <v>8512.1653061995221</v>
      </c>
      <c r="V11" s="7">
        <f t="shared" si="33"/>
        <v>8767.5302653855088</v>
      </c>
      <c r="W11" s="7">
        <f t="shared" si="33"/>
        <v>9030.5561733470749</v>
      </c>
      <c r="X11" s="7">
        <f t="shared" si="33"/>
        <v>9301.4728585474877</v>
      </c>
      <c r="Y11" s="7">
        <f t="shared" si="33"/>
        <v>9580.5170443039133</v>
      </c>
      <c r="Z11" s="7">
        <f t="shared" si="33"/>
        <v>9867.9325556330314</v>
      </c>
      <c r="AA11" s="7">
        <f t="shared" si="33"/>
        <v>10163.970532302023</v>
      </c>
      <c r="AB11" s="7">
        <f t="shared" si="33"/>
        <v>10468.889648271084</v>
      </c>
      <c r="AC11" s="7">
        <f t="shared" si="33"/>
        <v>10782.956337719217</v>
      </c>
      <c r="AD11" s="7">
        <f t="shared" si="33"/>
        <v>11106.445027850794</v>
      </c>
      <c r="AE11" s="7">
        <f t="shared" si="33"/>
        <v>11439.638378686317</v>
      </c>
      <c r="AF11" s="7">
        <f t="shared" si="33"/>
        <v>11782.827530046907</v>
      </c>
      <c r="AG11" s="7">
        <f t="shared" si="33"/>
        <v>12136.312355948314</v>
      </c>
      <c r="AH11" s="7">
        <f t="shared" si="33"/>
        <v>12500.401726626764</v>
      </c>
      <c r="AI11" s="7">
        <f t="shared" si="33"/>
        <v>12875.413778425567</v>
      </c>
      <c r="AJ11" s="7">
        <f t="shared" si="34"/>
        <v>13261.676191778335</v>
      </c>
      <c r="AK11" s="7">
        <f t="shared" si="34"/>
        <v>13659.526477531686</v>
      </c>
      <c r="AL11" s="7">
        <f t="shared" si="34"/>
        <v>14069.312271857638</v>
      </c>
      <c r="AM11" s="7">
        <f t="shared" si="34"/>
        <v>14491.391640013368</v>
      </c>
    </row>
    <row r="12" spans="1:39">
      <c r="A12" s="3" t="str">
        <f>TEXT(Inputs!$B$80,"")</f>
        <v>Marsa</v>
      </c>
      <c r="C12" s="7">
        <f>Inputs!B90</f>
        <v>6500</v>
      </c>
      <c r="D12" s="7">
        <f t="shared" si="32"/>
        <v>6695</v>
      </c>
      <c r="E12" s="7">
        <f t="shared" si="32"/>
        <v>6895.85</v>
      </c>
      <c r="F12" s="7">
        <f t="shared" si="32"/>
        <v>7102.7255000000005</v>
      </c>
      <c r="G12" s="7">
        <f t="shared" si="32"/>
        <v>7315.8072650000004</v>
      </c>
      <c r="H12" s="7">
        <f t="shared" si="32"/>
        <v>7535.2814829500003</v>
      </c>
      <c r="I12" s="7">
        <f t="shared" si="32"/>
        <v>7761.3399274385001</v>
      </c>
      <c r="J12" s="7">
        <f t="shared" si="32"/>
        <v>7994.1801252616551</v>
      </c>
      <c r="K12" s="7">
        <f t="shared" si="32"/>
        <v>8234.005529019505</v>
      </c>
      <c r="L12" s="7">
        <f t="shared" si="32"/>
        <v>8481.0256948900897</v>
      </c>
      <c r="M12" s="7">
        <f t="shared" si="32"/>
        <v>8735.4564657367919</v>
      </c>
      <c r="N12" s="7">
        <f t="shared" si="32"/>
        <v>8997.5201597088962</v>
      </c>
      <c r="O12" s="7">
        <f t="shared" si="32"/>
        <v>9267.4457645001639</v>
      </c>
      <c r="P12" s="7">
        <f t="shared" si="32"/>
        <v>9545.4691374351696</v>
      </c>
      <c r="Q12" s="7">
        <f t="shared" si="32"/>
        <v>9831.8332115582252</v>
      </c>
      <c r="R12" s="7">
        <f t="shared" si="32"/>
        <v>10126.788207904972</v>
      </c>
      <c r="S12" s="7">
        <f t="shared" si="32"/>
        <v>10430.591854142122</v>
      </c>
      <c r="T12" s="7">
        <f t="shared" si="33"/>
        <v>10743.509609766386</v>
      </c>
      <c r="U12" s="7">
        <f t="shared" si="33"/>
        <v>11065.814898059378</v>
      </c>
      <c r="V12" s="7">
        <f t="shared" si="33"/>
        <v>11397.78934500116</v>
      </c>
      <c r="W12" s="7">
        <f t="shared" si="33"/>
        <v>11739.723025351195</v>
      </c>
      <c r="X12" s="7">
        <f t="shared" si="33"/>
        <v>12091.914716111731</v>
      </c>
      <c r="Y12" s="7">
        <f t="shared" si="33"/>
        <v>12454.672157595083</v>
      </c>
      <c r="Z12" s="7">
        <f t="shared" si="33"/>
        <v>12828.312322322936</v>
      </c>
      <c r="AA12" s="7">
        <f t="shared" si="33"/>
        <v>13213.161691992624</v>
      </c>
      <c r="AB12" s="7">
        <f t="shared" si="33"/>
        <v>13609.556542752403</v>
      </c>
      <c r="AC12" s="7">
        <f t="shared" si="33"/>
        <v>14017.843239034975</v>
      </c>
      <c r="AD12" s="7">
        <f t="shared" si="33"/>
        <v>14438.378536206024</v>
      </c>
      <c r="AE12" s="7">
        <f t="shared" si="33"/>
        <v>14871.529892292205</v>
      </c>
      <c r="AF12" s="7">
        <f t="shared" si="33"/>
        <v>15317.675789060972</v>
      </c>
      <c r="AG12" s="7">
        <f t="shared" si="33"/>
        <v>15777.206062732801</v>
      </c>
      <c r="AH12" s="7">
        <f t="shared" si="33"/>
        <v>16250.522244614785</v>
      </c>
      <c r="AI12" s="7">
        <f t="shared" si="33"/>
        <v>16738.03791195323</v>
      </c>
      <c r="AJ12" s="7">
        <f t="shared" si="34"/>
        <v>17240.179049311828</v>
      </c>
      <c r="AK12" s="7">
        <f t="shared" si="34"/>
        <v>17757.384420791182</v>
      </c>
      <c r="AL12" s="7">
        <f t="shared" si="34"/>
        <v>18290.105953414917</v>
      </c>
      <c r="AM12" s="7">
        <f t="shared" si="34"/>
        <v>18838.809132017366</v>
      </c>
    </row>
    <row r="13" spans="1:39">
      <c r="A13" s="4" t="s">
        <v>79</v>
      </c>
      <c r="B13" s="8"/>
      <c r="C13" s="7">
        <f>IF(C$3&lt;Inputs!$B$19,0,Inputs!$B$21)*(1+inf)^B$1</f>
        <v>0</v>
      </c>
      <c r="D13" s="7">
        <f>IF(D$3&lt;Inputs!$B$19,0,Inputs!$B$21)*(1+inf)^C$1</f>
        <v>0</v>
      </c>
      <c r="E13" s="7">
        <f>IF(E$3&lt;Inputs!$B$19,0,Inputs!$B$21)*(1+inf)^D$1</f>
        <v>0</v>
      </c>
      <c r="F13" s="7">
        <f>IF(F$3&lt;Inputs!$B$19,0,Inputs!$B$21)*(1+inf)^E$1</f>
        <v>0</v>
      </c>
      <c r="G13" s="7">
        <f>IF(G$3&lt;Inputs!$B$19,0,Inputs!$B$21)*(1+inf)^F$1</f>
        <v>0</v>
      </c>
      <c r="H13" s="7">
        <f>IF(H$3&lt;Inputs!$B$19,0,Inputs!$B$21)*(1+inf)^G$1</f>
        <v>0</v>
      </c>
      <c r="I13" s="7">
        <f>IF(I$3&lt;Inputs!$B$19,0,Inputs!$B$21)*(1+inf)^H$1</f>
        <v>0</v>
      </c>
      <c r="J13" s="7">
        <f>IF(J$3&lt;Inputs!$B$19,0,Inputs!$B$21)*(1+inf)^I$1</f>
        <v>0</v>
      </c>
      <c r="K13" s="7">
        <f>IF(K$3&lt;Inputs!$B$19,0,Inputs!$B$21)*(1+inf)^J$1</f>
        <v>0</v>
      </c>
      <c r="L13" s="7">
        <f>IF(L$3&lt;Inputs!$B$19,0,Inputs!$B$21)*(1+inf)^K$1</f>
        <v>0</v>
      </c>
      <c r="M13" s="7">
        <f>IF(M$3&lt;Inputs!$B$19,0,Inputs!$B$21)*(1+inf)^L$1</f>
        <v>0</v>
      </c>
      <c r="N13" s="7">
        <f>IF(N$3&lt;Inputs!$B$19,0,Inputs!$B$21)*(1+inf)^M$1</f>
        <v>0</v>
      </c>
      <c r="O13" s="7">
        <f>IF(O$3&lt;Inputs!$B$19,0,Inputs!$B$21)*(1+inf)^N$1</f>
        <v>0</v>
      </c>
      <c r="P13" s="7">
        <f>IF(P$3&lt;Inputs!$B$19,0,Inputs!$B$21)*(1+inf)^O$1</f>
        <v>0</v>
      </c>
      <c r="Q13" s="7">
        <f>IF(Q$3&lt;Inputs!$B$19,0,Inputs!$B$21)*(1+inf)^P$1</f>
        <v>0</v>
      </c>
      <c r="R13" s="7">
        <f>IF(R$3&lt;Inputs!$B$19,0,Inputs!$B$21)*(1+inf)^Q$1</f>
        <v>0</v>
      </c>
      <c r="S13" s="7">
        <f>IF(S$3&lt;Inputs!$B$19,0,Inputs!$B$21)*(1+inf)^R$1</f>
        <v>23752.089930569011</v>
      </c>
      <c r="T13" s="7">
        <f>IF(T$3&lt;Inputs!$B$19,0,Inputs!$B$21)*(1+inf)^S$1</f>
        <v>24345.892178833234</v>
      </c>
      <c r="U13" s="7">
        <f>IF(U$3&lt;Inputs!$B$19,0,Inputs!$B$21)*(1+inf)^T$1</f>
        <v>24954.539483304063</v>
      </c>
      <c r="V13" s="7">
        <f>IF(V$3&lt;Inputs!$B$19,0,Inputs!$B$21)*(1+inf)^U$1</f>
        <v>25578.402970386665</v>
      </c>
      <c r="W13" s="7">
        <f>IF(W$3&lt;Inputs!$B$19,0,Inputs!$B$21)*(1+inf)^V$1</f>
        <v>26217.863044646328</v>
      </c>
      <c r="X13" s="7">
        <f>IF(X$3&lt;Inputs!$B$19,0,Inputs!$B$21)*(1+inf)^W$1</f>
        <v>26873.309620762484</v>
      </c>
      <c r="Y13" s="7">
        <f>IF(Y$3&lt;Inputs!$B$19,0,Inputs!$B$21)*(1+inf)^X$1</f>
        <v>27545.142361281545</v>
      </c>
      <c r="Z13" s="7">
        <f>IF(Z$3&lt;Inputs!$B$19,0,Inputs!$B$21)*(1+inf)^Y$1</f>
        <v>28233.770920313586</v>
      </c>
      <c r="AA13" s="7">
        <f>IF(AA$3&lt;Inputs!$B$19,0,Inputs!$B$21)*(1+inf)^Z$1</f>
        <v>28939.615193321424</v>
      </c>
      <c r="AB13" s="7">
        <f>IF(AB$3&lt;Inputs!$B$19,0,Inputs!$B$21)*(1+inf)^AA$1</f>
        <v>29663.105573154455</v>
      </c>
      <c r="AC13" s="7">
        <f>IF(AC$3&lt;Inputs!$B$19,0,Inputs!$B$21)*(1+inf)^AB$1</f>
        <v>30404.683212483313</v>
      </c>
      <c r="AD13" s="7">
        <f>IF(AD$3&lt;Inputs!$B$19,0,Inputs!$B$21)*(1+inf)^AC$1</f>
        <v>31164.800292795393</v>
      </c>
      <c r="AE13" s="7">
        <f>IF(AE$3&lt;Inputs!$B$19,0,Inputs!$B$21)*(1+inf)^AD$1</f>
        <v>31943.920300115278</v>
      </c>
      <c r="AF13" s="7">
        <f>IF(AF$3&lt;Inputs!$B$19,0,Inputs!$B$21)*(1+inf)^AE$1</f>
        <v>32742.518307618164</v>
      </c>
      <c r="AG13" s="7">
        <f>IF(AG$3&lt;Inputs!$B$19,0,Inputs!$B$21)*(1+inf)^AF$1</f>
        <v>33561.08126530861</v>
      </c>
      <c r="AH13" s="7">
        <f>IF(AH$3&lt;Inputs!$B$19,0,Inputs!$B$21)*(1+inf)^AG$1</f>
        <v>34400.108296941333</v>
      </c>
      <c r="AI13" s="7">
        <f>IF(AI$3&lt;Inputs!$B$19,0,Inputs!$B$21)*(1+inf)^AH$1</f>
        <v>35260.111004364859</v>
      </c>
      <c r="AJ13" s="7">
        <f>IF(AJ$3&lt;Inputs!$B$19,0,Inputs!$B$21)*(1+inf)^AI$1</f>
        <v>36141.613779473977</v>
      </c>
      <c r="AK13" s="7">
        <f>IF(AK$3&lt;Inputs!$B$19,0,Inputs!$B$21)*(1+inf)^AJ$1</f>
        <v>37045.154123960827</v>
      </c>
      <c r="AL13" s="7">
        <f>IF(AL$3&lt;Inputs!$B$19,0,Inputs!$B$21)*(1+inf)^AK$1</f>
        <v>37971.28297705984</v>
      </c>
      <c r="AM13" s="7">
        <f>IF(AM$3&lt;Inputs!$B$19,0,Inputs!$B$21)*(1+inf)^AL$1</f>
        <v>38920.565051486345</v>
      </c>
    </row>
    <row r="14" spans="1:39">
      <c r="A14" s="4" t="s">
        <v>80</v>
      </c>
      <c r="B14" s="8"/>
      <c r="C14" s="7">
        <f>MIN(0,MAX(-IF(C13=0,0,(Inputs!$B$19-INDEX(3:3,MATCH(0,5:5,0))))*Inputs!$B$189*(1+inf)^B$1,-C13))</f>
        <v>0</v>
      </c>
      <c r="D14" s="7">
        <f>MIN(0,MAX(-IF(D13=0,0,(Inputs!$B$19-INDEX(3:3,MATCH(0,5:5,0))))*Inputs!$B$189*(1+inf)^C$1,-D13))</f>
        <v>0</v>
      </c>
      <c r="E14" s="7">
        <f>MIN(0,MAX(-IF(E13=0,0,(Inputs!$B$19-INDEX(3:3,MATCH(0,5:5,0))))*Inputs!$B$189*(1+inf)^D$1,-E13))</f>
        <v>0</v>
      </c>
      <c r="F14" s="7">
        <f>MIN(0,MAX(-IF(F13=0,0,(Inputs!$B$19-INDEX(3:3,MATCH(0,5:5,0))))*Inputs!$B$189*(1+inf)^E$1,-F13))</f>
        <v>0</v>
      </c>
      <c r="G14" s="7">
        <f>MIN(0,MAX(-IF(G13=0,0,(Inputs!$B$19-INDEX(3:3,MATCH(0,5:5,0))))*Inputs!$B$189*(1+inf)^F$1,-G13))</f>
        <v>0</v>
      </c>
      <c r="H14" s="7">
        <f>MIN(0,MAX(-IF(H13=0,0,(Inputs!$B$19-INDEX(3:3,MATCH(0,5:5,0))))*Inputs!$B$189*(1+inf)^G$1,-H13))</f>
        <v>0</v>
      </c>
      <c r="I14" s="7">
        <f>MIN(0,MAX(-IF(I13=0,0,(Inputs!$B$19-INDEX(3:3,MATCH(0,5:5,0))))*Inputs!$B$189*(1+inf)^H$1,-I13))</f>
        <v>0</v>
      </c>
      <c r="J14" s="7">
        <f>MIN(0,MAX(-IF(J13=0,0,(Inputs!$B$19-INDEX(3:3,MATCH(0,5:5,0))))*Inputs!$B$189*(1+inf)^I$1,-J13))</f>
        <v>0</v>
      </c>
      <c r="K14" s="7">
        <f>MIN(0,MAX(-IF(K13=0,0,(Inputs!$B$19-INDEX(3:3,MATCH(0,5:5,0))))*Inputs!$B$189*(1+inf)^J$1,-K13))</f>
        <v>0</v>
      </c>
      <c r="L14" s="7">
        <f>MIN(0,MAX(-IF(L13=0,0,(Inputs!$B$19-INDEX(3:3,MATCH(0,5:5,0))))*Inputs!$B$189*(1+inf)^K$1,-L13))</f>
        <v>0</v>
      </c>
      <c r="M14" s="7">
        <f>MIN(0,MAX(-IF(M13=0,0,(Inputs!$B$19-INDEX(3:3,MATCH(0,5:5,0))))*Inputs!$B$189*(1+inf)^L$1,-M13))</f>
        <v>0</v>
      </c>
      <c r="N14" s="7">
        <f>MIN(0,MAX(-IF(N13=0,0,(Inputs!$B$19-INDEX(3:3,MATCH(0,5:5,0))))*Inputs!$B$189*(1+inf)^M$1,-N13))</f>
        <v>0</v>
      </c>
      <c r="O14" s="7">
        <f>MIN(0,MAX(-IF(O13=0,0,(Inputs!$B$19-INDEX(3:3,MATCH(0,5:5,0))))*Inputs!$B$189*(1+inf)^N$1,-O13))</f>
        <v>0</v>
      </c>
      <c r="P14" s="7">
        <f>MIN(0,MAX(-IF(P13=0,0,(Inputs!$B$19-INDEX(3:3,MATCH(0,5:5,0))))*Inputs!$B$189*(1+inf)^O$1,-P13))</f>
        <v>0</v>
      </c>
      <c r="Q14" s="7">
        <f>MIN(0,MAX(-IF(Q13=0,0,(Inputs!$B$19-INDEX(3:3,MATCH(0,5:5,0))))*Inputs!$B$189*(1+inf)^P$1,-Q13))</f>
        <v>0</v>
      </c>
      <c r="R14" s="7">
        <f>MIN(0,MAX(-IF(R13=0,0,(Inputs!$B$19-INDEX(3:3,MATCH(0,5:5,0))))*Inputs!$B$189*(1+inf)^Q$1,-R13))</f>
        <v>0</v>
      </c>
      <c r="S14" s="7">
        <f>MIN(0,MAX(-IF(S13=0,0,(Inputs!$B$19-INDEX(3:3,MATCH(0,5:5,0))))*Inputs!$B$189*(1+inf)^R$1,-S13))</f>
        <v>0</v>
      </c>
      <c r="T14" s="7">
        <f>MIN(0,MAX(-IF(T13=0,0,(Inputs!$B$19-INDEX(3:3,MATCH(0,5:5,0))))*Inputs!$B$189*(1+inf)^S$1,-T13))</f>
        <v>0</v>
      </c>
      <c r="U14" s="7">
        <f>MIN(0,MAX(-IF(U13=0,0,(Inputs!$B$19-INDEX(3:3,MATCH(0,5:5,0))))*Inputs!$B$189*(1+inf)^T$1,-U13))</f>
        <v>0</v>
      </c>
      <c r="V14" s="7">
        <f>MIN(0,MAX(-IF(V13=0,0,(Inputs!$B$19-INDEX(3:3,MATCH(0,5:5,0))))*Inputs!$B$189*(1+inf)^U$1,-V13))</f>
        <v>0</v>
      </c>
      <c r="W14" s="7">
        <f>MIN(0,MAX(-IF(W13=0,0,(Inputs!$B$19-INDEX(3:3,MATCH(0,5:5,0))))*Inputs!$B$189*(1+inf)^V$1,-W13))</f>
        <v>0</v>
      </c>
      <c r="X14" s="7">
        <f>MIN(0,MAX(-IF(X13=0,0,(Inputs!$B$19-INDEX(3:3,MATCH(0,5:5,0))))*Inputs!$B$189*(1+inf)^W$1,-X13))</f>
        <v>0</v>
      </c>
      <c r="Y14" s="7">
        <f>MIN(0,MAX(-IF(Y13=0,0,(Inputs!$B$19-INDEX(3:3,MATCH(0,5:5,0))))*Inputs!$B$189*(1+inf)^X$1,-Y13))</f>
        <v>0</v>
      </c>
      <c r="Z14" s="7">
        <f>MIN(0,MAX(-IF(Z13=0,0,(Inputs!$B$19-INDEX(3:3,MATCH(0,5:5,0))))*Inputs!$B$189*(1+inf)^Y$1,-Z13))</f>
        <v>0</v>
      </c>
      <c r="AA14" s="7">
        <f>MIN(0,MAX(-IF(AA13=0,0,(Inputs!$B$19-INDEX(3:3,MATCH(0,5:5,0))))*Inputs!$B$189*(1+inf)^Z$1,-AA13))</f>
        <v>0</v>
      </c>
      <c r="AB14" s="7">
        <f>MIN(0,MAX(-IF(AB13=0,0,(Inputs!$B$19-INDEX(3:3,MATCH(0,5:5,0))))*Inputs!$B$189*(1+inf)^AA$1,-AB13))</f>
        <v>0</v>
      </c>
      <c r="AC14" s="7">
        <f>MIN(0,MAX(-IF(AC13=0,0,(Inputs!$B$19-INDEX(3:3,MATCH(0,5:5,0))))*Inputs!$B$189*(1+inf)^AB$1,-AC13))</f>
        <v>0</v>
      </c>
      <c r="AD14" s="7">
        <f>MIN(0,MAX(-IF(AD13=0,0,(Inputs!$B$19-INDEX(3:3,MATCH(0,5:5,0))))*Inputs!$B$189*(1+inf)^AC$1,-AD13))</f>
        <v>0</v>
      </c>
      <c r="AE14" s="7">
        <f>MIN(0,MAX(-IF(AE13=0,0,(Inputs!$B$19-INDEX(3:3,MATCH(0,5:5,0))))*Inputs!$B$189*(1+inf)^AD$1,-AE13))</f>
        <v>0</v>
      </c>
      <c r="AF14" s="7">
        <f>MIN(0,MAX(-IF(AF13=0,0,(Inputs!$B$19-INDEX(3:3,MATCH(0,5:5,0))))*Inputs!$B$189*(1+inf)^AE$1,-AF13))</f>
        <v>0</v>
      </c>
      <c r="AG14" s="7">
        <f>MIN(0,MAX(-IF(AG13=0,0,(Inputs!$B$19-INDEX(3:3,MATCH(0,5:5,0))))*Inputs!$B$189*(1+inf)^AF$1,-AG13))</f>
        <v>0</v>
      </c>
      <c r="AH14" s="7">
        <f>MIN(0,MAX(-IF(AH13=0,0,(Inputs!$B$19-INDEX(3:3,MATCH(0,5:5,0))))*Inputs!$B$189*(1+inf)^AG$1,-AH13))</f>
        <v>0</v>
      </c>
      <c r="AI14" s="7">
        <f>MIN(0,MAX(-IF(AI13=0,0,(Inputs!$B$19-INDEX(3:3,MATCH(0,5:5,0))))*Inputs!$B$189*(1+inf)^AH$1,-AI13))</f>
        <v>0</v>
      </c>
      <c r="AJ14" s="7">
        <f>MIN(0,MAX(-IF(AJ13=0,0,(Inputs!$B$19-INDEX(3:3,MATCH(0,5:5,0))))*Inputs!$B$189*(1+inf)^AI$1,-AJ13))</f>
        <v>0</v>
      </c>
      <c r="AK14" s="7">
        <f>MIN(0,MAX(-IF(AK13=0,0,(Inputs!$B$19-INDEX(3:3,MATCH(0,5:5,0))))*Inputs!$B$189*(1+inf)^AJ$1,-AK13))</f>
        <v>0</v>
      </c>
      <c r="AL14" s="7">
        <f>MIN(0,MAX(-IF(AL13=0,0,(Inputs!$B$19-INDEX(3:3,MATCH(0,5:5,0))))*Inputs!$B$189*(1+inf)^AK$1,-AL13))</f>
        <v>0</v>
      </c>
      <c r="AM14" s="7">
        <f>MIN(0,MAX(-IF(AM13=0,0,(Inputs!$B$19-INDEX(3:3,MATCH(0,5:5,0))))*Inputs!$B$189*(1+inf)^AL$1,-AM13))</f>
        <v>0</v>
      </c>
    </row>
    <row r="15" spans="1:39">
      <c r="A15" s="4" t="s">
        <v>48</v>
      </c>
      <c r="B15" s="8"/>
      <c r="C15" s="7">
        <f>IF(AND(C$3&gt;=Inputs!$B$174,C$3&lt;=Inputs!$B$175),Inputs!$B$173*(1+inf)^B$1,0)</f>
        <v>0</v>
      </c>
      <c r="D15" s="7">
        <f>IF(AND(D$3&gt;=Inputs!$B$174,D$3&lt;=Inputs!$B$175),Inputs!$B$173*(1+inf)^C$1,0)</f>
        <v>0</v>
      </c>
      <c r="E15" s="7">
        <f>IF(AND(E$3&gt;=Inputs!$B$174,E$3&lt;=Inputs!$B$175),Inputs!$B$173*(1+inf)^D$1,0)</f>
        <v>0</v>
      </c>
      <c r="F15" s="7">
        <f>IF(AND(F$3&gt;=Inputs!$B$174,F$3&lt;=Inputs!$B$175),Inputs!$B$173*(1+inf)^E$1,0)</f>
        <v>0</v>
      </c>
      <c r="G15" s="7">
        <f>IF(AND(G$3&gt;=Inputs!$B$174,G$3&lt;=Inputs!$B$175),Inputs!$B$173*(1+inf)^F$1,0)</f>
        <v>0</v>
      </c>
      <c r="H15" s="7">
        <f>IF(AND(H$3&gt;=Inputs!$B$174,H$3&lt;=Inputs!$B$175),Inputs!$B$173*(1+inf)^G$1,0)</f>
        <v>0</v>
      </c>
      <c r="I15" s="7">
        <f>IF(AND(I$3&gt;=Inputs!$B$174,I$3&lt;=Inputs!$B$175),Inputs!$B$173*(1+inf)^H$1,0)</f>
        <v>0</v>
      </c>
      <c r="J15" s="7">
        <f>IF(AND(J$3&gt;=Inputs!$B$174,J$3&lt;=Inputs!$B$175),Inputs!$B$173*(1+inf)^I$1,0)</f>
        <v>0</v>
      </c>
      <c r="K15" s="7">
        <f>IF(AND(K$3&gt;=Inputs!$B$174,K$3&lt;=Inputs!$B$175),Inputs!$B$173*(1+inf)^J$1,0)</f>
        <v>0</v>
      </c>
      <c r="L15" s="7">
        <f>IF(AND(L$3&gt;=Inputs!$B$174,L$3&lt;=Inputs!$B$175),Inputs!$B$173*(1+inf)^K$1,0)</f>
        <v>14986.355639371985</v>
      </c>
      <c r="M15" s="7">
        <f>IF(AND(M$3&gt;=Inputs!$B$174,M$3&lt;=Inputs!$B$175),Inputs!$B$173*(1+inf)^L$1,0)</f>
        <v>15361.014530356286</v>
      </c>
      <c r="N15" s="7">
        <f>IF(AND(N$3&gt;=Inputs!$B$174,N$3&lt;=Inputs!$B$175),Inputs!$B$173*(1+inf)^M$1,0)</f>
        <v>15745.039893615192</v>
      </c>
      <c r="O15" s="7">
        <f>IF(AND(O$3&gt;=Inputs!$B$174,O$3&lt;=Inputs!$B$175),Inputs!$B$173*(1+inf)^N$1,0)</f>
        <v>16138.66589095557</v>
      </c>
      <c r="P15" s="7">
        <f>IF(AND(P$3&gt;=Inputs!$B$174,P$3&lt;=Inputs!$B$175),Inputs!$B$173*(1+inf)^O$1,0)</f>
        <v>16542.13253822946</v>
      </c>
      <c r="Q15" s="7">
        <f>IF(AND(Q$3&gt;=Inputs!$B$174,Q$3&lt;=Inputs!$B$175),Inputs!$B$173*(1+inf)^P$1,0)</f>
        <v>16955.685851685193</v>
      </c>
      <c r="R15" s="7">
        <f>IF(AND(R$3&gt;=Inputs!$B$174,R$3&lt;=Inputs!$B$175),Inputs!$B$173*(1+inf)^Q$1,0)</f>
        <v>17379.577997977325</v>
      </c>
      <c r="S15" s="7">
        <f>IF(AND(S$3&gt;=Inputs!$B$174,S$3&lt;=Inputs!$B$175),Inputs!$B$173*(1+inf)^R$1,0)</f>
        <v>17814.067447926758</v>
      </c>
      <c r="T15" s="7">
        <f>IF(AND(T$3&gt;=Inputs!$B$174,T$3&lt;=Inputs!$B$175),Inputs!$B$173*(1+inf)^S$1,0)</f>
        <v>18259.419134124924</v>
      </c>
      <c r="U15" s="7">
        <f>IF(AND(U$3&gt;=Inputs!$B$174,U$3&lt;=Inputs!$B$175),Inputs!$B$173*(1+inf)^T$1,0)</f>
        <v>18715.904612478047</v>
      </c>
      <c r="V15" s="7">
        <f>IF(AND(V$3&gt;=Inputs!$B$174,V$3&lt;=Inputs!$B$175),Inputs!$B$173*(1+inf)^U$1,0)</f>
        <v>19183.802227789998</v>
      </c>
      <c r="W15" s="7">
        <f>IF(AND(W$3&gt;=Inputs!$B$174,W$3&lt;=Inputs!$B$175),Inputs!$B$173*(1+inf)^V$1,0)</f>
        <v>19663.397283484748</v>
      </c>
      <c r="X15" s="7">
        <f>IF(AND(X$3&gt;=Inputs!$B$174,X$3&lt;=Inputs!$B$175),Inputs!$B$173*(1+inf)^W$1,0)</f>
        <v>0</v>
      </c>
      <c r="Y15" s="7">
        <f>IF(AND(Y$3&gt;=Inputs!$B$174,Y$3&lt;=Inputs!$B$175),Inputs!$B$173*(1+inf)^X$1,0)</f>
        <v>0</v>
      </c>
      <c r="Z15" s="7">
        <f>IF(AND(Z$3&gt;=Inputs!$B$174,Z$3&lt;=Inputs!$B$175),Inputs!$B$173*(1+inf)^Y$1,0)</f>
        <v>0</v>
      </c>
      <c r="AA15" s="7">
        <f>IF(AND(AA$3&gt;=Inputs!$B$174,AA$3&lt;=Inputs!$B$175),Inputs!$B$173*(1+inf)^Z$1,0)</f>
        <v>0</v>
      </c>
      <c r="AB15" s="7">
        <f>IF(AND(AB$3&gt;=Inputs!$B$174,AB$3&lt;=Inputs!$B$175),Inputs!$B$173*(1+inf)^AA$1,0)</f>
        <v>0</v>
      </c>
      <c r="AC15" s="7">
        <f>IF(AND(AC$3&gt;=Inputs!$B$174,AC$3&lt;=Inputs!$B$175),Inputs!$B$173*(1+inf)^AB$1,0)</f>
        <v>0</v>
      </c>
      <c r="AD15" s="7">
        <f>IF(AND(AD$3&gt;=Inputs!$B$174,AD$3&lt;=Inputs!$B$175),Inputs!$B$173*(1+inf)^AC$1,0)</f>
        <v>0</v>
      </c>
      <c r="AE15" s="7">
        <f>IF(AND(AE$3&gt;=Inputs!$B$174,AE$3&lt;=Inputs!$B$175),Inputs!$B$173*(1+inf)^AD$1,0)</f>
        <v>0</v>
      </c>
      <c r="AF15" s="7">
        <f>IF(AND(AF$3&gt;=Inputs!$B$174,AF$3&lt;=Inputs!$B$175),Inputs!$B$173*(1+inf)^AE$1,0)</f>
        <v>0</v>
      </c>
      <c r="AG15" s="7">
        <f>IF(AND(AG$3&gt;=Inputs!$B$174,AG$3&lt;=Inputs!$B$175),Inputs!$B$173*(1+inf)^AF$1,0)</f>
        <v>0</v>
      </c>
      <c r="AH15" s="7">
        <f>IF(AND(AH$3&gt;=Inputs!$B$174,AH$3&lt;=Inputs!$B$175),Inputs!$B$173*(1+inf)^AG$1,0)</f>
        <v>0</v>
      </c>
      <c r="AI15" s="7">
        <f>IF(AND(AI$3&gt;=Inputs!$B$174,AI$3&lt;=Inputs!$B$175),Inputs!$B$173*(1+inf)^AH$1,0)</f>
        <v>0</v>
      </c>
      <c r="AJ15" s="7">
        <f>IF(AND(AJ$3&gt;=Inputs!$B$174,AJ$3&lt;=Inputs!$B$175),Inputs!$B$173*(1+inf)^AI$1,0)</f>
        <v>0</v>
      </c>
      <c r="AK15" s="7">
        <f>IF(AND(AK$3&gt;=Inputs!$B$174,AK$3&lt;=Inputs!$B$175),Inputs!$B$173*(1+inf)^AJ$1,0)</f>
        <v>0</v>
      </c>
      <c r="AL15" s="7">
        <f>IF(AND(AL$3&gt;=Inputs!$B$174,AL$3&lt;=Inputs!$B$175),Inputs!$B$173*(1+inf)^AK$1,0)</f>
        <v>0</v>
      </c>
      <c r="AM15" s="7">
        <f>IF(AND(AM$3&gt;=Inputs!$B$174,AM$3&lt;=Inputs!$B$175),Inputs!$B$173*(1+inf)^AL$1,0)</f>
        <v>0</v>
      </c>
    </row>
    <row r="16" spans="1:39">
      <c r="A16" s="4" t="s">
        <v>139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>
      <c r="A17" s="3" t="str">
        <f>TEXT(Inputs!B132,"")</f>
        <v>Inheritance</v>
      </c>
      <c r="B17" s="8"/>
      <c r="C17" s="7">
        <f ca="1">IF(C$2=Inputs!$B134,Inputs!$B133,0)*(1+inf)^B$1</f>
        <v>0</v>
      </c>
      <c r="D17" s="7">
        <f ca="1">IF(D$2=Inputs!$B134,Inputs!$B133,0)*(1+inf)^C$1</f>
        <v>0</v>
      </c>
      <c r="E17" s="7">
        <f ca="1">IF(E$2=Inputs!$B134,Inputs!$B133,0)*(1+inf)^D$1</f>
        <v>0</v>
      </c>
      <c r="F17" s="7">
        <f ca="1">IF(F$2=Inputs!$B134,Inputs!$B133,0)*(1+inf)^E$1</f>
        <v>0</v>
      </c>
      <c r="G17" s="7">
        <f ca="1">IF(G$2=Inputs!$B134,Inputs!$B133,0)*(1+inf)^F$1</f>
        <v>0</v>
      </c>
      <c r="H17" s="7">
        <f ca="1">IF(H$2=Inputs!$B134,Inputs!$B133,0)*(1+inf)^G$1</f>
        <v>0</v>
      </c>
      <c r="I17" s="7">
        <f ca="1">IF(I$2=Inputs!$B134,Inputs!$B133,0)*(1+inf)^H$1</f>
        <v>0</v>
      </c>
      <c r="J17" s="7">
        <f ca="1">IF(J$2=Inputs!$B134,Inputs!$B133,0)*(1+inf)^I$1</f>
        <v>0</v>
      </c>
      <c r="K17" s="7">
        <f ca="1">IF(K$2=Inputs!$B134,Inputs!$B133,0)*(1+inf)^J$1</f>
        <v>60920.144875495884</v>
      </c>
      <c r="L17" s="7">
        <f ca="1">IF(L$2=Inputs!$B134,Inputs!$B133,0)*(1+inf)^K$1</f>
        <v>0</v>
      </c>
      <c r="M17" s="7">
        <f ca="1">IF(M$2=Inputs!$B134,Inputs!$B133,0)*(1+inf)^L$1</f>
        <v>0</v>
      </c>
      <c r="N17" s="7">
        <f ca="1">IF(N$2=Inputs!$B134,Inputs!$B133,0)*(1+inf)^M$1</f>
        <v>0</v>
      </c>
      <c r="O17" s="7">
        <f ca="1">IF(O$2=Inputs!$B134,Inputs!$B133,0)*(1+inf)^N$1</f>
        <v>0</v>
      </c>
      <c r="P17" s="7">
        <f ca="1">IF(P$2=Inputs!$B134,Inputs!$B133,0)*(1+inf)^O$1</f>
        <v>0</v>
      </c>
      <c r="Q17" s="7">
        <f ca="1">IF(Q$2=Inputs!$B134,Inputs!$B133,0)*(1+inf)^P$1</f>
        <v>0</v>
      </c>
      <c r="R17" s="7">
        <f ca="1">IF(R$2=Inputs!$B134,Inputs!$B133,0)*(1+inf)^Q$1</f>
        <v>0</v>
      </c>
      <c r="S17" s="7">
        <f ca="1">IF(S$2=Inputs!$B134,Inputs!$B133,0)*(1+inf)^R$1</f>
        <v>0</v>
      </c>
      <c r="T17" s="7">
        <f ca="1">IF(T$2=Inputs!$B134,Inputs!$B133,0)*(1+inf)^S$1</f>
        <v>0</v>
      </c>
      <c r="U17" s="7">
        <f ca="1">IF(U$2=Inputs!$B134,Inputs!$B133,0)*(1+inf)^T$1</f>
        <v>0</v>
      </c>
      <c r="V17" s="7">
        <f ca="1">IF(V$2=Inputs!$B134,Inputs!$B133,0)*(1+inf)^U$1</f>
        <v>0</v>
      </c>
      <c r="W17" s="7">
        <f ca="1">IF(W$2=Inputs!$B134,Inputs!$B133,0)*(1+inf)^V$1</f>
        <v>0</v>
      </c>
      <c r="X17" s="7">
        <f ca="1">IF(X$2=Inputs!$B134,Inputs!$B133,0)*(1+inf)^W$1</f>
        <v>0</v>
      </c>
      <c r="Y17" s="7">
        <f ca="1">IF(Y$2=Inputs!$B134,Inputs!$B133,0)*(1+inf)^X$1</f>
        <v>0</v>
      </c>
      <c r="Z17" s="7">
        <f ca="1">IF(Z$2=Inputs!$B134,Inputs!$B133,0)*(1+inf)^Y$1</f>
        <v>0</v>
      </c>
      <c r="AA17" s="7">
        <f ca="1">IF(AA$2=Inputs!$B134,Inputs!$B133,0)*(1+inf)^Z$1</f>
        <v>0</v>
      </c>
      <c r="AB17" s="7">
        <f ca="1">IF(AB$2=Inputs!$B134,Inputs!$B133,0)*(1+inf)^AA$1</f>
        <v>0</v>
      </c>
      <c r="AC17" s="7">
        <f ca="1">IF(AC$2=Inputs!$B134,Inputs!$B133,0)*(1+inf)^AB$1</f>
        <v>0</v>
      </c>
      <c r="AD17" s="7">
        <f ca="1">IF(AD$2=Inputs!$B134,Inputs!$B133,0)*(1+inf)^AC$1</f>
        <v>0</v>
      </c>
      <c r="AE17" s="7">
        <f ca="1">IF(AE$2=Inputs!$B134,Inputs!$B133,0)*(1+inf)^AD$1</f>
        <v>0</v>
      </c>
      <c r="AF17" s="7">
        <f ca="1">IF(AF$2=Inputs!$B134,Inputs!$B133,0)*(1+inf)^AE$1</f>
        <v>0</v>
      </c>
      <c r="AG17" s="7">
        <f ca="1">IF(AG$2=Inputs!$B134,Inputs!$B133,0)*(1+inf)^AF$1</f>
        <v>0</v>
      </c>
      <c r="AH17" s="7">
        <f ca="1">IF(AH$2=Inputs!$B134,Inputs!$B133,0)*(1+inf)^AG$1</f>
        <v>0</v>
      </c>
      <c r="AI17" s="7">
        <f ca="1">IF(AI$2=Inputs!$B134,Inputs!$B133,0)*(1+inf)^AH$1</f>
        <v>0</v>
      </c>
      <c r="AJ17" s="7">
        <f ca="1">IF(AJ$2=Inputs!$B134,Inputs!$B133,0)*(1+inf)^AI$1</f>
        <v>0</v>
      </c>
      <c r="AK17" s="7">
        <f ca="1">IF(AK$2=Inputs!$B134,Inputs!$B133,0)*(1+inf)^AJ$1</f>
        <v>0</v>
      </c>
      <c r="AL17" s="7">
        <f ca="1">IF(AL$2=Inputs!$B134,Inputs!$B133,0)*(1+inf)^AK$1</f>
        <v>0</v>
      </c>
      <c r="AM17" s="7">
        <f ca="1">IF(AM$2=Inputs!$B134,Inputs!$B133,0)*(1+inf)^AL$1</f>
        <v>0</v>
      </c>
    </row>
    <row r="18" spans="1:39">
      <c r="A18" s="3" t="str">
        <f>TEXT(Inputs!B137,"")</f>
        <v>Sell Painting</v>
      </c>
      <c r="B18" s="8"/>
      <c r="C18" s="7">
        <f ca="1">IF(C$2=Inputs!$B139,Inputs!$B138,0)*(1+inf)^B$1</f>
        <v>0</v>
      </c>
      <c r="D18" s="7">
        <f ca="1">IF(D$2=Inputs!$B139,Inputs!$B138,0)*(1+inf)^C$1</f>
        <v>0</v>
      </c>
      <c r="E18" s="7">
        <f ca="1">IF(E$2=Inputs!$B139,Inputs!$B138,0)*(1+inf)^D$1</f>
        <v>10506.25</v>
      </c>
      <c r="F18" s="7">
        <f ca="1">IF(F$2=Inputs!$B139,Inputs!$B138,0)*(1+inf)^E$1</f>
        <v>0</v>
      </c>
      <c r="G18" s="7">
        <f ca="1">IF(G$2=Inputs!$B139,Inputs!$B138,0)*(1+inf)^F$1</f>
        <v>0</v>
      </c>
      <c r="H18" s="7">
        <f ca="1">IF(H$2=Inputs!$B139,Inputs!$B138,0)*(1+inf)^G$1</f>
        <v>0</v>
      </c>
      <c r="I18" s="7">
        <f ca="1">IF(I$2=Inputs!$B139,Inputs!$B138,0)*(1+inf)^H$1</f>
        <v>0</v>
      </c>
      <c r="J18" s="7">
        <f ca="1">IF(J$2=Inputs!$B139,Inputs!$B138,0)*(1+inf)^I$1</f>
        <v>0</v>
      </c>
      <c r="K18" s="7">
        <f ca="1">IF(K$2=Inputs!$B139,Inputs!$B138,0)*(1+inf)^J$1</f>
        <v>0</v>
      </c>
      <c r="L18" s="7">
        <f ca="1">IF(L$2=Inputs!$B139,Inputs!$B138,0)*(1+inf)^K$1</f>
        <v>0</v>
      </c>
      <c r="M18" s="7">
        <f ca="1">IF(M$2=Inputs!$B139,Inputs!$B138,0)*(1+inf)^L$1</f>
        <v>0</v>
      </c>
      <c r="N18" s="7">
        <f ca="1">IF(N$2=Inputs!$B139,Inputs!$B138,0)*(1+inf)^M$1</f>
        <v>0</v>
      </c>
      <c r="O18" s="7">
        <f ca="1">IF(O$2=Inputs!$B139,Inputs!$B138,0)*(1+inf)^N$1</f>
        <v>0</v>
      </c>
      <c r="P18" s="7">
        <f ca="1">IF(P$2=Inputs!$B139,Inputs!$B138,0)*(1+inf)^O$1</f>
        <v>0</v>
      </c>
      <c r="Q18" s="7">
        <f ca="1">IF(Q$2=Inputs!$B139,Inputs!$B138,0)*(1+inf)^P$1</f>
        <v>0</v>
      </c>
      <c r="R18" s="7">
        <f ca="1">IF(R$2=Inputs!$B139,Inputs!$B138,0)*(1+inf)^Q$1</f>
        <v>0</v>
      </c>
      <c r="S18" s="7">
        <f ca="1">IF(S$2=Inputs!$B139,Inputs!$B138,0)*(1+inf)^R$1</f>
        <v>0</v>
      </c>
      <c r="T18" s="7">
        <f ca="1">IF(T$2=Inputs!$B139,Inputs!$B138,0)*(1+inf)^S$1</f>
        <v>0</v>
      </c>
      <c r="U18" s="7">
        <f ca="1">IF(U$2=Inputs!$B139,Inputs!$B138,0)*(1+inf)^T$1</f>
        <v>0</v>
      </c>
      <c r="V18" s="7">
        <f ca="1">IF(V$2=Inputs!$B139,Inputs!$B138,0)*(1+inf)^U$1</f>
        <v>0</v>
      </c>
      <c r="W18" s="7">
        <f ca="1">IF(W$2=Inputs!$B139,Inputs!$B138,0)*(1+inf)^V$1</f>
        <v>0</v>
      </c>
      <c r="X18" s="7">
        <f ca="1">IF(X$2=Inputs!$B139,Inputs!$B138,0)*(1+inf)^W$1</f>
        <v>0</v>
      </c>
      <c r="Y18" s="7">
        <f ca="1">IF(Y$2=Inputs!$B139,Inputs!$B138,0)*(1+inf)^X$1</f>
        <v>0</v>
      </c>
      <c r="Z18" s="7">
        <f ca="1">IF(Z$2=Inputs!$B139,Inputs!$B138,0)*(1+inf)^Y$1</f>
        <v>0</v>
      </c>
      <c r="AA18" s="7">
        <f ca="1">IF(AA$2=Inputs!$B139,Inputs!$B138,0)*(1+inf)^Z$1</f>
        <v>0</v>
      </c>
      <c r="AB18" s="7">
        <f ca="1">IF(AB$2=Inputs!$B139,Inputs!$B138,0)*(1+inf)^AA$1</f>
        <v>0</v>
      </c>
      <c r="AC18" s="7">
        <f ca="1">IF(AC$2=Inputs!$B139,Inputs!$B138,0)*(1+inf)^AB$1</f>
        <v>0</v>
      </c>
      <c r="AD18" s="7">
        <f ca="1">IF(AD$2=Inputs!$B139,Inputs!$B138,0)*(1+inf)^AC$1</f>
        <v>0</v>
      </c>
      <c r="AE18" s="7">
        <f ca="1">IF(AE$2=Inputs!$B139,Inputs!$B138,0)*(1+inf)^AD$1</f>
        <v>0</v>
      </c>
      <c r="AF18" s="7">
        <f ca="1">IF(AF$2=Inputs!$B139,Inputs!$B138,0)*(1+inf)^AE$1</f>
        <v>0</v>
      </c>
      <c r="AG18" s="7">
        <f ca="1">IF(AG$2=Inputs!$B139,Inputs!$B138,0)*(1+inf)^AF$1</f>
        <v>0</v>
      </c>
      <c r="AH18" s="7">
        <f ca="1">IF(AH$2=Inputs!$B139,Inputs!$B138,0)*(1+inf)^AG$1</f>
        <v>0</v>
      </c>
      <c r="AI18" s="7">
        <f ca="1">IF(AI$2=Inputs!$B139,Inputs!$B138,0)*(1+inf)^AH$1</f>
        <v>0</v>
      </c>
      <c r="AJ18" s="7">
        <f ca="1">IF(AJ$2=Inputs!$B139,Inputs!$B138,0)*(1+inf)^AI$1</f>
        <v>0</v>
      </c>
      <c r="AK18" s="7">
        <f ca="1">IF(AK$2=Inputs!$B139,Inputs!$B138,0)*(1+inf)^AJ$1</f>
        <v>0</v>
      </c>
      <c r="AL18" s="7">
        <f ca="1">IF(AL$2=Inputs!$B139,Inputs!$B138,0)*(1+inf)^AK$1</f>
        <v>0</v>
      </c>
      <c r="AM18" s="7">
        <f ca="1">IF(AM$2=Inputs!$B139,Inputs!$B138,0)*(1+inf)^AL$1</f>
        <v>0</v>
      </c>
    </row>
    <row r="19" spans="1:39">
      <c r="A19" s="3" t="str">
        <f>TEXT(Inputs!B142,"")</f>
        <v>Sell Jewels</v>
      </c>
      <c r="B19" s="8"/>
      <c r="C19" s="7">
        <f ca="1">IF(C$2=Inputs!$B144,Inputs!$B143,0)*(1+inf)^B$1</f>
        <v>0</v>
      </c>
      <c r="D19" s="7">
        <f ca="1">IF(D$2=Inputs!$B144,Inputs!$B143,0)*(1+inf)^C$1</f>
        <v>0</v>
      </c>
      <c r="E19" s="7">
        <f ca="1">IF(E$2=Inputs!$B144,Inputs!$B143,0)*(1+inf)^D$1</f>
        <v>0</v>
      </c>
      <c r="F19" s="7">
        <f ca="1">IF(F$2=Inputs!$B144,Inputs!$B143,0)*(1+inf)^E$1</f>
        <v>0</v>
      </c>
      <c r="G19" s="7">
        <f ca="1">IF(G$2=Inputs!$B144,Inputs!$B143,0)*(1+inf)^F$1</f>
        <v>0</v>
      </c>
      <c r="H19" s="7">
        <f ca="1">IF(H$2=Inputs!$B144,Inputs!$B143,0)*(1+inf)^G$1</f>
        <v>5657.041064453123</v>
      </c>
      <c r="I19" s="7">
        <f ca="1">IF(I$2=Inputs!$B144,Inputs!$B143,0)*(1+inf)^H$1</f>
        <v>0</v>
      </c>
      <c r="J19" s="7">
        <f ca="1">IF(J$2=Inputs!$B144,Inputs!$B143,0)*(1+inf)^I$1</f>
        <v>0</v>
      </c>
      <c r="K19" s="7">
        <f ca="1">IF(K$2=Inputs!$B144,Inputs!$B143,0)*(1+inf)^J$1</f>
        <v>0</v>
      </c>
      <c r="L19" s="7">
        <f ca="1">IF(L$2=Inputs!$B144,Inputs!$B143,0)*(1+inf)^K$1</f>
        <v>0</v>
      </c>
      <c r="M19" s="7">
        <f ca="1">IF(M$2=Inputs!$B144,Inputs!$B143,0)*(1+inf)^L$1</f>
        <v>0</v>
      </c>
      <c r="N19" s="7">
        <f ca="1">IF(N$2=Inputs!$B144,Inputs!$B143,0)*(1+inf)^M$1</f>
        <v>0</v>
      </c>
      <c r="O19" s="7">
        <f ca="1">IF(O$2=Inputs!$B144,Inputs!$B143,0)*(1+inf)^N$1</f>
        <v>0</v>
      </c>
      <c r="P19" s="7">
        <f ca="1">IF(P$2=Inputs!$B144,Inputs!$B143,0)*(1+inf)^O$1</f>
        <v>0</v>
      </c>
      <c r="Q19" s="7">
        <f ca="1">IF(Q$2=Inputs!$B144,Inputs!$B143,0)*(1+inf)^P$1</f>
        <v>0</v>
      </c>
      <c r="R19" s="7">
        <f ca="1">IF(R$2=Inputs!$B144,Inputs!$B143,0)*(1+inf)^Q$1</f>
        <v>0</v>
      </c>
      <c r="S19" s="7">
        <f ca="1">IF(S$2=Inputs!$B144,Inputs!$B143,0)*(1+inf)^R$1</f>
        <v>0</v>
      </c>
      <c r="T19" s="7">
        <f ca="1">IF(T$2=Inputs!$B144,Inputs!$B143,0)*(1+inf)^S$1</f>
        <v>0</v>
      </c>
      <c r="U19" s="7">
        <f ca="1">IF(U$2=Inputs!$B144,Inputs!$B143,0)*(1+inf)^T$1</f>
        <v>0</v>
      </c>
      <c r="V19" s="7">
        <f ca="1">IF(V$2=Inputs!$B144,Inputs!$B143,0)*(1+inf)^U$1</f>
        <v>0</v>
      </c>
      <c r="W19" s="7">
        <f ca="1">IF(W$2=Inputs!$B144,Inputs!$B143,0)*(1+inf)^V$1</f>
        <v>0</v>
      </c>
      <c r="X19" s="7">
        <f ca="1">IF(X$2=Inputs!$B144,Inputs!$B143,0)*(1+inf)^W$1</f>
        <v>0</v>
      </c>
      <c r="Y19" s="7">
        <f ca="1">IF(Y$2=Inputs!$B144,Inputs!$B143,0)*(1+inf)^X$1</f>
        <v>0</v>
      </c>
      <c r="Z19" s="7">
        <f ca="1">IF(Z$2=Inputs!$B144,Inputs!$B143,0)*(1+inf)^Y$1</f>
        <v>0</v>
      </c>
      <c r="AA19" s="7">
        <f ca="1">IF(AA$2=Inputs!$B144,Inputs!$B143,0)*(1+inf)^Z$1</f>
        <v>0</v>
      </c>
      <c r="AB19" s="7">
        <f ca="1">IF(AB$2=Inputs!$B144,Inputs!$B143,0)*(1+inf)^AA$1</f>
        <v>0</v>
      </c>
      <c r="AC19" s="7">
        <f ca="1">IF(AC$2=Inputs!$B144,Inputs!$B143,0)*(1+inf)^AB$1</f>
        <v>0</v>
      </c>
      <c r="AD19" s="7">
        <f ca="1">IF(AD$2=Inputs!$B144,Inputs!$B143,0)*(1+inf)^AC$1</f>
        <v>0</v>
      </c>
      <c r="AE19" s="7">
        <f ca="1">IF(AE$2=Inputs!$B144,Inputs!$B143,0)*(1+inf)^AD$1</f>
        <v>0</v>
      </c>
      <c r="AF19" s="7">
        <f ca="1">IF(AF$2=Inputs!$B144,Inputs!$B143,0)*(1+inf)^AE$1</f>
        <v>0</v>
      </c>
      <c r="AG19" s="7">
        <f ca="1">IF(AG$2=Inputs!$B144,Inputs!$B143,0)*(1+inf)^AF$1</f>
        <v>0</v>
      </c>
      <c r="AH19" s="7">
        <f ca="1">IF(AH$2=Inputs!$B144,Inputs!$B143,0)*(1+inf)^AG$1</f>
        <v>0</v>
      </c>
      <c r="AI19" s="7">
        <f ca="1">IF(AI$2=Inputs!$B144,Inputs!$B143,0)*(1+inf)^AH$1</f>
        <v>0</v>
      </c>
      <c r="AJ19" s="7">
        <f ca="1">IF(AJ$2=Inputs!$B144,Inputs!$B143,0)*(1+inf)^AI$1</f>
        <v>0</v>
      </c>
      <c r="AK19" s="7">
        <f ca="1">IF(AK$2=Inputs!$B144,Inputs!$B143,0)*(1+inf)^AJ$1</f>
        <v>0</v>
      </c>
      <c r="AL19" s="7">
        <f ca="1">IF(AL$2=Inputs!$B144,Inputs!$B143,0)*(1+inf)^AK$1</f>
        <v>0</v>
      </c>
      <c r="AM19" s="7">
        <f ca="1">IF(AM$2=Inputs!$B144,Inputs!$B143,0)*(1+inf)^AL$1</f>
        <v>0</v>
      </c>
    </row>
    <row r="20" spans="1:39">
      <c r="A20" s="4" t="s">
        <v>8</v>
      </c>
      <c r="C20" s="7">
        <f ca="1">MAX(AVERAGE(C57,C57+SUM(C5:C19)-C54)*Inputs!$B$181,0)</f>
        <v>1576.75</v>
      </c>
      <c r="D20" s="7">
        <f ca="1">MAX(AVERAGE(D57,D57+SUM(D5:D19)-D54)*Inputs!$B$181,0)</f>
        <v>2305.7437500000001</v>
      </c>
      <c r="E20" s="7">
        <f ca="1">MAX(AVERAGE(E57,E57+SUM(E5:E19)-E54)*Inputs!$B$181,0)</f>
        <v>2837.6404687500003</v>
      </c>
      <c r="F20" s="7">
        <f ca="1">MAX(AVERAGE(F57,F57+SUM(F5:F19)-F54)*Inputs!$B$181,0)</f>
        <v>3556.5905246630341</v>
      </c>
      <c r="G20" s="7">
        <f ca="1">MAX(AVERAGE(G57,G57+SUM(G5:G19)-G54)*Inputs!$B$181,0)</f>
        <v>4767.9293944856136</v>
      </c>
      <c r="H20" s="7">
        <f ca="1">MAX(AVERAGE(H57,H57+SUM(H5:H19)-H54)*Inputs!$B$181,0)</f>
        <v>6232.3532653069196</v>
      </c>
      <c r="I20" s="7">
        <f ca="1">MAX(AVERAGE(I57,I57+SUM(I5:I19)-I54)*Inputs!$B$181,0)</f>
        <v>8019.7337425361129</v>
      </c>
      <c r="J20" s="7">
        <f ca="1">MAX(AVERAGE(J57,J57+SUM(J5:J19)-J54)*Inputs!$B$181,0)</f>
        <v>9786.245856042613</v>
      </c>
      <c r="K20" s="7">
        <f ca="1">MAX(AVERAGE(K57,K57+SUM(K5:K19)-K54)*Inputs!$B$181,0)</f>
        <v>12447.785643311961</v>
      </c>
      <c r="L20" s="7">
        <f ca="1">MAX(AVERAGE(L57,L57+SUM(L5:L19)-L54)*Inputs!$B$181,0)</f>
        <v>15076.027119228609</v>
      </c>
      <c r="M20" s="7">
        <f ca="1">MAX(AVERAGE(M57,M57+SUM(M5:M19)-M54)*Inputs!$B$181,0)</f>
        <v>17319.94283857998</v>
      </c>
      <c r="N20" s="7">
        <f ca="1">MAX(AVERAGE(N57,N57+SUM(N5:N19)-N54)*Inputs!$B$181,0)</f>
        <v>20341.01688063754</v>
      </c>
      <c r="O20" s="7">
        <f ca="1">MAX(AVERAGE(O57,O57+SUM(O5:O19)-O54)*Inputs!$B$181,0)</f>
        <v>23523.036551485326</v>
      </c>
      <c r="P20" s="7">
        <f ca="1">MAX(AVERAGE(P57,P57+SUM(P5:P19)-P54)*Inputs!$B$181,0)</f>
        <v>26872.782468015404</v>
      </c>
      <c r="Q20" s="7">
        <f ca="1">MAX(AVERAGE(Q57,Q57+SUM(Q5:Q19)-Q54)*Inputs!$B$181,0)</f>
        <v>30397.292332148321</v>
      </c>
      <c r="R20" s="7">
        <f ca="1">MAX(AVERAGE(R57,R57+SUM(R5:R19)-R54)*Inputs!$B$181,0)</f>
        <v>34103.870106555012</v>
      </c>
      <c r="S20" s="7">
        <f ca="1">MAX(AVERAGE(S57,S57+SUM(S5:S19)-S54)*Inputs!$B$181,0)</f>
        <v>36692.2901903007</v>
      </c>
      <c r="T20" s="7">
        <f ca="1">MAX(AVERAGE(T57,T57+SUM(T5:T19)-T54)*Inputs!$B$181,0)</f>
        <v>38192.1052081702</v>
      </c>
      <c r="U20" s="7">
        <f ca="1">MAX(AVERAGE(U57,U57+SUM(U5:U19)-U54)*Inputs!$B$181,0)</f>
        <v>39847.528717760419</v>
      </c>
      <c r="V20" s="7">
        <f ca="1">MAX(AVERAGE(V57,V57+SUM(V5:V19)-V54)*Inputs!$B$181,0)</f>
        <v>41570.556096373839</v>
      </c>
      <c r="W20" s="7">
        <f ca="1">MAX(AVERAGE(W57,W57+SUM(W5:W19)-W54)*Inputs!$B$181,0)</f>
        <v>43363.793980547089</v>
      </c>
      <c r="X20" s="7">
        <f ca="1">MAX(AVERAGE(X57,X57+SUM(X5:X19)-X54)*Inputs!$B$181,0)</f>
        <v>44978.007641014214</v>
      </c>
      <c r="Y20" s="7">
        <f ca="1">MAX(AVERAGE(Y57,Y57+SUM(Y5:Y19)-Y54)*Inputs!$B$181,0)</f>
        <v>46403.402075632497</v>
      </c>
      <c r="Z20" s="7">
        <f ca="1">MAX(AVERAGE(Z57,Z57+SUM(Z5:Z19)-Z54)*Inputs!$B$181,0)</f>
        <v>47881.75000946816</v>
      </c>
      <c r="AA20" s="7">
        <f ca="1">MAX(AVERAGE(AA57,AA57+SUM(AA5:AA19)-AA54)*Inputs!$B$181,0)</f>
        <v>49415.102096928313</v>
      </c>
      <c r="AB20" s="7">
        <f ca="1">MAX(AVERAGE(AB57,AB57+SUM(AB5:AB19)-AB54)*Inputs!$B$181,0)</f>
        <v>51005.587244732415</v>
      </c>
      <c r="AC20" s="7">
        <f ca="1">MAX(AVERAGE(AC57,AC57+SUM(AC5:AC19)-AC54)*Inputs!$B$181,0)</f>
        <v>52655.415507334823</v>
      </c>
      <c r="AD20" s="7">
        <f ca="1">MAX(AVERAGE(AD57,AD57+SUM(AD5:AD19)-AD54)*Inputs!$B$181,0)</f>
        <v>54488.618587288358</v>
      </c>
      <c r="AE20" s="7">
        <f ca="1">MAX(AVERAGE(AE57,AE57+SUM(AE5:AE19)-AE54)*Inputs!$B$181,0)</f>
        <v>56513.664814649594</v>
      </c>
      <c r="AF20" s="7">
        <f ca="1">MAX(AVERAGE(AF57,AF57+SUM(AF5:AF19)-AF54)*Inputs!$B$181,0)</f>
        <v>58617.603747528992</v>
      </c>
      <c r="AG20" s="7">
        <f ca="1">MAX(AVERAGE(AG57,AG57+SUM(AG5:AG19)-AG54)*Inputs!$B$181,0)</f>
        <v>60803.465240733363</v>
      </c>
      <c r="AH20" s="7">
        <f ca="1">MAX(AVERAGE(AH57,AH57+SUM(AH5:AH19)-AH54)*Inputs!$B$181,0)</f>
        <v>63074.391860071599</v>
      </c>
      <c r="AI20" s="7">
        <f ca="1">MAX(AVERAGE(AI57,AI57+SUM(AI5:AI19)-AI54)*Inputs!$B$181,0)</f>
        <v>65433.642940031626</v>
      </c>
      <c r="AJ20" s="7">
        <f ca="1">MAX(AVERAGE(AJ57,AJ57+SUM(AJ5:AJ19)-AJ54)*Inputs!$B$181,0)</f>
        <v>67884.59878337034</v>
      </c>
      <c r="AK20" s="7">
        <f ca="1">MAX(AVERAGE(AK57,AK57+SUM(AK5:AK19)-AK54)*Inputs!$B$181,0)</f>
        <v>70430.765007460534</v>
      </c>
      <c r="AL20" s="7">
        <f ca="1">MAX(AVERAGE(AL57,AL57+SUM(AL5:AL19)-AL54)*Inputs!$B$181,0)</f>
        <v>73075.777042400325</v>
      </c>
      <c r="AM20" s="7">
        <f ca="1">MAX(AVERAGE(AM57,AM57+SUM(AM5:AM19)-AM54)*Inputs!$B$181,0)</f>
        <v>75823.404786058702</v>
      </c>
    </row>
    <row r="21" spans="1:39">
      <c r="C21" s="9">
        <f ca="1">SUM(C4:C20)</f>
        <v>125076.75</v>
      </c>
      <c r="D21" s="9">
        <f t="shared" ref="D21:AM21" ca="1" si="35">SUM(D4:D20)</f>
        <v>129500.74374999999</v>
      </c>
      <c r="E21" s="9">
        <f t="shared" ca="1" si="35"/>
        <v>144344.49046875001</v>
      </c>
      <c r="F21" s="9">
        <f t="shared" ca="1" si="35"/>
        <v>138476.70227466305</v>
      </c>
      <c r="G21" s="9">
        <f t="shared" ca="1" si="35"/>
        <v>143724.87559073561</v>
      </c>
      <c r="H21" s="9">
        <f t="shared" ca="1" si="35"/>
        <v>155004.01078299127</v>
      </c>
      <c r="I21" s="9">
        <f t="shared" ca="1" si="35"/>
        <v>155416.47460723537</v>
      </c>
      <c r="J21" s="9">
        <f t="shared" ca="1" si="35"/>
        <v>161593.29201250075</v>
      </c>
      <c r="K21" s="9">
        <f t="shared" ca="1" si="35"/>
        <v>229717.30120242311</v>
      </c>
      <c r="L21" s="9">
        <f t="shared" ca="1" si="35"/>
        <v>191090.05053374916</v>
      </c>
      <c r="M21" s="9">
        <f t="shared" ca="1" si="35"/>
        <v>195966.79745924703</v>
      </c>
      <c r="N21" s="9">
        <f t="shared" ca="1" si="35"/>
        <v>204270.47206727284</v>
      </c>
      <c r="O21" s="9">
        <f t="shared" ca="1" si="35"/>
        <v>212891.65019425162</v>
      </c>
      <c r="P21" s="9">
        <f t="shared" ca="1" si="35"/>
        <v>221841.76119060989</v>
      </c>
      <c r="Q21" s="9">
        <f t="shared" ca="1" si="35"/>
        <v>231132.62975372953</v>
      </c>
      <c r="R21" s="9">
        <f t="shared" ca="1" si="35"/>
        <v>240776.4892215252</v>
      </c>
      <c r="S21" s="9">
        <f t="shared" ca="1" si="35"/>
        <v>144853.76479139618</v>
      </c>
      <c r="T21" s="9">
        <f t="shared" ca="1" si="35"/>
        <v>149390.59326040605</v>
      </c>
      <c r="U21" s="9">
        <f t="shared" ca="1" si="35"/>
        <v>154168.94485499855</v>
      </c>
      <c r="V21" s="9">
        <f t="shared" ca="1" si="35"/>
        <v>159103.26249725022</v>
      </c>
      <c r="W21" s="9">
        <f t="shared" ca="1" si="35"/>
        <v>164198.67054745887</v>
      </c>
      <c r="X21" s="9">
        <f t="shared" ca="1" si="35"/>
        <v>149053.54198772085</v>
      </c>
      <c r="Y21" s="9">
        <f t="shared" ca="1" si="35"/>
        <v>153466.83590463651</v>
      </c>
      <c r="Z21" s="9">
        <f t="shared" ca="1" si="35"/>
        <v>158019.36114153592</v>
      </c>
      <c r="AA21" s="9">
        <f t="shared" ca="1" si="35"/>
        <v>162715.67270835652</v>
      </c>
      <c r="AB21" s="9">
        <f t="shared" ca="1" si="35"/>
        <v>167560.47689853684</v>
      </c>
      <c r="AC21" s="9">
        <f t="shared" ca="1" si="35"/>
        <v>172558.63632288761</v>
      </c>
      <c r="AD21" s="9">
        <f t="shared" ca="1" si="35"/>
        <v>177836.91261124532</v>
      </c>
      <c r="AE21" s="9">
        <f t="shared" ca="1" si="35"/>
        <v>183406.58365786128</v>
      </c>
      <c r="AF21" s="9">
        <f t="shared" ca="1" si="35"/>
        <v>189157.59055453649</v>
      </c>
      <c r="AG21" s="9">
        <f t="shared" ca="1" si="35"/>
        <v>195095.93906041299</v>
      </c>
      <c r="AH21" s="9">
        <f t="shared" ca="1" si="35"/>
        <v>201227.83448801507</v>
      </c>
      <c r="AI21" s="9">
        <f t="shared" ca="1" si="35"/>
        <v>207559.68830532869</v>
      </c>
      <c r="AJ21" s="9">
        <f t="shared" ca="1" si="35"/>
        <v>214098.12495460449</v>
      </c>
      <c r="AK21" s="9">
        <f t="shared" ca="1" si="35"/>
        <v>220849.98889493436</v>
      </c>
      <c r="AL21" s="9">
        <f t="shared" ca="1" si="35"/>
        <v>227822.35187587852</v>
      </c>
      <c r="AM21" s="9">
        <f t="shared" ca="1" si="35"/>
        <v>235022.52044965597</v>
      </c>
    </row>
    <row r="22" spans="1:39" ht="19">
      <c r="A22" s="12" t="s">
        <v>18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</row>
    <row r="23" spans="1:39">
      <c r="A23" s="4" t="s">
        <v>71</v>
      </c>
      <c r="C23" s="7">
        <f>Inputs!B97</f>
        <v>1000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</row>
    <row r="24" spans="1:39">
      <c r="A24" s="4" t="s">
        <v>13</v>
      </c>
      <c r="C24" s="7">
        <f>MAX(IF(C$1*12&lt;=Inputs!$G$15,12,(Inputs!$G$15-B$1*12)),0)*Inputs!$B$17</f>
        <v>9600</v>
      </c>
      <c r="D24" s="7">
        <f>MAX(IF(D$1*12&lt;=Inputs!$G$15,12,(Inputs!$G$15-C$1*12)),0)*Inputs!$B$17</f>
        <v>9600</v>
      </c>
      <c r="E24" s="7">
        <f>MAX(IF(E$1*12&lt;=Inputs!$G$15,12,(Inputs!$G$15-D$1*12)),0)*Inputs!$B$17</f>
        <v>9600</v>
      </c>
      <c r="F24" s="7">
        <f>MAX(IF(F$1*12&lt;=Inputs!$G$15,12,(Inputs!$G$15-E$1*12)),0)*Inputs!$B$17</f>
        <v>9600</v>
      </c>
      <c r="G24" s="7">
        <f>MAX(IF(G$1*12&lt;=Inputs!$G$15,12,(Inputs!$G$15-F$1*12)),0)*Inputs!$B$17</f>
        <v>9600</v>
      </c>
      <c r="H24" s="7">
        <f>MAX(IF(H$1*12&lt;=Inputs!$G$15,12,(Inputs!$G$15-G$1*12)),0)*Inputs!$B$17</f>
        <v>6435.6231080800517</v>
      </c>
      <c r="I24" s="7">
        <f>MAX(IF(I$1*12&lt;=Inputs!$G$15,12,(Inputs!$G$15-H$1*12)),0)*Inputs!$B$17</f>
        <v>0</v>
      </c>
      <c r="J24" s="7">
        <f>MAX(IF(J$1*12&lt;=Inputs!$G$15,12,(Inputs!$G$15-I$1*12)),0)*Inputs!$B$17</f>
        <v>0</v>
      </c>
      <c r="K24" s="7">
        <f>MAX(IF(K$1*12&lt;=Inputs!$G$15,12,(Inputs!$G$15-J$1*12)),0)*Inputs!$B$17</f>
        <v>0</v>
      </c>
      <c r="L24" s="7">
        <f>MAX(IF(L$1*12&lt;=Inputs!$G$15,12,(Inputs!$G$15-K$1*12)),0)*Inputs!$B$17</f>
        <v>0</v>
      </c>
      <c r="M24" s="7">
        <f>MAX(IF(M$1*12&lt;=Inputs!$G$15,12,(Inputs!$G$15-L$1*12)),0)*Inputs!$B$17</f>
        <v>0</v>
      </c>
      <c r="N24" s="7">
        <f>MAX(IF(N$1*12&lt;=Inputs!$G$15,12,(Inputs!$G$15-M$1*12)),0)*Inputs!$B$17</f>
        <v>0</v>
      </c>
      <c r="O24" s="7">
        <f>MAX(IF(O$1*12&lt;=Inputs!$G$15,12,(Inputs!$G$15-N$1*12)),0)*Inputs!$B$17</f>
        <v>0</v>
      </c>
      <c r="P24" s="7">
        <f>MAX(IF(P$1*12&lt;=Inputs!$G$15,12,(Inputs!$G$15-O$1*12)),0)*Inputs!$B$17</f>
        <v>0</v>
      </c>
      <c r="Q24" s="7">
        <f>MAX(IF(Q$1*12&lt;=Inputs!$G$15,12,(Inputs!$G$15-P$1*12)),0)*Inputs!$B$17</f>
        <v>0</v>
      </c>
      <c r="R24" s="7">
        <f>MAX(IF(R$1*12&lt;=Inputs!$G$15,12,(Inputs!$G$15-Q$1*12)),0)*Inputs!$B$17</f>
        <v>0</v>
      </c>
      <c r="S24" s="7">
        <f>MAX(IF(S$1*12&lt;=Inputs!$G$15,12,(Inputs!$G$15-R$1*12)),0)*Inputs!$B$17</f>
        <v>0</v>
      </c>
      <c r="T24" s="7">
        <f>MAX(IF(T$1*12&lt;=Inputs!$G$15,12,(Inputs!$G$15-S$1*12)),0)*Inputs!$B$17</f>
        <v>0</v>
      </c>
      <c r="U24" s="7">
        <f>MAX(IF(U$1*12&lt;=Inputs!$G$15,12,(Inputs!$G$15-T$1*12)),0)*Inputs!$B$17</f>
        <v>0</v>
      </c>
      <c r="V24" s="7">
        <f>MAX(IF(V$1*12&lt;=Inputs!$G$15,12,(Inputs!$G$15-U$1*12)),0)*Inputs!$B$17</f>
        <v>0</v>
      </c>
      <c r="W24" s="7">
        <f>MAX(IF(W$1*12&lt;=Inputs!$G$15,12,(Inputs!$G$15-V$1*12)),0)*Inputs!$B$17</f>
        <v>0</v>
      </c>
      <c r="X24" s="7">
        <f>MAX(IF(X$1*12&lt;=Inputs!$G$15,12,(Inputs!$G$15-W$1*12)),0)*Inputs!$B$17</f>
        <v>0</v>
      </c>
      <c r="Y24" s="7">
        <f>MAX(IF(Y$1*12&lt;=Inputs!$G$15,12,(Inputs!$G$15-X$1*12)),0)*Inputs!$B$17</f>
        <v>0</v>
      </c>
      <c r="Z24" s="7">
        <f>MAX(IF(Z$1*12&lt;=Inputs!$G$15,12,(Inputs!$G$15-Y$1*12)),0)*Inputs!$B$17</f>
        <v>0</v>
      </c>
      <c r="AA24" s="7">
        <f>MAX(IF(AA$1*12&lt;=Inputs!$G$15,12,(Inputs!$G$15-Z$1*12)),0)*Inputs!$B$17</f>
        <v>0</v>
      </c>
      <c r="AB24" s="7">
        <f>MAX(IF(AB$1*12&lt;=Inputs!$G$15,12,(Inputs!$G$15-AA$1*12)),0)*Inputs!$B$17</f>
        <v>0</v>
      </c>
      <c r="AC24" s="7">
        <f>MAX(IF(AC$1*12&lt;=Inputs!$G$15,12,(Inputs!$G$15-AB$1*12)),0)*Inputs!$B$17</f>
        <v>0</v>
      </c>
      <c r="AD24" s="7">
        <f>MAX(IF(AD$1*12&lt;=Inputs!$G$15,12,(Inputs!$G$15-AC$1*12)),0)*Inputs!$B$17</f>
        <v>0</v>
      </c>
      <c r="AE24" s="7">
        <f>MAX(IF(AE$1*12&lt;=Inputs!$G$15,12,(Inputs!$G$15-AD$1*12)),0)*Inputs!$B$17</f>
        <v>0</v>
      </c>
      <c r="AF24" s="7">
        <f>MAX(IF(AF$1*12&lt;=Inputs!$G$15,12,(Inputs!$G$15-AE$1*12)),0)*Inputs!$B$17</f>
        <v>0</v>
      </c>
      <c r="AG24" s="7">
        <f>MAX(IF(AG$1*12&lt;=Inputs!$G$15,12,(Inputs!$G$15-AF$1*12)),0)*Inputs!$B$17</f>
        <v>0</v>
      </c>
      <c r="AH24" s="7">
        <f>MAX(IF(AH$1*12&lt;=Inputs!$G$15,12,(Inputs!$G$15-AG$1*12)),0)*Inputs!$B$17</f>
        <v>0</v>
      </c>
      <c r="AI24" s="7">
        <f>MAX(IF(AI$1*12&lt;=Inputs!$G$15,12,(Inputs!$G$15-AH$1*12)),0)*Inputs!$B$17</f>
        <v>0</v>
      </c>
      <c r="AJ24" s="7">
        <f>MAX(IF(AJ$1*12&lt;=Inputs!$G$15,12,(Inputs!$G$15-AI$1*12)),0)*Inputs!$B$17</f>
        <v>0</v>
      </c>
      <c r="AK24" s="7">
        <f>MAX(IF(AK$1*12&lt;=Inputs!$G$15,12,(Inputs!$G$15-AJ$1*12)),0)*Inputs!$B$17</f>
        <v>0</v>
      </c>
      <c r="AL24" s="7">
        <f>MAX(IF(AL$1*12&lt;=Inputs!$G$15,12,(Inputs!$G$15-AK$1*12)),0)*Inputs!$B$17</f>
        <v>0</v>
      </c>
      <c r="AM24" s="7">
        <f>MAX(IF(AM$1*12&lt;=Inputs!$G$15,12,(Inputs!$G$15-AL$1*12)),0)*Inputs!$B$17</f>
        <v>0</v>
      </c>
    </row>
    <row r="25" spans="1:39">
      <c r="A25" s="4" t="s">
        <v>53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</row>
    <row r="26" spans="1:39">
      <c r="A26" s="3" t="str">
        <f>TEXT(Inputs!$B$60,"")</f>
        <v>Sliema</v>
      </c>
      <c r="C26" s="7">
        <f>MAX(IF(C$1*12&lt;=Inputs!$G$100,12,(Inputs!$G$100-B$1*12)),0)*Inputs!$B$102</f>
        <v>6000</v>
      </c>
      <c r="D26" s="7">
        <f>MAX(IF(D$1*12&lt;=Inputs!$G$100,12,(Inputs!$G$100-C$1*12)),0)*Inputs!$B$102</f>
        <v>6000</v>
      </c>
      <c r="E26" s="7">
        <f>MAX(IF(E$1*12&lt;=Inputs!$G$100,12,(Inputs!$G$100-D$1*12)),0)*Inputs!$B$102</f>
        <v>6000</v>
      </c>
      <c r="F26" s="7">
        <f>MAX(IF(F$1*12&lt;=Inputs!$G$100,12,(Inputs!$G$100-E$1*12)),0)*Inputs!$B$102</f>
        <v>6000</v>
      </c>
      <c r="G26" s="7">
        <f>MAX(IF(G$1*12&lt;=Inputs!$G$100,12,(Inputs!$G$100-F$1*12)),0)*Inputs!$B$102</f>
        <v>6000</v>
      </c>
      <c r="H26" s="7">
        <f>MAX(IF(H$1*12&lt;=Inputs!$G$100,12,(Inputs!$G$100-G$1*12)),0)*Inputs!$B$102</f>
        <v>6000</v>
      </c>
      <c r="I26" s="7">
        <f>MAX(IF(I$1*12&lt;=Inputs!$G$100,12,(Inputs!$G$100-H$1*12)),0)*Inputs!$B$102</f>
        <v>6000</v>
      </c>
      <c r="J26" s="7">
        <f>MAX(IF(J$1*12&lt;=Inputs!$G$100,12,(Inputs!$G$100-I$1*12)),0)*Inputs!$B$102</f>
        <v>6000</v>
      </c>
      <c r="K26" s="7">
        <f>MAX(IF(K$1*12&lt;=Inputs!$G$100,12,(Inputs!$G$100-J$1*12)),0)*Inputs!$B$102</f>
        <v>6000</v>
      </c>
      <c r="L26" s="7">
        <f>MAX(IF(L$1*12&lt;=Inputs!$G$100,12,(Inputs!$G$100-K$1*12)),0)*Inputs!$B$102</f>
        <v>3608.3050789871932</v>
      </c>
      <c r="M26" s="7">
        <f>MAX(IF(M$1*12&lt;=Inputs!$G$100,12,(Inputs!$G$100-L$1*12)),0)*Inputs!$B$102</f>
        <v>0</v>
      </c>
      <c r="N26" s="7">
        <f>MAX(IF(N$1*12&lt;=Inputs!$G$100,12,(Inputs!$G$100-M$1*12)),0)*Inputs!$B$102</f>
        <v>0</v>
      </c>
      <c r="O26" s="7">
        <f>MAX(IF(O$1*12&lt;=Inputs!$G$100,12,(Inputs!$G$100-N$1*12)),0)*Inputs!$B$102</f>
        <v>0</v>
      </c>
      <c r="P26" s="7">
        <f>MAX(IF(P$1*12&lt;=Inputs!$G$100,12,(Inputs!$G$100-O$1*12)),0)*Inputs!$B$102</f>
        <v>0</v>
      </c>
      <c r="Q26" s="7">
        <f>MAX(IF(Q$1*12&lt;=Inputs!$G$100,12,(Inputs!$G$100-P$1*12)),0)*Inputs!$B$102</f>
        <v>0</v>
      </c>
      <c r="R26" s="7">
        <f>MAX(IF(R$1*12&lt;=Inputs!$G$100,12,(Inputs!$G$100-Q$1*12)),0)*Inputs!$B$102</f>
        <v>0</v>
      </c>
      <c r="S26" s="7">
        <f>MAX(IF(S$1*12&lt;=Inputs!$G$100,12,(Inputs!$G$100-R$1*12)),0)*Inputs!$B$102</f>
        <v>0</v>
      </c>
      <c r="T26" s="7">
        <f>MAX(IF(T$1*12&lt;=Inputs!$G$100,12,(Inputs!$G$100-S$1*12)),0)*Inputs!$B$102</f>
        <v>0</v>
      </c>
      <c r="U26" s="7">
        <f>MAX(IF(U$1*12&lt;=Inputs!$G$100,12,(Inputs!$G$100-T$1*12)),0)*Inputs!$B$102</f>
        <v>0</v>
      </c>
      <c r="V26" s="7">
        <f>MAX(IF(V$1*12&lt;=Inputs!$G$100,12,(Inputs!$G$100-U$1*12)),0)*Inputs!$B$102</f>
        <v>0</v>
      </c>
      <c r="W26" s="7">
        <f>MAX(IF(W$1*12&lt;=Inputs!$G$100,12,(Inputs!$G$100-V$1*12)),0)*Inputs!$B$102</f>
        <v>0</v>
      </c>
      <c r="X26" s="7">
        <f>MAX(IF(X$1*12&lt;=Inputs!$G$100,12,(Inputs!$G$100-W$1*12)),0)*Inputs!$B$102</f>
        <v>0</v>
      </c>
      <c r="Y26" s="7">
        <f>MAX(IF(Y$1*12&lt;=Inputs!$G$100,12,(Inputs!$G$100-X$1*12)),0)*Inputs!$B$102</f>
        <v>0</v>
      </c>
      <c r="Z26" s="7">
        <f>MAX(IF(Z$1*12&lt;=Inputs!$G$100,12,(Inputs!$G$100-Y$1*12)),0)*Inputs!$B$102</f>
        <v>0</v>
      </c>
      <c r="AA26" s="7">
        <f>MAX(IF(AA$1*12&lt;=Inputs!$G$100,12,(Inputs!$G$100-Z$1*12)),0)*Inputs!$B$102</f>
        <v>0</v>
      </c>
      <c r="AB26" s="7">
        <f>MAX(IF(AB$1*12&lt;=Inputs!$G$100,12,(Inputs!$G$100-AA$1*12)),0)*Inputs!$B$102</f>
        <v>0</v>
      </c>
      <c r="AC26" s="7">
        <f>MAX(IF(AC$1*12&lt;=Inputs!$G$100,12,(Inputs!$G$100-AB$1*12)),0)*Inputs!$B$102</f>
        <v>0</v>
      </c>
      <c r="AD26" s="7">
        <f>MAX(IF(AD$1*12&lt;=Inputs!$G$100,12,(Inputs!$G$100-AC$1*12)),0)*Inputs!$B$102</f>
        <v>0</v>
      </c>
      <c r="AE26" s="7">
        <f>MAX(IF(AE$1*12&lt;=Inputs!$G$100,12,(Inputs!$G$100-AD$1*12)),0)*Inputs!$B$102</f>
        <v>0</v>
      </c>
      <c r="AF26" s="7">
        <f>MAX(IF(AF$1*12&lt;=Inputs!$G$100,12,(Inputs!$G$100-AE$1*12)),0)*Inputs!$B$102</f>
        <v>0</v>
      </c>
      <c r="AG26" s="7">
        <f>MAX(IF(AG$1*12&lt;=Inputs!$G$100,12,(Inputs!$G$100-AF$1*12)),0)*Inputs!$B$102</f>
        <v>0</v>
      </c>
      <c r="AH26" s="7">
        <f>MAX(IF(AH$1*12&lt;=Inputs!$G$100,12,(Inputs!$G$100-AG$1*12)),0)*Inputs!$B$102</f>
        <v>0</v>
      </c>
      <c r="AI26" s="7">
        <f>MAX(IF(AI$1*12&lt;=Inputs!$G$100,12,(Inputs!$G$100-AH$1*12)),0)*Inputs!$B$102</f>
        <v>0</v>
      </c>
      <c r="AJ26" s="7">
        <f>MAX(IF(AJ$1*12&lt;=Inputs!$G$100,12,(Inputs!$G$100-AI$1*12)),0)*Inputs!$B$102</f>
        <v>0</v>
      </c>
      <c r="AK26" s="7">
        <f>MAX(IF(AK$1*12&lt;=Inputs!$G$100,12,(Inputs!$G$100-AJ$1*12)),0)*Inputs!$B$102</f>
        <v>0</v>
      </c>
      <c r="AL26" s="7">
        <f>MAX(IF(AL$1*12&lt;=Inputs!$G$100,12,(Inputs!$G$100-AK$1*12)),0)*Inputs!$B$102</f>
        <v>0</v>
      </c>
      <c r="AM26" s="7">
        <f>MAX(IF(AM$1*12&lt;=Inputs!$G$100,12,(Inputs!$G$100-AL$1*12)),0)*Inputs!$B$102</f>
        <v>0</v>
      </c>
    </row>
    <row r="27" spans="1:39">
      <c r="A27" s="3" t="str">
        <f>TEXT(Inputs!$B$65,"")</f>
        <v>Gzira</v>
      </c>
      <c r="C27" s="7">
        <f>MAX(IF(C$1*12&lt;=Inputs!$G$105,12,(Inputs!$G$105-B$1*12)),0)*Inputs!$B$107</f>
        <v>2400</v>
      </c>
      <c r="D27" s="7">
        <f>MAX(IF(D$1*12&lt;=Inputs!$G$105,12,(Inputs!$G$105-C$1*12)),0)*Inputs!$B$107</f>
        <v>2400</v>
      </c>
      <c r="E27" s="7">
        <f>MAX(IF(E$1*12&lt;=Inputs!$G$105,12,(Inputs!$G$105-D$1*12)),0)*Inputs!$B$107</f>
        <v>2400</v>
      </c>
      <c r="F27" s="7">
        <f>MAX(IF(F$1*12&lt;=Inputs!$G$105,12,(Inputs!$G$105-E$1*12)),0)*Inputs!$B$107</f>
        <v>1623.4029019573059</v>
      </c>
      <c r="G27" s="7">
        <f>MAX(IF(G$1*12&lt;=Inputs!$G$105,12,(Inputs!$G$105-F$1*12)),0)*Inputs!$B$107</f>
        <v>0</v>
      </c>
      <c r="H27" s="7">
        <f>MAX(IF(H$1*12&lt;=Inputs!$G$105,12,(Inputs!$G$105-G$1*12)),0)*Inputs!$B$107</f>
        <v>0</v>
      </c>
      <c r="I27" s="7">
        <f>MAX(IF(I$1*12&lt;=Inputs!$G$105,12,(Inputs!$G$105-H$1*12)),0)*Inputs!$B$107</f>
        <v>0</v>
      </c>
      <c r="J27" s="7">
        <f>MAX(IF(J$1*12&lt;=Inputs!$G$105,12,(Inputs!$G$105-I$1*12)),0)*Inputs!$B$107</f>
        <v>0</v>
      </c>
      <c r="K27" s="7">
        <f>MAX(IF(K$1*12&lt;=Inputs!$G$105,12,(Inputs!$G$105-J$1*12)),0)*Inputs!$B$107</f>
        <v>0</v>
      </c>
      <c r="L27" s="7">
        <f>MAX(IF(L$1*12&lt;=Inputs!$G$105,12,(Inputs!$G$105-K$1*12)),0)*Inputs!$B$107</f>
        <v>0</v>
      </c>
      <c r="M27" s="7">
        <f>MAX(IF(M$1*12&lt;=Inputs!$G$105,12,(Inputs!$G$105-L$1*12)),0)*Inputs!$B$107</f>
        <v>0</v>
      </c>
      <c r="N27" s="7">
        <f>MAX(IF(N$1*12&lt;=Inputs!$G$105,12,(Inputs!$G$105-M$1*12)),0)*Inputs!$B$107</f>
        <v>0</v>
      </c>
      <c r="O27" s="7">
        <f>MAX(IF(O$1*12&lt;=Inputs!$G$105,12,(Inputs!$G$105-N$1*12)),0)*Inputs!$B$107</f>
        <v>0</v>
      </c>
      <c r="P27" s="7">
        <f>MAX(IF(P$1*12&lt;=Inputs!$G$105,12,(Inputs!$G$105-O$1*12)),0)*Inputs!$B$107</f>
        <v>0</v>
      </c>
      <c r="Q27" s="7">
        <f>MAX(IF(Q$1*12&lt;=Inputs!$G$105,12,(Inputs!$G$105-P$1*12)),0)*Inputs!$B$107</f>
        <v>0</v>
      </c>
      <c r="R27" s="7">
        <f>MAX(IF(R$1*12&lt;=Inputs!$G$105,12,(Inputs!$G$105-Q$1*12)),0)*Inputs!$B$107</f>
        <v>0</v>
      </c>
      <c r="S27" s="7">
        <f>MAX(IF(S$1*12&lt;=Inputs!$G$105,12,(Inputs!$G$105-R$1*12)),0)*Inputs!$B$107</f>
        <v>0</v>
      </c>
      <c r="T27" s="7">
        <f>MAX(IF(T$1*12&lt;=Inputs!$G$105,12,(Inputs!$G$105-S$1*12)),0)*Inputs!$B$107</f>
        <v>0</v>
      </c>
      <c r="U27" s="7">
        <f>MAX(IF(U$1*12&lt;=Inputs!$G$105,12,(Inputs!$G$105-T$1*12)),0)*Inputs!$B$107</f>
        <v>0</v>
      </c>
      <c r="V27" s="7">
        <f>MAX(IF(V$1*12&lt;=Inputs!$G$105,12,(Inputs!$G$105-U$1*12)),0)*Inputs!$B$107</f>
        <v>0</v>
      </c>
      <c r="W27" s="7">
        <f>MAX(IF(W$1*12&lt;=Inputs!$G$105,12,(Inputs!$G$105-V$1*12)),0)*Inputs!$B$107</f>
        <v>0</v>
      </c>
      <c r="X27" s="7">
        <f>MAX(IF(X$1*12&lt;=Inputs!$G$105,12,(Inputs!$G$105-W$1*12)),0)*Inputs!$B$107</f>
        <v>0</v>
      </c>
      <c r="Y27" s="7">
        <f>MAX(IF(Y$1*12&lt;=Inputs!$G$105,12,(Inputs!$G$105-X$1*12)),0)*Inputs!$B$107</f>
        <v>0</v>
      </c>
      <c r="Z27" s="7">
        <f>MAX(IF(Z$1*12&lt;=Inputs!$G$105,12,(Inputs!$G$105-Y$1*12)),0)*Inputs!$B$107</f>
        <v>0</v>
      </c>
      <c r="AA27" s="7">
        <f>MAX(IF(AA$1*12&lt;=Inputs!$G$105,12,(Inputs!$G$105-Z$1*12)),0)*Inputs!$B$107</f>
        <v>0</v>
      </c>
      <c r="AB27" s="7">
        <f>MAX(IF(AB$1*12&lt;=Inputs!$G$105,12,(Inputs!$G$105-AA$1*12)),0)*Inputs!$B$107</f>
        <v>0</v>
      </c>
      <c r="AC27" s="7">
        <f>MAX(IF(AC$1*12&lt;=Inputs!$G$105,12,(Inputs!$G$105-AB$1*12)),0)*Inputs!$B$107</f>
        <v>0</v>
      </c>
      <c r="AD27" s="7">
        <f>MAX(IF(AD$1*12&lt;=Inputs!$G$105,12,(Inputs!$G$105-AC$1*12)),0)*Inputs!$B$107</f>
        <v>0</v>
      </c>
      <c r="AE27" s="7">
        <f>MAX(IF(AE$1*12&lt;=Inputs!$G$105,12,(Inputs!$G$105-AD$1*12)),0)*Inputs!$B$107</f>
        <v>0</v>
      </c>
      <c r="AF27" s="7">
        <f>MAX(IF(AF$1*12&lt;=Inputs!$G$105,12,(Inputs!$G$105-AE$1*12)),0)*Inputs!$B$107</f>
        <v>0</v>
      </c>
      <c r="AG27" s="7">
        <f>MAX(IF(AG$1*12&lt;=Inputs!$G$105,12,(Inputs!$G$105-AF$1*12)),0)*Inputs!$B$107</f>
        <v>0</v>
      </c>
      <c r="AH27" s="7">
        <f>MAX(IF(AH$1*12&lt;=Inputs!$G$105,12,(Inputs!$G$105-AG$1*12)),0)*Inputs!$B$107</f>
        <v>0</v>
      </c>
      <c r="AI27" s="7">
        <f>MAX(IF(AI$1*12&lt;=Inputs!$G$105,12,(Inputs!$G$105-AH$1*12)),0)*Inputs!$B$107</f>
        <v>0</v>
      </c>
      <c r="AJ27" s="7">
        <f>MAX(IF(AJ$1*12&lt;=Inputs!$G$105,12,(Inputs!$G$105-AI$1*12)),0)*Inputs!$B$107</f>
        <v>0</v>
      </c>
      <c r="AK27" s="7">
        <f>MAX(IF(AK$1*12&lt;=Inputs!$G$105,12,(Inputs!$G$105-AJ$1*12)),0)*Inputs!$B$107</f>
        <v>0</v>
      </c>
      <c r="AL27" s="7">
        <f>MAX(IF(AL$1*12&lt;=Inputs!$G$105,12,(Inputs!$G$105-AK$1*12)),0)*Inputs!$B$107</f>
        <v>0</v>
      </c>
      <c r="AM27" s="7">
        <f>MAX(IF(AM$1*12&lt;=Inputs!$G$105,12,(Inputs!$G$105-AL$1*12)),0)*Inputs!$B$107</f>
        <v>0</v>
      </c>
    </row>
    <row r="28" spans="1:39">
      <c r="A28" s="3" t="str">
        <f>TEXT(Inputs!$B$70,"")</f>
        <v>Qormi</v>
      </c>
      <c r="C28" s="7">
        <f>MAX(IF(C$1*12&lt;=Inputs!$G$110,12,(Inputs!$G$110-B$1*12)),0)*Inputs!$B$112</f>
        <v>3000</v>
      </c>
      <c r="D28" s="7">
        <f>MAX(IF(D$1*12&lt;=Inputs!$G$110,12,(Inputs!$G$110-C$1*12)),0)*Inputs!$B$112</f>
        <v>3000</v>
      </c>
      <c r="E28" s="7">
        <f>MAX(IF(E$1*12&lt;=Inputs!$G$110,12,(Inputs!$G$110-D$1*12)),0)*Inputs!$B$112</f>
        <v>3000</v>
      </c>
      <c r="F28" s="7">
        <f>MAX(IF(F$1*12&lt;=Inputs!$G$110,12,(Inputs!$G$110-E$1*12)),0)*Inputs!$B$112</f>
        <v>3000</v>
      </c>
      <c r="G28" s="7">
        <f>MAX(IF(G$1*12&lt;=Inputs!$G$110,12,(Inputs!$G$110-F$1*12)),0)*Inputs!$B$112</f>
        <v>3000</v>
      </c>
      <c r="H28" s="7">
        <f>MAX(IF(H$1*12&lt;=Inputs!$G$110,12,(Inputs!$G$110-G$1*12)),0)*Inputs!$B$112</f>
        <v>2296.8596856502154</v>
      </c>
      <c r="I28" s="7">
        <f>MAX(IF(I$1*12&lt;=Inputs!$G$110,12,(Inputs!$G$110-H$1*12)),0)*Inputs!$B$112</f>
        <v>0</v>
      </c>
      <c r="J28" s="7">
        <f>MAX(IF(J$1*12&lt;=Inputs!$G$110,12,(Inputs!$G$110-I$1*12)),0)*Inputs!$B$112</f>
        <v>0</v>
      </c>
      <c r="K28" s="7">
        <f>MAX(IF(K$1*12&lt;=Inputs!$G$110,12,(Inputs!$G$110-J$1*12)),0)*Inputs!$B$112</f>
        <v>0</v>
      </c>
      <c r="L28" s="7">
        <f>MAX(IF(L$1*12&lt;=Inputs!$G$110,12,(Inputs!$G$110-K$1*12)),0)*Inputs!$B$112</f>
        <v>0</v>
      </c>
      <c r="M28" s="7">
        <f>MAX(IF(M$1*12&lt;=Inputs!$G$110,12,(Inputs!$G$110-L$1*12)),0)*Inputs!$B$112</f>
        <v>0</v>
      </c>
      <c r="N28" s="7">
        <f>MAX(IF(N$1*12&lt;=Inputs!$G$110,12,(Inputs!$G$110-M$1*12)),0)*Inputs!$B$112</f>
        <v>0</v>
      </c>
      <c r="O28" s="7">
        <f>MAX(IF(O$1*12&lt;=Inputs!$G$110,12,(Inputs!$G$110-N$1*12)),0)*Inputs!$B$112</f>
        <v>0</v>
      </c>
      <c r="P28" s="7">
        <f>MAX(IF(P$1*12&lt;=Inputs!$G$110,12,(Inputs!$G$110-O$1*12)),0)*Inputs!$B$112</f>
        <v>0</v>
      </c>
      <c r="Q28" s="7">
        <f>MAX(IF(Q$1*12&lt;=Inputs!$G$110,12,(Inputs!$G$110-P$1*12)),0)*Inputs!$B$112</f>
        <v>0</v>
      </c>
      <c r="R28" s="7">
        <f>MAX(IF(R$1*12&lt;=Inputs!$G$110,12,(Inputs!$G$110-Q$1*12)),0)*Inputs!$B$112</f>
        <v>0</v>
      </c>
      <c r="S28" s="7">
        <f>MAX(IF(S$1*12&lt;=Inputs!$G$110,12,(Inputs!$G$110-R$1*12)),0)*Inputs!$B$112</f>
        <v>0</v>
      </c>
      <c r="T28" s="7">
        <f>MAX(IF(T$1*12&lt;=Inputs!$G$110,12,(Inputs!$G$110-S$1*12)),0)*Inputs!$B$112</f>
        <v>0</v>
      </c>
      <c r="U28" s="7">
        <f>MAX(IF(U$1*12&lt;=Inputs!$G$110,12,(Inputs!$G$110-T$1*12)),0)*Inputs!$B$112</f>
        <v>0</v>
      </c>
      <c r="V28" s="7">
        <f>MAX(IF(V$1*12&lt;=Inputs!$G$110,12,(Inputs!$G$110-U$1*12)),0)*Inputs!$B$112</f>
        <v>0</v>
      </c>
      <c r="W28" s="7">
        <f>MAX(IF(W$1*12&lt;=Inputs!$G$110,12,(Inputs!$G$110-V$1*12)),0)*Inputs!$B$112</f>
        <v>0</v>
      </c>
      <c r="X28" s="7">
        <f>MAX(IF(X$1*12&lt;=Inputs!$G$110,12,(Inputs!$G$110-W$1*12)),0)*Inputs!$B$112</f>
        <v>0</v>
      </c>
      <c r="Y28" s="7">
        <f>MAX(IF(Y$1*12&lt;=Inputs!$G$110,12,(Inputs!$G$110-X$1*12)),0)*Inputs!$B$112</f>
        <v>0</v>
      </c>
      <c r="Z28" s="7">
        <f>MAX(IF(Z$1*12&lt;=Inputs!$G$110,12,(Inputs!$G$110-Y$1*12)),0)*Inputs!$B$112</f>
        <v>0</v>
      </c>
      <c r="AA28" s="7">
        <f>MAX(IF(AA$1*12&lt;=Inputs!$G$110,12,(Inputs!$G$110-Z$1*12)),0)*Inputs!$B$112</f>
        <v>0</v>
      </c>
      <c r="AB28" s="7">
        <f>MAX(IF(AB$1*12&lt;=Inputs!$G$110,12,(Inputs!$G$110-AA$1*12)),0)*Inputs!$B$112</f>
        <v>0</v>
      </c>
      <c r="AC28" s="7">
        <f>MAX(IF(AC$1*12&lt;=Inputs!$G$110,12,(Inputs!$G$110-AB$1*12)),0)*Inputs!$B$112</f>
        <v>0</v>
      </c>
      <c r="AD28" s="7">
        <f>MAX(IF(AD$1*12&lt;=Inputs!$G$110,12,(Inputs!$G$110-AC$1*12)),0)*Inputs!$B$112</f>
        <v>0</v>
      </c>
      <c r="AE28" s="7">
        <f>MAX(IF(AE$1*12&lt;=Inputs!$G$110,12,(Inputs!$G$110-AD$1*12)),0)*Inputs!$B$112</f>
        <v>0</v>
      </c>
      <c r="AF28" s="7">
        <f>MAX(IF(AF$1*12&lt;=Inputs!$G$110,12,(Inputs!$G$110-AE$1*12)),0)*Inputs!$B$112</f>
        <v>0</v>
      </c>
      <c r="AG28" s="7">
        <f>MAX(IF(AG$1*12&lt;=Inputs!$G$110,12,(Inputs!$G$110-AF$1*12)),0)*Inputs!$B$112</f>
        <v>0</v>
      </c>
      <c r="AH28" s="7">
        <f>MAX(IF(AH$1*12&lt;=Inputs!$G$110,12,(Inputs!$G$110-AG$1*12)),0)*Inputs!$B$112</f>
        <v>0</v>
      </c>
      <c r="AI28" s="7">
        <f>MAX(IF(AI$1*12&lt;=Inputs!$G$110,12,(Inputs!$G$110-AH$1*12)),0)*Inputs!$B$112</f>
        <v>0</v>
      </c>
      <c r="AJ28" s="7">
        <f>MAX(IF(AJ$1*12&lt;=Inputs!$G$110,12,(Inputs!$G$110-AI$1*12)),0)*Inputs!$B$112</f>
        <v>0</v>
      </c>
      <c r="AK28" s="7">
        <f>MAX(IF(AK$1*12&lt;=Inputs!$G$110,12,(Inputs!$G$110-AJ$1*12)),0)*Inputs!$B$112</f>
        <v>0</v>
      </c>
      <c r="AL28" s="7">
        <f>MAX(IF(AL$1*12&lt;=Inputs!$G$110,12,(Inputs!$G$110-AK$1*12)),0)*Inputs!$B$112</f>
        <v>0</v>
      </c>
      <c r="AM28" s="7">
        <f>MAX(IF(AM$1*12&lt;=Inputs!$G$110,12,(Inputs!$G$110-AL$1*12)),0)*Inputs!$B$112</f>
        <v>0</v>
      </c>
    </row>
    <row r="29" spans="1:39">
      <c r="A29" s="3" t="str">
        <f>TEXT(Inputs!$B$75,"")</f>
        <v>Gudja</v>
      </c>
      <c r="C29" s="7">
        <f>MAX(IF(C$1*12&lt;=Inputs!$G$115,12,(Inputs!$G$115-B$1*12)),0)*Inputs!$B$117</f>
        <v>960</v>
      </c>
      <c r="D29" s="7">
        <f>MAX(IF(D$1*12&lt;=Inputs!$G$115,12,(Inputs!$G$115-C$1*12)),0)*Inputs!$B$117</f>
        <v>960</v>
      </c>
      <c r="E29" s="7">
        <f>MAX(IF(E$1*12&lt;=Inputs!$G$115,12,(Inputs!$G$115-D$1*12)),0)*Inputs!$B$117</f>
        <v>960</v>
      </c>
      <c r="F29" s="7">
        <f>MAX(IF(F$1*12&lt;=Inputs!$G$115,12,(Inputs!$G$115-E$1*12)),0)*Inputs!$B$117</f>
        <v>960</v>
      </c>
      <c r="G29" s="7">
        <f>MAX(IF(G$1*12&lt;=Inputs!$G$115,12,(Inputs!$G$115-F$1*12)),0)*Inputs!$B$117</f>
        <v>960</v>
      </c>
      <c r="H29" s="7">
        <f>MAX(IF(H$1*12&lt;=Inputs!$G$115,12,(Inputs!$G$115-G$1*12)),0)*Inputs!$B$117</f>
        <v>128.25858585362369</v>
      </c>
      <c r="I29" s="7">
        <f>MAX(IF(I$1*12&lt;=Inputs!$G$115,12,(Inputs!$G$115-H$1*12)),0)*Inputs!$B$117</f>
        <v>0</v>
      </c>
      <c r="J29" s="7">
        <f>MAX(IF(J$1*12&lt;=Inputs!$G$115,12,(Inputs!$G$115-I$1*12)),0)*Inputs!$B$117</f>
        <v>0</v>
      </c>
      <c r="K29" s="7">
        <f>MAX(IF(K$1*12&lt;=Inputs!$G$115,12,(Inputs!$G$115-J$1*12)),0)*Inputs!$B$117</f>
        <v>0</v>
      </c>
      <c r="L29" s="7">
        <f>MAX(IF(L$1*12&lt;=Inputs!$G$115,12,(Inputs!$G$115-K$1*12)),0)*Inputs!$B$117</f>
        <v>0</v>
      </c>
      <c r="M29" s="7">
        <f>MAX(IF(M$1*12&lt;=Inputs!$G$115,12,(Inputs!$G$115-L$1*12)),0)*Inputs!$B$117</f>
        <v>0</v>
      </c>
      <c r="N29" s="7">
        <f>MAX(IF(N$1*12&lt;=Inputs!$G$115,12,(Inputs!$G$115-M$1*12)),0)*Inputs!$B$117</f>
        <v>0</v>
      </c>
      <c r="O29" s="7">
        <f>MAX(IF(O$1*12&lt;=Inputs!$G$115,12,(Inputs!$G$115-N$1*12)),0)*Inputs!$B$117</f>
        <v>0</v>
      </c>
      <c r="P29" s="7">
        <f>MAX(IF(P$1*12&lt;=Inputs!$G$115,12,(Inputs!$G$115-O$1*12)),0)*Inputs!$B$117</f>
        <v>0</v>
      </c>
      <c r="Q29" s="7">
        <f>MAX(IF(Q$1*12&lt;=Inputs!$G$115,12,(Inputs!$G$115-P$1*12)),0)*Inputs!$B$117</f>
        <v>0</v>
      </c>
      <c r="R29" s="7">
        <f>MAX(IF(R$1*12&lt;=Inputs!$G$115,12,(Inputs!$G$115-Q$1*12)),0)*Inputs!$B$117</f>
        <v>0</v>
      </c>
      <c r="S29" s="7">
        <f>MAX(IF(S$1*12&lt;=Inputs!$G$115,12,(Inputs!$G$115-R$1*12)),0)*Inputs!$B$117</f>
        <v>0</v>
      </c>
      <c r="T29" s="7">
        <f>MAX(IF(T$1*12&lt;=Inputs!$G$115,12,(Inputs!$G$115-S$1*12)),0)*Inputs!$B$117</f>
        <v>0</v>
      </c>
      <c r="U29" s="7">
        <f>MAX(IF(U$1*12&lt;=Inputs!$G$115,12,(Inputs!$G$115-T$1*12)),0)*Inputs!$B$117</f>
        <v>0</v>
      </c>
      <c r="V29" s="7">
        <f>MAX(IF(V$1*12&lt;=Inputs!$G$115,12,(Inputs!$G$115-U$1*12)),0)*Inputs!$B$117</f>
        <v>0</v>
      </c>
      <c r="W29" s="7">
        <f>MAX(IF(W$1*12&lt;=Inputs!$G$115,12,(Inputs!$G$115-V$1*12)),0)*Inputs!$B$117</f>
        <v>0</v>
      </c>
      <c r="X29" s="7">
        <f>MAX(IF(X$1*12&lt;=Inputs!$G$115,12,(Inputs!$G$115-W$1*12)),0)*Inputs!$B$117</f>
        <v>0</v>
      </c>
      <c r="Y29" s="7">
        <f>MAX(IF(Y$1*12&lt;=Inputs!$G$115,12,(Inputs!$G$115-X$1*12)),0)*Inputs!$B$117</f>
        <v>0</v>
      </c>
      <c r="Z29" s="7">
        <f>MAX(IF(Z$1*12&lt;=Inputs!$G$115,12,(Inputs!$G$115-Y$1*12)),0)*Inputs!$B$117</f>
        <v>0</v>
      </c>
      <c r="AA29" s="7">
        <f>MAX(IF(AA$1*12&lt;=Inputs!$G$115,12,(Inputs!$G$115-Z$1*12)),0)*Inputs!$B$117</f>
        <v>0</v>
      </c>
      <c r="AB29" s="7">
        <f>MAX(IF(AB$1*12&lt;=Inputs!$G$115,12,(Inputs!$G$115-AA$1*12)),0)*Inputs!$B$117</f>
        <v>0</v>
      </c>
      <c r="AC29" s="7">
        <f>MAX(IF(AC$1*12&lt;=Inputs!$G$115,12,(Inputs!$G$115-AB$1*12)),0)*Inputs!$B$117</f>
        <v>0</v>
      </c>
      <c r="AD29" s="7">
        <f>MAX(IF(AD$1*12&lt;=Inputs!$G$115,12,(Inputs!$G$115-AC$1*12)),0)*Inputs!$B$117</f>
        <v>0</v>
      </c>
      <c r="AE29" s="7">
        <f>MAX(IF(AE$1*12&lt;=Inputs!$G$115,12,(Inputs!$G$115-AD$1*12)),0)*Inputs!$B$117</f>
        <v>0</v>
      </c>
      <c r="AF29" s="7">
        <f>MAX(IF(AF$1*12&lt;=Inputs!$G$115,12,(Inputs!$G$115-AE$1*12)),0)*Inputs!$B$117</f>
        <v>0</v>
      </c>
      <c r="AG29" s="7">
        <f>MAX(IF(AG$1*12&lt;=Inputs!$G$115,12,(Inputs!$G$115-AF$1*12)),0)*Inputs!$B$117</f>
        <v>0</v>
      </c>
      <c r="AH29" s="7">
        <f>MAX(IF(AH$1*12&lt;=Inputs!$G$115,12,(Inputs!$G$115-AG$1*12)),0)*Inputs!$B$117</f>
        <v>0</v>
      </c>
      <c r="AI29" s="7">
        <f>MAX(IF(AI$1*12&lt;=Inputs!$G$115,12,(Inputs!$G$115-AH$1*12)),0)*Inputs!$B$117</f>
        <v>0</v>
      </c>
      <c r="AJ29" s="7">
        <f>MAX(IF(AJ$1*12&lt;=Inputs!$G$115,12,(Inputs!$G$115-AI$1*12)),0)*Inputs!$B$117</f>
        <v>0</v>
      </c>
      <c r="AK29" s="7">
        <f>MAX(IF(AK$1*12&lt;=Inputs!$G$115,12,(Inputs!$G$115-AJ$1*12)),0)*Inputs!$B$117</f>
        <v>0</v>
      </c>
      <c r="AL29" s="7">
        <f>MAX(IF(AL$1*12&lt;=Inputs!$G$115,12,(Inputs!$G$115-AK$1*12)),0)*Inputs!$B$117</f>
        <v>0</v>
      </c>
      <c r="AM29" s="7">
        <f>MAX(IF(AM$1*12&lt;=Inputs!$G$115,12,(Inputs!$G$115-AL$1*12)),0)*Inputs!$B$117</f>
        <v>0</v>
      </c>
    </row>
    <row r="30" spans="1:39">
      <c r="A30" s="3" t="str">
        <f>TEXT(Inputs!$B$80,"")</f>
        <v>Marsa</v>
      </c>
      <c r="C30" s="7">
        <f>MAX(IF(C$1*12&lt;=Inputs!$G$120,12,(Inputs!$G$120-B$1*12)),0)*Inputs!$B$122</f>
        <v>1440</v>
      </c>
      <c r="D30" s="7">
        <f>MAX(IF(D$1*12&lt;=Inputs!$G$120,12,(Inputs!$G$120-C$1*12)),0)*Inputs!$B$122</f>
        <v>1440</v>
      </c>
      <c r="E30" s="7">
        <f>MAX(IF(E$1*12&lt;=Inputs!$G$120,12,(Inputs!$G$120-D$1*12)),0)*Inputs!$B$122</f>
        <v>1440</v>
      </c>
      <c r="F30" s="7">
        <f>MAX(IF(F$1*12&lt;=Inputs!$G$120,12,(Inputs!$G$120-E$1*12)),0)*Inputs!$B$122</f>
        <v>1440</v>
      </c>
      <c r="G30" s="7">
        <f>MAX(IF(G$1*12&lt;=Inputs!$G$120,12,(Inputs!$G$120-F$1*12)),0)*Inputs!$B$122</f>
        <v>1440</v>
      </c>
      <c r="H30" s="7">
        <f>MAX(IF(H$1*12&lt;=Inputs!$G$120,12,(Inputs!$G$120-G$1*12)),0)*Inputs!$B$122</f>
        <v>1440</v>
      </c>
      <c r="I30" s="7">
        <f>MAX(IF(I$1*12&lt;=Inputs!$G$120,12,(Inputs!$G$120-H$1*12)),0)*Inputs!$B$122</f>
        <v>1440</v>
      </c>
      <c r="J30" s="7">
        <f>MAX(IF(J$1*12&lt;=Inputs!$G$120,12,(Inputs!$G$120-I$1*12)),0)*Inputs!$B$122</f>
        <v>549.24880782033654</v>
      </c>
      <c r="K30" s="7">
        <f>MAX(IF(K$1*12&lt;=Inputs!$G$120,12,(Inputs!$G$120-J$1*12)),0)*Inputs!$B$122</f>
        <v>0</v>
      </c>
      <c r="L30" s="7">
        <f>MAX(IF(L$1*12&lt;=Inputs!$G$120,12,(Inputs!$G$120-K$1*12)),0)*Inputs!$B$122</f>
        <v>0</v>
      </c>
      <c r="M30" s="7">
        <f>MAX(IF(M$1*12&lt;=Inputs!$G$120,12,(Inputs!$G$120-L$1*12)),0)*Inputs!$B$122</f>
        <v>0</v>
      </c>
      <c r="N30" s="7">
        <f>MAX(IF(N$1*12&lt;=Inputs!$G$120,12,(Inputs!$G$120-M$1*12)),0)*Inputs!$B$122</f>
        <v>0</v>
      </c>
      <c r="O30" s="7">
        <f>MAX(IF(O$1*12&lt;=Inputs!$G$120,12,(Inputs!$G$120-N$1*12)),0)*Inputs!$B$122</f>
        <v>0</v>
      </c>
      <c r="P30" s="7">
        <f>MAX(IF(P$1*12&lt;=Inputs!$G$120,12,(Inputs!$G$120-O$1*12)),0)*Inputs!$B$122</f>
        <v>0</v>
      </c>
      <c r="Q30" s="7">
        <f>MAX(IF(Q$1*12&lt;=Inputs!$G$120,12,(Inputs!$G$120-P$1*12)),0)*Inputs!$B$122</f>
        <v>0</v>
      </c>
      <c r="R30" s="7">
        <f>MAX(IF(R$1*12&lt;=Inputs!$G$120,12,(Inputs!$G$120-Q$1*12)),0)*Inputs!$B$122</f>
        <v>0</v>
      </c>
      <c r="S30" s="7">
        <f>MAX(IF(S$1*12&lt;=Inputs!$G$120,12,(Inputs!$G$120-R$1*12)),0)*Inputs!$B$122</f>
        <v>0</v>
      </c>
      <c r="T30" s="7">
        <f>MAX(IF(T$1*12&lt;=Inputs!$G$120,12,(Inputs!$G$120-S$1*12)),0)*Inputs!$B$122</f>
        <v>0</v>
      </c>
      <c r="U30" s="7">
        <f>MAX(IF(U$1*12&lt;=Inputs!$G$120,12,(Inputs!$G$120-T$1*12)),0)*Inputs!$B$122</f>
        <v>0</v>
      </c>
      <c r="V30" s="7">
        <f>MAX(IF(V$1*12&lt;=Inputs!$G$120,12,(Inputs!$G$120-U$1*12)),0)*Inputs!$B$122</f>
        <v>0</v>
      </c>
      <c r="W30" s="7">
        <f>MAX(IF(W$1*12&lt;=Inputs!$G$120,12,(Inputs!$G$120-V$1*12)),0)*Inputs!$B$122</f>
        <v>0</v>
      </c>
      <c r="X30" s="7">
        <f>MAX(IF(X$1*12&lt;=Inputs!$G$120,12,(Inputs!$G$120-W$1*12)),0)*Inputs!$B$122</f>
        <v>0</v>
      </c>
      <c r="Y30" s="7">
        <f>MAX(IF(Y$1*12&lt;=Inputs!$G$120,12,(Inputs!$G$120-X$1*12)),0)*Inputs!$B$122</f>
        <v>0</v>
      </c>
      <c r="Z30" s="7">
        <f>MAX(IF(Z$1*12&lt;=Inputs!$G$120,12,(Inputs!$G$120-Y$1*12)),0)*Inputs!$B$122</f>
        <v>0</v>
      </c>
      <c r="AA30" s="7">
        <f>MAX(IF(AA$1*12&lt;=Inputs!$G$120,12,(Inputs!$G$120-Z$1*12)),0)*Inputs!$B$122</f>
        <v>0</v>
      </c>
      <c r="AB30" s="7">
        <f>MAX(IF(AB$1*12&lt;=Inputs!$G$120,12,(Inputs!$G$120-AA$1*12)),0)*Inputs!$B$122</f>
        <v>0</v>
      </c>
      <c r="AC30" s="7">
        <f>MAX(IF(AC$1*12&lt;=Inputs!$G$120,12,(Inputs!$G$120-AB$1*12)),0)*Inputs!$B$122</f>
        <v>0</v>
      </c>
      <c r="AD30" s="7">
        <f>MAX(IF(AD$1*12&lt;=Inputs!$G$120,12,(Inputs!$G$120-AC$1*12)),0)*Inputs!$B$122</f>
        <v>0</v>
      </c>
      <c r="AE30" s="7">
        <f>MAX(IF(AE$1*12&lt;=Inputs!$G$120,12,(Inputs!$G$120-AD$1*12)),0)*Inputs!$B$122</f>
        <v>0</v>
      </c>
      <c r="AF30" s="7">
        <f>MAX(IF(AF$1*12&lt;=Inputs!$G$120,12,(Inputs!$G$120-AE$1*12)),0)*Inputs!$B$122</f>
        <v>0</v>
      </c>
      <c r="AG30" s="7">
        <f>MAX(IF(AG$1*12&lt;=Inputs!$G$120,12,(Inputs!$G$120-AF$1*12)),0)*Inputs!$B$122</f>
        <v>0</v>
      </c>
      <c r="AH30" s="7">
        <f>MAX(IF(AH$1*12&lt;=Inputs!$G$120,12,(Inputs!$G$120-AG$1*12)),0)*Inputs!$B$122</f>
        <v>0</v>
      </c>
      <c r="AI30" s="7">
        <f>MAX(IF(AI$1*12&lt;=Inputs!$G$120,12,(Inputs!$G$120-AH$1*12)),0)*Inputs!$B$122</f>
        <v>0</v>
      </c>
      <c r="AJ30" s="7">
        <f>MAX(IF(AJ$1*12&lt;=Inputs!$G$120,12,(Inputs!$G$120-AI$1*12)),0)*Inputs!$B$122</f>
        <v>0</v>
      </c>
      <c r="AK30" s="7">
        <f>MAX(IF(AK$1*12&lt;=Inputs!$G$120,12,(Inputs!$G$120-AJ$1*12)),0)*Inputs!$B$122</f>
        <v>0</v>
      </c>
      <c r="AL30" s="7">
        <f>MAX(IF(AL$1*12&lt;=Inputs!$G$120,12,(Inputs!$G$120-AK$1*12)),0)*Inputs!$B$122</f>
        <v>0</v>
      </c>
      <c r="AM30" s="7">
        <f>MAX(IF(AM$1*12&lt;=Inputs!$G$120,12,(Inputs!$G$120-AL$1*12)),0)*Inputs!$B$122</f>
        <v>0</v>
      </c>
    </row>
    <row r="31" spans="1:39">
      <c r="A31" s="4" t="s">
        <v>35</v>
      </c>
      <c r="C31" s="7">
        <f>MAX(IF(C$1*12&lt;=Inputs!$G$125,12,(Inputs!$G$125-B$1*12)),0)*Inputs!$B$127</f>
        <v>600</v>
      </c>
      <c r="D31" s="7">
        <f>MAX(IF(D$1*12&lt;=Inputs!$G$125,12,(Inputs!$G$125-C$1*12)),0)*Inputs!$B$127</f>
        <v>600</v>
      </c>
      <c r="E31" s="7">
        <f>MAX(IF(E$1*12&lt;=Inputs!$G$125,12,(Inputs!$G$125-D$1*12)),0)*Inputs!$B$127</f>
        <v>600</v>
      </c>
      <c r="F31" s="7">
        <f>MAX(IF(F$1*12&lt;=Inputs!$G$125,12,(Inputs!$G$125-E$1*12)),0)*Inputs!$B$127</f>
        <v>600</v>
      </c>
      <c r="G31" s="7">
        <f>MAX(IF(G$1*12&lt;=Inputs!$G$125,12,(Inputs!$G$125-F$1*12)),0)*Inputs!$B$127</f>
        <v>600</v>
      </c>
      <c r="H31" s="7">
        <f>MAX(IF(H$1*12&lt;=Inputs!$G$125,12,(Inputs!$G$125-G$1*12)),0)*Inputs!$B$127</f>
        <v>600</v>
      </c>
      <c r="I31" s="7">
        <f>MAX(IF(I$1*12&lt;=Inputs!$G$125,12,(Inputs!$G$125-H$1*12)),0)*Inputs!$B$127</f>
        <v>600</v>
      </c>
      <c r="J31" s="7">
        <f>MAX(IF(J$1*12&lt;=Inputs!$G$125,12,(Inputs!$G$125-I$1*12)),0)*Inputs!$B$127</f>
        <v>600</v>
      </c>
      <c r="K31" s="7">
        <f>MAX(IF(K$1*12&lt;=Inputs!$G$125,12,(Inputs!$G$125-J$1*12)),0)*Inputs!$B$127</f>
        <v>321.016262575219</v>
      </c>
      <c r="L31" s="7">
        <f>MAX(IF(L$1*12&lt;=Inputs!$G$125,12,(Inputs!$G$125-K$1*12)),0)*Inputs!$B$127</f>
        <v>0</v>
      </c>
      <c r="M31" s="7">
        <f>MAX(IF(M$1*12&lt;=Inputs!$G$125,12,(Inputs!$G$125-L$1*12)),0)*Inputs!$B$127</f>
        <v>0</v>
      </c>
      <c r="N31" s="7">
        <f>MAX(IF(N$1*12&lt;=Inputs!$G$125,12,(Inputs!$G$125-M$1*12)),0)*Inputs!$B$127</f>
        <v>0</v>
      </c>
      <c r="O31" s="7">
        <f>MAX(IF(O$1*12&lt;=Inputs!$G$125,12,(Inputs!$G$125-N$1*12)),0)*Inputs!$B$127</f>
        <v>0</v>
      </c>
      <c r="P31" s="7">
        <f>MAX(IF(P$1*12&lt;=Inputs!$G$125,12,(Inputs!$G$125-O$1*12)),0)*Inputs!$B$127</f>
        <v>0</v>
      </c>
      <c r="Q31" s="7">
        <f>MAX(IF(Q$1*12&lt;=Inputs!$G$125,12,(Inputs!$G$125-P$1*12)),0)*Inputs!$B$127</f>
        <v>0</v>
      </c>
      <c r="R31" s="7">
        <f>MAX(IF(R$1*12&lt;=Inputs!$G$125,12,(Inputs!$G$125-Q$1*12)),0)*Inputs!$B$127</f>
        <v>0</v>
      </c>
      <c r="S31" s="7">
        <f>MAX(IF(S$1*12&lt;=Inputs!$G$125,12,(Inputs!$G$125-R$1*12)),0)*Inputs!$B$127</f>
        <v>0</v>
      </c>
      <c r="T31" s="7">
        <f>MAX(IF(T$1*12&lt;=Inputs!$G$125,12,(Inputs!$G$125-S$1*12)),0)*Inputs!$B$127</f>
        <v>0</v>
      </c>
      <c r="U31" s="7">
        <f>MAX(IF(U$1*12&lt;=Inputs!$G$125,12,(Inputs!$G$125-T$1*12)),0)*Inputs!$B$127</f>
        <v>0</v>
      </c>
      <c r="V31" s="7">
        <f>MAX(IF(V$1*12&lt;=Inputs!$G$125,12,(Inputs!$G$125-U$1*12)),0)*Inputs!$B$127</f>
        <v>0</v>
      </c>
      <c r="W31" s="7">
        <f>MAX(IF(W$1*12&lt;=Inputs!$G$125,12,(Inputs!$G$125-V$1*12)),0)*Inputs!$B$127</f>
        <v>0</v>
      </c>
      <c r="X31" s="7">
        <f>MAX(IF(X$1*12&lt;=Inputs!$G$125,12,(Inputs!$G$125-W$1*12)),0)*Inputs!$B$127</f>
        <v>0</v>
      </c>
      <c r="Y31" s="7">
        <f>MAX(IF(Y$1*12&lt;=Inputs!$G$125,12,(Inputs!$G$125-X$1*12)),0)*Inputs!$B$127</f>
        <v>0</v>
      </c>
      <c r="Z31" s="7">
        <f>MAX(IF(Z$1*12&lt;=Inputs!$G$125,12,(Inputs!$G$125-Y$1*12)),0)*Inputs!$B$127</f>
        <v>0</v>
      </c>
      <c r="AA31" s="7">
        <f>MAX(IF(AA$1*12&lt;=Inputs!$G$125,12,(Inputs!$G$125-Z$1*12)),0)*Inputs!$B$127</f>
        <v>0</v>
      </c>
      <c r="AB31" s="7">
        <f>MAX(IF(AB$1*12&lt;=Inputs!$G$125,12,(Inputs!$G$125-AA$1*12)),0)*Inputs!$B$127</f>
        <v>0</v>
      </c>
      <c r="AC31" s="7">
        <f>MAX(IF(AC$1*12&lt;=Inputs!$G$125,12,(Inputs!$G$125-AB$1*12)),0)*Inputs!$B$127</f>
        <v>0</v>
      </c>
      <c r="AD31" s="7">
        <f>MAX(IF(AD$1*12&lt;=Inputs!$G$125,12,(Inputs!$G$125-AC$1*12)),0)*Inputs!$B$127</f>
        <v>0</v>
      </c>
      <c r="AE31" s="7">
        <f>MAX(IF(AE$1*12&lt;=Inputs!$G$125,12,(Inputs!$G$125-AD$1*12)),0)*Inputs!$B$127</f>
        <v>0</v>
      </c>
      <c r="AF31" s="7">
        <f>MAX(IF(AF$1*12&lt;=Inputs!$G$125,12,(Inputs!$G$125-AE$1*12)),0)*Inputs!$B$127</f>
        <v>0</v>
      </c>
      <c r="AG31" s="7">
        <f>MAX(IF(AG$1*12&lt;=Inputs!$G$125,12,(Inputs!$G$125-AF$1*12)),0)*Inputs!$B$127</f>
        <v>0</v>
      </c>
      <c r="AH31" s="7">
        <f>MAX(IF(AH$1*12&lt;=Inputs!$G$125,12,(Inputs!$G$125-AG$1*12)),0)*Inputs!$B$127</f>
        <v>0</v>
      </c>
      <c r="AI31" s="7">
        <f>MAX(IF(AI$1*12&lt;=Inputs!$G$125,12,(Inputs!$G$125-AH$1*12)),0)*Inputs!$B$127</f>
        <v>0</v>
      </c>
      <c r="AJ31" s="7">
        <f>MAX(IF(AJ$1*12&lt;=Inputs!$G$125,12,(Inputs!$G$125-AI$1*12)),0)*Inputs!$B$127</f>
        <v>0</v>
      </c>
      <c r="AK31" s="7">
        <f>MAX(IF(AK$1*12&lt;=Inputs!$G$125,12,(Inputs!$G$125-AJ$1*12)),0)*Inputs!$B$127</f>
        <v>0</v>
      </c>
      <c r="AL31" s="7">
        <f>MAX(IF(AL$1*12&lt;=Inputs!$G$125,12,(Inputs!$G$125-AK$1*12)),0)*Inputs!$B$127</f>
        <v>0</v>
      </c>
      <c r="AM31" s="7">
        <f>MAX(IF(AM$1*12&lt;=Inputs!$G$125,12,(Inputs!$G$125-AL$1*12)),0)*Inputs!$B$127</f>
        <v>0</v>
      </c>
    </row>
    <row r="32" spans="1:39">
      <c r="A32" s="4" t="s">
        <v>54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</row>
    <row r="33" spans="1:39">
      <c r="A33" s="3" t="str">
        <f>TEXT(Inputs!B33,"")</f>
        <v>John</v>
      </c>
      <c r="B33" s="8"/>
      <c r="C33" s="7">
        <f>IF(Inputs!$B$35&gt;=C$1,Inputs!$B$34,0)*(1+inf)^B$1</f>
        <v>2000</v>
      </c>
      <c r="D33" s="7">
        <f>IF(Inputs!$B$35&gt;=D$1,Inputs!$B$34,0)*(1+inf)^C$1</f>
        <v>2050</v>
      </c>
      <c r="E33" s="7">
        <f>IF(Inputs!$B$35&gt;=E$1,Inputs!$B$34,0)*(1+inf)^D$1</f>
        <v>2101.25</v>
      </c>
      <c r="F33" s="7">
        <f>IF(Inputs!$B$35&gt;=F$1,Inputs!$B$34,0)*(1+inf)^E$1</f>
        <v>0</v>
      </c>
      <c r="G33" s="7">
        <f>IF(Inputs!$B$35&gt;=G$1,Inputs!$B$34,0)*(1+inf)^F$1</f>
        <v>0</v>
      </c>
      <c r="H33" s="7">
        <f>IF(Inputs!$B$35&gt;=H$1,Inputs!$B$34,0)*(1+inf)^G$1</f>
        <v>0</v>
      </c>
      <c r="I33" s="7">
        <f>IF(Inputs!$B$35&gt;=I$1,Inputs!$B$34,0)*(1+inf)^H$1</f>
        <v>0</v>
      </c>
      <c r="J33" s="7">
        <f>IF(Inputs!$B$35&gt;=J$1,Inputs!$B$34,0)*(1+inf)^I$1</f>
        <v>0</v>
      </c>
      <c r="K33" s="7">
        <f>IF(Inputs!$B$35&gt;=K$1,Inputs!$B$34,0)*(1+inf)^J$1</f>
        <v>0</v>
      </c>
      <c r="L33" s="7">
        <f>IF(Inputs!$B$35&gt;=L$1,Inputs!$B$34,0)*(1+inf)^K$1</f>
        <v>0</v>
      </c>
      <c r="M33" s="7">
        <f>IF(Inputs!$B$35&gt;=M$1,Inputs!$B$34,0)*(1+inf)^L$1</f>
        <v>0</v>
      </c>
      <c r="N33" s="7">
        <f>IF(Inputs!$B$35&gt;=N$1,Inputs!$B$34,0)*(1+inf)^M$1</f>
        <v>0</v>
      </c>
      <c r="O33" s="7">
        <f>IF(Inputs!$B$35&gt;=O$1,Inputs!$B$34,0)*(1+inf)^N$1</f>
        <v>0</v>
      </c>
      <c r="P33" s="7">
        <f>IF(Inputs!$B$35&gt;=P$1,Inputs!$B$34,0)*(1+inf)^O$1</f>
        <v>0</v>
      </c>
      <c r="Q33" s="7">
        <f>IF(Inputs!$B$35&gt;=Q$1,Inputs!$B$34,0)*(1+inf)^P$1</f>
        <v>0</v>
      </c>
      <c r="R33" s="7">
        <f>IF(Inputs!$B$35&gt;=R$1,Inputs!$B$34,0)*(1+inf)^Q$1</f>
        <v>0</v>
      </c>
      <c r="S33" s="7">
        <f>IF(Inputs!$B$35&gt;=S$1,Inputs!$B$34,0)*(1+inf)^R$1</f>
        <v>0</v>
      </c>
      <c r="T33" s="7">
        <f>IF(Inputs!$B$35&gt;=T$1,Inputs!$B$34,0)*(1+inf)^S$1</f>
        <v>0</v>
      </c>
      <c r="U33" s="7">
        <f>IF(Inputs!$B$35&gt;=U$1,Inputs!$B$34,0)*(1+inf)^T$1</f>
        <v>0</v>
      </c>
      <c r="V33" s="7">
        <f>IF(Inputs!$B$35&gt;=V$1,Inputs!$B$34,0)*(1+inf)^U$1</f>
        <v>0</v>
      </c>
      <c r="W33" s="7">
        <f>IF(Inputs!$B$35&gt;=W$1,Inputs!$B$34,0)*(1+inf)^V$1</f>
        <v>0</v>
      </c>
      <c r="X33" s="7">
        <f>IF(Inputs!$B$35&gt;=X$1,Inputs!$B$34,0)*(1+inf)^W$1</f>
        <v>0</v>
      </c>
      <c r="Y33" s="7">
        <f>IF(Inputs!$B$35&gt;=Y$1,Inputs!$B$34,0)*(1+inf)^X$1</f>
        <v>0</v>
      </c>
      <c r="Z33" s="7">
        <f>IF(Inputs!$B$35&gt;=Z$1,Inputs!$B$34,0)*(1+inf)^Y$1</f>
        <v>0</v>
      </c>
      <c r="AA33" s="7">
        <f>IF(Inputs!$B$35&gt;=AA$1,Inputs!$B$34,0)*(1+inf)^Z$1</f>
        <v>0</v>
      </c>
      <c r="AB33" s="7">
        <f>IF(Inputs!$B$35&gt;=AB$1,Inputs!$B$34,0)*(1+inf)^AA$1</f>
        <v>0</v>
      </c>
      <c r="AC33" s="7">
        <f>IF(Inputs!$B$35&gt;=AC$1,Inputs!$B$34,0)*(1+inf)^AB$1</f>
        <v>0</v>
      </c>
      <c r="AD33" s="7">
        <f>IF(Inputs!$B$35&gt;=AD$1,Inputs!$B$34,0)*(1+inf)^AC$1</f>
        <v>0</v>
      </c>
      <c r="AE33" s="7">
        <f>IF(Inputs!$B$35&gt;=AE$1,Inputs!$B$34,0)*(1+inf)^AD$1</f>
        <v>0</v>
      </c>
      <c r="AF33" s="7">
        <f>IF(Inputs!$B$35&gt;=AF$1,Inputs!$B$34,0)*(1+inf)^AE$1</f>
        <v>0</v>
      </c>
      <c r="AG33" s="7">
        <f>IF(Inputs!$B$35&gt;=AG$1,Inputs!$B$34,0)*(1+inf)^AF$1</f>
        <v>0</v>
      </c>
      <c r="AH33" s="7">
        <f>IF(Inputs!$B$35&gt;=AH$1,Inputs!$B$34,0)*(1+inf)^AG$1</f>
        <v>0</v>
      </c>
      <c r="AI33" s="7">
        <f>IF(Inputs!$B$35&gt;=AI$1,Inputs!$B$34,0)*(1+inf)^AH$1</f>
        <v>0</v>
      </c>
      <c r="AJ33" s="7">
        <f>IF(Inputs!$B$35&gt;=AJ$1,Inputs!$B$34,0)*(1+inf)^AI$1</f>
        <v>0</v>
      </c>
      <c r="AK33" s="7">
        <f>IF(Inputs!$B$35&gt;=AK$1,Inputs!$B$34,0)*(1+inf)^AJ$1</f>
        <v>0</v>
      </c>
      <c r="AL33" s="7">
        <f>IF(Inputs!$B$35&gt;=AL$1,Inputs!$B$34,0)*(1+inf)^AK$1</f>
        <v>0</v>
      </c>
      <c r="AM33" s="7">
        <f>IF(Inputs!$B$35&gt;=AM$1,Inputs!$B$34,0)*(1+inf)^AL$1</f>
        <v>0</v>
      </c>
    </row>
    <row r="34" spans="1:39">
      <c r="A34" s="3" t="str">
        <f>TEXT(Inputs!B38,"")</f>
        <v>Jack</v>
      </c>
      <c r="B34" s="8"/>
      <c r="C34" s="7">
        <f>IF(Inputs!$B$40&gt;=C$1,Inputs!$B$39,0)*(1+inf)^B$1</f>
        <v>1000</v>
      </c>
      <c r="D34" s="7">
        <f>IF(Inputs!$B$40&gt;=D$1,Inputs!$B$39,0)*(1+inf)^C$1</f>
        <v>1025</v>
      </c>
      <c r="E34" s="7">
        <f>IF(Inputs!$B$40&gt;=E$1,Inputs!$B$39,0)*(1+inf)^D$1</f>
        <v>1050.625</v>
      </c>
      <c r="F34" s="7">
        <f>IF(Inputs!$B$40&gt;=F$1,Inputs!$B$39,0)*(1+inf)^E$1</f>
        <v>1076.8906249999998</v>
      </c>
      <c r="G34" s="7">
        <f>IF(Inputs!$B$40&gt;=G$1,Inputs!$B$39,0)*(1+inf)^F$1</f>
        <v>1103.8128906249997</v>
      </c>
      <c r="H34" s="7">
        <f>IF(Inputs!$B$40&gt;=H$1,Inputs!$B$39,0)*(1+inf)^G$1</f>
        <v>0</v>
      </c>
      <c r="I34" s="7">
        <f>IF(Inputs!$B$40&gt;=I$1,Inputs!$B$39,0)*(1+inf)^H$1</f>
        <v>0</v>
      </c>
      <c r="J34" s="7">
        <f>IF(Inputs!$B$40&gt;=J$1,Inputs!$B$39,0)*(1+inf)^I$1</f>
        <v>0</v>
      </c>
      <c r="K34" s="7">
        <f>IF(Inputs!$B$40&gt;=K$1,Inputs!$B$39,0)*(1+inf)^J$1</f>
        <v>0</v>
      </c>
      <c r="L34" s="7">
        <f>IF(Inputs!$B$40&gt;=L$1,Inputs!$B$39,0)*(1+inf)^K$1</f>
        <v>0</v>
      </c>
      <c r="M34" s="7">
        <f>IF(Inputs!$B$40&gt;=M$1,Inputs!$B$39,0)*(1+inf)^L$1</f>
        <v>0</v>
      </c>
      <c r="N34" s="7">
        <f>IF(Inputs!$B$40&gt;=N$1,Inputs!$B$39,0)*(1+inf)^M$1</f>
        <v>0</v>
      </c>
      <c r="O34" s="7">
        <f>IF(Inputs!$B$40&gt;=O$1,Inputs!$B$39,0)*(1+inf)^N$1</f>
        <v>0</v>
      </c>
      <c r="P34" s="7">
        <f>IF(Inputs!$B$40&gt;=P$1,Inputs!$B$39,0)*(1+inf)^O$1</f>
        <v>0</v>
      </c>
      <c r="Q34" s="7">
        <f>IF(Inputs!$B$40&gt;=Q$1,Inputs!$B$39,0)*(1+inf)^P$1</f>
        <v>0</v>
      </c>
      <c r="R34" s="7">
        <f>IF(Inputs!$B$40&gt;=R$1,Inputs!$B$39,0)*(1+inf)^Q$1</f>
        <v>0</v>
      </c>
      <c r="S34" s="7">
        <f>IF(Inputs!$B$40&gt;=S$1,Inputs!$B$39,0)*(1+inf)^R$1</f>
        <v>0</v>
      </c>
      <c r="T34" s="7">
        <f>IF(Inputs!$B$40&gt;=T$1,Inputs!$B$39,0)*(1+inf)^S$1</f>
        <v>0</v>
      </c>
      <c r="U34" s="7">
        <f>IF(Inputs!$B$40&gt;=U$1,Inputs!$B$39,0)*(1+inf)^T$1</f>
        <v>0</v>
      </c>
      <c r="V34" s="7">
        <f>IF(Inputs!$B$40&gt;=V$1,Inputs!$B$39,0)*(1+inf)^U$1</f>
        <v>0</v>
      </c>
      <c r="W34" s="7">
        <f>IF(Inputs!$B$40&gt;=W$1,Inputs!$B$39,0)*(1+inf)^V$1</f>
        <v>0</v>
      </c>
      <c r="X34" s="7">
        <f>IF(Inputs!$B$40&gt;=X$1,Inputs!$B$39,0)*(1+inf)^W$1</f>
        <v>0</v>
      </c>
      <c r="Y34" s="7">
        <f>IF(Inputs!$B$40&gt;=Y$1,Inputs!$B$39,0)*(1+inf)^X$1</f>
        <v>0</v>
      </c>
      <c r="Z34" s="7">
        <f>IF(Inputs!$B$40&gt;=Z$1,Inputs!$B$39,0)*(1+inf)^Y$1</f>
        <v>0</v>
      </c>
      <c r="AA34" s="7">
        <f>IF(Inputs!$B$40&gt;=AA$1,Inputs!$B$39,0)*(1+inf)^Z$1</f>
        <v>0</v>
      </c>
      <c r="AB34" s="7">
        <f>IF(Inputs!$B$40&gt;=AB$1,Inputs!$B$39,0)*(1+inf)^AA$1</f>
        <v>0</v>
      </c>
      <c r="AC34" s="7">
        <f>IF(Inputs!$B$40&gt;=AC$1,Inputs!$B$39,0)*(1+inf)^AB$1</f>
        <v>0</v>
      </c>
      <c r="AD34" s="7">
        <f>IF(Inputs!$B$40&gt;=AD$1,Inputs!$B$39,0)*(1+inf)^AC$1</f>
        <v>0</v>
      </c>
      <c r="AE34" s="7">
        <f>IF(Inputs!$B$40&gt;=AE$1,Inputs!$B$39,0)*(1+inf)^AD$1</f>
        <v>0</v>
      </c>
      <c r="AF34" s="7">
        <f>IF(Inputs!$B$40&gt;=AF$1,Inputs!$B$39,0)*(1+inf)^AE$1</f>
        <v>0</v>
      </c>
      <c r="AG34" s="7">
        <f>IF(Inputs!$B$40&gt;=AG$1,Inputs!$B$39,0)*(1+inf)^AF$1</f>
        <v>0</v>
      </c>
      <c r="AH34" s="7">
        <f>IF(Inputs!$B$40&gt;=AH$1,Inputs!$B$39,0)*(1+inf)^AG$1</f>
        <v>0</v>
      </c>
      <c r="AI34" s="7">
        <f>IF(Inputs!$B$40&gt;=AI$1,Inputs!$B$39,0)*(1+inf)^AH$1</f>
        <v>0</v>
      </c>
      <c r="AJ34" s="7">
        <f>IF(Inputs!$B$40&gt;=AJ$1,Inputs!$B$39,0)*(1+inf)^AI$1</f>
        <v>0</v>
      </c>
      <c r="AK34" s="7">
        <f>IF(Inputs!$B$40&gt;=AK$1,Inputs!$B$39,0)*(1+inf)^AJ$1</f>
        <v>0</v>
      </c>
      <c r="AL34" s="7">
        <f>IF(Inputs!$B$40&gt;=AL$1,Inputs!$B$39,0)*(1+inf)^AK$1</f>
        <v>0</v>
      </c>
      <c r="AM34" s="7">
        <f>IF(Inputs!$B$40&gt;=AM$1,Inputs!$B$39,0)*(1+inf)^AL$1</f>
        <v>0</v>
      </c>
    </row>
    <row r="35" spans="1:39">
      <c r="A35" s="3" t="str">
        <f>TEXT(Inputs!B43,"")</f>
        <v>Bill</v>
      </c>
      <c r="B35" s="8"/>
      <c r="C35" s="7">
        <f>IF(Inputs!$B$45&gt;=C$1,Inputs!$B$44,0)*(1+inf)^B$1</f>
        <v>4000</v>
      </c>
      <c r="D35" s="7">
        <f>IF(Inputs!$B$45&gt;=D$1,Inputs!$B$44,0)*(1+inf)^C$1</f>
        <v>4100</v>
      </c>
      <c r="E35" s="7">
        <f>IF(Inputs!$B$45&gt;=E$1,Inputs!$B$44,0)*(1+inf)^D$1</f>
        <v>0</v>
      </c>
      <c r="F35" s="7">
        <f>IF(Inputs!$B$45&gt;=F$1,Inputs!$B$44,0)*(1+inf)^E$1</f>
        <v>0</v>
      </c>
      <c r="G35" s="7">
        <f>IF(Inputs!$B$45&gt;=G$1,Inputs!$B$44,0)*(1+inf)^F$1</f>
        <v>0</v>
      </c>
      <c r="H35" s="7">
        <f>IF(Inputs!$B$45&gt;=H$1,Inputs!$B$44,0)*(1+inf)^G$1</f>
        <v>0</v>
      </c>
      <c r="I35" s="7">
        <f>IF(Inputs!$B$45&gt;=I$1,Inputs!$B$44,0)*(1+inf)^H$1</f>
        <v>0</v>
      </c>
      <c r="J35" s="7">
        <f>IF(Inputs!$B$45&gt;=J$1,Inputs!$B$44,0)*(1+inf)^I$1</f>
        <v>0</v>
      </c>
      <c r="K35" s="7">
        <f>IF(Inputs!$B$45&gt;=K$1,Inputs!$B$44,0)*(1+inf)^J$1</f>
        <v>0</v>
      </c>
      <c r="L35" s="7">
        <f>IF(Inputs!$B$45&gt;=L$1,Inputs!$B$44,0)*(1+inf)^K$1</f>
        <v>0</v>
      </c>
      <c r="M35" s="7">
        <f>IF(Inputs!$B$45&gt;=M$1,Inputs!$B$44,0)*(1+inf)^L$1</f>
        <v>0</v>
      </c>
      <c r="N35" s="7">
        <f>IF(Inputs!$B$45&gt;=N$1,Inputs!$B$44,0)*(1+inf)^M$1</f>
        <v>0</v>
      </c>
      <c r="O35" s="7">
        <f>IF(Inputs!$B$45&gt;=O$1,Inputs!$B$44,0)*(1+inf)^N$1</f>
        <v>0</v>
      </c>
      <c r="P35" s="7">
        <f>IF(Inputs!$B$45&gt;=P$1,Inputs!$B$44,0)*(1+inf)^O$1</f>
        <v>0</v>
      </c>
      <c r="Q35" s="7">
        <f>IF(Inputs!$B$45&gt;=Q$1,Inputs!$B$44,0)*(1+inf)^P$1</f>
        <v>0</v>
      </c>
      <c r="R35" s="7">
        <f>IF(Inputs!$B$45&gt;=R$1,Inputs!$B$44,0)*(1+inf)^Q$1</f>
        <v>0</v>
      </c>
      <c r="S35" s="7">
        <f>IF(Inputs!$B$45&gt;=S$1,Inputs!$B$44,0)*(1+inf)^R$1</f>
        <v>0</v>
      </c>
      <c r="T35" s="7">
        <f>IF(Inputs!$B$45&gt;=T$1,Inputs!$B$44,0)*(1+inf)^S$1</f>
        <v>0</v>
      </c>
      <c r="U35" s="7">
        <f>IF(Inputs!$B$45&gt;=U$1,Inputs!$B$44,0)*(1+inf)^T$1</f>
        <v>0</v>
      </c>
      <c r="V35" s="7">
        <f>IF(Inputs!$B$45&gt;=V$1,Inputs!$B$44,0)*(1+inf)^U$1</f>
        <v>0</v>
      </c>
      <c r="W35" s="7">
        <f>IF(Inputs!$B$45&gt;=W$1,Inputs!$B$44,0)*(1+inf)^V$1</f>
        <v>0</v>
      </c>
      <c r="X35" s="7">
        <f>IF(Inputs!$B$45&gt;=X$1,Inputs!$B$44,0)*(1+inf)^W$1</f>
        <v>0</v>
      </c>
      <c r="Y35" s="7">
        <f>IF(Inputs!$B$45&gt;=Y$1,Inputs!$B$44,0)*(1+inf)^X$1</f>
        <v>0</v>
      </c>
      <c r="Z35" s="7">
        <f>IF(Inputs!$B$45&gt;=Z$1,Inputs!$B$44,0)*(1+inf)^Y$1</f>
        <v>0</v>
      </c>
      <c r="AA35" s="7">
        <f>IF(Inputs!$B$45&gt;=AA$1,Inputs!$B$44,0)*(1+inf)^Z$1</f>
        <v>0</v>
      </c>
      <c r="AB35" s="7">
        <f>IF(Inputs!$B$45&gt;=AB$1,Inputs!$B$44,0)*(1+inf)^AA$1</f>
        <v>0</v>
      </c>
      <c r="AC35" s="7">
        <f>IF(Inputs!$B$45&gt;=AC$1,Inputs!$B$44,0)*(1+inf)^AB$1</f>
        <v>0</v>
      </c>
      <c r="AD35" s="7">
        <f>IF(Inputs!$B$45&gt;=AD$1,Inputs!$B$44,0)*(1+inf)^AC$1</f>
        <v>0</v>
      </c>
      <c r="AE35" s="7">
        <f>IF(Inputs!$B$45&gt;=AE$1,Inputs!$B$44,0)*(1+inf)^AD$1</f>
        <v>0</v>
      </c>
      <c r="AF35" s="7">
        <f>IF(Inputs!$B$45&gt;=AF$1,Inputs!$B$44,0)*(1+inf)^AE$1</f>
        <v>0</v>
      </c>
      <c r="AG35" s="7">
        <f>IF(Inputs!$B$45&gt;=AG$1,Inputs!$B$44,0)*(1+inf)^AF$1</f>
        <v>0</v>
      </c>
      <c r="AH35" s="7">
        <f>IF(Inputs!$B$45&gt;=AH$1,Inputs!$B$44,0)*(1+inf)^AG$1</f>
        <v>0</v>
      </c>
      <c r="AI35" s="7">
        <f>IF(Inputs!$B$45&gt;=AI$1,Inputs!$B$44,0)*(1+inf)^AH$1</f>
        <v>0</v>
      </c>
      <c r="AJ35" s="7">
        <f>IF(Inputs!$B$45&gt;=AJ$1,Inputs!$B$44,0)*(1+inf)^AI$1</f>
        <v>0</v>
      </c>
      <c r="AK35" s="7">
        <f>IF(Inputs!$B$45&gt;=AK$1,Inputs!$B$44,0)*(1+inf)^AJ$1</f>
        <v>0</v>
      </c>
      <c r="AL35" s="7">
        <f>IF(Inputs!$B$45&gt;=AL$1,Inputs!$B$44,0)*(1+inf)^AK$1</f>
        <v>0</v>
      </c>
      <c r="AM35" s="7">
        <f>IF(Inputs!$B$45&gt;=AM$1,Inputs!$B$44,0)*(1+inf)^AL$1</f>
        <v>0</v>
      </c>
    </row>
    <row r="36" spans="1:39">
      <c r="A36" s="3" t="str">
        <f>TEXT(Inputs!B48,"")</f>
        <v>Stephen</v>
      </c>
      <c r="B36" s="8"/>
      <c r="C36" s="7">
        <f>IF(Inputs!$B$50&gt;=C$1,Inputs!$B$49,0)*(1+inf)^B$1</f>
        <v>2500</v>
      </c>
      <c r="D36" s="7">
        <f>IF(Inputs!$B$50&gt;=D$1,Inputs!$B$49,0)*(1+inf)^C$1</f>
        <v>2562.5</v>
      </c>
      <c r="E36" s="7">
        <f>IF(Inputs!$B$50&gt;=E$1,Inputs!$B$49,0)*(1+inf)^D$1</f>
        <v>2626.5625</v>
      </c>
      <c r="F36" s="7">
        <f>IF(Inputs!$B$50&gt;=F$1,Inputs!$B$49,0)*(1+inf)^E$1</f>
        <v>0</v>
      </c>
      <c r="G36" s="7">
        <f>IF(Inputs!$B$50&gt;=G$1,Inputs!$B$49,0)*(1+inf)^F$1</f>
        <v>0</v>
      </c>
      <c r="H36" s="7">
        <f>IF(Inputs!$B$50&gt;=H$1,Inputs!$B$49,0)*(1+inf)^G$1</f>
        <v>0</v>
      </c>
      <c r="I36" s="7">
        <f>IF(Inputs!$B$50&gt;=I$1,Inputs!$B$49,0)*(1+inf)^H$1</f>
        <v>0</v>
      </c>
      <c r="J36" s="7">
        <f>IF(Inputs!$B$50&gt;=J$1,Inputs!$B$49,0)*(1+inf)^I$1</f>
        <v>0</v>
      </c>
      <c r="K36" s="7">
        <f>IF(Inputs!$B$50&gt;=K$1,Inputs!$B$49,0)*(1+inf)^J$1</f>
        <v>0</v>
      </c>
      <c r="L36" s="7">
        <f>IF(Inputs!$B$50&gt;=L$1,Inputs!$B$49,0)*(1+inf)^K$1</f>
        <v>0</v>
      </c>
      <c r="M36" s="7">
        <f>IF(Inputs!$B$50&gt;=M$1,Inputs!$B$49,0)*(1+inf)^L$1</f>
        <v>0</v>
      </c>
      <c r="N36" s="7">
        <f>IF(Inputs!$B$50&gt;=N$1,Inputs!$B$49,0)*(1+inf)^M$1</f>
        <v>0</v>
      </c>
      <c r="O36" s="7">
        <f>IF(Inputs!$B$50&gt;=O$1,Inputs!$B$49,0)*(1+inf)^N$1</f>
        <v>0</v>
      </c>
      <c r="P36" s="7">
        <f>IF(Inputs!$B$50&gt;=P$1,Inputs!$B$49,0)*(1+inf)^O$1</f>
        <v>0</v>
      </c>
      <c r="Q36" s="7">
        <f>IF(Inputs!$B$50&gt;=Q$1,Inputs!$B$49,0)*(1+inf)^P$1</f>
        <v>0</v>
      </c>
      <c r="R36" s="7">
        <f>IF(Inputs!$B$50&gt;=R$1,Inputs!$B$49,0)*(1+inf)^Q$1</f>
        <v>0</v>
      </c>
      <c r="S36" s="7">
        <f>IF(Inputs!$B$50&gt;=S$1,Inputs!$B$49,0)*(1+inf)^R$1</f>
        <v>0</v>
      </c>
      <c r="T36" s="7">
        <f>IF(Inputs!$B$50&gt;=T$1,Inputs!$B$49,0)*(1+inf)^S$1</f>
        <v>0</v>
      </c>
      <c r="U36" s="7">
        <f>IF(Inputs!$B$50&gt;=U$1,Inputs!$B$49,0)*(1+inf)^T$1</f>
        <v>0</v>
      </c>
      <c r="V36" s="7">
        <f>IF(Inputs!$B$50&gt;=V$1,Inputs!$B$49,0)*(1+inf)^U$1</f>
        <v>0</v>
      </c>
      <c r="W36" s="7">
        <f>IF(Inputs!$B$50&gt;=W$1,Inputs!$B$49,0)*(1+inf)^V$1</f>
        <v>0</v>
      </c>
      <c r="X36" s="7">
        <f>IF(Inputs!$B$50&gt;=X$1,Inputs!$B$49,0)*(1+inf)^W$1</f>
        <v>0</v>
      </c>
      <c r="Y36" s="7">
        <f>IF(Inputs!$B$50&gt;=Y$1,Inputs!$B$49,0)*(1+inf)^X$1</f>
        <v>0</v>
      </c>
      <c r="Z36" s="7">
        <f>IF(Inputs!$B$50&gt;=Z$1,Inputs!$B$49,0)*(1+inf)^Y$1</f>
        <v>0</v>
      </c>
      <c r="AA36" s="7">
        <f>IF(Inputs!$B$50&gt;=AA$1,Inputs!$B$49,0)*(1+inf)^Z$1</f>
        <v>0</v>
      </c>
      <c r="AB36" s="7">
        <f>IF(Inputs!$B$50&gt;=AB$1,Inputs!$B$49,0)*(1+inf)^AA$1</f>
        <v>0</v>
      </c>
      <c r="AC36" s="7">
        <f>IF(Inputs!$B$50&gt;=AC$1,Inputs!$B$49,0)*(1+inf)^AB$1</f>
        <v>0</v>
      </c>
      <c r="AD36" s="7">
        <f>IF(Inputs!$B$50&gt;=AD$1,Inputs!$B$49,0)*(1+inf)^AC$1</f>
        <v>0</v>
      </c>
      <c r="AE36" s="7">
        <f>IF(Inputs!$B$50&gt;=AE$1,Inputs!$B$49,0)*(1+inf)^AD$1</f>
        <v>0</v>
      </c>
      <c r="AF36" s="7">
        <f>IF(Inputs!$B$50&gt;=AF$1,Inputs!$B$49,0)*(1+inf)^AE$1</f>
        <v>0</v>
      </c>
      <c r="AG36" s="7">
        <f>IF(Inputs!$B$50&gt;=AG$1,Inputs!$B$49,0)*(1+inf)^AF$1</f>
        <v>0</v>
      </c>
      <c r="AH36" s="7">
        <f>IF(Inputs!$B$50&gt;=AH$1,Inputs!$B$49,0)*(1+inf)^AG$1</f>
        <v>0</v>
      </c>
      <c r="AI36" s="7">
        <f>IF(Inputs!$B$50&gt;=AI$1,Inputs!$B$49,0)*(1+inf)^AH$1</f>
        <v>0</v>
      </c>
      <c r="AJ36" s="7">
        <f>IF(Inputs!$B$50&gt;=AJ$1,Inputs!$B$49,0)*(1+inf)^AI$1</f>
        <v>0</v>
      </c>
      <c r="AK36" s="7">
        <f>IF(Inputs!$B$50&gt;=AK$1,Inputs!$B$49,0)*(1+inf)^AJ$1</f>
        <v>0</v>
      </c>
      <c r="AL36" s="7">
        <f>IF(Inputs!$B$50&gt;=AL$1,Inputs!$B$49,0)*(1+inf)^AK$1</f>
        <v>0</v>
      </c>
      <c r="AM36" s="7">
        <f>IF(Inputs!$B$50&gt;=AM$1,Inputs!$B$49,0)*(1+inf)^AL$1</f>
        <v>0</v>
      </c>
    </row>
    <row r="37" spans="1:39">
      <c r="A37" s="3" t="str">
        <f>TEXT(Inputs!B53,"")</f>
        <v>Jane</v>
      </c>
      <c r="B37" s="8"/>
      <c r="C37" s="7">
        <f>IF(Inputs!$B$55&gt;=C$1,Inputs!$B$54,0)*(1+inf)^B$1</f>
        <v>2860</v>
      </c>
      <c r="D37" s="7">
        <f>IF(Inputs!$B$55&gt;=D$1,Inputs!$B$54,0)*(1+inf)^C$1</f>
        <v>2931.4999999999995</v>
      </c>
      <c r="E37" s="7">
        <f>IF(Inputs!$B$55&gt;=E$1,Inputs!$B$54,0)*(1+inf)^D$1</f>
        <v>3004.7874999999999</v>
      </c>
      <c r="F37" s="7">
        <f>IF(Inputs!$B$55&gt;=F$1,Inputs!$B$54,0)*(1+inf)^E$1</f>
        <v>3079.9071874999995</v>
      </c>
      <c r="G37" s="7">
        <f>IF(Inputs!$B$55&gt;=G$1,Inputs!$B$54,0)*(1+inf)^F$1</f>
        <v>3156.9048671874993</v>
      </c>
      <c r="H37" s="7">
        <f>IF(Inputs!$B$55&gt;=H$1,Inputs!$B$54,0)*(1+inf)^G$1</f>
        <v>3235.8274888671867</v>
      </c>
      <c r="I37" s="7">
        <f>IF(Inputs!$B$55&gt;=I$1,Inputs!$B$54,0)*(1+inf)^H$1</f>
        <v>0</v>
      </c>
      <c r="J37" s="7">
        <f>IF(Inputs!$B$55&gt;=J$1,Inputs!$B$54,0)*(1+inf)^I$1</f>
        <v>0</v>
      </c>
      <c r="K37" s="7">
        <f>IF(Inputs!$B$55&gt;=K$1,Inputs!$B$54,0)*(1+inf)^J$1</f>
        <v>0</v>
      </c>
      <c r="L37" s="7">
        <f>IF(Inputs!$B$55&gt;=L$1,Inputs!$B$54,0)*(1+inf)^K$1</f>
        <v>0</v>
      </c>
      <c r="M37" s="7">
        <f>IF(Inputs!$B$55&gt;=M$1,Inputs!$B$54,0)*(1+inf)^L$1</f>
        <v>0</v>
      </c>
      <c r="N37" s="7">
        <f>IF(Inputs!$B$55&gt;=N$1,Inputs!$B$54,0)*(1+inf)^M$1</f>
        <v>0</v>
      </c>
      <c r="O37" s="7">
        <f>IF(Inputs!$B$55&gt;=O$1,Inputs!$B$54,0)*(1+inf)^N$1</f>
        <v>0</v>
      </c>
      <c r="P37" s="7">
        <f>IF(Inputs!$B$55&gt;=P$1,Inputs!$B$54,0)*(1+inf)^O$1</f>
        <v>0</v>
      </c>
      <c r="Q37" s="7">
        <f>IF(Inputs!$B$55&gt;=Q$1,Inputs!$B$54,0)*(1+inf)^P$1</f>
        <v>0</v>
      </c>
      <c r="R37" s="7">
        <f>IF(Inputs!$B$55&gt;=R$1,Inputs!$B$54,0)*(1+inf)^Q$1</f>
        <v>0</v>
      </c>
      <c r="S37" s="7">
        <f>IF(Inputs!$B$55&gt;=S$1,Inputs!$B$54,0)*(1+inf)^R$1</f>
        <v>0</v>
      </c>
      <c r="T37" s="7">
        <f>IF(Inputs!$B$55&gt;=T$1,Inputs!$B$54,0)*(1+inf)^S$1</f>
        <v>0</v>
      </c>
      <c r="U37" s="7">
        <f>IF(Inputs!$B$55&gt;=U$1,Inputs!$B$54,0)*(1+inf)^T$1</f>
        <v>0</v>
      </c>
      <c r="V37" s="7">
        <f>IF(Inputs!$B$55&gt;=V$1,Inputs!$B$54,0)*(1+inf)^U$1</f>
        <v>0</v>
      </c>
      <c r="W37" s="7">
        <f>IF(Inputs!$B$55&gt;=W$1,Inputs!$B$54,0)*(1+inf)^V$1</f>
        <v>0</v>
      </c>
      <c r="X37" s="7">
        <f>IF(Inputs!$B$55&gt;=X$1,Inputs!$B$54,0)*(1+inf)^W$1</f>
        <v>0</v>
      </c>
      <c r="Y37" s="7">
        <f>IF(Inputs!$B$55&gt;=Y$1,Inputs!$B$54,0)*(1+inf)^X$1</f>
        <v>0</v>
      </c>
      <c r="Z37" s="7">
        <f>IF(Inputs!$B$55&gt;=Z$1,Inputs!$B$54,0)*(1+inf)^Y$1</f>
        <v>0</v>
      </c>
      <c r="AA37" s="7">
        <f>IF(Inputs!$B$55&gt;=AA$1,Inputs!$B$54,0)*(1+inf)^Z$1</f>
        <v>0</v>
      </c>
      <c r="AB37" s="7">
        <f>IF(Inputs!$B$55&gt;=AB$1,Inputs!$B$54,0)*(1+inf)^AA$1</f>
        <v>0</v>
      </c>
      <c r="AC37" s="7">
        <f>IF(Inputs!$B$55&gt;=AC$1,Inputs!$B$54,0)*(1+inf)^AB$1</f>
        <v>0</v>
      </c>
      <c r="AD37" s="7">
        <f>IF(Inputs!$B$55&gt;=AD$1,Inputs!$B$54,0)*(1+inf)^AC$1</f>
        <v>0</v>
      </c>
      <c r="AE37" s="7">
        <f>IF(Inputs!$B$55&gt;=AE$1,Inputs!$B$54,0)*(1+inf)^AD$1</f>
        <v>0</v>
      </c>
      <c r="AF37" s="7">
        <f>IF(Inputs!$B$55&gt;=AF$1,Inputs!$B$54,0)*(1+inf)^AE$1</f>
        <v>0</v>
      </c>
      <c r="AG37" s="7">
        <f>IF(Inputs!$B$55&gt;=AG$1,Inputs!$B$54,0)*(1+inf)^AF$1</f>
        <v>0</v>
      </c>
      <c r="AH37" s="7">
        <f>IF(Inputs!$B$55&gt;=AH$1,Inputs!$B$54,0)*(1+inf)^AG$1</f>
        <v>0</v>
      </c>
      <c r="AI37" s="7">
        <f>IF(Inputs!$B$55&gt;=AI$1,Inputs!$B$54,0)*(1+inf)^AH$1</f>
        <v>0</v>
      </c>
      <c r="AJ37" s="7">
        <f>IF(Inputs!$B$55&gt;=AJ$1,Inputs!$B$54,0)*(1+inf)^AI$1</f>
        <v>0</v>
      </c>
      <c r="AK37" s="7">
        <f>IF(Inputs!$B$55&gt;=AK$1,Inputs!$B$54,0)*(1+inf)^AJ$1</f>
        <v>0</v>
      </c>
      <c r="AL37" s="7">
        <f>IF(Inputs!$B$55&gt;=AL$1,Inputs!$B$54,0)*(1+inf)^AK$1</f>
        <v>0</v>
      </c>
      <c r="AM37" s="7">
        <f>IF(Inputs!$B$55&gt;=AM$1,Inputs!$B$54,0)*(1+inf)^AL$1</f>
        <v>0</v>
      </c>
    </row>
    <row r="38" spans="1:39">
      <c r="A38" s="4" t="s">
        <v>5</v>
      </c>
      <c r="B38" s="8"/>
      <c r="C38" s="7">
        <f>Inputs!$B$23*(1+inf)^B$1</f>
        <v>0</v>
      </c>
      <c r="D38" s="7">
        <f>Inputs!$B$23*(1+inf)^C$1</f>
        <v>0</v>
      </c>
      <c r="E38" s="7">
        <f>Inputs!$B$23*(1+inf)^D$1</f>
        <v>0</v>
      </c>
      <c r="F38" s="7">
        <f>Inputs!$B$23*(1+inf)^E$1</f>
        <v>0</v>
      </c>
      <c r="G38" s="7">
        <f>Inputs!$B$23*(1+inf)^F$1</f>
        <v>0</v>
      </c>
      <c r="H38" s="7">
        <f>Inputs!$B$23*(1+inf)^G$1</f>
        <v>0</v>
      </c>
      <c r="I38" s="7">
        <f>Inputs!$B$23*(1+inf)^H$1</f>
        <v>0</v>
      </c>
      <c r="J38" s="7">
        <f>Inputs!$B$23*(1+inf)^I$1</f>
        <v>0</v>
      </c>
      <c r="K38" s="7">
        <f>Inputs!$B$23*(1+inf)^J$1</f>
        <v>0</v>
      </c>
      <c r="L38" s="7">
        <f>Inputs!$B$23*(1+inf)^K$1</f>
        <v>0</v>
      </c>
      <c r="M38" s="7">
        <f>Inputs!$B$23*(1+inf)^L$1</f>
        <v>0</v>
      </c>
      <c r="N38" s="7">
        <f>Inputs!$B$23*(1+inf)^M$1</f>
        <v>0</v>
      </c>
      <c r="O38" s="7">
        <f>Inputs!$B$23*(1+inf)^N$1</f>
        <v>0</v>
      </c>
      <c r="P38" s="7">
        <f>Inputs!$B$23*(1+inf)^O$1</f>
        <v>0</v>
      </c>
      <c r="Q38" s="7">
        <f>Inputs!$B$23*(1+inf)^P$1</f>
        <v>0</v>
      </c>
      <c r="R38" s="7">
        <f>Inputs!$B$23*(1+inf)^Q$1</f>
        <v>0</v>
      </c>
      <c r="S38" s="7">
        <f>Inputs!$B$23*(1+inf)^R$1</f>
        <v>0</v>
      </c>
      <c r="T38" s="7">
        <f>Inputs!$B$23*(1+inf)^S$1</f>
        <v>0</v>
      </c>
      <c r="U38" s="7">
        <f>Inputs!$B$23*(1+inf)^T$1</f>
        <v>0</v>
      </c>
      <c r="V38" s="7">
        <f>Inputs!$B$23*(1+inf)^U$1</f>
        <v>0</v>
      </c>
      <c r="W38" s="7">
        <f>Inputs!$B$23*(1+inf)^V$1</f>
        <v>0</v>
      </c>
      <c r="X38" s="7">
        <f>Inputs!$B$23*(1+inf)^W$1</f>
        <v>0</v>
      </c>
      <c r="Y38" s="7">
        <f>Inputs!$B$23*(1+inf)^X$1</f>
        <v>0</v>
      </c>
      <c r="Z38" s="7">
        <f>Inputs!$B$23*(1+inf)^Y$1</f>
        <v>0</v>
      </c>
      <c r="AA38" s="7">
        <f>Inputs!$B$23*(1+inf)^Z$1</f>
        <v>0</v>
      </c>
      <c r="AB38" s="7">
        <f>Inputs!$B$23*(1+inf)^AA$1</f>
        <v>0</v>
      </c>
      <c r="AC38" s="7">
        <f>Inputs!$B$23*(1+inf)^AB$1</f>
        <v>0</v>
      </c>
      <c r="AD38" s="7">
        <f>Inputs!$B$23*(1+inf)^AC$1</f>
        <v>0</v>
      </c>
      <c r="AE38" s="7">
        <f>Inputs!$B$23*(1+inf)^AD$1</f>
        <v>0</v>
      </c>
      <c r="AF38" s="7">
        <f>Inputs!$B$23*(1+inf)^AE$1</f>
        <v>0</v>
      </c>
      <c r="AG38" s="7">
        <f>Inputs!$B$23*(1+inf)^AF$1</f>
        <v>0</v>
      </c>
      <c r="AH38" s="7">
        <f>Inputs!$B$23*(1+inf)^AG$1</f>
        <v>0</v>
      </c>
      <c r="AI38" s="7">
        <f>Inputs!$B$23*(1+inf)^AH$1</f>
        <v>0</v>
      </c>
      <c r="AJ38" s="7">
        <f>Inputs!$B$23*(1+inf)^AI$1</f>
        <v>0</v>
      </c>
      <c r="AK38" s="7">
        <f>Inputs!$B$23*(1+inf)^AJ$1</f>
        <v>0</v>
      </c>
      <c r="AL38" s="7">
        <f>Inputs!$B$23*(1+inf)^AK$1</f>
        <v>0</v>
      </c>
      <c r="AM38" s="7">
        <f>Inputs!$B$23*(1+inf)^AL$1</f>
        <v>0</v>
      </c>
    </row>
    <row r="39" spans="1:39">
      <c r="A39" s="4" t="s">
        <v>55</v>
      </c>
      <c r="B39" s="8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</row>
    <row r="40" spans="1:39">
      <c r="A40" s="3" t="str">
        <f>TEXT(Inputs!$B$60,"")</f>
        <v>Sliema</v>
      </c>
      <c r="B40" s="8"/>
      <c r="C40" s="7">
        <f>Inputs!$B62*(1+inf)^B$1</f>
        <v>5000</v>
      </c>
      <c r="D40" s="7">
        <f>Inputs!$B62*(1+inf)^C$1</f>
        <v>5125</v>
      </c>
      <c r="E40" s="7">
        <f>Inputs!$B62*(1+inf)^D$1</f>
        <v>5253.125</v>
      </c>
      <c r="F40" s="7">
        <f>Inputs!$B62*(1+inf)^E$1</f>
        <v>5384.4531249999991</v>
      </c>
      <c r="G40" s="7">
        <f>Inputs!$B62*(1+inf)^F$1</f>
        <v>5519.0644531249991</v>
      </c>
      <c r="H40" s="7">
        <f>Inputs!$B62*(1+inf)^G$1</f>
        <v>5657.041064453123</v>
      </c>
      <c r="I40" s="7">
        <f>Inputs!$B62*(1+inf)^H$1</f>
        <v>5798.4670910644509</v>
      </c>
      <c r="J40" s="7">
        <f>Inputs!$B62*(1+inf)^I$1</f>
        <v>5943.4287683410621</v>
      </c>
      <c r="K40" s="7">
        <f>Inputs!$B62*(1+inf)^J$1</f>
        <v>6092.0144875495889</v>
      </c>
      <c r="L40" s="7">
        <f>Inputs!$B62*(1+inf)^K$1</f>
        <v>6244.3148497383272</v>
      </c>
      <c r="M40" s="7">
        <f>Inputs!$B62*(1+inf)^L$1</f>
        <v>6400.4227209817855</v>
      </c>
      <c r="N40" s="7">
        <f>Inputs!$B62*(1+inf)^M$1</f>
        <v>6560.4332890063297</v>
      </c>
      <c r="O40" s="7">
        <f>Inputs!$B62*(1+inf)^N$1</f>
        <v>6724.4441212314878</v>
      </c>
      <c r="P40" s="7">
        <f>Inputs!$B62*(1+inf)^O$1</f>
        <v>6892.5552242622744</v>
      </c>
      <c r="Q40" s="7">
        <f>Inputs!$B62*(1+inf)^P$1</f>
        <v>7064.8691048688306</v>
      </c>
      <c r="R40" s="7">
        <f>Inputs!$B62*(1+inf)^Q$1</f>
        <v>7241.4908324905527</v>
      </c>
      <c r="S40" s="7">
        <f>Inputs!$B62*(1+inf)^R$1</f>
        <v>7422.5281033028159</v>
      </c>
      <c r="T40" s="7">
        <f>Inputs!$B62*(1+inf)^S$1</f>
        <v>7608.0913058853848</v>
      </c>
      <c r="U40" s="7">
        <f>Inputs!$B62*(1+inf)^T$1</f>
        <v>7798.2935885325196</v>
      </c>
      <c r="V40" s="7">
        <f>Inputs!$B62*(1+inf)^U$1</f>
        <v>7993.2509282458332</v>
      </c>
      <c r="W40" s="7">
        <f>Inputs!$B62*(1+inf)^V$1</f>
        <v>8193.0822014519781</v>
      </c>
      <c r="X40" s="7">
        <f>Inputs!$B62*(1+inf)^W$1</f>
        <v>8397.9092564882758</v>
      </c>
      <c r="Y40" s="7">
        <f>Inputs!$B62*(1+inf)^X$1</f>
        <v>8607.8569879004826</v>
      </c>
      <c r="Z40" s="7">
        <f>Inputs!$B62*(1+inf)^Y$1</f>
        <v>8823.0534125979957</v>
      </c>
      <c r="AA40" s="7">
        <f>Inputs!$B62*(1+inf)^Z$1</f>
        <v>9043.6297479129444</v>
      </c>
      <c r="AB40" s="7">
        <f>Inputs!$B62*(1+inf)^AA$1</f>
        <v>9269.7204916107676</v>
      </c>
      <c r="AC40" s="7">
        <f>Inputs!$B62*(1+inf)^AB$1</f>
        <v>9501.4635039010354</v>
      </c>
      <c r="AD40" s="7">
        <f>Inputs!$B62*(1+inf)^AC$1</f>
        <v>9739.0000914985612</v>
      </c>
      <c r="AE40" s="7">
        <f>Inputs!$B62*(1+inf)^AD$1</f>
        <v>9982.4750937860244</v>
      </c>
      <c r="AF40" s="7">
        <f>Inputs!$B62*(1+inf)^AE$1</f>
        <v>10232.036971130676</v>
      </c>
      <c r="AG40" s="7">
        <f>Inputs!$B62*(1+inf)^AF$1</f>
        <v>10487.83789540894</v>
      </c>
      <c r="AH40" s="7">
        <f>Inputs!$B62*(1+inf)^AG$1</f>
        <v>10750.033842794166</v>
      </c>
      <c r="AI40" s="7">
        <f>Inputs!$B62*(1+inf)^AH$1</f>
        <v>11018.784688864018</v>
      </c>
      <c r="AJ40" s="7">
        <f>Inputs!$B62*(1+inf)^AI$1</f>
        <v>11294.254306085619</v>
      </c>
      <c r="AK40" s="7">
        <f>Inputs!$B62*(1+inf)^AJ$1</f>
        <v>11576.610663737758</v>
      </c>
      <c r="AL40" s="7">
        <f>Inputs!$B62*(1+inf)^AK$1</f>
        <v>11866.025930331201</v>
      </c>
      <c r="AM40" s="7">
        <f>Inputs!$B62*(1+inf)^AL$1</f>
        <v>12162.676578589482</v>
      </c>
    </row>
    <row r="41" spans="1:39">
      <c r="A41" s="3" t="str">
        <f>TEXT(Inputs!$B$65,"")</f>
        <v>Gzira</v>
      </c>
      <c r="B41" s="8"/>
      <c r="C41" s="7">
        <f>Inputs!$B67*(1+inf)^B$1</f>
        <v>2000</v>
      </c>
      <c r="D41" s="7">
        <f>Inputs!$B67*(1+inf)^C$1</f>
        <v>2050</v>
      </c>
      <c r="E41" s="7">
        <f>Inputs!$B67*(1+inf)^D$1</f>
        <v>2101.25</v>
      </c>
      <c r="F41" s="7">
        <f>Inputs!$B67*(1+inf)^E$1</f>
        <v>2153.7812499999995</v>
      </c>
      <c r="G41" s="7">
        <f>Inputs!$B67*(1+inf)^F$1</f>
        <v>2207.6257812499994</v>
      </c>
      <c r="H41" s="7">
        <f>Inputs!$B67*(1+inf)^G$1</f>
        <v>2262.8164257812491</v>
      </c>
      <c r="I41" s="7">
        <f>Inputs!$B67*(1+inf)^H$1</f>
        <v>2319.3868364257805</v>
      </c>
      <c r="J41" s="7">
        <f>Inputs!$B67*(1+inf)^I$1</f>
        <v>2377.3715073364251</v>
      </c>
      <c r="K41" s="7">
        <f>Inputs!$B67*(1+inf)^J$1</f>
        <v>2436.8057950198354</v>
      </c>
      <c r="L41" s="7">
        <f>Inputs!$B67*(1+inf)^K$1</f>
        <v>2497.7259398953311</v>
      </c>
      <c r="M41" s="7">
        <f>Inputs!$B67*(1+inf)^L$1</f>
        <v>2560.169088392714</v>
      </c>
      <c r="N41" s="7">
        <f>Inputs!$B67*(1+inf)^M$1</f>
        <v>2624.1733156025321</v>
      </c>
      <c r="O41" s="7">
        <f>Inputs!$B67*(1+inf)^N$1</f>
        <v>2689.7776484925948</v>
      </c>
      <c r="P41" s="7">
        <f>Inputs!$B67*(1+inf)^O$1</f>
        <v>2757.0220897049098</v>
      </c>
      <c r="Q41" s="7">
        <f>Inputs!$B67*(1+inf)^P$1</f>
        <v>2825.9476419475322</v>
      </c>
      <c r="R41" s="7">
        <f>Inputs!$B67*(1+inf)^Q$1</f>
        <v>2896.596332996221</v>
      </c>
      <c r="S41" s="7">
        <f>Inputs!$B67*(1+inf)^R$1</f>
        <v>2969.0112413211264</v>
      </c>
      <c r="T41" s="7">
        <f>Inputs!$B67*(1+inf)^S$1</f>
        <v>3043.2365223541542</v>
      </c>
      <c r="U41" s="7">
        <f>Inputs!$B67*(1+inf)^T$1</f>
        <v>3119.3174354130078</v>
      </c>
      <c r="V41" s="7">
        <f>Inputs!$B67*(1+inf)^U$1</f>
        <v>3197.3003712983332</v>
      </c>
      <c r="W41" s="7">
        <f>Inputs!$B67*(1+inf)^V$1</f>
        <v>3277.2328805807911</v>
      </c>
      <c r="X41" s="7">
        <f>Inputs!$B67*(1+inf)^W$1</f>
        <v>3359.1637025953105</v>
      </c>
      <c r="Y41" s="7">
        <f>Inputs!$B67*(1+inf)^X$1</f>
        <v>3443.1427951601931</v>
      </c>
      <c r="Z41" s="7">
        <f>Inputs!$B67*(1+inf)^Y$1</f>
        <v>3529.2213650391982</v>
      </c>
      <c r="AA41" s="7">
        <f>Inputs!$B67*(1+inf)^Z$1</f>
        <v>3617.451899165178</v>
      </c>
      <c r="AB41" s="7">
        <f>Inputs!$B67*(1+inf)^AA$1</f>
        <v>3707.8881966443068</v>
      </c>
      <c r="AC41" s="7">
        <f>Inputs!$B67*(1+inf)^AB$1</f>
        <v>3800.5854015604141</v>
      </c>
      <c r="AD41" s="7">
        <f>Inputs!$B67*(1+inf)^AC$1</f>
        <v>3895.6000365994241</v>
      </c>
      <c r="AE41" s="7">
        <f>Inputs!$B67*(1+inf)^AD$1</f>
        <v>3992.9900375144098</v>
      </c>
      <c r="AF41" s="7">
        <f>Inputs!$B67*(1+inf)^AE$1</f>
        <v>4092.8147884522705</v>
      </c>
      <c r="AG41" s="7">
        <f>Inputs!$B67*(1+inf)^AF$1</f>
        <v>4195.1351581635763</v>
      </c>
      <c r="AH41" s="7">
        <f>Inputs!$B67*(1+inf)^AG$1</f>
        <v>4300.0135371176666</v>
      </c>
      <c r="AI41" s="7">
        <f>Inputs!$B67*(1+inf)^AH$1</f>
        <v>4407.5138755456073</v>
      </c>
      <c r="AJ41" s="7">
        <f>Inputs!$B67*(1+inf)^AI$1</f>
        <v>4517.7017224342471</v>
      </c>
      <c r="AK41" s="7">
        <f>Inputs!$B67*(1+inf)^AJ$1</f>
        <v>4630.6442654951034</v>
      </c>
      <c r="AL41" s="7">
        <f>Inputs!$B67*(1+inf)^AK$1</f>
        <v>4746.41037213248</v>
      </c>
      <c r="AM41" s="7">
        <f>Inputs!$B67*(1+inf)^AL$1</f>
        <v>4865.0706314357931</v>
      </c>
    </row>
    <row r="42" spans="1:39">
      <c r="A42" s="3" t="str">
        <f>TEXT(Inputs!$B$70,"")</f>
        <v>Qormi</v>
      </c>
      <c r="B42" s="8"/>
      <c r="C42" s="7">
        <f>Inputs!$B72*(1+inf)^B$1</f>
        <v>1200</v>
      </c>
      <c r="D42" s="7">
        <f>Inputs!$B72*(1+inf)^C$1</f>
        <v>1230</v>
      </c>
      <c r="E42" s="7">
        <f>Inputs!$B72*(1+inf)^D$1</f>
        <v>1260.75</v>
      </c>
      <c r="F42" s="7">
        <f>Inputs!$B72*(1+inf)^E$1</f>
        <v>1292.26875</v>
      </c>
      <c r="G42" s="7">
        <f>Inputs!$B72*(1+inf)^F$1</f>
        <v>1324.5754687499998</v>
      </c>
      <c r="H42" s="7">
        <f>Inputs!$B72*(1+inf)^G$1</f>
        <v>1357.6898554687496</v>
      </c>
      <c r="I42" s="7">
        <f>Inputs!$B72*(1+inf)^H$1</f>
        <v>1391.6321018554681</v>
      </c>
      <c r="J42" s="7">
        <f>Inputs!$B72*(1+inf)^I$1</f>
        <v>1426.422904401855</v>
      </c>
      <c r="K42" s="7">
        <f>Inputs!$B72*(1+inf)^J$1</f>
        <v>1462.0834770119013</v>
      </c>
      <c r="L42" s="7">
        <f>Inputs!$B72*(1+inf)^K$1</f>
        <v>1498.6355639371984</v>
      </c>
      <c r="M42" s="7">
        <f>Inputs!$B72*(1+inf)^L$1</f>
        <v>1536.1014530356285</v>
      </c>
      <c r="N42" s="7">
        <f>Inputs!$B72*(1+inf)^M$1</f>
        <v>1574.5039893615192</v>
      </c>
      <c r="O42" s="7">
        <f>Inputs!$B72*(1+inf)^N$1</f>
        <v>1613.8665890955569</v>
      </c>
      <c r="P42" s="7">
        <f>Inputs!$B72*(1+inf)^O$1</f>
        <v>1654.2132538229459</v>
      </c>
      <c r="Q42" s="7">
        <f>Inputs!$B72*(1+inf)^P$1</f>
        <v>1695.5685851685193</v>
      </c>
      <c r="R42" s="7">
        <f>Inputs!$B72*(1+inf)^Q$1</f>
        <v>1737.9577997977326</v>
      </c>
      <c r="S42" s="7">
        <f>Inputs!$B72*(1+inf)^R$1</f>
        <v>1781.4067447926757</v>
      </c>
      <c r="T42" s="7">
        <f>Inputs!$B72*(1+inf)^S$1</f>
        <v>1825.9419134124923</v>
      </c>
      <c r="U42" s="7">
        <f>Inputs!$B72*(1+inf)^T$1</f>
        <v>1871.5904612478048</v>
      </c>
      <c r="V42" s="7">
        <f>Inputs!$B72*(1+inf)^U$1</f>
        <v>1918.380222779</v>
      </c>
      <c r="W42" s="7">
        <f>Inputs!$B72*(1+inf)^V$1</f>
        <v>1966.3397283484746</v>
      </c>
      <c r="X42" s="7">
        <f>Inputs!$B72*(1+inf)^W$1</f>
        <v>2015.4982215571863</v>
      </c>
      <c r="Y42" s="7">
        <f>Inputs!$B72*(1+inf)^X$1</f>
        <v>2065.8856770961161</v>
      </c>
      <c r="Z42" s="7">
        <f>Inputs!$B72*(1+inf)^Y$1</f>
        <v>2117.5328190235191</v>
      </c>
      <c r="AA42" s="7">
        <f>Inputs!$B72*(1+inf)^Z$1</f>
        <v>2170.4711394991068</v>
      </c>
      <c r="AB42" s="7">
        <f>Inputs!$B72*(1+inf)^AA$1</f>
        <v>2224.7329179865842</v>
      </c>
      <c r="AC42" s="7">
        <f>Inputs!$B72*(1+inf)^AB$1</f>
        <v>2280.3512409362484</v>
      </c>
      <c r="AD42" s="7">
        <f>Inputs!$B72*(1+inf)^AC$1</f>
        <v>2337.3600219596547</v>
      </c>
      <c r="AE42" s="7">
        <f>Inputs!$B72*(1+inf)^AD$1</f>
        <v>2395.7940225086459</v>
      </c>
      <c r="AF42" s="7">
        <f>Inputs!$B72*(1+inf)^AE$1</f>
        <v>2455.6888730713622</v>
      </c>
      <c r="AG42" s="7">
        <f>Inputs!$B72*(1+inf)^AF$1</f>
        <v>2517.0810948981457</v>
      </c>
      <c r="AH42" s="7">
        <f>Inputs!$B72*(1+inf)^AG$1</f>
        <v>2580.0081222705999</v>
      </c>
      <c r="AI42" s="7">
        <f>Inputs!$B72*(1+inf)^AH$1</f>
        <v>2644.5083253273642</v>
      </c>
      <c r="AJ42" s="7">
        <f>Inputs!$B72*(1+inf)^AI$1</f>
        <v>2710.6210334605485</v>
      </c>
      <c r="AK42" s="7">
        <f>Inputs!$B72*(1+inf)^AJ$1</f>
        <v>2778.3865592970619</v>
      </c>
      <c r="AL42" s="7">
        <f>Inputs!$B72*(1+inf)^AK$1</f>
        <v>2847.8462232794882</v>
      </c>
      <c r="AM42" s="7">
        <f>Inputs!$B72*(1+inf)^AL$1</f>
        <v>2919.0423788614758</v>
      </c>
    </row>
    <row r="43" spans="1:39">
      <c r="A43" s="3" t="str">
        <f>TEXT(Inputs!$B$75,"")</f>
        <v>Gudja</v>
      </c>
      <c r="B43" s="8"/>
      <c r="C43" s="7">
        <f>Inputs!$B77*(1+inf)^B$1</f>
        <v>1000</v>
      </c>
      <c r="D43" s="7">
        <f>Inputs!$B77*(1+inf)^C$1</f>
        <v>1025</v>
      </c>
      <c r="E43" s="7">
        <f>Inputs!$B77*(1+inf)^D$1</f>
        <v>1050.625</v>
      </c>
      <c r="F43" s="7">
        <f>Inputs!$B77*(1+inf)^E$1</f>
        <v>1076.8906249999998</v>
      </c>
      <c r="G43" s="7">
        <f>Inputs!$B77*(1+inf)^F$1</f>
        <v>1103.8128906249997</v>
      </c>
      <c r="H43" s="7">
        <f>Inputs!$B77*(1+inf)^G$1</f>
        <v>1131.4082128906246</v>
      </c>
      <c r="I43" s="7">
        <f>Inputs!$B77*(1+inf)^H$1</f>
        <v>1159.6934182128903</v>
      </c>
      <c r="J43" s="7">
        <f>Inputs!$B77*(1+inf)^I$1</f>
        <v>1188.6857536682126</v>
      </c>
      <c r="K43" s="7">
        <f>Inputs!$B77*(1+inf)^J$1</f>
        <v>1218.4028975099177</v>
      </c>
      <c r="L43" s="7">
        <f>Inputs!$B77*(1+inf)^K$1</f>
        <v>1248.8629699476655</v>
      </c>
      <c r="M43" s="7">
        <f>Inputs!$B77*(1+inf)^L$1</f>
        <v>1280.084544196357</v>
      </c>
      <c r="N43" s="7">
        <f>Inputs!$B77*(1+inf)^M$1</f>
        <v>1312.086657801266</v>
      </c>
      <c r="O43" s="7">
        <f>Inputs!$B77*(1+inf)^N$1</f>
        <v>1344.8888242462974</v>
      </c>
      <c r="P43" s="7">
        <f>Inputs!$B77*(1+inf)^O$1</f>
        <v>1378.5110448524549</v>
      </c>
      <c r="Q43" s="7">
        <f>Inputs!$B77*(1+inf)^P$1</f>
        <v>1412.9738209737661</v>
      </c>
      <c r="R43" s="7">
        <f>Inputs!$B77*(1+inf)^Q$1</f>
        <v>1448.2981664981105</v>
      </c>
      <c r="S43" s="7">
        <f>Inputs!$B77*(1+inf)^R$1</f>
        <v>1484.5056206605632</v>
      </c>
      <c r="T43" s="7">
        <f>Inputs!$B77*(1+inf)^S$1</f>
        <v>1521.6182611770771</v>
      </c>
      <c r="U43" s="7">
        <f>Inputs!$B77*(1+inf)^T$1</f>
        <v>1559.6587177065039</v>
      </c>
      <c r="V43" s="7">
        <f>Inputs!$B77*(1+inf)^U$1</f>
        <v>1598.6501856491666</v>
      </c>
      <c r="W43" s="7">
        <f>Inputs!$B77*(1+inf)^V$1</f>
        <v>1638.6164402903955</v>
      </c>
      <c r="X43" s="7">
        <f>Inputs!$B77*(1+inf)^W$1</f>
        <v>1679.5818512976552</v>
      </c>
      <c r="Y43" s="7">
        <f>Inputs!$B77*(1+inf)^X$1</f>
        <v>1721.5713975800966</v>
      </c>
      <c r="Z43" s="7">
        <f>Inputs!$B77*(1+inf)^Y$1</f>
        <v>1764.6106825195991</v>
      </c>
      <c r="AA43" s="7">
        <f>Inputs!$B77*(1+inf)^Z$1</f>
        <v>1808.725949582589</v>
      </c>
      <c r="AB43" s="7">
        <f>Inputs!$B77*(1+inf)^AA$1</f>
        <v>1853.9440983221534</v>
      </c>
      <c r="AC43" s="7">
        <f>Inputs!$B77*(1+inf)^AB$1</f>
        <v>1900.292700780207</v>
      </c>
      <c r="AD43" s="7">
        <f>Inputs!$B77*(1+inf)^AC$1</f>
        <v>1947.8000182997121</v>
      </c>
      <c r="AE43" s="7">
        <f>Inputs!$B77*(1+inf)^AD$1</f>
        <v>1996.4950187572049</v>
      </c>
      <c r="AF43" s="7">
        <f>Inputs!$B77*(1+inf)^AE$1</f>
        <v>2046.4073942261352</v>
      </c>
      <c r="AG43" s="7">
        <f>Inputs!$B77*(1+inf)^AF$1</f>
        <v>2097.5675790817882</v>
      </c>
      <c r="AH43" s="7">
        <f>Inputs!$B77*(1+inf)^AG$1</f>
        <v>2150.0067685588333</v>
      </c>
      <c r="AI43" s="7">
        <f>Inputs!$B77*(1+inf)^AH$1</f>
        <v>2203.7569377728037</v>
      </c>
      <c r="AJ43" s="7">
        <f>Inputs!$B77*(1+inf)^AI$1</f>
        <v>2258.8508612171236</v>
      </c>
      <c r="AK43" s="7">
        <f>Inputs!$B77*(1+inf)^AJ$1</f>
        <v>2315.3221327475517</v>
      </c>
      <c r="AL43" s="7">
        <f>Inputs!$B77*(1+inf)^AK$1</f>
        <v>2373.20518606624</v>
      </c>
      <c r="AM43" s="7">
        <f>Inputs!$B77*(1+inf)^AL$1</f>
        <v>2432.5353157178965</v>
      </c>
    </row>
    <row r="44" spans="1:39">
      <c r="A44" s="3" t="str">
        <f>TEXT(Inputs!$B$80,"")</f>
        <v>Marsa</v>
      </c>
      <c r="B44" s="8"/>
      <c r="C44" s="7">
        <f>Inputs!$B82*(1+inf)^B$1</f>
        <v>800</v>
      </c>
      <c r="D44" s="7">
        <f>Inputs!$B82*(1+inf)^C$1</f>
        <v>819.99999999999989</v>
      </c>
      <c r="E44" s="7">
        <f>Inputs!$B82*(1+inf)^D$1</f>
        <v>840.49999999999989</v>
      </c>
      <c r="F44" s="7">
        <f>Inputs!$B82*(1+inf)^E$1</f>
        <v>861.51249999999993</v>
      </c>
      <c r="G44" s="7">
        <f>Inputs!$B82*(1+inf)^F$1</f>
        <v>883.05031249999979</v>
      </c>
      <c r="H44" s="7">
        <f>Inputs!$B82*(1+inf)^G$1</f>
        <v>905.12657031249978</v>
      </c>
      <c r="I44" s="7">
        <f>Inputs!$B82*(1+inf)^H$1</f>
        <v>927.75473457031217</v>
      </c>
      <c r="J44" s="7">
        <f>Inputs!$B82*(1+inf)^I$1</f>
        <v>950.94860293456998</v>
      </c>
      <c r="K44" s="7">
        <f>Inputs!$B82*(1+inf)^J$1</f>
        <v>974.72231800793418</v>
      </c>
      <c r="L44" s="7">
        <f>Inputs!$B82*(1+inf)^K$1</f>
        <v>999.09037595813231</v>
      </c>
      <c r="M44" s="7">
        <f>Inputs!$B82*(1+inf)^L$1</f>
        <v>1024.0676353570857</v>
      </c>
      <c r="N44" s="7">
        <f>Inputs!$B82*(1+inf)^M$1</f>
        <v>1049.6693262410129</v>
      </c>
      <c r="O44" s="7">
        <f>Inputs!$B82*(1+inf)^N$1</f>
        <v>1075.9110593970381</v>
      </c>
      <c r="P44" s="7">
        <f>Inputs!$B82*(1+inf)^O$1</f>
        <v>1102.8088358819639</v>
      </c>
      <c r="Q44" s="7">
        <f>Inputs!$B82*(1+inf)^P$1</f>
        <v>1130.3790567790129</v>
      </c>
      <c r="R44" s="7">
        <f>Inputs!$B82*(1+inf)^Q$1</f>
        <v>1158.6385331984884</v>
      </c>
      <c r="S44" s="7">
        <f>Inputs!$B82*(1+inf)^R$1</f>
        <v>1187.6044965284505</v>
      </c>
      <c r="T44" s="7">
        <f>Inputs!$B82*(1+inf)^S$1</f>
        <v>1217.2946089416616</v>
      </c>
      <c r="U44" s="7">
        <f>Inputs!$B82*(1+inf)^T$1</f>
        <v>1247.7269741652033</v>
      </c>
      <c r="V44" s="7">
        <f>Inputs!$B82*(1+inf)^U$1</f>
        <v>1278.9201485193332</v>
      </c>
      <c r="W44" s="7">
        <f>Inputs!$B82*(1+inf)^V$1</f>
        <v>1310.8931522323164</v>
      </c>
      <c r="X44" s="7">
        <f>Inputs!$B82*(1+inf)^W$1</f>
        <v>1343.6654810381242</v>
      </c>
      <c r="Y44" s="7">
        <f>Inputs!$B82*(1+inf)^X$1</f>
        <v>1377.2571180640773</v>
      </c>
      <c r="Z44" s="7">
        <f>Inputs!$B82*(1+inf)^Y$1</f>
        <v>1411.6885460156793</v>
      </c>
      <c r="AA44" s="7">
        <f>Inputs!$B82*(1+inf)^Z$1</f>
        <v>1446.9807596660712</v>
      </c>
      <c r="AB44" s="7">
        <f>Inputs!$B82*(1+inf)^AA$1</f>
        <v>1483.1552786577226</v>
      </c>
      <c r="AC44" s="7">
        <f>Inputs!$B82*(1+inf)^AB$1</f>
        <v>1520.2341606241657</v>
      </c>
      <c r="AD44" s="7">
        <f>Inputs!$B82*(1+inf)^AC$1</f>
        <v>1558.2400146397697</v>
      </c>
      <c r="AE44" s="7">
        <f>Inputs!$B82*(1+inf)^AD$1</f>
        <v>1597.1960150057639</v>
      </c>
      <c r="AF44" s="7">
        <f>Inputs!$B82*(1+inf)^AE$1</f>
        <v>1637.1259153809081</v>
      </c>
      <c r="AG44" s="7">
        <f>Inputs!$B82*(1+inf)^AF$1</f>
        <v>1678.0540632654304</v>
      </c>
      <c r="AH44" s="7">
        <f>Inputs!$B82*(1+inf)^AG$1</f>
        <v>1720.0054148470667</v>
      </c>
      <c r="AI44" s="7">
        <f>Inputs!$B82*(1+inf)^AH$1</f>
        <v>1763.0055502182429</v>
      </c>
      <c r="AJ44" s="7">
        <f>Inputs!$B82*(1+inf)^AI$1</f>
        <v>1807.0806889736989</v>
      </c>
      <c r="AK44" s="7">
        <f>Inputs!$B82*(1+inf)^AJ$1</f>
        <v>1852.2577061980414</v>
      </c>
      <c r="AL44" s="7">
        <f>Inputs!$B82*(1+inf)^AK$1</f>
        <v>1898.5641488529923</v>
      </c>
      <c r="AM44" s="7">
        <f>Inputs!$B82*(1+inf)^AL$1</f>
        <v>1946.0282525743171</v>
      </c>
    </row>
    <row r="45" spans="1:39">
      <c r="A45" s="4" t="s">
        <v>16</v>
      </c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 spans="1:39">
      <c r="A46" s="3" t="s">
        <v>56</v>
      </c>
      <c r="B46" s="8"/>
      <c r="C46" s="7">
        <f>Inputs!$B$25*(1+inf)^B$1</f>
        <v>50000</v>
      </c>
      <c r="D46" s="7">
        <f>Inputs!$B$25*(1+inf)^C$1</f>
        <v>51249.999999999993</v>
      </c>
      <c r="E46" s="7">
        <f>Inputs!$B$25*(1+inf)^D$1</f>
        <v>52531.249999999993</v>
      </c>
      <c r="F46" s="7">
        <f>Inputs!$B$25*(1+inf)^E$1</f>
        <v>53844.531249999993</v>
      </c>
      <c r="G46" s="7">
        <f>Inputs!$B$25*(1+inf)^F$1</f>
        <v>55190.644531249985</v>
      </c>
      <c r="H46" s="7">
        <f>Inputs!$B$25*(1+inf)^G$1</f>
        <v>56570.410644531235</v>
      </c>
      <c r="I46" s="7">
        <f>Inputs!$B$25*(1+inf)^H$1</f>
        <v>57984.670910644512</v>
      </c>
      <c r="J46" s="7">
        <f>Inputs!$B$25*(1+inf)^I$1</f>
        <v>59434.287683410628</v>
      </c>
      <c r="K46" s="7">
        <f>Inputs!$B$25*(1+inf)^J$1</f>
        <v>60920.144875495884</v>
      </c>
      <c r="L46" s="7">
        <f>Inputs!$B$25*(1+inf)^K$1</f>
        <v>62443.14849738327</v>
      </c>
      <c r="M46" s="7">
        <f>Inputs!$B$25*(1+inf)^L$1</f>
        <v>64004.227209817851</v>
      </c>
      <c r="N46" s="7">
        <f>Inputs!$B$25*(1+inf)^M$1</f>
        <v>65604.332890063306</v>
      </c>
      <c r="O46" s="7">
        <f>Inputs!$B$25*(1+inf)^N$1</f>
        <v>67244.44121231488</v>
      </c>
      <c r="P46" s="7">
        <f>Inputs!$B$25*(1+inf)^O$1</f>
        <v>68925.55224262274</v>
      </c>
      <c r="Q46" s="7">
        <f>Inputs!$B$25*(1+inf)^P$1</f>
        <v>70648.691048688299</v>
      </c>
      <c r="R46" s="7">
        <f>Inputs!$B$25*(1+inf)^Q$1</f>
        <v>72414.908324905526</v>
      </c>
      <c r="S46" s="7">
        <f>Inputs!$B$25*(1+inf)^R$1</f>
        <v>74225.28103302815</v>
      </c>
      <c r="T46" s="7">
        <f>Inputs!$B$25*(1+inf)^S$1</f>
        <v>76080.913058853854</v>
      </c>
      <c r="U46" s="7">
        <f>Inputs!$B$25*(1+inf)^T$1</f>
        <v>77982.935885325205</v>
      </c>
      <c r="V46" s="7">
        <f>Inputs!$B$25*(1+inf)^U$1</f>
        <v>79932.509282458326</v>
      </c>
      <c r="W46" s="7">
        <f>Inputs!$B$25*(1+inf)^V$1</f>
        <v>81930.82201451977</v>
      </c>
      <c r="X46" s="7">
        <f>Inputs!$B$25*(1+inf)^W$1</f>
        <v>83979.092564882769</v>
      </c>
      <c r="Y46" s="7">
        <f>Inputs!$B$25*(1+inf)^X$1</f>
        <v>86078.569879004834</v>
      </c>
      <c r="Z46" s="7">
        <f>Inputs!$B$25*(1+inf)^Y$1</f>
        <v>88230.534125979961</v>
      </c>
      <c r="AA46" s="7">
        <f>Inputs!$B$25*(1+inf)^Z$1</f>
        <v>90436.29747912944</v>
      </c>
      <c r="AB46" s="7">
        <f>Inputs!$B$25*(1+inf)^AA$1</f>
        <v>92697.204916107672</v>
      </c>
      <c r="AC46" s="7">
        <f>Inputs!$B$25*(1+inf)^AB$1</f>
        <v>95014.635039010347</v>
      </c>
      <c r="AD46" s="7">
        <f>Inputs!$B$25*(1+inf)^AC$1</f>
        <v>97390.000914985605</v>
      </c>
      <c r="AE46" s="7">
        <f>Inputs!$B$25*(1+inf)^AD$1</f>
        <v>99824.750937860241</v>
      </c>
      <c r="AF46" s="7">
        <f>Inputs!$B$25*(1+inf)^AE$1</f>
        <v>102320.36971130676</v>
      </c>
      <c r="AG46" s="7">
        <f>Inputs!$B$25*(1+inf)^AF$1</f>
        <v>104878.37895408941</v>
      </c>
      <c r="AH46" s="7">
        <f>Inputs!$B$25*(1+inf)^AG$1</f>
        <v>107500.33842794166</v>
      </c>
      <c r="AI46" s="7">
        <f>Inputs!$B$25*(1+inf)^AH$1</f>
        <v>110187.84688864018</v>
      </c>
      <c r="AJ46" s="7">
        <f>Inputs!$B$25*(1+inf)^AI$1</f>
        <v>112942.54306085619</v>
      </c>
      <c r="AK46" s="7">
        <f>Inputs!$B$25*(1+inf)^AJ$1</f>
        <v>115766.10663737758</v>
      </c>
      <c r="AL46" s="7">
        <f>Inputs!$B$25*(1+inf)^AK$1</f>
        <v>118660.25930331201</v>
      </c>
      <c r="AM46" s="7">
        <f>Inputs!$B$25*(1+inf)^AL$1</f>
        <v>121626.76578589482</v>
      </c>
    </row>
    <row r="47" spans="1:39">
      <c r="A47" s="3" t="str">
        <f>"Adjustment "&amp;Inputs!A169</f>
        <v>Adjustment from now to 65</v>
      </c>
      <c r="B47" s="8"/>
      <c r="C47" s="7">
        <f>IF(C$3&lt;=65,Inputs!$B$169*C$46,0)</f>
        <v>0</v>
      </c>
      <c r="D47" s="7">
        <f>IF(D$3&lt;=65,Inputs!$B$169*D$46,0)</f>
        <v>0</v>
      </c>
      <c r="E47" s="7">
        <f>IF(E$3&lt;=65,Inputs!$B$169*E$46,0)</f>
        <v>0</v>
      </c>
      <c r="F47" s="7">
        <f>IF(F$3&lt;=65,Inputs!$B$169*F$46,0)</f>
        <v>0</v>
      </c>
      <c r="G47" s="7">
        <f>IF(G$3&lt;=65,Inputs!$B$169*G$46,0)</f>
        <v>0</v>
      </c>
      <c r="H47" s="7">
        <f>IF(H$3&lt;=65,Inputs!$B$169*H$46,0)</f>
        <v>0</v>
      </c>
      <c r="I47" s="7">
        <f>IF(I$3&lt;=65,Inputs!$B$169*I$46,0)</f>
        <v>0</v>
      </c>
      <c r="J47" s="7">
        <f>IF(J$3&lt;=65,Inputs!$B$169*J$46,0)</f>
        <v>0</v>
      </c>
      <c r="K47" s="7">
        <f>IF(K$3&lt;=65,Inputs!$B$169*K$46,0)</f>
        <v>0</v>
      </c>
      <c r="L47" s="7">
        <f>IF(L$3&lt;=65,Inputs!$B$169*L$46,0)</f>
        <v>0</v>
      </c>
      <c r="M47" s="7">
        <f>IF(M$3&lt;=65,Inputs!$B$169*M$46,0)</f>
        <v>0</v>
      </c>
      <c r="N47" s="7">
        <f>IF(N$3&lt;=65,Inputs!$B$169*N$46,0)</f>
        <v>0</v>
      </c>
      <c r="O47" s="7">
        <f>IF(O$3&lt;=65,Inputs!$B$169*O$46,0)</f>
        <v>0</v>
      </c>
      <c r="P47" s="7">
        <f>IF(P$3&lt;=65,Inputs!$B$169*P$46,0)</f>
        <v>0</v>
      </c>
      <c r="Q47" s="7">
        <f>IF(Q$3&lt;=65,Inputs!$B$169*Q$46,0)</f>
        <v>0</v>
      </c>
      <c r="R47" s="7">
        <f>IF(R$3&lt;=65,Inputs!$B$169*R$46,0)</f>
        <v>0</v>
      </c>
      <c r="S47" s="7">
        <f>IF(S$3&lt;=65,Inputs!$B$169*S$46,0)</f>
        <v>0</v>
      </c>
      <c r="T47" s="7">
        <f>IF(T$3&lt;=65,Inputs!$B$169*T$46,0)</f>
        <v>0</v>
      </c>
      <c r="U47" s="7">
        <f>IF(U$3&lt;=65,Inputs!$B$169*U$46,0)</f>
        <v>0</v>
      </c>
      <c r="V47" s="7">
        <f>IF(V$3&lt;=65,Inputs!$B$169*V$46,0)</f>
        <v>0</v>
      </c>
      <c r="W47" s="7">
        <f>IF(W$3&lt;=65,Inputs!$B$169*W$46,0)</f>
        <v>0</v>
      </c>
      <c r="X47" s="7">
        <f>IF(X$3&lt;=65,Inputs!$B$169*X$46,0)</f>
        <v>0</v>
      </c>
      <c r="Y47" s="7">
        <f>IF(Y$3&lt;=65,Inputs!$B$169*Y$46,0)</f>
        <v>0</v>
      </c>
      <c r="Z47" s="7">
        <f>IF(Z$3&lt;=65,Inputs!$B$169*Z$46,0)</f>
        <v>0</v>
      </c>
      <c r="AA47" s="7">
        <f>IF(AA$3&lt;=65,Inputs!$B$169*AA$46,0)</f>
        <v>0</v>
      </c>
      <c r="AB47" s="7">
        <f>IF(AB$3&lt;=65,Inputs!$B$169*AB$46,0)</f>
        <v>0</v>
      </c>
      <c r="AC47" s="7">
        <f>IF(AC$3&lt;=65,Inputs!$B$169*AC$46,0)</f>
        <v>0</v>
      </c>
      <c r="AD47" s="7">
        <f>IF(AD$3&lt;=65,Inputs!$B$169*AD$46,0)</f>
        <v>0</v>
      </c>
      <c r="AE47" s="7">
        <f>IF(AE$3&lt;=65,Inputs!$B$169*AE$46,0)</f>
        <v>0</v>
      </c>
      <c r="AF47" s="7">
        <f>IF(AF$3&lt;=65,Inputs!$B$169*AF$46,0)</f>
        <v>0</v>
      </c>
      <c r="AG47" s="7">
        <f>IF(AG$3&lt;=65,Inputs!$B$169*AG$46,0)</f>
        <v>0</v>
      </c>
      <c r="AH47" s="7">
        <f>IF(AH$3&lt;=65,Inputs!$B$169*AH$46,0)</f>
        <v>0</v>
      </c>
      <c r="AI47" s="7">
        <f>IF(AI$3&lt;=65,Inputs!$B$169*AI$46,0)</f>
        <v>0</v>
      </c>
      <c r="AJ47" s="7">
        <f>IF(AJ$3&lt;=65,Inputs!$B$169*AJ$46,0)</f>
        <v>0</v>
      </c>
      <c r="AK47" s="7">
        <f>IF(AK$3&lt;=65,Inputs!$B$169*AK$46,0)</f>
        <v>0</v>
      </c>
      <c r="AL47" s="7">
        <f>IF(AL$3&lt;=65,Inputs!$B$169*AL$46,0)</f>
        <v>0</v>
      </c>
      <c r="AM47" s="7">
        <f>IF(AM$3&lt;=65,Inputs!$B$169*AM$46,0)</f>
        <v>0</v>
      </c>
    </row>
    <row r="48" spans="1:39">
      <c r="A48" s="3" t="str">
        <f>"Adjustment "&amp;Inputs!A170</f>
        <v>Adjustment from 66-75</v>
      </c>
      <c r="B48" s="8"/>
      <c r="C48" s="7">
        <f>IF(AND(C$3&gt;65,C$3&lt;=75),Inputs!$B$170*C46,0)</f>
        <v>0</v>
      </c>
      <c r="D48" s="7">
        <f>IF(AND(D$3&gt;65,D$3&lt;=75),Inputs!$B$170*D46,0)</f>
        <v>0</v>
      </c>
      <c r="E48" s="7">
        <f>IF(AND(E$3&gt;65,E$3&lt;=75),Inputs!$B$170*E46,0)</f>
        <v>0</v>
      </c>
      <c r="F48" s="7">
        <f>IF(AND(F$3&gt;65,F$3&lt;=75),Inputs!$B$170*F46,0)</f>
        <v>0</v>
      </c>
      <c r="G48" s="7">
        <f>IF(AND(G$3&gt;65,G$3&lt;=75),Inputs!$B$170*G46,0)</f>
        <v>0</v>
      </c>
      <c r="H48" s="7">
        <f>IF(AND(H$3&gt;65,H$3&lt;=75),Inputs!$B$170*H46,0)</f>
        <v>0</v>
      </c>
      <c r="I48" s="7">
        <f>IF(AND(I$3&gt;65,I$3&lt;=75),Inputs!$B$170*I46,0)</f>
        <v>0</v>
      </c>
      <c r="J48" s="7">
        <f>IF(AND(J$3&gt;65,J$3&lt;=75),Inputs!$B$170*J46,0)</f>
        <v>0</v>
      </c>
      <c r="K48" s="7">
        <f>IF(AND(K$3&gt;65,K$3&lt;=75),Inputs!$B$170*K46,0)</f>
        <v>0</v>
      </c>
      <c r="L48" s="7">
        <f>IF(AND(L$3&gt;65,L$3&lt;=75),Inputs!$B$170*L46,0)</f>
        <v>0</v>
      </c>
      <c r="M48" s="7">
        <f>IF(AND(M$3&gt;65,M$3&lt;=75),Inputs!$B$170*M46,0)</f>
        <v>0</v>
      </c>
      <c r="N48" s="7">
        <f>IF(AND(N$3&gt;65,N$3&lt;=75),Inputs!$B$170*N46,0)</f>
        <v>0</v>
      </c>
      <c r="O48" s="7">
        <f>IF(AND(O$3&gt;65,O$3&lt;=75),Inputs!$B$170*O46,0)</f>
        <v>0</v>
      </c>
      <c r="P48" s="7">
        <f>IF(AND(P$3&gt;65,P$3&lt;=75),Inputs!$B$170*P46,0)</f>
        <v>0</v>
      </c>
      <c r="Q48" s="7">
        <f>IF(AND(Q$3&gt;65,Q$3&lt;=75),Inputs!$B$170*Q46,0)</f>
        <v>0</v>
      </c>
      <c r="R48" s="7">
        <f>IF(AND(R$3&gt;65,R$3&lt;=75),Inputs!$B$170*R46,0)</f>
        <v>0</v>
      </c>
      <c r="S48" s="7">
        <f>IF(AND(S$3&gt;65,S$3&lt;=75),Inputs!$B$170*S46,0)</f>
        <v>0</v>
      </c>
      <c r="T48" s="7">
        <f>IF(AND(T$3&gt;65,T$3&lt;=75),Inputs!$B$170*T46,0)</f>
        <v>-7608.0913058853857</v>
      </c>
      <c r="U48" s="7">
        <f>IF(AND(U$3&gt;65,U$3&lt;=75),Inputs!$B$170*U46,0)</f>
        <v>-7798.2935885325205</v>
      </c>
      <c r="V48" s="7">
        <f>IF(AND(V$3&gt;65,V$3&lt;=75),Inputs!$B$170*V46,0)</f>
        <v>-7993.2509282458332</v>
      </c>
      <c r="W48" s="7">
        <f>IF(AND(W$3&gt;65,W$3&lt;=75),Inputs!$B$170*W46,0)</f>
        <v>-8193.0822014519781</v>
      </c>
      <c r="X48" s="7">
        <f>IF(AND(X$3&gt;65,X$3&lt;=75),Inputs!$B$170*X46,0)</f>
        <v>-8397.9092564882776</v>
      </c>
      <c r="Y48" s="7">
        <f>IF(AND(Y$3&gt;65,Y$3&lt;=75),Inputs!$B$170*Y46,0)</f>
        <v>-8607.8569879004845</v>
      </c>
      <c r="Z48" s="7">
        <f>IF(AND(Z$3&gt;65,Z$3&lt;=75),Inputs!$B$170*Z46,0)</f>
        <v>-8823.0534125979957</v>
      </c>
      <c r="AA48" s="7">
        <f>IF(AND(AA$3&gt;65,AA$3&lt;=75),Inputs!$B$170*AA46,0)</f>
        <v>-9043.6297479129444</v>
      </c>
      <c r="AB48" s="7">
        <f>IF(AND(AB$3&gt;65,AB$3&lt;=75),Inputs!$B$170*AB46,0)</f>
        <v>-9269.7204916107676</v>
      </c>
      <c r="AC48" s="7">
        <f>IF(AND(AC$3&gt;65,AC$3&lt;=75),Inputs!$B$170*AC46,0)</f>
        <v>-9501.4635039010354</v>
      </c>
      <c r="AD48" s="7">
        <f>IF(AND(AD$3&gt;65,AD$3&lt;=75),Inputs!$B$170*AD46,0)</f>
        <v>0</v>
      </c>
      <c r="AE48" s="7">
        <f>IF(AND(AE$3&gt;65,AE$3&lt;=75),Inputs!$B$170*AE46,0)</f>
        <v>0</v>
      </c>
      <c r="AF48" s="7">
        <f>IF(AND(AF$3&gt;65,AF$3&lt;=75),Inputs!$B$170*AF46,0)</f>
        <v>0</v>
      </c>
      <c r="AG48" s="7">
        <f>IF(AND(AG$3&gt;65,AG$3&lt;=75),Inputs!$B$170*AG46,0)</f>
        <v>0</v>
      </c>
      <c r="AH48" s="7">
        <f>IF(AND(AH$3&gt;65,AH$3&lt;=75),Inputs!$B$170*AH46,0)</f>
        <v>0</v>
      </c>
      <c r="AI48" s="7">
        <f>IF(AND(AI$3&gt;65,AI$3&lt;=75),Inputs!$B$170*AI46,0)</f>
        <v>0</v>
      </c>
      <c r="AJ48" s="7">
        <f>IF(AND(AJ$3&gt;65,AJ$3&lt;=75),Inputs!$B$170*AJ46,0)</f>
        <v>0</v>
      </c>
      <c r="AK48" s="7">
        <f>IF(AND(AK$3&gt;65,AK$3&lt;=75),Inputs!$B$170*AK46,0)</f>
        <v>0</v>
      </c>
      <c r="AL48" s="7">
        <f>IF(AND(AL$3&gt;65,AL$3&lt;=75),Inputs!$B$170*AL46,0)</f>
        <v>0</v>
      </c>
      <c r="AM48" s="7">
        <f>IF(AND(AM$3&gt;65,AM$3&lt;=75),Inputs!$B$170*AM46,0)</f>
        <v>0</v>
      </c>
    </row>
    <row r="49" spans="1:39">
      <c r="A49" s="3" t="str">
        <f>"Adjustment "&amp;Inputs!A171</f>
        <v>Adjustment from age 76</v>
      </c>
      <c r="B49" s="8"/>
      <c r="C49" s="7">
        <f>IF(C$3&gt;75,Inputs!$B$171*C$46,0)</f>
        <v>0</v>
      </c>
      <c r="D49" s="7">
        <f>IF(D$3&gt;75,Inputs!$B$171*D$46,0)</f>
        <v>0</v>
      </c>
      <c r="E49" s="7">
        <f>IF(E$3&gt;75,Inputs!$B$171*E$46,0)</f>
        <v>0</v>
      </c>
      <c r="F49" s="7">
        <f>IF(F$3&gt;75,Inputs!$B$171*F$46,0)</f>
        <v>0</v>
      </c>
      <c r="G49" s="7">
        <f>IF(G$3&gt;75,Inputs!$B$171*G$46,0)</f>
        <v>0</v>
      </c>
      <c r="H49" s="7">
        <f>IF(H$3&gt;75,Inputs!$B$171*H$46,0)</f>
        <v>0</v>
      </c>
      <c r="I49" s="7">
        <f>IF(I$3&gt;75,Inputs!$B$171*I$46,0)</f>
        <v>0</v>
      </c>
      <c r="J49" s="7">
        <f>IF(J$3&gt;75,Inputs!$B$171*J$46,0)</f>
        <v>0</v>
      </c>
      <c r="K49" s="7">
        <f>IF(K$3&gt;75,Inputs!$B$171*K$46,0)</f>
        <v>0</v>
      </c>
      <c r="L49" s="7">
        <f>IF(L$3&gt;75,Inputs!$B$171*L$46,0)</f>
        <v>0</v>
      </c>
      <c r="M49" s="7">
        <f>IF(M$3&gt;75,Inputs!$B$171*M$46,0)</f>
        <v>0</v>
      </c>
      <c r="N49" s="7">
        <f>IF(N$3&gt;75,Inputs!$B$171*N$46,0)</f>
        <v>0</v>
      </c>
      <c r="O49" s="7">
        <f>IF(O$3&gt;75,Inputs!$B$171*O$46,0)</f>
        <v>0</v>
      </c>
      <c r="P49" s="7">
        <f>IF(P$3&gt;75,Inputs!$B$171*P$46,0)</f>
        <v>0</v>
      </c>
      <c r="Q49" s="7">
        <f>IF(Q$3&gt;75,Inputs!$B$171*Q$46,0)</f>
        <v>0</v>
      </c>
      <c r="R49" s="7">
        <f>IF(R$3&gt;75,Inputs!$B$171*R$46,0)</f>
        <v>0</v>
      </c>
      <c r="S49" s="7">
        <f>IF(S$3&gt;75,Inputs!$B$171*S$46,0)</f>
        <v>0</v>
      </c>
      <c r="T49" s="7">
        <f>IF(T$3&gt;75,Inputs!$B$171*T$46,0)</f>
        <v>0</v>
      </c>
      <c r="U49" s="7">
        <f>IF(U$3&gt;75,Inputs!$B$171*U$46,0)</f>
        <v>0</v>
      </c>
      <c r="V49" s="7">
        <f>IF(V$3&gt;75,Inputs!$B$171*V$46,0)</f>
        <v>0</v>
      </c>
      <c r="W49" s="7">
        <f>IF(W$3&gt;75,Inputs!$B$171*W$46,0)</f>
        <v>0</v>
      </c>
      <c r="X49" s="7">
        <f>IF(X$3&gt;75,Inputs!$B$171*X$46,0)</f>
        <v>0</v>
      </c>
      <c r="Y49" s="7">
        <f>IF(Y$3&gt;75,Inputs!$B$171*Y$46,0)</f>
        <v>0</v>
      </c>
      <c r="Z49" s="7">
        <f>IF(Z$3&gt;75,Inputs!$B$171*Z$46,0)</f>
        <v>0</v>
      </c>
      <c r="AA49" s="7">
        <f>IF(AA$3&gt;75,Inputs!$B$171*AA$46,0)</f>
        <v>0</v>
      </c>
      <c r="AB49" s="7">
        <f>IF(AB$3&gt;75,Inputs!$B$171*AB$46,0)</f>
        <v>0</v>
      </c>
      <c r="AC49" s="7">
        <f>IF(AC$3&gt;75,Inputs!$B$171*AC$46,0)</f>
        <v>0</v>
      </c>
      <c r="AD49" s="7">
        <f>IF(AD$3&gt;75,Inputs!$B$171*AD$46,0)</f>
        <v>-19478.000182997122</v>
      </c>
      <c r="AE49" s="7">
        <f>IF(AE$3&gt;75,Inputs!$B$171*AE$46,0)</f>
        <v>-19964.950187572049</v>
      </c>
      <c r="AF49" s="7">
        <f>IF(AF$3&gt;75,Inputs!$B$171*AF$46,0)</f>
        <v>-20464.073942261355</v>
      </c>
      <c r="AG49" s="7">
        <f>IF(AG$3&gt;75,Inputs!$B$171*AG$46,0)</f>
        <v>-20975.675790817884</v>
      </c>
      <c r="AH49" s="7">
        <f>IF(AH$3&gt;75,Inputs!$B$171*AH$46,0)</f>
        <v>-21500.067685588336</v>
      </c>
      <c r="AI49" s="7">
        <f>IF(AI$3&gt;75,Inputs!$B$171*AI$46,0)</f>
        <v>-22037.569377728039</v>
      </c>
      <c r="AJ49" s="7">
        <f>IF(AJ$3&gt;75,Inputs!$B$171*AJ$46,0)</f>
        <v>-22588.508612171237</v>
      </c>
      <c r="AK49" s="7">
        <f>IF(AK$3&gt;75,Inputs!$B$171*AK$46,0)</f>
        <v>-23153.22132747552</v>
      </c>
      <c r="AL49" s="7">
        <f>IF(AL$3&gt;75,Inputs!$B$171*AL$46,0)</f>
        <v>-23732.051860662403</v>
      </c>
      <c r="AM49" s="7">
        <f>IF(AM$3&gt;75,Inputs!$B$171*AM$46,0)</f>
        <v>-24325.353157178964</v>
      </c>
    </row>
    <row r="50" spans="1:39">
      <c r="A50" s="4" t="s">
        <v>60</v>
      </c>
      <c r="B50" s="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</row>
    <row r="51" spans="1:39">
      <c r="A51" s="3" t="str">
        <f>TEXT(Inputs!$B$149,"")</f>
        <v>Wedding</v>
      </c>
      <c r="B51" s="8"/>
      <c r="C51" s="7">
        <f ca="1">IF(C$2=Inputs!$B151,Inputs!$B150,0)*(1+inf)^B$1</f>
        <v>0</v>
      </c>
      <c r="D51" s="7">
        <f ca="1">IF(D$2=Inputs!$B151,Inputs!$B150,0)*(1+inf)^C$1</f>
        <v>0</v>
      </c>
      <c r="E51" s="7">
        <f ca="1">IF(E$2=Inputs!$B151,Inputs!$B150,0)*(1+inf)^D$1</f>
        <v>0</v>
      </c>
      <c r="F51" s="7">
        <f ca="1">IF(F$2=Inputs!$B151,Inputs!$B150,0)*(1+inf)^E$1</f>
        <v>0</v>
      </c>
      <c r="G51" s="7">
        <f ca="1">IF(G$2=Inputs!$B151,Inputs!$B150,0)*(1+inf)^F$1</f>
        <v>0</v>
      </c>
      <c r="H51" s="7">
        <f ca="1">IF(H$2=Inputs!$B151,Inputs!$B150,0)*(1+inf)^G$1</f>
        <v>0</v>
      </c>
      <c r="I51" s="7">
        <f ca="1">IF(I$2=Inputs!$B151,Inputs!$B150,0)*(1+inf)^H$1</f>
        <v>0</v>
      </c>
      <c r="J51" s="7">
        <f ca="1">IF(J$2=Inputs!$B151,Inputs!$B150,0)*(1+inf)^I$1</f>
        <v>0</v>
      </c>
      <c r="K51" s="7">
        <f ca="1">IF(K$2=Inputs!$B151,Inputs!$B150,0)*(1+inf)^J$1</f>
        <v>0</v>
      </c>
      <c r="L51" s="7">
        <f ca="1">IF(L$2=Inputs!$B151,Inputs!$B150,0)*(1+inf)^K$1</f>
        <v>49954.518797906618</v>
      </c>
      <c r="M51" s="7">
        <f ca="1">IF(M$2=Inputs!$B151,Inputs!$B150,0)*(1+inf)^L$1</f>
        <v>0</v>
      </c>
      <c r="N51" s="7">
        <f ca="1">IF(N$2=Inputs!$B151,Inputs!$B150,0)*(1+inf)^M$1</f>
        <v>0</v>
      </c>
      <c r="O51" s="7">
        <f ca="1">IF(O$2=Inputs!$B151,Inputs!$B150,0)*(1+inf)^N$1</f>
        <v>0</v>
      </c>
      <c r="P51" s="7">
        <f ca="1">IF(P$2=Inputs!$B151,Inputs!$B150,0)*(1+inf)^O$1</f>
        <v>0</v>
      </c>
      <c r="Q51" s="7">
        <f ca="1">IF(Q$2=Inputs!$B151,Inputs!$B150,0)*(1+inf)^P$1</f>
        <v>0</v>
      </c>
      <c r="R51" s="7">
        <f ca="1">IF(R$2=Inputs!$B151,Inputs!$B150,0)*(1+inf)^Q$1</f>
        <v>0</v>
      </c>
      <c r="S51" s="7">
        <f ca="1">IF(S$2=Inputs!$B151,Inputs!$B150,0)*(1+inf)^R$1</f>
        <v>0</v>
      </c>
      <c r="T51" s="7">
        <f ca="1">IF(T$2=Inputs!$B151,Inputs!$B150,0)*(1+inf)^S$1</f>
        <v>0</v>
      </c>
      <c r="U51" s="7">
        <f ca="1">IF(U$2=Inputs!$B151,Inputs!$B150,0)*(1+inf)^T$1</f>
        <v>0</v>
      </c>
      <c r="V51" s="7">
        <f ca="1">IF(V$2=Inputs!$B151,Inputs!$B150,0)*(1+inf)^U$1</f>
        <v>0</v>
      </c>
      <c r="W51" s="7">
        <f ca="1">IF(W$2=Inputs!$B151,Inputs!$B150,0)*(1+inf)^V$1</f>
        <v>0</v>
      </c>
      <c r="X51" s="7">
        <f ca="1">IF(X$2=Inputs!$B151,Inputs!$B150,0)*(1+inf)^W$1</f>
        <v>0</v>
      </c>
      <c r="Y51" s="7">
        <f ca="1">IF(Y$2=Inputs!$B151,Inputs!$B150,0)*(1+inf)^X$1</f>
        <v>0</v>
      </c>
      <c r="Z51" s="7">
        <f ca="1">IF(Z$2=Inputs!$B151,Inputs!$B150,0)*(1+inf)^Y$1</f>
        <v>0</v>
      </c>
      <c r="AA51" s="7">
        <f ca="1">IF(AA$2=Inputs!$B151,Inputs!$B150,0)*(1+inf)^Z$1</f>
        <v>0</v>
      </c>
      <c r="AB51" s="7">
        <f ca="1">IF(AB$2=Inputs!$B151,Inputs!$B150,0)*(1+inf)^AA$1</f>
        <v>0</v>
      </c>
      <c r="AC51" s="7">
        <f ca="1">IF(AC$2=Inputs!$B151,Inputs!$B150,0)*(1+inf)^AB$1</f>
        <v>0</v>
      </c>
      <c r="AD51" s="7">
        <f ca="1">IF(AD$2=Inputs!$B151,Inputs!$B150,0)*(1+inf)^AC$1</f>
        <v>0</v>
      </c>
      <c r="AE51" s="7">
        <f ca="1">IF(AE$2=Inputs!$B151,Inputs!$B150,0)*(1+inf)^AD$1</f>
        <v>0</v>
      </c>
      <c r="AF51" s="7">
        <f ca="1">IF(AF$2=Inputs!$B151,Inputs!$B150,0)*(1+inf)^AE$1</f>
        <v>0</v>
      </c>
      <c r="AG51" s="7">
        <f ca="1">IF(AG$2=Inputs!$B151,Inputs!$B150,0)*(1+inf)^AF$1</f>
        <v>0</v>
      </c>
      <c r="AH51" s="7">
        <f ca="1">IF(AH$2=Inputs!$B151,Inputs!$B150,0)*(1+inf)^AG$1</f>
        <v>0</v>
      </c>
      <c r="AI51" s="7">
        <f ca="1">IF(AI$2=Inputs!$B151,Inputs!$B150,0)*(1+inf)^AH$1</f>
        <v>0</v>
      </c>
      <c r="AJ51" s="7">
        <f ca="1">IF(AJ$2=Inputs!$B151,Inputs!$B150,0)*(1+inf)^AI$1</f>
        <v>0</v>
      </c>
      <c r="AK51" s="7">
        <f ca="1">IF(AK$2=Inputs!$B151,Inputs!$B150,0)*(1+inf)^AJ$1</f>
        <v>0</v>
      </c>
      <c r="AL51" s="7">
        <f ca="1">IF(AL$2=Inputs!$B151,Inputs!$B150,0)*(1+inf)^AK$1</f>
        <v>0</v>
      </c>
      <c r="AM51" s="7">
        <f ca="1">IF(AM$2=Inputs!$B151,Inputs!$B150,0)*(1+inf)^AL$1</f>
        <v>0</v>
      </c>
    </row>
    <row r="52" spans="1:39">
      <c r="A52" s="3" t="str">
        <f>TEXT(Inputs!$B$154,"")</f>
        <v>New Car</v>
      </c>
      <c r="B52" s="8"/>
      <c r="C52" s="7">
        <f ca="1">IF(C$2=Inputs!$B156,Inputs!$B155,0)*(1+inf)^B$1</f>
        <v>0</v>
      </c>
      <c r="D52" s="7">
        <f ca="1">IF(D$2=Inputs!$B156,Inputs!$B155,0)*(1+inf)^C$1</f>
        <v>0</v>
      </c>
      <c r="E52" s="7">
        <f ca="1">IF(E$2=Inputs!$B156,Inputs!$B155,0)*(1+inf)^D$1</f>
        <v>36771.875</v>
      </c>
      <c r="F52" s="7">
        <f ca="1">IF(F$2=Inputs!$B156,Inputs!$B155,0)*(1+inf)^E$1</f>
        <v>0</v>
      </c>
      <c r="G52" s="7">
        <f ca="1">IF(G$2=Inputs!$B156,Inputs!$B155,0)*(1+inf)^F$1</f>
        <v>0</v>
      </c>
      <c r="H52" s="7">
        <f ca="1">IF(H$2=Inputs!$B156,Inputs!$B155,0)*(1+inf)^G$1</f>
        <v>0</v>
      </c>
      <c r="I52" s="7">
        <f ca="1">IF(I$2=Inputs!$B156,Inputs!$B155,0)*(1+inf)^H$1</f>
        <v>0</v>
      </c>
      <c r="J52" s="7">
        <f ca="1">IF(J$2=Inputs!$B156,Inputs!$B155,0)*(1+inf)^I$1</f>
        <v>0</v>
      </c>
      <c r="K52" s="7">
        <f ca="1">IF(K$2=Inputs!$B156,Inputs!$B155,0)*(1+inf)^J$1</f>
        <v>0</v>
      </c>
      <c r="L52" s="7">
        <f ca="1">IF(L$2=Inputs!$B156,Inputs!$B155,0)*(1+inf)^K$1</f>
        <v>0</v>
      </c>
      <c r="M52" s="7">
        <f ca="1">IF(M$2=Inputs!$B156,Inputs!$B155,0)*(1+inf)^L$1</f>
        <v>0</v>
      </c>
      <c r="N52" s="7">
        <f ca="1">IF(N$2=Inputs!$B156,Inputs!$B155,0)*(1+inf)^M$1</f>
        <v>0</v>
      </c>
      <c r="O52" s="7">
        <f ca="1">IF(O$2=Inputs!$B156,Inputs!$B155,0)*(1+inf)^N$1</f>
        <v>0</v>
      </c>
      <c r="P52" s="7">
        <f ca="1">IF(P$2=Inputs!$B156,Inputs!$B155,0)*(1+inf)^O$1</f>
        <v>0</v>
      </c>
      <c r="Q52" s="7">
        <f ca="1">IF(Q$2=Inputs!$B156,Inputs!$B155,0)*(1+inf)^P$1</f>
        <v>0</v>
      </c>
      <c r="R52" s="7">
        <f ca="1">IF(R$2=Inputs!$B156,Inputs!$B155,0)*(1+inf)^Q$1</f>
        <v>0</v>
      </c>
      <c r="S52" s="7">
        <f ca="1">IF(S$2=Inputs!$B156,Inputs!$B155,0)*(1+inf)^R$1</f>
        <v>0</v>
      </c>
      <c r="T52" s="7">
        <f ca="1">IF(T$2=Inputs!$B156,Inputs!$B155,0)*(1+inf)^S$1</f>
        <v>0</v>
      </c>
      <c r="U52" s="7">
        <f ca="1">IF(U$2=Inputs!$B156,Inputs!$B155,0)*(1+inf)^T$1</f>
        <v>0</v>
      </c>
      <c r="V52" s="7">
        <f ca="1">IF(V$2=Inputs!$B156,Inputs!$B155,0)*(1+inf)^U$1</f>
        <v>0</v>
      </c>
      <c r="W52" s="7">
        <f ca="1">IF(W$2=Inputs!$B156,Inputs!$B155,0)*(1+inf)^V$1</f>
        <v>0</v>
      </c>
      <c r="X52" s="7">
        <f ca="1">IF(X$2=Inputs!$B156,Inputs!$B155,0)*(1+inf)^W$1</f>
        <v>0</v>
      </c>
      <c r="Y52" s="7">
        <f ca="1">IF(Y$2=Inputs!$B156,Inputs!$B155,0)*(1+inf)^X$1</f>
        <v>0</v>
      </c>
      <c r="Z52" s="7">
        <f ca="1">IF(Z$2=Inputs!$B156,Inputs!$B155,0)*(1+inf)^Y$1</f>
        <v>0</v>
      </c>
      <c r="AA52" s="7">
        <f ca="1">IF(AA$2=Inputs!$B156,Inputs!$B155,0)*(1+inf)^Z$1</f>
        <v>0</v>
      </c>
      <c r="AB52" s="7">
        <f ca="1">IF(AB$2=Inputs!$B156,Inputs!$B155,0)*(1+inf)^AA$1</f>
        <v>0</v>
      </c>
      <c r="AC52" s="7">
        <f ca="1">IF(AC$2=Inputs!$B156,Inputs!$B155,0)*(1+inf)^AB$1</f>
        <v>0</v>
      </c>
      <c r="AD52" s="7">
        <f ca="1">IF(AD$2=Inputs!$B156,Inputs!$B155,0)*(1+inf)^AC$1</f>
        <v>0</v>
      </c>
      <c r="AE52" s="7">
        <f ca="1">IF(AE$2=Inputs!$B156,Inputs!$B155,0)*(1+inf)^AD$1</f>
        <v>0</v>
      </c>
      <c r="AF52" s="7">
        <f ca="1">IF(AF$2=Inputs!$B156,Inputs!$B155,0)*(1+inf)^AE$1</f>
        <v>0</v>
      </c>
      <c r="AG52" s="7">
        <f ca="1">IF(AG$2=Inputs!$B156,Inputs!$B155,0)*(1+inf)^AF$1</f>
        <v>0</v>
      </c>
      <c r="AH52" s="7">
        <f ca="1">IF(AH$2=Inputs!$B156,Inputs!$B155,0)*(1+inf)^AG$1</f>
        <v>0</v>
      </c>
      <c r="AI52" s="7">
        <f ca="1">IF(AI$2=Inputs!$B156,Inputs!$B155,0)*(1+inf)^AH$1</f>
        <v>0</v>
      </c>
      <c r="AJ52" s="7">
        <f ca="1">IF(AJ$2=Inputs!$B156,Inputs!$B155,0)*(1+inf)^AI$1</f>
        <v>0</v>
      </c>
      <c r="AK52" s="7">
        <f ca="1">IF(AK$2=Inputs!$B156,Inputs!$B155,0)*(1+inf)^AJ$1</f>
        <v>0</v>
      </c>
      <c r="AL52" s="7">
        <f ca="1">IF(AL$2=Inputs!$B156,Inputs!$B155,0)*(1+inf)^AK$1</f>
        <v>0</v>
      </c>
      <c r="AM52" s="7">
        <f ca="1">IF(AM$2=Inputs!$B156,Inputs!$B155,0)*(1+inf)^AL$1</f>
        <v>0</v>
      </c>
    </row>
    <row r="53" spans="1:39">
      <c r="A53" s="3" t="str">
        <f>TEXT(Inputs!$B$159,"")</f>
        <v>New AC</v>
      </c>
      <c r="B53" s="8"/>
      <c r="C53" s="7">
        <f ca="1">IF(C$2=Inputs!$B161,Inputs!$B160,0)*(1+inf)^B$1</f>
        <v>0</v>
      </c>
      <c r="D53" s="7">
        <f ca="1">IF(D$2=Inputs!$B161,Inputs!$B160,0)*(1+inf)^C$1</f>
        <v>0</v>
      </c>
      <c r="E53" s="7">
        <f ca="1">IF(E$2=Inputs!$B161,Inputs!$B160,0)*(1+inf)^D$1</f>
        <v>0</v>
      </c>
      <c r="F53" s="7">
        <f ca="1">IF(F$2=Inputs!$B161,Inputs!$B160,0)*(1+inf)^E$1</f>
        <v>0</v>
      </c>
      <c r="G53" s="7">
        <f ca="1">IF(G$2=Inputs!$B161,Inputs!$B160,0)*(1+inf)^F$1</f>
        <v>0</v>
      </c>
      <c r="H53" s="7">
        <f ca="1">IF(H$2=Inputs!$B161,Inputs!$B160,0)*(1+inf)^G$1</f>
        <v>0</v>
      </c>
      <c r="I53" s="7">
        <f ca="1">IF(I$2=Inputs!$B161,Inputs!$B160,0)*(1+inf)^H$1</f>
        <v>0</v>
      </c>
      <c r="J53" s="7">
        <f ca="1">IF(J$2=Inputs!$B161,Inputs!$B160,0)*(1+inf)^I$1</f>
        <v>17830.286305023186</v>
      </c>
      <c r="K53" s="7">
        <f ca="1">IF(K$2=Inputs!$B161,Inputs!$B160,0)*(1+inf)^J$1</f>
        <v>0</v>
      </c>
      <c r="L53" s="7">
        <f ca="1">IF(L$2=Inputs!$B161,Inputs!$B160,0)*(1+inf)^K$1</f>
        <v>0</v>
      </c>
      <c r="M53" s="7">
        <f ca="1">IF(M$2=Inputs!$B161,Inputs!$B160,0)*(1+inf)^L$1</f>
        <v>0</v>
      </c>
      <c r="N53" s="7">
        <f ca="1">IF(N$2=Inputs!$B161,Inputs!$B160,0)*(1+inf)^M$1</f>
        <v>0</v>
      </c>
      <c r="O53" s="7">
        <f ca="1">IF(O$2=Inputs!$B161,Inputs!$B160,0)*(1+inf)^N$1</f>
        <v>0</v>
      </c>
      <c r="P53" s="7">
        <f ca="1">IF(P$2=Inputs!$B161,Inputs!$B160,0)*(1+inf)^O$1</f>
        <v>0</v>
      </c>
      <c r="Q53" s="7">
        <f ca="1">IF(Q$2=Inputs!$B161,Inputs!$B160,0)*(1+inf)^P$1</f>
        <v>0</v>
      </c>
      <c r="R53" s="7">
        <f ca="1">IF(R$2=Inputs!$B161,Inputs!$B160,0)*(1+inf)^Q$1</f>
        <v>0</v>
      </c>
      <c r="S53" s="7">
        <f ca="1">IF(S$2=Inputs!$B161,Inputs!$B160,0)*(1+inf)^R$1</f>
        <v>0</v>
      </c>
      <c r="T53" s="7">
        <f ca="1">IF(T$2=Inputs!$B161,Inputs!$B160,0)*(1+inf)^S$1</f>
        <v>0</v>
      </c>
      <c r="U53" s="7">
        <f ca="1">IF(U$2=Inputs!$B161,Inputs!$B160,0)*(1+inf)^T$1</f>
        <v>0</v>
      </c>
      <c r="V53" s="7">
        <f ca="1">IF(V$2=Inputs!$B161,Inputs!$B160,0)*(1+inf)^U$1</f>
        <v>0</v>
      </c>
      <c r="W53" s="7">
        <f ca="1">IF(W$2=Inputs!$B161,Inputs!$B160,0)*(1+inf)^V$1</f>
        <v>0</v>
      </c>
      <c r="X53" s="7">
        <f ca="1">IF(X$2=Inputs!$B161,Inputs!$B160,0)*(1+inf)^W$1</f>
        <v>0</v>
      </c>
      <c r="Y53" s="7">
        <f ca="1">IF(Y$2=Inputs!$B161,Inputs!$B160,0)*(1+inf)^X$1</f>
        <v>0</v>
      </c>
      <c r="Z53" s="7">
        <f ca="1">IF(Z$2=Inputs!$B161,Inputs!$B160,0)*(1+inf)^Y$1</f>
        <v>0</v>
      </c>
      <c r="AA53" s="7">
        <f ca="1">IF(AA$2=Inputs!$B161,Inputs!$B160,0)*(1+inf)^Z$1</f>
        <v>0</v>
      </c>
      <c r="AB53" s="7">
        <f ca="1">IF(AB$2=Inputs!$B161,Inputs!$B160,0)*(1+inf)^AA$1</f>
        <v>0</v>
      </c>
      <c r="AC53" s="7">
        <f ca="1">IF(AC$2=Inputs!$B161,Inputs!$B160,0)*(1+inf)^AB$1</f>
        <v>0</v>
      </c>
      <c r="AD53" s="7">
        <f ca="1">IF(AD$2=Inputs!$B161,Inputs!$B160,0)*(1+inf)^AC$1</f>
        <v>0</v>
      </c>
      <c r="AE53" s="7">
        <f ca="1">IF(AE$2=Inputs!$B161,Inputs!$B160,0)*(1+inf)^AD$1</f>
        <v>0</v>
      </c>
      <c r="AF53" s="7">
        <f ca="1">IF(AF$2=Inputs!$B161,Inputs!$B160,0)*(1+inf)^AE$1</f>
        <v>0</v>
      </c>
      <c r="AG53" s="7">
        <f ca="1">IF(AG$2=Inputs!$B161,Inputs!$B160,0)*(1+inf)^AF$1</f>
        <v>0</v>
      </c>
      <c r="AH53" s="7">
        <f ca="1">IF(AH$2=Inputs!$B161,Inputs!$B160,0)*(1+inf)^AG$1</f>
        <v>0</v>
      </c>
      <c r="AI53" s="7">
        <f ca="1">IF(AI$2=Inputs!$B161,Inputs!$B160,0)*(1+inf)^AH$1</f>
        <v>0</v>
      </c>
      <c r="AJ53" s="7">
        <f ca="1">IF(AJ$2=Inputs!$B161,Inputs!$B160,0)*(1+inf)^AI$1</f>
        <v>0</v>
      </c>
      <c r="AK53" s="7">
        <f ca="1">IF(AK$2=Inputs!$B161,Inputs!$B160,0)*(1+inf)^AJ$1</f>
        <v>0</v>
      </c>
      <c r="AL53" s="7">
        <f ca="1">IF(AL$2=Inputs!$B161,Inputs!$B160,0)*(1+inf)^AK$1</f>
        <v>0</v>
      </c>
      <c r="AM53" s="7">
        <f ca="1">IF(AM$2=Inputs!$B161,Inputs!$B160,0)*(1+inf)^AL$1</f>
        <v>0</v>
      </c>
    </row>
    <row r="54" spans="1:39">
      <c r="A54" s="4"/>
      <c r="C54" s="9">
        <f t="shared" ref="C54:G54" ca="1" si="36">SUM(C22:C53)</f>
        <v>97360</v>
      </c>
      <c r="D54" s="9">
        <f t="shared" ca="1" si="36"/>
        <v>98169</v>
      </c>
      <c r="E54" s="9">
        <f t="shared" ca="1" si="36"/>
        <v>132592.59999999998</v>
      </c>
      <c r="F54" s="9">
        <f t="shared" ca="1" si="36"/>
        <v>91993.6382144573</v>
      </c>
      <c r="G54" s="9">
        <f t="shared" ca="1" si="36"/>
        <v>92089.491195312483</v>
      </c>
      <c r="H54" s="9">
        <f t="shared" ref="H54:AM54" ca="1" si="37">SUM(H22:H53)</f>
        <v>88021.061641888562</v>
      </c>
      <c r="I54" s="9">
        <f t="shared" ca="1" si="37"/>
        <v>77621.605092773418</v>
      </c>
      <c r="J54" s="9">
        <f t="shared" ca="1" si="37"/>
        <v>96300.680332936274</v>
      </c>
      <c r="K54" s="9">
        <f t="shared" ca="1" si="37"/>
        <v>79425.190113170276</v>
      </c>
      <c r="L54" s="9">
        <f t="shared" ca="1" si="37"/>
        <v>128494.60207375375</v>
      </c>
      <c r="M54" s="9">
        <f t="shared" ca="1" si="37"/>
        <v>76805.072651781418</v>
      </c>
      <c r="N54" s="9">
        <f t="shared" ca="1" si="37"/>
        <v>78725.199468075967</v>
      </c>
      <c r="O54" s="9">
        <f t="shared" ca="1" si="37"/>
        <v>80693.32945477785</v>
      </c>
      <c r="P54" s="9">
        <f t="shared" ca="1" si="37"/>
        <v>82710.662691147285</v>
      </c>
      <c r="Q54" s="9">
        <f t="shared" ca="1" si="37"/>
        <v>84778.429258425953</v>
      </c>
      <c r="R54" s="9">
        <f t="shared" ca="1" si="37"/>
        <v>86897.889989886637</v>
      </c>
      <c r="S54" s="9">
        <f t="shared" ca="1" si="37"/>
        <v>89070.33723963378</v>
      </c>
      <c r="T54" s="9">
        <f t="shared" ca="1" si="37"/>
        <v>83689.00436473923</v>
      </c>
      <c r="U54" s="9">
        <f t="shared" ca="1" si="37"/>
        <v>85781.229473857733</v>
      </c>
      <c r="V54" s="9">
        <f t="shared" ca="1" si="37"/>
        <v>87925.76021070416</v>
      </c>
      <c r="W54" s="9">
        <f t="shared" ca="1" si="37"/>
        <v>90123.90421597175</v>
      </c>
      <c r="X54" s="9">
        <f t="shared" ca="1" si="37"/>
        <v>92377.001821371043</v>
      </c>
      <c r="Y54" s="9">
        <f t="shared" ca="1" si="37"/>
        <v>94686.426866905327</v>
      </c>
      <c r="Z54" s="9">
        <f t="shared" ca="1" si="37"/>
        <v>97053.587538577965</v>
      </c>
      <c r="AA54" s="9">
        <f t="shared" ca="1" si="37"/>
        <v>99479.927227042383</v>
      </c>
      <c r="AB54" s="9">
        <f t="shared" ca="1" si="37"/>
        <v>101966.92540771843</v>
      </c>
      <c r="AC54" s="9">
        <f t="shared" ca="1" si="37"/>
        <v>104516.09854291138</v>
      </c>
      <c r="AD54" s="9">
        <f t="shared" ca="1" si="37"/>
        <v>97390.000914985605</v>
      </c>
      <c r="AE54" s="9">
        <f t="shared" ca="1" si="37"/>
        <v>99824.750937860241</v>
      </c>
      <c r="AF54" s="9">
        <f t="shared" ca="1" si="37"/>
        <v>102320.36971130676</v>
      </c>
      <c r="AG54" s="9">
        <f t="shared" ca="1" si="37"/>
        <v>104878.37895408941</v>
      </c>
      <c r="AH54" s="9">
        <f t="shared" ca="1" si="37"/>
        <v>107500.33842794166</v>
      </c>
      <c r="AI54" s="9">
        <f t="shared" ca="1" si="37"/>
        <v>110187.84688864017</v>
      </c>
      <c r="AJ54" s="9">
        <f t="shared" ca="1" si="37"/>
        <v>112942.54306085619</v>
      </c>
      <c r="AK54" s="9">
        <f t="shared" ca="1" si="37"/>
        <v>115766.10663737757</v>
      </c>
      <c r="AL54" s="9">
        <f t="shared" ca="1" si="37"/>
        <v>118660.25930331199</v>
      </c>
      <c r="AM54" s="9">
        <f t="shared" ca="1" si="37"/>
        <v>121626.76578589482</v>
      </c>
    </row>
    <row r="55" spans="1:39">
      <c r="A55" s="4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</row>
    <row r="56" spans="1:39" ht="19">
      <c r="A56" s="12" t="s">
        <v>19</v>
      </c>
      <c r="C56" s="7">
        <f t="shared" ref="C56:AM56" ca="1" si="38">C21-C54</f>
        <v>27716.75</v>
      </c>
      <c r="D56" s="7">
        <f t="shared" ca="1" si="38"/>
        <v>31331.743749999994</v>
      </c>
      <c r="E56" s="7">
        <f t="shared" ca="1" si="38"/>
        <v>11751.890468750033</v>
      </c>
      <c r="F56" s="7">
        <f t="shared" ca="1" si="38"/>
        <v>46483.064060205754</v>
      </c>
      <c r="G56" s="7">
        <f t="shared" ca="1" si="38"/>
        <v>51635.384395423127</v>
      </c>
      <c r="H56" s="7">
        <f t="shared" ca="1" si="38"/>
        <v>66982.949141102712</v>
      </c>
      <c r="I56" s="7">
        <f t="shared" ca="1" si="38"/>
        <v>77794.869514461956</v>
      </c>
      <c r="J56" s="7">
        <f t="shared" ca="1" si="38"/>
        <v>65292.611679564478</v>
      </c>
      <c r="K56" s="7">
        <f t="shared" ca="1" si="38"/>
        <v>150292.11108925284</v>
      </c>
      <c r="L56" s="7">
        <f t="shared" ca="1" si="38"/>
        <v>62595.448459995416</v>
      </c>
      <c r="M56" s="7">
        <f t="shared" ca="1" si="38"/>
        <v>119161.72480746561</v>
      </c>
      <c r="N56" s="7">
        <f t="shared" ca="1" si="38"/>
        <v>125545.27259919688</v>
      </c>
      <c r="O56" s="7">
        <f t="shared" ca="1" si="38"/>
        <v>132198.32073947377</v>
      </c>
      <c r="P56" s="7">
        <f t="shared" ca="1" si="38"/>
        <v>139131.09849946259</v>
      </c>
      <c r="Q56" s="7">
        <f t="shared" ca="1" si="38"/>
        <v>146354.20049530358</v>
      </c>
      <c r="R56" s="7">
        <f t="shared" ca="1" si="38"/>
        <v>153878.59923163857</v>
      </c>
      <c r="S56" s="7">
        <f t="shared" ca="1" si="38"/>
        <v>55783.427551762405</v>
      </c>
      <c r="T56" s="7">
        <f t="shared" ca="1" si="38"/>
        <v>65701.58889566682</v>
      </c>
      <c r="U56" s="7">
        <f t="shared" ca="1" si="38"/>
        <v>68387.715381140821</v>
      </c>
      <c r="V56" s="7">
        <f t="shared" ca="1" si="38"/>
        <v>71177.502286546063</v>
      </c>
      <c r="W56" s="7">
        <f t="shared" ca="1" si="38"/>
        <v>74074.766331487117</v>
      </c>
      <c r="X56" s="7">
        <f t="shared" ca="1" si="38"/>
        <v>56676.540166349805</v>
      </c>
      <c r="Y56" s="7">
        <f t="shared" ca="1" si="38"/>
        <v>58780.40903773118</v>
      </c>
      <c r="Z56" s="7">
        <f t="shared" ca="1" si="38"/>
        <v>60965.773602957954</v>
      </c>
      <c r="AA56" s="7">
        <f t="shared" ca="1" si="38"/>
        <v>63235.745481314138</v>
      </c>
      <c r="AB56" s="7">
        <f t="shared" ca="1" si="38"/>
        <v>65593.551490818412</v>
      </c>
      <c r="AC56" s="7">
        <f t="shared" ca="1" si="38"/>
        <v>68042.537779976235</v>
      </c>
      <c r="AD56" s="7">
        <f t="shared" ca="1" si="38"/>
        <v>80446.911696259718</v>
      </c>
      <c r="AE56" s="7">
        <f t="shared" ca="1" si="38"/>
        <v>83581.832720001039</v>
      </c>
      <c r="AF56" s="7">
        <f t="shared" ca="1" si="38"/>
        <v>86837.220843229734</v>
      </c>
      <c r="AG56" s="7">
        <f t="shared" ca="1" si="38"/>
        <v>90217.560106323581</v>
      </c>
      <c r="AH56" s="7">
        <f t="shared" ca="1" si="38"/>
        <v>93727.496060073405</v>
      </c>
      <c r="AI56" s="7">
        <f t="shared" ca="1" si="38"/>
        <v>97371.84141668852</v>
      </c>
      <c r="AJ56" s="7">
        <f t="shared" ca="1" si="38"/>
        <v>101155.5818937483</v>
      </c>
      <c r="AK56" s="7">
        <f t="shared" ca="1" si="38"/>
        <v>105083.88225755679</v>
      </c>
      <c r="AL56" s="7">
        <f t="shared" ca="1" si="38"/>
        <v>109162.09257256653</v>
      </c>
      <c r="AM56" s="7">
        <f t="shared" ca="1" si="38"/>
        <v>113395.75466376115</v>
      </c>
    </row>
    <row r="57" spans="1:39">
      <c r="A57" s="4" t="s">
        <v>10</v>
      </c>
      <c r="C57" s="7">
        <f>Inputs!B8</f>
        <v>50000</v>
      </c>
      <c r="D57" s="7">
        <f ca="1">C58</f>
        <v>77716.75</v>
      </c>
      <c r="E57" s="7">
        <f t="shared" ref="E57:AM57" ca="1" si="39">D58</f>
        <v>109048.49374999999</v>
      </c>
      <c r="F57" s="7">
        <f t="shared" ca="1" si="39"/>
        <v>120800.38421875003</v>
      </c>
      <c r="G57" s="7">
        <f t="shared" ca="1" si="39"/>
        <v>167283.44827895577</v>
      </c>
      <c r="H57" s="7">
        <f t="shared" ca="1" si="39"/>
        <v>218918.83267437888</v>
      </c>
      <c r="I57" s="7">
        <f t="shared" ca="1" si="39"/>
        <v>285901.78181548161</v>
      </c>
      <c r="J57" s="7">
        <f t="shared" ca="1" si="39"/>
        <v>363696.65132994356</v>
      </c>
      <c r="K57" s="7">
        <f t="shared" ca="1" si="39"/>
        <v>428989.26300950802</v>
      </c>
      <c r="L57" s="7">
        <f t="shared" ca="1" si="39"/>
        <v>579281.37409876089</v>
      </c>
      <c r="M57" s="7">
        <f t="shared" ca="1" si="39"/>
        <v>641876.82255875634</v>
      </c>
      <c r="N57" s="7">
        <f t="shared" ca="1" si="39"/>
        <v>761038.5473662219</v>
      </c>
      <c r="O57" s="7">
        <f t="shared" ca="1" si="39"/>
        <v>886583.81996541878</v>
      </c>
      <c r="P57" s="7">
        <f t="shared" ca="1" si="39"/>
        <v>1018782.1407048926</v>
      </c>
      <c r="Q57" s="7">
        <f t="shared" ca="1" si="39"/>
        <v>1157913.239204355</v>
      </c>
      <c r="R57" s="7">
        <f t="shared" ca="1" si="39"/>
        <v>1304267.4396996587</v>
      </c>
      <c r="S57" s="7">
        <f t="shared" ca="1" si="39"/>
        <v>1458146.0389312971</v>
      </c>
      <c r="T57" s="7">
        <f t="shared" ca="1" si="39"/>
        <v>1513929.4664830596</v>
      </c>
      <c r="U57" s="7">
        <f t="shared" ca="1" si="39"/>
        <v>1579631.0553787265</v>
      </c>
      <c r="V57" s="7">
        <f t="shared" ca="1" si="39"/>
        <v>1648018.7707598673</v>
      </c>
      <c r="W57" s="7">
        <f t="shared" ca="1" si="39"/>
        <v>1719196.2730464134</v>
      </c>
      <c r="X57" s="7">
        <f t="shared" ca="1" si="39"/>
        <v>1793271.0393779005</v>
      </c>
      <c r="Y57" s="7">
        <f t="shared" ca="1" si="39"/>
        <v>1849947.5795442504</v>
      </c>
      <c r="Z57" s="7">
        <f t="shared" ca="1" si="39"/>
        <v>1908727.9885819815</v>
      </c>
      <c r="AA57" s="7">
        <f t="shared" ca="1" si="39"/>
        <v>1969693.7621849393</v>
      </c>
      <c r="AB57" s="7">
        <f t="shared" ca="1" si="39"/>
        <v>2032929.5076662535</v>
      </c>
      <c r="AC57" s="7">
        <f t="shared" ca="1" si="39"/>
        <v>2098523.0591570721</v>
      </c>
      <c r="AD57" s="7">
        <f t="shared" ca="1" si="39"/>
        <v>2166565.5969370482</v>
      </c>
      <c r="AE57" s="7">
        <f t="shared" ca="1" si="39"/>
        <v>2247012.5086333081</v>
      </c>
      <c r="AF57" s="7">
        <f t="shared" ca="1" si="39"/>
        <v>2330594.3413533093</v>
      </c>
      <c r="AG57" s="7">
        <f t="shared" ca="1" si="39"/>
        <v>2417431.5621965392</v>
      </c>
      <c r="AH57" s="7">
        <f t="shared" ca="1" si="39"/>
        <v>2507649.1223028628</v>
      </c>
      <c r="AI57" s="7">
        <f t="shared" ca="1" si="39"/>
        <v>2601376.6183629362</v>
      </c>
      <c r="AJ57" s="7">
        <f t="shared" ca="1" si="39"/>
        <v>2698748.4597796248</v>
      </c>
      <c r="AK57" s="7">
        <f t="shared" ca="1" si="39"/>
        <v>2799904.041673373</v>
      </c>
      <c r="AL57" s="7">
        <f t="shared" ca="1" si="39"/>
        <v>2904987.92393093</v>
      </c>
      <c r="AM57" s="7">
        <f t="shared" ca="1" si="39"/>
        <v>3014150.0165034966</v>
      </c>
    </row>
    <row r="58" spans="1:39">
      <c r="A58" s="4" t="s">
        <v>11</v>
      </c>
      <c r="C58" s="9">
        <f ca="1">SUM(C56:C57)</f>
        <v>77716.75</v>
      </c>
      <c r="D58" s="9">
        <f t="shared" ref="D58:AM58" ca="1" si="40">SUM(D56:D57)</f>
        <v>109048.49374999999</v>
      </c>
      <c r="E58" s="9">
        <f t="shared" ca="1" si="40"/>
        <v>120800.38421875003</v>
      </c>
      <c r="F58" s="9">
        <f t="shared" ca="1" si="40"/>
        <v>167283.44827895577</v>
      </c>
      <c r="G58" s="9">
        <f t="shared" ca="1" si="40"/>
        <v>218918.83267437888</v>
      </c>
      <c r="H58" s="9">
        <f t="shared" ca="1" si="40"/>
        <v>285901.78181548161</v>
      </c>
      <c r="I58" s="9">
        <f t="shared" ca="1" si="40"/>
        <v>363696.65132994356</v>
      </c>
      <c r="J58" s="9">
        <f t="shared" ca="1" si="40"/>
        <v>428989.26300950802</v>
      </c>
      <c r="K58" s="9">
        <f t="shared" ca="1" si="40"/>
        <v>579281.37409876089</v>
      </c>
      <c r="L58" s="9">
        <f t="shared" ca="1" si="40"/>
        <v>641876.82255875634</v>
      </c>
      <c r="M58" s="9">
        <f t="shared" ca="1" si="40"/>
        <v>761038.5473662219</v>
      </c>
      <c r="N58" s="9">
        <f t="shared" ca="1" si="40"/>
        <v>886583.81996541878</v>
      </c>
      <c r="O58" s="9">
        <f t="shared" ca="1" si="40"/>
        <v>1018782.1407048926</v>
      </c>
      <c r="P58" s="9">
        <f t="shared" ca="1" si="40"/>
        <v>1157913.239204355</v>
      </c>
      <c r="Q58" s="9">
        <f t="shared" ca="1" si="40"/>
        <v>1304267.4396996587</v>
      </c>
      <c r="R58" s="9">
        <f t="shared" ca="1" si="40"/>
        <v>1458146.0389312971</v>
      </c>
      <c r="S58" s="9">
        <f t="shared" ca="1" si="40"/>
        <v>1513929.4664830596</v>
      </c>
      <c r="T58" s="9">
        <f t="shared" ca="1" si="40"/>
        <v>1579631.0553787265</v>
      </c>
      <c r="U58" s="9">
        <f t="shared" ca="1" si="40"/>
        <v>1648018.7707598673</v>
      </c>
      <c r="V58" s="9">
        <f t="shared" ca="1" si="40"/>
        <v>1719196.2730464134</v>
      </c>
      <c r="W58" s="9">
        <f t="shared" ca="1" si="40"/>
        <v>1793271.0393779005</v>
      </c>
      <c r="X58" s="9">
        <f t="shared" ca="1" si="40"/>
        <v>1849947.5795442504</v>
      </c>
      <c r="Y58" s="9">
        <f t="shared" ca="1" si="40"/>
        <v>1908727.9885819815</v>
      </c>
      <c r="Z58" s="9">
        <f t="shared" ca="1" si="40"/>
        <v>1969693.7621849393</v>
      </c>
      <c r="AA58" s="9">
        <f t="shared" ca="1" si="40"/>
        <v>2032929.5076662535</v>
      </c>
      <c r="AB58" s="9">
        <f t="shared" ca="1" si="40"/>
        <v>2098523.0591570721</v>
      </c>
      <c r="AC58" s="9">
        <f t="shared" ca="1" si="40"/>
        <v>2166565.5969370482</v>
      </c>
      <c r="AD58" s="9">
        <f t="shared" ca="1" si="40"/>
        <v>2247012.5086333081</v>
      </c>
      <c r="AE58" s="9">
        <f t="shared" ca="1" si="40"/>
        <v>2330594.3413533093</v>
      </c>
      <c r="AF58" s="9">
        <f t="shared" ca="1" si="40"/>
        <v>2417431.5621965392</v>
      </c>
      <c r="AG58" s="9">
        <f t="shared" ca="1" si="40"/>
        <v>2507649.1223028628</v>
      </c>
      <c r="AH58" s="9">
        <f t="shared" ca="1" si="40"/>
        <v>2601376.6183629362</v>
      </c>
      <c r="AI58" s="9">
        <f t="shared" ca="1" si="40"/>
        <v>2698748.4597796248</v>
      </c>
      <c r="AJ58" s="9">
        <f t="shared" ca="1" si="40"/>
        <v>2799904.041673373</v>
      </c>
      <c r="AK58" s="9">
        <f t="shared" ca="1" si="40"/>
        <v>2904987.92393093</v>
      </c>
      <c r="AL58" s="9">
        <f t="shared" ca="1" si="40"/>
        <v>3014150.0165034966</v>
      </c>
      <c r="AM58" s="9">
        <f t="shared" ca="1" si="40"/>
        <v>3127545.7711672578</v>
      </c>
    </row>
    <row r="59" spans="1:39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</row>
    <row r="60" spans="1:39" ht="19">
      <c r="A60" s="25" t="s">
        <v>72</v>
      </c>
      <c r="B60" s="26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</row>
    <row r="61" spans="1:39">
      <c r="A61" s="4" t="s">
        <v>9</v>
      </c>
      <c r="C61" s="7">
        <f t="shared" ref="C61:AM61" ca="1" si="41">C58</f>
        <v>77716.75</v>
      </c>
      <c r="D61" s="7">
        <f t="shared" ca="1" si="41"/>
        <v>109048.49374999999</v>
      </c>
      <c r="E61" s="7">
        <f t="shared" ca="1" si="41"/>
        <v>120800.38421875003</v>
      </c>
      <c r="F61" s="7">
        <f t="shared" ca="1" si="41"/>
        <v>167283.44827895577</v>
      </c>
      <c r="G61" s="7">
        <f t="shared" ca="1" si="41"/>
        <v>218918.83267437888</v>
      </c>
      <c r="H61" s="7">
        <f t="shared" ca="1" si="41"/>
        <v>285901.78181548161</v>
      </c>
      <c r="I61" s="7">
        <f t="shared" ca="1" si="41"/>
        <v>363696.65132994356</v>
      </c>
      <c r="J61" s="7">
        <f t="shared" ca="1" si="41"/>
        <v>428989.26300950802</v>
      </c>
      <c r="K61" s="7">
        <f t="shared" ca="1" si="41"/>
        <v>579281.37409876089</v>
      </c>
      <c r="L61" s="7">
        <f t="shared" ca="1" si="41"/>
        <v>641876.82255875634</v>
      </c>
      <c r="M61" s="7">
        <f t="shared" ca="1" si="41"/>
        <v>761038.5473662219</v>
      </c>
      <c r="N61" s="7">
        <f t="shared" ca="1" si="41"/>
        <v>886583.81996541878</v>
      </c>
      <c r="O61" s="7">
        <f t="shared" ca="1" si="41"/>
        <v>1018782.1407048926</v>
      </c>
      <c r="P61" s="7">
        <f t="shared" ca="1" si="41"/>
        <v>1157913.239204355</v>
      </c>
      <c r="Q61" s="7">
        <f t="shared" ca="1" si="41"/>
        <v>1304267.4396996587</v>
      </c>
      <c r="R61" s="7">
        <f t="shared" ca="1" si="41"/>
        <v>1458146.0389312971</v>
      </c>
      <c r="S61" s="7">
        <f t="shared" ca="1" si="41"/>
        <v>1513929.4664830596</v>
      </c>
      <c r="T61" s="7">
        <f t="shared" ca="1" si="41"/>
        <v>1579631.0553787265</v>
      </c>
      <c r="U61" s="7">
        <f t="shared" ca="1" si="41"/>
        <v>1648018.7707598673</v>
      </c>
      <c r="V61" s="7">
        <f t="shared" ca="1" si="41"/>
        <v>1719196.2730464134</v>
      </c>
      <c r="W61" s="7">
        <f t="shared" ca="1" si="41"/>
        <v>1793271.0393779005</v>
      </c>
      <c r="X61" s="7">
        <f t="shared" ca="1" si="41"/>
        <v>1849947.5795442504</v>
      </c>
      <c r="Y61" s="7">
        <f t="shared" ca="1" si="41"/>
        <v>1908727.9885819815</v>
      </c>
      <c r="Z61" s="7">
        <f t="shared" ca="1" si="41"/>
        <v>1969693.7621849393</v>
      </c>
      <c r="AA61" s="7">
        <f t="shared" ca="1" si="41"/>
        <v>2032929.5076662535</v>
      </c>
      <c r="AB61" s="7">
        <f t="shared" ca="1" si="41"/>
        <v>2098523.0591570721</v>
      </c>
      <c r="AC61" s="7">
        <f t="shared" ca="1" si="41"/>
        <v>2166565.5969370482</v>
      </c>
      <c r="AD61" s="7">
        <f t="shared" ca="1" si="41"/>
        <v>2247012.5086333081</v>
      </c>
      <c r="AE61" s="7">
        <f t="shared" ca="1" si="41"/>
        <v>2330594.3413533093</v>
      </c>
      <c r="AF61" s="7">
        <f t="shared" ca="1" si="41"/>
        <v>2417431.5621965392</v>
      </c>
      <c r="AG61" s="7">
        <f t="shared" ca="1" si="41"/>
        <v>2507649.1223028628</v>
      </c>
      <c r="AH61" s="7">
        <f t="shared" ca="1" si="41"/>
        <v>2601376.6183629362</v>
      </c>
      <c r="AI61" s="7">
        <f t="shared" ca="1" si="41"/>
        <v>2698748.4597796248</v>
      </c>
      <c r="AJ61" s="7">
        <f t="shared" ca="1" si="41"/>
        <v>2799904.041673373</v>
      </c>
      <c r="AK61" s="7">
        <f t="shared" ca="1" si="41"/>
        <v>2904987.92393093</v>
      </c>
      <c r="AL61" s="7">
        <f t="shared" ca="1" si="41"/>
        <v>3014150.0165034966</v>
      </c>
      <c r="AM61" s="7">
        <f t="shared" ca="1" si="41"/>
        <v>3127545.7711672578</v>
      </c>
    </row>
    <row r="62" spans="1:39">
      <c r="A62" s="4" t="s">
        <v>7</v>
      </c>
      <c r="C62" s="7">
        <f>Inputs!B12*(1+princ)</f>
        <v>618000</v>
      </c>
      <c r="D62" s="7">
        <f t="shared" ref="D62:AM62" si="42">C62*(1+princ)</f>
        <v>636540</v>
      </c>
      <c r="E62" s="7">
        <f t="shared" si="42"/>
        <v>655636.20000000007</v>
      </c>
      <c r="F62" s="7">
        <f t="shared" si="42"/>
        <v>675305.28600000008</v>
      </c>
      <c r="G62" s="7">
        <f t="shared" si="42"/>
        <v>695564.44458000013</v>
      </c>
      <c r="H62" s="7">
        <f t="shared" si="42"/>
        <v>716431.3779174001</v>
      </c>
      <c r="I62" s="7">
        <f t="shared" si="42"/>
        <v>737924.3192549221</v>
      </c>
      <c r="J62" s="7">
        <f t="shared" si="42"/>
        <v>760062.04883256974</v>
      </c>
      <c r="K62" s="7">
        <f t="shared" si="42"/>
        <v>782863.91029754688</v>
      </c>
      <c r="L62" s="7">
        <f t="shared" si="42"/>
        <v>806349.82760647335</v>
      </c>
      <c r="M62" s="7">
        <f t="shared" si="42"/>
        <v>830540.32243466761</v>
      </c>
      <c r="N62" s="7">
        <f t="shared" si="42"/>
        <v>855456.5321077077</v>
      </c>
      <c r="O62" s="7">
        <f t="shared" si="42"/>
        <v>881120.22807093896</v>
      </c>
      <c r="P62" s="7">
        <f t="shared" si="42"/>
        <v>907553.83491306717</v>
      </c>
      <c r="Q62" s="7">
        <f t="shared" si="42"/>
        <v>934780.44996045926</v>
      </c>
      <c r="R62" s="7">
        <f t="shared" si="42"/>
        <v>962823.86345927301</v>
      </c>
      <c r="S62" s="7">
        <f t="shared" si="42"/>
        <v>991708.57936305122</v>
      </c>
      <c r="T62" s="7">
        <f t="shared" si="42"/>
        <v>1021459.8367439428</v>
      </c>
      <c r="U62" s="7">
        <f t="shared" si="42"/>
        <v>1052103.6318462612</v>
      </c>
      <c r="V62" s="7">
        <f t="shared" si="42"/>
        <v>1083666.7408016492</v>
      </c>
      <c r="W62" s="7">
        <f t="shared" si="42"/>
        <v>1116176.7430256987</v>
      </c>
      <c r="X62" s="7">
        <f t="shared" si="42"/>
        <v>1149662.0453164696</v>
      </c>
      <c r="Y62" s="7">
        <f t="shared" si="42"/>
        <v>1184151.9066759637</v>
      </c>
      <c r="Z62" s="7">
        <f t="shared" si="42"/>
        <v>1219676.4638762425</v>
      </c>
      <c r="AA62" s="7">
        <f t="shared" si="42"/>
        <v>1256266.7577925299</v>
      </c>
      <c r="AB62" s="7">
        <f t="shared" si="42"/>
        <v>1293954.7605263058</v>
      </c>
      <c r="AC62" s="7">
        <f t="shared" si="42"/>
        <v>1332773.403342095</v>
      </c>
      <c r="AD62" s="7">
        <f t="shared" si="42"/>
        <v>1372756.6054423579</v>
      </c>
      <c r="AE62" s="7">
        <f t="shared" si="42"/>
        <v>1413939.3036056287</v>
      </c>
      <c r="AF62" s="7">
        <f t="shared" si="42"/>
        <v>1456357.4827137976</v>
      </c>
      <c r="AG62" s="7">
        <f t="shared" si="42"/>
        <v>1500048.2071952117</v>
      </c>
      <c r="AH62" s="7">
        <f t="shared" si="42"/>
        <v>1545049.653411068</v>
      </c>
      <c r="AI62" s="7">
        <f t="shared" si="42"/>
        <v>1591401.1430134</v>
      </c>
      <c r="AJ62" s="7">
        <f t="shared" si="42"/>
        <v>1639143.177303802</v>
      </c>
      <c r="AK62" s="7">
        <f t="shared" si="42"/>
        <v>1688317.4726229161</v>
      </c>
      <c r="AL62" s="7">
        <f t="shared" si="42"/>
        <v>1738966.9968016036</v>
      </c>
      <c r="AM62" s="7">
        <f t="shared" si="42"/>
        <v>1791136.0067056518</v>
      </c>
    </row>
    <row r="63" spans="1:39">
      <c r="A63" s="4" t="s">
        <v>52</v>
      </c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</row>
    <row r="64" spans="1:39">
      <c r="A64" s="3" t="str">
        <f>TEXT(Inputs!$B$60,"")</f>
        <v>Sliema</v>
      </c>
      <c r="C64" s="7">
        <f>Inputs!B61*(1+princ)</f>
        <v>309000</v>
      </c>
      <c r="D64" s="7">
        <f t="shared" ref="D64:S68" si="43">C64*(1+princ)</f>
        <v>318270</v>
      </c>
      <c r="E64" s="7">
        <f t="shared" si="43"/>
        <v>327818.10000000003</v>
      </c>
      <c r="F64" s="7">
        <f t="shared" si="43"/>
        <v>337652.64300000004</v>
      </c>
      <c r="G64" s="7">
        <f t="shared" si="43"/>
        <v>347782.22229000006</v>
      </c>
      <c r="H64" s="7">
        <f t="shared" si="43"/>
        <v>358215.68895870005</v>
      </c>
      <c r="I64" s="7">
        <f t="shared" si="43"/>
        <v>368962.15962746105</v>
      </c>
      <c r="J64" s="7">
        <f t="shared" si="43"/>
        <v>380031.02441628487</v>
      </c>
      <c r="K64" s="7">
        <f t="shared" si="43"/>
        <v>391431.95514877344</v>
      </c>
      <c r="L64" s="7">
        <f t="shared" si="43"/>
        <v>403174.91380323668</v>
      </c>
      <c r="M64" s="7">
        <f t="shared" si="43"/>
        <v>415270.16121733381</v>
      </c>
      <c r="N64" s="7">
        <f t="shared" si="43"/>
        <v>427728.26605385385</v>
      </c>
      <c r="O64" s="7">
        <f t="shared" si="43"/>
        <v>440560.11403546948</v>
      </c>
      <c r="P64" s="7">
        <f t="shared" si="43"/>
        <v>453776.91745653359</v>
      </c>
      <c r="Q64" s="7">
        <f t="shared" si="43"/>
        <v>467390.22498022963</v>
      </c>
      <c r="R64" s="7">
        <f t="shared" si="43"/>
        <v>481411.9317296365</v>
      </c>
      <c r="S64" s="7">
        <f t="shared" si="43"/>
        <v>495854.28968152561</v>
      </c>
      <c r="T64" s="7">
        <f t="shared" ref="T64:AI68" si="44">S64*(1+princ)</f>
        <v>510729.91837197141</v>
      </c>
      <c r="U64" s="7">
        <f t="shared" si="44"/>
        <v>526051.81592313061</v>
      </c>
      <c r="V64" s="7">
        <f t="shared" si="44"/>
        <v>541833.37040082458</v>
      </c>
      <c r="W64" s="7">
        <f t="shared" si="44"/>
        <v>558088.37151284935</v>
      </c>
      <c r="X64" s="7">
        <f t="shared" si="44"/>
        <v>574831.02265823481</v>
      </c>
      <c r="Y64" s="7">
        <f t="shared" si="44"/>
        <v>592075.95333798183</v>
      </c>
      <c r="Z64" s="7">
        <f t="shared" si="44"/>
        <v>609838.23193812126</v>
      </c>
      <c r="AA64" s="7">
        <f t="shared" si="44"/>
        <v>628133.37889626494</v>
      </c>
      <c r="AB64" s="7">
        <f t="shared" si="44"/>
        <v>646977.38026315288</v>
      </c>
      <c r="AC64" s="7">
        <f t="shared" si="44"/>
        <v>666386.70167104749</v>
      </c>
      <c r="AD64" s="7">
        <f t="shared" si="44"/>
        <v>686378.30272117897</v>
      </c>
      <c r="AE64" s="7">
        <f t="shared" si="44"/>
        <v>706969.65180281433</v>
      </c>
      <c r="AF64" s="7">
        <f t="shared" si="44"/>
        <v>728178.7413568988</v>
      </c>
      <c r="AG64" s="7">
        <f t="shared" si="44"/>
        <v>750024.10359760583</v>
      </c>
      <c r="AH64" s="7">
        <f t="shared" si="44"/>
        <v>772524.82670553401</v>
      </c>
      <c r="AI64" s="7">
        <f t="shared" si="44"/>
        <v>795700.57150670001</v>
      </c>
      <c r="AJ64" s="7">
        <f t="shared" ref="AJ64:AM68" si="45">AI64*(1+princ)</f>
        <v>819571.58865190099</v>
      </c>
      <c r="AK64" s="7">
        <f t="shared" si="45"/>
        <v>844158.73631145805</v>
      </c>
      <c r="AL64" s="7">
        <f t="shared" si="45"/>
        <v>869483.49840080179</v>
      </c>
      <c r="AM64" s="7">
        <f t="shared" si="45"/>
        <v>895568.00335282588</v>
      </c>
    </row>
    <row r="65" spans="1:39">
      <c r="A65" s="3" t="str">
        <f>TEXT(Inputs!$B$65,"")</f>
        <v>Gzira</v>
      </c>
      <c r="C65" s="7">
        <f>Inputs!B66*(1+princ)</f>
        <v>154500</v>
      </c>
      <c r="D65" s="7">
        <f t="shared" si="43"/>
        <v>159135</v>
      </c>
      <c r="E65" s="7">
        <f t="shared" si="43"/>
        <v>163909.05000000002</v>
      </c>
      <c r="F65" s="7">
        <f t="shared" si="43"/>
        <v>168826.32150000002</v>
      </c>
      <c r="G65" s="7">
        <f t="shared" si="43"/>
        <v>173891.11114500003</v>
      </c>
      <c r="H65" s="7">
        <f t="shared" si="43"/>
        <v>179107.84447935002</v>
      </c>
      <c r="I65" s="7">
        <f t="shared" si="43"/>
        <v>184481.07981373052</v>
      </c>
      <c r="J65" s="7">
        <f t="shared" si="43"/>
        <v>190015.51220814243</v>
      </c>
      <c r="K65" s="7">
        <f t="shared" si="43"/>
        <v>195715.97757438672</v>
      </c>
      <c r="L65" s="7">
        <f t="shared" si="43"/>
        <v>201587.45690161834</v>
      </c>
      <c r="M65" s="7">
        <f t="shared" si="43"/>
        <v>207635.0806086669</v>
      </c>
      <c r="N65" s="7">
        <f t="shared" si="43"/>
        <v>213864.13302692692</v>
      </c>
      <c r="O65" s="7">
        <f t="shared" si="43"/>
        <v>220280.05701773474</v>
      </c>
      <c r="P65" s="7">
        <f t="shared" si="43"/>
        <v>226888.45872826679</v>
      </c>
      <c r="Q65" s="7">
        <f t="shared" si="43"/>
        <v>233695.11249011481</v>
      </c>
      <c r="R65" s="7">
        <f t="shared" si="43"/>
        <v>240705.96586481825</v>
      </c>
      <c r="S65" s="7">
        <f t="shared" si="43"/>
        <v>247927.1448407628</v>
      </c>
      <c r="T65" s="7">
        <f t="shared" si="44"/>
        <v>255364.9591859857</v>
      </c>
      <c r="U65" s="7">
        <f t="shared" si="44"/>
        <v>263025.9079615653</v>
      </c>
      <c r="V65" s="7">
        <f t="shared" si="44"/>
        <v>270916.68520041229</v>
      </c>
      <c r="W65" s="7">
        <f t="shared" si="44"/>
        <v>279044.18575642467</v>
      </c>
      <c r="X65" s="7">
        <f t="shared" si="44"/>
        <v>287415.51132911741</v>
      </c>
      <c r="Y65" s="7">
        <f t="shared" si="44"/>
        <v>296037.97666899092</v>
      </c>
      <c r="Z65" s="7">
        <f t="shared" si="44"/>
        <v>304919.11596906063</v>
      </c>
      <c r="AA65" s="7">
        <f t="shared" si="44"/>
        <v>314066.68944813247</v>
      </c>
      <c r="AB65" s="7">
        <f t="shared" si="44"/>
        <v>323488.69013157644</v>
      </c>
      <c r="AC65" s="7">
        <f t="shared" si="44"/>
        <v>333193.35083552374</v>
      </c>
      <c r="AD65" s="7">
        <f t="shared" si="44"/>
        <v>343189.15136058949</v>
      </c>
      <c r="AE65" s="7">
        <f t="shared" si="44"/>
        <v>353484.82590140717</v>
      </c>
      <c r="AF65" s="7">
        <f t="shared" si="44"/>
        <v>364089.3706784494</v>
      </c>
      <c r="AG65" s="7">
        <f t="shared" si="44"/>
        <v>375012.05179880292</v>
      </c>
      <c r="AH65" s="7">
        <f t="shared" si="44"/>
        <v>386262.41335276701</v>
      </c>
      <c r="AI65" s="7">
        <f t="shared" si="44"/>
        <v>397850.28575335001</v>
      </c>
      <c r="AJ65" s="7">
        <f t="shared" si="45"/>
        <v>409785.7943259505</v>
      </c>
      <c r="AK65" s="7">
        <f t="shared" si="45"/>
        <v>422079.36815572903</v>
      </c>
      <c r="AL65" s="7">
        <f t="shared" si="45"/>
        <v>434741.7492004009</v>
      </c>
      <c r="AM65" s="7">
        <f t="shared" si="45"/>
        <v>447784.00167641294</v>
      </c>
    </row>
    <row r="66" spans="1:39">
      <c r="A66" s="3" t="str">
        <f>TEXT(Inputs!$B$70,"")</f>
        <v>Qormi</v>
      </c>
      <c r="C66" s="7">
        <f>Inputs!B71*(1+princ)</f>
        <v>226600</v>
      </c>
      <c r="D66" s="7">
        <f t="shared" si="43"/>
        <v>233398</v>
      </c>
      <c r="E66" s="7">
        <f t="shared" si="43"/>
        <v>240399.94</v>
      </c>
      <c r="F66" s="7">
        <f t="shared" si="43"/>
        <v>247611.9382</v>
      </c>
      <c r="G66" s="7">
        <f t="shared" si="43"/>
        <v>255040.29634600002</v>
      </c>
      <c r="H66" s="7">
        <f t="shared" si="43"/>
        <v>262691.50523638004</v>
      </c>
      <c r="I66" s="7">
        <f t="shared" si="43"/>
        <v>270572.25039347145</v>
      </c>
      <c r="J66" s="7">
        <f t="shared" si="43"/>
        <v>278689.41790527559</v>
      </c>
      <c r="K66" s="7">
        <f t="shared" si="43"/>
        <v>287050.10044243385</v>
      </c>
      <c r="L66" s="7">
        <f t="shared" si="43"/>
        <v>295661.60345570685</v>
      </c>
      <c r="M66" s="7">
        <f t="shared" si="43"/>
        <v>304531.45155937807</v>
      </c>
      <c r="N66" s="7">
        <f t="shared" si="43"/>
        <v>313667.39510615944</v>
      </c>
      <c r="O66" s="7">
        <f t="shared" si="43"/>
        <v>323077.41695934423</v>
      </c>
      <c r="P66" s="7">
        <f t="shared" si="43"/>
        <v>332769.73946812458</v>
      </c>
      <c r="Q66" s="7">
        <f t="shared" si="43"/>
        <v>342752.8316521683</v>
      </c>
      <c r="R66" s="7">
        <f t="shared" si="43"/>
        <v>353035.41660173336</v>
      </c>
      <c r="S66" s="7">
        <f t="shared" si="43"/>
        <v>363626.47909978539</v>
      </c>
      <c r="T66" s="7">
        <f t="shared" si="44"/>
        <v>374535.27347277896</v>
      </c>
      <c r="U66" s="7">
        <f t="shared" si="44"/>
        <v>385771.33167696232</v>
      </c>
      <c r="V66" s="7">
        <f t="shared" si="44"/>
        <v>397344.47162727121</v>
      </c>
      <c r="W66" s="7">
        <f t="shared" si="44"/>
        <v>409264.80577608937</v>
      </c>
      <c r="X66" s="7">
        <f t="shared" si="44"/>
        <v>421542.74994937208</v>
      </c>
      <c r="Y66" s="7">
        <f t="shared" si="44"/>
        <v>434189.03244785324</v>
      </c>
      <c r="Z66" s="7">
        <f t="shared" si="44"/>
        <v>447214.70342128887</v>
      </c>
      <c r="AA66" s="7">
        <f t="shared" si="44"/>
        <v>460631.14452392753</v>
      </c>
      <c r="AB66" s="7">
        <f t="shared" si="44"/>
        <v>474450.07885964535</v>
      </c>
      <c r="AC66" s="7">
        <f t="shared" si="44"/>
        <v>488683.58122543473</v>
      </c>
      <c r="AD66" s="7">
        <f t="shared" si="44"/>
        <v>503344.08866219776</v>
      </c>
      <c r="AE66" s="7">
        <f t="shared" si="44"/>
        <v>518444.41132206371</v>
      </c>
      <c r="AF66" s="7">
        <f t="shared" si="44"/>
        <v>533997.74366172566</v>
      </c>
      <c r="AG66" s="7">
        <f t="shared" si="44"/>
        <v>550017.67597157741</v>
      </c>
      <c r="AH66" s="7">
        <f t="shared" si="44"/>
        <v>566518.20625072473</v>
      </c>
      <c r="AI66" s="7">
        <f t="shared" si="44"/>
        <v>583513.75243824651</v>
      </c>
      <c r="AJ66" s="7">
        <f t="shared" si="45"/>
        <v>601019.16501139395</v>
      </c>
      <c r="AK66" s="7">
        <f t="shared" si="45"/>
        <v>619049.73996173579</v>
      </c>
      <c r="AL66" s="7">
        <f t="shared" si="45"/>
        <v>637621.23216058791</v>
      </c>
      <c r="AM66" s="7">
        <f t="shared" si="45"/>
        <v>656749.86912540556</v>
      </c>
    </row>
    <row r="67" spans="1:39">
      <c r="A67" s="3" t="str">
        <f>TEXT(Inputs!$B$75,"")</f>
        <v>Gudja</v>
      </c>
      <c r="C67" s="7">
        <f>Inputs!B76*(1+princ)</f>
        <v>82400</v>
      </c>
      <c r="D67" s="7">
        <f t="shared" si="43"/>
        <v>84872</v>
      </c>
      <c r="E67" s="7">
        <f t="shared" si="43"/>
        <v>87418.16</v>
      </c>
      <c r="F67" s="7">
        <f t="shared" si="43"/>
        <v>90040.704800000007</v>
      </c>
      <c r="G67" s="7">
        <f t="shared" si="43"/>
        <v>92741.925944000002</v>
      </c>
      <c r="H67" s="7">
        <f t="shared" si="43"/>
        <v>95524.183722319998</v>
      </c>
      <c r="I67" s="7">
        <f t="shared" si="43"/>
        <v>98389.909233989601</v>
      </c>
      <c r="J67" s="7">
        <f t="shared" si="43"/>
        <v>101341.60651100929</v>
      </c>
      <c r="K67" s="7">
        <f t="shared" si="43"/>
        <v>104381.85470633957</v>
      </c>
      <c r="L67" s="7">
        <f t="shared" si="43"/>
        <v>107513.31034752975</v>
      </c>
      <c r="M67" s="7">
        <f t="shared" si="43"/>
        <v>110738.70965795565</v>
      </c>
      <c r="N67" s="7">
        <f t="shared" si="43"/>
        <v>114060.87094769432</v>
      </c>
      <c r="O67" s="7">
        <f t="shared" si="43"/>
        <v>117482.69707612516</v>
      </c>
      <c r="P67" s="7">
        <f t="shared" si="43"/>
        <v>121007.17798840892</v>
      </c>
      <c r="Q67" s="7">
        <f t="shared" si="43"/>
        <v>124637.3933280612</v>
      </c>
      <c r="R67" s="7">
        <f t="shared" si="43"/>
        <v>128376.51512790304</v>
      </c>
      <c r="S67" s="7">
        <f t="shared" si="43"/>
        <v>132227.81058174014</v>
      </c>
      <c r="T67" s="7">
        <f t="shared" si="44"/>
        <v>136194.64489919235</v>
      </c>
      <c r="U67" s="7">
        <f t="shared" si="44"/>
        <v>140280.48424616814</v>
      </c>
      <c r="V67" s="7">
        <f t="shared" si="44"/>
        <v>144488.8987735532</v>
      </c>
      <c r="W67" s="7">
        <f t="shared" si="44"/>
        <v>148823.5657367598</v>
      </c>
      <c r="X67" s="7">
        <f t="shared" si="44"/>
        <v>153288.27270886261</v>
      </c>
      <c r="Y67" s="7">
        <f t="shared" si="44"/>
        <v>157886.9208901285</v>
      </c>
      <c r="Z67" s="7">
        <f t="shared" si="44"/>
        <v>162623.52851683236</v>
      </c>
      <c r="AA67" s="7">
        <f t="shared" si="44"/>
        <v>167502.23437233735</v>
      </c>
      <c r="AB67" s="7">
        <f t="shared" si="44"/>
        <v>172527.30140350747</v>
      </c>
      <c r="AC67" s="7">
        <f t="shared" si="44"/>
        <v>177703.1204456127</v>
      </c>
      <c r="AD67" s="7">
        <f t="shared" si="44"/>
        <v>183034.21405898107</v>
      </c>
      <c r="AE67" s="7">
        <f t="shared" si="44"/>
        <v>188525.24048075051</v>
      </c>
      <c r="AF67" s="7">
        <f t="shared" si="44"/>
        <v>194180.99769517302</v>
      </c>
      <c r="AG67" s="7">
        <f t="shared" si="44"/>
        <v>200006.42762602822</v>
      </c>
      <c r="AH67" s="7">
        <f t="shared" si="44"/>
        <v>206006.62045480908</v>
      </c>
      <c r="AI67" s="7">
        <f t="shared" si="44"/>
        <v>212186.81906845336</v>
      </c>
      <c r="AJ67" s="7">
        <f t="shared" si="45"/>
        <v>218552.42364050698</v>
      </c>
      <c r="AK67" s="7">
        <f t="shared" si="45"/>
        <v>225108.99634972221</v>
      </c>
      <c r="AL67" s="7">
        <f t="shared" si="45"/>
        <v>231862.26624021388</v>
      </c>
      <c r="AM67" s="7">
        <f t="shared" si="45"/>
        <v>238818.13422742029</v>
      </c>
    </row>
    <row r="68" spans="1:39">
      <c r="A68" s="3" t="str">
        <f>TEXT(Inputs!$B$80,"")</f>
        <v>Marsa</v>
      </c>
      <c r="C68" s="7">
        <f>Inputs!B81*(1+princ)</f>
        <v>123600</v>
      </c>
      <c r="D68" s="7">
        <f t="shared" si="43"/>
        <v>127308</v>
      </c>
      <c r="E68" s="7">
        <f t="shared" si="43"/>
        <v>131127.24</v>
      </c>
      <c r="F68" s="7">
        <f t="shared" si="43"/>
        <v>135061.05719999998</v>
      </c>
      <c r="G68" s="7">
        <f t="shared" si="43"/>
        <v>139112.888916</v>
      </c>
      <c r="H68" s="7">
        <f t="shared" si="43"/>
        <v>143286.27558347999</v>
      </c>
      <c r="I68" s="7">
        <f t="shared" si="43"/>
        <v>147584.8638509844</v>
      </c>
      <c r="J68" s="7">
        <f t="shared" si="43"/>
        <v>152012.40976651394</v>
      </c>
      <c r="K68" s="7">
        <f t="shared" si="43"/>
        <v>156572.78205950937</v>
      </c>
      <c r="L68" s="7">
        <f t="shared" si="43"/>
        <v>161269.96552129465</v>
      </c>
      <c r="M68" s="7">
        <f t="shared" si="43"/>
        <v>166108.06448693349</v>
      </c>
      <c r="N68" s="7">
        <f t="shared" si="43"/>
        <v>171091.30642154149</v>
      </c>
      <c r="O68" s="7">
        <f t="shared" si="43"/>
        <v>176224.04561418775</v>
      </c>
      <c r="P68" s="7">
        <f t="shared" si="43"/>
        <v>181510.76698261339</v>
      </c>
      <c r="Q68" s="7">
        <f t="shared" si="43"/>
        <v>186956.08999209179</v>
      </c>
      <c r="R68" s="7">
        <f t="shared" si="43"/>
        <v>192564.77269185454</v>
      </c>
      <c r="S68" s="7">
        <f t="shared" si="43"/>
        <v>198341.71587261019</v>
      </c>
      <c r="T68" s="7">
        <f t="shared" si="44"/>
        <v>204291.96734878852</v>
      </c>
      <c r="U68" s="7">
        <f t="shared" si="44"/>
        <v>210420.72636925217</v>
      </c>
      <c r="V68" s="7">
        <f t="shared" si="44"/>
        <v>216733.34816032974</v>
      </c>
      <c r="W68" s="7">
        <f t="shared" si="44"/>
        <v>223235.34860513965</v>
      </c>
      <c r="X68" s="7">
        <f t="shared" si="44"/>
        <v>229932.40906329383</v>
      </c>
      <c r="Y68" s="7">
        <f t="shared" si="44"/>
        <v>236830.38133519265</v>
      </c>
      <c r="Z68" s="7">
        <f t="shared" si="44"/>
        <v>243935.29277524844</v>
      </c>
      <c r="AA68" s="7">
        <f t="shared" si="44"/>
        <v>251253.35155850591</v>
      </c>
      <c r="AB68" s="7">
        <f t="shared" si="44"/>
        <v>258790.95210526109</v>
      </c>
      <c r="AC68" s="7">
        <f t="shared" si="44"/>
        <v>266554.68066841894</v>
      </c>
      <c r="AD68" s="7">
        <f t="shared" si="44"/>
        <v>274551.32108847151</v>
      </c>
      <c r="AE68" s="7">
        <f t="shared" si="44"/>
        <v>282787.86072112567</v>
      </c>
      <c r="AF68" s="7">
        <f t="shared" si="44"/>
        <v>291271.49654275947</v>
      </c>
      <c r="AG68" s="7">
        <f t="shared" si="44"/>
        <v>300009.64143904229</v>
      </c>
      <c r="AH68" s="7">
        <f t="shared" si="44"/>
        <v>309009.93068221357</v>
      </c>
      <c r="AI68" s="7">
        <f t="shared" si="44"/>
        <v>318280.22860267997</v>
      </c>
      <c r="AJ68" s="7">
        <f t="shared" si="45"/>
        <v>327828.63546076039</v>
      </c>
      <c r="AK68" s="7">
        <f t="shared" si="45"/>
        <v>337663.49452458322</v>
      </c>
      <c r="AL68" s="7">
        <f t="shared" si="45"/>
        <v>347793.39936032071</v>
      </c>
      <c r="AM68" s="7">
        <f t="shared" si="45"/>
        <v>358227.20134113036</v>
      </c>
    </row>
    <row r="69" spans="1:39">
      <c r="A69" s="4" t="s">
        <v>12</v>
      </c>
      <c r="C69" s="7">
        <f>Inputs!B10*(1+stinc)</f>
        <v>32400.000000000004</v>
      </c>
      <c r="D69" s="7">
        <f>C69*(1+stinc)</f>
        <v>34992.000000000007</v>
      </c>
      <c r="E69" s="7">
        <f t="shared" ref="E69:AM69" si="46">D69*(1+stinc)</f>
        <v>37791.360000000008</v>
      </c>
      <c r="F69" s="7">
        <f t="shared" si="46"/>
        <v>40814.668800000014</v>
      </c>
      <c r="G69" s="7">
        <f t="shared" si="46"/>
        <v>44079.84230400002</v>
      </c>
      <c r="H69" s="7">
        <f t="shared" si="46"/>
        <v>47606.229688320025</v>
      </c>
      <c r="I69" s="7">
        <f t="shared" si="46"/>
        <v>51414.728063385628</v>
      </c>
      <c r="J69" s="7">
        <f t="shared" si="46"/>
        <v>55527.906308456484</v>
      </c>
      <c r="K69" s="7">
        <f t="shared" si="46"/>
        <v>59970.13881313301</v>
      </c>
      <c r="L69" s="7">
        <f t="shared" si="46"/>
        <v>64767.749918183654</v>
      </c>
      <c r="M69" s="7">
        <f t="shared" si="46"/>
        <v>69949.169911638353</v>
      </c>
      <c r="N69" s="7">
        <f t="shared" si="46"/>
        <v>75545.10350456943</v>
      </c>
      <c r="O69" s="7">
        <f t="shared" si="46"/>
        <v>81588.711784934989</v>
      </c>
      <c r="P69" s="7">
        <f t="shared" si="46"/>
        <v>88115.808727729789</v>
      </c>
      <c r="Q69" s="7">
        <f t="shared" si="46"/>
        <v>95165.073425948183</v>
      </c>
      <c r="R69" s="7">
        <f t="shared" si="46"/>
        <v>102778.27930002405</v>
      </c>
      <c r="S69" s="7">
        <f t="shared" si="46"/>
        <v>111000.54164402599</v>
      </c>
      <c r="T69" s="7">
        <f t="shared" si="46"/>
        <v>119880.58497554807</v>
      </c>
      <c r="U69" s="7">
        <f t="shared" si="46"/>
        <v>129471.03177359192</v>
      </c>
      <c r="V69" s="7">
        <f t="shared" si="46"/>
        <v>139828.71431547927</v>
      </c>
      <c r="W69" s="7">
        <f t="shared" si="46"/>
        <v>151015.01146071762</v>
      </c>
      <c r="X69" s="7">
        <f t="shared" si="46"/>
        <v>163096.21237757505</v>
      </c>
      <c r="Y69" s="7">
        <f t="shared" si="46"/>
        <v>176143.90936778107</v>
      </c>
      <c r="Z69" s="7">
        <f t="shared" si="46"/>
        <v>190235.42211720356</v>
      </c>
      <c r="AA69" s="7">
        <f t="shared" si="46"/>
        <v>205454.25588657986</v>
      </c>
      <c r="AB69" s="7">
        <f t="shared" si="46"/>
        <v>221890.59635750626</v>
      </c>
      <c r="AC69" s="7">
        <f t="shared" si="46"/>
        <v>239641.84406610677</v>
      </c>
      <c r="AD69" s="7">
        <f t="shared" si="46"/>
        <v>258813.19159139533</v>
      </c>
      <c r="AE69" s="7">
        <f t="shared" si="46"/>
        <v>279518.24691870698</v>
      </c>
      <c r="AF69" s="7">
        <f t="shared" si="46"/>
        <v>301879.70667220355</v>
      </c>
      <c r="AG69" s="7">
        <f t="shared" si="46"/>
        <v>326030.08320597984</v>
      </c>
      <c r="AH69" s="7">
        <f t="shared" si="46"/>
        <v>352112.48986245826</v>
      </c>
      <c r="AI69" s="7">
        <f t="shared" si="46"/>
        <v>380281.48905145493</v>
      </c>
      <c r="AJ69" s="7">
        <f t="shared" si="46"/>
        <v>410704.00817557133</v>
      </c>
      <c r="AK69" s="7">
        <f t="shared" si="46"/>
        <v>443560.32882961706</v>
      </c>
      <c r="AL69" s="7">
        <f t="shared" si="46"/>
        <v>479045.15513598645</v>
      </c>
      <c r="AM69" s="7">
        <f t="shared" si="46"/>
        <v>517368.76754686539</v>
      </c>
    </row>
    <row r="70" spans="1:39">
      <c r="A70" s="4" t="s">
        <v>2</v>
      </c>
      <c r="C70" s="7">
        <f>-MAX(FV(Inputs!$B16/12,C$1*12,Inputs!$B17,-Inputs!$B15),0)</f>
        <v>-41787.691633353177</v>
      </c>
      <c r="D70" s="7">
        <f>-MAX(FV(Inputs!$B16/12,D$1*12,Inputs!$B17,-Inputs!$B15),0)</f>
        <v>-33325.598049266016</v>
      </c>
      <c r="E70" s="7">
        <f>-MAX(FV(Inputs!$B16/12,E$1*12,Inputs!$B17,-Inputs!$B15),0)</f>
        <v>-24606.12179132711</v>
      </c>
      <c r="F70" s="7">
        <f>-MAX(FV(Inputs!$B16/12,F$1*12,Inputs!$B17,-Inputs!$B15),0)</f>
        <v>-15621.434319218446</v>
      </c>
      <c r="G70" s="7">
        <f>-MAX(FV(Inputs!$B16/12,G$1*12,Inputs!$B17,-Inputs!$B15),0)</f>
        <v>-6363.4689800768465</v>
      </c>
      <c r="H70" s="7">
        <f>-MAX(FV(Inputs!$B16/12,H$1*12,Inputs!$B17,-Inputs!$B15),0)</f>
        <v>0</v>
      </c>
      <c r="I70" s="7">
        <f>-MAX(FV(Inputs!$B16/12,I$1*12,Inputs!$B17,-Inputs!$B15),0)</f>
        <v>0</v>
      </c>
      <c r="J70" s="7">
        <f>-MAX(FV(Inputs!$B16/12,J$1*12,Inputs!$B17,-Inputs!$B15),0)</f>
        <v>0</v>
      </c>
      <c r="K70" s="7">
        <f>-MAX(FV(Inputs!$B16/12,K$1*12,Inputs!$B17,-Inputs!$B15),0)</f>
        <v>0</v>
      </c>
      <c r="L70" s="7">
        <f>-MAX(FV(Inputs!$B16/12,L$1*12,Inputs!$B17,-Inputs!$B15),0)</f>
        <v>0</v>
      </c>
      <c r="M70" s="7">
        <f>-MAX(FV(Inputs!$B16/12,M$1*12,Inputs!$B17,-Inputs!$B15),0)</f>
        <v>0</v>
      </c>
      <c r="N70" s="7">
        <f>-MAX(FV(Inputs!$B16/12,N$1*12,Inputs!$B17,-Inputs!$B15),0)</f>
        <v>0</v>
      </c>
      <c r="O70" s="7">
        <f>-MAX(FV(Inputs!$B16/12,O$1*12,Inputs!$B17,-Inputs!$B15),0)</f>
        <v>0</v>
      </c>
      <c r="P70" s="7">
        <f>-MAX(FV(Inputs!$B16/12,P$1*12,Inputs!$B17,-Inputs!$B15),0)</f>
        <v>0</v>
      </c>
      <c r="Q70" s="7">
        <f>-MAX(FV(Inputs!$B16/12,Q$1*12,Inputs!$B17,-Inputs!$B15),0)</f>
        <v>0</v>
      </c>
      <c r="R70" s="7">
        <f>-MAX(FV(Inputs!$B16/12,R$1*12,Inputs!$B17,-Inputs!$B15),0)</f>
        <v>0</v>
      </c>
      <c r="S70" s="7">
        <f>-MAX(FV(Inputs!$B16/12,S$1*12,Inputs!$B17,-Inputs!$B15),0)</f>
        <v>0</v>
      </c>
      <c r="T70" s="7">
        <f>-MAX(FV(Inputs!$B16/12,T$1*12,Inputs!$B17,-Inputs!$B15),0)</f>
        <v>0</v>
      </c>
      <c r="U70" s="7">
        <f>-MAX(FV(Inputs!$B16/12,U$1*12,Inputs!$B17,-Inputs!$B15),0)</f>
        <v>0</v>
      </c>
      <c r="V70" s="7">
        <f>-MAX(FV(Inputs!$B16/12,V$1*12,Inputs!$B17,-Inputs!$B15),0)</f>
        <v>0</v>
      </c>
      <c r="W70" s="7">
        <f>-MAX(FV(Inputs!$B16/12,W$1*12,Inputs!$B17,-Inputs!$B15),0)</f>
        <v>0</v>
      </c>
      <c r="X70" s="7">
        <f>-MAX(FV(Inputs!$B16/12,X$1*12,Inputs!$B17,-Inputs!$B15),0)</f>
        <v>0</v>
      </c>
      <c r="Y70" s="7">
        <f>-MAX(FV(Inputs!$B16/12,Y$1*12,Inputs!$B17,-Inputs!$B15),0)</f>
        <v>0</v>
      </c>
      <c r="Z70" s="7">
        <f>-MAX(FV(Inputs!$B16/12,Z$1*12,Inputs!$B17,-Inputs!$B15),0)</f>
        <v>0</v>
      </c>
      <c r="AA70" s="7">
        <f>-MAX(FV(Inputs!$B16/12,AA$1*12,Inputs!$B17,-Inputs!$B15),0)</f>
        <v>0</v>
      </c>
      <c r="AB70" s="7">
        <f>-MAX(FV(Inputs!$B16/12,AB$1*12,Inputs!$B17,-Inputs!$B15),0)</f>
        <v>0</v>
      </c>
      <c r="AC70" s="7">
        <f>-MAX(FV(Inputs!$B16/12,AC$1*12,Inputs!$B17,-Inputs!$B15),0)</f>
        <v>0</v>
      </c>
      <c r="AD70" s="7">
        <f>-MAX(FV(Inputs!$B16/12,AD$1*12,Inputs!$B17,-Inputs!$B15),0)</f>
        <v>0</v>
      </c>
      <c r="AE70" s="7">
        <f>-MAX(FV(Inputs!$B16/12,AE$1*12,Inputs!$B17,-Inputs!$B15),0)</f>
        <v>0</v>
      </c>
      <c r="AF70" s="7">
        <f>-MAX(FV(Inputs!$B16/12,AF$1*12,Inputs!$B17,-Inputs!$B15),0)</f>
        <v>0</v>
      </c>
      <c r="AG70" s="7">
        <f>-MAX(FV(Inputs!$B16/12,AG$1*12,Inputs!$B17,-Inputs!$B15),0)</f>
        <v>0</v>
      </c>
      <c r="AH70" s="7">
        <f>-MAX(FV(Inputs!$B16/12,AH$1*12,Inputs!$B17,-Inputs!$B15),0)</f>
        <v>0</v>
      </c>
      <c r="AI70" s="7">
        <f>-MAX(FV(Inputs!$B16/12,AI$1*12,Inputs!$B17,-Inputs!$B15),0)</f>
        <v>0</v>
      </c>
      <c r="AJ70" s="7">
        <f>-MAX(FV(Inputs!$B16/12,AJ$1*12,Inputs!$B17,-Inputs!$B15),0)</f>
        <v>0</v>
      </c>
      <c r="AK70" s="7">
        <f>-MAX(FV(Inputs!$B16/12,AK$1*12,Inputs!$B17,-Inputs!$B15),0)</f>
        <v>0</v>
      </c>
      <c r="AL70" s="7">
        <f>-MAX(FV(Inputs!$B16/12,AL$1*12,Inputs!$B17,-Inputs!$B15),0)</f>
        <v>0</v>
      </c>
      <c r="AM70" s="7">
        <f>-MAX(FV(Inputs!$B16/12,AM$1*12,Inputs!$B17,-Inputs!$B15),0)</f>
        <v>0</v>
      </c>
    </row>
    <row r="71" spans="1:39">
      <c r="A71" s="4" t="s">
        <v>61</v>
      </c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</row>
    <row r="72" spans="1:39">
      <c r="A72" s="3" t="str">
        <f>TEXT(Inputs!$B$60,"")</f>
        <v>Sliema</v>
      </c>
      <c r="C72" s="7">
        <f>-MAX(FV(Inputs!$B101/12,C$1*12,Inputs!$B102,-Inputs!$B100),0)</f>
        <v>-45437.606462973985</v>
      </c>
      <c r="D72" s="7">
        <f>-MAX(FV(Inputs!$B101/12,D$1*12,Inputs!$B102,-Inputs!$B100),0)</f>
        <v>-40736.443360703342</v>
      </c>
      <c r="E72" s="7">
        <f>-MAX(FV(Inputs!$B101/12,E$1*12,Inputs!$B102,-Inputs!$B100),0)</f>
        <v>-35892.289884070618</v>
      </c>
      <c r="F72" s="7">
        <f>-MAX(FV(Inputs!$B101/12,F$1*12,Inputs!$B102,-Inputs!$B100),0)</f>
        <v>-30900.796844010245</v>
      </c>
      <c r="G72" s="7">
        <f>-MAX(FV(Inputs!$B101/12,G$1*12,Inputs!$B102,-Inputs!$B100),0)</f>
        <v>-25757.48276670936</v>
      </c>
      <c r="H72" s="7">
        <f>-MAX(FV(Inputs!$B101/12,H$1*12,Inputs!$B102,-Inputs!$B100),0)</f>
        <v>-20457.729870040646</v>
      </c>
      <c r="I72" s="7">
        <f>-MAX(FV(Inputs!$B101/12,I$1*12,Inputs!$B102,-Inputs!$B100),0)</f>
        <v>-14996.779917614593</v>
      </c>
      <c r="J72" s="7">
        <f>-MAX(FV(Inputs!$B101/12,J$1*12,Inputs!$B102,-Inputs!$B100),0)</f>
        <v>-9369.7299467287376</v>
      </c>
      <c r="K72" s="7">
        <f>-MAX(FV(Inputs!$B101/12,K$1*12,Inputs!$B102,-Inputs!$B100),0)</f>
        <v>-3571.5278663783029</v>
      </c>
      <c r="L72" s="7">
        <f>-MAX(FV(Inputs!$B101/12,L$1*12,Inputs!$B102,-Inputs!$B100),0)</f>
        <v>0</v>
      </c>
      <c r="M72" s="7">
        <f>-MAX(FV(Inputs!$B101/12,M$1*12,Inputs!$B102,-Inputs!$B100),0)</f>
        <v>0</v>
      </c>
      <c r="N72" s="7">
        <f>-MAX(FV(Inputs!$B101/12,N$1*12,Inputs!$B102,-Inputs!$B100),0)</f>
        <v>0</v>
      </c>
      <c r="O72" s="7">
        <f>-MAX(FV(Inputs!$B101/12,O$1*12,Inputs!$B102,-Inputs!$B100),0)</f>
        <v>0</v>
      </c>
      <c r="P72" s="7">
        <f>-MAX(FV(Inputs!$B101/12,P$1*12,Inputs!$B102,-Inputs!$B100),0)</f>
        <v>0</v>
      </c>
      <c r="Q72" s="7">
        <f>-MAX(FV(Inputs!$B101/12,Q$1*12,Inputs!$B102,-Inputs!$B100),0)</f>
        <v>0</v>
      </c>
      <c r="R72" s="7">
        <f>-MAX(FV(Inputs!$B101/12,R$1*12,Inputs!$B102,-Inputs!$B100),0)</f>
        <v>0</v>
      </c>
      <c r="S72" s="7">
        <f>-MAX(FV(Inputs!$B101/12,S$1*12,Inputs!$B102,-Inputs!$B100),0)</f>
        <v>0</v>
      </c>
      <c r="T72" s="7">
        <f>-MAX(FV(Inputs!$B101/12,T$1*12,Inputs!$B102,-Inputs!$B100),0)</f>
        <v>0</v>
      </c>
      <c r="U72" s="7">
        <f>-MAX(FV(Inputs!$B101/12,U$1*12,Inputs!$B102,-Inputs!$B100),0)</f>
        <v>0</v>
      </c>
      <c r="V72" s="7">
        <f>-MAX(FV(Inputs!$B101/12,V$1*12,Inputs!$B102,-Inputs!$B100),0)</f>
        <v>0</v>
      </c>
      <c r="W72" s="7">
        <f>-MAX(FV(Inputs!$B101/12,W$1*12,Inputs!$B102,-Inputs!$B100),0)</f>
        <v>0</v>
      </c>
      <c r="X72" s="7">
        <f>-MAX(FV(Inputs!$B101/12,X$1*12,Inputs!$B102,-Inputs!$B100),0)</f>
        <v>0</v>
      </c>
      <c r="Y72" s="7">
        <f>-MAX(FV(Inputs!$B101/12,Y$1*12,Inputs!$B102,-Inputs!$B100),0)</f>
        <v>0</v>
      </c>
      <c r="Z72" s="7">
        <f>-MAX(FV(Inputs!$B101/12,Z$1*12,Inputs!$B102,-Inputs!$B100),0)</f>
        <v>0</v>
      </c>
      <c r="AA72" s="7">
        <f>-MAX(FV(Inputs!$B101/12,AA$1*12,Inputs!$B102,-Inputs!$B100),0)</f>
        <v>0</v>
      </c>
      <c r="AB72" s="7">
        <f>-MAX(FV(Inputs!$B101/12,AB$1*12,Inputs!$B102,-Inputs!$B100),0)</f>
        <v>0</v>
      </c>
      <c r="AC72" s="7">
        <f>-MAX(FV(Inputs!$B101/12,AC$1*12,Inputs!$B102,-Inputs!$B100),0)</f>
        <v>0</v>
      </c>
      <c r="AD72" s="7">
        <f>-MAX(FV(Inputs!$B101/12,AD$1*12,Inputs!$B102,-Inputs!$B100),0)</f>
        <v>0</v>
      </c>
      <c r="AE72" s="7">
        <f>-MAX(FV(Inputs!$B101/12,AE$1*12,Inputs!$B102,-Inputs!$B100),0)</f>
        <v>0</v>
      </c>
      <c r="AF72" s="7">
        <f>-MAX(FV(Inputs!$B101/12,AF$1*12,Inputs!$B102,-Inputs!$B100),0)</f>
        <v>0</v>
      </c>
      <c r="AG72" s="7">
        <f>-MAX(FV(Inputs!$B101/12,AG$1*12,Inputs!$B102,-Inputs!$B100),0)</f>
        <v>0</v>
      </c>
      <c r="AH72" s="7">
        <f>-MAX(FV(Inputs!$B101/12,AH$1*12,Inputs!$B102,-Inputs!$B100),0)</f>
        <v>0</v>
      </c>
      <c r="AI72" s="7">
        <f>-MAX(FV(Inputs!$B101/12,AI$1*12,Inputs!$B102,-Inputs!$B100),0)</f>
        <v>0</v>
      </c>
      <c r="AJ72" s="7">
        <f>-MAX(FV(Inputs!$B101/12,AJ$1*12,Inputs!$B102,-Inputs!$B100),0)</f>
        <v>0</v>
      </c>
      <c r="AK72" s="7">
        <f>-MAX(FV(Inputs!$B101/12,AK$1*12,Inputs!$B102,-Inputs!$B100),0)</f>
        <v>0</v>
      </c>
      <c r="AL72" s="7">
        <f>-MAX(FV(Inputs!$B101/12,AL$1*12,Inputs!$B102,-Inputs!$B100),0)</f>
        <v>0</v>
      </c>
      <c r="AM72" s="7">
        <f>-MAX(FV(Inputs!$B101/12,AM$1*12,Inputs!$B102,-Inputs!$B100),0)</f>
        <v>0</v>
      </c>
    </row>
    <row r="73" spans="1:39">
      <c r="A73" s="3" t="str">
        <f>TEXT(Inputs!$B$65,"")</f>
        <v>Gzira</v>
      </c>
      <c r="C73" s="7">
        <f>-MAX(FV(Inputs!$B106/12,C$1*12,Inputs!$B107,-Inputs!$B105),0)</f>
        <v>-6249.4443415125261</v>
      </c>
      <c r="D73" s="7">
        <f>-MAX(FV(Inputs!$B106/12,D$1*12,Inputs!$B107,-Inputs!$B105),0)</f>
        <v>-3953.4626671330816</v>
      </c>
      <c r="E73" s="7">
        <f>-MAX(FV(Inputs!$B106/12,E$1*12,Inputs!$B107,-Inputs!$B105),0)</f>
        <v>-1611.1380819997976</v>
      </c>
      <c r="F73" s="7">
        <f>-MAX(FV(Inputs!$B106/12,F$1*12,Inputs!$B107,-Inputs!$B105),0)</f>
        <v>0</v>
      </c>
      <c r="G73" s="7">
        <f>-MAX(FV(Inputs!$B106/12,G$1*12,Inputs!$B107,-Inputs!$B105),0)</f>
        <v>0</v>
      </c>
      <c r="H73" s="7">
        <f>-MAX(FV(Inputs!$B106/12,H$1*12,Inputs!$B107,-Inputs!$B105),0)</f>
        <v>0</v>
      </c>
      <c r="I73" s="7">
        <f>-MAX(FV(Inputs!$B106/12,I$1*12,Inputs!$B107,-Inputs!$B105),0)</f>
        <v>0</v>
      </c>
      <c r="J73" s="7">
        <f>-MAX(FV(Inputs!$B106/12,J$1*12,Inputs!$B107,-Inputs!$B105),0)</f>
        <v>0</v>
      </c>
      <c r="K73" s="7">
        <f>-MAX(FV(Inputs!$B106/12,K$1*12,Inputs!$B107,-Inputs!$B105),0)</f>
        <v>0</v>
      </c>
      <c r="L73" s="7">
        <f>-MAX(FV(Inputs!$B106/12,L$1*12,Inputs!$B107,-Inputs!$B105),0)</f>
        <v>0</v>
      </c>
      <c r="M73" s="7">
        <f>-MAX(FV(Inputs!$B106/12,M$1*12,Inputs!$B107,-Inputs!$B105),0)</f>
        <v>0</v>
      </c>
      <c r="N73" s="7">
        <f>-MAX(FV(Inputs!$B106/12,N$1*12,Inputs!$B107,-Inputs!$B105),0)</f>
        <v>0</v>
      </c>
      <c r="O73" s="7">
        <f>-MAX(FV(Inputs!$B106/12,O$1*12,Inputs!$B107,-Inputs!$B105),0)</f>
        <v>0</v>
      </c>
      <c r="P73" s="7">
        <f>-MAX(FV(Inputs!$B106/12,P$1*12,Inputs!$B107,-Inputs!$B105),0)</f>
        <v>0</v>
      </c>
      <c r="Q73" s="7">
        <f>-MAX(FV(Inputs!$B106/12,Q$1*12,Inputs!$B107,-Inputs!$B105),0)</f>
        <v>0</v>
      </c>
      <c r="R73" s="7">
        <f>-MAX(FV(Inputs!$B106/12,R$1*12,Inputs!$B107,-Inputs!$B105),0)</f>
        <v>0</v>
      </c>
      <c r="S73" s="7">
        <f>-MAX(FV(Inputs!$B106/12,S$1*12,Inputs!$B107,-Inputs!$B105),0)</f>
        <v>0</v>
      </c>
      <c r="T73" s="7">
        <f>-MAX(FV(Inputs!$B106/12,T$1*12,Inputs!$B107,-Inputs!$B105),0)</f>
        <v>0</v>
      </c>
      <c r="U73" s="7">
        <f>-MAX(FV(Inputs!$B106/12,U$1*12,Inputs!$B107,-Inputs!$B105),0)</f>
        <v>0</v>
      </c>
      <c r="V73" s="7">
        <f>-MAX(FV(Inputs!$B106/12,V$1*12,Inputs!$B107,-Inputs!$B105),0)</f>
        <v>0</v>
      </c>
      <c r="W73" s="7">
        <f>-MAX(FV(Inputs!$B106/12,W$1*12,Inputs!$B107,-Inputs!$B105),0)</f>
        <v>0</v>
      </c>
      <c r="X73" s="7">
        <f>-MAX(FV(Inputs!$B106/12,X$1*12,Inputs!$B107,-Inputs!$B105),0)</f>
        <v>0</v>
      </c>
      <c r="Y73" s="7">
        <f>-MAX(FV(Inputs!$B106/12,Y$1*12,Inputs!$B107,-Inputs!$B105),0)</f>
        <v>0</v>
      </c>
      <c r="Z73" s="7">
        <f>-MAX(FV(Inputs!$B106/12,Z$1*12,Inputs!$B107,-Inputs!$B105),0)</f>
        <v>0</v>
      </c>
      <c r="AA73" s="7">
        <f>-MAX(FV(Inputs!$B106/12,AA$1*12,Inputs!$B107,-Inputs!$B105),0)</f>
        <v>0</v>
      </c>
      <c r="AB73" s="7">
        <f>-MAX(FV(Inputs!$B106/12,AB$1*12,Inputs!$B107,-Inputs!$B105),0)</f>
        <v>0</v>
      </c>
      <c r="AC73" s="7">
        <f>-MAX(FV(Inputs!$B106/12,AC$1*12,Inputs!$B107,-Inputs!$B105),0)</f>
        <v>0</v>
      </c>
      <c r="AD73" s="7">
        <f>-MAX(FV(Inputs!$B106/12,AD$1*12,Inputs!$B107,-Inputs!$B105),0)</f>
        <v>0</v>
      </c>
      <c r="AE73" s="7">
        <f>-MAX(FV(Inputs!$B106/12,AE$1*12,Inputs!$B107,-Inputs!$B105),0)</f>
        <v>0</v>
      </c>
      <c r="AF73" s="7">
        <f>-MAX(FV(Inputs!$B106/12,AF$1*12,Inputs!$B107,-Inputs!$B105),0)</f>
        <v>0</v>
      </c>
      <c r="AG73" s="7">
        <f>-MAX(FV(Inputs!$B106/12,AG$1*12,Inputs!$B107,-Inputs!$B105),0)</f>
        <v>0</v>
      </c>
      <c r="AH73" s="7">
        <f>-MAX(FV(Inputs!$B106/12,AH$1*12,Inputs!$B107,-Inputs!$B105),0)</f>
        <v>0</v>
      </c>
      <c r="AI73" s="7">
        <f>-MAX(FV(Inputs!$B106/12,AI$1*12,Inputs!$B107,-Inputs!$B105),0)</f>
        <v>0</v>
      </c>
      <c r="AJ73" s="7">
        <f>-MAX(FV(Inputs!$B106/12,AJ$1*12,Inputs!$B107,-Inputs!$B105),0)</f>
        <v>0</v>
      </c>
      <c r="AK73" s="7">
        <f>-MAX(FV(Inputs!$B106/12,AK$1*12,Inputs!$B107,-Inputs!$B105),0)</f>
        <v>0</v>
      </c>
      <c r="AL73" s="7">
        <f>-MAX(FV(Inputs!$B106/12,AL$1*12,Inputs!$B107,-Inputs!$B105),0)</f>
        <v>0</v>
      </c>
      <c r="AM73" s="7">
        <f>-MAX(FV(Inputs!$B106/12,AM$1*12,Inputs!$B107,-Inputs!$B105),0)</f>
        <v>0</v>
      </c>
    </row>
    <row r="74" spans="1:39">
      <c r="A74" s="3" t="str">
        <f>TEXT(Inputs!$B$70,"")</f>
        <v>Qormi</v>
      </c>
      <c r="C74" s="7">
        <f>-MAX(FV(Inputs!$B111/12,C$1*12,Inputs!$B112,-Inputs!$B110),0)</f>
        <v>-12697.714595321995</v>
      </c>
      <c r="D74" s="7">
        <f>-MAX(FV(Inputs!$B111/12,D$1*12,Inputs!$B112,-Inputs!$B110),0)</f>
        <v>-10277.63989987525</v>
      </c>
      <c r="E74" s="7">
        <f>-MAX(FV(Inputs!$B111/12,E$1*12,Inputs!$B112,-Inputs!$B110),0)</f>
        <v>-7733.7495899939004</v>
      </c>
      <c r="F74" s="7">
        <f>-MAX(FV(Inputs!$B111/12,F$1*12,Inputs!$B112,-Inputs!$B110),0)</f>
        <v>-5059.7090238560577</v>
      </c>
      <c r="G74" s="7">
        <f>-MAX(FV(Inputs!$B111/12,G$1*12,Inputs!$B112,-Inputs!$B110),0)</f>
        <v>-2248.8594673418665</v>
      </c>
      <c r="H74" s="7">
        <f>-MAX(FV(Inputs!$B111/12,H$1*12,Inputs!$B112,-Inputs!$B110),0)</f>
        <v>0</v>
      </c>
      <c r="I74" s="7">
        <f>-MAX(FV(Inputs!$B111/12,I$1*12,Inputs!$B112,-Inputs!$B110),0)</f>
        <v>0</v>
      </c>
      <c r="J74" s="7">
        <f>-MAX(FV(Inputs!$B111/12,J$1*12,Inputs!$B112,-Inputs!$B110),0)</f>
        <v>0</v>
      </c>
      <c r="K74" s="7">
        <f>-MAX(FV(Inputs!$B111/12,K$1*12,Inputs!$B112,-Inputs!$B110),0)</f>
        <v>0</v>
      </c>
      <c r="L74" s="7">
        <f>-MAX(FV(Inputs!$B111/12,L$1*12,Inputs!$B112,-Inputs!$B110),0)</f>
        <v>0</v>
      </c>
      <c r="M74" s="7">
        <f>-MAX(FV(Inputs!$B111/12,M$1*12,Inputs!$B112,-Inputs!$B110),0)</f>
        <v>0</v>
      </c>
      <c r="N74" s="7">
        <f>-MAX(FV(Inputs!$B111/12,N$1*12,Inputs!$B112,-Inputs!$B110),0)</f>
        <v>0</v>
      </c>
      <c r="O74" s="7">
        <f>-MAX(FV(Inputs!$B111/12,O$1*12,Inputs!$B112,-Inputs!$B110),0)</f>
        <v>0</v>
      </c>
      <c r="P74" s="7">
        <f>-MAX(FV(Inputs!$B111/12,P$1*12,Inputs!$B112,-Inputs!$B110),0)</f>
        <v>0</v>
      </c>
      <c r="Q74" s="7">
        <f>-MAX(FV(Inputs!$B111/12,Q$1*12,Inputs!$B112,-Inputs!$B110),0)</f>
        <v>0</v>
      </c>
      <c r="R74" s="7">
        <f>-MAX(FV(Inputs!$B111/12,R$1*12,Inputs!$B112,-Inputs!$B110),0)</f>
        <v>0</v>
      </c>
      <c r="S74" s="7">
        <f>-MAX(FV(Inputs!$B111/12,S$1*12,Inputs!$B112,-Inputs!$B110),0)</f>
        <v>0</v>
      </c>
      <c r="T74" s="7">
        <f>-MAX(FV(Inputs!$B111/12,T$1*12,Inputs!$B112,-Inputs!$B110),0)</f>
        <v>0</v>
      </c>
      <c r="U74" s="7">
        <f>-MAX(FV(Inputs!$B111/12,U$1*12,Inputs!$B112,-Inputs!$B110),0)</f>
        <v>0</v>
      </c>
      <c r="V74" s="7">
        <f>-MAX(FV(Inputs!$B111/12,V$1*12,Inputs!$B112,-Inputs!$B110),0)</f>
        <v>0</v>
      </c>
      <c r="W74" s="7">
        <f>-MAX(FV(Inputs!$B111/12,W$1*12,Inputs!$B112,-Inputs!$B110),0)</f>
        <v>0</v>
      </c>
      <c r="X74" s="7">
        <f>-MAX(FV(Inputs!$B111/12,X$1*12,Inputs!$B112,-Inputs!$B110),0)</f>
        <v>0</v>
      </c>
      <c r="Y74" s="7">
        <f>-MAX(FV(Inputs!$B111/12,Y$1*12,Inputs!$B112,-Inputs!$B110),0)</f>
        <v>0</v>
      </c>
      <c r="Z74" s="7">
        <f>-MAX(FV(Inputs!$B111/12,Z$1*12,Inputs!$B112,-Inputs!$B110),0)</f>
        <v>0</v>
      </c>
      <c r="AA74" s="7">
        <f>-MAX(FV(Inputs!$B111/12,AA$1*12,Inputs!$B112,-Inputs!$B110),0)</f>
        <v>0</v>
      </c>
      <c r="AB74" s="7">
        <f>-MAX(FV(Inputs!$B111/12,AB$1*12,Inputs!$B112,-Inputs!$B110),0)</f>
        <v>0</v>
      </c>
      <c r="AC74" s="7">
        <f>-MAX(FV(Inputs!$B111/12,AC$1*12,Inputs!$B112,-Inputs!$B110),0)</f>
        <v>0</v>
      </c>
      <c r="AD74" s="7">
        <f>-MAX(FV(Inputs!$B111/12,AD$1*12,Inputs!$B112,-Inputs!$B110),0)</f>
        <v>0</v>
      </c>
      <c r="AE74" s="7">
        <f>-MAX(FV(Inputs!$B111/12,AE$1*12,Inputs!$B112,-Inputs!$B110),0)</f>
        <v>0</v>
      </c>
      <c r="AF74" s="7">
        <f>-MAX(FV(Inputs!$B111/12,AF$1*12,Inputs!$B112,-Inputs!$B110),0)</f>
        <v>0</v>
      </c>
      <c r="AG74" s="7">
        <f>-MAX(FV(Inputs!$B111/12,AG$1*12,Inputs!$B112,-Inputs!$B110),0)</f>
        <v>0</v>
      </c>
      <c r="AH74" s="7">
        <f>-MAX(FV(Inputs!$B111/12,AH$1*12,Inputs!$B112,-Inputs!$B110),0)</f>
        <v>0</v>
      </c>
      <c r="AI74" s="7">
        <f>-MAX(FV(Inputs!$B111/12,AI$1*12,Inputs!$B112,-Inputs!$B110),0)</f>
        <v>0</v>
      </c>
      <c r="AJ74" s="7">
        <f>-MAX(FV(Inputs!$B111/12,AJ$1*12,Inputs!$B112,-Inputs!$B110),0)</f>
        <v>0</v>
      </c>
      <c r="AK74" s="7">
        <f>-MAX(FV(Inputs!$B111/12,AK$1*12,Inputs!$B112,-Inputs!$B110),0)</f>
        <v>0</v>
      </c>
      <c r="AL74" s="7">
        <f>-MAX(FV(Inputs!$B111/12,AL$1*12,Inputs!$B112,-Inputs!$B110),0)</f>
        <v>0</v>
      </c>
      <c r="AM74" s="7">
        <f>-MAX(FV(Inputs!$B111/12,AM$1*12,Inputs!$B112,-Inputs!$B110),0)</f>
        <v>0</v>
      </c>
    </row>
    <row r="75" spans="1:39">
      <c r="A75" s="3" t="str">
        <f>TEXT(Inputs!$B$75,"")</f>
        <v>Gudja</v>
      </c>
      <c r="C75" s="7">
        <f>-MAX(FV(Inputs!$B116/12,C$1*12,Inputs!$B117,-Inputs!$B115),0)</f>
        <v>-3805.6137118773331</v>
      </c>
      <c r="D75" s="7">
        <f>-MAX(FV(Inputs!$B116/12,D$1*12,Inputs!$B117,-Inputs!$B115),0)</f>
        <v>-2913.5784999121538</v>
      </c>
      <c r="E75" s="7">
        <f>-MAX(FV(Inputs!$B116/12,E$1*12,Inputs!$B117,-Inputs!$B115),0)</f>
        <v>-2003.5381319482622</v>
      </c>
      <c r="F75" s="7">
        <f>-MAX(FV(Inputs!$B116/12,F$1*12,Inputs!$B117,-Inputs!$B115),0)</f>
        <v>-1075.1291855128484</v>
      </c>
      <c r="G75" s="7">
        <f>-MAX(FV(Inputs!$B116/12,G$1*12,Inputs!$B117,-Inputs!$B115),0)</f>
        <v>-127.98090268471151</v>
      </c>
      <c r="H75" s="7">
        <f>-MAX(FV(Inputs!$B116/12,H$1*12,Inputs!$B117,-Inputs!$B115),0)</f>
        <v>0</v>
      </c>
      <c r="I75" s="7">
        <f>-MAX(FV(Inputs!$B116/12,I$1*12,Inputs!$B117,-Inputs!$B115),0)</f>
        <v>0</v>
      </c>
      <c r="J75" s="7">
        <f>-MAX(FV(Inputs!$B116/12,J$1*12,Inputs!$B117,-Inputs!$B115),0)</f>
        <v>0</v>
      </c>
      <c r="K75" s="7">
        <f>-MAX(FV(Inputs!$B116/12,K$1*12,Inputs!$B117,-Inputs!$B115),0)</f>
        <v>0</v>
      </c>
      <c r="L75" s="7">
        <f>-MAX(FV(Inputs!$B116/12,L$1*12,Inputs!$B117,-Inputs!$B115),0)</f>
        <v>0</v>
      </c>
      <c r="M75" s="7">
        <f>-MAX(FV(Inputs!$B116/12,M$1*12,Inputs!$B117,-Inputs!$B115),0)</f>
        <v>0</v>
      </c>
      <c r="N75" s="7">
        <f>-MAX(FV(Inputs!$B116/12,N$1*12,Inputs!$B117,-Inputs!$B115),0)</f>
        <v>0</v>
      </c>
      <c r="O75" s="7">
        <f>-MAX(FV(Inputs!$B116/12,O$1*12,Inputs!$B117,-Inputs!$B115),0)</f>
        <v>0</v>
      </c>
      <c r="P75" s="7">
        <f>-MAX(FV(Inputs!$B116/12,P$1*12,Inputs!$B117,-Inputs!$B115),0)</f>
        <v>0</v>
      </c>
      <c r="Q75" s="7">
        <f>-MAX(FV(Inputs!$B116/12,Q$1*12,Inputs!$B117,-Inputs!$B115),0)</f>
        <v>0</v>
      </c>
      <c r="R75" s="7">
        <f>-MAX(FV(Inputs!$B116/12,R$1*12,Inputs!$B117,-Inputs!$B115),0)</f>
        <v>0</v>
      </c>
      <c r="S75" s="7">
        <f>-MAX(FV(Inputs!$B116/12,S$1*12,Inputs!$B117,-Inputs!$B115),0)</f>
        <v>0</v>
      </c>
      <c r="T75" s="7">
        <f>-MAX(FV(Inputs!$B116/12,T$1*12,Inputs!$B117,-Inputs!$B115),0)</f>
        <v>0</v>
      </c>
      <c r="U75" s="7">
        <f>-MAX(FV(Inputs!$B116/12,U$1*12,Inputs!$B117,-Inputs!$B115),0)</f>
        <v>0</v>
      </c>
      <c r="V75" s="7">
        <f>-MAX(FV(Inputs!$B116/12,V$1*12,Inputs!$B117,-Inputs!$B115),0)</f>
        <v>0</v>
      </c>
      <c r="W75" s="7">
        <f>-MAX(FV(Inputs!$B116/12,W$1*12,Inputs!$B117,-Inputs!$B115),0)</f>
        <v>0</v>
      </c>
      <c r="X75" s="7">
        <f>-MAX(FV(Inputs!$B116/12,X$1*12,Inputs!$B117,-Inputs!$B115),0)</f>
        <v>0</v>
      </c>
      <c r="Y75" s="7">
        <f>-MAX(FV(Inputs!$B116/12,Y$1*12,Inputs!$B117,-Inputs!$B115),0)</f>
        <v>0</v>
      </c>
      <c r="Z75" s="7">
        <f>-MAX(FV(Inputs!$B116/12,Z$1*12,Inputs!$B117,-Inputs!$B115),0)</f>
        <v>0</v>
      </c>
      <c r="AA75" s="7">
        <f>-MAX(FV(Inputs!$B116/12,AA$1*12,Inputs!$B117,-Inputs!$B115),0)</f>
        <v>0</v>
      </c>
      <c r="AB75" s="7">
        <f>-MAX(FV(Inputs!$B116/12,AB$1*12,Inputs!$B117,-Inputs!$B115),0)</f>
        <v>0</v>
      </c>
      <c r="AC75" s="7">
        <f>-MAX(FV(Inputs!$B116/12,AC$1*12,Inputs!$B117,-Inputs!$B115),0)</f>
        <v>0</v>
      </c>
      <c r="AD75" s="7">
        <f>-MAX(FV(Inputs!$B116/12,AD$1*12,Inputs!$B117,-Inputs!$B115),0)</f>
        <v>0</v>
      </c>
      <c r="AE75" s="7">
        <f>-MAX(FV(Inputs!$B116/12,AE$1*12,Inputs!$B117,-Inputs!$B115),0)</f>
        <v>0</v>
      </c>
      <c r="AF75" s="7">
        <f>-MAX(FV(Inputs!$B116/12,AF$1*12,Inputs!$B117,-Inputs!$B115),0)</f>
        <v>0</v>
      </c>
      <c r="AG75" s="7">
        <f>-MAX(FV(Inputs!$B116/12,AG$1*12,Inputs!$B117,-Inputs!$B115),0)</f>
        <v>0</v>
      </c>
      <c r="AH75" s="7">
        <f>-MAX(FV(Inputs!$B116/12,AH$1*12,Inputs!$B117,-Inputs!$B115),0)</f>
        <v>0</v>
      </c>
      <c r="AI75" s="7">
        <f>-MAX(FV(Inputs!$B116/12,AI$1*12,Inputs!$B117,-Inputs!$B115),0)</f>
        <v>0</v>
      </c>
      <c r="AJ75" s="7">
        <f>-MAX(FV(Inputs!$B116/12,AJ$1*12,Inputs!$B117,-Inputs!$B115),0)</f>
        <v>0</v>
      </c>
      <c r="AK75" s="7">
        <f>-MAX(FV(Inputs!$B116/12,AK$1*12,Inputs!$B117,-Inputs!$B115),0)</f>
        <v>0</v>
      </c>
      <c r="AL75" s="7">
        <f>-MAX(FV(Inputs!$B116/12,AL$1*12,Inputs!$B117,-Inputs!$B115),0)</f>
        <v>0</v>
      </c>
      <c r="AM75" s="7">
        <f>-MAX(FV(Inputs!$B116/12,AM$1*12,Inputs!$B117,-Inputs!$B115),0)</f>
        <v>0</v>
      </c>
    </row>
    <row r="76" spans="1:39">
      <c r="A76" s="3" t="str">
        <f>TEXT(Inputs!$B$80,"")</f>
        <v>Marsa</v>
      </c>
      <c r="C76" s="7">
        <f>-MAX(FV(Inputs!$B121/12,C$1*12,Inputs!$B122,-Inputs!$B120),0)</f>
        <v>-8353.7156417959159</v>
      </c>
      <c r="D76" s="7">
        <f>-MAX(FV(Inputs!$B121/12,D$1*12,Inputs!$B122,-Inputs!$B120),0)</f>
        <v>-7147.835964976146</v>
      </c>
      <c r="E76" s="7">
        <f>-MAX(FV(Inputs!$B121/12,E$1*12,Inputs!$B122,-Inputs!$B120),0)</f>
        <v>-5905.2783038633406</v>
      </c>
      <c r="F76" s="7">
        <f>-MAX(FV(Inputs!$B121/12,F$1*12,Inputs!$B122,-Inputs!$B120),0)</f>
        <v>-4624.9270624675901</v>
      </c>
      <c r="G76" s="7">
        <f>-MAX(FV(Inputs!$B121/12,G$1*12,Inputs!$B122,-Inputs!$B120),0)</f>
        <v>-3305.6327128793955</v>
      </c>
      <c r="H76" s="7">
        <f>-MAX(FV(Inputs!$B121/12,H$1*12,Inputs!$B122,-Inputs!$B120),0)</f>
        <v>-1946.2107631978924</v>
      </c>
      <c r="I76" s="7">
        <f>-MAX(FV(Inputs!$B121/12,I$1*12,Inputs!$B122,-Inputs!$B120),0)</f>
        <v>-545.44069406759263</v>
      </c>
      <c r="J76" s="7">
        <f>-MAX(FV(Inputs!$B121/12,J$1*12,Inputs!$B122,-Inputs!$B120),0)</f>
        <v>0</v>
      </c>
      <c r="K76" s="7">
        <f>-MAX(FV(Inputs!$B121/12,K$1*12,Inputs!$B122,-Inputs!$B120),0)</f>
        <v>0</v>
      </c>
      <c r="L76" s="7">
        <f>-MAX(FV(Inputs!$B121/12,L$1*12,Inputs!$B122,-Inputs!$B120),0)</f>
        <v>0</v>
      </c>
      <c r="M76" s="7">
        <f>-MAX(FV(Inputs!$B121/12,M$1*12,Inputs!$B122,-Inputs!$B120),0)</f>
        <v>0</v>
      </c>
      <c r="N76" s="7">
        <f>-MAX(FV(Inputs!$B121/12,N$1*12,Inputs!$B122,-Inputs!$B120),0)</f>
        <v>0</v>
      </c>
      <c r="O76" s="7">
        <f>-MAX(FV(Inputs!$B121/12,O$1*12,Inputs!$B122,-Inputs!$B120),0)</f>
        <v>0</v>
      </c>
      <c r="P76" s="7">
        <f>-MAX(FV(Inputs!$B121/12,P$1*12,Inputs!$B122,-Inputs!$B120),0)</f>
        <v>0</v>
      </c>
      <c r="Q76" s="7">
        <f>-MAX(FV(Inputs!$B121/12,Q$1*12,Inputs!$B122,-Inputs!$B120),0)</f>
        <v>0</v>
      </c>
      <c r="R76" s="7">
        <f>-MAX(FV(Inputs!$B121/12,R$1*12,Inputs!$B122,-Inputs!$B120),0)</f>
        <v>0</v>
      </c>
      <c r="S76" s="7">
        <f>-MAX(FV(Inputs!$B121/12,S$1*12,Inputs!$B122,-Inputs!$B120),0)</f>
        <v>0</v>
      </c>
      <c r="T76" s="7">
        <f>-MAX(FV(Inputs!$B121/12,T$1*12,Inputs!$B122,-Inputs!$B120),0)</f>
        <v>0</v>
      </c>
      <c r="U76" s="7">
        <f>-MAX(FV(Inputs!$B121/12,U$1*12,Inputs!$B122,-Inputs!$B120),0)</f>
        <v>0</v>
      </c>
      <c r="V76" s="7">
        <f>-MAX(FV(Inputs!$B121/12,V$1*12,Inputs!$B122,-Inputs!$B120),0)</f>
        <v>0</v>
      </c>
      <c r="W76" s="7">
        <f>-MAX(FV(Inputs!$B121/12,W$1*12,Inputs!$B122,-Inputs!$B120),0)</f>
        <v>0</v>
      </c>
      <c r="X76" s="7">
        <f>-MAX(FV(Inputs!$B121/12,X$1*12,Inputs!$B122,-Inputs!$B120),0)</f>
        <v>0</v>
      </c>
      <c r="Y76" s="7">
        <f>-MAX(FV(Inputs!$B121/12,Y$1*12,Inputs!$B122,-Inputs!$B120),0)</f>
        <v>0</v>
      </c>
      <c r="Z76" s="7">
        <f>-MAX(FV(Inputs!$B121/12,Z$1*12,Inputs!$B122,-Inputs!$B120),0)</f>
        <v>0</v>
      </c>
      <c r="AA76" s="7">
        <f>-MAX(FV(Inputs!$B121/12,AA$1*12,Inputs!$B122,-Inputs!$B120),0)</f>
        <v>0</v>
      </c>
      <c r="AB76" s="7">
        <f>-MAX(FV(Inputs!$B121/12,AB$1*12,Inputs!$B122,-Inputs!$B120),0)</f>
        <v>0</v>
      </c>
      <c r="AC76" s="7">
        <f>-MAX(FV(Inputs!$B121/12,AC$1*12,Inputs!$B122,-Inputs!$B120),0)</f>
        <v>0</v>
      </c>
      <c r="AD76" s="7">
        <f>-MAX(FV(Inputs!$B121/12,AD$1*12,Inputs!$B122,-Inputs!$B120),0)</f>
        <v>0</v>
      </c>
      <c r="AE76" s="7">
        <f>-MAX(FV(Inputs!$B121/12,AE$1*12,Inputs!$B122,-Inputs!$B120),0)</f>
        <v>0</v>
      </c>
      <c r="AF76" s="7">
        <f>-MAX(FV(Inputs!$B121/12,AF$1*12,Inputs!$B122,-Inputs!$B120),0)</f>
        <v>0</v>
      </c>
      <c r="AG76" s="7">
        <f>-MAX(FV(Inputs!$B121/12,AG$1*12,Inputs!$B122,-Inputs!$B120),0)</f>
        <v>0</v>
      </c>
      <c r="AH76" s="7">
        <f>-MAX(FV(Inputs!$B121/12,AH$1*12,Inputs!$B122,-Inputs!$B120),0)</f>
        <v>0</v>
      </c>
      <c r="AI76" s="7">
        <f>-MAX(FV(Inputs!$B121/12,AI$1*12,Inputs!$B122,-Inputs!$B120),0)</f>
        <v>0</v>
      </c>
      <c r="AJ76" s="7">
        <f>-MAX(FV(Inputs!$B121/12,AJ$1*12,Inputs!$B122,-Inputs!$B120),0)</f>
        <v>0</v>
      </c>
      <c r="AK76" s="7">
        <f>-MAX(FV(Inputs!$B121/12,AK$1*12,Inputs!$B122,-Inputs!$B120),0)</f>
        <v>0</v>
      </c>
      <c r="AL76" s="7">
        <f>-MAX(FV(Inputs!$B121/12,AL$1*12,Inputs!$B122,-Inputs!$B120),0)</f>
        <v>0</v>
      </c>
      <c r="AM76" s="7">
        <f>-MAX(FV(Inputs!$B121/12,AM$1*12,Inputs!$B122,-Inputs!$B120),0)</f>
        <v>0</v>
      </c>
    </row>
    <row r="77" spans="1:39">
      <c r="A77" s="4" t="s">
        <v>34</v>
      </c>
      <c r="C77" s="7">
        <f>-MAX(FV(Inputs!$B126/12,C$1*12,Inputs!$B127,-Inputs!$B125),0)</f>
        <v>-3629.9331288130147</v>
      </c>
      <c r="D77" s="7">
        <f>-MAX(FV(Inputs!$B126/12,D$1*12,Inputs!$B127,-Inputs!$B125),0)</f>
        <v>-3237.0413427676731</v>
      </c>
      <c r="E77" s="7">
        <f>-MAX(FV(Inputs!$B126/12,E$1*12,Inputs!$B127,-Inputs!$B125),0)</f>
        <v>-2819.9168510595237</v>
      </c>
      <c r="F77" s="7">
        <f>-MAX(FV(Inputs!$B126/12,F$1*12,Inputs!$B127,-Inputs!$B125),0)</f>
        <v>-2377.0650334277229</v>
      </c>
      <c r="G77" s="7">
        <f>-MAX(FV(Inputs!$B126/12,G$1*12,Inputs!$B127,-Inputs!$B125),0)</f>
        <v>-1906.8990847041773</v>
      </c>
      <c r="H77" s="7">
        <f>-MAX(FV(Inputs!$B126/12,H$1*12,Inputs!$B127,-Inputs!$B125),0)</f>
        <v>-1407.7343290501685</v>
      </c>
      <c r="I77" s="7">
        <f>-MAX(FV(Inputs!$B126/12,I$1*12,Inputs!$B127,-Inputs!$B125),0)</f>
        <v>-877.78218350754105</v>
      </c>
      <c r="J77" s="7">
        <f>-MAX(FV(Inputs!$B126/12,J$1*12,Inputs!$B127,-Inputs!$B125),0)</f>
        <v>-315.14374923495234</v>
      </c>
      <c r="K77" s="7">
        <f>-MAX(FV(Inputs!$B126/12,K$1*12,Inputs!$B127,-Inputs!$B125),0)</f>
        <v>0</v>
      </c>
      <c r="L77" s="7">
        <f>-MAX(FV(Inputs!$B126/12,L$1*12,Inputs!$B127,-Inputs!$B125),0)</f>
        <v>0</v>
      </c>
      <c r="M77" s="7">
        <f>-MAX(FV(Inputs!$B126/12,M$1*12,Inputs!$B127,-Inputs!$B125),0)</f>
        <v>0</v>
      </c>
      <c r="N77" s="7">
        <f>-MAX(FV(Inputs!$B126/12,N$1*12,Inputs!$B127,-Inputs!$B125),0)</f>
        <v>0</v>
      </c>
      <c r="O77" s="7">
        <f>-MAX(FV(Inputs!$B126/12,O$1*12,Inputs!$B127,-Inputs!$B125),0)</f>
        <v>0</v>
      </c>
      <c r="P77" s="7">
        <f>-MAX(FV(Inputs!$B126/12,P$1*12,Inputs!$B127,-Inputs!$B125),0)</f>
        <v>0</v>
      </c>
      <c r="Q77" s="7">
        <f>-MAX(FV(Inputs!$B126/12,Q$1*12,Inputs!$B127,-Inputs!$B125),0)</f>
        <v>0</v>
      </c>
      <c r="R77" s="7">
        <f>-MAX(FV(Inputs!$B126/12,R$1*12,Inputs!$B127,-Inputs!$B125),0)</f>
        <v>0</v>
      </c>
      <c r="S77" s="7">
        <f>-MAX(FV(Inputs!$B126/12,S$1*12,Inputs!$B127,-Inputs!$B125),0)</f>
        <v>0</v>
      </c>
      <c r="T77" s="7">
        <f>-MAX(FV(Inputs!$B126/12,T$1*12,Inputs!$B127,-Inputs!$B125),0)</f>
        <v>0</v>
      </c>
      <c r="U77" s="7">
        <f>-MAX(FV(Inputs!$B126/12,U$1*12,Inputs!$B127,-Inputs!$B125),0)</f>
        <v>0</v>
      </c>
      <c r="V77" s="7">
        <f>-MAX(FV(Inputs!$B126/12,V$1*12,Inputs!$B127,-Inputs!$B125),0)</f>
        <v>0</v>
      </c>
      <c r="W77" s="7">
        <f>-MAX(FV(Inputs!$B126/12,W$1*12,Inputs!$B127,-Inputs!$B125),0)</f>
        <v>0</v>
      </c>
      <c r="X77" s="7">
        <f>-MAX(FV(Inputs!$B126/12,X$1*12,Inputs!$B127,-Inputs!$B125),0)</f>
        <v>0</v>
      </c>
      <c r="Y77" s="7">
        <f>-MAX(FV(Inputs!$B126/12,Y$1*12,Inputs!$B127,-Inputs!$B125),0)</f>
        <v>0</v>
      </c>
      <c r="Z77" s="7">
        <f>-MAX(FV(Inputs!$B126/12,Z$1*12,Inputs!$B127,-Inputs!$B125),0)</f>
        <v>0</v>
      </c>
      <c r="AA77" s="7">
        <f>-MAX(FV(Inputs!$B126/12,AA$1*12,Inputs!$B127,-Inputs!$B125),0)</f>
        <v>0</v>
      </c>
      <c r="AB77" s="7">
        <f>-MAX(FV(Inputs!$B126/12,AB$1*12,Inputs!$B127,-Inputs!$B125),0)</f>
        <v>0</v>
      </c>
      <c r="AC77" s="7">
        <f>-MAX(FV(Inputs!$B126/12,AC$1*12,Inputs!$B127,-Inputs!$B125),0)</f>
        <v>0</v>
      </c>
      <c r="AD77" s="7">
        <f>-MAX(FV(Inputs!$B126/12,AD$1*12,Inputs!$B127,-Inputs!$B125),0)</f>
        <v>0</v>
      </c>
      <c r="AE77" s="7">
        <f>-MAX(FV(Inputs!$B126/12,AE$1*12,Inputs!$B127,-Inputs!$B125),0)</f>
        <v>0</v>
      </c>
      <c r="AF77" s="7">
        <f>-MAX(FV(Inputs!$B126/12,AF$1*12,Inputs!$B127,-Inputs!$B125),0)</f>
        <v>0</v>
      </c>
      <c r="AG77" s="7">
        <f>-MAX(FV(Inputs!$B126/12,AG$1*12,Inputs!$B127,-Inputs!$B125),0)</f>
        <v>0</v>
      </c>
      <c r="AH77" s="7">
        <f>-MAX(FV(Inputs!$B126/12,AH$1*12,Inputs!$B127,-Inputs!$B125),0)</f>
        <v>0</v>
      </c>
      <c r="AI77" s="7">
        <f>-MAX(FV(Inputs!$B126/12,AI$1*12,Inputs!$B127,-Inputs!$B125),0)</f>
        <v>0</v>
      </c>
      <c r="AJ77" s="7">
        <f>-MAX(FV(Inputs!$B126/12,AJ$1*12,Inputs!$B127,-Inputs!$B125),0)</f>
        <v>0</v>
      </c>
      <c r="AK77" s="7">
        <f>-MAX(FV(Inputs!$B126/12,AK$1*12,Inputs!$B127,-Inputs!$B125),0)</f>
        <v>0</v>
      </c>
      <c r="AL77" s="7">
        <f>-MAX(FV(Inputs!$B126/12,AL$1*12,Inputs!$B127,-Inputs!$B125),0)</f>
        <v>0</v>
      </c>
      <c r="AM77" s="7">
        <f>-MAX(FV(Inputs!$B126/12,AM$1*12,Inputs!$B127,-Inputs!$B125),0)</f>
        <v>0</v>
      </c>
    </row>
    <row r="78" spans="1:39">
      <c r="A78" s="4"/>
      <c r="C78" s="9">
        <f t="shared" ref="C78:AM78" ca="1" si="47">SUM(C60:C77)</f>
        <v>1502255.030484352</v>
      </c>
      <c r="D78" s="9">
        <f t="shared" ca="1" si="47"/>
        <v>1601971.8939653663</v>
      </c>
      <c r="E78" s="9">
        <f t="shared" ca="1" si="47"/>
        <v>1684328.4015844876</v>
      </c>
      <c r="F78" s="9">
        <f t="shared" ca="1" si="47"/>
        <v>1802937.006310463</v>
      </c>
      <c r="G78" s="9">
        <f t="shared" ca="1" si="47"/>
        <v>1927421.2402849826</v>
      </c>
      <c r="H78" s="9">
        <f t="shared" ca="1" si="47"/>
        <v>2064953.2124391431</v>
      </c>
      <c r="I78" s="9">
        <f t="shared" ca="1" si="47"/>
        <v>2206605.9587726984</v>
      </c>
      <c r="J78" s="9">
        <f t="shared" ca="1" si="47"/>
        <v>2336984.315261797</v>
      </c>
      <c r="K78" s="9">
        <f t="shared" ca="1" si="47"/>
        <v>2553696.5652745049</v>
      </c>
      <c r="L78" s="9">
        <f t="shared" ca="1" si="47"/>
        <v>2682201.6501127994</v>
      </c>
      <c r="M78" s="9">
        <f t="shared" ca="1" si="47"/>
        <v>2865811.5072427955</v>
      </c>
      <c r="N78" s="9">
        <f t="shared" ca="1" si="47"/>
        <v>3057997.4271338722</v>
      </c>
      <c r="O78" s="9">
        <f t="shared" ca="1" si="47"/>
        <v>3259115.4112636279</v>
      </c>
      <c r="P78" s="9">
        <f t="shared" ca="1" si="47"/>
        <v>3469535.9434690997</v>
      </c>
      <c r="Q78" s="9">
        <f t="shared" ca="1" si="47"/>
        <v>3689644.6155287321</v>
      </c>
      <c r="R78" s="9">
        <f t="shared" ca="1" si="47"/>
        <v>3919842.7837065402</v>
      </c>
      <c r="S78" s="9">
        <f t="shared" ca="1" si="47"/>
        <v>4054616.0275665605</v>
      </c>
      <c r="T78" s="9">
        <f t="shared" ca="1" si="47"/>
        <v>4202088.2403769335</v>
      </c>
      <c r="U78" s="9">
        <f t="shared" ca="1" si="47"/>
        <v>4355143.7005567998</v>
      </c>
      <c r="V78" s="9">
        <f t="shared" ca="1" si="47"/>
        <v>4514008.5023259334</v>
      </c>
      <c r="W78" s="9">
        <f t="shared" ca="1" si="47"/>
        <v>4678919.0712515805</v>
      </c>
      <c r="X78" s="9">
        <f t="shared" ca="1" si="47"/>
        <v>4829715.8029471757</v>
      </c>
      <c r="Y78" s="9">
        <f t="shared" ca="1" si="47"/>
        <v>4986044.0693058725</v>
      </c>
      <c r="Z78" s="9">
        <f t="shared" ca="1" si="47"/>
        <v>5148136.5207989374</v>
      </c>
      <c r="AA78" s="9">
        <f t="shared" ca="1" si="47"/>
        <v>5316237.3201445313</v>
      </c>
      <c r="AB78" s="9">
        <f t="shared" ca="1" si="47"/>
        <v>5490602.8188040275</v>
      </c>
      <c r="AC78" s="9">
        <f t="shared" ca="1" si="47"/>
        <v>5671502.2791912882</v>
      </c>
      <c r="AD78" s="9">
        <f t="shared" ca="1" si="47"/>
        <v>5869079.3835584801</v>
      </c>
      <c r="AE78" s="9">
        <f t="shared" ca="1" si="47"/>
        <v>6074263.8821058059</v>
      </c>
      <c r="AF78" s="9">
        <f t="shared" ca="1" si="47"/>
        <v>6287387.1015175469</v>
      </c>
      <c r="AG78" s="9">
        <f t="shared" ca="1" si="47"/>
        <v>6508797.3131371122</v>
      </c>
      <c r="AH78" s="9">
        <f t="shared" ca="1" si="47"/>
        <v>6738860.7590825101</v>
      </c>
      <c r="AI78" s="9">
        <f t="shared" ca="1" si="47"/>
        <v>6977962.7492139088</v>
      </c>
      <c r="AJ78" s="9">
        <f t="shared" ca="1" si="47"/>
        <v>7226508.8342432594</v>
      </c>
      <c r="AK78" s="9">
        <f t="shared" ca="1" si="47"/>
        <v>7484926.0606866917</v>
      </c>
      <c r="AL78" s="9">
        <f t="shared" ca="1" si="47"/>
        <v>7753664.3138034111</v>
      </c>
      <c r="AM78" s="9">
        <f t="shared" ca="1" si="47"/>
        <v>8033197.75514297</v>
      </c>
    </row>
    <row r="79" spans="1:39">
      <c r="A79" s="4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</row>
    <row r="80" spans="1:39">
      <c r="A80" s="30" t="s">
        <v>77</v>
      </c>
      <c r="C80" s="7">
        <f t="shared" ref="C80:AM80" ca="1" si="48">C61-buffer</f>
        <v>37716.75</v>
      </c>
      <c r="D80" s="7">
        <f t="shared" ca="1" si="48"/>
        <v>69048.493749999994</v>
      </c>
      <c r="E80" s="7">
        <f t="shared" ca="1" si="48"/>
        <v>80800.384218750027</v>
      </c>
      <c r="F80" s="7">
        <f t="shared" ca="1" si="48"/>
        <v>127283.44827895577</v>
      </c>
      <c r="G80" s="7">
        <f t="shared" ca="1" si="48"/>
        <v>178918.83267437888</v>
      </c>
      <c r="H80" s="7">
        <f t="shared" ca="1" si="48"/>
        <v>245901.78181548161</v>
      </c>
      <c r="I80" s="7">
        <f t="shared" ca="1" si="48"/>
        <v>323696.65132994356</v>
      </c>
      <c r="J80" s="7">
        <f t="shared" ca="1" si="48"/>
        <v>388989.26300950802</v>
      </c>
      <c r="K80" s="7">
        <f t="shared" ca="1" si="48"/>
        <v>539281.37409876089</v>
      </c>
      <c r="L80" s="7">
        <f t="shared" ca="1" si="48"/>
        <v>601876.82255875634</v>
      </c>
      <c r="M80" s="7">
        <f t="shared" ca="1" si="48"/>
        <v>721038.5473662219</v>
      </c>
      <c r="N80" s="7">
        <f t="shared" ca="1" si="48"/>
        <v>846583.81996541878</v>
      </c>
      <c r="O80" s="7">
        <f t="shared" ca="1" si="48"/>
        <v>978782.14070489258</v>
      </c>
      <c r="P80" s="7">
        <f t="shared" ca="1" si="48"/>
        <v>1117913.239204355</v>
      </c>
      <c r="Q80" s="7">
        <f t="shared" ca="1" si="48"/>
        <v>1264267.4396996587</v>
      </c>
      <c r="R80" s="7">
        <f t="shared" ca="1" si="48"/>
        <v>1418146.0389312971</v>
      </c>
      <c r="S80" s="7">
        <f t="shared" ca="1" si="48"/>
        <v>1473929.4664830596</v>
      </c>
      <c r="T80" s="7">
        <f t="shared" ca="1" si="48"/>
        <v>1539631.0553787265</v>
      </c>
      <c r="U80" s="7">
        <f t="shared" ca="1" si="48"/>
        <v>1608018.7707598673</v>
      </c>
      <c r="V80" s="7">
        <f t="shared" ca="1" si="48"/>
        <v>1679196.2730464134</v>
      </c>
      <c r="W80" s="7">
        <f t="shared" ca="1" si="48"/>
        <v>1753271.0393779005</v>
      </c>
      <c r="X80" s="7">
        <f t="shared" ca="1" si="48"/>
        <v>1809947.5795442504</v>
      </c>
      <c r="Y80" s="7">
        <f t="shared" ca="1" si="48"/>
        <v>1868727.9885819815</v>
      </c>
      <c r="Z80" s="7">
        <f t="shared" ca="1" si="48"/>
        <v>1929693.7621849393</v>
      </c>
      <c r="AA80" s="7">
        <f t="shared" ca="1" si="48"/>
        <v>1992929.5076662535</v>
      </c>
      <c r="AB80" s="7">
        <f t="shared" ca="1" si="48"/>
        <v>2058523.0591570721</v>
      </c>
      <c r="AC80" s="7">
        <f t="shared" ca="1" si="48"/>
        <v>2126565.5969370482</v>
      </c>
      <c r="AD80" s="7">
        <f t="shared" ca="1" si="48"/>
        <v>2207012.5086333081</v>
      </c>
      <c r="AE80" s="7">
        <f t="shared" ca="1" si="48"/>
        <v>2290594.3413533093</v>
      </c>
      <c r="AF80" s="7">
        <f t="shared" ca="1" si="48"/>
        <v>2377431.5621965392</v>
      </c>
      <c r="AG80" s="7">
        <f t="shared" ca="1" si="48"/>
        <v>2467649.1223028628</v>
      </c>
      <c r="AH80" s="7">
        <f t="shared" ca="1" si="48"/>
        <v>2561376.6183629362</v>
      </c>
      <c r="AI80" s="7">
        <f t="shared" ca="1" si="48"/>
        <v>2658748.4597796248</v>
      </c>
      <c r="AJ80" s="7">
        <f t="shared" ca="1" si="48"/>
        <v>2759904.041673373</v>
      </c>
      <c r="AK80" s="7">
        <f t="shared" ca="1" si="48"/>
        <v>2864987.92393093</v>
      </c>
      <c r="AL80" s="7">
        <f t="shared" ca="1" si="48"/>
        <v>2974150.0165034966</v>
      </c>
      <c r="AM80" s="7">
        <f t="shared" ca="1" si="48"/>
        <v>3087545.7711672578</v>
      </c>
    </row>
    <row r="81" spans="1:39">
      <c r="A81" s="2" t="s">
        <v>20</v>
      </c>
      <c r="C81" s="7">
        <f ca="1">IF(C80&lt;0,-C80,0)</f>
        <v>0</v>
      </c>
      <c r="D81" s="7">
        <f ca="1">IF(D80+SUM($C81:C81)&lt;0,-(D80+SUM($C81:C81)),0)</f>
        <v>0</v>
      </c>
      <c r="E81" s="7">
        <f ca="1">IF(E80+SUM($C81:D81)&lt;0,-(E80+SUM($C81:D81)),0)</f>
        <v>0</v>
      </c>
      <c r="F81" s="7">
        <f ca="1">IF(F80+SUM($C81:E81)&lt;0,-(F80+SUM($C81:E81)),0)</f>
        <v>0</v>
      </c>
      <c r="G81" s="7">
        <f ca="1">IF(G80+SUM($C81:F81)&lt;0,-(G80+SUM($C81:F81)),0)</f>
        <v>0</v>
      </c>
      <c r="H81" s="7">
        <f ca="1">IF(H80+SUM($C81:G81)&lt;0,-(H80+SUM($C81:G81)),0)</f>
        <v>0</v>
      </c>
      <c r="I81" s="7">
        <f ca="1">IF(I80+SUM($C81:H81)&lt;0,-(I80+SUM($C81:H81)),0)</f>
        <v>0</v>
      </c>
      <c r="J81" s="7">
        <f ca="1">IF(J80+SUM($C81:I81)&lt;0,-(J80+SUM($C81:I81)),0)</f>
        <v>0</v>
      </c>
      <c r="K81" s="7">
        <f ca="1">IF(K80+SUM($C81:J81)&lt;0,-(K80+SUM($C81:J81)),0)</f>
        <v>0</v>
      </c>
      <c r="L81" s="7">
        <f ca="1">IF(L80+SUM($C81:K81)&lt;0,-(L80+SUM($C81:K81)),0)</f>
        <v>0</v>
      </c>
      <c r="M81" s="7">
        <f ca="1">IF(M80+SUM($C81:L81)&lt;0,-(M80+SUM($C81:L81)),0)</f>
        <v>0</v>
      </c>
      <c r="N81" s="7">
        <f ca="1">IF(N80+SUM($C81:M81)&lt;0,-(N80+SUM($C81:M81)),0)</f>
        <v>0</v>
      </c>
      <c r="O81" s="7">
        <f ca="1">IF(O80+SUM($C81:N81)&lt;0,-(O80+SUM($C81:N81)),0)</f>
        <v>0</v>
      </c>
      <c r="P81" s="7">
        <f ca="1">IF(P80+SUM($C81:O81)&lt;0,-(P80+SUM($C81:O81)),0)</f>
        <v>0</v>
      </c>
      <c r="Q81" s="7">
        <f ca="1">IF(Q80+SUM($C81:P81)&lt;0,-(Q80+SUM($C81:P81)),0)</f>
        <v>0</v>
      </c>
      <c r="R81" s="7">
        <f ca="1">IF(R80+SUM($C81:Q81)&lt;0,-(R80+SUM($C81:Q81)),0)</f>
        <v>0</v>
      </c>
      <c r="S81" s="7">
        <f ca="1">IF(S80+SUM($C81:R81)&lt;0,-(S80+SUM($C81:R81)),0)</f>
        <v>0</v>
      </c>
      <c r="T81" s="7">
        <f ca="1">IF(T80+SUM($C81:S81)&lt;0,-(T80+SUM($C81:S81)),0)</f>
        <v>0</v>
      </c>
      <c r="U81" s="7">
        <f ca="1">IF(U80+SUM($C81:T81)&lt;0,-(U80+SUM($C81:T81)),0)</f>
        <v>0</v>
      </c>
      <c r="V81" s="7">
        <f ca="1">IF(V80+SUM($C81:U81)&lt;0,-(V80+SUM($C81:U81)),0)</f>
        <v>0</v>
      </c>
      <c r="W81" s="7">
        <f ca="1">IF(W80+SUM($C81:V81)&lt;0,-(W80+SUM($C81:V81)),0)</f>
        <v>0</v>
      </c>
      <c r="X81" s="7">
        <f ca="1">IF(X80+SUM($C81:W81)&lt;0,-(X80+SUM($C81:W81)),0)</f>
        <v>0</v>
      </c>
      <c r="Y81" s="7">
        <f ca="1">IF(Y80+SUM($C81:X81)&lt;0,-(Y80+SUM($C81:X81)),0)</f>
        <v>0</v>
      </c>
      <c r="Z81" s="7">
        <f ca="1">IF(Z80+SUM($C81:Y81)&lt;0,-(Z80+SUM($C81:Y81)),0)</f>
        <v>0</v>
      </c>
      <c r="AA81" s="7">
        <f ca="1">IF(AA80+SUM($C81:Z81)&lt;0,-(AA80+SUM($C81:Z81)),0)</f>
        <v>0</v>
      </c>
      <c r="AB81" s="7">
        <f ca="1">IF(AB80+SUM($C81:AA81)&lt;0,-(AB80+SUM($C81:AA81)),0)</f>
        <v>0</v>
      </c>
      <c r="AC81" s="7">
        <f ca="1">IF(AC80+SUM($C81:AB81)&lt;0,-(AC80+SUM($C81:AB81)),0)</f>
        <v>0</v>
      </c>
      <c r="AD81" s="7">
        <f ca="1">IF(AD80+SUM($C81:AC81)&lt;0,-(AD80+SUM($C81:AC81)),0)</f>
        <v>0</v>
      </c>
      <c r="AE81" s="7">
        <f ca="1">IF(AE80+SUM($C81:AD81)&lt;0,-(AE80+SUM($C81:AD81)),0)</f>
        <v>0</v>
      </c>
      <c r="AF81" s="7">
        <f ca="1">IF(AF80+SUM($C81:AE81)&lt;0,-(AF80+SUM($C81:AE81)),0)</f>
        <v>0</v>
      </c>
      <c r="AG81" s="7">
        <f ca="1">IF(AG80+SUM($C81:AF81)&lt;0,-(AG80+SUM($C81:AF81)),0)</f>
        <v>0</v>
      </c>
      <c r="AH81" s="7">
        <f ca="1">IF(AH80+SUM($C81:AG81)&lt;0,-(AH80+SUM($C81:AG81)),0)</f>
        <v>0</v>
      </c>
      <c r="AI81" s="7">
        <f ca="1">IF(AI80+SUM($C81:AH81)&lt;0,-(AI80+SUM($C81:AH81)),0)</f>
        <v>0</v>
      </c>
      <c r="AJ81" s="7">
        <f ca="1">IF(AJ80+SUM($C81:AI81)&lt;0,-(AJ80+SUM($C81:AI81)),0)</f>
        <v>0</v>
      </c>
      <c r="AK81" s="7">
        <f ca="1">IF(AK80+SUM($C81:AJ81)&lt;0,-(AK80+SUM($C81:AJ81)),0)</f>
        <v>0</v>
      </c>
      <c r="AL81" s="7">
        <f ca="1">IF(AL80+SUM($C81:AK81)&lt;0,-(AL80+SUM($C81:AK81)),0)</f>
        <v>0</v>
      </c>
      <c r="AM81" s="7">
        <f ca="1">IF(AM80+SUM($C81:AL81)&lt;0,-(AM80+SUM($C81:AL81)),0)</f>
        <v>0</v>
      </c>
    </row>
    <row r="82" spans="1:39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</row>
    <row r="83" spans="1:39" ht="19">
      <c r="A83" s="25" t="s">
        <v>21</v>
      </c>
      <c r="B83" s="26"/>
      <c r="C83" s="27"/>
      <c r="D83" s="28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</row>
    <row r="84" spans="1:39">
      <c r="A84" s="1"/>
      <c r="C84" s="7"/>
      <c r="D84" s="11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</row>
    <row r="85" spans="1:39">
      <c r="A85" s="24" t="s">
        <v>27</v>
      </c>
      <c r="B85" s="26"/>
      <c r="C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</row>
    <row r="86" spans="1:39">
      <c r="A86" s="3" t="s">
        <v>22</v>
      </c>
      <c r="C86" s="7">
        <f>C69</f>
        <v>32400.000000000004</v>
      </c>
      <c r="D86" s="7">
        <f t="shared" ref="D86:AM86" ca="1" si="49">C89</f>
        <v>32400.000000000004</v>
      </c>
      <c r="E86" s="7">
        <f t="shared" ca="1" si="49"/>
        <v>34992.000000000007</v>
      </c>
      <c r="F86" s="7">
        <f t="shared" ca="1" si="49"/>
        <v>37791.360000000008</v>
      </c>
      <c r="G86" s="7">
        <f t="shared" ca="1" si="49"/>
        <v>40814.668800000007</v>
      </c>
      <c r="H86" s="7">
        <f t="shared" ca="1" si="49"/>
        <v>44079.842304000005</v>
      </c>
      <c r="I86" s="7">
        <f t="shared" ca="1" si="49"/>
        <v>47606.229688320003</v>
      </c>
      <c r="J86" s="7">
        <f t="shared" ca="1" si="49"/>
        <v>51414.728063385606</v>
      </c>
      <c r="K86" s="7">
        <f t="shared" ca="1" si="49"/>
        <v>55527.906308456455</v>
      </c>
      <c r="L86" s="7">
        <f t="shared" ca="1" si="49"/>
        <v>59970.138813132973</v>
      </c>
      <c r="M86" s="7">
        <f t="shared" ca="1" si="49"/>
        <v>64767.74991818361</v>
      </c>
      <c r="N86" s="7">
        <f t="shared" ca="1" si="49"/>
        <v>69949.169911638295</v>
      </c>
      <c r="O86" s="7">
        <f t="shared" ca="1" si="49"/>
        <v>75545.103504569357</v>
      </c>
      <c r="P86" s="7">
        <f t="shared" ca="1" si="49"/>
        <v>81588.711784934902</v>
      </c>
      <c r="Q86" s="7">
        <f t="shared" ca="1" si="49"/>
        <v>88115.808727729687</v>
      </c>
      <c r="R86" s="7">
        <f t="shared" ca="1" si="49"/>
        <v>95165.073425948067</v>
      </c>
      <c r="S86" s="7">
        <f t="shared" ca="1" si="49"/>
        <v>102778.27930002392</v>
      </c>
      <c r="T86" s="7">
        <f t="shared" ca="1" si="49"/>
        <v>111000.54164402583</v>
      </c>
      <c r="U86" s="7">
        <f t="shared" ca="1" si="49"/>
        <v>119880.5849755479</v>
      </c>
      <c r="V86" s="7">
        <f t="shared" ca="1" si="49"/>
        <v>129471.03177359173</v>
      </c>
      <c r="W86" s="7">
        <f t="shared" ca="1" si="49"/>
        <v>139828.71431547907</v>
      </c>
      <c r="X86" s="7">
        <f t="shared" ca="1" si="49"/>
        <v>151015.01146071739</v>
      </c>
      <c r="Y86" s="7">
        <f t="shared" ca="1" si="49"/>
        <v>163096.21237757479</v>
      </c>
      <c r="Z86" s="7">
        <f t="shared" ca="1" si="49"/>
        <v>176143.90936778078</v>
      </c>
      <c r="AA86" s="7">
        <f t="shared" ca="1" si="49"/>
        <v>190235.42211720324</v>
      </c>
      <c r="AB86" s="7">
        <f t="shared" ca="1" si="49"/>
        <v>205454.25588657951</v>
      </c>
      <c r="AC86" s="7">
        <f t="shared" ca="1" si="49"/>
        <v>221890.59635750588</v>
      </c>
      <c r="AD86" s="7">
        <f t="shared" ca="1" si="49"/>
        <v>239641.84406610637</v>
      </c>
      <c r="AE86" s="7">
        <f t="shared" ca="1" si="49"/>
        <v>258813.19159139489</v>
      </c>
      <c r="AF86" s="7">
        <f t="shared" ca="1" si="49"/>
        <v>279518.24691870646</v>
      </c>
      <c r="AG86" s="7">
        <f t="shared" ca="1" si="49"/>
        <v>301879.70667220297</v>
      </c>
      <c r="AH86" s="7">
        <f t="shared" ca="1" si="49"/>
        <v>326030.0832059792</v>
      </c>
      <c r="AI86" s="7">
        <f t="shared" ca="1" si="49"/>
        <v>352112.48986245756</v>
      </c>
      <c r="AJ86" s="7">
        <f t="shared" ca="1" si="49"/>
        <v>380281.48905145418</v>
      </c>
      <c r="AK86" s="7">
        <f t="shared" ca="1" si="49"/>
        <v>410704.00817557052</v>
      </c>
      <c r="AL86" s="7">
        <f t="shared" ca="1" si="49"/>
        <v>443560.32882961619</v>
      </c>
      <c r="AM86" s="7">
        <f t="shared" ca="1" si="49"/>
        <v>479045.15513598546</v>
      </c>
    </row>
    <row r="87" spans="1:39">
      <c r="A87" s="3" t="s">
        <v>23</v>
      </c>
      <c r="C87" s="7">
        <f ca="1">-MIN(C86, C81/(1-Inputs!$B$193))</f>
        <v>0</v>
      </c>
      <c r="D87" s="7">
        <f ca="1">-MIN(D86, D81/(1-Inputs!$B$193))</f>
        <v>0</v>
      </c>
      <c r="E87" s="7">
        <f ca="1">-MIN(E86, E81/(1-Inputs!$B$193))</f>
        <v>0</v>
      </c>
      <c r="F87" s="7">
        <f ca="1">-MIN(F86, F81/(1-Inputs!$B$193))</f>
        <v>0</v>
      </c>
      <c r="G87" s="7">
        <f ca="1">-MIN(G86, G81/(1-Inputs!$B$193))</f>
        <v>0</v>
      </c>
      <c r="H87" s="7">
        <f ca="1">-MIN(H86, H81/(1-Inputs!$B$193))</f>
        <v>0</v>
      </c>
      <c r="I87" s="7">
        <f ca="1">-MIN(I86, I81/(1-Inputs!$B$193))</f>
        <v>0</v>
      </c>
      <c r="J87" s="7">
        <f ca="1">-MIN(J86, J81/(1-Inputs!$B$193))</f>
        <v>0</v>
      </c>
      <c r="K87" s="7">
        <f ca="1">-MIN(K86, K81/(1-Inputs!$B$193))</f>
        <v>0</v>
      </c>
      <c r="L87" s="7">
        <f ca="1">-MIN(L86, L81/(1-Inputs!$B$193))</f>
        <v>0</v>
      </c>
      <c r="M87" s="7">
        <f ca="1">-MIN(M86, M81/(1-Inputs!$B$193))</f>
        <v>0</v>
      </c>
      <c r="N87" s="7">
        <f ca="1">-MIN(N86, N81/(1-Inputs!$B$193))</f>
        <v>0</v>
      </c>
      <c r="O87" s="7">
        <f ca="1">-MIN(O86, O81/(1-Inputs!$B$193))</f>
        <v>0</v>
      </c>
      <c r="P87" s="7">
        <f ca="1">-MIN(P86, P81/(1-Inputs!$B$193))</f>
        <v>0</v>
      </c>
      <c r="Q87" s="7">
        <f ca="1">-MIN(Q86, Q81/(1-Inputs!$B$193))</f>
        <v>0</v>
      </c>
      <c r="R87" s="7">
        <f ca="1">-MIN(R86, R81/(1-Inputs!$B$193))</f>
        <v>0</v>
      </c>
      <c r="S87" s="7">
        <f ca="1">-MIN(S86, S81/(1-Inputs!$B$193))</f>
        <v>0</v>
      </c>
      <c r="T87" s="7">
        <f ca="1">-MIN(T86, T81/(1-Inputs!$B$193))</f>
        <v>0</v>
      </c>
      <c r="U87" s="7">
        <f ca="1">-MIN(U86, U81/(1-Inputs!$B$193))</f>
        <v>0</v>
      </c>
      <c r="V87" s="7">
        <f ca="1">-MIN(V86, V81/(1-Inputs!$B$193))</f>
        <v>0</v>
      </c>
      <c r="W87" s="7">
        <f ca="1">-MIN(W86, W81/(1-Inputs!$B$193))</f>
        <v>0</v>
      </c>
      <c r="X87" s="7">
        <f ca="1">-MIN(X86, X81/(1-Inputs!$B$193))</f>
        <v>0</v>
      </c>
      <c r="Y87" s="7">
        <f ca="1">-MIN(Y86, Y81/(1-Inputs!$B$193))</f>
        <v>0</v>
      </c>
      <c r="Z87" s="7">
        <f ca="1">-MIN(Z86, Z81/(1-Inputs!$B$193))</f>
        <v>0</v>
      </c>
      <c r="AA87" s="7">
        <f ca="1">-MIN(AA86, AA81/(1-Inputs!$B$193))</f>
        <v>0</v>
      </c>
      <c r="AB87" s="7">
        <f ca="1">-MIN(AB86, AB81/(1-Inputs!$B$193))</f>
        <v>0</v>
      </c>
      <c r="AC87" s="7">
        <f ca="1">-MIN(AC86, AC81/(1-Inputs!$B$193))</f>
        <v>0</v>
      </c>
      <c r="AD87" s="7">
        <f ca="1">-MIN(AD86, AD81/(1-Inputs!$B$193))</f>
        <v>0</v>
      </c>
      <c r="AE87" s="7">
        <f ca="1">-MIN(AE86, AE81/(1-Inputs!$B$193))</f>
        <v>0</v>
      </c>
      <c r="AF87" s="7">
        <f ca="1">-MIN(AF86, AF81/(1-Inputs!$B$193))</f>
        <v>0</v>
      </c>
      <c r="AG87" s="7">
        <f ca="1">-MIN(AG86, AG81/(1-Inputs!$B$193))</f>
        <v>0</v>
      </c>
      <c r="AH87" s="7">
        <f ca="1">-MIN(AH86, AH81/(1-Inputs!$B$193))</f>
        <v>0</v>
      </c>
      <c r="AI87" s="7">
        <f ca="1">-MIN(AI86, AI81/(1-Inputs!$B$193))</f>
        <v>0</v>
      </c>
      <c r="AJ87" s="7">
        <f ca="1">-MIN(AJ86, AJ81/(1-Inputs!$B$193))</f>
        <v>0</v>
      </c>
      <c r="AK87" s="7">
        <f ca="1">-MIN(AK86, AK81/(1-Inputs!$B$193))</f>
        <v>0</v>
      </c>
      <c r="AL87" s="7">
        <f ca="1">-MIN(AL86, AL81/(1-Inputs!$B$193))</f>
        <v>0</v>
      </c>
      <c r="AM87" s="7">
        <f ca="1">-MIN(AM86, AM81/(1-Inputs!$B$193))</f>
        <v>0</v>
      </c>
    </row>
    <row r="88" spans="1:39">
      <c r="A88" s="3" t="s">
        <v>24</v>
      </c>
      <c r="C88" s="7">
        <v>0</v>
      </c>
      <c r="D88" s="7">
        <f t="shared" ref="D88:G88" ca="1" si="50">SUM(D86:D87)*stinc</f>
        <v>2592.0000000000005</v>
      </c>
      <c r="E88" s="7">
        <f t="shared" ca="1" si="50"/>
        <v>2799.3600000000006</v>
      </c>
      <c r="F88" s="7">
        <f t="shared" ca="1" si="50"/>
        <v>3023.3088000000007</v>
      </c>
      <c r="G88" s="7">
        <f t="shared" ca="1" si="50"/>
        <v>3265.1735040000008</v>
      </c>
      <c r="H88" s="7">
        <f t="shared" ref="H88:I88" ca="1" si="51">SUM(H86:H87)*stinc</f>
        <v>3526.3873843200004</v>
      </c>
      <c r="I88" s="7">
        <f t="shared" ca="1" si="51"/>
        <v>3808.4983750656002</v>
      </c>
      <c r="J88" s="7">
        <f t="shared" ref="J88:AM88" ca="1" si="52">SUM(J86:J87)*stinc</f>
        <v>4113.1782450708488</v>
      </c>
      <c r="K88" s="7">
        <f t="shared" ca="1" si="52"/>
        <v>4442.2325046765163</v>
      </c>
      <c r="L88" s="7">
        <f t="shared" ca="1" si="52"/>
        <v>4797.6111050506379</v>
      </c>
      <c r="M88" s="7">
        <f t="shared" ca="1" si="52"/>
        <v>5181.4199934546887</v>
      </c>
      <c r="N88" s="7">
        <f t="shared" ca="1" si="52"/>
        <v>5595.9335929310637</v>
      </c>
      <c r="O88" s="7">
        <f t="shared" ca="1" si="52"/>
        <v>6043.608280365549</v>
      </c>
      <c r="P88" s="7">
        <f t="shared" ca="1" si="52"/>
        <v>6527.0969427947921</v>
      </c>
      <c r="Q88" s="7">
        <f t="shared" ca="1" si="52"/>
        <v>7049.2646982183751</v>
      </c>
      <c r="R88" s="7">
        <f t="shared" ca="1" si="52"/>
        <v>7613.2058740758457</v>
      </c>
      <c r="S88" s="7">
        <f t="shared" ca="1" si="52"/>
        <v>8222.2623440019142</v>
      </c>
      <c r="T88" s="7">
        <f t="shared" ca="1" si="52"/>
        <v>8880.0433315220671</v>
      </c>
      <c r="U88" s="7">
        <f t="shared" ca="1" si="52"/>
        <v>9590.446798043833</v>
      </c>
      <c r="V88" s="7">
        <f t="shared" ca="1" si="52"/>
        <v>10357.68254188734</v>
      </c>
      <c r="W88" s="7">
        <f t="shared" ca="1" si="52"/>
        <v>11186.297145238326</v>
      </c>
      <c r="X88" s="7">
        <f t="shared" ca="1" si="52"/>
        <v>12081.200916857391</v>
      </c>
      <c r="Y88" s="7">
        <f t="shared" ca="1" si="52"/>
        <v>13047.696990205983</v>
      </c>
      <c r="Z88" s="7">
        <f t="shared" ca="1" si="52"/>
        <v>14091.512749422463</v>
      </c>
      <c r="AA88" s="7">
        <f t="shared" ca="1" si="52"/>
        <v>15218.833769376259</v>
      </c>
      <c r="AB88" s="7">
        <f t="shared" ca="1" si="52"/>
        <v>16436.340470926363</v>
      </c>
      <c r="AC88" s="7">
        <f t="shared" ca="1" si="52"/>
        <v>17751.247708600473</v>
      </c>
      <c r="AD88" s="7">
        <f t="shared" ca="1" si="52"/>
        <v>19171.347525288511</v>
      </c>
      <c r="AE88" s="7">
        <f t="shared" ca="1" si="52"/>
        <v>20705.055327311591</v>
      </c>
      <c r="AF88" s="7">
        <f t="shared" ca="1" si="52"/>
        <v>22361.459753496518</v>
      </c>
      <c r="AG88" s="7">
        <f t="shared" ca="1" si="52"/>
        <v>24150.376533776238</v>
      </c>
      <c r="AH88" s="7">
        <f t="shared" ca="1" si="52"/>
        <v>26082.406656478335</v>
      </c>
      <c r="AI88" s="7">
        <f t="shared" ca="1" si="52"/>
        <v>28168.999188996604</v>
      </c>
      <c r="AJ88" s="7">
        <f t="shared" ca="1" si="52"/>
        <v>30422.519124116334</v>
      </c>
      <c r="AK88" s="7">
        <f t="shared" ca="1" si="52"/>
        <v>32856.320654045645</v>
      </c>
      <c r="AL88" s="7">
        <f t="shared" ca="1" si="52"/>
        <v>35484.826306369294</v>
      </c>
      <c r="AM88" s="7">
        <f t="shared" ca="1" si="52"/>
        <v>38323.612410878835</v>
      </c>
    </row>
    <row r="89" spans="1:39">
      <c r="A89" s="3" t="s">
        <v>25</v>
      </c>
      <c r="C89" s="7">
        <f ca="1">SUM(C86:C88)</f>
        <v>32400.000000000004</v>
      </c>
      <c r="D89" s="7">
        <f ca="1">SUM(D86:D88)</f>
        <v>34992.000000000007</v>
      </c>
      <c r="E89" s="7">
        <f t="shared" ref="E89:AM89" ca="1" si="53">SUM(E86:E88)</f>
        <v>37791.360000000008</v>
      </c>
      <c r="F89" s="7">
        <f t="shared" ca="1" si="53"/>
        <v>40814.668800000007</v>
      </c>
      <c r="G89" s="7">
        <f t="shared" ca="1" si="53"/>
        <v>44079.842304000005</v>
      </c>
      <c r="H89" s="7">
        <f t="shared" ca="1" si="53"/>
        <v>47606.229688320003</v>
      </c>
      <c r="I89" s="7">
        <f t="shared" ca="1" si="53"/>
        <v>51414.728063385606</v>
      </c>
      <c r="J89" s="7">
        <f t="shared" ca="1" si="53"/>
        <v>55527.906308456455</v>
      </c>
      <c r="K89" s="7">
        <f t="shared" ca="1" si="53"/>
        <v>59970.138813132973</v>
      </c>
      <c r="L89" s="7">
        <f t="shared" ca="1" si="53"/>
        <v>64767.74991818361</v>
      </c>
      <c r="M89" s="7">
        <f t="shared" ca="1" si="53"/>
        <v>69949.169911638295</v>
      </c>
      <c r="N89" s="7">
        <f t="shared" ca="1" si="53"/>
        <v>75545.103504569357</v>
      </c>
      <c r="O89" s="7">
        <f t="shared" ca="1" si="53"/>
        <v>81588.711784934902</v>
      </c>
      <c r="P89" s="7">
        <f t="shared" ca="1" si="53"/>
        <v>88115.808727729687</v>
      </c>
      <c r="Q89" s="7">
        <f t="shared" ca="1" si="53"/>
        <v>95165.073425948067</v>
      </c>
      <c r="R89" s="7">
        <f t="shared" ca="1" si="53"/>
        <v>102778.27930002392</v>
      </c>
      <c r="S89" s="7">
        <f t="shared" ca="1" si="53"/>
        <v>111000.54164402583</v>
      </c>
      <c r="T89" s="7">
        <f t="shared" ca="1" si="53"/>
        <v>119880.5849755479</v>
      </c>
      <c r="U89" s="7">
        <f t="shared" ca="1" si="53"/>
        <v>129471.03177359173</v>
      </c>
      <c r="V89" s="7">
        <f t="shared" ca="1" si="53"/>
        <v>139828.71431547907</v>
      </c>
      <c r="W89" s="7">
        <f t="shared" ca="1" si="53"/>
        <v>151015.01146071739</v>
      </c>
      <c r="X89" s="7">
        <f t="shared" ca="1" si="53"/>
        <v>163096.21237757479</v>
      </c>
      <c r="Y89" s="7">
        <f t="shared" ca="1" si="53"/>
        <v>176143.90936778078</v>
      </c>
      <c r="Z89" s="7">
        <f t="shared" ca="1" si="53"/>
        <v>190235.42211720324</v>
      </c>
      <c r="AA89" s="7">
        <f t="shared" ca="1" si="53"/>
        <v>205454.25588657951</v>
      </c>
      <c r="AB89" s="7">
        <f t="shared" ca="1" si="53"/>
        <v>221890.59635750588</v>
      </c>
      <c r="AC89" s="7">
        <f t="shared" ca="1" si="53"/>
        <v>239641.84406610637</v>
      </c>
      <c r="AD89" s="7">
        <f t="shared" ca="1" si="53"/>
        <v>258813.19159139489</v>
      </c>
      <c r="AE89" s="7">
        <f t="shared" ca="1" si="53"/>
        <v>279518.24691870646</v>
      </c>
      <c r="AF89" s="7">
        <f t="shared" ca="1" si="53"/>
        <v>301879.70667220297</v>
      </c>
      <c r="AG89" s="7">
        <f t="shared" ca="1" si="53"/>
        <v>326030.0832059792</v>
      </c>
      <c r="AH89" s="7">
        <f t="shared" ca="1" si="53"/>
        <v>352112.48986245756</v>
      </c>
      <c r="AI89" s="7">
        <f t="shared" ca="1" si="53"/>
        <v>380281.48905145418</v>
      </c>
      <c r="AJ89" s="7">
        <f t="shared" ca="1" si="53"/>
        <v>410704.00817557052</v>
      </c>
      <c r="AK89" s="7">
        <f t="shared" ca="1" si="53"/>
        <v>443560.32882961619</v>
      </c>
      <c r="AL89" s="7">
        <f t="shared" ca="1" si="53"/>
        <v>479045.15513598546</v>
      </c>
      <c r="AM89" s="7">
        <f t="shared" ca="1" si="53"/>
        <v>517368.76754686428</v>
      </c>
    </row>
    <row r="90" spans="1:39">
      <c r="A90" s="3" t="s">
        <v>26</v>
      </c>
      <c r="C90" s="7">
        <f ca="1">C87*Inputs!$B$193</f>
        <v>0</v>
      </c>
      <c r="D90" s="7">
        <f ca="1">D87*Inputs!$B$193</f>
        <v>0</v>
      </c>
      <c r="E90" s="7">
        <f ca="1">E87*Inputs!$B$193</f>
        <v>0</v>
      </c>
      <c r="F90" s="7">
        <f ca="1">F87*Inputs!$B$193</f>
        <v>0</v>
      </c>
      <c r="G90" s="7">
        <f ca="1">G87*Inputs!$B$193</f>
        <v>0</v>
      </c>
      <c r="H90" s="7">
        <f ca="1">H87*Inputs!$B$193</f>
        <v>0</v>
      </c>
      <c r="I90" s="7">
        <f ca="1">I87*Inputs!$B$193</f>
        <v>0</v>
      </c>
      <c r="J90" s="7">
        <f ca="1">J87*Inputs!$B$193</f>
        <v>0</v>
      </c>
      <c r="K90" s="7">
        <f ca="1">K87*Inputs!$B$193</f>
        <v>0</v>
      </c>
      <c r="L90" s="7">
        <f ca="1">L87*Inputs!$B$193</f>
        <v>0</v>
      </c>
      <c r="M90" s="7">
        <f ca="1">M87*Inputs!$B$193</f>
        <v>0</v>
      </c>
      <c r="N90" s="7">
        <f ca="1">N87*Inputs!$B$193</f>
        <v>0</v>
      </c>
      <c r="O90" s="7">
        <f ca="1">O87*Inputs!$B$193</f>
        <v>0</v>
      </c>
      <c r="P90" s="7">
        <f ca="1">P87*Inputs!$B$193</f>
        <v>0</v>
      </c>
      <c r="Q90" s="7">
        <f ca="1">Q87*Inputs!$B$193</f>
        <v>0</v>
      </c>
      <c r="R90" s="7">
        <f ca="1">R87*Inputs!$B$193</f>
        <v>0</v>
      </c>
      <c r="S90" s="7">
        <f ca="1">S87*Inputs!$B$193</f>
        <v>0</v>
      </c>
      <c r="T90" s="7">
        <f ca="1">T87*Inputs!$B$193</f>
        <v>0</v>
      </c>
      <c r="U90" s="7">
        <f ca="1">U87*Inputs!$B$193</f>
        <v>0</v>
      </c>
      <c r="V90" s="7">
        <f ca="1">V87*Inputs!$B$193</f>
        <v>0</v>
      </c>
      <c r="W90" s="7">
        <f ca="1">W87*Inputs!$B$193</f>
        <v>0</v>
      </c>
      <c r="X90" s="7">
        <f ca="1">X87*Inputs!$B$193</f>
        <v>0</v>
      </c>
      <c r="Y90" s="7">
        <f ca="1">Y87*Inputs!$B$193</f>
        <v>0</v>
      </c>
      <c r="Z90" s="7">
        <f ca="1">Z87*Inputs!$B$193</f>
        <v>0</v>
      </c>
      <c r="AA90" s="7">
        <f ca="1">AA87*Inputs!$B$193</f>
        <v>0</v>
      </c>
      <c r="AB90" s="7">
        <f ca="1">AB87*Inputs!$B$193</f>
        <v>0</v>
      </c>
      <c r="AC90" s="7">
        <f ca="1">AC87*Inputs!$B$193</f>
        <v>0</v>
      </c>
      <c r="AD90" s="7">
        <f ca="1">AD87*Inputs!$B$193</f>
        <v>0</v>
      </c>
      <c r="AE90" s="7">
        <f ca="1">AE87*Inputs!$B$193</f>
        <v>0</v>
      </c>
      <c r="AF90" s="7">
        <f ca="1">AF87*Inputs!$B$193</f>
        <v>0</v>
      </c>
      <c r="AG90" s="7">
        <f ca="1">AG87*Inputs!$B$193</f>
        <v>0</v>
      </c>
      <c r="AH90" s="7">
        <f ca="1">AH87*Inputs!$B$193</f>
        <v>0</v>
      </c>
      <c r="AI90" s="7">
        <f ca="1">AI87*Inputs!$B$193</f>
        <v>0</v>
      </c>
      <c r="AJ90" s="7">
        <f ca="1">AJ87*Inputs!$B$193</f>
        <v>0</v>
      </c>
      <c r="AK90" s="7">
        <f ca="1">AK87*Inputs!$B$193</f>
        <v>0</v>
      </c>
      <c r="AL90" s="7">
        <f ca="1">AL87*Inputs!$B$193</f>
        <v>0</v>
      </c>
      <c r="AM90" s="7">
        <f ca="1">AM87*Inputs!$B$193</f>
        <v>0</v>
      </c>
    </row>
    <row r="91" spans="1:39">
      <c r="A91" s="3" t="s">
        <v>37</v>
      </c>
      <c r="C91" s="7">
        <f ca="1">-C87+C90</f>
        <v>0</v>
      </c>
      <c r="D91" s="7">
        <f t="shared" ref="D91:AM91" ca="1" si="54">-D87+D90</f>
        <v>0</v>
      </c>
      <c r="E91" s="7">
        <f t="shared" ca="1" si="54"/>
        <v>0</v>
      </c>
      <c r="F91" s="7">
        <f t="shared" ca="1" si="54"/>
        <v>0</v>
      </c>
      <c r="G91" s="7">
        <f t="shared" ca="1" si="54"/>
        <v>0</v>
      </c>
      <c r="H91" s="7">
        <f t="shared" ca="1" si="54"/>
        <v>0</v>
      </c>
      <c r="I91" s="7">
        <f t="shared" ca="1" si="54"/>
        <v>0</v>
      </c>
      <c r="J91" s="7">
        <f t="shared" ca="1" si="54"/>
        <v>0</v>
      </c>
      <c r="K91" s="7">
        <f t="shared" ca="1" si="54"/>
        <v>0</v>
      </c>
      <c r="L91" s="7">
        <f t="shared" ca="1" si="54"/>
        <v>0</v>
      </c>
      <c r="M91" s="7">
        <f t="shared" ca="1" si="54"/>
        <v>0</v>
      </c>
      <c r="N91" s="7">
        <f t="shared" ca="1" si="54"/>
        <v>0</v>
      </c>
      <c r="O91" s="7">
        <f t="shared" ca="1" si="54"/>
        <v>0</v>
      </c>
      <c r="P91" s="7">
        <f t="shared" ca="1" si="54"/>
        <v>0</v>
      </c>
      <c r="Q91" s="7">
        <f t="shared" ca="1" si="54"/>
        <v>0</v>
      </c>
      <c r="R91" s="7">
        <f t="shared" ca="1" si="54"/>
        <v>0</v>
      </c>
      <c r="S91" s="7">
        <f t="shared" ca="1" si="54"/>
        <v>0</v>
      </c>
      <c r="T91" s="7">
        <f t="shared" ca="1" si="54"/>
        <v>0</v>
      </c>
      <c r="U91" s="7">
        <f t="shared" ca="1" si="54"/>
        <v>0</v>
      </c>
      <c r="V91" s="7">
        <f t="shared" ca="1" si="54"/>
        <v>0</v>
      </c>
      <c r="W91" s="7">
        <f t="shared" ca="1" si="54"/>
        <v>0</v>
      </c>
      <c r="X91" s="7">
        <f t="shared" ca="1" si="54"/>
        <v>0</v>
      </c>
      <c r="Y91" s="7">
        <f t="shared" ca="1" si="54"/>
        <v>0</v>
      </c>
      <c r="Z91" s="7">
        <f t="shared" ca="1" si="54"/>
        <v>0</v>
      </c>
      <c r="AA91" s="7">
        <f t="shared" ca="1" si="54"/>
        <v>0</v>
      </c>
      <c r="AB91" s="7">
        <f t="shared" ca="1" si="54"/>
        <v>0</v>
      </c>
      <c r="AC91" s="7">
        <f t="shared" ca="1" si="54"/>
        <v>0</v>
      </c>
      <c r="AD91" s="7">
        <f t="shared" ca="1" si="54"/>
        <v>0</v>
      </c>
      <c r="AE91" s="7">
        <f t="shared" ca="1" si="54"/>
        <v>0</v>
      </c>
      <c r="AF91" s="7">
        <f t="shared" ca="1" si="54"/>
        <v>0</v>
      </c>
      <c r="AG91" s="7">
        <f t="shared" ca="1" si="54"/>
        <v>0</v>
      </c>
      <c r="AH91" s="7">
        <f t="shared" ca="1" si="54"/>
        <v>0</v>
      </c>
      <c r="AI91" s="7">
        <f t="shared" ca="1" si="54"/>
        <v>0</v>
      </c>
      <c r="AJ91" s="7">
        <f t="shared" ca="1" si="54"/>
        <v>0</v>
      </c>
      <c r="AK91" s="7">
        <f t="shared" ca="1" si="54"/>
        <v>0</v>
      </c>
      <c r="AL91" s="7">
        <f t="shared" ca="1" si="54"/>
        <v>0</v>
      </c>
      <c r="AM91" s="7">
        <f t="shared" ca="1" si="54"/>
        <v>0</v>
      </c>
    </row>
    <row r="92" spans="1:39">
      <c r="A92" s="4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</row>
    <row r="93" spans="1:39">
      <c r="A93" s="3" t="s">
        <v>77</v>
      </c>
      <c r="C93" s="7">
        <f ca="1">C80+SUM($C91:C91)</f>
        <v>37716.75</v>
      </c>
      <c r="D93" s="7">
        <f ca="1">D80+SUM($C91:D91)</f>
        <v>69048.493749999994</v>
      </c>
      <c r="E93" s="7">
        <f ca="1">E80+SUM($C91:E91)</f>
        <v>80800.384218750027</v>
      </c>
      <c r="F93" s="7">
        <f ca="1">F80+SUM($C91:F91)</f>
        <v>127283.44827895577</v>
      </c>
      <c r="G93" s="7">
        <f ca="1">G80+SUM($C91:G91)</f>
        <v>178918.83267437888</v>
      </c>
      <c r="H93" s="7">
        <f ca="1">H80+SUM($C91:H91)</f>
        <v>245901.78181548161</v>
      </c>
      <c r="I93" s="7">
        <f ca="1">I80+SUM($C91:I91)</f>
        <v>323696.65132994356</v>
      </c>
      <c r="J93" s="7">
        <f ca="1">J80+SUM($C91:J91)</f>
        <v>388989.26300950802</v>
      </c>
      <c r="K93" s="7">
        <f ca="1">K80+SUM($C91:K91)</f>
        <v>539281.37409876089</v>
      </c>
      <c r="L93" s="7">
        <f ca="1">L80+SUM($C91:L91)</f>
        <v>601876.82255875634</v>
      </c>
      <c r="M93" s="7">
        <f ca="1">M80+SUM($C91:M91)</f>
        <v>721038.5473662219</v>
      </c>
      <c r="N93" s="7">
        <f ca="1">N80+SUM($C91:N91)</f>
        <v>846583.81996541878</v>
      </c>
      <c r="O93" s="7">
        <f ca="1">O80+SUM($C91:O91)</f>
        <v>978782.14070489258</v>
      </c>
      <c r="P93" s="7">
        <f ca="1">P80+SUM($C91:P91)</f>
        <v>1117913.239204355</v>
      </c>
      <c r="Q93" s="7">
        <f ca="1">Q80+SUM($C91:Q91)</f>
        <v>1264267.4396996587</v>
      </c>
      <c r="R93" s="7">
        <f ca="1">R80+SUM($C91:R91)</f>
        <v>1418146.0389312971</v>
      </c>
      <c r="S93" s="7">
        <f ca="1">S80+SUM($C91:S91)</f>
        <v>1473929.4664830596</v>
      </c>
      <c r="T93" s="7">
        <f ca="1">T80+SUM($C91:T91)</f>
        <v>1539631.0553787265</v>
      </c>
      <c r="U93" s="7">
        <f ca="1">U80+SUM($C91:U91)</f>
        <v>1608018.7707598673</v>
      </c>
      <c r="V93" s="7">
        <f ca="1">V80+SUM($C91:V91)</f>
        <v>1679196.2730464134</v>
      </c>
      <c r="W93" s="7">
        <f ca="1">W80+SUM($C91:W91)</f>
        <v>1753271.0393779005</v>
      </c>
      <c r="X93" s="7">
        <f ca="1">X80+SUM($C91:X91)</f>
        <v>1809947.5795442504</v>
      </c>
      <c r="Y93" s="7">
        <f ca="1">Y80+SUM($C91:Y91)</f>
        <v>1868727.9885819815</v>
      </c>
      <c r="Z93" s="7">
        <f ca="1">Z80+SUM($C91:Z91)</f>
        <v>1929693.7621849393</v>
      </c>
      <c r="AA93" s="7">
        <f ca="1">AA80+SUM($C91:AA91)</f>
        <v>1992929.5076662535</v>
      </c>
      <c r="AB93" s="7">
        <f ca="1">AB80+SUM($C91:AB91)</f>
        <v>2058523.0591570721</v>
      </c>
      <c r="AC93" s="7">
        <f ca="1">AC80+SUM($C91:AC91)</f>
        <v>2126565.5969370482</v>
      </c>
      <c r="AD93" s="7">
        <f ca="1">AD80+SUM($C91:AD91)</f>
        <v>2207012.5086333081</v>
      </c>
      <c r="AE93" s="7">
        <f ca="1">AE80+SUM($C91:AE91)</f>
        <v>2290594.3413533093</v>
      </c>
      <c r="AF93" s="7">
        <f ca="1">AF80+SUM($C91:AF91)</f>
        <v>2377431.5621965392</v>
      </c>
      <c r="AG93" s="7">
        <f ca="1">AG80+SUM($C91:AG91)</f>
        <v>2467649.1223028628</v>
      </c>
      <c r="AH93" s="7">
        <f ca="1">AH80+SUM($C91:AH91)</f>
        <v>2561376.6183629362</v>
      </c>
      <c r="AI93" s="7">
        <f ca="1">AI80+SUM($C91:AI91)</f>
        <v>2658748.4597796248</v>
      </c>
      <c r="AJ93" s="7">
        <f ca="1">AJ80+SUM($C91:AJ91)</f>
        <v>2759904.041673373</v>
      </c>
      <c r="AK93" s="7">
        <f ca="1">AK80+SUM($C91:AK91)</f>
        <v>2864987.92393093</v>
      </c>
      <c r="AL93" s="7">
        <f ca="1">AL80+SUM($C91:AL91)</f>
        <v>2974150.0165034966</v>
      </c>
      <c r="AM93" s="7">
        <f ca="1">AM80+SUM($C91:AM91)</f>
        <v>3087545.7711672578</v>
      </c>
    </row>
    <row r="94" spans="1:39">
      <c r="A94" s="3" t="s">
        <v>20</v>
      </c>
      <c r="C94" s="7">
        <f ca="1">IF(C93&lt;0,-C93,0)</f>
        <v>0</v>
      </c>
      <c r="D94" s="7">
        <f ca="1">IF(D93+SUM($C94:C94)&lt;0,-(D93+SUM($C94:C94)),0)</f>
        <v>0</v>
      </c>
      <c r="E94" s="7">
        <f ca="1">IF(E93+SUM($C94:D94)&lt;0,-(E93+SUM($C94:D94)),0)</f>
        <v>0</v>
      </c>
      <c r="F94" s="7">
        <f ca="1">IF(F93+SUM($C94:E94)&lt;0,-(F93+SUM($C94:E94)),0)</f>
        <v>0</v>
      </c>
      <c r="G94" s="7">
        <f ca="1">IF(G93+SUM($C94:F94)&lt;0,-(G93+SUM($C94:F94)),0)</f>
        <v>0</v>
      </c>
      <c r="H94" s="7">
        <f ca="1">IF(H93+SUM($C94:G94)&lt;0,-(H93+SUM($C94:G94)),0)</f>
        <v>0</v>
      </c>
      <c r="I94" s="7">
        <f ca="1">IF(I93+SUM($C94:H94)&lt;0,-(I93+SUM($C94:H94)),0)</f>
        <v>0</v>
      </c>
      <c r="J94" s="7">
        <f ca="1">IF(J93+SUM($C94:I94)&lt;0,-(J93+SUM($C94:I94)),0)</f>
        <v>0</v>
      </c>
      <c r="K94" s="7">
        <f ca="1">IF(K93+SUM($C94:J94)&lt;0,-(K93+SUM($C94:J94)),0)</f>
        <v>0</v>
      </c>
      <c r="L94" s="7">
        <f ca="1">IF(L93+SUM($C94:K94)&lt;0,-(L93+SUM($C94:K94)),0)</f>
        <v>0</v>
      </c>
      <c r="M94" s="7">
        <f ca="1">IF(M93+SUM($C94:L94)&lt;0,-(M93+SUM($C94:L94)),0)</f>
        <v>0</v>
      </c>
      <c r="N94" s="7">
        <f ca="1">IF(N93+SUM($C94:M94)&lt;0,-(N93+SUM($C94:M94)),0)</f>
        <v>0</v>
      </c>
      <c r="O94" s="7">
        <f ca="1">IF(O93+SUM($C94:N94)&lt;0,-(O93+SUM($C94:N94)),0)</f>
        <v>0</v>
      </c>
      <c r="P94" s="7">
        <f ca="1">IF(P93+SUM($C94:O94)&lt;0,-(P93+SUM($C94:O94)),0)</f>
        <v>0</v>
      </c>
      <c r="Q94" s="7">
        <f ca="1">IF(Q93+SUM($C94:P94)&lt;0,-(Q93+SUM($C94:P94)),0)</f>
        <v>0</v>
      </c>
      <c r="R94" s="7">
        <f ca="1">IF(R93+SUM($C94:Q94)&lt;0,-(R93+SUM($C94:Q94)),0)</f>
        <v>0</v>
      </c>
      <c r="S94" s="7">
        <f ca="1">IF(S93+SUM($C94:R94)&lt;0,-(S93+SUM($C94:R94)),0)</f>
        <v>0</v>
      </c>
      <c r="T94" s="7">
        <f ca="1">IF(T93+SUM($C94:S94)&lt;0,-(T93+SUM($C94:S94)),0)</f>
        <v>0</v>
      </c>
      <c r="U94" s="7">
        <f ca="1">IF(U93+SUM($C94:T94)&lt;0,-(U93+SUM($C94:T94)),0)</f>
        <v>0</v>
      </c>
      <c r="V94" s="7">
        <f ca="1">IF(V93+SUM($C94:U94)&lt;0,-(V93+SUM($C94:U94)),0)</f>
        <v>0</v>
      </c>
      <c r="W94" s="7">
        <f ca="1">IF(W93+SUM($C94:V94)&lt;0,-(W93+SUM($C94:V94)),0)</f>
        <v>0</v>
      </c>
      <c r="X94" s="7">
        <f ca="1">IF(X93+SUM($C94:W94)&lt;0,-(X93+SUM($C94:W94)),0)</f>
        <v>0</v>
      </c>
      <c r="Y94" s="7">
        <f ca="1">IF(Y93+SUM($C94:X94)&lt;0,-(Y93+SUM($C94:X94)),0)</f>
        <v>0</v>
      </c>
      <c r="Z94" s="7">
        <f ca="1">IF(Z93+SUM($C94:Y94)&lt;0,-(Z93+SUM($C94:Y94)),0)</f>
        <v>0</v>
      </c>
      <c r="AA94" s="7">
        <f ca="1">IF(AA93+SUM($C94:Z94)&lt;0,-(AA93+SUM($C94:Z94)),0)</f>
        <v>0</v>
      </c>
      <c r="AB94" s="7">
        <f ca="1">IF(AB93+SUM($C94:AA94)&lt;0,-(AB93+SUM($C94:AA94)),0)</f>
        <v>0</v>
      </c>
      <c r="AC94" s="7">
        <f ca="1">IF(AC93+SUM($C94:AB94)&lt;0,-(AC93+SUM($C94:AB94)),0)</f>
        <v>0</v>
      </c>
      <c r="AD94" s="7">
        <f ca="1">IF(AD93+SUM($C94:AC94)&lt;0,-(AD93+SUM($C94:AC94)),0)</f>
        <v>0</v>
      </c>
      <c r="AE94" s="7">
        <f ca="1">IF(AE93+SUM($C94:AD94)&lt;0,-(AE93+SUM($C94:AD94)),0)</f>
        <v>0</v>
      </c>
      <c r="AF94" s="7">
        <f ca="1">IF(AF93+SUM($C94:AE94)&lt;0,-(AF93+SUM($C94:AE94)),0)</f>
        <v>0</v>
      </c>
      <c r="AG94" s="7">
        <f ca="1">IF(AG93+SUM($C94:AF94)&lt;0,-(AG93+SUM($C94:AF94)),0)</f>
        <v>0</v>
      </c>
      <c r="AH94" s="7">
        <f ca="1">IF(AH93+SUM($C94:AG94)&lt;0,-(AH93+SUM($C94:AG94)),0)</f>
        <v>0</v>
      </c>
      <c r="AI94" s="7">
        <f ca="1">IF(AI93+SUM($C94:AH94)&lt;0,-(AI93+SUM($C94:AH94)),0)</f>
        <v>0</v>
      </c>
      <c r="AJ94" s="7">
        <f ca="1">IF(AJ93+SUM($C94:AI94)&lt;0,-(AJ93+SUM($C94:AI94)),0)</f>
        <v>0</v>
      </c>
      <c r="AK94" s="7">
        <f ca="1">IF(AK93+SUM($C94:AJ94)&lt;0,-(AK93+SUM($C94:AJ94)),0)</f>
        <v>0</v>
      </c>
      <c r="AL94" s="7">
        <f ca="1">IF(AL93+SUM($C94:AK94)&lt;0,-(AL93+SUM($C94:AK94)),0)</f>
        <v>0</v>
      </c>
      <c r="AM94" s="7">
        <f ca="1">IF(AM93+SUM($C94:AL94)&lt;0,-(AM93+SUM($C94:AL94)),0)</f>
        <v>0</v>
      </c>
    </row>
    <row r="95" spans="1:39">
      <c r="A95" s="3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</row>
    <row r="96" spans="1:39">
      <c r="A96" s="24" t="str">
        <f>IF(Inputs!$B$197=6,IFERROR(_xlfn.XLOOKUP($B96,Inputs!$B$198:$B$202,Inputs!$A$198:$A$202,,0,1),""),IFERROR(_xlfn.XLOOKUP($B96,Inputs!$C$198:$C$202,Inputs!$A$198:$A$202,,0,1),""))</f>
        <v>Gudja</v>
      </c>
      <c r="B96" s="26">
        <v>1</v>
      </c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</row>
    <row r="97" spans="1:39">
      <c r="A97" s="3" t="s">
        <v>22</v>
      </c>
      <c r="C97" s="7">
        <f>IFERROR(VLOOKUP($A96,$A$60:$H$78,C$1+2,FALSE),0)</f>
        <v>82400</v>
      </c>
      <c r="D97" s="7">
        <f ca="1">C100</f>
        <v>82400</v>
      </c>
      <c r="E97" s="7">
        <f t="shared" ref="E97:AM97" ca="1" si="55">D100</f>
        <v>84872</v>
      </c>
      <c r="F97" s="7">
        <f t="shared" ca="1" si="55"/>
        <v>87418.16</v>
      </c>
      <c r="G97" s="7">
        <f t="shared" ca="1" si="55"/>
        <v>90040.704800000007</v>
      </c>
      <c r="H97" s="7">
        <f t="shared" ca="1" si="55"/>
        <v>92741.925944000002</v>
      </c>
      <c r="I97" s="7">
        <f t="shared" ca="1" si="55"/>
        <v>95524.183722319998</v>
      </c>
      <c r="J97" s="7">
        <f t="shared" ca="1" si="55"/>
        <v>98389.909233989601</v>
      </c>
      <c r="K97" s="7">
        <f t="shared" ca="1" si="55"/>
        <v>101341.60651100929</v>
      </c>
      <c r="L97" s="7">
        <f t="shared" ca="1" si="55"/>
        <v>104381.85470633957</v>
      </c>
      <c r="M97" s="7">
        <f t="shared" ca="1" si="55"/>
        <v>107513.31034752975</v>
      </c>
      <c r="N97" s="7">
        <f t="shared" ca="1" si="55"/>
        <v>110738.70965795565</v>
      </c>
      <c r="O97" s="7">
        <f t="shared" ca="1" si="55"/>
        <v>114060.87094769432</v>
      </c>
      <c r="P97" s="7">
        <f t="shared" ca="1" si="55"/>
        <v>117482.69707612514</v>
      </c>
      <c r="Q97" s="7">
        <f t="shared" ca="1" si="55"/>
        <v>121007.17798840889</v>
      </c>
      <c r="R97" s="7">
        <f t="shared" ca="1" si="55"/>
        <v>124637.39332806115</v>
      </c>
      <c r="S97" s="7">
        <f t="shared" ca="1" si="55"/>
        <v>128376.51512790298</v>
      </c>
      <c r="T97" s="7">
        <f t="shared" ca="1" si="55"/>
        <v>132227.81058174008</v>
      </c>
      <c r="U97" s="7">
        <f t="shared" ca="1" si="55"/>
        <v>136194.6448991923</v>
      </c>
      <c r="V97" s="7">
        <f t="shared" ca="1" si="55"/>
        <v>140280.48424616805</v>
      </c>
      <c r="W97" s="7">
        <f t="shared" ca="1" si="55"/>
        <v>144488.89877355308</v>
      </c>
      <c r="X97" s="7">
        <f t="shared" ca="1" si="55"/>
        <v>148823.56573675969</v>
      </c>
      <c r="Y97" s="7">
        <f t="shared" ca="1" si="55"/>
        <v>153288.27270886247</v>
      </c>
      <c r="Z97" s="7">
        <f t="shared" ca="1" si="55"/>
        <v>157886.92089012833</v>
      </c>
      <c r="AA97" s="7">
        <f t="shared" ca="1" si="55"/>
        <v>162623.52851683219</v>
      </c>
      <c r="AB97" s="7">
        <f t="shared" ca="1" si="55"/>
        <v>167502.23437233715</v>
      </c>
      <c r="AC97" s="7">
        <f t="shared" ca="1" si="55"/>
        <v>172527.30140350727</v>
      </c>
      <c r="AD97" s="7">
        <f t="shared" ca="1" si="55"/>
        <v>177703.1204456125</v>
      </c>
      <c r="AE97" s="7">
        <f t="shared" ca="1" si="55"/>
        <v>183034.21405898087</v>
      </c>
      <c r="AF97" s="7">
        <f t="shared" ca="1" si="55"/>
        <v>188525.2404807503</v>
      </c>
      <c r="AG97" s="7">
        <f t="shared" ca="1" si="55"/>
        <v>194180.99769517282</v>
      </c>
      <c r="AH97" s="7">
        <f t="shared" ca="1" si="55"/>
        <v>200006.42762602799</v>
      </c>
      <c r="AI97" s="7">
        <f t="shared" ca="1" si="55"/>
        <v>206006.62045480881</v>
      </c>
      <c r="AJ97" s="7">
        <f t="shared" ca="1" si="55"/>
        <v>212186.81906845307</v>
      </c>
      <c r="AK97" s="7">
        <f t="shared" ca="1" si="55"/>
        <v>218552.42364050666</v>
      </c>
      <c r="AL97" s="7">
        <f t="shared" ca="1" si="55"/>
        <v>225108.99634972186</v>
      </c>
      <c r="AM97" s="7">
        <f t="shared" ca="1" si="55"/>
        <v>231862.2662402135</v>
      </c>
    </row>
    <row r="98" spans="1:39">
      <c r="A98" s="3" t="s">
        <v>23</v>
      </c>
      <c r="C98" s="7">
        <f ca="1">-IF(SUM(C94:D94)&gt;0,C97,0)</f>
        <v>0</v>
      </c>
      <c r="D98" s="7">
        <f ca="1">-IF(E94&gt;0,D97,0)</f>
        <v>0</v>
      </c>
      <c r="E98" s="7">
        <f ca="1">-IF(F94&gt;0,E97,0)</f>
        <v>0</v>
      </c>
      <c r="F98" s="7">
        <f ca="1">-IF(G94&gt;0,F97,0)</f>
        <v>0</v>
      </c>
      <c r="G98" s="7">
        <f t="shared" ref="G98:AM98" ca="1" si="56">-IF(H94&gt;0,G97,0)</f>
        <v>0</v>
      </c>
      <c r="H98" s="7">
        <f t="shared" ca="1" si="56"/>
        <v>0</v>
      </c>
      <c r="I98" s="7">
        <f t="shared" ca="1" si="56"/>
        <v>0</v>
      </c>
      <c r="J98" s="7">
        <f t="shared" ca="1" si="56"/>
        <v>0</v>
      </c>
      <c r="K98" s="7">
        <f t="shared" ca="1" si="56"/>
        <v>0</v>
      </c>
      <c r="L98" s="7">
        <f t="shared" ca="1" si="56"/>
        <v>0</v>
      </c>
      <c r="M98" s="7">
        <f t="shared" ca="1" si="56"/>
        <v>0</v>
      </c>
      <c r="N98" s="7">
        <f t="shared" ca="1" si="56"/>
        <v>0</v>
      </c>
      <c r="O98" s="7">
        <f t="shared" ca="1" si="56"/>
        <v>0</v>
      </c>
      <c r="P98" s="7">
        <f t="shared" ca="1" si="56"/>
        <v>0</v>
      </c>
      <c r="Q98" s="7">
        <f t="shared" ca="1" si="56"/>
        <v>0</v>
      </c>
      <c r="R98" s="7">
        <f t="shared" ca="1" si="56"/>
        <v>0</v>
      </c>
      <c r="S98" s="7">
        <f t="shared" ca="1" si="56"/>
        <v>0</v>
      </c>
      <c r="T98" s="7">
        <f t="shared" ca="1" si="56"/>
        <v>0</v>
      </c>
      <c r="U98" s="7">
        <f t="shared" ca="1" si="56"/>
        <v>0</v>
      </c>
      <c r="V98" s="7">
        <f t="shared" ca="1" si="56"/>
        <v>0</v>
      </c>
      <c r="W98" s="7">
        <f t="shared" ca="1" si="56"/>
        <v>0</v>
      </c>
      <c r="X98" s="7">
        <f t="shared" ca="1" si="56"/>
        <v>0</v>
      </c>
      <c r="Y98" s="7">
        <f t="shared" ca="1" si="56"/>
        <v>0</v>
      </c>
      <c r="Z98" s="7">
        <f t="shared" ca="1" si="56"/>
        <v>0</v>
      </c>
      <c r="AA98" s="7">
        <f t="shared" ca="1" si="56"/>
        <v>0</v>
      </c>
      <c r="AB98" s="7">
        <f t="shared" ca="1" si="56"/>
        <v>0</v>
      </c>
      <c r="AC98" s="7">
        <f t="shared" ca="1" si="56"/>
        <v>0</v>
      </c>
      <c r="AD98" s="7">
        <f t="shared" ca="1" si="56"/>
        <v>0</v>
      </c>
      <c r="AE98" s="7">
        <f t="shared" ca="1" si="56"/>
        <v>0</v>
      </c>
      <c r="AF98" s="7">
        <f t="shared" ca="1" si="56"/>
        <v>0</v>
      </c>
      <c r="AG98" s="7">
        <f t="shared" ca="1" si="56"/>
        <v>0</v>
      </c>
      <c r="AH98" s="7">
        <f t="shared" ca="1" si="56"/>
        <v>0</v>
      </c>
      <c r="AI98" s="7">
        <f t="shared" ca="1" si="56"/>
        <v>0</v>
      </c>
      <c r="AJ98" s="7">
        <f t="shared" ca="1" si="56"/>
        <v>0</v>
      </c>
      <c r="AK98" s="7">
        <f t="shared" ca="1" si="56"/>
        <v>0</v>
      </c>
      <c r="AL98" s="7">
        <f t="shared" ca="1" si="56"/>
        <v>0</v>
      </c>
      <c r="AM98" s="7">
        <f t="shared" si="56"/>
        <v>0</v>
      </c>
    </row>
    <row r="99" spans="1:39">
      <c r="A99" s="3" t="s">
        <v>24</v>
      </c>
      <c r="C99" s="7">
        <v>0</v>
      </c>
      <c r="D99" s="7">
        <f t="shared" ref="D99:G99" ca="1" si="57">SUM(D97:D98)*princ</f>
        <v>2472</v>
      </c>
      <c r="E99" s="7">
        <f t="shared" ca="1" si="57"/>
        <v>2546.16</v>
      </c>
      <c r="F99" s="7">
        <f t="shared" ca="1" si="57"/>
        <v>2622.5448000000001</v>
      </c>
      <c r="G99" s="7">
        <f t="shared" ca="1" si="57"/>
        <v>2701.2211440000001</v>
      </c>
      <c r="H99" s="7">
        <f t="shared" ref="H99:I99" ca="1" si="58">SUM(H97:H98)*princ</f>
        <v>2782.2577783199999</v>
      </c>
      <c r="I99" s="7">
        <f t="shared" ca="1" si="58"/>
        <v>2865.7255116695997</v>
      </c>
      <c r="J99" s="7">
        <f t="shared" ref="J99:AM99" ca="1" si="59">SUM(J97:J98)*princ</f>
        <v>2951.697277019688</v>
      </c>
      <c r="K99" s="7">
        <f t="shared" ca="1" si="59"/>
        <v>3040.2481953302786</v>
      </c>
      <c r="L99" s="7">
        <f t="shared" ca="1" si="59"/>
        <v>3131.4556411901867</v>
      </c>
      <c r="M99" s="7">
        <f t="shared" ca="1" si="59"/>
        <v>3225.3993104258925</v>
      </c>
      <c r="N99" s="7">
        <f t="shared" ca="1" si="59"/>
        <v>3322.1612897386694</v>
      </c>
      <c r="O99" s="7">
        <f t="shared" ca="1" si="59"/>
        <v>3421.8261284308296</v>
      </c>
      <c r="P99" s="7">
        <f t="shared" ca="1" si="59"/>
        <v>3524.4809122837542</v>
      </c>
      <c r="Q99" s="7">
        <f t="shared" ca="1" si="59"/>
        <v>3630.2153396522667</v>
      </c>
      <c r="R99" s="7">
        <f t="shared" ca="1" si="59"/>
        <v>3739.1217998418342</v>
      </c>
      <c r="S99" s="7">
        <f t="shared" ca="1" si="59"/>
        <v>3851.2954538370891</v>
      </c>
      <c r="T99" s="7">
        <f t="shared" ca="1" si="59"/>
        <v>3966.8343174522024</v>
      </c>
      <c r="U99" s="7">
        <f t="shared" ca="1" si="59"/>
        <v>4085.8393469757689</v>
      </c>
      <c r="V99" s="7">
        <f t="shared" ca="1" si="59"/>
        <v>4208.4145273850418</v>
      </c>
      <c r="W99" s="7">
        <f t="shared" ca="1" si="59"/>
        <v>4334.6669632065923</v>
      </c>
      <c r="X99" s="7">
        <f t="shared" ca="1" si="59"/>
        <v>4464.7069721027901</v>
      </c>
      <c r="Y99" s="7">
        <f t="shared" ca="1" si="59"/>
        <v>4598.648181265874</v>
      </c>
      <c r="Z99" s="7">
        <f t="shared" ca="1" si="59"/>
        <v>4736.6076267038497</v>
      </c>
      <c r="AA99" s="7">
        <f t="shared" ca="1" si="59"/>
        <v>4878.7058555049653</v>
      </c>
      <c r="AB99" s="7">
        <f t="shared" ca="1" si="59"/>
        <v>5025.0670311701142</v>
      </c>
      <c r="AC99" s="7">
        <f t="shared" ca="1" si="59"/>
        <v>5175.8190421052177</v>
      </c>
      <c r="AD99" s="7">
        <f t="shared" ca="1" si="59"/>
        <v>5331.0936133683745</v>
      </c>
      <c r="AE99" s="7">
        <f t="shared" ca="1" si="59"/>
        <v>5491.0264217694257</v>
      </c>
      <c r="AF99" s="7">
        <f t="shared" ca="1" si="59"/>
        <v>5655.7572144225087</v>
      </c>
      <c r="AG99" s="7">
        <f t="shared" ca="1" si="59"/>
        <v>5825.4299308551845</v>
      </c>
      <c r="AH99" s="7">
        <f t="shared" ca="1" si="59"/>
        <v>6000.1928287808396</v>
      </c>
      <c r="AI99" s="7">
        <f t="shared" ca="1" si="59"/>
        <v>6180.1986136442638</v>
      </c>
      <c r="AJ99" s="7">
        <f t="shared" ca="1" si="59"/>
        <v>6365.6045720535922</v>
      </c>
      <c r="AK99" s="7">
        <f t="shared" ca="1" si="59"/>
        <v>6556.5727092151992</v>
      </c>
      <c r="AL99" s="7">
        <f t="shared" ca="1" si="59"/>
        <v>6753.2698904916551</v>
      </c>
      <c r="AM99" s="7">
        <f t="shared" ca="1" si="59"/>
        <v>6955.8679872064049</v>
      </c>
    </row>
    <row r="100" spans="1:39">
      <c r="A100" s="3" t="s">
        <v>25</v>
      </c>
      <c r="C100" s="7">
        <f ca="1">SUM(C97:C99)</f>
        <v>82400</v>
      </c>
      <c r="D100" s="7">
        <f t="shared" ref="D100:AM100" ca="1" si="60">SUM(D97:D99)</f>
        <v>84872</v>
      </c>
      <c r="E100" s="7">
        <f t="shared" ca="1" si="60"/>
        <v>87418.16</v>
      </c>
      <c r="F100" s="7">
        <f t="shared" ca="1" si="60"/>
        <v>90040.704800000007</v>
      </c>
      <c r="G100" s="7">
        <f t="shared" ca="1" si="60"/>
        <v>92741.925944000002</v>
      </c>
      <c r="H100" s="7">
        <f t="shared" ca="1" si="60"/>
        <v>95524.183722319998</v>
      </c>
      <c r="I100" s="7">
        <f t="shared" ca="1" si="60"/>
        <v>98389.909233989601</v>
      </c>
      <c r="J100" s="7">
        <f t="shared" ca="1" si="60"/>
        <v>101341.60651100929</v>
      </c>
      <c r="K100" s="7">
        <f t="shared" ca="1" si="60"/>
        <v>104381.85470633957</v>
      </c>
      <c r="L100" s="7">
        <f t="shared" ca="1" si="60"/>
        <v>107513.31034752975</v>
      </c>
      <c r="M100" s="7">
        <f t="shared" ca="1" si="60"/>
        <v>110738.70965795565</v>
      </c>
      <c r="N100" s="7">
        <f t="shared" ca="1" si="60"/>
        <v>114060.87094769432</v>
      </c>
      <c r="O100" s="7">
        <f t="shared" ca="1" si="60"/>
        <v>117482.69707612514</v>
      </c>
      <c r="P100" s="7">
        <f t="shared" ca="1" si="60"/>
        <v>121007.17798840889</v>
      </c>
      <c r="Q100" s="7">
        <f t="shared" ca="1" si="60"/>
        <v>124637.39332806115</v>
      </c>
      <c r="R100" s="7">
        <f t="shared" ca="1" si="60"/>
        <v>128376.51512790298</v>
      </c>
      <c r="S100" s="7">
        <f t="shared" ca="1" si="60"/>
        <v>132227.81058174008</v>
      </c>
      <c r="T100" s="7">
        <f t="shared" ca="1" si="60"/>
        <v>136194.6448991923</v>
      </c>
      <c r="U100" s="7">
        <f t="shared" ca="1" si="60"/>
        <v>140280.48424616805</v>
      </c>
      <c r="V100" s="7">
        <f t="shared" ca="1" si="60"/>
        <v>144488.89877355308</v>
      </c>
      <c r="W100" s="7">
        <f t="shared" ca="1" si="60"/>
        <v>148823.56573675969</v>
      </c>
      <c r="X100" s="7">
        <f t="shared" ca="1" si="60"/>
        <v>153288.27270886247</v>
      </c>
      <c r="Y100" s="7">
        <f t="shared" ca="1" si="60"/>
        <v>157886.92089012833</v>
      </c>
      <c r="Z100" s="7">
        <f t="shared" ca="1" si="60"/>
        <v>162623.52851683219</v>
      </c>
      <c r="AA100" s="7">
        <f t="shared" ca="1" si="60"/>
        <v>167502.23437233715</v>
      </c>
      <c r="AB100" s="7">
        <f t="shared" ca="1" si="60"/>
        <v>172527.30140350727</v>
      </c>
      <c r="AC100" s="7">
        <f t="shared" ca="1" si="60"/>
        <v>177703.1204456125</v>
      </c>
      <c r="AD100" s="7">
        <f t="shared" ca="1" si="60"/>
        <v>183034.21405898087</v>
      </c>
      <c r="AE100" s="7">
        <f t="shared" ca="1" si="60"/>
        <v>188525.2404807503</v>
      </c>
      <c r="AF100" s="7">
        <f t="shared" ca="1" si="60"/>
        <v>194180.99769517282</v>
      </c>
      <c r="AG100" s="7">
        <f t="shared" ca="1" si="60"/>
        <v>200006.42762602799</v>
      </c>
      <c r="AH100" s="7">
        <f t="shared" ca="1" si="60"/>
        <v>206006.62045480881</v>
      </c>
      <c r="AI100" s="7">
        <f t="shared" ca="1" si="60"/>
        <v>212186.81906845307</v>
      </c>
      <c r="AJ100" s="7">
        <f t="shared" ca="1" si="60"/>
        <v>218552.42364050666</v>
      </c>
      <c r="AK100" s="7">
        <f t="shared" ca="1" si="60"/>
        <v>225108.99634972186</v>
      </c>
      <c r="AL100" s="7">
        <f t="shared" ca="1" si="60"/>
        <v>231862.2662402135</v>
      </c>
      <c r="AM100" s="7">
        <f t="shared" ca="1" si="60"/>
        <v>238818.13422741991</v>
      </c>
    </row>
    <row r="101" spans="1:39">
      <c r="A101" s="3" t="s">
        <v>26</v>
      </c>
      <c r="C101" s="7">
        <f ca="1">C98*Inputs!$B$195</f>
        <v>0</v>
      </c>
      <c r="D101" s="7">
        <f ca="1">D98*Inputs!$B$195</f>
        <v>0</v>
      </c>
      <c r="E101" s="7">
        <f ca="1">E98*Inputs!$B$195</f>
        <v>0</v>
      </c>
      <c r="F101" s="7">
        <f ca="1">F98*Inputs!$B$195</f>
        <v>0</v>
      </c>
      <c r="G101" s="7">
        <f ca="1">G98*Inputs!$B$195</f>
        <v>0</v>
      </c>
      <c r="H101" s="7">
        <f ca="1">H98*Inputs!$B$195</f>
        <v>0</v>
      </c>
      <c r="I101" s="7">
        <f ca="1">I98*Inputs!$B$195</f>
        <v>0</v>
      </c>
      <c r="J101" s="7">
        <f ca="1">J98*Inputs!$B$195</f>
        <v>0</v>
      </c>
      <c r="K101" s="7">
        <f ca="1">K98*Inputs!$B$195</f>
        <v>0</v>
      </c>
      <c r="L101" s="7">
        <f ca="1">L98*Inputs!$B$195</f>
        <v>0</v>
      </c>
      <c r="M101" s="7">
        <f ca="1">M98*Inputs!$B$195</f>
        <v>0</v>
      </c>
      <c r="N101" s="7">
        <f ca="1">N98*Inputs!$B$195</f>
        <v>0</v>
      </c>
      <c r="O101" s="7">
        <f ca="1">O98*Inputs!$B$195</f>
        <v>0</v>
      </c>
      <c r="P101" s="7">
        <f ca="1">P98*Inputs!$B$195</f>
        <v>0</v>
      </c>
      <c r="Q101" s="7">
        <f ca="1">Q98*Inputs!$B$195</f>
        <v>0</v>
      </c>
      <c r="R101" s="7">
        <f ca="1">R98*Inputs!$B$195</f>
        <v>0</v>
      </c>
      <c r="S101" s="7">
        <f ca="1">S98*Inputs!$B$195</f>
        <v>0</v>
      </c>
      <c r="T101" s="7">
        <f ca="1">T98*Inputs!$B$195</f>
        <v>0</v>
      </c>
      <c r="U101" s="7">
        <f ca="1">U98*Inputs!$B$195</f>
        <v>0</v>
      </c>
      <c r="V101" s="7">
        <f ca="1">V98*Inputs!$B$195</f>
        <v>0</v>
      </c>
      <c r="W101" s="7">
        <f ca="1">W98*Inputs!$B$195</f>
        <v>0</v>
      </c>
      <c r="X101" s="7">
        <f ca="1">X98*Inputs!$B$195</f>
        <v>0</v>
      </c>
      <c r="Y101" s="7">
        <f ca="1">Y98*Inputs!$B$195</f>
        <v>0</v>
      </c>
      <c r="Z101" s="7">
        <f ca="1">Z98*Inputs!$B$195</f>
        <v>0</v>
      </c>
      <c r="AA101" s="7">
        <f ca="1">AA98*Inputs!$B$195</f>
        <v>0</v>
      </c>
      <c r="AB101" s="7">
        <f ca="1">AB98*Inputs!$B$195</f>
        <v>0</v>
      </c>
      <c r="AC101" s="7">
        <f ca="1">AC98*Inputs!$B$195</f>
        <v>0</v>
      </c>
      <c r="AD101" s="7">
        <f ca="1">AD98*Inputs!$B$195</f>
        <v>0</v>
      </c>
      <c r="AE101" s="7">
        <f ca="1">AE98*Inputs!$B$195</f>
        <v>0</v>
      </c>
      <c r="AF101" s="7">
        <f ca="1">AF98*Inputs!$B$195</f>
        <v>0</v>
      </c>
      <c r="AG101" s="7">
        <f ca="1">AG98*Inputs!$B$195</f>
        <v>0</v>
      </c>
      <c r="AH101" s="7">
        <f ca="1">AH98*Inputs!$B$195</f>
        <v>0</v>
      </c>
      <c r="AI101" s="7">
        <f ca="1">AI98*Inputs!$B$195</f>
        <v>0</v>
      </c>
      <c r="AJ101" s="7">
        <f ca="1">AJ98*Inputs!$B$195</f>
        <v>0</v>
      </c>
      <c r="AK101" s="7">
        <f ca="1">AK98*Inputs!$B$195</f>
        <v>0</v>
      </c>
      <c r="AL101" s="7">
        <f ca="1">AL98*Inputs!$B$195</f>
        <v>0</v>
      </c>
      <c r="AM101" s="7">
        <f>AM98*Inputs!$B$195</f>
        <v>0</v>
      </c>
    </row>
    <row r="102" spans="1:39">
      <c r="A102" s="3" t="s">
        <v>31</v>
      </c>
      <c r="C102" s="7">
        <f t="shared" ref="C102:AM102" si="61">IFERROR(-IF(C97=0,VLOOKUP($A96,$8:$12,C$1+2,FALSE),0),0)</f>
        <v>0</v>
      </c>
      <c r="D102" s="7">
        <f t="shared" ca="1" si="61"/>
        <v>0</v>
      </c>
      <c r="E102" s="7">
        <f t="shared" ca="1" si="61"/>
        <v>0</v>
      </c>
      <c r="F102" s="7">
        <f t="shared" ca="1" si="61"/>
        <v>0</v>
      </c>
      <c r="G102" s="7">
        <f t="shared" ca="1" si="61"/>
        <v>0</v>
      </c>
      <c r="H102" s="7">
        <f t="shared" ca="1" si="61"/>
        <v>0</v>
      </c>
      <c r="I102" s="7">
        <f t="shared" ca="1" si="61"/>
        <v>0</v>
      </c>
      <c r="J102" s="7">
        <f t="shared" ca="1" si="61"/>
        <v>0</v>
      </c>
      <c r="K102" s="7">
        <f t="shared" ca="1" si="61"/>
        <v>0</v>
      </c>
      <c r="L102" s="7">
        <f t="shared" ca="1" si="61"/>
        <v>0</v>
      </c>
      <c r="M102" s="7">
        <f t="shared" ca="1" si="61"/>
        <v>0</v>
      </c>
      <c r="N102" s="7">
        <f t="shared" ca="1" si="61"/>
        <v>0</v>
      </c>
      <c r="O102" s="7">
        <f t="shared" ca="1" si="61"/>
        <v>0</v>
      </c>
      <c r="P102" s="7">
        <f t="shared" ca="1" si="61"/>
        <v>0</v>
      </c>
      <c r="Q102" s="7">
        <f t="shared" ca="1" si="61"/>
        <v>0</v>
      </c>
      <c r="R102" s="7">
        <f t="shared" ca="1" si="61"/>
        <v>0</v>
      </c>
      <c r="S102" s="7">
        <f t="shared" ca="1" si="61"/>
        <v>0</v>
      </c>
      <c r="T102" s="7">
        <f t="shared" ca="1" si="61"/>
        <v>0</v>
      </c>
      <c r="U102" s="7">
        <f t="shared" ca="1" si="61"/>
        <v>0</v>
      </c>
      <c r="V102" s="7">
        <f t="shared" ca="1" si="61"/>
        <v>0</v>
      </c>
      <c r="W102" s="7">
        <f t="shared" ca="1" si="61"/>
        <v>0</v>
      </c>
      <c r="X102" s="7">
        <f t="shared" ca="1" si="61"/>
        <v>0</v>
      </c>
      <c r="Y102" s="7">
        <f t="shared" ca="1" si="61"/>
        <v>0</v>
      </c>
      <c r="Z102" s="7">
        <f t="shared" ca="1" si="61"/>
        <v>0</v>
      </c>
      <c r="AA102" s="7">
        <f t="shared" ca="1" si="61"/>
        <v>0</v>
      </c>
      <c r="AB102" s="7">
        <f t="shared" ca="1" si="61"/>
        <v>0</v>
      </c>
      <c r="AC102" s="7">
        <f t="shared" ca="1" si="61"/>
        <v>0</v>
      </c>
      <c r="AD102" s="7">
        <f t="shared" ca="1" si="61"/>
        <v>0</v>
      </c>
      <c r="AE102" s="7">
        <f t="shared" ca="1" si="61"/>
        <v>0</v>
      </c>
      <c r="AF102" s="7">
        <f t="shared" ca="1" si="61"/>
        <v>0</v>
      </c>
      <c r="AG102" s="7">
        <f t="shared" ca="1" si="61"/>
        <v>0</v>
      </c>
      <c r="AH102" s="7">
        <f t="shared" ca="1" si="61"/>
        <v>0</v>
      </c>
      <c r="AI102" s="7">
        <f t="shared" ca="1" si="61"/>
        <v>0</v>
      </c>
      <c r="AJ102" s="7">
        <f t="shared" ca="1" si="61"/>
        <v>0</v>
      </c>
      <c r="AK102" s="7">
        <f t="shared" ca="1" si="61"/>
        <v>0</v>
      </c>
      <c r="AL102" s="7">
        <f t="shared" ca="1" si="61"/>
        <v>0</v>
      </c>
      <c r="AM102" s="7">
        <f t="shared" ca="1" si="61"/>
        <v>0</v>
      </c>
    </row>
    <row r="103" spans="1:39">
      <c r="A103" s="3" t="s">
        <v>50</v>
      </c>
      <c r="C103" s="7">
        <f t="shared" ref="C103:AM103" si="62">IFERROR(IF(C97=0,VLOOKUP($A96,$40:$44,C$1+2,FALSE),0),0)</f>
        <v>0</v>
      </c>
      <c r="D103" s="7">
        <f t="shared" ca="1" si="62"/>
        <v>0</v>
      </c>
      <c r="E103" s="7">
        <f t="shared" ca="1" si="62"/>
        <v>0</v>
      </c>
      <c r="F103" s="7">
        <f t="shared" ca="1" si="62"/>
        <v>0</v>
      </c>
      <c r="G103" s="7">
        <f t="shared" ca="1" si="62"/>
        <v>0</v>
      </c>
      <c r="H103" s="7">
        <f t="shared" ca="1" si="62"/>
        <v>0</v>
      </c>
      <c r="I103" s="7">
        <f t="shared" ca="1" si="62"/>
        <v>0</v>
      </c>
      <c r="J103" s="7">
        <f t="shared" ca="1" si="62"/>
        <v>0</v>
      </c>
      <c r="K103" s="7">
        <f t="shared" ca="1" si="62"/>
        <v>0</v>
      </c>
      <c r="L103" s="7">
        <f t="shared" ca="1" si="62"/>
        <v>0</v>
      </c>
      <c r="M103" s="7">
        <f t="shared" ca="1" si="62"/>
        <v>0</v>
      </c>
      <c r="N103" s="7">
        <f t="shared" ca="1" si="62"/>
        <v>0</v>
      </c>
      <c r="O103" s="7">
        <f t="shared" ca="1" si="62"/>
        <v>0</v>
      </c>
      <c r="P103" s="7">
        <f t="shared" ca="1" si="62"/>
        <v>0</v>
      </c>
      <c r="Q103" s="7">
        <f t="shared" ca="1" si="62"/>
        <v>0</v>
      </c>
      <c r="R103" s="7">
        <f t="shared" ca="1" si="62"/>
        <v>0</v>
      </c>
      <c r="S103" s="7">
        <f t="shared" ca="1" si="62"/>
        <v>0</v>
      </c>
      <c r="T103" s="7">
        <f t="shared" ca="1" si="62"/>
        <v>0</v>
      </c>
      <c r="U103" s="7">
        <f t="shared" ca="1" si="62"/>
        <v>0</v>
      </c>
      <c r="V103" s="7">
        <f t="shared" ca="1" si="62"/>
        <v>0</v>
      </c>
      <c r="W103" s="7">
        <f t="shared" ca="1" si="62"/>
        <v>0</v>
      </c>
      <c r="X103" s="7">
        <f t="shared" ca="1" si="62"/>
        <v>0</v>
      </c>
      <c r="Y103" s="7">
        <f t="shared" ca="1" si="62"/>
        <v>0</v>
      </c>
      <c r="Z103" s="7">
        <f t="shared" ca="1" si="62"/>
        <v>0</v>
      </c>
      <c r="AA103" s="7">
        <f t="shared" ca="1" si="62"/>
        <v>0</v>
      </c>
      <c r="AB103" s="7">
        <f t="shared" ca="1" si="62"/>
        <v>0</v>
      </c>
      <c r="AC103" s="7">
        <f t="shared" ca="1" si="62"/>
        <v>0</v>
      </c>
      <c r="AD103" s="7">
        <f t="shared" ca="1" si="62"/>
        <v>0</v>
      </c>
      <c r="AE103" s="7">
        <f t="shared" ca="1" si="62"/>
        <v>0</v>
      </c>
      <c r="AF103" s="7">
        <f t="shared" ca="1" si="62"/>
        <v>0</v>
      </c>
      <c r="AG103" s="7">
        <f t="shared" ca="1" si="62"/>
        <v>0</v>
      </c>
      <c r="AH103" s="7">
        <f t="shared" ca="1" si="62"/>
        <v>0</v>
      </c>
      <c r="AI103" s="7">
        <f t="shared" ca="1" si="62"/>
        <v>0</v>
      </c>
      <c r="AJ103" s="7">
        <f t="shared" ca="1" si="62"/>
        <v>0</v>
      </c>
      <c r="AK103" s="7">
        <f t="shared" ca="1" si="62"/>
        <v>0</v>
      </c>
      <c r="AL103" s="7">
        <f t="shared" ca="1" si="62"/>
        <v>0</v>
      </c>
      <c r="AM103" s="7">
        <f t="shared" ca="1" si="62"/>
        <v>0</v>
      </c>
    </row>
    <row r="104" spans="1:39">
      <c r="A104" s="3" t="s">
        <v>36</v>
      </c>
      <c r="B104" s="14" t="str">
        <f>A96</f>
        <v>Gudja</v>
      </c>
      <c r="C104" s="7">
        <f t="shared" ref="C104:AM104" ca="1" si="63">IF(AND(C97&gt;0,C100=0),VLOOKUP($A96,$72:$76,C$1+2,FALSE),0)</f>
        <v>0</v>
      </c>
      <c r="D104" s="7">
        <f t="shared" ca="1" si="63"/>
        <v>0</v>
      </c>
      <c r="E104" s="7">
        <f t="shared" ca="1" si="63"/>
        <v>0</v>
      </c>
      <c r="F104" s="7">
        <f t="shared" ca="1" si="63"/>
        <v>0</v>
      </c>
      <c r="G104" s="7">
        <f t="shared" ca="1" si="63"/>
        <v>0</v>
      </c>
      <c r="H104" s="7">
        <f t="shared" ca="1" si="63"/>
        <v>0</v>
      </c>
      <c r="I104" s="7">
        <f t="shared" ca="1" si="63"/>
        <v>0</v>
      </c>
      <c r="J104" s="7">
        <f t="shared" ca="1" si="63"/>
        <v>0</v>
      </c>
      <c r="K104" s="7">
        <f t="shared" ca="1" si="63"/>
        <v>0</v>
      </c>
      <c r="L104" s="7">
        <f t="shared" ca="1" si="63"/>
        <v>0</v>
      </c>
      <c r="M104" s="7">
        <f t="shared" ca="1" si="63"/>
        <v>0</v>
      </c>
      <c r="N104" s="7">
        <f t="shared" ca="1" si="63"/>
        <v>0</v>
      </c>
      <c r="O104" s="7">
        <f t="shared" ca="1" si="63"/>
        <v>0</v>
      </c>
      <c r="P104" s="7">
        <f t="shared" ca="1" si="63"/>
        <v>0</v>
      </c>
      <c r="Q104" s="7">
        <f t="shared" ca="1" si="63"/>
        <v>0</v>
      </c>
      <c r="R104" s="7">
        <f t="shared" ca="1" si="63"/>
        <v>0</v>
      </c>
      <c r="S104" s="7">
        <f t="shared" ca="1" si="63"/>
        <v>0</v>
      </c>
      <c r="T104" s="7">
        <f t="shared" ca="1" si="63"/>
        <v>0</v>
      </c>
      <c r="U104" s="7">
        <f t="shared" ca="1" si="63"/>
        <v>0</v>
      </c>
      <c r="V104" s="7">
        <f t="shared" ca="1" si="63"/>
        <v>0</v>
      </c>
      <c r="W104" s="7">
        <f t="shared" ca="1" si="63"/>
        <v>0</v>
      </c>
      <c r="X104" s="7">
        <f t="shared" ca="1" si="63"/>
        <v>0</v>
      </c>
      <c r="Y104" s="7">
        <f t="shared" ca="1" si="63"/>
        <v>0</v>
      </c>
      <c r="Z104" s="7">
        <f t="shared" ca="1" si="63"/>
        <v>0</v>
      </c>
      <c r="AA104" s="7">
        <f t="shared" ca="1" si="63"/>
        <v>0</v>
      </c>
      <c r="AB104" s="7">
        <f t="shared" ca="1" si="63"/>
        <v>0</v>
      </c>
      <c r="AC104" s="7">
        <f t="shared" ca="1" si="63"/>
        <v>0</v>
      </c>
      <c r="AD104" s="7">
        <f t="shared" ca="1" si="63"/>
        <v>0</v>
      </c>
      <c r="AE104" s="7">
        <f t="shared" ca="1" si="63"/>
        <v>0</v>
      </c>
      <c r="AF104" s="7">
        <f t="shared" ca="1" si="63"/>
        <v>0</v>
      </c>
      <c r="AG104" s="7">
        <f t="shared" ca="1" si="63"/>
        <v>0</v>
      </c>
      <c r="AH104" s="7">
        <f t="shared" ca="1" si="63"/>
        <v>0</v>
      </c>
      <c r="AI104" s="7">
        <f t="shared" ca="1" si="63"/>
        <v>0</v>
      </c>
      <c r="AJ104" s="7">
        <f t="shared" ca="1" si="63"/>
        <v>0</v>
      </c>
      <c r="AK104" s="7">
        <f t="shared" ca="1" si="63"/>
        <v>0</v>
      </c>
      <c r="AL104" s="7">
        <f t="shared" ca="1" si="63"/>
        <v>0</v>
      </c>
      <c r="AM104" s="7">
        <f t="shared" ca="1" si="63"/>
        <v>0</v>
      </c>
    </row>
    <row r="105" spans="1:39">
      <c r="A105" s="3" t="s">
        <v>37</v>
      </c>
      <c r="C105" s="7">
        <f ca="1">-C98+SUM(C101:C104)</f>
        <v>0</v>
      </c>
      <c r="D105" s="7">
        <f t="shared" ref="D105" ca="1" si="64">-D98+SUM(D101:D104)</f>
        <v>0</v>
      </c>
      <c r="E105" s="7">
        <f t="shared" ref="E105:AM105" ca="1" si="65">-E98+SUM(E101:E104)</f>
        <v>0</v>
      </c>
      <c r="F105" s="7">
        <f t="shared" ca="1" si="65"/>
        <v>0</v>
      </c>
      <c r="G105" s="7">
        <f t="shared" ca="1" si="65"/>
        <v>0</v>
      </c>
      <c r="H105" s="7">
        <f t="shared" ca="1" si="65"/>
        <v>0</v>
      </c>
      <c r="I105" s="7">
        <f t="shared" ca="1" si="65"/>
        <v>0</v>
      </c>
      <c r="J105" s="7">
        <f t="shared" ca="1" si="65"/>
        <v>0</v>
      </c>
      <c r="K105" s="7">
        <f t="shared" ca="1" si="65"/>
        <v>0</v>
      </c>
      <c r="L105" s="7">
        <f t="shared" ca="1" si="65"/>
        <v>0</v>
      </c>
      <c r="M105" s="7">
        <f t="shared" ca="1" si="65"/>
        <v>0</v>
      </c>
      <c r="N105" s="7">
        <f t="shared" ca="1" si="65"/>
        <v>0</v>
      </c>
      <c r="O105" s="7">
        <f t="shared" ca="1" si="65"/>
        <v>0</v>
      </c>
      <c r="P105" s="7">
        <f t="shared" ca="1" si="65"/>
        <v>0</v>
      </c>
      <c r="Q105" s="7">
        <f t="shared" ca="1" si="65"/>
        <v>0</v>
      </c>
      <c r="R105" s="7">
        <f t="shared" ca="1" si="65"/>
        <v>0</v>
      </c>
      <c r="S105" s="7">
        <f t="shared" ca="1" si="65"/>
        <v>0</v>
      </c>
      <c r="T105" s="7">
        <f t="shared" ca="1" si="65"/>
        <v>0</v>
      </c>
      <c r="U105" s="7">
        <f t="shared" ca="1" si="65"/>
        <v>0</v>
      </c>
      <c r="V105" s="7">
        <f t="shared" ca="1" si="65"/>
        <v>0</v>
      </c>
      <c r="W105" s="7">
        <f t="shared" ca="1" si="65"/>
        <v>0</v>
      </c>
      <c r="X105" s="7">
        <f t="shared" ca="1" si="65"/>
        <v>0</v>
      </c>
      <c r="Y105" s="7">
        <f t="shared" ca="1" si="65"/>
        <v>0</v>
      </c>
      <c r="Z105" s="7">
        <f t="shared" ca="1" si="65"/>
        <v>0</v>
      </c>
      <c r="AA105" s="7">
        <f t="shared" ca="1" si="65"/>
        <v>0</v>
      </c>
      <c r="AB105" s="7">
        <f t="shared" ca="1" si="65"/>
        <v>0</v>
      </c>
      <c r="AC105" s="7">
        <f t="shared" ca="1" si="65"/>
        <v>0</v>
      </c>
      <c r="AD105" s="7">
        <f t="shared" ca="1" si="65"/>
        <v>0</v>
      </c>
      <c r="AE105" s="7">
        <f t="shared" ca="1" si="65"/>
        <v>0</v>
      </c>
      <c r="AF105" s="7">
        <f t="shared" ca="1" si="65"/>
        <v>0</v>
      </c>
      <c r="AG105" s="7">
        <f t="shared" ca="1" si="65"/>
        <v>0</v>
      </c>
      <c r="AH105" s="7">
        <f t="shared" ca="1" si="65"/>
        <v>0</v>
      </c>
      <c r="AI105" s="7">
        <f t="shared" ca="1" si="65"/>
        <v>0</v>
      </c>
      <c r="AJ105" s="7">
        <f t="shared" ca="1" si="65"/>
        <v>0</v>
      </c>
      <c r="AK105" s="7">
        <f t="shared" ca="1" si="65"/>
        <v>0</v>
      </c>
      <c r="AL105" s="7">
        <f t="shared" ca="1" si="65"/>
        <v>0</v>
      </c>
      <c r="AM105" s="7">
        <f t="shared" ca="1" si="65"/>
        <v>0</v>
      </c>
    </row>
    <row r="106" spans="1:39">
      <c r="A106" s="3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</row>
    <row r="107" spans="1:39">
      <c r="A107" s="3" t="s">
        <v>77</v>
      </c>
      <c r="C107" s="7">
        <f ca="1">C93+SUM($C105:C105)</f>
        <v>37716.75</v>
      </c>
      <c r="D107" s="7">
        <f ca="1">D93+SUM($C105:D105)</f>
        <v>69048.493749999994</v>
      </c>
      <c r="E107" s="7">
        <f ca="1">E93+SUM($C105:E105)</f>
        <v>80800.384218750027</v>
      </c>
      <c r="F107" s="7">
        <f ca="1">F93+SUM($C105:F105)</f>
        <v>127283.44827895577</v>
      </c>
      <c r="G107" s="7">
        <f ca="1">G93+SUM($C105:G105)</f>
        <v>178918.83267437888</v>
      </c>
      <c r="H107" s="7">
        <f ca="1">H93+SUM($C105:H105)</f>
        <v>245901.78181548161</v>
      </c>
      <c r="I107" s="7">
        <f ca="1">I93+SUM($C105:I105)</f>
        <v>323696.65132994356</v>
      </c>
      <c r="J107" s="7">
        <f ca="1">J93+SUM($C105:J105)</f>
        <v>388989.26300950802</v>
      </c>
      <c r="K107" s="7">
        <f ca="1">K93+SUM($C105:K105)</f>
        <v>539281.37409876089</v>
      </c>
      <c r="L107" s="7">
        <f ca="1">L93+SUM($C105:L105)</f>
        <v>601876.82255875634</v>
      </c>
      <c r="M107" s="7">
        <f ca="1">M93+SUM($C105:M105)</f>
        <v>721038.5473662219</v>
      </c>
      <c r="N107" s="7">
        <f ca="1">N93+SUM($C105:N105)</f>
        <v>846583.81996541878</v>
      </c>
      <c r="O107" s="7">
        <f ca="1">O93+SUM($C105:O105)</f>
        <v>978782.14070489258</v>
      </c>
      <c r="P107" s="7">
        <f ca="1">P93+SUM($C105:P105)</f>
        <v>1117913.239204355</v>
      </c>
      <c r="Q107" s="7">
        <f ca="1">Q93+SUM($C105:Q105)</f>
        <v>1264267.4396996587</v>
      </c>
      <c r="R107" s="7">
        <f ca="1">R93+SUM($C105:R105)</f>
        <v>1418146.0389312971</v>
      </c>
      <c r="S107" s="7">
        <f ca="1">S93+SUM($C105:S105)</f>
        <v>1473929.4664830596</v>
      </c>
      <c r="T107" s="7">
        <f ca="1">T93+SUM($C105:T105)</f>
        <v>1539631.0553787265</v>
      </c>
      <c r="U107" s="7">
        <f ca="1">U93+SUM($C105:U105)</f>
        <v>1608018.7707598673</v>
      </c>
      <c r="V107" s="7">
        <f ca="1">V93+SUM($C105:V105)</f>
        <v>1679196.2730464134</v>
      </c>
      <c r="W107" s="7">
        <f ca="1">W93+SUM($C105:W105)</f>
        <v>1753271.0393779005</v>
      </c>
      <c r="X107" s="7">
        <f ca="1">X93+SUM($C105:X105)</f>
        <v>1809947.5795442504</v>
      </c>
      <c r="Y107" s="7">
        <f ca="1">Y93+SUM($C105:Y105)</f>
        <v>1868727.9885819815</v>
      </c>
      <c r="Z107" s="7">
        <f ca="1">Z93+SUM($C105:Z105)</f>
        <v>1929693.7621849393</v>
      </c>
      <c r="AA107" s="7">
        <f ca="1">AA93+SUM($C105:AA105)</f>
        <v>1992929.5076662535</v>
      </c>
      <c r="AB107" s="7">
        <f ca="1">AB93+SUM($C105:AB105)</f>
        <v>2058523.0591570721</v>
      </c>
      <c r="AC107" s="7">
        <f ca="1">AC93+SUM($C105:AC105)</f>
        <v>2126565.5969370482</v>
      </c>
      <c r="AD107" s="7">
        <f ca="1">AD93+SUM($C105:AD105)</f>
        <v>2207012.5086333081</v>
      </c>
      <c r="AE107" s="7">
        <f ca="1">AE93+SUM($C105:AE105)</f>
        <v>2290594.3413533093</v>
      </c>
      <c r="AF107" s="7">
        <f ca="1">AF93+SUM($C105:AF105)</f>
        <v>2377431.5621965392</v>
      </c>
      <c r="AG107" s="7">
        <f ca="1">AG93+SUM($C105:AG105)</f>
        <v>2467649.1223028628</v>
      </c>
      <c r="AH107" s="7">
        <f ca="1">AH93+SUM($C105:AH105)</f>
        <v>2561376.6183629362</v>
      </c>
      <c r="AI107" s="7">
        <f ca="1">AI93+SUM($C105:AI105)</f>
        <v>2658748.4597796248</v>
      </c>
      <c r="AJ107" s="7">
        <f ca="1">AJ93+SUM($C105:AJ105)</f>
        <v>2759904.041673373</v>
      </c>
      <c r="AK107" s="7">
        <f ca="1">AK93+SUM($C105:AK105)</f>
        <v>2864987.92393093</v>
      </c>
      <c r="AL107" s="7">
        <f ca="1">AL93+SUM($C105:AL105)</f>
        <v>2974150.0165034966</v>
      </c>
      <c r="AM107" s="7">
        <f ca="1">AM93+SUM($C105:AM105)</f>
        <v>3087545.7711672578</v>
      </c>
    </row>
    <row r="108" spans="1:39">
      <c r="A108" s="3" t="s">
        <v>74</v>
      </c>
      <c r="C108" s="7">
        <f t="shared" ref="C108:AM108" ca="1" si="66">MAX(C107+buffer,0)-MAX(C$93+buffer,0)</f>
        <v>0</v>
      </c>
      <c r="D108" s="7">
        <f t="shared" ca="1" si="66"/>
        <v>0</v>
      </c>
      <c r="E108" s="7">
        <f t="shared" ca="1" si="66"/>
        <v>0</v>
      </c>
      <c r="F108" s="7">
        <f t="shared" ca="1" si="66"/>
        <v>0</v>
      </c>
      <c r="G108" s="7">
        <f t="shared" ca="1" si="66"/>
        <v>0</v>
      </c>
      <c r="H108" s="7">
        <f t="shared" ca="1" si="66"/>
        <v>0</v>
      </c>
      <c r="I108" s="7">
        <f t="shared" ca="1" si="66"/>
        <v>0</v>
      </c>
      <c r="J108" s="7">
        <f t="shared" ca="1" si="66"/>
        <v>0</v>
      </c>
      <c r="K108" s="7">
        <f t="shared" ca="1" si="66"/>
        <v>0</v>
      </c>
      <c r="L108" s="7">
        <f t="shared" ca="1" si="66"/>
        <v>0</v>
      </c>
      <c r="M108" s="7">
        <f t="shared" ca="1" si="66"/>
        <v>0</v>
      </c>
      <c r="N108" s="7">
        <f t="shared" ca="1" si="66"/>
        <v>0</v>
      </c>
      <c r="O108" s="7">
        <f t="shared" ca="1" si="66"/>
        <v>0</v>
      </c>
      <c r="P108" s="7">
        <f t="shared" ca="1" si="66"/>
        <v>0</v>
      </c>
      <c r="Q108" s="7">
        <f t="shared" ca="1" si="66"/>
        <v>0</v>
      </c>
      <c r="R108" s="7">
        <f t="shared" ca="1" si="66"/>
        <v>0</v>
      </c>
      <c r="S108" s="7">
        <f t="shared" ca="1" si="66"/>
        <v>0</v>
      </c>
      <c r="T108" s="7">
        <f t="shared" ca="1" si="66"/>
        <v>0</v>
      </c>
      <c r="U108" s="7">
        <f t="shared" ca="1" si="66"/>
        <v>0</v>
      </c>
      <c r="V108" s="7">
        <f t="shared" ca="1" si="66"/>
        <v>0</v>
      </c>
      <c r="W108" s="7">
        <f t="shared" ca="1" si="66"/>
        <v>0</v>
      </c>
      <c r="X108" s="7">
        <f t="shared" ca="1" si="66"/>
        <v>0</v>
      </c>
      <c r="Y108" s="7">
        <f t="shared" ca="1" si="66"/>
        <v>0</v>
      </c>
      <c r="Z108" s="7">
        <f t="shared" ca="1" si="66"/>
        <v>0</v>
      </c>
      <c r="AA108" s="7">
        <f t="shared" ca="1" si="66"/>
        <v>0</v>
      </c>
      <c r="AB108" s="7">
        <f t="shared" ca="1" si="66"/>
        <v>0</v>
      </c>
      <c r="AC108" s="7">
        <f t="shared" ca="1" si="66"/>
        <v>0</v>
      </c>
      <c r="AD108" s="7">
        <f t="shared" ca="1" si="66"/>
        <v>0</v>
      </c>
      <c r="AE108" s="7">
        <f t="shared" ca="1" si="66"/>
        <v>0</v>
      </c>
      <c r="AF108" s="7">
        <f t="shared" ca="1" si="66"/>
        <v>0</v>
      </c>
      <c r="AG108" s="7">
        <f t="shared" ca="1" si="66"/>
        <v>0</v>
      </c>
      <c r="AH108" s="7">
        <f t="shared" ca="1" si="66"/>
        <v>0</v>
      </c>
      <c r="AI108" s="7">
        <f t="shared" ca="1" si="66"/>
        <v>0</v>
      </c>
      <c r="AJ108" s="7">
        <f t="shared" ca="1" si="66"/>
        <v>0</v>
      </c>
      <c r="AK108" s="7">
        <f t="shared" ca="1" si="66"/>
        <v>0</v>
      </c>
      <c r="AL108" s="7">
        <f t="shared" ca="1" si="66"/>
        <v>0</v>
      </c>
      <c r="AM108" s="7">
        <f t="shared" ca="1" si="66"/>
        <v>0</v>
      </c>
    </row>
    <row r="109" spans="1:39">
      <c r="A109" s="3" t="s">
        <v>75</v>
      </c>
      <c r="C109" s="7">
        <f ca="1">C108*Inputs!$B$181</f>
        <v>0</v>
      </c>
      <c r="D109" s="7">
        <f ca="1">D108*Inputs!$B$181</f>
        <v>0</v>
      </c>
      <c r="E109" s="7">
        <f ca="1">E108*Inputs!$B$181</f>
        <v>0</v>
      </c>
      <c r="F109" s="7">
        <f ca="1">F108*Inputs!$B$181</f>
        <v>0</v>
      </c>
      <c r="G109" s="7">
        <f ca="1">G108*Inputs!$B$181</f>
        <v>0</v>
      </c>
      <c r="H109" s="7">
        <f ca="1">H108*Inputs!$B$181</f>
        <v>0</v>
      </c>
      <c r="I109" s="7">
        <f ca="1">I108*Inputs!$B$181</f>
        <v>0</v>
      </c>
      <c r="J109" s="7">
        <f ca="1">J108*Inputs!$B$181</f>
        <v>0</v>
      </c>
      <c r="K109" s="7">
        <f ca="1">K108*Inputs!$B$181</f>
        <v>0</v>
      </c>
      <c r="L109" s="7">
        <f ca="1">L108*Inputs!$B$181</f>
        <v>0</v>
      </c>
      <c r="M109" s="7">
        <f ca="1">M108*Inputs!$B$181</f>
        <v>0</v>
      </c>
      <c r="N109" s="7">
        <f ca="1">N108*Inputs!$B$181</f>
        <v>0</v>
      </c>
      <c r="O109" s="7">
        <f ca="1">O108*Inputs!$B$181</f>
        <v>0</v>
      </c>
      <c r="P109" s="7">
        <f ca="1">P108*Inputs!$B$181</f>
        <v>0</v>
      </c>
      <c r="Q109" s="7">
        <f ca="1">Q108*Inputs!$B$181</f>
        <v>0</v>
      </c>
      <c r="R109" s="7">
        <f ca="1">R108*Inputs!$B$181</f>
        <v>0</v>
      </c>
      <c r="S109" s="7">
        <f ca="1">S108*Inputs!$B$181</f>
        <v>0</v>
      </c>
      <c r="T109" s="7">
        <f ca="1">T108*Inputs!$B$181</f>
        <v>0</v>
      </c>
      <c r="U109" s="7">
        <f ca="1">U108*Inputs!$B$181</f>
        <v>0</v>
      </c>
      <c r="V109" s="7">
        <f ca="1">V108*Inputs!$B$181</f>
        <v>0</v>
      </c>
      <c r="W109" s="7">
        <f ca="1">W108*Inputs!$B$181</f>
        <v>0</v>
      </c>
      <c r="X109" s="7">
        <f ca="1">X108*Inputs!$B$181</f>
        <v>0</v>
      </c>
      <c r="Y109" s="7">
        <f ca="1">Y108*Inputs!$B$181</f>
        <v>0</v>
      </c>
      <c r="Z109" s="7">
        <f ca="1">Z108*Inputs!$B$181</f>
        <v>0</v>
      </c>
      <c r="AA109" s="7">
        <f ca="1">AA108*Inputs!$B$181</f>
        <v>0</v>
      </c>
      <c r="AB109" s="7">
        <f ca="1">AB108*Inputs!$B$181</f>
        <v>0</v>
      </c>
      <c r="AC109" s="7">
        <f ca="1">AC108*Inputs!$B$181</f>
        <v>0</v>
      </c>
      <c r="AD109" s="7">
        <f ca="1">AD108*Inputs!$B$181</f>
        <v>0</v>
      </c>
      <c r="AE109" s="7">
        <f ca="1">AE108*Inputs!$B$181</f>
        <v>0</v>
      </c>
      <c r="AF109" s="7">
        <f ca="1">AF108*Inputs!$B$181</f>
        <v>0</v>
      </c>
      <c r="AG109" s="7">
        <f ca="1">AG108*Inputs!$B$181</f>
        <v>0</v>
      </c>
      <c r="AH109" s="7">
        <f ca="1">AH108*Inputs!$B$181</f>
        <v>0</v>
      </c>
      <c r="AI109" s="7">
        <f ca="1">AI108*Inputs!$B$181</f>
        <v>0</v>
      </c>
      <c r="AJ109" s="7">
        <f ca="1">AJ108*Inputs!$B$181</f>
        <v>0</v>
      </c>
      <c r="AK109" s="7">
        <f ca="1">AK108*Inputs!$B$181</f>
        <v>0</v>
      </c>
      <c r="AL109" s="7">
        <f ca="1">AL108*Inputs!$B$181</f>
        <v>0</v>
      </c>
      <c r="AM109" s="7">
        <f ca="1">AM108*Inputs!$B$181</f>
        <v>0</v>
      </c>
    </row>
    <row r="110" spans="1:39">
      <c r="A110" s="3" t="s">
        <v>158</v>
      </c>
      <c r="C110" s="7">
        <f ca="1">C107+SUM($C109:C109)</f>
        <v>37716.75</v>
      </c>
      <c r="D110" s="7">
        <f ca="1">D107+SUM($C109:D109)</f>
        <v>69048.493749999994</v>
      </c>
      <c r="E110" s="7">
        <f ca="1">E107+SUM($C109:E109)</f>
        <v>80800.384218750027</v>
      </c>
      <c r="F110" s="7">
        <f ca="1">F107+SUM($C109:F109)</f>
        <v>127283.44827895577</v>
      </c>
      <c r="G110" s="7">
        <f ca="1">G107+SUM($C109:G109)</f>
        <v>178918.83267437888</v>
      </c>
      <c r="H110" s="7">
        <f ca="1">H107+SUM($C109:H109)</f>
        <v>245901.78181548161</v>
      </c>
      <c r="I110" s="7">
        <f ca="1">I107+SUM($C109:I109)</f>
        <v>323696.65132994356</v>
      </c>
      <c r="J110" s="7">
        <f ca="1">J107+SUM($C109:J109)</f>
        <v>388989.26300950802</v>
      </c>
      <c r="K110" s="7">
        <f ca="1">K107+SUM($C109:K109)</f>
        <v>539281.37409876089</v>
      </c>
      <c r="L110" s="7">
        <f ca="1">L107+SUM($C109:L109)</f>
        <v>601876.82255875634</v>
      </c>
      <c r="M110" s="7">
        <f ca="1">M107+SUM($C109:M109)</f>
        <v>721038.5473662219</v>
      </c>
      <c r="N110" s="7">
        <f ca="1">N107+SUM($C109:N109)</f>
        <v>846583.81996541878</v>
      </c>
      <c r="O110" s="7">
        <f ca="1">O107+SUM($C109:O109)</f>
        <v>978782.14070489258</v>
      </c>
      <c r="P110" s="7">
        <f ca="1">P107+SUM($C109:P109)</f>
        <v>1117913.239204355</v>
      </c>
      <c r="Q110" s="7">
        <f ca="1">Q107+SUM($C109:Q109)</f>
        <v>1264267.4396996587</v>
      </c>
      <c r="R110" s="7">
        <f ca="1">R107+SUM($C109:R109)</f>
        <v>1418146.0389312971</v>
      </c>
      <c r="S110" s="7">
        <f ca="1">S107+SUM($C109:S109)</f>
        <v>1473929.4664830596</v>
      </c>
      <c r="T110" s="7">
        <f ca="1">T107+SUM($C109:T109)</f>
        <v>1539631.0553787265</v>
      </c>
      <c r="U110" s="7">
        <f ca="1">U107+SUM($C109:U109)</f>
        <v>1608018.7707598673</v>
      </c>
      <c r="V110" s="7">
        <f ca="1">V107+SUM($C109:V109)</f>
        <v>1679196.2730464134</v>
      </c>
      <c r="W110" s="7">
        <f ca="1">W107+SUM($C109:W109)</f>
        <v>1753271.0393779005</v>
      </c>
      <c r="X110" s="7">
        <f ca="1">X107+SUM($C109:X109)</f>
        <v>1809947.5795442504</v>
      </c>
      <c r="Y110" s="7">
        <f ca="1">Y107+SUM($C109:Y109)</f>
        <v>1868727.9885819815</v>
      </c>
      <c r="Z110" s="7">
        <f ca="1">Z107+SUM($C109:Z109)</f>
        <v>1929693.7621849393</v>
      </c>
      <c r="AA110" s="7">
        <f ca="1">AA107+SUM($C109:AA109)</f>
        <v>1992929.5076662535</v>
      </c>
      <c r="AB110" s="7">
        <f ca="1">AB107+SUM($C109:AB109)</f>
        <v>2058523.0591570721</v>
      </c>
      <c r="AC110" s="7">
        <f ca="1">AC107+SUM($C109:AC109)</f>
        <v>2126565.5969370482</v>
      </c>
      <c r="AD110" s="7">
        <f ca="1">AD107+SUM($C109:AD109)</f>
        <v>2207012.5086333081</v>
      </c>
      <c r="AE110" s="7">
        <f ca="1">AE107+SUM($C109:AE109)</f>
        <v>2290594.3413533093</v>
      </c>
      <c r="AF110" s="7">
        <f ca="1">AF107+SUM($C109:AF109)</f>
        <v>2377431.5621965392</v>
      </c>
      <c r="AG110" s="7">
        <f ca="1">AG107+SUM($C109:AG109)</f>
        <v>2467649.1223028628</v>
      </c>
      <c r="AH110" s="7">
        <f ca="1">AH107+SUM($C109:AH109)</f>
        <v>2561376.6183629362</v>
      </c>
      <c r="AI110" s="7">
        <f ca="1">AI107+SUM($C109:AI109)</f>
        <v>2658748.4597796248</v>
      </c>
      <c r="AJ110" s="7">
        <f ca="1">AJ107+SUM($C109:AJ109)</f>
        <v>2759904.041673373</v>
      </c>
      <c r="AK110" s="7">
        <f ca="1">AK107+SUM($C109:AK109)</f>
        <v>2864987.92393093</v>
      </c>
      <c r="AL110" s="7">
        <f ca="1">AL107+SUM($C109:AL109)</f>
        <v>2974150.0165034966</v>
      </c>
      <c r="AM110" s="7">
        <f ca="1">AM107+SUM($C109:AM109)</f>
        <v>3087545.7711672578</v>
      </c>
    </row>
    <row r="111" spans="1:39">
      <c r="A111" s="3" t="s">
        <v>20</v>
      </c>
      <c r="C111" s="7">
        <f ca="1">IF(C110&lt;0,-C110,0)</f>
        <v>0</v>
      </c>
      <c r="D111" s="7">
        <f ca="1">IF(D110+SUM($C111:C111)&lt;0,-(D110+SUM($C111:C111)),0)</f>
        <v>0</v>
      </c>
      <c r="E111" s="7">
        <f ca="1">IF(E110+SUM($C111:D111)&lt;0,-(E110+SUM($C111:D111)),0)</f>
        <v>0</v>
      </c>
      <c r="F111" s="7">
        <f ca="1">IF(F110+SUM($C111:E111)&lt;0,-(F110+SUM($C111:E111)),0)</f>
        <v>0</v>
      </c>
      <c r="G111" s="7">
        <f ca="1">IF(G110+SUM($C111:F111)&lt;0,-(G110+SUM($C111:F111)),0)</f>
        <v>0</v>
      </c>
      <c r="H111" s="7">
        <f ca="1">IF(H110+SUM($C111:G111)&lt;0,-(H110+SUM($C111:G111)),0)</f>
        <v>0</v>
      </c>
      <c r="I111" s="7">
        <f ca="1">IF(I110+SUM($C111:H111)&lt;0,-(I110+SUM($C111:H111)),0)</f>
        <v>0</v>
      </c>
      <c r="J111" s="7">
        <f ca="1">IF(J110+SUM($C111:I111)&lt;0,-(J110+SUM($C111:I111)),0)</f>
        <v>0</v>
      </c>
      <c r="K111" s="7">
        <f ca="1">IF(K110+SUM($C111:J111)&lt;0,-(K110+SUM($C111:J111)),0)</f>
        <v>0</v>
      </c>
      <c r="L111" s="7">
        <f ca="1">IF(L110+SUM($C111:K111)&lt;0,-(L110+SUM($C111:K111)),0)</f>
        <v>0</v>
      </c>
      <c r="M111" s="7">
        <f ca="1">IF(M110+SUM($C111:L111)&lt;0,-(M110+SUM($C111:L111)),0)</f>
        <v>0</v>
      </c>
      <c r="N111" s="7">
        <f ca="1">IF(N110+SUM($C111:M111)&lt;0,-(N110+SUM($C111:M111)),0)</f>
        <v>0</v>
      </c>
      <c r="O111" s="7">
        <f ca="1">IF(O110+SUM($C111:N111)&lt;0,-(O110+SUM($C111:N111)),0)</f>
        <v>0</v>
      </c>
      <c r="P111" s="7">
        <f ca="1">IF(P110+SUM($C111:O111)&lt;0,-(P110+SUM($C111:O111)),0)</f>
        <v>0</v>
      </c>
      <c r="Q111" s="7">
        <f ca="1">IF(Q110+SUM($C111:P111)&lt;0,-(Q110+SUM($C111:P111)),0)</f>
        <v>0</v>
      </c>
      <c r="R111" s="7">
        <f ca="1">IF(R110+SUM($C111:Q111)&lt;0,-(R110+SUM($C111:Q111)),0)</f>
        <v>0</v>
      </c>
      <c r="S111" s="7">
        <f ca="1">IF(S110+SUM($C111:R111)&lt;0,-(S110+SUM($C111:R111)),0)</f>
        <v>0</v>
      </c>
      <c r="T111" s="7">
        <f ca="1">IF(T110+SUM($C111:S111)&lt;0,-(T110+SUM($C111:S111)),0)</f>
        <v>0</v>
      </c>
      <c r="U111" s="7">
        <f ca="1">IF(U110+SUM($C111:T111)&lt;0,-(U110+SUM($C111:T111)),0)</f>
        <v>0</v>
      </c>
      <c r="V111" s="7">
        <f ca="1">IF(V110+SUM($C111:U111)&lt;0,-(V110+SUM($C111:U111)),0)</f>
        <v>0</v>
      </c>
      <c r="W111" s="7">
        <f ca="1">IF(W110+SUM($C111:V111)&lt;0,-(W110+SUM($C111:V111)),0)</f>
        <v>0</v>
      </c>
      <c r="X111" s="7">
        <f ca="1">IF(X110+SUM($C111:W111)&lt;0,-(X110+SUM($C111:W111)),0)</f>
        <v>0</v>
      </c>
      <c r="Y111" s="7">
        <f ca="1">IF(Y110+SUM($C111:X111)&lt;0,-(Y110+SUM($C111:X111)),0)</f>
        <v>0</v>
      </c>
      <c r="Z111" s="7">
        <f ca="1">IF(Z110+SUM($C111:Y111)&lt;0,-(Z110+SUM($C111:Y111)),0)</f>
        <v>0</v>
      </c>
      <c r="AA111" s="7">
        <f ca="1">IF(AA110+SUM($C111:Z111)&lt;0,-(AA110+SUM($C111:Z111)),0)</f>
        <v>0</v>
      </c>
      <c r="AB111" s="7">
        <f ca="1">IF(AB110+SUM($C111:AA111)&lt;0,-(AB110+SUM($C111:AA111)),0)</f>
        <v>0</v>
      </c>
      <c r="AC111" s="7">
        <f ca="1">IF(AC110+SUM($C111:AB111)&lt;0,-(AC110+SUM($C111:AB111)),0)</f>
        <v>0</v>
      </c>
      <c r="AD111" s="7">
        <f ca="1">IF(AD110+SUM($C111:AC111)&lt;0,-(AD110+SUM($C111:AC111)),0)</f>
        <v>0</v>
      </c>
      <c r="AE111" s="7">
        <f ca="1">IF(AE110+SUM($C111:AD111)&lt;0,-(AE110+SUM($C111:AD111)),0)</f>
        <v>0</v>
      </c>
      <c r="AF111" s="7">
        <f ca="1">IF(AF110+SUM($C111:AE111)&lt;0,-(AF110+SUM($C111:AE111)),0)</f>
        <v>0</v>
      </c>
      <c r="AG111" s="7">
        <f ca="1">IF(AG110+SUM($C111:AF111)&lt;0,-(AG110+SUM($C111:AF111)),0)</f>
        <v>0</v>
      </c>
      <c r="AH111" s="7">
        <f ca="1">IF(AH110+SUM($C111:AG111)&lt;0,-(AH110+SUM($C111:AG111)),0)</f>
        <v>0</v>
      </c>
      <c r="AI111" s="7">
        <f ca="1">IF(AI110+SUM($C111:AH111)&lt;0,-(AI110+SUM($C111:AH111)),0)</f>
        <v>0</v>
      </c>
      <c r="AJ111" s="7">
        <f ca="1">IF(AJ110+SUM($C111:AI111)&lt;0,-(AJ110+SUM($C111:AI111)),0)</f>
        <v>0</v>
      </c>
      <c r="AK111" s="7">
        <f ca="1">IF(AK110+SUM($C111:AJ111)&lt;0,-(AK110+SUM($C111:AJ111)),0)</f>
        <v>0</v>
      </c>
      <c r="AL111" s="7">
        <f ca="1">IF(AL110+SUM($C111:AK111)&lt;0,-(AL110+SUM($C111:AK111)),0)</f>
        <v>0</v>
      </c>
      <c r="AM111" s="7">
        <f ca="1">IF(AM110+SUM($C111:AL111)&lt;0,-(AM110+SUM($C111:AL111)),0)</f>
        <v>0</v>
      </c>
    </row>
    <row r="112" spans="1:39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</row>
    <row r="113" spans="1:39">
      <c r="A113" s="24" t="str">
        <f>IF(Inputs!$B$197=6,IFERROR(_xlfn.XLOOKUP($B113,Inputs!$B$198:$B$202,Inputs!$A$198:$A$202,,0,1),""),IFERROR(_xlfn.XLOOKUP($B113,Inputs!$C$198:$C$202,Inputs!$A$198:$A$202,,0,1),""))</f>
        <v>Marsa</v>
      </c>
      <c r="B113" s="26">
        <v>2</v>
      </c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</row>
    <row r="114" spans="1:39">
      <c r="A114" s="3" t="s">
        <v>22</v>
      </c>
      <c r="C114" s="7">
        <f>IFERROR(VLOOKUP($A113,$A$60:$H$78,C$1+2,FALSE),0)</f>
        <v>123600</v>
      </c>
      <c r="D114" s="7">
        <f ca="1">C117</f>
        <v>123600</v>
      </c>
      <c r="E114" s="7">
        <f t="shared" ref="E114:AM114" ca="1" si="67">D117</f>
        <v>127308</v>
      </c>
      <c r="F114" s="7">
        <f t="shared" ca="1" si="67"/>
        <v>131127.24</v>
      </c>
      <c r="G114" s="7">
        <f t="shared" ca="1" si="67"/>
        <v>135061.05719999998</v>
      </c>
      <c r="H114" s="7">
        <f t="shared" ca="1" si="67"/>
        <v>139112.88891599997</v>
      </c>
      <c r="I114" s="7">
        <f t="shared" ca="1" si="67"/>
        <v>143286.27558347996</v>
      </c>
      <c r="J114" s="7">
        <f t="shared" ca="1" si="67"/>
        <v>147584.86385098437</v>
      </c>
      <c r="K114" s="7">
        <f t="shared" ca="1" si="67"/>
        <v>152012.40976651391</v>
      </c>
      <c r="L114" s="7">
        <f t="shared" ca="1" si="67"/>
        <v>156572.78205950934</v>
      </c>
      <c r="M114" s="7">
        <f t="shared" ca="1" si="67"/>
        <v>161269.96552129462</v>
      </c>
      <c r="N114" s="7">
        <f t="shared" ca="1" si="67"/>
        <v>166108.06448693346</v>
      </c>
      <c r="O114" s="7">
        <f t="shared" ca="1" si="67"/>
        <v>171091.30642154146</v>
      </c>
      <c r="P114" s="7">
        <f t="shared" ca="1" si="67"/>
        <v>176224.04561418769</v>
      </c>
      <c r="Q114" s="7">
        <f t="shared" ca="1" si="67"/>
        <v>181510.76698261334</v>
      </c>
      <c r="R114" s="7">
        <f t="shared" ca="1" si="67"/>
        <v>186956.08999209173</v>
      </c>
      <c r="S114" s="7">
        <f t="shared" ca="1" si="67"/>
        <v>192564.77269185448</v>
      </c>
      <c r="T114" s="7">
        <f t="shared" ca="1" si="67"/>
        <v>198341.7158726101</v>
      </c>
      <c r="U114" s="7">
        <f t="shared" ca="1" si="67"/>
        <v>204291.9673487884</v>
      </c>
      <c r="V114" s="7">
        <f t="shared" ca="1" si="67"/>
        <v>210420.72636925205</v>
      </c>
      <c r="W114" s="7">
        <f t="shared" ca="1" si="67"/>
        <v>216733.34816032962</v>
      </c>
      <c r="X114" s="7">
        <f t="shared" ca="1" si="67"/>
        <v>223235.3486051395</v>
      </c>
      <c r="Y114" s="7">
        <f t="shared" ca="1" si="67"/>
        <v>229932.40906329369</v>
      </c>
      <c r="Z114" s="7">
        <f t="shared" ca="1" si="67"/>
        <v>236830.38133519251</v>
      </c>
      <c r="AA114" s="7">
        <f t="shared" ca="1" si="67"/>
        <v>243935.29277524829</v>
      </c>
      <c r="AB114" s="7">
        <f t="shared" ca="1" si="67"/>
        <v>251253.35155850573</v>
      </c>
      <c r="AC114" s="7">
        <f t="shared" ca="1" si="67"/>
        <v>258790.95210526089</v>
      </c>
      <c r="AD114" s="7">
        <f t="shared" ca="1" si="67"/>
        <v>266554.6806684187</v>
      </c>
      <c r="AE114" s="7">
        <f t="shared" ca="1" si="67"/>
        <v>274551.32108847128</v>
      </c>
      <c r="AF114" s="7">
        <f t="shared" ca="1" si="67"/>
        <v>282787.86072112538</v>
      </c>
      <c r="AG114" s="7">
        <f t="shared" ca="1" si="67"/>
        <v>291271.49654275912</v>
      </c>
      <c r="AH114" s="7">
        <f t="shared" ca="1" si="67"/>
        <v>300009.64143904188</v>
      </c>
      <c r="AI114" s="7">
        <f t="shared" ca="1" si="67"/>
        <v>309009.93068221316</v>
      </c>
      <c r="AJ114" s="7">
        <f t="shared" ca="1" si="67"/>
        <v>318280.22860267956</v>
      </c>
      <c r="AK114" s="7">
        <f t="shared" ca="1" si="67"/>
        <v>327828.63546075998</v>
      </c>
      <c r="AL114" s="7">
        <f t="shared" ca="1" si="67"/>
        <v>337663.49452458275</v>
      </c>
      <c r="AM114" s="7">
        <f t="shared" ca="1" si="67"/>
        <v>347793.39936032024</v>
      </c>
    </row>
    <row r="115" spans="1:39">
      <c r="A115" s="3" t="s">
        <v>23</v>
      </c>
      <c r="C115" s="7">
        <f ca="1">-IF(SUM(C111:D111)&gt;0,C114,0)</f>
        <v>0</v>
      </c>
      <c r="D115" s="7">
        <f ca="1">-IF(E111&gt;0,D114,0)</f>
        <v>0</v>
      </c>
      <c r="E115" s="7">
        <f ca="1">-IF(F111&gt;0,E114,0)</f>
        <v>0</v>
      </c>
      <c r="F115" s="7">
        <f ca="1">-IF(G111&gt;0,F114,0)</f>
        <v>0</v>
      </c>
      <c r="G115" s="7">
        <f t="shared" ref="G115:AM115" ca="1" si="68">-IF(H111&gt;0,G114,0)</f>
        <v>0</v>
      </c>
      <c r="H115" s="7">
        <f t="shared" ca="1" si="68"/>
        <v>0</v>
      </c>
      <c r="I115" s="7">
        <f t="shared" ca="1" si="68"/>
        <v>0</v>
      </c>
      <c r="J115" s="7">
        <f t="shared" ca="1" si="68"/>
        <v>0</v>
      </c>
      <c r="K115" s="7">
        <f t="shared" ca="1" si="68"/>
        <v>0</v>
      </c>
      <c r="L115" s="7">
        <f t="shared" ca="1" si="68"/>
        <v>0</v>
      </c>
      <c r="M115" s="7">
        <f t="shared" ca="1" si="68"/>
        <v>0</v>
      </c>
      <c r="N115" s="7">
        <f t="shared" ca="1" si="68"/>
        <v>0</v>
      </c>
      <c r="O115" s="7">
        <f t="shared" ca="1" si="68"/>
        <v>0</v>
      </c>
      <c r="P115" s="7">
        <f t="shared" ca="1" si="68"/>
        <v>0</v>
      </c>
      <c r="Q115" s="7">
        <f t="shared" ca="1" si="68"/>
        <v>0</v>
      </c>
      <c r="R115" s="7">
        <f t="shared" ca="1" si="68"/>
        <v>0</v>
      </c>
      <c r="S115" s="7">
        <f t="shared" ca="1" si="68"/>
        <v>0</v>
      </c>
      <c r="T115" s="7">
        <f t="shared" ca="1" si="68"/>
        <v>0</v>
      </c>
      <c r="U115" s="7">
        <f t="shared" ca="1" si="68"/>
        <v>0</v>
      </c>
      <c r="V115" s="7">
        <f t="shared" ca="1" si="68"/>
        <v>0</v>
      </c>
      <c r="W115" s="7">
        <f t="shared" ca="1" si="68"/>
        <v>0</v>
      </c>
      <c r="X115" s="7">
        <f t="shared" ca="1" si="68"/>
        <v>0</v>
      </c>
      <c r="Y115" s="7">
        <f t="shared" ca="1" si="68"/>
        <v>0</v>
      </c>
      <c r="Z115" s="7">
        <f t="shared" ca="1" si="68"/>
        <v>0</v>
      </c>
      <c r="AA115" s="7">
        <f t="shared" ca="1" si="68"/>
        <v>0</v>
      </c>
      <c r="AB115" s="7">
        <f t="shared" ca="1" si="68"/>
        <v>0</v>
      </c>
      <c r="AC115" s="7">
        <f t="shared" ca="1" si="68"/>
        <v>0</v>
      </c>
      <c r="AD115" s="7">
        <f t="shared" ca="1" si="68"/>
        <v>0</v>
      </c>
      <c r="AE115" s="7">
        <f t="shared" ca="1" si="68"/>
        <v>0</v>
      </c>
      <c r="AF115" s="7">
        <f t="shared" ca="1" si="68"/>
        <v>0</v>
      </c>
      <c r="AG115" s="7">
        <f t="shared" ca="1" si="68"/>
        <v>0</v>
      </c>
      <c r="AH115" s="7">
        <f t="shared" ca="1" si="68"/>
        <v>0</v>
      </c>
      <c r="AI115" s="7">
        <f t="shared" ca="1" si="68"/>
        <v>0</v>
      </c>
      <c r="AJ115" s="7">
        <f t="shared" ca="1" si="68"/>
        <v>0</v>
      </c>
      <c r="AK115" s="7">
        <f t="shared" ca="1" si="68"/>
        <v>0</v>
      </c>
      <c r="AL115" s="7">
        <f t="shared" ca="1" si="68"/>
        <v>0</v>
      </c>
      <c r="AM115" s="7">
        <f t="shared" si="68"/>
        <v>0</v>
      </c>
    </row>
    <row r="116" spans="1:39">
      <c r="A116" s="3" t="s">
        <v>24</v>
      </c>
      <c r="C116" s="7">
        <v>0</v>
      </c>
      <c r="D116" s="7">
        <f t="shared" ref="D116:G116" ca="1" si="69">SUM(D114:D115)*princ</f>
        <v>3708</v>
      </c>
      <c r="E116" s="7">
        <f t="shared" ca="1" si="69"/>
        <v>3819.24</v>
      </c>
      <c r="F116" s="7">
        <f t="shared" ca="1" si="69"/>
        <v>3933.8171999999995</v>
      </c>
      <c r="G116" s="7">
        <f t="shared" ca="1" si="69"/>
        <v>4051.8317159999992</v>
      </c>
      <c r="H116" s="7">
        <f t="shared" ref="H116:I116" ca="1" si="70">SUM(H114:H115)*princ</f>
        <v>4173.3866674799992</v>
      </c>
      <c r="I116" s="7">
        <f t="shared" ca="1" si="70"/>
        <v>4298.5882675043986</v>
      </c>
      <c r="J116" s="7">
        <f t="shared" ref="J116:AM116" ca="1" si="71">SUM(J114:J115)*princ</f>
        <v>4427.5459155295312</v>
      </c>
      <c r="K116" s="7">
        <f t="shared" ca="1" si="71"/>
        <v>4560.3722929954174</v>
      </c>
      <c r="L116" s="7">
        <f t="shared" ca="1" si="71"/>
        <v>4697.1834617852801</v>
      </c>
      <c r="M116" s="7">
        <f t="shared" ca="1" si="71"/>
        <v>4838.0989656388383</v>
      </c>
      <c r="N116" s="7">
        <f t="shared" ca="1" si="71"/>
        <v>4983.2419346080042</v>
      </c>
      <c r="O116" s="7">
        <f t="shared" ca="1" si="71"/>
        <v>5132.7391926462433</v>
      </c>
      <c r="P116" s="7">
        <f t="shared" ca="1" si="71"/>
        <v>5286.7213684256303</v>
      </c>
      <c r="Q116" s="7">
        <f t="shared" ca="1" si="71"/>
        <v>5445.3230094783994</v>
      </c>
      <c r="R116" s="7">
        <f t="shared" ca="1" si="71"/>
        <v>5608.6826997627513</v>
      </c>
      <c r="S116" s="7">
        <f t="shared" ca="1" si="71"/>
        <v>5776.9431807556339</v>
      </c>
      <c r="T116" s="7">
        <f t="shared" ca="1" si="71"/>
        <v>5950.2514761783032</v>
      </c>
      <c r="U116" s="7">
        <f t="shared" ca="1" si="71"/>
        <v>6128.7590204636517</v>
      </c>
      <c r="V116" s="7">
        <f t="shared" ca="1" si="71"/>
        <v>6312.6217910775613</v>
      </c>
      <c r="W116" s="7">
        <f t="shared" ca="1" si="71"/>
        <v>6502.0004448098889</v>
      </c>
      <c r="X116" s="7">
        <f t="shared" ca="1" si="71"/>
        <v>6697.0604581541847</v>
      </c>
      <c r="Y116" s="7">
        <f t="shared" ca="1" si="71"/>
        <v>6897.9722718988105</v>
      </c>
      <c r="Z116" s="7">
        <f t="shared" ca="1" si="71"/>
        <v>7104.9114400557746</v>
      </c>
      <c r="AA116" s="7">
        <f t="shared" ca="1" si="71"/>
        <v>7318.0587832574483</v>
      </c>
      <c r="AB116" s="7">
        <f t="shared" ca="1" si="71"/>
        <v>7537.6005467551713</v>
      </c>
      <c r="AC116" s="7">
        <f t="shared" ca="1" si="71"/>
        <v>7763.7285631578261</v>
      </c>
      <c r="AD116" s="7">
        <f t="shared" ca="1" si="71"/>
        <v>7996.6404200525612</v>
      </c>
      <c r="AE116" s="7">
        <f t="shared" ca="1" si="71"/>
        <v>8236.5396326541377</v>
      </c>
      <c r="AF116" s="7">
        <f t="shared" ca="1" si="71"/>
        <v>8483.6358216337612</v>
      </c>
      <c r="AG116" s="7">
        <f t="shared" ca="1" si="71"/>
        <v>8738.1448962827726</v>
      </c>
      <c r="AH116" s="7">
        <f t="shared" ca="1" si="71"/>
        <v>9000.2892431712553</v>
      </c>
      <c r="AI116" s="7">
        <f t="shared" ca="1" si="71"/>
        <v>9270.2979204663952</v>
      </c>
      <c r="AJ116" s="7">
        <f t="shared" ca="1" si="71"/>
        <v>9548.4068580803869</v>
      </c>
      <c r="AK116" s="7">
        <f t="shared" ca="1" si="71"/>
        <v>9834.8590638227997</v>
      </c>
      <c r="AL116" s="7">
        <f t="shared" ca="1" si="71"/>
        <v>10129.904835737483</v>
      </c>
      <c r="AM116" s="7">
        <f t="shared" ca="1" si="71"/>
        <v>10433.801980809607</v>
      </c>
    </row>
    <row r="117" spans="1:39">
      <c r="A117" s="3" t="s">
        <v>25</v>
      </c>
      <c r="C117" s="7">
        <f ca="1">SUM(C114:C116)</f>
        <v>123600</v>
      </c>
      <c r="D117" s="7">
        <f t="shared" ref="D117:AM117" ca="1" si="72">SUM(D114:D116)</f>
        <v>127308</v>
      </c>
      <c r="E117" s="7">
        <f t="shared" ca="1" si="72"/>
        <v>131127.24</v>
      </c>
      <c r="F117" s="7">
        <f t="shared" ca="1" si="72"/>
        <v>135061.05719999998</v>
      </c>
      <c r="G117" s="7">
        <f t="shared" ca="1" si="72"/>
        <v>139112.88891599997</v>
      </c>
      <c r="H117" s="7">
        <f t="shared" ca="1" si="72"/>
        <v>143286.27558347996</v>
      </c>
      <c r="I117" s="7">
        <f t="shared" ca="1" si="72"/>
        <v>147584.86385098437</v>
      </c>
      <c r="J117" s="7">
        <f t="shared" ca="1" si="72"/>
        <v>152012.40976651391</v>
      </c>
      <c r="K117" s="7">
        <f t="shared" ca="1" si="72"/>
        <v>156572.78205950934</v>
      </c>
      <c r="L117" s="7">
        <f t="shared" ca="1" si="72"/>
        <v>161269.96552129462</v>
      </c>
      <c r="M117" s="7">
        <f t="shared" ca="1" si="72"/>
        <v>166108.06448693346</v>
      </c>
      <c r="N117" s="7">
        <f t="shared" ca="1" si="72"/>
        <v>171091.30642154146</v>
      </c>
      <c r="O117" s="7">
        <f t="shared" ca="1" si="72"/>
        <v>176224.04561418769</v>
      </c>
      <c r="P117" s="7">
        <f t="shared" ca="1" si="72"/>
        <v>181510.76698261334</v>
      </c>
      <c r="Q117" s="7">
        <f t="shared" ca="1" si="72"/>
        <v>186956.08999209173</v>
      </c>
      <c r="R117" s="7">
        <f t="shared" ca="1" si="72"/>
        <v>192564.77269185448</v>
      </c>
      <c r="S117" s="7">
        <f t="shared" ca="1" si="72"/>
        <v>198341.7158726101</v>
      </c>
      <c r="T117" s="7">
        <f t="shared" ca="1" si="72"/>
        <v>204291.9673487884</v>
      </c>
      <c r="U117" s="7">
        <f t="shared" ca="1" si="72"/>
        <v>210420.72636925205</v>
      </c>
      <c r="V117" s="7">
        <f t="shared" ca="1" si="72"/>
        <v>216733.34816032962</v>
      </c>
      <c r="W117" s="7">
        <f t="shared" ca="1" si="72"/>
        <v>223235.3486051395</v>
      </c>
      <c r="X117" s="7">
        <f t="shared" ca="1" si="72"/>
        <v>229932.40906329369</v>
      </c>
      <c r="Y117" s="7">
        <f t="shared" ca="1" si="72"/>
        <v>236830.38133519251</v>
      </c>
      <c r="Z117" s="7">
        <f t="shared" ca="1" si="72"/>
        <v>243935.29277524829</v>
      </c>
      <c r="AA117" s="7">
        <f t="shared" ca="1" si="72"/>
        <v>251253.35155850573</v>
      </c>
      <c r="AB117" s="7">
        <f t="shared" ca="1" si="72"/>
        <v>258790.95210526089</v>
      </c>
      <c r="AC117" s="7">
        <f t="shared" ca="1" si="72"/>
        <v>266554.6806684187</v>
      </c>
      <c r="AD117" s="7">
        <f t="shared" ca="1" si="72"/>
        <v>274551.32108847128</v>
      </c>
      <c r="AE117" s="7">
        <f t="shared" ca="1" si="72"/>
        <v>282787.86072112538</v>
      </c>
      <c r="AF117" s="7">
        <f t="shared" ca="1" si="72"/>
        <v>291271.49654275912</v>
      </c>
      <c r="AG117" s="7">
        <f t="shared" ca="1" si="72"/>
        <v>300009.64143904188</v>
      </c>
      <c r="AH117" s="7">
        <f t="shared" ca="1" si="72"/>
        <v>309009.93068221316</v>
      </c>
      <c r="AI117" s="7">
        <f t="shared" ca="1" si="72"/>
        <v>318280.22860267956</v>
      </c>
      <c r="AJ117" s="7">
        <f t="shared" ca="1" si="72"/>
        <v>327828.63546075998</v>
      </c>
      <c r="AK117" s="7">
        <f t="shared" ca="1" si="72"/>
        <v>337663.49452458275</v>
      </c>
      <c r="AL117" s="7">
        <f t="shared" ca="1" si="72"/>
        <v>347793.39936032024</v>
      </c>
      <c r="AM117" s="7">
        <f t="shared" ca="1" si="72"/>
        <v>358227.20134112984</v>
      </c>
    </row>
    <row r="118" spans="1:39">
      <c r="A118" s="3" t="s">
        <v>26</v>
      </c>
      <c r="C118" s="7">
        <f ca="1">C115*Inputs!$B$195</f>
        <v>0</v>
      </c>
      <c r="D118" s="7">
        <f ca="1">D115*Inputs!$B$195</f>
        <v>0</v>
      </c>
      <c r="E118" s="7">
        <f ca="1">E115*Inputs!$B$195</f>
        <v>0</v>
      </c>
      <c r="F118" s="7">
        <f ca="1">F115*Inputs!$B$195</f>
        <v>0</v>
      </c>
      <c r="G118" s="7">
        <f ca="1">G115*Inputs!$B$195</f>
        <v>0</v>
      </c>
      <c r="H118" s="7">
        <f ca="1">H115*Inputs!$B$195</f>
        <v>0</v>
      </c>
      <c r="I118" s="7">
        <f ca="1">I115*Inputs!$B$195</f>
        <v>0</v>
      </c>
      <c r="J118" s="7">
        <f ca="1">J115*Inputs!$B$195</f>
        <v>0</v>
      </c>
      <c r="K118" s="7">
        <f ca="1">K115*Inputs!$B$195</f>
        <v>0</v>
      </c>
      <c r="L118" s="7">
        <f ca="1">L115*Inputs!$B$195</f>
        <v>0</v>
      </c>
      <c r="M118" s="7">
        <f ca="1">M115*Inputs!$B$195</f>
        <v>0</v>
      </c>
      <c r="N118" s="7">
        <f ca="1">N115*Inputs!$B$195</f>
        <v>0</v>
      </c>
      <c r="O118" s="7">
        <f ca="1">O115*Inputs!$B$195</f>
        <v>0</v>
      </c>
      <c r="P118" s="7">
        <f ca="1">P115*Inputs!$B$195</f>
        <v>0</v>
      </c>
      <c r="Q118" s="7">
        <f ca="1">Q115*Inputs!$B$195</f>
        <v>0</v>
      </c>
      <c r="R118" s="7">
        <f ca="1">R115*Inputs!$B$195</f>
        <v>0</v>
      </c>
      <c r="S118" s="7">
        <f ca="1">S115*Inputs!$B$195</f>
        <v>0</v>
      </c>
      <c r="T118" s="7">
        <f ca="1">T115*Inputs!$B$195</f>
        <v>0</v>
      </c>
      <c r="U118" s="7">
        <f ca="1">U115*Inputs!$B$195</f>
        <v>0</v>
      </c>
      <c r="V118" s="7">
        <f ca="1">V115*Inputs!$B$195</f>
        <v>0</v>
      </c>
      <c r="W118" s="7">
        <f ca="1">W115*Inputs!$B$195</f>
        <v>0</v>
      </c>
      <c r="X118" s="7">
        <f ca="1">X115*Inputs!$B$195</f>
        <v>0</v>
      </c>
      <c r="Y118" s="7">
        <f ca="1">Y115*Inputs!$B$195</f>
        <v>0</v>
      </c>
      <c r="Z118" s="7">
        <f ca="1">Z115*Inputs!$B$195</f>
        <v>0</v>
      </c>
      <c r="AA118" s="7">
        <f ca="1">AA115*Inputs!$B$195</f>
        <v>0</v>
      </c>
      <c r="AB118" s="7">
        <f ca="1">AB115*Inputs!$B$195</f>
        <v>0</v>
      </c>
      <c r="AC118" s="7">
        <f ca="1">AC115*Inputs!$B$195</f>
        <v>0</v>
      </c>
      <c r="AD118" s="7">
        <f ca="1">AD115*Inputs!$B$195</f>
        <v>0</v>
      </c>
      <c r="AE118" s="7">
        <f ca="1">AE115*Inputs!$B$195</f>
        <v>0</v>
      </c>
      <c r="AF118" s="7">
        <f ca="1">AF115*Inputs!$B$195</f>
        <v>0</v>
      </c>
      <c r="AG118" s="7">
        <f ca="1">AG115*Inputs!$B$195</f>
        <v>0</v>
      </c>
      <c r="AH118" s="7">
        <f ca="1">AH115*Inputs!$B$195</f>
        <v>0</v>
      </c>
      <c r="AI118" s="7">
        <f ca="1">AI115*Inputs!$B$195</f>
        <v>0</v>
      </c>
      <c r="AJ118" s="7">
        <f ca="1">AJ115*Inputs!$B$195</f>
        <v>0</v>
      </c>
      <c r="AK118" s="7">
        <f ca="1">AK115*Inputs!$B$195</f>
        <v>0</v>
      </c>
      <c r="AL118" s="7">
        <f ca="1">AL115*Inputs!$B$195</f>
        <v>0</v>
      </c>
      <c r="AM118" s="7">
        <f>AM115*Inputs!$B$195</f>
        <v>0</v>
      </c>
    </row>
    <row r="119" spans="1:39">
      <c r="A119" s="3" t="s">
        <v>31</v>
      </c>
      <c r="C119" s="7">
        <f t="shared" ref="C119:AM119" si="73">IFERROR(-IF(C114=0,VLOOKUP($A113,$8:$12,C$1+2,FALSE),0),0)</f>
        <v>0</v>
      </c>
      <c r="D119" s="7">
        <f t="shared" ca="1" si="73"/>
        <v>0</v>
      </c>
      <c r="E119" s="7">
        <f t="shared" ca="1" si="73"/>
        <v>0</v>
      </c>
      <c r="F119" s="7">
        <f t="shared" ca="1" si="73"/>
        <v>0</v>
      </c>
      <c r="G119" s="7">
        <f t="shared" ca="1" si="73"/>
        <v>0</v>
      </c>
      <c r="H119" s="7">
        <f t="shared" ca="1" si="73"/>
        <v>0</v>
      </c>
      <c r="I119" s="7">
        <f t="shared" ca="1" si="73"/>
        <v>0</v>
      </c>
      <c r="J119" s="7">
        <f t="shared" ca="1" si="73"/>
        <v>0</v>
      </c>
      <c r="K119" s="7">
        <f t="shared" ca="1" si="73"/>
        <v>0</v>
      </c>
      <c r="L119" s="7">
        <f t="shared" ca="1" si="73"/>
        <v>0</v>
      </c>
      <c r="M119" s="7">
        <f t="shared" ca="1" si="73"/>
        <v>0</v>
      </c>
      <c r="N119" s="7">
        <f t="shared" ca="1" si="73"/>
        <v>0</v>
      </c>
      <c r="O119" s="7">
        <f t="shared" ca="1" si="73"/>
        <v>0</v>
      </c>
      <c r="P119" s="7">
        <f t="shared" ca="1" si="73"/>
        <v>0</v>
      </c>
      <c r="Q119" s="7">
        <f t="shared" ca="1" si="73"/>
        <v>0</v>
      </c>
      <c r="R119" s="7">
        <f t="shared" ca="1" si="73"/>
        <v>0</v>
      </c>
      <c r="S119" s="7">
        <f t="shared" ca="1" si="73"/>
        <v>0</v>
      </c>
      <c r="T119" s="7">
        <f t="shared" ca="1" si="73"/>
        <v>0</v>
      </c>
      <c r="U119" s="7">
        <f t="shared" ca="1" si="73"/>
        <v>0</v>
      </c>
      <c r="V119" s="7">
        <f t="shared" ca="1" si="73"/>
        <v>0</v>
      </c>
      <c r="W119" s="7">
        <f t="shared" ca="1" si="73"/>
        <v>0</v>
      </c>
      <c r="X119" s="7">
        <f t="shared" ca="1" si="73"/>
        <v>0</v>
      </c>
      <c r="Y119" s="7">
        <f t="shared" ca="1" si="73"/>
        <v>0</v>
      </c>
      <c r="Z119" s="7">
        <f t="shared" ca="1" si="73"/>
        <v>0</v>
      </c>
      <c r="AA119" s="7">
        <f t="shared" ca="1" si="73"/>
        <v>0</v>
      </c>
      <c r="AB119" s="7">
        <f t="shared" ca="1" si="73"/>
        <v>0</v>
      </c>
      <c r="AC119" s="7">
        <f t="shared" ca="1" si="73"/>
        <v>0</v>
      </c>
      <c r="AD119" s="7">
        <f t="shared" ca="1" si="73"/>
        <v>0</v>
      </c>
      <c r="AE119" s="7">
        <f t="shared" ca="1" si="73"/>
        <v>0</v>
      </c>
      <c r="AF119" s="7">
        <f t="shared" ca="1" si="73"/>
        <v>0</v>
      </c>
      <c r="AG119" s="7">
        <f t="shared" ca="1" si="73"/>
        <v>0</v>
      </c>
      <c r="AH119" s="7">
        <f t="shared" ca="1" si="73"/>
        <v>0</v>
      </c>
      <c r="AI119" s="7">
        <f t="shared" ca="1" si="73"/>
        <v>0</v>
      </c>
      <c r="AJ119" s="7">
        <f t="shared" ca="1" si="73"/>
        <v>0</v>
      </c>
      <c r="AK119" s="7">
        <f t="shared" ca="1" si="73"/>
        <v>0</v>
      </c>
      <c r="AL119" s="7">
        <f t="shared" ca="1" si="73"/>
        <v>0</v>
      </c>
      <c r="AM119" s="7">
        <f t="shared" ca="1" si="73"/>
        <v>0</v>
      </c>
    </row>
    <row r="120" spans="1:39">
      <c r="A120" s="3" t="s">
        <v>50</v>
      </c>
      <c r="C120" s="7">
        <f t="shared" ref="C120:AM120" si="74">IFERROR(IF(C114=0,VLOOKUP($A113,$40:$44,C$1+2,FALSE),0),0)</f>
        <v>0</v>
      </c>
      <c r="D120" s="7">
        <f t="shared" ca="1" si="74"/>
        <v>0</v>
      </c>
      <c r="E120" s="7">
        <f t="shared" ca="1" si="74"/>
        <v>0</v>
      </c>
      <c r="F120" s="7">
        <f t="shared" ca="1" si="74"/>
        <v>0</v>
      </c>
      <c r="G120" s="7">
        <f t="shared" ca="1" si="74"/>
        <v>0</v>
      </c>
      <c r="H120" s="7">
        <f t="shared" ca="1" si="74"/>
        <v>0</v>
      </c>
      <c r="I120" s="7">
        <f t="shared" ca="1" si="74"/>
        <v>0</v>
      </c>
      <c r="J120" s="7">
        <f t="shared" ca="1" si="74"/>
        <v>0</v>
      </c>
      <c r="K120" s="7">
        <f t="shared" ca="1" si="74"/>
        <v>0</v>
      </c>
      <c r="L120" s="7">
        <f t="shared" ca="1" si="74"/>
        <v>0</v>
      </c>
      <c r="M120" s="7">
        <f t="shared" ca="1" si="74"/>
        <v>0</v>
      </c>
      <c r="N120" s="7">
        <f t="shared" ca="1" si="74"/>
        <v>0</v>
      </c>
      <c r="O120" s="7">
        <f t="shared" ca="1" si="74"/>
        <v>0</v>
      </c>
      <c r="P120" s="7">
        <f t="shared" ca="1" si="74"/>
        <v>0</v>
      </c>
      <c r="Q120" s="7">
        <f t="shared" ca="1" si="74"/>
        <v>0</v>
      </c>
      <c r="R120" s="7">
        <f t="shared" ca="1" si="74"/>
        <v>0</v>
      </c>
      <c r="S120" s="7">
        <f t="shared" ca="1" si="74"/>
        <v>0</v>
      </c>
      <c r="T120" s="7">
        <f t="shared" ca="1" si="74"/>
        <v>0</v>
      </c>
      <c r="U120" s="7">
        <f t="shared" ca="1" si="74"/>
        <v>0</v>
      </c>
      <c r="V120" s="7">
        <f t="shared" ca="1" si="74"/>
        <v>0</v>
      </c>
      <c r="W120" s="7">
        <f t="shared" ca="1" si="74"/>
        <v>0</v>
      </c>
      <c r="X120" s="7">
        <f t="shared" ca="1" si="74"/>
        <v>0</v>
      </c>
      <c r="Y120" s="7">
        <f t="shared" ca="1" si="74"/>
        <v>0</v>
      </c>
      <c r="Z120" s="7">
        <f t="shared" ca="1" si="74"/>
        <v>0</v>
      </c>
      <c r="AA120" s="7">
        <f t="shared" ca="1" si="74"/>
        <v>0</v>
      </c>
      <c r="AB120" s="7">
        <f t="shared" ca="1" si="74"/>
        <v>0</v>
      </c>
      <c r="AC120" s="7">
        <f t="shared" ca="1" si="74"/>
        <v>0</v>
      </c>
      <c r="AD120" s="7">
        <f t="shared" ca="1" si="74"/>
        <v>0</v>
      </c>
      <c r="AE120" s="7">
        <f t="shared" ca="1" si="74"/>
        <v>0</v>
      </c>
      <c r="AF120" s="7">
        <f t="shared" ca="1" si="74"/>
        <v>0</v>
      </c>
      <c r="AG120" s="7">
        <f t="shared" ca="1" si="74"/>
        <v>0</v>
      </c>
      <c r="AH120" s="7">
        <f t="shared" ca="1" si="74"/>
        <v>0</v>
      </c>
      <c r="AI120" s="7">
        <f t="shared" ca="1" si="74"/>
        <v>0</v>
      </c>
      <c r="AJ120" s="7">
        <f t="shared" ca="1" si="74"/>
        <v>0</v>
      </c>
      <c r="AK120" s="7">
        <f t="shared" ca="1" si="74"/>
        <v>0</v>
      </c>
      <c r="AL120" s="7">
        <f t="shared" ca="1" si="74"/>
        <v>0</v>
      </c>
      <c r="AM120" s="7">
        <f t="shared" ca="1" si="74"/>
        <v>0</v>
      </c>
    </row>
    <row r="121" spans="1:39">
      <c r="A121" s="3" t="s">
        <v>36</v>
      </c>
      <c r="B121" s="14" t="str">
        <f>A113</f>
        <v>Marsa</v>
      </c>
      <c r="C121" s="7">
        <f t="shared" ref="C121:AM121" ca="1" si="75">IF(AND(C114&gt;0,C117=0),VLOOKUP($A113,$72:$76,C$1+2,FALSE),0)</f>
        <v>0</v>
      </c>
      <c r="D121" s="7">
        <f t="shared" ca="1" si="75"/>
        <v>0</v>
      </c>
      <c r="E121" s="7">
        <f t="shared" ca="1" si="75"/>
        <v>0</v>
      </c>
      <c r="F121" s="7">
        <f t="shared" ca="1" si="75"/>
        <v>0</v>
      </c>
      <c r="G121" s="7">
        <f t="shared" ca="1" si="75"/>
        <v>0</v>
      </c>
      <c r="H121" s="7">
        <f t="shared" ca="1" si="75"/>
        <v>0</v>
      </c>
      <c r="I121" s="7">
        <f t="shared" ca="1" si="75"/>
        <v>0</v>
      </c>
      <c r="J121" s="7">
        <f t="shared" ca="1" si="75"/>
        <v>0</v>
      </c>
      <c r="K121" s="7">
        <f t="shared" ca="1" si="75"/>
        <v>0</v>
      </c>
      <c r="L121" s="7">
        <f t="shared" ca="1" si="75"/>
        <v>0</v>
      </c>
      <c r="M121" s="7">
        <f t="shared" ca="1" si="75"/>
        <v>0</v>
      </c>
      <c r="N121" s="7">
        <f t="shared" ca="1" si="75"/>
        <v>0</v>
      </c>
      <c r="O121" s="7">
        <f t="shared" ca="1" si="75"/>
        <v>0</v>
      </c>
      <c r="P121" s="7">
        <f t="shared" ca="1" si="75"/>
        <v>0</v>
      </c>
      <c r="Q121" s="7">
        <f t="shared" ca="1" si="75"/>
        <v>0</v>
      </c>
      <c r="R121" s="7">
        <f t="shared" ca="1" si="75"/>
        <v>0</v>
      </c>
      <c r="S121" s="7">
        <f t="shared" ca="1" si="75"/>
        <v>0</v>
      </c>
      <c r="T121" s="7">
        <f t="shared" ca="1" si="75"/>
        <v>0</v>
      </c>
      <c r="U121" s="7">
        <f t="shared" ca="1" si="75"/>
        <v>0</v>
      </c>
      <c r="V121" s="7">
        <f t="shared" ca="1" si="75"/>
        <v>0</v>
      </c>
      <c r="W121" s="7">
        <f t="shared" ca="1" si="75"/>
        <v>0</v>
      </c>
      <c r="X121" s="7">
        <f t="shared" ca="1" si="75"/>
        <v>0</v>
      </c>
      <c r="Y121" s="7">
        <f t="shared" ca="1" si="75"/>
        <v>0</v>
      </c>
      <c r="Z121" s="7">
        <f t="shared" ca="1" si="75"/>
        <v>0</v>
      </c>
      <c r="AA121" s="7">
        <f t="shared" ca="1" si="75"/>
        <v>0</v>
      </c>
      <c r="AB121" s="7">
        <f t="shared" ca="1" si="75"/>
        <v>0</v>
      </c>
      <c r="AC121" s="7">
        <f t="shared" ca="1" si="75"/>
        <v>0</v>
      </c>
      <c r="AD121" s="7">
        <f t="shared" ca="1" si="75"/>
        <v>0</v>
      </c>
      <c r="AE121" s="7">
        <f t="shared" ca="1" si="75"/>
        <v>0</v>
      </c>
      <c r="AF121" s="7">
        <f t="shared" ca="1" si="75"/>
        <v>0</v>
      </c>
      <c r="AG121" s="7">
        <f t="shared" ca="1" si="75"/>
        <v>0</v>
      </c>
      <c r="AH121" s="7">
        <f t="shared" ca="1" si="75"/>
        <v>0</v>
      </c>
      <c r="AI121" s="7">
        <f t="shared" ca="1" si="75"/>
        <v>0</v>
      </c>
      <c r="AJ121" s="7">
        <f t="shared" ca="1" si="75"/>
        <v>0</v>
      </c>
      <c r="AK121" s="7">
        <f t="shared" ca="1" si="75"/>
        <v>0</v>
      </c>
      <c r="AL121" s="7">
        <f t="shared" ca="1" si="75"/>
        <v>0</v>
      </c>
      <c r="AM121" s="7">
        <f t="shared" ca="1" si="75"/>
        <v>0</v>
      </c>
    </row>
    <row r="122" spans="1:39">
      <c r="A122" s="3" t="s">
        <v>37</v>
      </c>
      <c r="C122" s="7">
        <f ca="1">-C115+SUM(C118:C121)</f>
        <v>0</v>
      </c>
      <c r="D122" s="7">
        <f t="shared" ref="D122" ca="1" si="76">-D115+SUM(D118:D121)</f>
        <v>0</v>
      </c>
      <c r="E122" s="7">
        <f t="shared" ref="E122:AM122" ca="1" si="77">-E115+SUM(E118:E121)</f>
        <v>0</v>
      </c>
      <c r="F122" s="7">
        <f t="shared" ca="1" si="77"/>
        <v>0</v>
      </c>
      <c r="G122" s="7">
        <f t="shared" ca="1" si="77"/>
        <v>0</v>
      </c>
      <c r="H122" s="7">
        <f t="shared" ca="1" si="77"/>
        <v>0</v>
      </c>
      <c r="I122" s="7">
        <f t="shared" ca="1" si="77"/>
        <v>0</v>
      </c>
      <c r="J122" s="7">
        <f t="shared" ca="1" si="77"/>
        <v>0</v>
      </c>
      <c r="K122" s="7">
        <f t="shared" ca="1" si="77"/>
        <v>0</v>
      </c>
      <c r="L122" s="7">
        <f t="shared" ca="1" si="77"/>
        <v>0</v>
      </c>
      <c r="M122" s="7">
        <f t="shared" ca="1" si="77"/>
        <v>0</v>
      </c>
      <c r="N122" s="7">
        <f t="shared" ca="1" si="77"/>
        <v>0</v>
      </c>
      <c r="O122" s="7">
        <f t="shared" ca="1" si="77"/>
        <v>0</v>
      </c>
      <c r="P122" s="7">
        <f t="shared" ca="1" si="77"/>
        <v>0</v>
      </c>
      <c r="Q122" s="7">
        <f t="shared" ca="1" si="77"/>
        <v>0</v>
      </c>
      <c r="R122" s="7">
        <f t="shared" ca="1" si="77"/>
        <v>0</v>
      </c>
      <c r="S122" s="7">
        <f t="shared" ca="1" si="77"/>
        <v>0</v>
      </c>
      <c r="T122" s="7">
        <f t="shared" ca="1" si="77"/>
        <v>0</v>
      </c>
      <c r="U122" s="7">
        <f t="shared" ca="1" si="77"/>
        <v>0</v>
      </c>
      <c r="V122" s="7">
        <f t="shared" ca="1" si="77"/>
        <v>0</v>
      </c>
      <c r="W122" s="7">
        <f t="shared" ca="1" si="77"/>
        <v>0</v>
      </c>
      <c r="X122" s="7">
        <f t="shared" ca="1" si="77"/>
        <v>0</v>
      </c>
      <c r="Y122" s="7">
        <f t="shared" ca="1" si="77"/>
        <v>0</v>
      </c>
      <c r="Z122" s="7">
        <f t="shared" ca="1" si="77"/>
        <v>0</v>
      </c>
      <c r="AA122" s="7">
        <f t="shared" ca="1" si="77"/>
        <v>0</v>
      </c>
      <c r="AB122" s="7">
        <f t="shared" ca="1" si="77"/>
        <v>0</v>
      </c>
      <c r="AC122" s="7">
        <f t="shared" ca="1" si="77"/>
        <v>0</v>
      </c>
      <c r="AD122" s="7">
        <f t="shared" ca="1" si="77"/>
        <v>0</v>
      </c>
      <c r="AE122" s="7">
        <f t="shared" ca="1" si="77"/>
        <v>0</v>
      </c>
      <c r="AF122" s="7">
        <f t="shared" ca="1" si="77"/>
        <v>0</v>
      </c>
      <c r="AG122" s="7">
        <f t="shared" ca="1" si="77"/>
        <v>0</v>
      </c>
      <c r="AH122" s="7">
        <f t="shared" ca="1" si="77"/>
        <v>0</v>
      </c>
      <c r="AI122" s="7">
        <f t="shared" ca="1" si="77"/>
        <v>0</v>
      </c>
      <c r="AJ122" s="7">
        <f t="shared" ca="1" si="77"/>
        <v>0</v>
      </c>
      <c r="AK122" s="7">
        <f t="shared" ca="1" si="77"/>
        <v>0</v>
      </c>
      <c r="AL122" s="7">
        <f t="shared" ca="1" si="77"/>
        <v>0</v>
      </c>
      <c r="AM122" s="7">
        <f t="shared" ca="1" si="77"/>
        <v>0</v>
      </c>
    </row>
    <row r="123" spans="1:39">
      <c r="A123" s="3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</row>
    <row r="124" spans="1:39">
      <c r="A124" s="3" t="s">
        <v>77</v>
      </c>
      <c r="C124" s="7">
        <f ca="1">C110+SUM($C122:C122)</f>
        <v>37716.75</v>
      </c>
      <c r="D124" s="7">
        <f ca="1">D110+SUM($C122:D122)</f>
        <v>69048.493749999994</v>
      </c>
      <c r="E124" s="7">
        <f ca="1">E110+SUM($C122:E122)</f>
        <v>80800.384218750027</v>
      </c>
      <c r="F124" s="7">
        <f ca="1">F110+SUM($C122:F122)</f>
        <v>127283.44827895577</v>
      </c>
      <c r="G124" s="7">
        <f ca="1">G110+SUM($C122:G122)</f>
        <v>178918.83267437888</v>
      </c>
      <c r="H124" s="7">
        <f ca="1">H110+SUM($C122:H122)</f>
        <v>245901.78181548161</v>
      </c>
      <c r="I124" s="7">
        <f ca="1">I110+SUM($C122:I122)</f>
        <v>323696.65132994356</v>
      </c>
      <c r="J124" s="7">
        <f ca="1">J110+SUM($C122:J122)</f>
        <v>388989.26300950802</v>
      </c>
      <c r="K124" s="7">
        <f ca="1">K110+SUM($C122:K122)</f>
        <v>539281.37409876089</v>
      </c>
      <c r="L124" s="7">
        <f ca="1">L110+SUM($C122:L122)</f>
        <v>601876.82255875634</v>
      </c>
      <c r="M124" s="7">
        <f ca="1">M110+SUM($C122:M122)</f>
        <v>721038.5473662219</v>
      </c>
      <c r="N124" s="7">
        <f ca="1">N110+SUM($C122:N122)</f>
        <v>846583.81996541878</v>
      </c>
      <c r="O124" s="7">
        <f ca="1">O110+SUM($C122:O122)</f>
        <v>978782.14070489258</v>
      </c>
      <c r="P124" s="7">
        <f ca="1">P110+SUM($C122:P122)</f>
        <v>1117913.239204355</v>
      </c>
      <c r="Q124" s="7">
        <f ca="1">Q110+SUM($C122:Q122)</f>
        <v>1264267.4396996587</v>
      </c>
      <c r="R124" s="7">
        <f ca="1">R110+SUM($C122:R122)</f>
        <v>1418146.0389312971</v>
      </c>
      <c r="S124" s="7">
        <f ca="1">S110+SUM($C122:S122)</f>
        <v>1473929.4664830596</v>
      </c>
      <c r="T124" s="7">
        <f ca="1">T110+SUM($C122:T122)</f>
        <v>1539631.0553787265</v>
      </c>
      <c r="U124" s="7">
        <f ca="1">U110+SUM($C122:U122)</f>
        <v>1608018.7707598673</v>
      </c>
      <c r="V124" s="7">
        <f ca="1">V110+SUM($C122:V122)</f>
        <v>1679196.2730464134</v>
      </c>
      <c r="W124" s="7">
        <f ca="1">W110+SUM($C122:W122)</f>
        <v>1753271.0393779005</v>
      </c>
      <c r="X124" s="7">
        <f ca="1">X110+SUM($C122:X122)</f>
        <v>1809947.5795442504</v>
      </c>
      <c r="Y124" s="7">
        <f ca="1">Y110+SUM($C122:Y122)</f>
        <v>1868727.9885819815</v>
      </c>
      <c r="Z124" s="7">
        <f ca="1">Z110+SUM($C122:Z122)</f>
        <v>1929693.7621849393</v>
      </c>
      <c r="AA124" s="7">
        <f ca="1">AA110+SUM($C122:AA122)</f>
        <v>1992929.5076662535</v>
      </c>
      <c r="AB124" s="7">
        <f ca="1">AB110+SUM($C122:AB122)</f>
        <v>2058523.0591570721</v>
      </c>
      <c r="AC124" s="7">
        <f ca="1">AC110+SUM($C122:AC122)</f>
        <v>2126565.5969370482</v>
      </c>
      <c r="AD124" s="7">
        <f ca="1">AD110+SUM($C122:AD122)</f>
        <v>2207012.5086333081</v>
      </c>
      <c r="AE124" s="7">
        <f ca="1">AE110+SUM($C122:AE122)</f>
        <v>2290594.3413533093</v>
      </c>
      <c r="AF124" s="7">
        <f ca="1">AF110+SUM($C122:AF122)</f>
        <v>2377431.5621965392</v>
      </c>
      <c r="AG124" s="7">
        <f ca="1">AG110+SUM($C122:AG122)</f>
        <v>2467649.1223028628</v>
      </c>
      <c r="AH124" s="7">
        <f ca="1">AH110+SUM($C122:AH122)</f>
        <v>2561376.6183629362</v>
      </c>
      <c r="AI124" s="7">
        <f ca="1">AI110+SUM($C122:AI122)</f>
        <v>2658748.4597796248</v>
      </c>
      <c r="AJ124" s="7">
        <f ca="1">AJ110+SUM($C122:AJ122)</f>
        <v>2759904.041673373</v>
      </c>
      <c r="AK124" s="7">
        <f ca="1">AK110+SUM($C122:AK122)</f>
        <v>2864987.92393093</v>
      </c>
      <c r="AL124" s="7">
        <f ca="1">AL110+SUM($C122:AL122)</f>
        <v>2974150.0165034966</v>
      </c>
      <c r="AM124" s="7">
        <f ca="1">AM110+SUM($C122:AM122)</f>
        <v>3087545.7711672578</v>
      </c>
    </row>
    <row r="125" spans="1:39">
      <c r="A125" s="3" t="s">
        <v>74</v>
      </c>
      <c r="C125" s="7">
        <f t="shared" ref="C125:AM125" ca="1" si="78">MAX(C124+buffer,0)-MAX(C110+buffer,0)</f>
        <v>0</v>
      </c>
      <c r="D125" s="7">
        <f t="shared" ca="1" si="78"/>
        <v>0</v>
      </c>
      <c r="E125" s="7">
        <f t="shared" ca="1" si="78"/>
        <v>0</v>
      </c>
      <c r="F125" s="7">
        <f t="shared" ca="1" si="78"/>
        <v>0</v>
      </c>
      <c r="G125" s="7">
        <f t="shared" ca="1" si="78"/>
        <v>0</v>
      </c>
      <c r="H125" s="7">
        <f t="shared" ca="1" si="78"/>
        <v>0</v>
      </c>
      <c r="I125" s="7">
        <f t="shared" ca="1" si="78"/>
        <v>0</v>
      </c>
      <c r="J125" s="7">
        <f t="shared" ca="1" si="78"/>
        <v>0</v>
      </c>
      <c r="K125" s="7">
        <f t="shared" ca="1" si="78"/>
        <v>0</v>
      </c>
      <c r="L125" s="7">
        <f t="shared" ca="1" si="78"/>
        <v>0</v>
      </c>
      <c r="M125" s="7">
        <f t="shared" ca="1" si="78"/>
        <v>0</v>
      </c>
      <c r="N125" s="7">
        <f t="shared" ca="1" si="78"/>
        <v>0</v>
      </c>
      <c r="O125" s="7">
        <f t="shared" ca="1" si="78"/>
        <v>0</v>
      </c>
      <c r="P125" s="7">
        <f t="shared" ca="1" si="78"/>
        <v>0</v>
      </c>
      <c r="Q125" s="7">
        <f t="shared" ca="1" si="78"/>
        <v>0</v>
      </c>
      <c r="R125" s="7">
        <f t="shared" ca="1" si="78"/>
        <v>0</v>
      </c>
      <c r="S125" s="7">
        <f t="shared" ca="1" si="78"/>
        <v>0</v>
      </c>
      <c r="T125" s="7">
        <f t="shared" ca="1" si="78"/>
        <v>0</v>
      </c>
      <c r="U125" s="7">
        <f t="shared" ca="1" si="78"/>
        <v>0</v>
      </c>
      <c r="V125" s="7">
        <f t="shared" ca="1" si="78"/>
        <v>0</v>
      </c>
      <c r="W125" s="7">
        <f t="shared" ca="1" si="78"/>
        <v>0</v>
      </c>
      <c r="X125" s="7">
        <f t="shared" ca="1" si="78"/>
        <v>0</v>
      </c>
      <c r="Y125" s="7">
        <f t="shared" ca="1" si="78"/>
        <v>0</v>
      </c>
      <c r="Z125" s="7">
        <f t="shared" ca="1" si="78"/>
        <v>0</v>
      </c>
      <c r="AA125" s="7">
        <f t="shared" ca="1" si="78"/>
        <v>0</v>
      </c>
      <c r="AB125" s="7">
        <f t="shared" ca="1" si="78"/>
        <v>0</v>
      </c>
      <c r="AC125" s="7">
        <f t="shared" ca="1" si="78"/>
        <v>0</v>
      </c>
      <c r="AD125" s="7">
        <f t="shared" ca="1" si="78"/>
        <v>0</v>
      </c>
      <c r="AE125" s="7">
        <f t="shared" ca="1" si="78"/>
        <v>0</v>
      </c>
      <c r="AF125" s="7">
        <f t="shared" ca="1" si="78"/>
        <v>0</v>
      </c>
      <c r="AG125" s="7">
        <f t="shared" ca="1" si="78"/>
        <v>0</v>
      </c>
      <c r="AH125" s="7">
        <f t="shared" ca="1" si="78"/>
        <v>0</v>
      </c>
      <c r="AI125" s="7">
        <f t="shared" ca="1" si="78"/>
        <v>0</v>
      </c>
      <c r="AJ125" s="7">
        <f t="shared" ca="1" si="78"/>
        <v>0</v>
      </c>
      <c r="AK125" s="7">
        <f t="shared" ca="1" si="78"/>
        <v>0</v>
      </c>
      <c r="AL125" s="7">
        <f t="shared" ca="1" si="78"/>
        <v>0</v>
      </c>
      <c r="AM125" s="7">
        <f t="shared" ca="1" si="78"/>
        <v>0</v>
      </c>
    </row>
    <row r="126" spans="1:39">
      <c r="A126" s="3" t="s">
        <v>75</v>
      </c>
      <c r="C126" s="7">
        <f ca="1">C125*Inputs!$B$181</f>
        <v>0</v>
      </c>
      <c r="D126" s="7">
        <f ca="1">D125*Inputs!$B$181</f>
        <v>0</v>
      </c>
      <c r="E126" s="7">
        <f ca="1">E125*Inputs!$B$181</f>
        <v>0</v>
      </c>
      <c r="F126" s="7">
        <f ca="1">F125*Inputs!$B$181</f>
        <v>0</v>
      </c>
      <c r="G126" s="7">
        <f ca="1">G125*Inputs!$B$181</f>
        <v>0</v>
      </c>
      <c r="H126" s="7">
        <f ca="1">H125*Inputs!$B$181</f>
        <v>0</v>
      </c>
      <c r="I126" s="7">
        <f ca="1">I125*Inputs!$B$181</f>
        <v>0</v>
      </c>
      <c r="J126" s="7">
        <f ca="1">J125*Inputs!$B$181</f>
        <v>0</v>
      </c>
      <c r="K126" s="7">
        <f ca="1">K125*Inputs!$B$181</f>
        <v>0</v>
      </c>
      <c r="L126" s="7">
        <f ca="1">L125*Inputs!$B$181</f>
        <v>0</v>
      </c>
      <c r="M126" s="7">
        <f ca="1">M125*Inputs!$B$181</f>
        <v>0</v>
      </c>
      <c r="N126" s="7">
        <f ca="1">N125*Inputs!$B$181</f>
        <v>0</v>
      </c>
      <c r="O126" s="7">
        <f ca="1">O125*Inputs!$B$181</f>
        <v>0</v>
      </c>
      <c r="P126" s="7">
        <f ca="1">P125*Inputs!$B$181</f>
        <v>0</v>
      </c>
      <c r="Q126" s="7">
        <f ca="1">Q125*Inputs!$B$181</f>
        <v>0</v>
      </c>
      <c r="R126" s="7">
        <f ca="1">R125*Inputs!$B$181</f>
        <v>0</v>
      </c>
      <c r="S126" s="7">
        <f ca="1">S125*Inputs!$B$181</f>
        <v>0</v>
      </c>
      <c r="T126" s="7">
        <f ca="1">T125*Inputs!$B$181</f>
        <v>0</v>
      </c>
      <c r="U126" s="7">
        <f ca="1">U125*Inputs!$B$181</f>
        <v>0</v>
      </c>
      <c r="V126" s="7">
        <f ca="1">V125*Inputs!$B$181</f>
        <v>0</v>
      </c>
      <c r="W126" s="7">
        <f ca="1">W125*Inputs!$B$181</f>
        <v>0</v>
      </c>
      <c r="X126" s="7">
        <f ca="1">X125*Inputs!$B$181</f>
        <v>0</v>
      </c>
      <c r="Y126" s="7">
        <f ca="1">Y125*Inputs!$B$181</f>
        <v>0</v>
      </c>
      <c r="Z126" s="7">
        <f ca="1">Z125*Inputs!$B$181</f>
        <v>0</v>
      </c>
      <c r="AA126" s="7">
        <f ca="1">AA125*Inputs!$B$181</f>
        <v>0</v>
      </c>
      <c r="AB126" s="7">
        <f ca="1">AB125*Inputs!$B$181</f>
        <v>0</v>
      </c>
      <c r="AC126" s="7">
        <f ca="1">AC125*Inputs!$B$181</f>
        <v>0</v>
      </c>
      <c r="AD126" s="7">
        <f ca="1">AD125*Inputs!$B$181</f>
        <v>0</v>
      </c>
      <c r="AE126" s="7">
        <f ca="1">AE125*Inputs!$B$181</f>
        <v>0</v>
      </c>
      <c r="AF126" s="7">
        <f ca="1">AF125*Inputs!$B$181</f>
        <v>0</v>
      </c>
      <c r="AG126" s="7">
        <f ca="1">AG125*Inputs!$B$181</f>
        <v>0</v>
      </c>
      <c r="AH126" s="7">
        <f ca="1">AH125*Inputs!$B$181</f>
        <v>0</v>
      </c>
      <c r="AI126" s="7">
        <f ca="1">AI125*Inputs!$B$181</f>
        <v>0</v>
      </c>
      <c r="AJ126" s="7">
        <f ca="1">AJ125*Inputs!$B$181</f>
        <v>0</v>
      </c>
      <c r="AK126" s="7">
        <f ca="1">AK125*Inputs!$B$181</f>
        <v>0</v>
      </c>
      <c r="AL126" s="7">
        <f ca="1">AL125*Inputs!$B$181</f>
        <v>0</v>
      </c>
      <c r="AM126" s="7">
        <f ca="1">AM125*Inputs!$B$181</f>
        <v>0</v>
      </c>
    </row>
    <row r="127" spans="1:39">
      <c r="A127" s="3" t="s">
        <v>158</v>
      </c>
      <c r="C127" s="7">
        <f ca="1">C124+SUM($C126:C126)</f>
        <v>37716.75</v>
      </c>
      <c r="D127" s="7">
        <f ca="1">D124+SUM($C126:D126)</f>
        <v>69048.493749999994</v>
      </c>
      <c r="E127" s="7">
        <f ca="1">E124+SUM($C126:E126)</f>
        <v>80800.384218750027</v>
      </c>
      <c r="F127" s="7">
        <f ca="1">F124+SUM($C126:F126)</f>
        <v>127283.44827895577</v>
      </c>
      <c r="G127" s="7">
        <f ca="1">G124+SUM($C126:G126)</f>
        <v>178918.83267437888</v>
      </c>
      <c r="H127" s="7">
        <f ca="1">H124+SUM($C126:H126)</f>
        <v>245901.78181548161</v>
      </c>
      <c r="I127" s="7">
        <f ca="1">I124+SUM($C126:I126)</f>
        <v>323696.65132994356</v>
      </c>
      <c r="J127" s="7">
        <f ca="1">J124+SUM($C126:J126)</f>
        <v>388989.26300950802</v>
      </c>
      <c r="K127" s="7">
        <f ca="1">K124+SUM($C126:K126)</f>
        <v>539281.37409876089</v>
      </c>
      <c r="L127" s="7">
        <f ca="1">L124+SUM($C126:L126)</f>
        <v>601876.82255875634</v>
      </c>
      <c r="M127" s="7">
        <f ca="1">M124+SUM($C126:M126)</f>
        <v>721038.5473662219</v>
      </c>
      <c r="N127" s="7">
        <f ca="1">N124+SUM($C126:N126)</f>
        <v>846583.81996541878</v>
      </c>
      <c r="O127" s="7">
        <f ca="1">O124+SUM($C126:O126)</f>
        <v>978782.14070489258</v>
      </c>
      <c r="P127" s="7">
        <f ca="1">P124+SUM($C126:P126)</f>
        <v>1117913.239204355</v>
      </c>
      <c r="Q127" s="7">
        <f ca="1">Q124+SUM($C126:Q126)</f>
        <v>1264267.4396996587</v>
      </c>
      <c r="R127" s="7">
        <f ca="1">R124+SUM($C126:R126)</f>
        <v>1418146.0389312971</v>
      </c>
      <c r="S127" s="7">
        <f ca="1">S124+SUM($C126:S126)</f>
        <v>1473929.4664830596</v>
      </c>
      <c r="T127" s="7">
        <f ca="1">T124+SUM($C126:T126)</f>
        <v>1539631.0553787265</v>
      </c>
      <c r="U127" s="7">
        <f ca="1">U124+SUM($C126:U126)</f>
        <v>1608018.7707598673</v>
      </c>
      <c r="V127" s="7">
        <f ca="1">V124+SUM($C126:V126)</f>
        <v>1679196.2730464134</v>
      </c>
      <c r="W127" s="7">
        <f ca="1">W124+SUM($C126:W126)</f>
        <v>1753271.0393779005</v>
      </c>
      <c r="X127" s="7">
        <f ca="1">X124+SUM($C126:X126)</f>
        <v>1809947.5795442504</v>
      </c>
      <c r="Y127" s="7">
        <f ca="1">Y124+SUM($C126:Y126)</f>
        <v>1868727.9885819815</v>
      </c>
      <c r="Z127" s="7">
        <f ca="1">Z124+SUM($C126:Z126)</f>
        <v>1929693.7621849393</v>
      </c>
      <c r="AA127" s="7">
        <f ca="1">AA124+SUM($C126:AA126)</f>
        <v>1992929.5076662535</v>
      </c>
      <c r="AB127" s="7">
        <f ca="1">AB124+SUM($C126:AB126)</f>
        <v>2058523.0591570721</v>
      </c>
      <c r="AC127" s="7">
        <f ca="1">AC124+SUM($C126:AC126)</f>
        <v>2126565.5969370482</v>
      </c>
      <c r="AD127" s="7">
        <f ca="1">AD124+SUM($C126:AD126)</f>
        <v>2207012.5086333081</v>
      </c>
      <c r="AE127" s="7">
        <f ca="1">AE124+SUM($C126:AE126)</f>
        <v>2290594.3413533093</v>
      </c>
      <c r="AF127" s="7">
        <f ca="1">AF124+SUM($C126:AF126)</f>
        <v>2377431.5621965392</v>
      </c>
      <c r="AG127" s="7">
        <f ca="1">AG124+SUM($C126:AG126)</f>
        <v>2467649.1223028628</v>
      </c>
      <c r="AH127" s="7">
        <f ca="1">AH124+SUM($C126:AH126)</f>
        <v>2561376.6183629362</v>
      </c>
      <c r="AI127" s="7">
        <f ca="1">AI124+SUM($C126:AI126)</f>
        <v>2658748.4597796248</v>
      </c>
      <c r="AJ127" s="7">
        <f ca="1">AJ124+SUM($C126:AJ126)</f>
        <v>2759904.041673373</v>
      </c>
      <c r="AK127" s="7">
        <f ca="1">AK124+SUM($C126:AK126)</f>
        <v>2864987.92393093</v>
      </c>
      <c r="AL127" s="7">
        <f ca="1">AL124+SUM($C126:AL126)</f>
        <v>2974150.0165034966</v>
      </c>
      <c r="AM127" s="7">
        <f ca="1">AM124+SUM($C126:AM126)</f>
        <v>3087545.7711672578</v>
      </c>
    </row>
    <row r="128" spans="1:39">
      <c r="A128" s="3" t="s">
        <v>20</v>
      </c>
      <c r="C128" s="7">
        <f ca="1">IF(C127&lt;0,-C127,0)</f>
        <v>0</v>
      </c>
      <c r="D128" s="7">
        <f ca="1">IF(D127+SUM($C128:C128)&lt;0,-(D127+SUM($C128:C128)),0)</f>
        <v>0</v>
      </c>
      <c r="E128" s="7">
        <f ca="1">IF(E127+SUM($C128:D128)&lt;0,-(E127+SUM($C128:D128)),0)</f>
        <v>0</v>
      </c>
      <c r="F128" s="7">
        <f ca="1">IF(F127+SUM($C128:E128)&lt;0,-(F127+SUM($C128:E128)),0)</f>
        <v>0</v>
      </c>
      <c r="G128" s="7">
        <f ca="1">IF(G127+SUM($C128:F128)&lt;0,-(G127+SUM($C128:F128)),0)</f>
        <v>0</v>
      </c>
      <c r="H128" s="7">
        <f ca="1">IF(H127+SUM($C128:G128)&lt;0,-(H127+SUM($C128:G128)),0)</f>
        <v>0</v>
      </c>
      <c r="I128" s="7">
        <f ca="1">IF(I127+SUM($C128:H128)&lt;0,-(I127+SUM($C128:H128)),0)</f>
        <v>0</v>
      </c>
      <c r="J128" s="7">
        <f ca="1">IF(J127+SUM($C128:I128)&lt;0,-(J127+SUM($C128:I128)),0)</f>
        <v>0</v>
      </c>
      <c r="K128" s="7">
        <f ca="1">IF(K127+SUM($C128:J128)&lt;0,-(K127+SUM($C128:J128)),0)</f>
        <v>0</v>
      </c>
      <c r="L128" s="7">
        <f ca="1">IF(L127+SUM($C128:K128)&lt;0,-(L127+SUM($C128:K128)),0)</f>
        <v>0</v>
      </c>
      <c r="M128" s="7">
        <f ca="1">IF(M127+SUM($C128:L128)&lt;0,-(M127+SUM($C128:L128)),0)</f>
        <v>0</v>
      </c>
      <c r="N128" s="7">
        <f ca="1">IF(N127+SUM($C128:M128)&lt;0,-(N127+SUM($C128:M128)),0)</f>
        <v>0</v>
      </c>
      <c r="O128" s="7">
        <f ca="1">IF(O127+SUM($C128:N128)&lt;0,-(O127+SUM($C128:N128)),0)</f>
        <v>0</v>
      </c>
      <c r="P128" s="7">
        <f ca="1">IF(P127+SUM($C128:O128)&lt;0,-(P127+SUM($C128:O128)),0)</f>
        <v>0</v>
      </c>
      <c r="Q128" s="7">
        <f ca="1">IF(Q127+SUM($C128:P128)&lt;0,-(Q127+SUM($C128:P128)),0)</f>
        <v>0</v>
      </c>
      <c r="R128" s="7">
        <f ca="1">IF(R127+SUM($C128:Q128)&lt;0,-(R127+SUM($C128:Q128)),0)</f>
        <v>0</v>
      </c>
      <c r="S128" s="7">
        <f ca="1">IF(S127+SUM($C128:R128)&lt;0,-(S127+SUM($C128:R128)),0)</f>
        <v>0</v>
      </c>
      <c r="T128" s="7">
        <f ca="1">IF(T127+SUM($C128:S128)&lt;0,-(T127+SUM($C128:S128)),0)</f>
        <v>0</v>
      </c>
      <c r="U128" s="7">
        <f ca="1">IF(U127+SUM($C128:T128)&lt;0,-(U127+SUM($C128:T128)),0)</f>
        <v>0</v>
      </c>
      <c r="V128" s="7">
        <f ca="1">IF(V127+SUM($C128:U128)&lt;0,-(V127+SUM($C128:U128)),0)</f>
        <v>0</v>
      </c>
      <c r="W128" s="7">
        <f ca="1">IF(W127+SUM($C128:V128)&lt;0,-(W127+SUM($C128:V128)),0)</f>
        <v>0</v>
      </c>
      <c r="X128" s="7">
        <f ca="1">IF(X127+SUM($C128:W128)&lt;0,-(X127+SUM($C128:W128)),0)</f>
        <v>0</v>
      </c>
      <c r="Y128" s="7">
        <f ca="1">IF(Y127+SUM($C128:X128)&lt;0,-(Y127+SUM($C128:X128)),0)</f>
        <v>0</v>
      </c>
      <c r="Z128" s="7">
        <f ca="1">IF(Z127+SUM($C128:Y128)&lt;0,-(Z127+SUM($C128:Y128)),0)</f>
        <v>0</v>
      </c>
      <c r="AA128" s="7">
        <f ca="1">IF(AA127+SUM($C128:Z128)&lt;0,-(AA127+SUM($C128:Z128)),0)</f>
        <v>0</v>
      </c>
      <c r="AB128" s="7">
        <f ca="1">IF(AB127+SUM($C128:AA128)&lt;0,-(AB127+SUM($C128:AA128)),0)</f>
        <v>0</v>
      </c>
      <c r="AC128" s="7">
        <f ca="1">IF(AC127+SUM($C128:AB128)&lt;0,-(AC127+SUM($C128:AB128)),0)</f>
        <v>0</v>
      </c>
      <c r="AD128" s="7">
        <f ca="1">IF(AD127+SUM($C128:AC128)&lt;0,-(AD127+SUM($C128:AC128)),0)</f>
        <v>0</v>
      </c>
      <c r="AE128" s="7">
        <f ca="1">IF(AE127+SUM($C128:AD128)&lt;0,-(AE127+SUM($C128:AD128)),0)</f>
        <v>0</v>
      </c>
      <c r="AF128" s="7">
        <f ca="1">IF(AF127+SUM($C128:AE128)&lt;0,-(AF127+SUM($C128:AE128)),0)</f>
        <v>0</v>
      </c>
      <c r="AG128" s="7">
        <f ca="1">IF(AG127+SUM($C128:AF128)&lt;0,-(AG127+SUM($C128:AF128)),0)</f>
        <v>0</v>
      </c>
      <c r="AH128" s="7">
        <f ca="1">IF(AH127+SUM($C128:AG128)&lt;0,-(AH127+SUM($C128:AG128)),0)</f>
        <v>0</v>
      </c>
      <c r="AI128" s="7">
        <f ca="1">IF(AI127+SUM($C128:AH128)&lt;0,-(AI127+SUM($C128:AH128)),0)</f>
        <v>0</v>
      </c>
      <c r="AJ128" s="7">
        <f ca="1">IF(AJ127+SUM($C128:AI128)&lt;0,-(AJ127+SUM($C128:AI128)),0)</f>
        <v>0</v>
      </c>
      <c r="AK128" s="7">
        <f ca="1">IF(AK127+SUM($C128:AJ128)&lt;0,-(AK127+SUM($C128:AJ128)),0)</f>
        <v>0</v>
      </c>
      <c r="AL128" s="7">
        <f ca="1">IF(AL127+SUM($C128:AK128)&lt;0,-(AL127+SUM($C128:AK128)),0)</f>
        <v>0</v>
      </c>
      <c r="AM128" s="7">
        <f ca="1">IF(AM127+SUM($C128:AL128)&lt;0,-(AM127+SUM($C128:AL128)),0)</f>
        <v>0</v>
      </c>
    </row>
    <row r="129" spans="1:39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</row>
    <row r="130" spans="1:39">
      <c r="A130" s="24" t="str">
        <f>IF(Inputs!$B$197=6,IFERROR(_xlfn.XLOOKUP($B130,Inputs!$B$198:$B$202,Inputs!$A$198:$A$202,,0,1),""),IFERROR(_xlfn.XLOOKUP($B130,Inputs!$C$198:$C$202,Inputs!$A$198:$A$202,,0,1),""))</f>
        <v>Gzira</v>
      </c>
      <c r="B130" s="26">
        <v>3</v>
      </c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</row>
    <row r="131" spans="1:39">
      <c r="A131" s="3" t="s">
        <v>22</v>
      </c>
      <c r="C131" s="7">
        <f>IFERROR(VLOOKUP($A130,$A$60:$H$78,C$1+2,FALSE),0)</f>
        <v>154500</v>
      </c>
      <c r="D131" s="7">
        <f ca="1">C134</f>
        <v>154500</v>
      </c>
      <c r="E131" s="7">
        <f t="shared" ref="E131:AM131" ca="1" si="79">D134</f>
        <v>159135</v>
      </c>
      <c r="F131" s="7">
        <f t="shared" ca="1" si="79"/>
        <v>163909.04999999999</v>
      </c>
      <c r="G131" s="7">
        <f t="shared" ca="1" si="79"/>
        <v>168826.32149999999</v>
      </c>
      <c r="H131" s="7">
        <f t="shared" ca="1" si="79"/>
        <v>173891.111145</v>
      </c>
      <c r="I131" s="7">
        <f t="shared" ca="1" si="79"/>
        <v>179107.84447934999</v>
      </c>
      <c r="J131" s="7">
        <f t="shared" ca="1" si="79"/>
        <v>184481.0798137305</v>
      </c>
      <c r="K131" s="7">
        <f t="shared" ca="1" si="79"/>
        <v>190015.51220814241</v>
      </c>
      <c r="L131" s="7">
        <f t="shared" ca="1" si="79"/>
        <v>195715.97757438666</v>
      </c>
      <c r="M131" s="7">
        <f t="shared" ca="1" si="79"/>
        <v>201587.45690161825</v>
      </c>
      <c r="N131" s="7">
        <f t="shared" ca="1" si="79"/>
        <v>207635.08060866679</v>
      </c>
      <c r="O131" s="7">
        <f t="shared" ca="1" si="79"/>
        <v>213864.13302692678</v>
      </c>
      <c r="P131" s="7">
        <f t="shared" ca="1" si="79"/>
        <v>220280.05701773459</v>
      </c>
      <c r="Q131" s="7">
        <f t="shared" ca="1" si="79"/>
        <v>226888.45872826662</v>
      </c>
      <c r="R131" s="7">
        <f t="shared" ca="1" si="79"/>
        <v>233695.11249011461</v>
      </c>
      <c r="S131" s="7">
        <f t="shared" ca="1" si="79"/>
        <v>240705.96586481805</v>
      </c>
      <c r="T131" s="7">
        <f t="shared" ca="1" si="79"/>
        <v>247927.1448407626</v>
      </c>
      <c r="U131" s="7">
        <f t="shared" ca="1" si="79"/>
        <v>255364.95918598547</v>
      </c>
      <c r="V131" s="7">
        <f t="shared" ca="1" si="79"/>
        <v>263025.90796156501</v>
      </c>
      <c r="W131" s="7">
        <f t="shared" ca="1" si="79"/>
        <v>270916.68520041194</v>
      </c>
      <c r="X131" s="7">
        <f t="shared" ca="1" si="79"/>
        <v>279044.18575642433</v>
      </c>
      <c r="Y131" s="7">
        <f t="shared" ca="1" si="79"/>
        <v>287415.51132911706</v>
      </c>
      <c r="Z131" s="7">
        <f t="shared" ca="1" si="79"/>
        <v>296037.97666899057</v>
      </c>
      <c r="AA131" s="7">
        <f t="shared" ca="1" si="79"/>
        <v>304919.11596906028</v>
      </c>
      <c r="AB131" s="7">
        <f t="shared" ca="1" si="79"/>
        <v>314066.68944813206</v>
      </c>
      <c r="AC131" s="7">
        <f t="shared" ca="1" si="79"/>
        <v>323488.69013157603</v>
      </c>
      <c r="AD131" s="7">
        <f t="shared" ca="1" si="79"/>
        <v>333193.35083552334</v>
      </c>
      <c r="AE131" s="7">
        <f t="shared" ca="1" si="79"/>
        <v>343189.15136058902</v>
      </c>
      <c r="AF131" s="7">
        <f t="shared" ca="1" si="79"/>
        <v>353484.8259014067</v>
      </c>
      <c r="AG131" s="7">
        <f t="shared" ca="1" si="79"/>
        <v>364089.37067844887</v>
      </c>
      <c r="AH131" s="7">
        <f t="shared" ca="1" si="79"/>
        <v>375012.05179880233</v>
      </c>
      <c r="AI131" s="7">
        <f t="shared" ca="1" si="79"/>
        <v>386262.41335276642</v>
      </c>
      <c r="AJ131" s="7">
        <f t="shared" ca="1" si="79"/>
        <v>397850.28575334942</v>
      </c>
      <c r="AK131" s="7">
        <f t="shared" ca="1" si="79"/>
        <v>409785.79432594992</v>
      </c>
      <c r="AL131" s="7">
        <f t="shared" ca="1" si="79"/>
        <v>422079.36815572839</v>
      </c>
      <c r="AM131" s="7">
        <f t="shared" ca="1" si="79"/>
        <v>434741.74920040026</v>
      </c>
    </row>
    <row r="132" spans="1:39">
      <c r="A132" s="3" t="s">
        <v>23</v>
      </c>
      <c r="C132" s="7">
        <f ca="1">-IF(SUM(C128:D128)&gt;0,C131,0)</f>
        <v>0</v>
      </c>
      <c r="D132" s="7">
        <f ca="1">-IF(E128&gt;0,D131,0)</f>
        <v>0</v>
      </c>
      <c r="E132" s="7">
        <f ca="1">-IF(F128&gt;0,E131,0)</f>
        <v>0</v>
      </c>
      <c r="F132" s="7">
        <f ca="1">-IF(G128&gt;0,F131,0)</f>
        <v>0</v>
      </c>
      <c r="G132" s="7">
        <f t="shared" ref="G132:AM132" ca="1" si="80">-IF(H128&gt;0,G131,0)</f>
        <v>0</v>
      </c>
      <c r="H132" s="7">
        <f t="shared" ca="1" si="80"/>
        <v>0</v>
      </c>
      <c r="I132" s="7">
        <f t="shared" ca="1" si="80"/>
        <v>0</v>
      </c>
      <c r="J132" s="7">
        <f t="shared" ca="1" si="80"/>
        <v>0</v>
      </c>
      <c r="K132" s="7">
        <f t="shared" ca="1" si="80"/>
        <v>0</v>
      </c>
      <c r="L132" s="7">
        <f t="shared" ca="1" si="80"/>
        <v>0</v>
      </c>
      <c r="M132" s="7">
        <f t="shared" ca="1" si="80"/>
        <v>0</v>
      </c>
      <c r="N132" s="7">
        <f t="shared" ca="1" si="80"/>
        <v>0</v>
      </c>
      <c r="O132" s="7">
        <f t="shared" ca="1" si="80"/>
        <v>0</v>
      </c>
      <c r="P132" s="7">
        <f t="shared" ca="1" si="80"/>
        <v>0</v>
      </c>
      <c r="Q132" s="7">
        <f t="shared" ca="1" si="80"/>
        <v>0</v>
      </c>
      <c r="R132" s="7">
        <f t="shared" ca="1" si="80"/>
        <v>0</v>
      </c>
      <c r="S132" s="7">
        <f t="shared" ca="1" si="80"/>
        <v>0</v>
      </c>
      <c r="T132" s="7">
        <f t="shared" ca="1" si="80"/>
        <v>0</v>
      </c>
      <c r="U132" s="7">
        <f t="shared" ca="1" si="80"/>
        <v>0</v>
      </c>
      <c r="V132" s="7">
        <f t="shared" ca="1" si="80"/>
        <v>0</v>
      </c>
      <c r="W132" s="7">
        <f t="shared" ca="1" si="80"/>
        <v>0</v>
      </c>
      <c r="X132" s="7">
        <f t="shared" ca="1" si="80"/>
        <v>0</v>
      </c>
      <c r="Y132" s="7">
        <f t="shared" ca="1" si="80"/>
        <v>0</v>
      </c>
      <c r="Z132" s="7">
        <f t="shared" ca="1" si="80"/>
        <v>0</v>
      </c>
      <c r="AA132" s="7">
        <f t="shared" ca="1" si="80"/>
        <v>0</v>
      </c>
      <c r="AB132" s="7">
        <f t="shared" ca="1" si="80"/>
        <v>0</v>
      </c>
      <c r="AC132" s="7">
        <f t="shared" ca="1" si="80"/>
        <v>0</v>
      </c>
      <c r="AD132" s="7">
        <f t="shared" ca="1" si="80"/>
        <v>0</v>
      </c>
      <c r="AE132" s="7">
        <f t="shared" ca="1" si="80"/>
        <v>0</v>
      </c>
      <c r="AF132" s="7">
        <f t="shared" ca="1" si="80"/>
        <v>0</v>
      </c>
      <c r="AG132" s="7">
        <f t="shared" ca="1" si="80"/>
        <v>0</v>
      </c>
      <c r="AH132" s="7">
        <f t="shared" ca="1" si="80"/>
        <v>0</v>
      </c>
      <c r="AI132" s="7">
        <f t="shared" ca="1" si="80"/>
        <v>0</v>
      </c>
      <c r="AJ132" s="7">
        <f t="shared" ca="1" si="80"/>
        <v>0</v>
      </c>
      <c r="AK132" s="7">
        <f t="shared" ca="1" si="80"/>
        <v>0</v>
      </c>
      <c r="AL132" s="7">
        <f t="shared" ca="1" si="80"/>
        <v>0</v>
      </c>
      <c r="AM132" s="7">
        <f t="shared" si="80"/>
        <v>0</v>
      </c>
    </row>
    <row r="133" spans="1:39">
      <c r="A133" s="3" t="s">
        <v>24</v>
      </c>
      <c r="C133" s="7">
        <v>0</v>
      </c>
      <c r="D133" s="7">
        <f t="shared" ref="D133:G133" ca="1" si="81">SUM(D131:D132)*princ</f>
        <v>4635</v>
      </c>
      <c r="E133" s="7">
        <f t="shared" ca="1" si="81"/>
        <v>4774.05</v>
      </c>
      <c r="F133" s="7">
        <f t="shared" ca="1" si="81"/>
        <v>4917.2714999999998</v>
      </c>
      <c r="G133" s="7">
        <f t="shared" ca="1" si="81"/>
        <v>5064.7896449999998</v>
      </c>
      <c r="H133" s="7">
        <f t="shared" ref="H133:I133" ca="1" si="82">SUM(H131:H132)*princ</f>
        <v>5216.7333343499995</v>
      </c>
      <c r="I133" s="7">
        <f t="shared" ca="1" si="82"/>
        <v>5373.2353343804998</v>
      </c>
      <c r="J133" s="7">
        <f t="shared" ref="J133:AM133" ca="1" si="83">SUM(J131:J132)*princ</f>
        <v>5534.4323944119151</v>
      </c>
      <c r="K133" s="7">
        <f t="shared" ca="1" si="83"/>
        <v>5700.4653662442715</v>
      </c>
      <c r="L133" s="7">
        <f t="shared" ca="1" si="83"/>
        <v>5871.4793272316001</v>
      </c>
      <c r="M133" s="7">
        <f t="shared" ca="1" si="83"/>
        <v>6047.6237070485477</v>
      </c>
      <c r="N133" s="7">
        <f t="shared" ca="1" si="83"/>
        <v>6229.0524182600038</v>
      </c>
      <c r="O133" s="7">
        <f t="shared" ca="1" si="83"/>
        <v>6415.9239908078034</v>
      </c>
      <c r="P133" s="7">
        <f t="shared" ca="1" si="83"/>
        <v>6608.4017105320372</v>
      </c>
      <c r="Q133" s="7">
        <f t="shared" ca="1" si="83"/>
        <v>6806.6537618479979</v>
      </c>
      <c r="R133" s="7">
        <f t="shared" ca="1" si="83"/>
        <v>7010.853374703438</v>
      </c>
      <c r="S133" s="7">
        <f t="shared" ca="1" si="83"/>
        <v>7221.178975944541</v>
      </c>
      <c r="T133" s="7">
        <f t="shared" ca="1" si="83"/>
        <v>7437.8143452228778</v>
      </c>
      <c r="U133" s="7">
        <f t="shared" ca="1" si="83"/>
        <v>7660.9487755795635</v>
      </c>
      <c r="V133" s="7">
        <f t="shared" ca="1" si="83"/>
        <v>7890.7772388469502</v>
      </c>
      <c r="W133" s="7">
        <f t="shared" ca="1" si="83"/>
        <v>8127.5005560123582</v>
      </c>
      <c r="X133" s="7">
        <f t="shared" ca="1" si="83"/>
        <v>8371.3255726927291</v>
      </c>
      <c r="Y133" s="7">
        <f t="shared" ca="1" si="83"/>
        <v>8622.4653398735118</v>
      </c>
      <c r="Z133" s="7">
        <f t="shared" ca="1" si="83"/>
        <v>8881.1393000697171</v>
      </c>
      <c r="AA133" s="7">
        <f t="shared" ca="1" si="83"/>
        <v>9147.5734790718088</v>
      </c>
      <c r="AB133" s="7">
        <f t="shared" ca="1" si="83"/>
        <v>9422.000683443961</v>
      </c>
      <c r="AC133" s="7">
        <f t="shared" ca="1" si="83"/>
        <v>9704.6607039472801</v>
      </c>
      <c r="AD133" s="7">
        <f t="shared" ca="1" si="83"/>
        <v>9995.8005250656988</v>
      </c>
      <c r="AE133" s="7">
        <f t="shared" ca="1" si="83"/>
        <v>10295.67454081767</v>
      </c>
      <c r="AF133" s="7">
        <f t="shared" ca="1" si="83"/>
        <v>10604.544777042202</v>
      </c>
      <c r="AG133" s="7">
        <f t="shared" ca="1" si="83"/>
        <v>10922.681120353465</v>
      </c>
      <c r="AH133" s="7">
        <f t="shared" ca="1" si="83"/>
        <v>11250.36155396407</v>
      </c>
      <c r="AI133" s="7">
        <f t="shared" ca="1" si="83"/>
        <v>11587.872400582992</v>
      </c>
      <c r="AJ133" s="7">
        <f t="shared" ca="1" si="83"/>
        <v>11935.508572600482</v>
      </c>
      <c r="AK133" s="7">
        <f t="shared" ca="1" si="83"/>
        <v>12293.573829778497</v>
      </c>
      <c r="AL133" s="7">
        <f t="shared" ca="1" si="83"/>
        <v>12662.381044671851</v>
      </c>
      <c r="AM133" s="7">
        <f t="shared" ca="1" si="83"/>
        <v>13042.252476012007</v>
      </c>
    </row>
    <row r="134" spans="1:39">
      <c r="A134" s="3" t="s">
        <v>25</v>
      </c>
      <c r="C134" s="7">
        <f ca="1">SUM(C131:C133)</f>
        <v>154500</v>
      </c>
      <c r="D134" s="7">
        <f t="shared" ref="D134:AM134" ca="1" si="84">SUM(D131:D133)</f>
        <v>159135</v>
      </c>
      <c r="E134" s="7">
        <f t="shared" ca="1" si="84"/>
        <v>163909.04999999999</v>
      </c>
      <c r="F134" s="7">
        <f t="shared" ca="1" si="84"/>
        <v>168826.32149999999</v>
      </c>
      <c r="G134" s="7">
        <f t="shared" ca="1" si="84"/>
        <v>173891.111145</v>
      </c>
      <c r="H134" s="7">
        <f t="shared" ca="1" si="84"/>
        <v>179107.84447934999</v>
      </c>
      <c r="I134" s="7">
        <f t="shared" ca="1" si="84"/>
        <v>184481.0798137305</v>
      </c>
      <c r="J134" s="7">
        <f t="shared" ca="1" si="84"/>
        <v>190015.51220814241</v>
      </c>
      <c r="K134" s="7">
        <f t="shared" ca="1" si="84"/>
        <v>195715.97757438666</v>
      </c>
      <c r="L134" s="7">
        <f t="shared" ca="1" si="84"/>
        <v>201587.45690161825</v>
      </c>
      <c r="M134" s="7">
        <f t="shared" ca="1" si="84"/>
        <v>207635.08060866679</v>
      </c>
      <c r="N134" s="7">
        <f t="shared" ca="1" si="84"/>
        <v>213864.13302692678</v>
      </c>
      <c r="O134" s="7">
        <f t="shared" ca="1" si="84"/>
        <v>220280.05701773459</v>
      </c>
      <c r="P134" s="7">
        <f t="shared" ca="1" si="84"/>
        <v>226888.45872826662</v>
      </c>
      <c r="Q134" s="7">
        <f t="shared" ca="1" si="84"/>
        <v>233695.11249011461</v>
      </c>
      <c r="R134" s="7">
        <f t="shared" ca="1" si="84"/>
        <v>240705.96586481805</v>
      </c>
      <c r="S134" s="7">
        <f t="shared" ca="1" si="84"/>
        <v>247927.1448407626</v>
      </c>
      <c r="T134" s="7">
        <f t="shared" ca="1" si="84"/>
        <v>255364.95918598547</v>
      </c>
      <c r="U134" s="7">
        <f t="shared" ca="1" si="84"/>
        <v>263025.90796156501</v>
      </c>
      <c r="V134" s="7">
        <f t="shared" ca="1" si="84"/>
        <v>270916.68520041194</v>
      </c>
      <c r="W134" s="7">
        <f t="shared" ca="1" si="84"/>
        <v>279044.18575642433</v>
      </c>
      <c r="X134" s="7">
        <f t="shared" ca="1" si="84"/>
        <v>287415.51132911706</v>
      </c>
      <c r="Y134" s="7">
        <f t="shared" ca="1" si="84"/>
        <v>296037.97666899057</v>
      </c>
      <c r="Z134" s="7">
        <f t="shared" ca="1" si="84"/>
        <v>304919.11596906028</v>
      </c>
      <c r="AA134" s="7">
        <f t="shared" ca="1" si="84"/>
        <v>314066.68944813206</v>
      </c>
      <c r="AB134" s="7">
        <f t="shared" ca="1" si="84"/>
        <v>323488.69013157603</v>
      </c>
      <c r="AC134" s="7">
        <f t="shared" ca="1" si="84"/>
        <v>333193.35083552334</v>
      </c>
      <c r="AD134" s="7">
        <f t="shared" ca="1" si="84"/>
        <v>343189.15136058902</v>
      </c>
      <c r="AE134" s="7">
        <f t="shared" ca="1" si="84"/>
        <v>353484.8259014067</v>
      </c>
      <c r="AF134" s="7">
        <f t="shared" ca="1" si="84"/>
        <v>364089.37067844887</v>
      </c>
      <c r="AG134" s="7">
        <f t="shared" ca="1" si="84"/>
        <v>375012.05179880233</v>
      </c>
      <c r="AH134" s="7">
        <f t="shared" ca="1" si="84"/>
        <v>386262.41335276642</v>
      </c>
      <c r="AI134" s="7">
        <f t="shared" ca="1" si="84"/>
        <v>397850.28575334942</v>
      </c>
      <c r="AJ134" s="7">
        <f t="shared" ca="1" si="84"/>
        <v>409785.79432594992</v>
      </c>
      <c r="AK134" s="7">
        <f t="shared" ca="1" si="84"/>
        <v>422079.36815572839</v>
      </c>
      <c r="AL134" s="7">
        <f t="shared" ca="1" si="84"/>
        <v>434741.74920040026</v>
      </c>
      <c r="AM134" s="7">
        <f t="shared" ca="1" si="84"/>
        <v>447784.00167641224</v>
      </c>
    </row>
    <row r="135" spans="1:39">
      <c r="A135" s="3" t="s">
        <v>26</v>
      </c>
      <c r="C135" s="7">
        <f ca="1">C132*Inputs!$B$195</f>
        <v>0</v>
      </c>
      <c r="D135" s="7">
        <f ca="1">D132*Inputs!$B$195</f>
        <v>0</v>
      </c>
      <c r="E135" s="7">
        <f ca="1">E132*Inputs!$B$195</f>
        <v>0</v>
      </c>
      <c r="F135" s="7">
        <f ca="1">F132*Inputs!$B$195</f>
        <v>0</v>
      </c>
      <c r="G135" s="7">
        <f ca="1">G132*Inputs!$B$195</f>
        <v>0</v>
      </c>
      <c r="H135" s="7">
        <f ca="1">H132*Inputs!$B$195</f>
        <v>0</v>
      </c>
      <c r="I135" s="7">
        <f ca="1">I132*Inputs!$B$195</f>
        <v>0</v>
      </c>
      <c r="J135" s="7">
        <f ca="1">J132*Inputs!$B$195</f>
        <v>0</v>
      </c>
      <c r="K135" s="7">
        <f ca="1">K132*Inputs!$B$195</f>
        <v>0</v>
      </c>
      <c r="L135" s="7">
        <f ca="1">L132*Inputs!$B$195</f>
        <v>0</v>
      </c>
      <c r="M135" s="7">
        <f ca="1">M132*Inputs!$B$195</f>
        <v>0</v>
      </c>
      <c r="N135" s="7">
        <f ca="1">N132*Inputs!$B$195</f>
        <v>0</v>
      </c>
      <c r="O135" s="7">
        <f ca="1">O132*Inputs!$B$195</f>
        <v>0</v>
      </c>
      <c r="P135" s="7">
        <f ca="1">P132*Inputs!$B$195</f>
        <v>0</v>
      </c>
      <c r="Q135" s="7">
        <f ca="1">Q132*Inputs!$B$195</f>
        <v>0</v>
      </c>
      <c r="R135" s="7">
        <f ca="1">R132*Inputs!$B$195</f>
        <v>0</v>
      </c>
      <c r="S135" s="7">
        <f ca="1">S132*Inputs!$B$195</f>
        <v>0</v>
      </c>
      <c r="T135" s="7">
        <f ca="1">T132*Inputs!$B$195</f>
        <v>0</v>
      </c>
      <c r="U135" s="7">
        <f ca="1">U132*Inputs!$B$195</f>
        <v>0</v>
      </c>
      <c r="V135" s="7">
        <f ca="1">V132*Inputs!$B$195</f>
        <v>0</v>
      </c>
      <c r="W135" s="7">
        <f ca="1">W132*Inputs!$B$195</f>
        <v>0</v>
      </c>
      <c r="X135" s="7">
        <f ca="1">X132*Inputs!$B$195</f>
        <v>0</v>
      </c>
      <c r="Y135" s="7">
        <f ca="1">Y132*Inputs!$B$195</f>
        <v>0</v>
      </c>
      <c r="Z135" s="7">
        <f ca="1">Z132*Inputs!$B$195</f>
        <v>0</v>
      </c>
      <c r="AA135" s="7">
        <f ca="1">AA132*Inputs!$B$195</f>
        <v>0</v>
      </c>
      <c r="AB135" s="7">
        <f ca="1">AB132*Inputs!$B$195</f>
        <v>0</v>
      </c>
      <c r="AC135" s="7">
        <f ca="1">AC132*Inputs!$B$195</f>
        <v>0</v>
      </c>
      <c r="AD135" s="7">
        <f ca="1">AD132*Inputs!$B$195</f>
        <v>0</v>
      </c>
      <c r="AE135" s="7">
        <f ca="1">AE132*Inputs!$B$195</f>
        <v>0</v>
      </c>
      <c r="AF135" s="7">
        <f ca="1">AF132*Inputs!$B$195</f>
        <v>0</v>
      </c>
      <c r="AG135" s="7">
        <f ca="1">AG132*Inputs!$B$195</f>
        <v>0</v>
      </c>
      <c r="AH135" s="7">
        <f ca="1">AH132*Inputs!$B$195</f>
        <v>0</v>
      </c>
      <c r="AI135" s="7">
        <f ca="1">AI132*Inputs!$B$195</f>
        <v>0</v>
      </c>
      <c r="AJ135" s="7">
        <f ca="1">AJ132*Inputs!$B$195</f>
        <v>0</v>
      </c>
      <c r="AK135" s="7">
        <f ca="1">AK132*Inputs!$B$195</f>
        <v>0</v>
      </c>
      <c r="AL135" s="7">
        <f ca="1">AL132*Inputs!$B$195</f>
        <v>0</v>
      </c>
      <c r="AM135" s="7">
        <f>AM132*Inputs!$B$195</f>
        <v>0</v>
      </c>
    </row>
    <row r="136" spans="1:39">
      <c r="A136" s="3" t="s">
        <v>31</v>
      </c>
      <c r="C136" s="7">
        <f t="shared" ref="C136:AM136" si="85">IFERROR(-IF(C131=0,VLOOKUP($A130,$8:$12,C$1+2,FALSE),0),0)</f>
        <v>0</v>
      </c>
      <c r="D136" s="7">
        <f t="shared" ca="1" si="85"/>
        <v>0</v>
      </c>
      <c r="E136" s="7">
        <f t="shared" ca="1" si="85"/>
        <v>0</v>
      </c>
      <c r="F136" s="7">
        <f t="shared" ca="1" si="85"/>
        <v>0</v>
      </c>
      <c r="G136" s="7">
        <f t="shared" ca="1" si="85"/>
        <v>0</v>
      </c>
      <c r="H136" s="7">
        <f t="shared" ca="1" si="85"/>
        <v>0</v>
      </c>
      <c r="I136" s="7">
        <f t="shared" ca="1" si="85"/>
        <v>0</v>
      </c>
      <c r="J136" s="7">
        <f t="shared" ca="1" si="85"/>
        <v>0</v>
      </c>
      <c r="K136" s="7">
        <f t="shared" ca="1" si="85"/>
        <v>0</v>
      </c>
      <c r="L136" s="7">
        <f t="shared" ca="1" si="85"/>
        <v>0</v>
      </c>
      <c r="M136" s="7">
        <f t="shared" ca="1" si="85"/>
        <v>0</v>
      </c>
      <c r="N136" s="7">
        <f t="shared" ca="1" si="85"/>
        <v>0</v>
      </c>
      <c r="O136" s="7">
        <f t="shared" ca="1" si="85"/>
        <v>0</v>
      </c>
      <c r="P136" s="7">
        <f t="shared" ca="1" si="85"/>
        <v>0</v>
      </c>
      <c r="Q136" s="7">
        <f t="shared" ca="1" si="85"/>
        <v>0</v>
      </c>
      <c r="R136" s="7">
        <f t="shared" ca="1" si="85"/>
        <v>0</v>
      </c>
      <c r="S136" s="7">
        <f t="shared" ca="1" si="85"/>
        <v>0</v>
      </c>
      <c r="T136" s="7">
        <f t="shared" ca="1" si="85"/>
        <v>0</v>
      </c>
      <c r="U136" s="7">
        <f t="shared" ca="1" si="85"/>
        <v>0</v>
      </c>
      <c r="V136" s="7">
        <f t="shared" ca="1" si="85"/>
        <v>0</v>
      </c>
      <c r="W136" s="7">
        <f t="shared" ca="1" si="85"/>
        <v>0</v>
      </c>
      <c r="X136" s="7">
        <f t="shared" ca="1" si="85"/>
        <v>0</v>
      </c>
      <c r="Y136" s="7">
        <f t="shared" ca="1" si="85"/>
        <v>0</v>
      </c>
      <c r="Z136" s="7">
        <f t="shared" ca="1" si="85"/>
        <v>0</v>
      </c>
      <c r="AA136" s="7">
        <f t="shared" ca="1" si="85"/>
        <v>0</v>
      </c>
      <c r="AB136" s="7">
        <f t="shared" ca="1" si="85"/>
        <v>0</v>
      </c>
      <c r="AC136" s="7">
        <f t="shared" ca="1" si="85"/>
        <v>0</v>
      </c>
      <c r="AD136" s="7">
        <f t="shared" ca="1" si="85"/>
        <v>0</v>
      </c>
      <c r="AE136" s="7">
        <f t="shared" ca="1" si="85"/>
        <v>0</v>
      </c>
      <c r="AF136" s="7">
        <f t="shared" ca="1" si="85"/>
        <v>0</v>
      </c>
      <c r="AG136" s="7">
        <f t="shared" ca="1" si="85"/>
        <v>0</v>
      </c>
      <c r="AH136" s="7">
        <f t="shared" ca="1" si="85"/>
        <v>0</v>
      </c>
      <c r="AI136" s="7">
        <f t="shared" ca="1" si="85"/>
        <v>0</v>
      </c>
      <c r="AJ136" s="7">
        <f t="shared" ca="1" si="85"/>
        <v>0</v>
      </c>
      <c r="AK136" s="7">
        <f t="shared" ca="1" si="85"/>
        <v>0</v>
      </c>
      <c r="AL136" s="7">
        <f t="shared" ca="1" si="85"/>
        <v>0</v>
      </c>
      <c r="AM136" s="7">
        <f t="shared" ca="1" si="85"/>
        <v>0</v>
      </c>
    </row>
    <row r="137" spans="1:39">
      <c r="A137" s="3" t="s">
        <v>50</v>
      </c>
      <c r="C137" s="7">
        <f t="shared" ref="C137:AM137" si="86">IFERROR(IF(C131=0,VLOOKUP($A130,$40:$44,C$1+2,FALSE),0),0)</f>
        <v>0</v>
      </c>
      <c r="D137" s="7">
        <f t="shared" ca="1" si="86"/>
        <v>0</v>
      </c>
      <c r="E137" s="7">
        <f t="shared" ca="1" si="86"/>
        <v>0</v>
      </c>
      <c r="F137" s="7">
        <f t="shared" ca="1" si="86"/>
        <v>0</v>
      </c>
      <c r="G137" s="7">
        <f t="shared" ca="1" si="86"/>
        <v>0</v>
      </c>
      <c r="H137" s="7">
        <f t="shared" ca="1" si="86"/>
        <v>0</v>
      </c>
      <c r="I137" s="7">
        <f t="shared" ca="1" si="86"/>
        <v>0</v>
      </c>
      <c r="J137" s="7">
        <f t="shared" ca="1" si="86"/>
        <v>0</v>
      </c>
      <c r="K137" s="7">
        <f t="shared" ca="1" si="86"/>
        <v>0</v>
      </c>
      <c r="L137" s="7">
        <f t="shared" ca="1" si="86"/>
        <v>0</v>
      </c>
      <c r="M137" s="7">
        <f t="shared" ca="1" si="86"/>
        <v>0</v>
      </c>
      <c r="N137" s="7">
        <f t="shared" ca="1" si="86"/>
        <v>0</v>
      </c>
      <c r="O137" s="7">
        <f t="shared" ca="1" si="86"/>
        <v>0</v>
      </c>
      <c r="P137" s="7">
        <f t="shared" ca="1" si="86"/>
        <v>0</v>
      </c>
      <c r="Q137" s="7">
        <f t="shared" ca="1" si="86"/>
        <v>0</v>
      </c>
      <c r="R137" s="7">
        <f t="shared" ca="1" si="86"/>
        <v>0</v>
      </c>
      <c r="S137" s="7">
        <f t="shared" ca="1" si="86"/>
        <v>0</v>
      </c>
      <c r="T137" s="7">
        <f t="shared" ca="1" si="86"/>
        <v>0</v>
      </c>
      <c r="U137" s="7">
        <f t="shared" ca="1" si="86"/>
        <v>0</v>
      </c>
      <c r="V137" s="7">
        <f t="shared" ca="1" si="86"/>
        <v>0</v>
      </c>
      <c r="W137" s="7">
        <f t="shared" ca="1" si="86"/>
        <v>0</v>
      </c>
      <c r="X137" s="7">
        <f t="shared" ca="1" si="86"/>
        <v>0</v>
      </c>
      <c r="Y137" s="7">
        <f t="shared" ca="1" si="86"/>
        <v>0</v>
      </c>
      <c r="Z137" s="7">
        <f t="shared" ca="1" si="86"/>
        <v>0</v>
      </c>
      <c r="AA137" s="7">
        <f t="shared" ca="1" si="86"/>
        <v>0</v>
      </c>
      <c r="AB137" s="7">
        <f t="shared" ca="1" si="86"/>
        <v>0</v>
      </c>
      <c r="AC137" s="7">
        <f t="shared" ca="1" si="86"/>
        <v>0</v>
      </c>
      <c r="AD137" s="7">
        <f t="shared" ca="1" si="86"/>
        <v>0</v>
      </c>
      <c r="AE137" s="7">
        <f t="shared" ca="1" si="86"/>
        <v>0</v>
      </c>
      <c r="AF137" s="7">
        <f t="shared" ca="1" si="86"/>
        <v>0</v>
      </c>
      <c r="AG137" s="7">
        <f t="shared" ca="1" si="86"/>
        <v>0</v>
      </c>
      <c r="AH137" s="7">
        <f t="shared" ca="1" si="86"/>
        <v>0</v>
      </c>
      <c r="AI137" s="7">
        <f t="shared" ca="1" si="86"/>
        <v>0</v>
      </c>
      <c r="AJ137" s="7">
        <f t="shared" ca="1" si="86"/>
        <v>0</v>
      </c>
      <c r="AK137" s="7">
        <f t="shared" ca="1" si="86"/>
        <v>0</v>
      </c>
      <c r="AL137" s="7">
        <f t="shared" ca="1" si="86"/>
        <v>0</v>
      </c>
      <c r="AM137" s="7">
        <f t="shared" ca="1" si="86"/>
        <v>0</v>
      </c>
    </row>
    <row r="138" spans="1:39">
      <c r="A138" s="3" t="s">
        <v>36</v>
      </c>
      <c r="B138" s="14" t="str">
        <f>A130</f>
        <v>Gzira</v>
      </c>
      <c r="C138" s="7">
        <f t="shared" ref="C138:AM138" ca="1" si="87">IF(AND(C131&gt;0,C134=0),VLOOKUP($A130,$72:$76,C$1+2,FALSE),0)</f>
        <v>0</v>
      </c>
      <c r="D138" s="7">
        <f t="shared" ca="1" si="87"/>
        <v>0</v>
      </c>
      <c r="E138" s="7">
        <f t="shared" ca="1" si="87"/>
        <v>0</v>
      </c>
      <c r="F138" s="7">
        <f t="shared" ca="1" si="87"/>
        <v>0</v>
      </c>
      <c r="G138" s="7">
        <f t="shared" ca="1" si="87"/>
        <v>0</v>
      </c>
      <c r="H138" s="7">
        <f t="shared" ca="1" si="87"/>
        <v>0</v>
      </c>
      <c r="I138" s="7">
        <f t="shared" ca="1" si="87"/>
        <v>0</v>
      </c>
      <c r="J138" s="7">
        <f t="shared" ca="1" si="87"/>
        <v>0</v>
      </c>
      <c r="K138" s="7">
        <f t="shared" ca="1" si="87"/>
        <v>0</v>
      </c>
      <c r="L138" s="7">
        <f t="shared" ca="1" si="87"/>
        <v>0</v>
      </c>
      <c r="M138" s="7">
        <f t="shared" ca="1" si="87"/>
        <v>0</v>
      </c>
      <c r="N138" s="7">
        <f t="shared" ca="1" si="87"/>
        <v>0</v>
      </c>
      <c r="O138" s="7">
        <f t="shared" ca="1" si="87"/>
        <v>0</v>
      </c>
      <c r="P138" s="7">
        <f t="shared" ca="1" si="87"/>
        <v>0</v>
      </c>
      <c r="Q138" s="7">
        <f t="shared" ca="1" si="87"/>
        <v>0</v>
      </c>
      <c r="R138" s="7">
        <f t="shared" ca="1" si="87"/>
        <v>0</v>
      </c>
      <c r="S138" s="7">
        <f t="shared" ca="1" si="87"/>
        <v>0</v>
      </c>
      <c r="T138" s="7">
        <f t="shared" ca="1" si="87"/>
        <v>0</v>
      </c>
      <c r="U138" s="7">
        <f t="shared" ca="1" si="87"/>
        <v>0</v>
      </c>
      <c r="V138" s="7">
        <f t="shared" ca="1" si="87"/>
        <v>0</v>
      </c>
      <c r="W138" s="7">
        <f t="shared" ca="1" si="87"/>
        <v>0</v>
      </c>
      <c r="X138" s="7">
        <f t="shared" ca="1" si="87"/>
        <v>0</v>
      </c>
      <c r="Y138" s="7">
        <f t="shared" ca="1" si="87"/>
        <v>0</v>
      </c>
      <c r="Z138" s="7">
        <f t="shared" ca="1" si="87"/>
        <v>0</v>
      </c>
      <c r="AA138" s="7">
        <f t="shared" ca="1" si="87"/>
        <v>0</v>
      </c>
      <c r="AB138" s="7">
        <f t="shared" ca="1" si="87"/>
        <v>0</v>
      </c>
      <c r="AC138" s="7">
        <f t="shared" ca="1" si="87"/>
        <v>0</v>
      </c>
      <c r="AD138" s="7">
        <f t="shared" ca="1" si="87"/>
        <v>0</v>
      </c>
      <c r="AE138" s="7">
        <f t="shared" ca="1" si="87"/>
        <v>0</v>
      </c>
      <c r="AF138" s="7">
        <f t="shared" ca="1" si="87"/>
        <v>0</v>
      </c>
      <c r="AG138" s="7">
        <f t="shared" ca="1" si="87"/>
        <v>0</v>
      </c>
      <c r="AH138" s="7">
        <f t="shared" ca="1" si="87"/>
        <v>0</v>
      </c>
      <c r="AI138" s="7">
        <f t="shared" ca="1" si="87"/>
        <v>0</v>
      </c>
      <c r="AJ138" s="7">
        <f t="shared" ca="1" si="87"/>
        <v>0</v>
      </c>
      <c r="AK138" s="7">
        <f t="shared" ca="1" si="87"/>
        <v>0</v>
      </c>
      <c r="AL138" s="7">
        <f t="shared" ca="1" si="87"/>
        <v>0</v>
      </c>
      <c r="AM138" s="7">
        <f t="shared" ca="1" si="87"/>
        <v>0</v>
      </c>
    </row>
    <row r="139" spans="1:39">
      <c r="A139" s="3" t="s">
        <v>37</v>
      </c>
      <c r="C139" s="7">
        <f ca="1">-C132+SUM(C135:C138)</f>
        <v>0</v>
      </c>
      <c r="D139" s="7">
        <f t="shared" ref="D139" ca="1" si="88">-D132+SUM(D135:D138)</f>
        <v>0</v>
      </c>
      <c r="E139" s="7">
        <f t="shared" ref="E139:AM139" ca="1" si="89">-E132+SUM(E135:E138)</f>
        <v>0</v>
      </c>
      <c r="F139" s="7">
        <f t="shared" ca="1" si="89"/>
        <v>0</v>
      </c>
      <c r="G139" s="7">
        <f t="shared" ca="1" si="89"/>
        <v>0</v>
      </c>
      <c r="H139" s="7">
        <f t="shared" ca="1" si="89"/>
        <v>0</v>
      </c>
      <c r="I139" s="7">
        <f t="shared" ca="1" si="89"/>
        <v>0</v>
      </c>
      <c r="J139" s="7">
        <f t="shared" ca="1" si="89"/>
        <v>0</v>
      </c>
      <c r="K139" s="7">
        <f t="shared" ca="1" si="89"/>
        <v>0</v>
      </c>
      <c r="L139" s="7">
        <f t="shared" ca="1" si="89"/>
        <v>0</v>
      </c>
      <c r="M139" s="7">
        <f t="shared" ca="1" si="89"/>
        <v>0</v>
      </c>
      <c r="N139" s="7">
        <f t="shared" ca="1" si="89"/>
        <v>0</v>
      </c>
      <c r="O139" s="7">
        <f t="shared" ca="1" si="89"/>
        <v>0</v>
      </c>
      <c r="P139" s="7">
        <f t="shared" ca="1" si="89"/>
        <v>0</v>
      </c>
      <c r="Q139" s="7">
        <f t="shared" ca="1" si="89"/>
        <v>0</v>
      </c>
      <c r="R139" s="7">
        <f t="shared" ca="1" si="89"/>
        <v>0</v>
      </c>
      <c r="S139" s="7">
        <f t="shared" ca="1" si="89"/>
        <v>0</v>
      </c>
      <c r="T139" s="7">
        <f t="shared" ca="1" si="89"/>
        <v>0</v>
      </c>
      <c r="U139" s="7">
        <f t="shared" ca="1" si="89"/>
        <v>0</v>
      </c>
      <c r="V139" s="7">
        <f t="shared" ca="1" si="89"/>
        <v>0</v>
      </c>
      <c r="W139" s="7">
        <f t="shared" ca="1" si="89"/>
        <v>0</v>
      </c>
      <c r="X139" s="7">
        <f t="shared" ca="1" si="89"/>
        <v>0</v>
      </c>
      <c r="Y139" s="7">
        <f t="shared" ca="1" si="89"/>
        <v>0</v>
      </c>
      <c r="Z139" s="7">
        <f t="shared" ca="1" si="89"/>
        <v>0</v>
      </c>
      <c r="AA139" s="7">
        <f t="shared" ca="1" si="89"/>
        <v>0</v>
      </c>
      <c r="AB139" s="7">
        <f t="shared" ca="1" si="89"/>
        <v>0</v>
      </c>
      <c r="AC139" s="7">
        <f t="shared" ca="1" si="89"/>
        <v>0</v>
      </c>
      <c r="AD139" s="7">
        <f t="shared" ca="1" si="89"/>
        <v>0</v>
      </c>
      <c r="AE139" s="7">
        <f t="shared" ca="1" si="89"/>
        <v>0</v>
      </c>
      <c r="AF139" s="7">
        <f t="shared" ca="1" si="89"/>
        <v>0</v>
      </c>
      <c r="AG139" s="7">
        <f t="shared" ca="1" si="89"/>
        <v>0</v>
      </c>
      <c r="AH139" s="7">
        <f t="shared" ca="1" si="89"/>
        <v>0</v>
      </c>
      <c r="AI139" s="7">
        <f t="shared" ca="1" si="89"/>
        <v>0</v>
      </c>
      <c r="AJ139" s="7">
        <f t="shared" ca="1" si="89"/>
        <v>0</v>
      </c>
      <c r="AK139" s="7">
        <f t="shared" ca="1" si="89"/>
        <v>0</v>
      </c>
      <c r="AL139" s="7">
        <f t="shared" ca="1" si="89"/>
        <v>0</v>
      </c>
      <c r="AM139" s="7">
        <f t="shared" ca="1" si="89"/>
        <v>0</v>
      </c>
    </row>
    <row r="140" spans="1:39">
      <c r="A140" s="3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</row>
    <row r="141" spans="1:39">
      <c r="A141" s="3" t="s">
        <v>77</v>
      </c>
      <c r="C141" s="7">
        <f ca="1">C127+SUM($C139:C139)</f>
        <v>37716.75</v>
      </c>
      <c r="D141" s="7">
        <f ca="1">D127+SUM($C139:D139)</f>
        <v>69048.493749999994</v>
      </c>
      <c r="E141" s="7">
        <f ca="1">E127+SUM($C139:E139)</f>
        <v>80800.384218750027</v>
      </c>
      <c r="F141" s="7">
        <f ca="1">F127+SUM($C139:F139)</f>
        <v>127283.44827895577</v>
      </c>
      <c r="G141" s="7">
        <f ca="1">G127+SUM($C139:G139)</f>
        <v>178918.83267437888</v>
      </c>
      <c r="H141" s="7">
        <f ca="1">H127+SUM($C139:H139)</f>
        <v>245901.78181548161</v>
      </c>
      <c r="I141" s="7">
        <f ca="1">I127+SUM($C139:I139)</f>
        <v>323696.65132994356</v>
      </c>
      <c r="J141" s="7">
        <f ca="1">J127+SUM($C139:J139)</f>
        <v>388989.26300950802</v>
      </c>
      <c r="K141" s="7">
        <f ca="1">K127+SUM($C139:K139)</f>
        <v>539281.37409876089</v>
      </c>
      <c r="L141" s="7">
        <f ca="1">L127+SUM($C139:L139)</f>
        <v>601876.82255875634</v>
      </c>
      <c r="M141" s="7">
        <f ca="1">M127+SUM($C139:M139)</f>
        <v>721038.5473662219</v>
      </c>
      <c r="N141" s="7">
        <f ca="1">N127+SUM($C139:N139)</f>
        <v>846583.81996541878</v>
      </c>
      <c r="O141" s="7">
        <f ca="1">O127+SUM($C139:O139)</f>
        <v>978782.14070489258</v>
      </c>
      <c r="P141" s="7">
        <f ca="1">P127+SUM($C139:P139)</f>
        <v>1117913.239204355</v>
      </c>
      <c r="Q141" s="7">
        <f ca="1">Q127+SUM($C139:Q139)</f>
        <v>1264267.4396996587</v>
      </c>
      <c r="R141" s="7">
        <f ca="1">R127+SUM($C139:R139)</f>
        <v>1418146.0389312971</v>
      </c>
      <c r="S141" s="7">
        <f ca="1">S127+SUM($C139:S139)</f>
        <v>1473929.4664830596</v>
      </c>
      <c r="T141" s="7">
        <f ca="1">T127+SUM($C139:T139)</f>
        <v>1539631.0553787265</v>
      </c>
      <c r="U141" s="7">
        <f ca="1">U127+SUM($C139:U139)</f>
        <v>1608018.7707598673</v>
      </c>
      <c r="V141" s="7">
        <f ca="1">V127+SUM($C139:V139)</f>
        <v>1679196.2730464134</v>
      </c>
      <c r="W141" s="7">
        <f ca="1">W127+SUM($C139:W139)</f>
        <v>1753271.0393779005</v>
      </c>
      <c r="X141" s="7">
        <f ca="1">X127+SUM($C139:X139)</f>
        <v>1809947.5795442504</v>
      </c>
      <c r="Y141" s="7">
        <f ca="1">Y127+SUM($C139:Y139)</f>
        <v>1868727.9885819815</v>
      </c>
      <c r="Z141" s="7">
        <f ca="1">Z127+SUM($C139:Z139)</f>
        <v>1929693.7621849393</v>
      </c>
      <c r="AA141" s="7">
        <f ca="1">AA127+SUM($C139:AA139)</f>
        <v>1992929.5076662535</v>
      </c>
      <c r="AB141" s="7">
        <f ca="1">AB127+SUM($C139:AB139)</f>
        <v>2058523.0591570721</v>
      </c>
      <c r="AC141" s="7">
        <f ca="1">AC127+SUM($C139:AC139)</f>
        <v>2126565.5969370482</v>
      </c>
      <c r="AD141" s="7">
        <f ca="1">AD127+SUM($C139:AD139)</f>
        <v>2207012.5086333081</v>
      </c>
      <c r="AE141" s="7">
        <f ca="1">AE127+SUM($C139:AE139)</f>
        <v>2290594.3413533093</v>
      </c>
      <c r="AF141" s="7">
        <f ca="1">AF127+SUM($C139:AF139)</f>
        <v>2377431.5621965392</v>
      </c>
      <c r="AG141" s="7">
        <f ca="1">AG127+SUM($C139:AG139)</f>
        <v>2467649.1223028628</v>
      </c>
      <c r="AH141" s="7">
        <f ca="1">AH127+SUM($C139:AH139)</f>
        <v>2561376.6183629362</v>
      </c>
      <c r="AI141" s="7">
        <f ca="1">AI127+SUM($C139:AI139)</f>
        <v>2658748.4597796248</v>
      </c>
      <c r="AJ141" s="7">
        <f ca="1">AJ127+SUM($C139:AJ139)</f>
        <v>2759904.041673373</v>
      </c>
      <c r="AK141" s="7">
        <f ca="1">AK127+SUM($C139:AK139)</f>
        <v>2864987.92393093</v>
      </c>
      <c r="AL141" s="7">
        <f ca="1">AL127+SUM($C139:AL139)</f>
        <v>2974150.0165034966</v>
      </c>
      <c r="AM141" s="7">
        <f ca="1">AM127+SUM($C139:AM139)</f>
        <v>3087545.7711672578</v>
      </c>
    </row>
    <row r="142" spans="1:39">
      <c r="A142" s="3" t="s">
        <v>74</v>
      </c>
      <c r="C142" s="7">
        <f t="shared" ref="C142:AM142" ca="1" si="90">MAX(C141+buffer,0)-MAX(C127+buffer,0)</f>
        <v>0</v>
      </c>
      <c r="D142" s="7">
        <f t="shared" ca="1" si="90"/>
        <v>0</v>
      </c>
      <c r="E142" s="7">
        <f t="shared" ca="1" si="90"/>
        <v>0</v>
      </c>
      <c r="F142" s="7">
        <f t="shared" ca="1" si="90"/>
        <v>0</v>
      </c>
      <c r="G142" s="7">
        <f t="shared" ca="1" si="90"/>
        <v>0</v>
      </c>
      <c r="H142" s="7">
        <f t="shared" ca="1" si="90"/>
        <v>0</v>
      </c>
      <c r="I142" s="7">
        <f t="shared" ca="1" si="90"/>
        <v>0</v>
      </c>
      <c r="J142" s="7">
        <f t="shared" ca="1" si="90"/>
        <v>0</v>
      </c>
      <c r="K142" s="7">
        <f t="shared" ca="1" si="90"/>
        <v>0</v>
      </c>
      <c r="L142" s="7">
        <f t="shared" ca="1" si="90"/>
        <v>0</v>
      </c>
      <c r="M142" s="7">
        <f t="shared" ca="1" si="90"/>
        <v>0</v>
      </c>
      <c r="N142" s="7">
        <f t="shared" ca="1" si="90"/>
        <v>0</v>
      </c>
      <c r="O142" s="7">
        <f t="shared" ca="1" si="90"/>
        <v>0</v>
      </c>
      <c r="P142" s="7">
        <f t="shared" ca="1" si="90"/>
        <v>0</v>
      </c>
      <c r="Q142" s="7">
        <f t="shared" ca="1" si="90"/>
        <v>0</v>
      </c>
      <c r="R142" s="7">
        <f t="shared" ca="1" si="90"/>
        <v>0</v>
      </c>
      <c r="S142" s="7">
        <f t="shared" ca="1" si="90"/>
        <v>0</v>
      </c>
      <c r="T142" s="7">
        <f t="shared" ca="1" si="90"/>
        <v>0</v>
      </c>
      <c r="U142" s="7">
        <f t="shared" ca="1" si="90"/>
        <v>0</v>
      </c>
      <c r="V142" s="7">
        <f t="shared" ca="1" si="90"/>
        <v>0</v>
      </c>
      <c r="W142" s="7">
        <f t="shared" ca="1" si="90"/>
        <v>0</v>
      </c>
      <c r="X142" s="7">
        <f t="shared" ca="1" si="90"/>
        <v>0</v>
      </c>
      <c r="Y142" s="7">
        <f t="shared" ca="1" si="90"/>
        <v>0</v>
      </c>
      <c r="Z142" s="7">
        <f t="shared" ca="1" si="90"/>
        <v>0</v>
      </c>
      <c r="AA142" s="7">
        <f t="shared" ca="1" si="90"/>
        <v>0</v>
      </c>
      <c r="AB142" s="7">
        <f t="shared" ca="1" si="90"/>
        <v>0</v>
      </c>
      <c r="AC142" s="7">
        <f t="shared" ca="1" si="90"/>
        <v>0</v>
      </c>
      <c r="AD142" s="7">
        <f t="shared" ca="1" si="90"/>
        <v>0</v>
      </c>
      <c r="AE142" s="7">
        <f t="shared" ca="1" si="90"/>
        <v>0</v>
      </c>
      <c r="AF142" s="7">
        <f t="shared" ca="1" si="90"/>
        <v>0</v>
      </c>
      <c r="AG142" s="7">
        <f t="shared" ca="1" si="90"/>
        <v>0</v>
      </c>
      <c r="AH142" s="7">
        <f t="shared" ca="1" si="90"/>
        <v>0</v>
      </c>
      <c r="AI142" s="7">
        <f t="shared" ca="1" si="90"/>
        <v>0</v>
      </c>
      <c r="AJ142" s="7">
        <f t="shared" ca="1" si="90"/>
        <v>0</v>
      </c>
      <c r="AK142" s="7">
        <f t="shared" ca="1" si="90"/>
        <v>0</v>
      </c>
      <c r="AL142" s="7">
        <f t="shared" ca="1" si="90"/>
        <v>0</v>
      </c>
      <c r="AM142" s="7">
        <f t="shared" ca="1" si="90"/>
        <v>0</v>
      </c>
    </row>
    <row r="143" spans="1:39">
      <c r="A143" s="3" t="s">
        <v>75</v>
      </c>
      <c r="C143" s="7">
        <f ca="1">C142*Inputs!$B$181</f>
        <v>0</v>
      </c>
      <c r="D143" s="7">
        <f ca="1">D142*Inputs!$B$181</f>
        <v>0</v>
      </c>
      <c r="E143" s="7">
        <f ca="1">E142*Inputs!$B$181</f>
        <v>0</v>
      </c>
      <c r="F143" s="7">
        <f ca="1">F142*Inputs!$B$181</f>
        <v>0</v>
      </c>
      <c r="G143" s="7">
        <f ca="1">G142*Inputs!$B$181</f>
        <v>0</v>
      </c>
      <c r="H143" s="7">
        <f ca="1">H142*Inputs!$B$181</f>
        <v>0</v>
      </c>
      <c r="I143" s="7">
        <f ca="1">I142*Inputs!$B$181</f>
        <v>0</v>
      </c>
      <c r="J143" s="7">
        <f ca="1">J142*Inputs!$B$181</f>
        <v>0</v>
      </c>
      <c r="K143" s="7">
        <f ca="1">K142*Inputs!$B$181</f>
        <v>0</v>
      </c>
      <c r="L143" s="7">
        <f ca="1">L142*Inputs!$B$181</f>
        <v>0</v>
      </c>
      <c r="M143" s="7">
        <f ca="1">M142*Inputs!$B$181</f>
        <v>0</v>
      </c>
      <c r="N143" s="7">
        <f ca="1">N142*Inputs!$B$181</f>
        <v>0</v>
      </c>
      <c r="O143" s="7">
        <f ca="1">O142*Inputs!$B$181</f>
        <v>0</v>
      </c>
      <c r="P143" s="7">
        <f ca="1">P142*Inputs!$B$181</f>
        <v>0</v>
      </c>
      <c r="Q143" s="7">
        <f ca="1">Q142*Inputs!$B$181</f>
        <v>0</v>
      </c>
      <c r="R143" s="7">
        <f ca="1">R142*Inputs!$B$181</f>
        <v>0</v>
      </c>
      <c r="S143" s="7">
        <f ca="1">S142*Inputs!$B$181</f>
        <v>0</v>
      </c>
      <c r="T143" s="7">
        <f ca="1">T142*Inputs!$B$181</f>
        <v>0</v>
      </c>
      <c r="U143" s="7">
        <f ca="1">U142*Inputs!$B$181</f>
        <v>0</v>
      </c>
      <c r="V143" s="7">
        <f ca="1">V142*Inputs!$B$181</f>
        <v>0</v>
      </c>
      <c r="W143" s="7">
        <f ca="1">W142*Inputs!$B$181</f>
        <v>0</v>
      </c>
      <c r="X143" s="7">
        <f ca="1">X142*Inputs!$B$181</f>
        <v>0</v>
      </c>
      <c r="Y143" s="7">
        <f ca="1">Y142*Inputs!$B$181</f>
        <v>0</v>
      </c>
      <c r="Z143" s="7">
        <f ca="1">Z142*Inputs!$B$181</f>
        <v>0</v>
      </c>
      <c r="AA143" s="7">
        <f ca="1">AA142*Inputs!$B$181</f>
        <v>0</v>
      </c>
      <c r="AB143" s="7">
        <f ca="1">AB142*Inputs!$B$181</f>
        <v>0</v>
      </c>
      <c r="AC143" s="7">
        <f ca="1">AC142*Inputs!$B$181</f>
        <v>0</v>
      </c>
      <c r="AD143" s="7">
        <f ca="1">AD142*Inputs!$B$181</f>
        <v>0</v>
      </c>
      <c r="AE143" s="7">
        <f ca="1">AE142*Inputs!$B$181</f>
        <v>0</v>
      </c>
      <c r="AF143" s="7">
        <f ca="1">AF142*Inputs!$B$181</f>
        <v>0</v>
      </c>
      <c r="AG143" s="7">
        <f ca="1">AG142*Inputs!$B$181</f>
        <v>0</v>
      </c>
      <c r="AH143" s="7">
        <f ca="1">AH142*Inputs!$B$181</f>
        <v>0</v>
      </c>
      <c r="AI143" s="7">
        <f ca="1">AI142*Inputs!$B$181</f>
        <v>0</v>
      </c>
      <c r="AJ143" s="7">
        <f ca="1">AJ142*Inputs!$B$181</f>
        <v>0</v>
      </c>
      <c r="AK143" s="7">
        <f ca="1">AK142*Inputs!$B$181</f>
        <v>0</v>
      </c>
      <c r="AL143" s="7">
        <f ca="1">AL142*Inputs!$B$181</f>
        <v>0</v>
      </c>
      <c r="AM143" s="7">
        <f ca="1">AM142*Inputs!$B$181</f>
        <v>0</v>
      </c>
    </row>
    <row r="144" spans="1:39">
      <c r="A144" s="3" t="s">
        <v>158</v>
      </c>
      <c r="C144" s="7">
        <f ca="1">C141+SUM($C143:C143)</f>
        <v>37716.75</v>
      </c>
      <c r="D144" s="7">
        <f ca="1">D141+SUM($C143:D143)</f>
        <v>69048.493749999994</v>
      </c>
      <c r="E144" s="7">
        <f ca="1">E141+SUM($C143:E143)</f>
        <v>80800.384218750027</v>
      </c>
      <c r="F144" s="7">
        <f ca="1">F141+SUM($C143:F143)</f>
        <v>127283.44827895577</v>
      </c>
      <c r="G144" s="7">
        <f ca="1">G141+SUM($C143:G143)</f>
        <v>178918.83267437888</v>
      </c>
      <c r="H144" s="7">
        <f ca="1">H141+SUM($C143:H143)</f>
        <v>245901.78181548161</v>
      </c>
      <c r="I144" s="7">
        <f ca="1">I141+SUM($C143:I143)</f>
        <v>323696.65132994356</v>
      </c>
      <c r="J144" s="7">
        <f ca="1">J141+SUM($C143:J143)</f>
        <v>388989.26300950802</v>
      </c>
      <c r="K144" s="7">
        <f ca="1">K141+SUM($C143:K143)</f>
        <v>539281.37409876089</v>
      </c>
      <c r="L144" s="7">
        <f ca="1">L141+SUM($C143:L143)</f>
        <v>601876.82255875634</v>
      </c>
      <c r="M144" s="7">
        <f ca="1">M141+SUM($C143:M143)</f>
        <v>721038.5473662219</v>
      </c>
      <c r="N144" s="7">
        <f ca="1">N141+SUM($C143:N143)</f>
        <v>846583.81996541878</v>
      </c>
      <c r="O144" s="7">
        <f ca="1">O141+SUM($C143:O143)</f>
        <v>978782.14070489258</v>
      </c>
      <c r="P144" s="7">
        <f ca="1">P141+SUM($C143:P143)</f>
        <v>1117913.239204355</v>
      </c>
      <c r="Q144" s="7">
        <f ca="1">Q141+SUM($C143:Q143)</f>
        <v>1264267.4396996587</v>
      </c>
      <c r="R144" s="7">
        <f ca="1">R141+SUM($C143:R143)</f>
        <v>1418146.0389312971</v>
      </c>
      <c r="S144" s="7">
        <f ca="1">S141+SUM($C143:S143)</f>
        <v>1473929.4664830596</v>
      </c>
      <c r="T144" s="7">
        <f ca="1">T141+SUM($C143:T143)</f>
        <v>1539631.0553787265</v>
      </c>
      <c r="U144" s="7">
        <f ca="1">U141+SUM($C143:U143)</f>
        <v>1608018.7707598673</v>
      </c>
      <c r="V144" s="7">
        <f ca="1">V141+SUM($C143:V143)</f>
        <v>1679196.2730464134</v>
      </c>
      <c r="W144" s="7">
        <f ca="1">W141+SUM($C143:W143)</f>
        <v>1753271.0393779005</v>
      </c>
      <c r="X144" s="7">
        <f ca="1">X141+SUM($C143:X143)</f>
        <v>1809947.5795442504</v>
      </c>
      <c r="Y144" s="7">
        <f ca="1">Y141+SUM($C143:Y143)</f>
        <v>1868727.9885819815</v>
      </c>
      <c r="Z144" s="7">
        <f ca="1">Z141+SUM($C143:Z143)</f>
        <v>1929693.7621849393</v>
      </c>
      <c r="AA144" s="7">
        <f ca="1">AA141+SUM($C143:AA143)</f>
        <v>1992929.5076662535</v>
      </c>
      <c r="AB144" s="7">
        <f ca="1">AB141+SUM($C143:AB143)</f>
        <v>2058523.0591570721</v>
      </c>
      <c r="AC144" s="7">
        <f ca="1">AC141+SUM($C143:AC143)</f>
        <v>2126565.5969370482</v>
      </c>
      <c r="AD144" s="7">
        <f ca="1">AD141+SUM($C143:AD143)</f>
        <v>2207012.5086333081</v>
      </c>
      <c r="AE144" s="7">
        <f ca="1">AE141+SUM($C143:AE143)</f>
        <v>2290594.3413533093</v>
      </c>
      <c r="AF144" s="7">
        <f ca="1">AF141+SUM($C143:AF143)</f>
        <v>2377431.5621965392</v>
      </c>
      <c r="AG144" s="7">
        <f ca="1">AG141+SUM($C143:AG143)</f>
        <v>2467649.1223028628</v>
      </c>
      <c r="AH144" s="7">
        <f ca="1">AH141+SUM($C143:AH143)</f>
        <v>2561376.6183629362</v>
      </c>
      <c r="AI144" s="7">
        <f ca="1">AI141+SUM($C143:AI143)</f>
        <v>2658748.4597796248</v>
      </c>
      <c r="AJ144" s="7">
        <f ca="1">AJ141+SUM($C143:AJ143)</f>
        <v>2759904.041673373</v>
      </c>
      <c r="AK144" s="7">
        <f ca="1">AK141+SUM($C143:AK143)</f>
        <v>2864987.92393093</v>
      </c>
      <c r="AL144" s="7">
        <f ca="1">AL141+SUM($C143:AL143)</f>
        <v>2974150.0165034966</v>
      </c>
      <c r="AM144" s="7">
        <f ca="1">AM141+SUM($C143:AM143)</f>
        <v>3087545.7711672578</v>
      </c>
    </row>
    <row r="145" spans="1:39">
      <c r="A145" s="3" t="s">
        <v>20</v>
      </c>
      <c r="C145" s="7">
        <f ca="1">IF(C144&lt;0,-C144,0)</f>
        <v>0</v>
      </c>
      <c r="D145" s="7">
        <f ca="1">IF(D144+SUM($C145:C145)&lt;0,-(D144+SUM($C145:C145)),0)</f>
        <v>0</v>
      </c>
      <c r="E145" s="7">
        <f ca="1">IF(E144+SUM($C145:D145)&lt;0,-(E144+SUM($C145:D145)),0)</f>
        <v>0</v>
      </c>
      <c r="F145" s="7">
        <f ca="1">IF(F144+SUM($C145:E145)&lt;0,-(F144+SUM($C145:E145)),0)</f>
        <v>0</v>
      </c>
      <c r="G145" s="7">
        <f ca="1">IF(G144+SUM($C145:F145)&lt;0,-(G144+SUM($C145:F145)),0)</f>
        <v>0</v>
      </c>
      <c r="H145" s="7">
        <f ca="1">IF(H144+SUM($C145:G145)&lt;0,-(H144+SUM($C145:G145)),0)</f>
        <v>0</v>
      </c>
      <c r="I145" s="7">
        <f ca="1">IF(I144+SUM($C145:H145)&lt;0,-(I144+SUM($C145:H145)),0)</f>
        <v>0</v>
      </c>
      <c r="J145" s="7">
        <f ca="1">IF(J144+SUM($C145:I145)&lt;0,-(J144+SUM($C145:I145)),0)</f>
        <v>0</v>
      </c>
      <c r="K145" s="7">
        <f ca="1">IF(K144+SUM($C145:J145)&lt;0,-(K144+SUM($C145:J145)),0)</f>
        <v>0</v>
      </c>
      <c r="L145" s="7">
        <f ca="1">IF(L144+SUM($C145:K145)&lt;0,-(L144+SUM($C145:K145)),0)</f>
        <v>0</v>
      </c>
      <c r="M145" s="7">
        <f ca="1">IF(M144+SUM($C145:L145)&lt;0,-(M144+SUM($C145:L145)),0)</f>
        <v>0</v>
      </c>
      <c r="N145" s="7">
        <f ca="1">IF(N144+SUM($C145:M145)&lt;0,-(N144+SUM($C145:M145)),0)</f>
        <v>0</v>
      </c>
      <c r="O145" s="7">
        <f ca="1">IF(O144+SUM($C145:N145)&lt;0,-(O144+SUM($C145:N145)),0)</f>
        <v>0</v>
      </c>
      <c r="P145" s="7">
        <f ca="1">IF(P144+SUM($C145:O145)&lt;0,-(P144+SUM($C145:O145)),0)</f>
        <v>0</v>
      </c>
      <c r="Q145" s="7">
        <f ca="1">IF(Q144+SUM($C145:P145)&lt;0,-(Q144+SUM($C145:P145)),0)</f>
        <v>0</v>
      </c>
      <c r="R145" s="7">
        <f ca="1">IF(R144+SUM($C145:Q145)&lt;0,-(R144+SUM($C145:Q145)),0)</f>
        <v>0</v>
      </c>
      <c r="S145" s="7">
        <f ca="1">IF(S144+SUM($C145:R145)&lt;0,-(S144+SUM($C145:R145)),0)</f>
        <v>0</v>
      </c>
      <c r="T145" s="7">
        <f ca="1">IF(T144+SUM($C145:S145)&lt;0,-(T144+SUM($C145:S145)),0)</f>
        <v>0</v>
      </c>
      <c r="U145" s="7">
        <f ca="1">IF(U144+SUM($C145:T145)&lt;0,-(U144+SUM($C145:T145)),0)</f>
        <v>0</v>
      </c>
      <c r="V145" s="7">
        <f ca="1">IF(V144+SUM($C145:U145)&lt;0,-(V144+SUM($C145:U145)),0)</f>
        <v>0</v>
      </c>
      <c r="W145" s="7">
        <f ca="1">IF(W144+SUM($C145:V145)&lt;0,-(W144+SUM($C145:V145)),0)</f>
        <v>0</v>
      </c>
      <c r="X145" s="7">
        <f ca="1">IF(X144+SUM($C145:W145)&lt;0,-(X144+SUM($C145:W145)),0)</f>
        <v>0</v>
      </c>
      <c r="Y145" s="7">
        <f ca="1">IF(Y144+SUM($C145:X145)&lt;0,-(Y144+SUM($C145:X145)),0)</f>
        <v>0</v>
      </c>
      <c r="Z145" s="7">
        <f ca="1">IF(Z144+SUM($C145:Y145)&lt;0,-(Z144+SUM($C145:Y145)),0)</f>
        <v>0</v>
      </c>
      <c r="AA145" s="7">
        <f ca="1">IF(AA144+SUM($C145:Z145)&lt;0,-(AA144+SUM($C145:Z145)),0)</f>
        <v>0</v>
      </c>
      <c r="AB145" s="7">
        <f ca="1">IF(AB144+SUM($C145:AA145)&lt;0,-(AB144+SUM($C145:AA145)),0)</f>
        <v>0</v>
      </c>
      <c r="AC145" s="7">
        <f ca="1">IF(AC144+SUM($C145:AB145)&lt;0,-(AC144+SUM($C145:AB145)),0)</f>
        <v>0</v>
      </c>
      <c r="AD145" s="7">
        <f ca="1">IF(AD144+SUM($C145:AC145)&lt;0,-(AD144+SUM($C145:AC145)),0)</f>
        <v>0</v>
      </c>
      <c r="AE145" s="7">
        <f ca="1">IF(AE144+SUM($C145:AD145)&lt;0,-(AE144+SUM($C145:AD145)),0)</f>
        <v>0</v>
      </c>
      <c r="AF145" s="7">
        <f ca="1">IF(AF144+SUM($C145:AE145)&lt;0,-(AF144+SUM($C145:AE145)),0)</f>
        <v>0</v>
      </c>
      <c r="AG145" s="7">
        <f ca="1">IF(AG144+SUM($C145:AF145)&lt;0,-(AG144+SUM($C145:AF145)),0)</f>
        <v>0</v>
      </c>
      <c r="AH145" s="7">
        <f ca="1">IF(AH144+SUM($C145:AG145)&lt;0,-(AH144+SUM($C145:AG145)),0)</f>
        <v>0</v>
      </c>
      <c r="AI145" s="7">
        <f ca="1">IF(AI144+SUM($C145:AH145)&lt;0,-(AI144+SUM($C145:AH145)),0)</f>
        <v>0</v>
      </c>
      <c r="AJ145" s="7">
        <f ca="1">IF(AJ144+SUM($C145:AI145)&lt;0,-(AJ144+SUM($C145:AI145)),0)</f>
        <v>0</v>
      </c>
      <c r="AK145" s="7">
        <f ca="1">IF(AK144+SUM($C145:AJ145)&lt;0,-(AK144+SUM($C145:AJ145)),0)</f>
        <v>0</v>
      </c>
      <c r="AL145" s="7">
        <f ca="1">IF(AL144+SUM($C145:AK145)&lt;0,-(AL144+SUM($C145:AK145)),0)</f>
        <v>0</v>
      </c>
      <c r="AM145" s="7">
        <f ca="1">IF(AM144+SUM($C145:AL145)&lt;0,-(AM144+SUM($C145:AL145)),0)</f>
        <v>0</v>
      </c>
    </row>
    <row r="146" spans="1:39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 spans="1:39">
      <c r="A147" s="24" t="str">
        <f>IF(Inputs!$B$197=6,IFERROR(_xlfn.XLOOKUP($B147,Inputs!$B$198:$B$202,Inputs!$A$198:$A$202,,0,1),""),IFERROR(_xlfn.XLOOKUP($B147,Inputs!$C$198:$C$202,Inputs!$A$198:$A$202,,0,1),""))</f>
        <v>Qormi</v>
      </c>
      <c r="B147" s="26">
        <v>4</v>
      </c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</row>
    <row r="148" spans="1:39">
      <c r="A148" s="3" t="s">
        <v>22</v>
      </c>
      <c r="C148" s="7">
        <f>IFERROR(VLOOKUP($A147,$A$60:$H$78,C$1+2,FALSE),0)</f>
        <v>226600</v>
      </c>
      <c r="D148" s="7">
        <f ca="1">C151</f>
        <v>226600</v>
      </c>
      <c r="E148" s="7">
        <f t="shared" ref="E148:AM148" ca="1" si="91">D151</f>
        <v>233398</v>
      </c>
      <c r="F148" s="7">
        <f t="shared" ca="1" si="91"/>
        <v>240399.94</v>
      </c>
      <c r="G148" s="7">
        <f t="shared" ca="1" si="91"/>
        <v>247611.9382</v>
      </c>
      <c r="H148" s="7">
        <f t="shared" ca="1" si="91"/>
        <v>255040.29634600002</v>
      </c>
      <c r="I148" s="7">
        <f t="shared" ca="1" si="91"/>
        <v>262691.50523638004</v>
      </c>
      <c r="J148" s="7">
        <f t="shared" ca="1" si="91"/>
        <v>270572.25039347145</v>
      </c>
      <c r="K148" s="7">
        <f t="shared" ca="1" si="91"/>
        <v>278689.41790527559</v>
      </c>
      <c r="L148" s="7">
        <f t="shared" ca="1" si="91"/>
        <v>287050.10044243385</v>
      </c>
      <c r="M148" s="7">
        <f t="shared" ca="1" si="91"/>
        <v>295661.60345570685</v>
      </c>
      <c r="N148" s="7">
        <f t="shared" ca="1" si="91"/>
        <v>304531.45155937807</v>
      </c>
      <c r="O148" s="7">
        <f t="shared" ca="1" si="91"/>
        <v>313667.39510615938</v>
      </c>
      <c r="P148" s="7">
        <f t="shared" ca="1" si="91"/>
        <v>323077.41695934418</v>
      </c>
      <c r="Q148" s="7">
        <f t="shared" ca="1" si="91"/>
        <v>332769.73946812452</v>
      </c>
      <c r="R148" s="7">
        <f t="shared" ca="1" si="91"/>
        <v>342752.83165216824</v>
      </c>
      <c r="S148" s="7">
        <f t="shared" ca="1" si="91"/>
        <v>353035.4166017333</v>
      </c>
      <c r="T148" s="7">
        <f t="shared" ca="1" si="91"/>
        <v>363626.47909978533</v>
      </c>
      <c r="U148" s="7">
        <f t="shared" ca="1" si="91"/>
        <v>374535.27347277891</v>
      </c>
      <c r="V148" s="7">
        <f t="shared" ca="1" si="91"/>
        <v>385771.33167696226</v>
      </c>
      <c r="W148" s="7">
        <f t="shared" ca="1" si="91"/>
        <v>397344.47162727115</v>
      </c>
      <c r="X148" s="7">
        <f t="shared" ca="1" si="91"/>
        <v>409264.80577608931</v>
      </c>
      <c r="Y148" s="7">
        <f t="shared" ca="1" si="91"/>
        <v>421542.74994937197</v>
      </c>
      <c r="Z148" s="7">
        <f t="shared" ca="1" si="91"/>
        <v>434189.03244785313</v>
      </c>
      <c r="AA148" s="7">
        <f t="shared" ca="1" si="91"/>
        <v>447214.70342128869</v>
      </c>
      <c r="AB148" s="7">
        <f t="shared" ca="1" si="91"/>
        <v>460631.14452392736</v>
      </c>
      <c r="AC148" s="7">
        <f t="shared" ca="1" si="91"/>
        <v>474450.07885964517</v>
      </c>
      <c r="AD148" s="7">
        <f t="shared" ca="1" si="91"/>
        <v>488683.58122543455</v>
      </c>
      <c r="AE148" s="7">
        <f t="shared" ca="1" si="91"/>
        <v>503344.08866219758</v>
      </c>
      <c r="AF148" s="7">
        <f t="shared" ca="1" si="91"/>
        <v>518444.41132206353</v>
      </c>
      <c r="AG148" s="7">
        <f t="shared" ca="1" si="91"/>
        <v>533997.74366172543</v>
      </c>
      <c r="AH148" s="7">
        <f t="shared" ca="1" si="91"/>
        <v>550017.67597157718</v>
      </c>
      <c r="AI148" s="7">
        <f t="shared" ca="1" si="91"/>
        <v>566518.2062507245</v>
      </c>
      <c r="AJ148" s="7">
        <f t="shared" ca="1" si="91"/>
        <v>583513.75243824627</v>
      </c>
      <c r="AK148" s="7">
        <f t="shared" ca="1" si="91"/>
        <v>601019.1650113936</v>
      </c>
      <c r="AL148" s="7">
        <f t="shared" ca="1" si="91"/>
        <v>619049.73996173544</v>
      </c>
      <c r="AM148" s="7">
        <f t="shared" ca="1" si="91"/>
        <v>637621.23216058745</v>
      </c>
    </row>
    <row r="149" spans="1:39">
      <c r="A149" s="3" t="s">
        <v>23</v>
      </c>
      <c r="C149" s="7">
        <f ca="1">-IF(SUM(C145:D145)&gt;0,C148,0)</f>
        <v>0</v>
      </c>
      <c r="D149" s="7">
        <f ca="1">-IF(E145&gt;0,D148,0)</f>
        <v>0</v>
      </c>
      <c r="E149" s="7">
        <f ca="1">-IF(F145&gt;0,E148,0)</f>
        <v>0</v>
      </c>
      <c r="F149" s="7">
        <f ca="1">-IF(G145&gt;0,F148,0)</f>
        <v>0</v>
      </c>
      <c r="G149" s="7">
        <f t="shared" ref="G149:AM149" ca="1" si="92">-IF(H145&gt;0,G148,0)</f>
        <v>0</v>
      </c>
      <c r="H149" s="7">
        <f t="shared" ca="1" si="92"/>
        <v>0</v>
      </c>
      <c r="I149" s="7">
        <f t="shared" ca="1" si="92"/>
        <v>0</v>
      </c>
      <c r="J149" s="7">
        <f t="shared" ca="1" si="92"/>
        <v>0</v>
      </c>
      <c r="K149" s="7">
        <f t="shared" ca="1" si="92"/>
        <v>0</v>
      </c>
      <c r="L149" s="7">
        <f t="shared" ca="1" si="92"/>
        <v>0</v>
      </c>
      <c r="M149" s="7">
        <f t="shared" ca="1" si="92"/>
        <v>0</v>
      </c>
      <c r="N149" s="7">
        <f t="shared" ca="1" si="92"/>
        <v>0</v>
      </c>
      <c r="O149" s="7">
        <f t="shared" ca="1" si="92"/>
        <v>0</v>
      </c>
      <c r="P149" s="7">
        <f t="shared" ca="1" si="92"/>
        <v>0</v>
      </c>
      <c r="Q149" s="7">
        <f t="shared" ca="1" si="92"/>
        <v>0</v>
      </c>
      <c r="R149" s="7">
        <f t="shared" ca="1" si="92"/>
        <v>0</v>
      </c>
      <c r="S149" s="7">
        <f t="shared" ca="1" si="92"/>
        <v>0</v>
      </c>
      <c r="T149" s="7">
        <f t="shared" ca="1" si="92"/>
        <v>0</v>
      </c>
      <c r="U149" s="7">
        <f t="shared" ca="1" si="92"/>
        <v>0</v>
      </c>
      <c r="V149" s="7">
        <f t="shared" ca="1" si="92"/>
        <v>0</v>
      </c>
      <c r="W149" s="7">
        <f t="shared" ca="1" si="92"/>
        <v>0</v>
      </c>
      <c r="X149" s="7">
        <f t="shared" ca="1" si="92"/>
        <v>0</v>
      </c>
      <c r="Y149" s="7">
        <f t="shared" ca="1" si="92"/>
        <v>0</v>
      </c>
      <c r="Z149" s="7">
        <f t="shared" ca="1" si="92"/>
        <v>0</v>
      </c>
      <c r="AA149" s="7">
        <f t="shared" ca="1" si="92"/>
        <v>0</v>
      </c>
      <c r="AB149" s="7">
        <f t="shared" ca="1" si="92"/>
        <v>0</v>
      </c>
      <c r="AC149" s="7">
        <f t="shared" ca="1" si="92"/>
        <v>0</v>
      </c>
      <c r="AD149" s="7">
        <f t="shared" ca="1" si="92"/>
        <v>0</v>
      </c>
      <c r="AE149" s="7">
        <f t="shared" ca="1" si="92"/>
        <v>0</v>
      </c>
      <c r="AF149" s="7">
        <f t="shared" ca="1" si="92"/>
        <v>0</v>
      </c>
      <c r="AG149" s="7">
        <f t="shared" ca="1" si="92"/>
        <v>0</v>
      </c>
      <c r="AH149" s="7">
        <f t="shared" ca="1" si="92"/>
        <v>0</v>
      </c>
      <c r="AI149" s="7">
        <f t="shared" ca="1" si="92"/>
        <v>0</v>
      </c>
      <c r="AJ149" s="7">
        <f t="shared" ca="1" si="92"/>
        <v>0</v>
      </c>
      <c r="AK149" s="7">
        <f t="shared" ca="1" si="92"/>
        <v>0</v>
      </c>
      <c r="AL149" s="7">
        <f t="shared" ca="1" si="92"/>
        <v>0</v>
      </c>
      <c r="AM149" s="7">
        <f t="shared" si="92"/>
        <v>0</v>
      </c>
    </row>
    <row r="150" spans="1:39">
      <c r="A150" s="3" t="s">
        <v>24</v>
      </c>
      <c r="C150" s="7">
        <v>0</v>
      </c>
      <c r="D150" s="7">
        <f t="shared" ref="D150:G150" ca="1" si="93">SUM(D148:D149)*princ</f>
        <v>6798</v>
      </c>
      <c r="E150" s="7">
        <f t="shared" ca="1" si="93"/>
        <v>7001.94</v>
      </c>
      <c r="F150" s="7">
        <f t="shared" ca="1" si="93"/>
        <v>7211.9982</v>
      </c>
      <c r="G150" s="7">
        <f t="shared" ca="1" si="93"/>
        <v>7428.3581459999996</v>
      </c>
      <c r="H150" s="7">
        <f t="shared" ref="H150:I150" ca="1" si="94">SUM(H148:H149)*princ</f>
        <v>7651.2088903800004</v>
      </c>
      <c r="I150" s="7">
        <f t="shared" ca="1" si="94"/>
        <v>7880.7451570914009</v>
      </c>
      <c r="J150" s="7">
        <f t="shared" ref="J150:AM150" ca="1" si="95">SUM(J148:J149)*princ</f>
        <v>8117.167511804143</v>
      </c>
      <c r="K150" s="7">
        <f t="shared" ca="1" si="95"/>
        <v>8360.6825371582672</v>
      </c>
      <c r="L150" s="7">
        <f t="shared" ca="1" si="95"/>
        <v>8611.5030132730153</v>
      </c>
      <c r="M150" s="7">
        <f t="shared" ca="1" si="95"/>
        <v>8869.8481036712055</v>
      </c>
      <c r="N150" s="7">
        <f t="shared" ca="1" si="95"/>
        <v>9135.9435467813419</v>
      </c>
      <c r="O150" s="7">
        <f t="shared" ca="1" si="95"/>
        <v>9410.0218531847804</v>
      </c>
      <c r="P150" s="7">
        <f t="shared" ca="1" si="95"/>
        <v>9692.3225087803257</v>
      </c>
      <c r="Q150" s="7">
        <f t="shared" ca="1" si="95"/>
        <v>9983.092184043735</v>
      </c>
      <c r="R150" s="7">
        <f t="shared" ca="1" si="95"/>
        <v>10282.584949565047</v>
      </c>
      <c r="S150" s="7">
        <f t="shared" ca="1" si="95"/>
        <v>10591.062498051999</v>
      </c>
      <c r="T150" s="7">
        <f t="shared" ca="1" si="95"/>
        <v>10908.79437299356</v>
      </c>
      <c r="U150" s="7">
        <f t="shared" ca="1" si="95"/>
        <v>11236.058204183366</v>
      </c>
      <c r="V150" s="7">
        <f t="shared" ca="1" si="95"/>
        <v>11573.139950308867</v>
      </c>
      <c r="W150" s="7">
        <f t="shared" ca="1" si="95"/>
        <v>11920.334148818134</v>
      </c>
      <c r="X150" s="7">
        <f t="shared" ca="1" si="95"/>
        <v>12277.944173282678</v>
      </c>
      <c r="Y150" s="7">
        <f t="shared" ca="1" si="95"/>
        <v>12646.282498481158</v>
      </c>
      <c r="Z150" s="7">
        <f t="shared" ca="1" si="95"/>
        <v>13025.670973435594</v>
      </c>
      <c r="AA150" s="7">
        <f t="shared" ca="1" si="95"/>
        <v>13416.441102638661</v>
      </c>
      <c r="AB150" s="7">
        <f t="shared" ca="1" si="95"/>
        <v>13818.93433571782</v>
      </c>
      <c r="AC150" s="7">
        <f t="shared" ca="1" si="95"/>
        <v>14233.502365789354</v>
      </c>
      <c r="AD150" s="7">
        <f t="shared" ca="1" si="95"/>
        <v>14660.507436763037</v>
      </c>
      <c r="AE150" s="7">
        <f t="shared" ca="1" si="95"/>
        <v>15100.322659865928</v>
      </c>
      <c r="AF150" s="7">
        <f t="shared" ca="1" si="95"/>
        <v>15553.332339661905</v>
      </c>
      <c r="AG150" s="7">
        <f t="shared" ca="1" si="95"/>
        <v>16019.932309851762</v>
      </c>
      <c r="AH150" s="7">
        <f t="shared" ca="1" si="95"/>
        <v>16500.530279147315</v>
      </c>
      <c r="AI150" s="7">
        <f t="shared" ca="1" si="95"/>
        <v>16995.546187521733</v>
      </c>
      <c r="AJ150" s="7">
        <f t="shared" ca="1" si="95"/>
        <v>17505.412573147387</v>
      </c>
      <c r="AK150" s="7">
        <f t="shared" ca="1" si="95"/>
        <v>18030.574950341808</v>
      </c>
      <c r="AL150" s="7">
        <f t="shared" ca="1" si="95"/>
        <v>18571.492198852062</v>
      </c>
      <c r="AM150" s="7">
        <f t="shared" ca="1" si="95"/>
        <v>19128.636964817622</v>
      </c>
    </row>
    <row r="151" spans="1:39">
      <c r="A151" s="3" t="s">
        <v>25</v>
      </c>
      <c r="C151" s="7">
        <f ca="1">SUM(C148:C150)</f>
        <v>226600</v>
      </c>
      <c r="D151" s="7">
        <f t="shared" ref="D151:AM151" ca="1" si="96">SUM(D148:D150)</f>
        <v>233398</v>
      </c>
      <c r="E151" s="7">
        <f t="shared" ca="1" si="96"/>
        <v>240399.94</v>
      </c>
      <c r="F151" s="7">
        <f t="shared" ca="1" si="96"/>
        <v>247611.9382</v>
      </c>
      <c r="G151" s="7">
        <f t="shared" ca="1" si="96"/>
        <v>255040.29634600002</v>
      </c>
      <c r="H151" s="7">
        <f t="shared" ca="1" si="96"/>
        <v>262691.50523638004</v>
      </c>
      <c r="I151" s="7">
        <f t="shared" ca="1" si="96"/>
        <v>270572.25039347145</v>
      </c>
      <c r="J151" s="7">
        <f t="shared" ca="1" si="96"/>
        <v>278689.41790527559</v>
      </c>
      <c r="K151" s="7">
        <f t="shared" ca="1" si="96"/>
        <v>287050.10044243385</v>
      </c>
      <c r="L151" s="7">
        <f t="shared" ca="1" si="96"/>
        <v>295661.60345570685</v>
      </c>
      <c r="M151" s="7">
        <f t="shared" ca="1" si="96"/>
        <v>304531.45155937807</v>
      </c>
      <c r="N151" s="7">
        <f t="shared" ca="1" si="96"/>
        <v>313667.39510615938</v>
      </c>
      <c r="O151" s="7">
        <f t="shared" ca="1" si="96"/>
        <v>323077.41695934418</v>
      </c>
      <c r="P151" s="7">
        <f t="shared" ca="1" si="96"/>
        <v>332769.73946812452</v>
      </c>
      <c r="Q151" s="7">
        <f t="shared" ca="1" si="96"/>
        <v>342752.83165216824</v>
      </c>
      <c r="R151" s="7">
        <f t="shared" ca="1" si="96"/>
        <v>353035.4166017333</v>
      </c>
      <c r="S151" s="7">
        <f t="shared" ca="1" si="96"/>
        <v>363626.47909978533</v>
      </c>
      <c r="T151" s="7">
        <f t="shared" ca="1" si="96"/>
        <v>374535.27347277891</v>
      </c>
      <c r="U151" s="7">
        <f t="shared" ca="1" si="96"/>
        <v>385771.33167696226</v>
      </c>
      <c r="V151" s="7">
        <f t="shared" ca="1" si="96"/>
        <v>397344.47162727115</v>
      </c>
      <c r="W151" s="7">
        <f t="shared" ca="1" si="96"/>
        <v>409264.80577608931</v>
      </c>
      <c r="X151" s="7">
        <f t="shared" ca="1" si="96"/>
        <v>421542.74994937197</v>
      </c>
      <c r="Y151" s="7">
        <f t="shared" ca="1" si="96"/>
        <v>434189.03244785313</v>
      </c>
      <c r="Z151" s="7">
        <f t="shared" ca="1" si="96"/>
        <v>447214.70342128869</v>
      </c>
      <c r="AA151" s="7">
        <f t="shared" ca="1" si="96"/>
        <v>460631.14452392736</v>
      </c>
      <c r="AB151" s="7">
        <f t="shared" ca="1" si="96"/>
        <v>474450.07885964517</v>
      </c>
      <c r="AC151" s="7">
        <f t="shared" ca="1" si="96"/>
        <v>488683.58122543455</v>
      </c>
      <c r="AD151" s="7">
        <f t="shared" ca="1" si="96"/>
        <v>503344.08866219758</v>
      </c>
      <c r="AE151" s="7">
        <f t="shared" ca="1" si="96"/>
        <v>518444.41132206353</v>
      </c>
      <c r="AF151" s="7">
        <f t="shared" ca="1" si="96"/>
        <v>533997.74366172543</v>
      </c>
      <c r="AG151" s="7">
        <f t="shared" ca="1" si="96"/>
        <v>550017.67597157718</v>
      </c>
      <c r="AH151" s="7">
        <f t="shared" ca="1" si="96"/>
        <v>566518.2062507245</v>
      </c>
      <c r="AI151" s="7">
        <f t="shared" ca="1" si="96"/>
        <v>583513.75243824627</v>
      </c>
      <c r="AJ151" s="7">
        <f t="shared" ca="1" si="96"/>
        <v>601019.1650113936</v>
      </c>
      <c r="AK151" s="7">
        <f t="shared" ca="1" si="96"/>
        <v>619049.73996173544</v>
      </c>
      <c r="AL151" s="7">
        <f t="shared" ca="1" si="96"/>
        <v>637621.23216058745</v>
      </c>
      <c r="AM151" s="7">
        <f t="shared" ca="1" si="96"/>
        <v>656749.86912540509</v>
      </c>
    </row>
    <row r="152" spans="1:39">
      <c r="A152" s="3" t="s">
        <v>26</v>
      </c>
      <c r="C152" s="7">
        <f ca="1">C149*Inputs!$B$195</f>
        <v>0</v>
      </c>
      <c r="D152" s="7">
        <f ca="1">D149*Inputs!$B$195</f>
        <v>0</v>
      </c>
      <c r="E152" s="7">
        <f ca="1">E149*Inputs!$B$195</f>
        <v>0</v>
      </c>
      <c r="F152" s="7">
        <f ca="1">F149*Inputs!$B$195</f>
        <v>0</v>
      </c>
      <c r="G152" s="7">
        <f ca="1">G149*Inputs!$B$195</f>
        <v>0</v>
      </c>
      <c r="H152" s="7">
        <f ca="1">H149*Inputs!$B$195</f>
        <v>0</v>
      </c>
      <c r="I152" s="7">
        <f ca="1">I149*Inputs!$B$195</f>
        <v>0</v>
      </c>
      <c r="J152" s="7">
        <f ca="1">J149*Inputs!$B$195</f>
        <v>0</v>
      </c>
      <c r="K152" s="7">
        <f ca="1">K149*Inputs!$B$195</f>
        <v>0</v>
      </c>
      <c r="L152" s="7">
        <f ca="1">L149*Inputs!$B$195</f>
        <v>0</v>
      </c>
      <c r="M152" s="7">
        <f ca="1">M149*Inputs!$B$195</f>
        <v>0</v>
      </c>
      <c r="N152" s="7">
        <f ca="1">N149*Inputs!$B$195</f>
        <v>0</v>
      </c>
      <c r="O152" s="7">
        <f ca="1">O149*Inputs!$B$195</f>
        <v>0</v>
      </c>
      <c r="P152" s="7">
        <f ca="1">P149*Inputs!$B$195</f>
        <v>0</v>
      </c>
      <c r="Q152" s="7">
        <f ca="1">Q149*Inputs!$B$195</f>
        <v>0</v>
      </c>
      <c r="R152" s="7">
        <f ca="1">R149*Inputs!$B$195</f>
        <v>0</v>
      </c>
      <c r="S152" s="7">
        <f ca="1">S149*Inputs!$B$195</f>
        <v>0</v>
      </c>
      <c r="T152" s="7">
        <f ca="1">T149*Inputs!$B$195</f>
        <v>0</v>
      </c>
      <c r="U152" s="7">
        <f ca="1">U149*Inputs!$B$195</f>
        <v>0</v>
      </c>
      <c r="V152" s="7">
        <f ca="1">V149*Inputs!$B$195</f>
        <v>0</v>
      </c>
      <c r="W152" s="7">
        <f ca="1">W149*Inputs!$B$195</f>
        <v>0</v>
      </c>
      <c r="X152" s="7">
        <f ca="1">X149*Inputs!$B$195</f>
        <v>0</v>
      </c>
      <c r="Y152" s="7">
        <f ca="1">Y149*Inputs!$B$195</f>
        <v>0</v>
      </c>
      <c r="Z152" s="7">
        <f ca="1">Z149*Inputs!$B$195</f>
        <v>0</v>
      </c>
      <c r="AA152" s="7">
        <f ca="1">AA149*Inputs!$B$195</f>
        <v>0</v>
      </c>
      <c r="AB152" s="7">
        <f ca="1">AB149*Inputs!$B$195</f>
        <v>0</v>
      </c>
      <c r="AC152" s="7">
        <f ca="1">AC149*Inputs!$B$195</f>
        <v>0</v>
      </c>
      <c r="AD152" s="7">
        <f ca="1">AD149*Inputs!$B$195</f>
        <v>0</v>
      </c>
      <c r="AE152" s="7">
        <f ca="1">AE149*Inputs!$B$195</f>
        <v>0</v>
      </c>
      <c r="AF152" s="7">
        <f ca="1">AF149*Inputs!$B$195</f>
        <v>0</v>
      </c>
      <c r="AG152" s="7">
        <f ca="1">AG149*Inputs!$B$195</f>
        <v>0</v>
      </c>
      <c r="AH152" s="7">
        <f ca="1">AH149*Inputs!$B$195</f>
        <v>0</v>
      </c>
      <c r="AI152" s="7">
        <f ca="1">AI149*Inputs!$B$195</f>
        <v>0</v>
      </c>
      <c r="AJ152" s="7">
        <f ca="1">AJ149*Inputs!$B$195</f>
        <v>0</v>
      </c>
      <c r="AK152" s="7">
        <f ca="1">AK149*Inputs!$B$195</f>
        <v>0</v>
      </c>
      <c r="AL152" s="7">
        <f ca="1">AL149*Inputs!$B$195</f>
        <v>0</v>
      </c>
      <c r="AM152" s="7">
        <f>AM149*Inputs!$B$195</f>
        <v>0</v>
      </c>
    </row>
    <row r="153" spans="1:39">
      <c r="A153" s="3" t="s">
        <v>31</v>
      </c>
      <c r="C153" s="7">
        <f t="shared" ref="C153:AM153" si="97">IFERROR(-IF(C148=0,VLOOKUP($A147,$8:$12,C$1+2,FALSE),0),0)</f>
        <v>0</v>
      </c>
      <c r="D153" s="7">
        <f t="shared" ca="1" si="97"/>
        <v>0</v>
      </c>
      <c r="E153" s="7">
        <f t="shared" ca="1" si="97"/>
        <v>0</v>
      </c>
      <c r="F153" s="7">
        <f t="shared" ca="1" si="97"/>
        <v>0</v>
      </c>
      <c r="G153" s="7">
        <f t="shared" ca="1" si="97"/>
        <v>0</v>
      </c>
      <c r="H153" s="7">
        <f t="shared" ca="1" si="97"/>
        <v>0</v>
      </c>
      <c r="I153" s="7">
        <f t="shared" ca="1" si="97"/>
        <v>0</v>
      </c>
      <c r="J153" s="7">
        <f t="shared" ca="1" si="97"/>
        <v>0</v>
      </c>
      <c r="K153" s="7">
        <f t="shared" ca="1" si="97"/>
        <v>0</v>
      </c>
      <c r="L153" s="7">
        <f t="shared" ca="1" si="97"/>
        <v>0</v>
      </c>
      <c r="M153" s="7">
        <f t="shared" ca="1" si="97"/>
        <v>0</v>
      </c>
      <c r="N153" s="7">
        <f t="shared" ca="1" si="97"/>
        <v>0</v>
      </c>
      <c r="O153" s="7">
        <f t="shared" ca="1" si="97"/>
        <v>0</v>
      </c>
      <c r="P153" s="7">
        <f t="shared" ca="1" si="97"/>
        <v>0</v>
      </c>
      <c r="Q153" s="7">
        <f t="shared" ca="1" si="97"/>
        <v>0</v>
      </c>
      <c r="R153" s="7">
        <f t="shared" ca="1" si="97"/>
        <v>0</v>
      </c>
      <c r="S153" s="7">
        <f t="shared" ca="1" si="97"/>
        <v>0</v>
      </c>
      <c r="T153" s="7">
        <f t="shared" ca="1" si="97"/>
        <v>0</v>
      </c>
      <c r="U153" s="7">
        <f t="shared" ca="1" si="97"/>
        <v>0</v>
      </c>
      <c r="V153" s="7">
        <f t="shared" ca="1" si="97"/>
        <v>0</v>
      </c>
      <c r="W153" s="7">
        <f t="shared" ca="1" si="97"/>
        <v>0</v>
      </c>
      <c r="X153" s="7">
        <f t="shared" ca="1" si="97"/>
        <v>0</v>
      </c>
      <c r="Y153" s="7">
        <f t="shared" ca="1" si="97"/>
        <v>0</v>
      </c>
      <c r="Z153" s="7">
        <f t="shared" ca="1" si="97"/>
        <v>0</v>
      </c>
      <c r="AA153" s="7">
        <f t="shared" ca="1" si="97"/>
        <v>0</v>
      </c>
      <c r="AB153" s="7">
        <f t="shared" ca="1" si="97"/>
        <v>0</v>
      </c>
      <c r="AC153" s="7">
        <f t="shared" ca="1" si="97"/>
        <v>0</v>
      </c>
      <c r="AD153" s="7">
        <f t="shared" ca="1" si="97"/>
        <v>0</v>
      </c>
      <c r="AE153" s="7">
        <f t="shared" ca="1" si="97"/>
        <v>0</v>
      </c>
      <c r="AF153" s="7">
        <f t="shared" ca="1" si="97"/>
        <v>0</v>
      </c>
      <c r="AG153" s="7">
        <f t="shared" ca="1" si="97"/>
        <v>0</v>
      </c>
      <c r="AH153" s="7">
        <f t="shared" ca="1" si="97"/>
        <v>0</v>
      </c>
      <c r="AI153" s="7">
        <f t="shared" ca="1" si="97"/>
        <v>0</v>
      </c>
      <c r="AJ153" s="7">
        <f t="shared" ca="1" si="97"/>
        <v>0</v>
      </c>
      <c r="AK153" s="7">
        <f t="shared" ca="1" si="97"/>
        <v>0</v>
      </c>
      <c r="AL153" s="7">
        <f t="shared" ca="1" si="97"/>
        <v>0</v>
      </c>
      <c r="AM153" s="7">
        <f t="shared" ca="1" si="97"/>
        <v>0</v>
      </c>
    </row>
    <row r="154" spans="1:39">
      <c r="A154" s="3" t="s">
        <v>50</v>
      </c>
      <c r="C154" s="7">
        <f t="shared" ref="C154:AM154" si="98">IFERROR(IF(C148=0,VLOOKUP($A147,$40:$44,C$1+2,FALSE),0),0)</f>
        <v>0</v>
      </c>
      <c r="D154" s="7">
        <f t="shared" ca="1" si="98"/>
        <v>0</v>
      </c>
      <c r="E154" s="7">
        <f t="shared" ca="1" si="98"/>
        <v>0</v>
      </c>
      <c r="F154" s="7">
        <f t="shared" ca="1" si="98"/>
        <v>0</v>
      </c>
      <c r="G154" s="7">
        <f t="shared" ca="1" si="98"/>
        <v>0</v>
      </c>
      <c r="H154" s="7">
        <f t="shared" ca="1" si="98"/>
        <v>0</v>
      </c>
      <c r="I154" s="7">
        <f t="shared" ca="1" si="98"/>
        <v>0</v>
      </c>
      <c r="J154" s="7">
        <f t="shared" ca="1" si="98"/>
        <v>0</v>
      </c>
      <c r="K154" s="7">
        <f t="shared" ca="1" si="98"/>
        <v>0</v>
      </c>
      <c r="L154" s="7">
        <f t="shared" ca="1" si="98"/>
        <v>0</v>
      </c>
      <c r="M154" s="7">
        <f t="shared" ca="1" si="98"/>
        <v>0</v>
      </c>
      <c r="N154" s="7">
        <f t="shared" ca="1" si="98"/>
        <v>0</v>
      </c>
      <c r="O154" s="7">
        <f t="shared" ca="1" si="98"/>
        <v>0</v>
      </c>
      <c r="P154" s="7">
        <f t="shared" ca="1" si="98"/>
        <v>0</v>
      </c>
      <c r="Q154" s="7">
        <f t="shared" ca="1" si="98"/>
        <v>0</v>
      </c>
      <c r="R154" s="7">
        <f t="shared" ca="1" si="98"/>
        <v>0</v>
      </c>
      <c r="S154" s="7">
        <f t="shared" ca="1" si="98"/>
        <v>0</v>
      </c>
      <c r="T154" s="7">
        <f t="shared" ca="1" si="98"/>
        <v>0</v>
      </c>
      <c r="U154" s="7">
        <f t="shared" ca="1" si="98"/>
        <v>0</v>
      </c>
      <c r="V154" s="7">
        <f t="shared" ca="1" si="98"/>
        <v>0</v>
      </c>
      <c r="W154" s="7">
        <f t="shared" ca="1" si="98"/>
        <v>0</v>
      </c>
      <c r="X154" s="7">
        <f t="shared" ca="1" si="98"/>
        <v>0</v>
      </c>
      <c r="Y154" s="7">
        <f t="shared" ca="1" si="98"/>
        <v>0</v>
      </c>
      <c r="Z154" s="7">
        <f t="shared" ca="1" si="98"/>
        <v>0</v>
      </c>
      <c r="AA154" s="7">
        <f t="shared" ca="1" si="98"/>
        <v>0</v>
      </c>
      <c r="AB154" s="7">
        <f t="shared" ca="1" si="98"/>
        <v>0</v>
      </c>
      <c r="AC154" s="7">
        <f t="shared" ca="1" si="98"/>
        <v>0</v>
      </c>
      <c r="AD154" s="7">
        <f t="shared" ca="1" si="98"/>
        <v>0</v>
      </c>
      <c r="AE154" s="7">
        <f t="shared" ca="1" si="98"/>
        <v>0</v>
      </c>
      <c r="AF154" s="7">
        <f t="shared" ca="1" si="98"/>
        <v>0</v>
      </c>
      <c r="AG154" s="7">
        <f t="shared" ca="1" si="98"/>
        <v>0</v>
      </c>
      <c r="AH154" s="7">
        <f t="shared" ca="1" si="98"/>
        <v>0</v>
      </c>
      <c r="AI154" s="7">
        <f t="shared" ca="1" si="98"/>
        <v>0</v>
      </c>
      <c r="AJ154" s="7">
        <f t="shared" ca="1" si="98"/>
        <v>0</v>
      </c>
      <c r="AK154" s="7">
        <f t="shared" ca="1" si="98"/>
        <v>0</v>
      </c>
      <c r="AL154" s="7">
        <f t="shared" ca="1" si="98"/>
        <v>0</v>
      </c>
      <c r="AM154" s="7">
        <f t="shared" ca="1" si="98"/>
        <v>0</v>
      </c>
    </row>
    <row r="155" spans="1:39">
      <c r="A155" s="3" t="s">
        <v>36</v>
      </c>
      <c r="B155" s="14" t="str">
        <f>A147</f>
        <v>Qormi</v>
      </c>
      <c r="C155" s="7">
        <f t="shared" ref="C155:AM155" ca="1" si="99">IF(AND(C148&gt;0,C151=0),VLOOKUP($A147,$72:$76,C$1+2,FALSE),0)</f>
        <v>0</v>
      </c>
      <c r="D155" s="7">
        <f t="shared" ca="1" si="99"/>
        <v>0</v>
      </c>
      <c r="E155" s="7">
        <f t="shared" ca="1" si="99"/>
        <v>0</v>
      </c>
      <c r="F155" s="7">
        <f t="shared" ca="1" si="99"/>
        <v>0</v>
      </c>
      <c r="G155" s="7">
        <f t="shared" ca="1" si="99"/>
        <v>0</v>
      </c>
      <c r="H155" s="7">
        <f t="shared" ca="1" si="99"/>
        <v>0</v>
      </c>
      <c r="I155" s="7">
        <f t="shared" ca="1" si="99"/>
        <v>0</v>
      </c>
      <c r="J155" s="7">
        <f t="shared" ca="1" si="99"/>
        <v>0</v>
      </c>
      <c r="K155" s="7">
        <f t="shared" ca="1" si="99"/>
        <v>0</v>
      </c>
      <c r="L155" s="7">
        <f t="shared" ca="1" si="99"/>
        <v>0</v>
      </c>
      <c r="M155" s="7">
        <f t="shared" ca="1" si="99"/>
        <v>0</v>
      </c>
      <c r="N155" s="7">
        <f t="shared" ca="1" si="99"/>
        <v>0</v>
      </c>
      <c r="O155" s="7">
        <f t="shared" ca="1" si="99"/>
        <v>0</v>
      </c>
      <c r="P155" s="7">
        <f t="shared" ca="1" si="99"/>
        <v>0</v>
      </c>
      <c r="Q155" s="7">
        <f t="shared" ca="1" si="99"/>
        <v>0</v>
      </c>
      <c r="R155" s="7">
        <f t="shared" ca="1" si="99"/>
        <v>0</v>
      </c>
      <c r="S155" s="7">
        <f t="shared" ca="1" si="99"/>
        <v>0</v>
      </c>
      <c r="T155" s="7">
        <f t="shared" ca="1" si="99"/>
        <v>0</v>
      </c>
      <c r="U155" s="7">
        <f t="shared" ca="1" si="99"/>
        <v>0</v>
      </c>
      <c r="V155" s="7">
        <f t="shared" ca="1" si="99"/>
        <v>0</v>
      </c>
      <c r="W155" s="7">
        <f t="shared" ca="1" si="99"/>
        <v>0</v>
      </c>
      <c r="X155" s="7">
        <f t="shared" ca="1" si="99"/>
        <v>0</v>
      </c>
      <c r="Y155" s="7">
        <f t="shared" ca="1" si="99"/>
        <v>0</v>
      </c>
      <c r="Z155" s="7">
        <f t="shared" ca="1" si="99"/>
        <v>0</v>
      </c>
      <c r="AA155" s="7">
        <f t="shared" ca="1" si="99"/>
        <v>0</v>
      </c>
      <c r="AB155" s="7">
        <f t="shared" ca="1" si="99"/>
        <v>0</v>
      </c>
      <c r="AC155" s="7">
        <f t="shared" ca="1" si="99"/>
        <v>0</v>
      </c>
      <c r="AD155" s="7">
        <f t="shared" ca="1" si="99"/>
        <v>0</v>
      </c>
      <c r="AE155" s="7">
        <f t="shared" ca="1" si="99"/>
        <v>0</v>
      </c>
      <c r="AF155" s="7">
        <f t="shared" ca="1" si="99"/>
        <v>0</v>
      </c>
      <c r="AG155" s="7">
        <f t="shared" ca="1" si="99"/>
        <v>0</v>
      </c>
      <c r="AH155" s="7">
        <f t="shared" ca="1" si="99"/>
        <v>0</v>
      </c>
      <c r="AI155" s="7">
        <f t="shared" ca="1" si="99"/>
        <v>0</v>
      </c>
      <c r="AJ155" s="7">
        <f t="shared" ca="1" si="99"/>
        <v>0</v>
      </c>
      <c r="AK155" s="7">
        <f t="shared" ca="1" si="99"/>
        <v>0</v>
      </c>
      <c r="AL155" s="7">
        <f t="shared" ca="1" si="99"/>
        <v>0</v>
      </c>
      <c r="AM155" s="7">
        <f t="shared" ca="1" si="99"/>
        <v>0</v>
      </c>
    </row>
    <row r="156" spans="1:39">
      <c r="A156" s="3" t="s">
        <v>37</v>
      </c>
      <c r="C156" s="7">
        <f ca="1">-C149+SUM(C152:C155)</f>
        <v>0</v>
      </c>
      <c r="D156" s="7">
        <f t="shared" ref="D156" ca="1" si="100">-D149+SUM(D152:D155)</f>
        <v>0</v>
      </c>
      <c r="E156" s="7">
        <f t="shared" ref="E156:AM156" ca="1" si="101">-E149+SUM(E152:E155)</f>
        <v>0</v>
      </c>
      <c r="F156" s="7">
        <f t="shared" ca="1" si="101"/>
        <v>0</v>
      </c>
      <c r="G156" s="7">
        <f t="shared" ca="1" si="101"/>
        <v>0</v>
      </c>
      <c r="H156" s="7">
        <f t="shared" ca="1" si="101"/>
        <v>0</v>
      </c>
      <c r="I156" s="7">
        <f t="shared" ca="1" si="101"/>
        <v>0</v>
      </c>
      <c r="J156" s="7">
        <f t="shared" ca="1" si="101"/>
        <v>0</v>
      </c>
      <c r="K156" s="7">
        <f t="shared" ca="1" si="101"/>
        <v>0</v>
      </c>
      <c r="L156" s="7">
        <f t="shared" ca="1" si="101"/>
        <v>0</v>
      </c>
      <c r="M156" s="7">
        <f t="shared" ca="1" si="101"/>
        <v>0</v>
      </c>
      <c r="N156" s="7">
        <f t="shared" ca="1" si="101"/>
        <v>0</v>
      </c>
      <c r="O156" s="7">
        <f t="shared" ca="1" si="101"/>
        <v>0</v>
      </c>
      <c r="P156" s="7">
        <f t="shared" ca="1" si="101"/>
        <v>0</v>
      </c>
      <c r="Q156" s="7">
        <f t="shared" ca="1" si="101"/>
        <v>0</v>
      </c>
      <c r="R156" s="7">
        <f t="shared" ca="1" si="101"/>
        <v>0</v>
      </c>
      <c r="S156" s="7">
        <f t="shared" ca="1" si="101"/>
        <v>0</v>
      </c>
      <c r="T156" s="7">
        <f t="shared" ca="1" si="101"/>
        <v>0</v>
      </c>
      <c r="U156" s="7">
        <f t="shared" ca="1" si="101"/>
        <v>0</v>
      </c>
      <c r="V156" s="7">
        <f t="shared" ca="1" si="101"/>
        <v>0</v>
      </c>
      <c r="W156" s="7">
        <f t="shared" ca="1" si="101"/>
        <v>0</v>
      </c>
      <c r="X156" s="7">
        <f t="shared" ca="1" si="101"/>
        <v>0</v>
      </c>
      <c r="Y156" s="7">
        <f t="shared" ca="1" si="101"/>
        <v>0</v>
      </c>
      <c r="Z156" s="7">
        <f t="shared" ca="1" si="101"/>
        <v>0</v>
      </c>
      <c r="AA156" s="7">
        <f t="shared" ca="1" si="101"/>
        <v>0</v>
      </c>
      <c r="AB156" s="7">
        <f t="shared" ca="1" si="101"/>
        <v>0</v>
      </c>
      <c r="AC156" s="7">
        <f t="shared" ca="1" si="101"/>
        <v>0</v>
      </c>
      <c r="AD156" s="7">
        <f t="shared" ca="1" si="101"/>
        <v>0</v>
      </c>
      <c r="AE156" s="7">
        <f t="shared" ca="1" si="101"/>
        <v>0</v>
      </c>
      <c r="AF156" s="7">
        <f t="shared" ca="1" si="101"/>
        <v>0</v>
      </c>
      <c r="AG156" s="7">
        <f t="shared" ca="1" si="101"/>
        <v>0</v>
      </c>
      <c r="AH156" s="7">
        <f t="shared" ca="1" si="101"/>
        <v>0</v>
      </c>
      <c r="AI156" s="7">
        <f t="shared" ca="1" si="101"/>
        <v>0</v>
      </c>
      <c r="AJ156" s="7">
        <f t="shared" ca="1" si="101"/>
        <v>0</v>
      </c>
      <c r="AK156" s="7">
        <f t="shared" ca="1" si="101"/>
        <v>0</v>
      </c>
      <c r="AL156" s="7">
        <f t="shared" ca="1" si="101"/>
        <v>0</v>
      </c>
      <c r="AM156" s="7">
        <f t="shared" ca="1" si="101"/>
        <v>0</v>
      </c>
    </row>
    <row r="157" spans="1:39">
      <c r="A157" s="3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</row>
    <row r="158" spans="1:39">
      <c r="A158" s="3" t="s">
        <v>77</v>
      </c>
      <c r="C158" s="7">
        <f ca="1">C144+SUM($C156:C156)</f>
        <v>37716.75</v>
      </c>
      <c r="D158" s="7">
        <f ca="1">D144+SUM($C156:D156)</f>
        <v>69048.493749999994</v>
      </c>
      <c r="E158" s="7">
        <f ca="1">E144+SUM($C156:E156)</f>
        <v>80800.384218750027</v>
      </c>
      <c r="F158" s="7">
        <f ca="1">F144+SUM($C156:F156)</f>
        <v>127283.44827895577</v>
      </c>
      <c r="G158" s="7">
        <f ca="1">G144+SUM($C156:G156)</f>
        <v>178918.83267437888</v>
      </c>
      <c r="H158" s="7">
        <f ca="1">H144+SUM($C156:H156)</f>
        <v>245901.78181548161</v>
      </c>
      <c r="I158" s="7">
        <f ca="1">I144+SUM($C156:I156)</f>
        <v>323696.65132994356</v>
      </c>
      <c r="J158" s="7">
        <f ca="1">J144+SUM($C156:J156)</f>
        <v>388989.26300950802</v>
      </c>
      <c r="K158" s="7">
        <f ca="1">K144+SUM($C156:K156)</f>
        <v>539281.37409876089</v>
      </c>
      <c r="L158" s="7">
        <f ca="1">L144+SUM($C156:L156)</f>
        <v>601876.82255875634</v>
      </c>
      <c r="M158" s="7">
        <f ca="1">M144+SUM($C156:M156)</f>
        <v>721038.5473662219</v>
      </c>
      <c r="N158" s="7">
        <f ca="1">N144+SUM($C156:N156)</f>
        <v>846583.81996541878</v>
      </c>
      <c r="O158" s="7">
        <f ca="1">O144+SUM($C156:O156)</f>
        <v>978782.14070489258</v>
      </c>
      <c r="P158" s="7">
        <f ca="1">P144+SUM($C156:P156)</f>
        <v>1117913.239204355</v>
      </c>
      <c r="Q158" s="7">
        <f ca="1">Q144+SUM($C156:Q156)</f>
        <v>1264267.4396996587</v>
      </c>
      <c r="R158" s="7">
        <f ca="1">R144+SUM($C156:R156)</f>
        <v>1418146.0389312971</v>
      </c>
      <c r="S158" s="7">
        <f ca="1">S144+SUM($C156:S156)</f>
        <v>1473929.4664830596</v>
      </c>
      <c r="T158" s="7">
        <f ca="1">T144+SUM($C156:T156)</f>
        <v>1539631.0553787265</v>
      </c>
      <c r="U158" s="7">
        <f ca="1">U144+SUM($C156:U156)</f>
        <v>1608018.7707598673</v>
      </c>
      <c r="V158" s="7">
        <f ca="1">V144+SUM($C156:V156)</f>
        <v>1679196.2730464134</v>
      </c>
      <c r="W158" s="7">
        <f ca="1">W144+SUM($C156:W156)</f>
        <v>1753271.0393779005</v>
      </c>
      <c r="X158" s="7">
        <f ca="1">X144+SUM($C156:X156)</f>
        <v>1809947.5795442504</v>
      </c>
      <c r="Y158" s="7">
        <f ca="1">Y144+SUM($C156:Y156)</f>
        <v>1868727.9885819815</v>
      </c>
      <c r="Z158" s="7">
        <f ca="1">Z144+SUM($C156:Z156)</f>
        <v>1929693.7621849393</v>
      </c>
      <c r="AA158" s="7">
        <f ca="1">AA144+SUM($C156:AA156)</f>
        <v>1992929.5076662535</v>
      </c>
      <c r="AB158" s="7">
        <f ca="1">AB144+SUM($C156:AB156)</f>
        <v>2058523.0591570721</v>
      </c>
      <c r="AC158" s="7">
        <f ca="1">AC144+SUM($C156:AC156)</f>
        <v>2126565.5969370482</v>
      </c>
      <c r="AD158" s="7">
        <f ca="1">AD144+SUM($C156:AD156)</f>
        <v>2207012.5086333081</v>
      </c>
      <c r="AE158" s="7">
        <f ca="1">AE144+SUM($C156:AE156)</f>
        <v>2290594.3413533093</v>
      </c>
      <c r="AF158" s="7">
        <f ca="1">AF144+SUM($C156:AF156)</f>
        <v>2377431.5621965392</v>
      </c>
      <c r="AG158" s="7">
        <f ca="1">AG144+SUM($C156:AG156)</f>
        <v>2467649.1223028628</v>
      </c>
      <c r="AH158" s="7">
        <f ca="1">AH144+SUM($C156:AH156)</f>
        <v>2561376.6183629362</v>
      </c>
      <c r="AI158" s="7">
        <f ca="1">AI144+SUM($C156:AI156)</f>
        <v>2658748.4597796248</v>
      </c>
      <c r="AJ158" s="7">
        <f ca="1">AJ144+SUM($C156:AJ156)</f>
        <v>2759904.041673373</v>
      </c>
      <c r="AK158" s="7">
        <f ca="1">AK144+SUM($C156:AK156)</f>
        <v>2864987.92393093</v>
      </c>
      <c r="AL158" s="7">
        <f ca="1">AL144+SUM($C156:AL156)</f>
        <v>2974150.0165034966</v>
      </c>
      <c r="AM158" s="7">
        <f ca="1">AM144+SUM($C156:AM156)</f>
        <v>3087545.7711672578</v>
      </c>
    </row>
    <row r="159" spans="1:39">
      <c r="A159" s="3" t="s">
        <v>74</v>
      </c>
      <c r="C159" s="7">
        <f t="shared" ref="C159:AM159" ca="1" si="102">MAX(C158+buffer,0)-MAX(C144+buffer,0)</f>
        <v>0</v>
      </c>
      <c r="D159" s="7">
        <f t="shared" ca="1" si="102"/>
        <v>0</v>
      </c>
      <c r="E159" s="7">
        <f t="shared" ca="1" si="102"/>
        <v>0</v>
      </c>
      <c r="F159" s="7">
        <f t="shared" ca="1" si="102"/>
        <v>0</v>
      </c>
      <c r="G159" s="7">
        <f t="shared" ca="1" si="102"/>
        <v>0</v>
      </c>
      <c r="H159" s="7">
        <f t="shared" ca="1" si="102"/>
        <v>0</v>
      </c>
      <c r="I159" s="7">
        <f t="shared" ca="1" si="102"/>
        <v>0</v>
      </c>
      <c r="J159" s="7">
        <f t="shared" ca="1" si="102"/>
        <v>0</v>
      </c>
      <c r="K159" s="7">
        <f t="shared" ca="1" si="102"/>
        <v>0</v>
      </c>
      <c r="L159" s="7">
        <f t="shared" ca="1" si="102"/>
        <v>0</v>
      </c>
      <c r="M159" s="7">
        <f t="shared" ca="1" si="102"/>
        <v>0</v>
      </c>
      <c r="N159" s="7">
        <f t="shared" ca="1" si="102"/>
        <v>0</v>
      </c>
      <c r="O159" s="7">
        <f t="shared" ca="1" si="102"/>
        <v>0</v>
      </c>
      <c r="P159" s="7">
        <f t="shared" ca="1" si="102"/>
        <v>0</v>
      </c>
      <c r="Q159" s="7">
        <f t="shared" ca="1" si="102"/>
        <v>0</v>
      </c>
      <c r="R159" s="7">
        <f t="shared" ca="1" si="102"/>
        <v>0</v>
      </c>
      <c r="S159" s="7">
        <f t="shared" ca="1" si="102"/>
        <v>0</v>
      </c>
      <c r="T159" s="7">
        <f t="shared" ca="1" si="102"/>
        <v>0</v>
      </c>
      <c r="U159" s="7">
        <f t="shared" ca="1" si="102"/>
        <v>0</v>
      </c>
      <c r="V159" s="7">
        <f t="shared" ca="1" si="102"/>
        <v>0</v>
      </c>
      <c r="W159" s="7">
        <f t="shared" ca="1" si="102"/>
        <v>0</v>
      </c>
      <c r="X159" s="7">
        <f t="shared" ca="1" si="102"/>
        <v>0</v>
      </c>
      <c r="Y159" s="7">
        <f t="shared" ca="1" si="102"/>
        <v>0</v>
      </c>
      <c r="Z159" s="7">
        <f t="shared" ca="1" si="102"/>
        <v>0</v>
      </c>
      <c r="AA159" s="7">
        <f t="shared" ca="1" si="102"/>
        <v>0</v>
      </c>
      <c r="AB159" s="7">
        <f t="shared" ca="1" si="102"/>
        <v>0</v>
      </c>
      <c r="AC159" s="7">
        <f t="shared" ca="1" si="102"/>
        <v>0</v>
      </c>
      <c r="AD159" s="7">
        <f t="shared" ca="1" si="102"/>
        <v>0</v>
      </c>
      <c r="AE159" s="7">
        <f t="shared" ca="1" si="102"/>
        <v>0</v>
      </c>
      <c r="AF159" s="7">
        <f t="shared" ca="1" si="102"/>
        <v>0</v>
      </c>
      <c r="AG159" s="7">
        <f t="shared" ca="1" si="102"/>
        <v>0</v>
      </c>
      <c r="AH159" s="7">
        <f t="shared" ca="1" si="102"/>
        <v>0</v>
      </c>
      <c r="AI159" s="7">
        <f t="shared" ca="1" si="102"/>
        <v>0</v>
      </c>
      <c r="AJ159" s="7">
        <f t="shared" ca="1" si="102"/>
        <v>0</v>
      </c>
      <c r="AK159" s="7">
        <f t="shared" ca="1" si="102"/>
        <v>0</v>
      </c>
      <c r="AL159" s="7">
        <f t="shared" ca="1" si="102"/>
        <v>0</v>
      </c>
      <c r="AM159" s="7">
        <f t="shared" ca="1" si="102"/>
        <v>0</v>
      </c>
    </row>
    <row r="160" spans="1:39">
      <c r="A160" s="3" t="s">
        <v>75</v>
      </c>
      <c r="C160" s="7">
        <f ca="1">C159*Inputs!$B$181</f>
        <v>0</v>
      </c>
      <c r="D160" s="7">
        <f ca="1">D159*Inputs!$B$181</f>
        <v>0</v>
      </c>
      <c r="E160" s="7">
        <f ca="1">E159*Inputs!$B$181</f>
        <v>0</v>
      </c>
      <c r="F160" s="7">
        <f ca="1">F159*Inputs!$B$181</f>
        <v>0</v>
      </c>
      <c r="G160" s="7">
        <f ca="1">G159*Inputs!$B$181</f>
        <v>0</v>
      </c>
      <c r="H160" s="7">
        <f ca="1">H159*Inputs!$B$181</f>
        <v>0</v>
      </c>
      <c r="I160" s="7">
        <f ca="1">I159*Inputs!$B$181</f>
        <v>0</v>
      </c>
      <c r="J160" s="7">
        <f ca="1">J159*Inputs!$B$181</f>
        <v>0</v>
      </c>
      <c r="K160" s="7">
        <f ca="1">K159*Inputs!$B$181</f>
        <v>0</v>
      </c>
      <c r="L160" s="7">
        <f ca="1">L159*Inputs!$B$181</f>
        <v>0</v>
      </c>
      <c r="M160" s="7">
        <f ca="1">M159*Inputs!$B$181</f>
        <v>0</v>
      </c>
      <c r="N160" s="7">
        <f ca="1">N159*Inputs!$B$181</f>
        <v>0</v>
      </c>
      <c r="O160" s="7">
        <f ca="1">O159*Inputs!$B$181</f>
        <v>0</v>
      </c>
      <c r="P160" s="7">
        <f ca="1">P159*Inputs!$B$181</f>
        <v>0</v>
      </c>
      <c r="Q160" s="7">
        <f ca="1">Q159*Inputs!$B$181</f>
        <v>0</v>
      </c>
      <c r="R160" s="7">
        <f ca="1">R159*Inputs!$B$181</f>
        <v>0</v>
      </c>
      <c r="S160" s="7">
        <f ca="1">S159*Inputs!$B$181</f>
        <v>0</v>
      </c>
      <c r="T160" s="7">
        <f ca="1">T159*Inputs!$B$181</f>
        <v>0</v>
      </c>
      <c r="U160" s="7">
        <f ca="1">U159*Inputs!$B$181</f>
        <v>0</v>
      </c>
      <c r="V160" s="7">
        <f ca="1">V159*Inputs!$B$181</f>
        <v>0</v>
      </c>
      <c r="W160" s="7">
        <f ca="1">W159*Inputs!$B$181</f>
        <v>0</v>
      </c>
      <c r="X160" s="7">
        <f ca="1">X159*Inputs!$B$181</f>
        <v>0</v>
      </c>
      <c r="Y160" s="7">
        <f ca="1">Y159*Inputs!$B$181</f>
        <v>0</v>
      </c>
      <c r="Z160" s="7">
        <f ca="1">Z159*Inputs!$B$181</f>
        <v>0</v>
      </c>
      <c r="AA160" s="7">
        <f ca="1">AA159*Inputs!$B$181</f>
        <v>0</v>
      </c>
      <c r="AB160" s="7">
        <f ca="1">AB159*Inputs!$B$181</f>
        <v>0</v>
      </c>
      <c r="AC160" s="7">
        <f ca="1">AC159*Inputs!$B$181</f>
        <v>0</v>
      </c>
      <c r="AD160" s="7">
        <f ca="1">AD159*Inputs!$B$181</f>
        <v>0</v>
      </c>
      <c r="AE160" s="7">
        <f ca="1">AE159*Inputs!$B$181</f>
        <v>0</v>
      </c>
      <c r="AF160" s="7">
        <f ca="1">AF159*Inputs!$B$181</f>
        <v>0</v>
      </c>
      <c r="AG160" s="7">
        <f ca="1">AG159*Inputs!$B$181</f>
        <v>0</v>
      </c>
      <c r="AH160" s="7">
        <f ca="1">AH159*Inputs!$B$181</f>
        <v>0</v>
      </c>
      <c r="AI160" s="7">
        <f ca="1">AI159*Inputs!$B$181</f>
        <v>0</v>
      </c>
      <c r="AJ160" s="7">
        <f ca="1">AJ159*Inputs!$B$181</f>
        <v>0</v>
      </c>
      <c r="AK160" s="7">
        <f ca="1">AK159*Inputs!$B$181</f>
        <v>0</v>
      </c>
      <c r="AL160" s="7">
        <f ca="1">AL159*Inputs!$B$181</f>
        <v>0</v>
      </c>
      <c r="AM160" s="7">
        <f ca="1">AM159*Inputs!$B$181</f>
        <v>0</v>
      </c>
    </row>
    <row r="161" spans="1:39">
      <c r="A161" s="3" t="s">
        <v>158</v>
      </c>
      <c r="C161" s="7">
        <f ca="1">C158+SUM($C160:C160)</f>
        <v>37716.75</v>
      </c>
      <c r="D161" s="7">
        <f ca="1">D158+SUM($C160:D160)</f>
        <v>69048.493749999994</v>
      </c>
      <c r="E161" s="7">
        <f ca="1">E158+SUM($C160:E160)</f>
        <v>80800.384218750027</v>
      </c>
      <c r="F161" s="7">
        <f ca="1">F158+SUM($C160:F160)</f>
        <v>127283.44827895577</v>
      </c>
      <c r="G161" s="7">
        <f ca="1">G158+SUM($C160:G160)</f>
        <v>178918.83267437888</v>
      </c>
      <c r="H161" s="7">
        <f ca="1">H158+SUM($C160:H160)</f>
        <v>245901.78181548161</v>
      </c>
      <c r="I161" s="7">
        <f ca="1">I158+SUM($C160:I160)</f>
        <v>323696.65132994356</v>
      </c>
      <c r="J161" s="7">
        <f ca="1">J158+SUM($C160:J160)</f>
        <v>388989.26300950802</v>
      </c>
      <c r="K161" s="7">
        <f ca="1">K158+SUM($C160:K160)</f>
        <v>539281.37409876089</v>
      </c>
      <c r="L161" s="7">
        <f ca="1">L158+SUM($C160:L160)</f>
        <v>601876.82255875634</v>
      </c>
      <c r="M161" s="7">
        <f ca="1">M158+SUM($C160:M160)</f>
        <v>721038.5473662219</v>
      </c>
      <c r="N161" s="7">
        <f ca="1">N158+SUM($C160:N160)</f>
        <v>846583.81996541878</v>
      </c>
      <c r="O161" s="7">
        <f ca="1">O158+SUM($C160:O160)</f>
        <v>978782.14070489258</v>
      </c>
      <c r="P161" s="7">
        <f ca="1">P158+SUM($C160:P160)</f>
        <v>1117913.239204355</v>
      </c>
      <c r="Q161" s="7">
        <f ca="1">Q158+SUM($C160:Q160)</f>
        <v>1264267.4396996587</v>
      </c>
      <c r="R161" s="7">
        <f ca="1">R158+SUM($C160:R160)</f>
        <v>1418146.0389312971</v>
      </c>
      <c r="S161" s="7">
        <f ca="1">S158+SUM($C160:S160)</f>
        <v>1473929.4664830596</v>
      </c>
      <c r="T161" s="7">
        <f ca="1">T158+SUM($C160:T160)</f>
        <v>1539631.0553787265</v>
      </c>
      <c r="U161" s="7">
        <f ca="1">U158+SUM($C160:U160)</f>
        <v>1608018.7707598673</v>
      </c>
      <c r="V161" s="7">
        <f ca="1">V158+SUM($C160:V160)</f>
        <v>1679196.2730464134</v>
      </c>
      <c r="W161" s="7">
        <f ca="1">W158+SUM($C160:W160)</f>
        <v>1753271.0393779005</v>
      </c>
      <c r="X161" s="7">
        <f ca="1">X158+SUM($C160:X160)</f>
        <v>1809947.5795442504</v>
      </c>
      <c r="Y161" s="7">
        <f ca="1">Y158+SUM($C160:Y160)</f>
        <v>1868727.9885819815</v>
      </c>
      <c r="Z161" s="7">
        <f ca="1">Z158+SUM($C160:Z160)</f>
        <v>1929693.7621849393</v>
      </c>
      <c r="AA161" s="7">
        <f ca="1">AA158+SUM($C160:AA160)</f>
        <v>1992929.5076662535</v>
      </c>
      <c r="AB161" s="7">
        <f ca="1">AB158+SUM($C160:AB160)</f>
        <v>2058523.0591570721</v>
      </c>
      <c r="AC161" s="7">
        <f ca="1">AC158+SUM($C160:AC160)</f>
        <v>2126565.5969370482</v>
      </c>
      <c r="AD161" s="7">
        <f ca="1">AD158+SUM($C160:AD160)</f>
        <v>2207012.5086333081</v>
      </c>
      <c r="AE161" s="7">
        <f ca="1">AE158+SUM($C160:AE160)</f>
        <v>2290594.3413533093</v>
      </c>
      <c r="AF161" s="7">
        <f ca="1">AF158+SUM($C160:AF160)</f>
        <v>2377431.5621965392</v>
      </c>
      <c r="AG161" s="7">
        <f ca="1">AG158+SUM($C160:AG160)</f>
        <v>2467649.1223028628</v>
      </c>
      <c r="AH161" s="7">
        <f ca="1">AH158+SUM($C160:AH160)</f>
        <v>2561376.6183629362</v>
      </c>
      <c r="AI161" s="7">
        <f ca="1">AI158+SUM($C160:AI160)</f>
        <v>2658748.4597796248</v>
      </c>
      <c r="AJ161" s="7">
        <f ca="1">AJ158+SUM($C160:AJ160)</f>
        <v>2759904.041673373</v>
      </c>
      <c r="AK161" s="7">
        <f ca="1">AK158+SUM($C160:AK160)</f>
        <v>2864987.92393093</v>
      </c>
      <c r="AL161" s="7">
        <f ca="1">AL158+SUM($C160:AL160)</f>
        <v>2974150.0165034966</v>
      </c>
      <c r="AM161" s="7">
        <f ca="1">AM158+SUM($C160:AM160)</f>
        <v>3087545.7711672578</v>
      </c>
    </row>
    <row r="162" spans="1:39">
      <c r="A162" s="3" t="s">
        <v>20</v>
      </c>
      <c r="C162" s="7">
        <f ca="1">IF(C161&lt;0,-C161,0)</f>
        <v>0</v>
      </c>
      <c r="D162" s="7">
        <f ca="1">IF(D161+SUM($C162:C162)&lt;0,-(D161+SUM($C162:C162)),0)</f>
        <v>0</v>
      </c>
      <c r="E162" s="7">
        <f ca="1">IF(E161+SUM($C162:D162)&lt;0,-(E161+SUM($C162:D162)),0)</f>
        <v>0</v>
      </c>
      <c r="F162" s="7">
        <f ca="1">IF(F161+SUM($C162:E162)&lt;0,-(F161+SUM($C162:E162)),0)</f>
        <v>0</v>
      </c>
      <c r="G162" s="7">
        <f ca="1">IF(G161+SUM($C162:F162)&lt;0,-(G161+SUM($C162:F162)),0)</f>
        <v>0</v>
      </c>
      <c r="H162" s="7">
        <f ca="1">IF(H161+SUM($C162:G162)&lt;0,-(H161+SUM($C162:G162)),0)</f>
        <v>0</v>
      </c>
      <c r="I162" s="7">
        <f ca="1">IF(I161+SUM($C162:H162)&lt;0,-(I161+SUM($C162:H162)),0)</f>
        <v>0</v>
      </c>
      <c r="J162" s="7">
        <f ca="1">IF(J161+SUM($C162:I162)&lt;0,-(J161+SUM($C162:I162)),0)</f>
        <v>0</v>
      </c>
      <c r="K162" s="7">
        <f ca="1">IF(K161+SUM($C162:J162)&lt;0,-(K161+SUM($C162:J162)),0)</f>
        <v>0</v>
      </c>
      <c r="L162" s="7">
        <f ca="1">IF(L161+SUM($C162:K162)&lt;0,-(L161+SUM($C162:K162)),0)</f>
        <v>0</v>
      </c>
      <c r="M162" s="7">
        <f ca="1">IF(M161+SUM($C162:L162)&lt;0,-(M161+SUM($C162:L162)),0)</f>
        <v>0</v>
      </c>
      <c r="N162" s="7">
        <f ca="1">IF(N161+SUM($C162:M162)&lt;0,-(N161+SUM($C162:M162)),0)</f>
        <v>0</v>
      </c>
      <c r="O162" s="7">
        <f ca="1">IF(O161+SUM($C162:N162)&lt;0,-(O161+SUM($C162:N162)),0)</f>
        <v>0</v>
      </c>
      <c r="P162" s="7">
        <f ca="1">IF(P161+SUM($C162:O162)&lt;0,-(P161+SUM($C162:O162)),0)</f>
        <v>0</v>
      </c>
      <c r="Q162" s="7">
        <f ca="1">IF(Q161+SUM($C162:P162)&lt;0,-(Q161+SUM($C162:P162)),0)</f>
        <v>0</v>
      </c>
      <c r="R162" s="7">
        <f ca="1">IF(R161+SUM($C162:Q162)&lt;0,-(R161+SUM($C162:Q162)),0)</f>
        <v>0</v>
      </c>
      <c r="S162" s="7">
        <f ca="1">IF(S161+SUM($C162:R162)&lt;0,-(S161+SUM($C162:R162)),0)</f>
        <v>0</v>
      </c>
      <c r="T162" s="7">
        <f ca="1">IF(T161+SUM($C162:S162)&lt;0,-(T161+SUM($C162:S162)),0)</f>
        <v>0</v>
      </c>
      <c r="U162" s="7">
        <f ca="1">IF(U161+SUM($C162:T162)&lt;0,-(U161+SUM($C162:T162)),0)</f>
        <v>0</v>
      </c>
      <c r="V162" s="7">
        <f ca="1">IF(V161+SUM($C162:U162)&lt;0,-(V161+SUM($C162:U162)),0)</f>
        <v>0</v>
      </c>
      <c r="W162" s="7">
        <f ca="1">IF(W161+SUM($C162:V162)&lt;0,-(W161+SUM($C162:V162)),0)</f>
        <v>0</v>
      </c>
      <c r="X162" s="7">
        <f ca="1">IF(X161+SUM($C162:W162)&lt;0,-(X161+SUM($C162:W162)),0)</f>
        <v>0</v>
      </c>
      <c r="Y162" s="7">
        <f ca="1">IF(Y161+SUM($C162:X162)&lt;0,-(Y161+SUM($C162:X162)),0)</f>
        <v>0</v>
      </c>
      <c r="Z162" s="7">
        <f ca="1">IF(Z161+SUM($C162:Y162)&lt;0,-(Z161+SUM($C162:Y162)),0)</f>
        <v>0</v>
      </c>
      <c r="AA162" s="7">
        <f ca="1">IF(AA161+SUM($C162:Z162)&lt;0,-(AA161+SUM($C162:Z162)),0)</f>
        <v>0</v>
      </c>
      <c r="AB162" s="7">
        <f ca="1">IF(AB161+SUM($C162:AA162)&lt;0,-(AB161+SUM($C162:AA162)),0)</f>
        <v>0</v>
      </c>
      <c r="AC162" s="7">
        <f ca="1">IF(AC161+SUM($C162:AB162)&lt;0,-(AC161+SUM($C162:AB162)),0)</f>
        <v>0</v>
      </c>
      <c r="AD162" s="7">
        <f ca="1">IF(AD161+SUM($C162:AC162)&lt;0,-(AD161+SUM($C162:AC162)),0)</f>
        <v>0</v>
      </c>
      <c r="AE162" s="7">
        <f ca="1">IF(AE161+SUM($C162:AD162)&lt;0,-(AE161+SUM($C162:AD162)),0)</f>
        <v>0</v>
      </c>
      <c r="AF162" s="7">
        <f ca="1">IF(AF161+SUM($C162:AE162)&lt;0,-(AF161+SUM($C162:AE162)),0)</f>
        <v>0</v>
      </c>
      <c r="AG162" s="7">
        <f ca="1">IF(AG161+SUM($C162:AF162)&lt;0,-(AG161+SUM($C162:AF162)),0)</f>
        <v>0</v>
      </c>
      <c r="AH162" s="7">
        <f ca="1">IF(AH161+SUM($C162:AG162)&lt;0,-(AH161+SUM($C162:AG162)),0)</f>
        <v>0</v>
      </c>
      <c r="AI162" s="7">
        <f ca="1">IF(AI161+SUM($C162:AH162)&lt;0,-(AI161+SUM($C162:AH162)),0)</f>
        <v>0</v>
      </c>
      <c r="AJ162" s="7">
        <f ca="1">IF(AJ161+SUM($C162:AI162)&lt;0,-(AJ161+SUM($C162:AI162)),0)</f>
        <v>0</v>
      </c>
      <c r="AK162" s="7">
        <f ca="1">IF(AK161+SUM($C162:AJ162)&lt;0,-(AK161+SUM($C162:AJ162)),0)</f>
        <v>0</v>
      </c>
      <c r="AL162" s="7">
        <f ca="1">IF(AL161+SUM($C162:AK162)&lt;0,-(AL161+SUM($C162:AK162)),0)</f>
        <v>0</v>
      </c>
      <c r="AM162" s="7">
        <f ca="1">IF(AM161+SUM($C162:AL162)&lt;0,-(AM161+SUM($C162:AL162)),0)</f>
        <v>0</v>
      </c>
    </row>
    <row r="163" spans="1:39"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</row>
    <row r="164" spans="1:39">
      <c r="A164" s="24" t="str">
        <f>IF(Inputs!$B$197=6,IFERROR(_xlfn.XLOOKUP($B164,Inputs!$B$198:$B$202,Inputs!$A$198:$A$202,,0,1),""),IFERROR(_xlfn.XLOOKUP($B164,Inputs!$C$198:$C$202,Inputs!$A$198:$A$202,,0,1),""))</f>
        <v>Sliema</v>
      </c>
      <c r="B164" s="26">
        <v>5</v>
      </c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</row>
    <row r="165" spans="1:39">
      <c r="A165" s="3" t="s">
        <v>22</v>
      </c>
      <c r="C165" s="7">
        <f>IFERROR(VLOOKUP($A164,$A$60:$H$78,C$1+2,FALSE),0)</f>
        <v>309000</v>
      </c>
      <c r="D165" s="7">
        <f ca="1">C168</f>
        <v>309000</v>
      </c>
      <c r="E165" s="7">
        <f t="shared" ref="E165:AM165" ca="1" si="103">D168</f>
        <v>318270</v>
      </c>
      <c r="F165" s="7">
        <f t="shared" ca="1" si="103"/>
        <v>327818.09999999998</v>
      </c>
      <c r="G165" s="7">
        <f t="shared" ca="1" si="103"/>
        <v>337652.64299999998</v>
      </c>
      <c r="H165" s="7">
        <f t="shared" ca="1" si="103"/>
        <v>347782.22229000001</v>
      </c>
      <c r="I165" s="7">
        <f t="shared" ca="1" si="103"/>
        <v>358215.68895869999</v>
      </c>
      <c r="J165" s="7">
        <f t="shared" ca="1" si="103"/>
        <v>368962.15962746099</v>
      </c>
      <c r="K165" s="7">
        <f t="shared" ca="1" si="103"/>
        <v>380031.02441628481</v>
      </c>
      <c r="L165" s="7">
        <f t="shared" ca="1" si="103"/>
        <v>391431.95514877333</v>
      </c>
      <c r="M165" s="7">
        <f t="shared" ca="1" si="103"/>
        <v>403174.9138032365</v>
      </c>
      <c r="N165" s="7">
        <f t="shared" ca="1" si="103"/>
        <v>415270.16121733357</v>
      </c>
      <c r="O165" s="7">
        <f t="shared" ca="1" si="103"/>
        <v>427728.26605385356</v>
      </c>
      <c r="P165" s="7">
        <f t="shared" ca="1" si="103"/>
        <v>440560.11403546919</v>
      </c>
      <c r="Q165" s="7">
        <f t="shared" ca="1" si="103"/>
        <v>453776.91745653324</v>
      </c>
      <c r="R165" s="7">
        <f t="shared" ca="1" si="103"/>
        <v>467390.22498022922</v>
      </c>
      <c r="S165" s="7">
        <f t="shared" ca="1" si="103"/>
        <v>481411.9317296361</v>
      </c>
      <c r="T165" s="7">
        <f t="shared" ca="1" si="103"/>
        <v>495854.2896815252</v>
      </c>
      <c r="U165" s="7">
        <f t="shared" ca="1" si="103"/>
        <v>510729.91837197094</v>
      </c>
      <c r="V165" s="7">
        <f t="shared" ca="1" si="103"/>
        <v>526051.81592313002</v>
      </c>
      <c r="W165" s="7">
        <f t="shared" ca="1" si="103"/>
        <v>541833.37040082389</v>
      </c>
      <c r="X165" s="7">
        <f t="shared" ca="1" si="103"/>
        <v>558088.37151284865</v>
      </c>
      <c r="Y165" s="7">
        <f t="shared" ca="1" si="103"/>
        <v>574831.02265823411</v>
      </c>
      <c r="Z165" s="7">
        <f t="shared" ca="1" si="103"/>
        <v>592075.95333798113</v>
      </c>
      <c r="AA165" s="7">
        <f t="shared" ca="1" si="103"/>
        <v>609838.23193812056</v>
      </c>
      <c r="AB165" s="7">
        <f t="shared" ca="1" si="103"/>
        <v>628133.37889626413</v>
      </c>
      <c r="AC165" s="7">
        <f t="shared" ca="1" si="103"/>
        <v>646977.38026315207</v>
      </c>
      <c r="AD165" s="7">
        <f t="shared" ca="1" si="103"/>
        <v>666386.70167104667</v>
      </c>
      <c r="AE165" s="7">
        <f t="shared" ca="1" si="103"/>
        <v>686378.30272117804</v>
      </c>
      <c r="AF165" s="7">
        <f t="shared" ca="1" si="103"/>
        <v>706969.6518028134</v>
      </c>
      <c r="AG165" s="7">
        <f t="shared" ca="1" si="103"/>
        <v>728178.74135689775</v>
      </c>
      <c r="AH165" s="7">
        <f t="shared" ca="1" si="103"/>
        <v>750024.10359760467</v>
      </c>
      <c r="AI165" s="7">
        <f t="shared" ca="1" si="103"/>
        <v>772524.82670553285</v>
      </c>
      <c r="AJ165" s="7">
        <f t="shared" ca="1" si="103"/>
        <v>795700.57150669885</v>
      </c>
      <c r="AK165" s="7">
        <f t="shared" ca="1" si="103"/>
        <v>819571.58865189983</v>
      </c>
      <c r="AL165" s="7">
        <f t="shared" ca="1" si="103"/>
        <v>844158.73631145677</v>
      </c>
      <c r="AM165" s="7">
        <f t="shared" ca="1" si="103"/>
        <v>869483.49840080051</v>
      </c>
    </row>
    <row r="166" spans="1:39">
      <c r="A166" s="3" t="s">
        <v>23</v>
      </c>
      <c r="C166" s="7">
        <f ca="1">-IF(SUM(C162:D162)&gt;0,C165,0)</f>
        <v>0</v>
      </c>
      <c r="D166" s="7">
        <f ca="1">-IF(E162&gt;0,D165,0)</f>
        <v>0</v>
      </c>
      <c r="E166" s="7">
        <f ca="1">-IF(F162&gt;0,E165,0)</f>
        <v>0</v>
      </c>
      <c r="F166" s="7">
        <f ca="1">-IF(G162&gt;0,F165,0)</f>
        <v>0</v>
      </c>
      <c r="G166" s="7">
        <f t="shared" ref="G166" ca="1" si="104">-IF(H162&gt;0,G165,0)</f>
        <v>0</v>
      </c>
      <c r="H166" s="7">
        <f t="shared" ref="H166" ca="1" si="105">-IF(I162&gt;0,H165,0)</f>
        <v>0</v>
      </c>
      <c r="I166" s="7">
        <f t="shared" ref="I166" ca="1" si="106">-IF(J162&gt;0,I165,0)</f>
        <v>0</v>
      </c>
      <c r="J166" s="7">
        <f t="shared" ref="J166" ca="1" si="107">-IF(K162&gt;0,J165,0)</f>
        <v>0</v>
      </c>
      <c r="K166" s="7">
        <f t="shared" ref="K166" ca="1" si="108">-IF(L162&gt;0,K165,0)</f>
        <v>0</v>
      </c>
      <c r="L166" s="7">
        <f t="shared" ref="L166" ca="1" si="109">-IF(M162&gt;0,L165,0)</f>
        <v>0</v>
      </c>
      <c r="M166" s="7">
        <f t="shared" ref="M166" ca="1" si="110">-IF(N162&gt;0,M165,0)</f>
        <v>0</v>
      </c>
      <c r="N166" s="7">
        <f t="shared" ref="N166" ca="1" si="111">-IF(O162&gt;0,N165,0)</f>
        <v>0</v>
      </c>
      <c r="O166" s="7">
        <f t="shared" ref="O166" ca="1" si="112">-IF(P162&gt;0,O165,0)</f>
        <v>0</v>
      </c>
      <c r="P166" s="7">
        <f t="shared" ref="P166" ca="1" si="113">-IF(Q162&gt;0,P165,0)</f>
        <v>0</v>
      </c>
      <c r="Q166" s="7">
        <f t="shared" ref="Q166" ca="1" si="114">-IF(R162&gt;0,Q165,0)</f>
        <v>0</v>
      </c>
      <c r="R166" s="7">
        <f t="shared" ref="R166" ca="1" si="115">-IF(S162&gt;0,R165,0)</f>
        <v>0</v>
      </c>
      <c r="S166" s="7">
        <f t="shared" ref="S166" ca="1" si="116">-IF(T162&gt;0,S165,0)</f>
        <v>0</v>
      </c>
      <c r="T166" s="7">
        <f t="shared" ref="T166" ca="1" si="117">-IF(U162&gt;0,T165,0)</f>
        <v>0</v>
      </c>
      <c r="U166" s="7">
        <f t="shared" ref="U166" ca="1" si="118">-IF(V162&gt;0,U165,0)</f>
        <v>0</v>
      </c>
      <c r="V166" s="7">
        <f t="shared" ref="V166" ca="1" si="119">-IF(W162&gt;0,V165,0)</f>
        <v>0</v>
      </c>
      <c r="W166" s="7">
        <f t="shared" ref="W166" ca="1" si="120">-IF(X162&gt;0,W165,0)</f>
        <v>0</v>
      </c>
      <c r="X166" s="7">
        <f t="shared" ref="X166" ca="1" si="121">-IF(Y162&gt;0,X165,0)</f>
        <v>0</v>
      </c>
      <c r="Y166" s="7">
        <f t="shared" ref="Y166" ca="1" si="122">-IF(Z162&gt;0,Y165,0)</f>
        <v>0</v>
      </c>
      <c r="Z166" s="7">
        <f t="shared" ref="Z166" ca="1" si="123">-IF(AA162&gt;0,Z165,0)</f>
        <v>0</v>
      </c>
      <c r="AA166" s="7">
        <f t="shared" ref="AA166" ca="1" si="124">-IF(AB162&gt;0,AA165,0)</f>
        <v>0</v>
      </c>
      <c r="AB166" s="7">
        <f t="shared" ref="AB166" ca="1" si="125">-IF(AC162&gt;0,AB165,0)</f>
        <v>0</v>
      </c>
      <c r="AC166" s="7">
        <f t="shared" ref="AC166" ca="1" si="126">-IF(AD162&gt;0,AC165,0)</f>
        <v>0</v>
      </c>
      <c r="AD166" s="7">
        <f t="shared" ref="AD166" ca="1" si="127">-IF(AE162&gt;0,AD165,0)</f>
        <v>0</v>
      </c>
      <c r="AE166" s="7">
        <f t="shared" ref="AE166" ca="1" si="128">-IF(AF162&gt;0,AE165,0)</f>
        <v>0</v>
      </c>
      <c r="AF166" s="7">
        <f t="shared" ref="AF166" ca="1" si="129">-IF(AG162&gt;0,AF165,0)</f>
        <v>0</v>
      </c>
      <c r="AG166" s="7">
        <f t="shared" ref="AG166" ca="1" si="130">-IF(AH162&gt;0,AG165,0)</f>
        <v>0</v>
      </c>
      <c r="AH166" s="7">
        <f t="shared" ref="AH166" ca="1" si="131">-IF(AI162&gt;0,AH165,0)</f>
        <v>0</v>
      </c>
      <c r="AI166" s="7">
        <f t="shared" ref="AI166" ca="1" si="132">-IF(AJ162&gt;0,AI165,0)</f>
        <v>0</v>
      </c>
      <c r="AJ166" s="7">
        <f t="shared" ref="AJ166" ca="1" si="133">-IF(AK162&gt;0,AJ165,0)</f>
        <v>0</v>
      </c>
      <c r="AK166" s="7">
        <f t="shared" ref="AK166" ca="1" si="134">-IF(AL162&gt;0,AK165,0)</f>
        <v>0</v>
      </c>
      <c r="AL166" s="7">
        <f t="shared" ref="AL166" ca="1" si="135">-IF(AM162&gt;0,AL165,0)</f>
        <v>0</v>
      </c>
      <c r="AM166" s="7">
        <f t="shared" ref="AM166" si="136">-IF(AN162&gt;0,AM165,0)</f>
        <v>0</v>
      </c>
    </row>
    <row r="167" spans="1:39">
      <c r="A167" s="3" t="s">
        <v>24</v>
      </c>
      <c r="C167" s="7">
        <v>0</v>
      </c>
      <c r="D167" s="7">
        <f t="shared" ref="D167:G167" ca="1" si="137">SUM(D165:D166)*princ</f>
        <v>9270</v>
      </c>
      <c r="E167" s="7">
        <f t="shared" ca="1" si="137"/>
        <v>9548.1</v>
      </c>
      <c r="F167" s="7">
        <f t="shared" ca="1" si="137"/>
        <v>9834.5429999999997</v>
      </c>
      <c r="G167" s="7">
        <f t="shared" ca="1" si="137"/>
        <v>10129.57929</v>
      </c>
      <c r="H167" s="7">
        <f t="shared" ref="H167:I167" ca="1" si="138">SUM(H165:H166)*princ</f>
        <v>10433.466668699999</v>
      </c>
      <c r="I167" s="7">
        <f t="shared" ca="1" si="138"/>
        <v>10746.470668761</v>
      </c>
      <c r="J167" s="7">
        <f t="shared" ref="J167:AM167" ca="1" si="139">SUM(J165:J166)*princ</f>
        <v>11068.86478882383</v>
      </c>
      <c r="K167" s="7">
        <f t="shared" ca="1" si="139"/>
        <v>11400.930732488543</v>
      </c>
      <c r="L167" s="7">
        <f t="shared" ca="1" si="139"/>
        <v>11742.9586544632</v>
      </c>
      <c r="M167" s="7">
        <f t="shared" ca="1" si="139"/>
        <v>12095.247414097095</v>
      </c>
      <c r="N167" s="7">
        <f t="shared" ca="1" si="139"/>
        <v>12458.104836520008</v>
      </c>
      <c r="O167" s="7">
        <f t="shared" ca="1" si="139"/>
        <v>12831.847981615607</v>
      </c>
      <c r="P167" s="7">
        <f t="shared" ca="1" si="139"/>
        <v>13216.803421064074</v>
      </c>
      <c r="Q167" s="7">
        <f t="shared" ca="1" si="139"/>
        <v>13613.307523695996</v>
      </c>
      <c r="R167" s="7">
        <f t="shared" ca="1" si="139"/>
        <v>14021.706749406876</v>
      </c>
      <c r="S167" s="7">
        <f t="shared" ca="1" si="139"/>
        <v>14442.357951889082</v>
      </c>
      <c r="T167" s="7">
        <f t="shared" ca="1" si="139"/>
        <v>14875.628690445756</v>
      </c>
      <c r="U167" s="7">
        <f t="shared" ca="1" si="139"/>
        <v>15321.897551159127</v>
      </c>
      <c r="V167" s="7">
        <f t="shared" ca="1" si="139"/>
        <v>15781.5544776939</v>
      </c>
      <c r="W167" s="7">
        <f t="shared" ca="1" si="139"/>
        <v>16255.001112024716</v>
      </c>
      <c r="X167" s="7">
        <f t="shared" ca="1" si="139"/>
        <v>16742.651145385458</v>
      </c>
      <c r="Y167" s="7">
        <f t="shared" ca="1" si="139"/>
        <v>17244.930679747024</v>
      </c>
      <c r="Z167" s="7">
        <f t="shared" ca="1" si="139"/>
        <v>17762.278600139434</v>
      </c>
      <c r="AA167" s="7">
        <f t="shared" ca="1" si="139"/>
        <v>18295.146958143618</v>
      </c>
      <c r="AB167" s="7">
        <f t="shared" ca="1" si="139"/>
        <v>18844.001366887922</v>
      </c>
      <c r="AC167" s="7">
        <f t="shared" ca="1" si="139"/>
        <v>19409.32140789456</v>
      </c>
      <c r="AD167" s="7">
        <f t="shared" ca="1" si="139"/>
        <v>19991.601050131398</v>
      </c>
      <c r="AE167" s="7">
        <f t="shared" ca="1" si="139"/>
        <v>20591.349081635341</v>
      </c>
      <c r="AF167" s="7">
        <f t="shared" ca="1" si="139"/>
        <v>21209.089554084403</v>
      </c>
      <c r="AG167" s="7">
        <f t="shared" ca="1" si="139"/>
        <v>21845.362240706931</v>
      </c>
      <c r="AH167" s="7">
        <f t="shared" ca="1" si="139"/>
        <v>22500.723107928141</v>
      </c>
      <c r="AI167" s="7">
        <f t="shared" ca="1" si="139"/>
        <v>23175.744801165984</v>
      </c>
      <c r="AJ167" s="7">
        <f t="shared" ca="1" si="139"/>
        <v>23871.017145200964</v>
      </c>
      <c r="AK167" s="7">
        <f t="shared" ca="1" si="139"/>
        <v>24587.147659556995</v>
      </c>
      <c r="AL167" s="7">
        <f t="shared" ca="1" si="139"/>
        <v>25324.762089343702</v>
      </c>
      <c r="AM167" s="7">
        <f t="shared" ca="1" si="139"/>
        <v>26084.504952024014</v>
      </c>
    </row>
    <row r="168" spans="1:39">
      <c r="A168" s="3" t="s">
        <v>25</v>
      </c>
      <c r="C168" s="7">
        <f ca="1">SUM(C165:C167)</f>
        <v>309000</v>
      </c>
      <c r="D168" s="7">
        <f t="shared" ref="D168:AM168" ca="1" si="140">SUM(D165:D167)</f>
        <v>318270</v>
      </c>
      <c r="E168" s="7">
        <f t="shared" ca="1" si="140"/>
        <v>327818.09999999998</v>
      </c>
      <c r="F168" s="7">
        <f t="shared" ca="1" si="140"/>
        <v>337652.64299999998</v>
      </c>
      <c r="G168" s="7">
        <f t="shared" ca="1" si="140"/>
        <v>347782.22229000001</v>
      </c>
      <c r="H168" s="7">
        <f t="shared" ca="1" si="140"/>
        <v>358215.68895869999</v>
      </c>
      <c r="I168" s="7">
        <f t="shared" ca="1" si="140"/>
        <v>368962.15962746099</v>
      </c>
      <c r="J168" s="7">
        <f t="shared" ca="1" si="140"/>
        <v>380031.02441628481</v>
      </c>
      <c r="K168" s="7">
        <f t="shared" ca="1" si="140"/>
        <v>391431.95514877333</v>
      </c>
      <c r="L168" s="7">
        <f t="shared" ca="1" si="140"/>
        <v>403174.9138032365</v>
      </c>
      <c r="M168" s="7">
        <f t="shared" ca="1" si="140"/>
        <v>415270.16121733357</v>
      </c>
      <c r="N168" s="7">
        <f t="shared" ca="1" si="140"/>
        <v>427728.26605385356</v>
      </c>
      <c r="O168" s="7">
        <f t="shared" ca="1" si="140"/>
        <v>440560.11403546919</v>
      </c>
      <c r="P168" s="7">
        <f t="shared" ca="1" si="140"/>
        <v>453776.91745653324</v>
      </c>
      <c r="Q168" s="7">
        <f t="shared" ca="1" si="140"/>
        <v>467390.22498022922</v>
      </c>
      <c r="R168" s="7">
        <f t="shared" ca="1" si="140"/>
        <v>481411.9317296361</v>
      </c>
      <c r="S168" s="7">
        <f t="shared" ca="1" si="140"/>
        <v>495854.2896815252</v>
      </c>
      <c r="T168" s="7">
        <f t="shared" ca="1" si="140"/>
        <v>510729.91837197094</v>
      </c>
      <c r="U168" s="7">
        <f t="shared" ca="1" si="140"/>
        <v>526051.81592313002</v>
      </c>
      <c r="V168" s="7">
        <f t="shared" ca="1" si="140"/>
        <v>541833.37040082389</v>
      </c>
      <c r="W168" s="7">
        <f t="shared" ca="1" si="140"/>
        <v>558088.37151284865</v>
      </c>
      <c r="X168" s="7">
        <f t="shared" ca="1" si="140"/>
        <v>574831.02265823411</v>
      </c>
      <c r="Y168" s="7">
        <f t="shared" ca="1" si="140"/>
        <v>592075.95333798113</v>
      </c>
      <c r="Z168" s="7">
        <f t="shared" ca="1" si="140"/>
        <v>609838.23193812056</v>
      </c>
      <c r="AA168" s="7">
        <f t="shared" ca="1" si="140"/>
        <v>628133.37889626413</v>
      </c>
      <c r="AB168" s="7">
        <f t="shared" ca="1" si="140"/>
        <v>646977.38026315207</v>
      </c>
      <c r="AC168" s="7">
        <f t="shared" ca="1" si="140"/>
        <v>666386.70167104667</v>
      </c>
      <c r="AD168" s="7">
        <f t="shared" ca="1" si="140"/>
        <v>686378.30272117804</v>
      </c>
      <c r="AE168" s="7">
        <f t="shared" ca="1" si="140"/>
        <v>706969.6518028134</v>
      </c>
      <c r="AF168" s="7">
        <f t="shared" ca="1" si="140"/>
        <v>728178.74135689775</v>
      </c>
      <c r="AG168" s="7">
        <f t="shared" ca="1" si="140"/>
        <v>750024.10359760467</v>
      </c>
      <c r="AH168" s="7">
        <f t="shared" ca="1" si="140"/>
        <v>772524.82670553285</v>
      </c>
      <c r="AI168" s="7">
        <f t="shared" ca="1" si="140"/>
        <v>795700.57150669885</v>
      </c>
      <c r="AJ168" s="7">
        <f t="shared" ca="1" si="140"/>
        <v>819571.58865189983</v>
      </c>
      <c r="AK168" s="7">
        <f t="shared" ca="1" si="140"/>
        <v>844158.73631145677</v>
      </c>
      <c r="AL168" s="7">
        <f t="shared" ca="1" si="140"/>
        <v>869483.49840080051</v>
      </c>
      <c r="AM168" s="7">
        <f t="shared" ca="1" si="140"/>
        <v>895568.00335282448</v>
      </c>
    </row>
    <row r="169" spans="1:39">
      <c r="A169" s="3" t="s">
        <v>26</v>
      </c>
      <c r="C169" s="7">
        <f ca="1">C166*Inputs!$B$195</f>
        <v>0</v>
      </c>
      <c r="D169" s="7">
        <f ca="1">D166*Inputs!$B$195</f>
        <v>0</v>
      </c>
      <c r="E169" s="7">
        <f ca="1">E166*Inputs!$B$195</f>
        <v>0</v>
      </c>
      <c r="F169" s="7">
        <f ca="1">F166*Inputs!$B$195</f>
        <v>0</v>
      </c>
      <c r="G169" s="7">
        <f ca="1">G166*Inputs!$B$195</f>
        <v>0</v>
      </c>
      <c r="H169" s="7">
        <f ca="1">H166*Inputs!$B$195</f>
        <v>0</v>
      </c>
      <c r="I169" s="7">
        <f ca="1">I166*Inputs!$B$195</f>
        <v>0</v>
      </c>
      <c r="J169" s="7">
        <f ca="1">J166*Inputs!$B$195</f>
        <v>0</v>
      </c>
      <c r="K169" s="7">
        <f ca="1">K166*Inputs!$B$195</f>
        <v>0</v>
      </c>
      <c r="L169" s="7">
        <f ca="1">L166*Inputs!$B$195</f>
        <v>0</v>
      </c>
      <c r="M169" s="7">
        <f ca="1">M166*Inputs!$B$195</f>
        <v>0</v>
      </c>
      <c r="N169" s="7">
        <f ca="1">N166*Inputs!$B$195</f>
        <v>0</v>
      </c>
      <c r="O169" s="7">
        <f ca="1">O166*Inputs!$B$195</f>
        <v>0</v>
      </c>
      <c r="P169" s="7">
        <f ca="1">P166*Inputs!$B$195</f>
        <v>0</v>
      </c>
      <c r="Q169" s="7">
        <f ca="1">Q166*Inputs!$B$195</f>
        <v>0</v>
      </c>
      <c r="R169" s="7">
        <f ca="1">R166*Inputs!$B$195</f>
        <v>0</v>
      </c>
      <c r="S169" s="7">
        <f ca="1">S166*Inputs!$B$195</f>
        <v>0</v>
      </c>
      <c r="T169" s="7">
        <f ca="1">T166*Inputs!$B$195</f>
        <v>0</v>
      </c>
      <c r="U169" s="7">
        <f ca="1">U166*Inputs!$B$195</f>
        <v>0</v>
      </c>
      <c r="V169" s="7">
        <f ca="1">V166*Inputs!$B$195</f>
        <v>0</v>
      </c>
      <c r="W169" s="7">
        <f ca="1">W166*Inputs!$B$195</f>
        <v>0</v>
      </c>
      <c r="X169" s="7">
        <f ca="1">X166*Inputs!$B$195</f>
        <v>0</v>
      </c>
      <c r="Y169" s="7">
        <f ca="1">Y166*Inputs!$B$195</f>
        <v>0</v>
      </c>
      <c r="Z169" s="7">
        <f ca="1">Z166*Inputs!$B$195</f>
        <v>0</v>
      </c>
      <c r="AA169" s="7">
        <f ca="1">AA166*Inputs!$B$195</f>
        <v>0</v>
      </c>
      <c r="AB169" s="7">
        <f ca="1">AB166*Inputs!$B$195</f>
        <v>0</v>
      </c>
      <c r="AC169" s="7">
        <f ca="1">AC166*Inputs!$B$195</f>
        <v>0</v>
      </c>
      <c r="AD169" s="7">
        <f ca="1">AD166*Inputs!$B$195</f>
        <v>0</v>
      </c>
      <c r="AE169" s="7">
        <f ca="1">AE166*Inputs!$B$195</f>
        <v>0</v>
      </c>
      <c r="AF169" s="7">
        <f ca="1">AF166*Inputs!$B$195</f>
        <v>0</v>
      </c>
      <c r="AG169" s="7">
        <f ca="1">AG166*Inputs!$B$195</f>
        <v>0</v>
      </c>
      <c r="AH169" s="7">
        <f ca="1">AH166*Inputs!$B$195</f>
        <v>0</v>
      </c>
      <c r="AI169" s="7">
        <f ca="1">AI166*Inputs!$B$195</f>
        <v>0</v>
      </c>
      <c r="AJ169" s="7">
        <f ca="1">AJ166*Inputs!$B$195</f>
        <v>0</v>
      </c>
      <c r="AK169" s="7">
        <f ca="1">AK166*Inputs!$B$195</f>
        <v>0</v>
      </c>
      <c r="AL169" s="7">
        <f ca="1">AL166*Inputs!$B$195</f>
        <v>0</v>
      </c>
      <c r="AM169" s="7">
        <f>AM166*Inputs!$B$195</f>
        <v>0</v>
      </c>
    </row>
    <row r="170" spans="1:39">
      <c r="A170" s="3" t="s">
        <v>31</v>
      </c>
      <c r="C170" s="7">
        <f t="shared" ref="C170:AM170" si="141">IFERROR(-IF(C165=0,VLOOKUP($A164,$8:$12,C$1+2,FALSE),0),0)</f>
        <v>0</v>
      </c>
      <c r="D170" s="7">
        <f t="shared" ca="1" si="141"/>
        <v>0</v>
      </c>
      <c r="E170" s="7">
        <f t="shared" ca="1" si="141"/>
        <v>0</v>
      </c>
      <c r="F170" s="7">
        <f t="shared" ca="1" si="141"/>
        <v>0</v>
      </c>
      <c r="G170" s="7">
        <f t="shared" ca="1" si="141"/>
        <v>0</v>
      </c>
      <c r="H170" s="7">
        <f t="shared" ca="1" si="141"/>
        <v>0</v>
      </c>
      <c r="I170" s="7">
        <f t="shared" ca="1" si="141"/>
        <v>0</v>
      </c>
      <c r="J170" s="7">
        <f t="shared" ca="1" si="141"/>
        <v>0</v>
      </c>
      <c r="K170" s="7">
        <f t="shared" ca="1" si="141"/>
        <v>0</v>
      </c>
      <c r="L170" s="7">
        <f t="shared" ca="1" si="141"/>
        <v>0</v>
      </c>
      <c r="M170" s="7">
        <f t="shared" ca="1" si="141"/>
        <v>0</v>
      </c>
      <c r="N170" s="7">
        <f t="shared" ca="1" si="141"/>
        <v>0</v>
      </c>
      <c r="O170" s="7">
        <f t="shared" ca="1" si="141"/>
        <v>0</v>
      </c>
      <c r="P170" s="7">
        <f t="shared" ca="1" si="141"/>
        <v>0</v>
      </c>
      <c r="Q170" s="7">
        <f t="shared" ca="1" si="141"/>
        <v>0</v>
      </c>
      <c r="R170" s="7">
        <f t="shared" ca="1" si="141"/>
        <v>0</v>
      </c>
      <c r="S170" s="7">
        <f t="shared" ca="1" si="141"/>
        <v>0</v>
      </c>
      <c r="T170" s="7">
        <f t="shared" ca="1" si="141"/>
        <v>0</v>
      </c>
      <c r="U170" s="7">
        <f t="shared" ca="1" si="141"/>
        <v>0</v>
      </c>
      <c r="V170" s="7">
        <f t="shared" ca="1" si="141"/>
        <v>0</v>
      </c>
      <c r="W170" s="7">
        <f t="shared" ca="1" si="141"/>
        <v>0</v>
      </c>
      <c r="X170" s="7">
        <f t="shared" ca="1" si="141"/>
        <v>0</v>
      </c>
      <c r="Y170" s="7">
        <f t="shared" ca="1" si="141"/>
        <v>0</v>
      </c>
      <c r="Z170" s="7">
        <f t="shared" ca="1" si="141"/>
        <v>0</v>
      </c>
      <c r="AA170" s="7">
        <f t="shared" ca="1" si="141"/>
        <v>0</v>
      </c>
      <c r="AB170" s="7">
        <f t="shared" ca="1" si="141"/>
        <v>0</v>
      </c>
      <c r="AC170" s="7">
        <f t="shared" ca="1" si="141"/>
        <v>0</v>
      </c>
      <c r="AD170" s="7">
        <f t="shared" ca="1" si="141"/>
        <v>0</v>
      </c>
      <c r="AE170" s="7">
        <f t="shared" ca="1" si="141"/>
        <v>0</v>
      </c>
      <c r="AF170" s="7">
        <f t="shared" ca="1" si="141"/>
        <v>0</v>
      </c>
      <c r="AG170" s="7">
        <f t="shared" ca="1" si="141"/>
        <v>0</v>
      </c>
      <c r="AH170" s="7">
        <f t="shared" ca="1" si="141"/>
        <v>0</v>
      </c>
      <c r="AI170" s="7">
        <f t="shared" ca="1" si="141"/>
        <v>0</v>
      </c>
      <c r="AJ170" s="7">
        <f t="shared" ca="1" si="141"/>
        <v>0</v>
      </c>
      <c r="AK170" s="7">
        <f t="shared" ca="1" si="141"/>
        <v>0</v>
      </c>
      <c r="AL170" s="7">
        <f t="shared" ca="1" si="141"/>
        <v>0</v>
      </c>
      <c r="AM170" s="7">
        <f t="shared" ca="1" si="141"/>
        <v>0</v>
      </c>
    </row>
    <row r="171" spans="1:39">
      <c r="A171" s="3" t="s">
        <v>50</v>
      </c>
      <c r="C171" s="7">
        <f t="shared" ref="C171:AM171" si="142">IFERROR(IF(C165=0,VLOOKUP($A164,$40:$44,C$1+2,FALSE),0),0)</f>
        <v>0</v>
      </c>
      <c r="D171" s="7">
        <f t="shared" ca="1" si="142"/>
        <v>0</v>
      </c>
      <c r="E171" s="7">
        <f t="shared" ca="1" si="142"/>
        <v>0</v>
      </c>
      <c r="F171" s="7">
        <f t="shared" ca="1" si="142"/>
        <v>0</v>
      </c>
      <c r="G171" s="7">
        <f t="shared" ca="1" si="142"/>
        <v>0</v>
      </c>
      <c r="H171" s="7">
        <f t="shared" ca="1" si="142"/>
        <v>0</v>
      </c>
      <c r="I171" s="7">
        <f t="shared" ca="1" si="142"/>
        <v>0</v>
      </c>
      <c r="J171" s="7">
        <f t="shared" ca="1" si="142"/>
        <v>0</v>
      </c>
      <c r="K171" s="7">
        <f t="shared" ca="1" si="142"/>
        <v>0</v>
      </c>
      <c r="L171" s="7">
        <f t="shared" ca="1" si="142"/>
        <v>0</v>
      </c>
      <c r="M171" s="7">
        <f t="shared" ca="1" si="142"/>
        <v>0</v>
      </c>
      <c r="N171" s="7">
        <f t="shared" ca="1" si="142"/>
        <v>0</v>
      </c>
      <c r="O171" s="7">
        <f t="shared" ca="1" si="142"/>
        <v>0</v>
      </c>
      <c r="P171" s="7">
        <f t="shared" ca="1" si="142"/>
        <v>0</v>
      </c>
      <c r="Q171" s="7">
        <f t="shared" ca="1" si="142"/>
        <v>0</v>
      </c>
      <c r="R171" s="7">
        <f t="shared" ca="1" si="142"/>
        <v>0</v>
      </c>
      <c r="S171" s="7">
        <f t="shared" ca="1" si="142"/>
        <v>0</v>
      </c>
      <c r="T171" s="7">
        <f t="shared" ca="1" si="142"/>
        <v>0</v>
      </c>
      <c r="U171" s="7">
        <f t="shared" ca="1" si="142"/>
        <v>0</v>
      </c>
      <c r="V171" s="7">
        <f t="shared" ca="1" si="142"/>
        <v>0</v>
      </c>
      <c r="W171" s="7">
        <f t="shared" ca="1" si="142"/>
        <v>0</v>
      </c>
      <c r="X171" s="7">
        <f t="shared" ca="1" si="142"/>
        <v>0</v>
      </c>
      <c r="Y171" s="7">
        <f t="shared" ca="1" si="142"/>
        <v>0</v>
      </c>
      <c r="Z171" s="7">
        <f t="shared" ca="1" si="142"/>
        <v>0</v>
      </c>
      <c r="AA171" s="7">
        <f t="shared" ca="1" si="142"/>
        <v>0</v>
      </c>
      <c r="AB171" s="7">
        <f t="shared" ca="1" si="142"/>
        <v>0</v>
      </c>
      <c r="AC171" s="7">
        <f t="shared" ca="1" si="142"/>
        <v>0</v>
      </c>
      <c r="AD171" s="7">
        <f t="shared" ca="1" si="142"/>
        <v>0</v>
      </c>
      <c r="AE171" s="7">
        <f t="shared" ca="1" si="142"/>
        <v>0</v>
      </c>
      <c r="AF171" s="7">
        <f t="shared" ca="1" si="142"/>
        <v>0</v>
      </c>
      <c r="AG171" s="7">
        <f t="shared" ca="1" si="142"/>
        <v>0</v>
      </c>
      <c r="AH171" s="7">
        <f t="shared" ca="1" si="142"/>
        <v>0</v>
      </c>
      <c r="AI171" s="7">
        <f t="shared" ca="1" si="142"/>
        <v>0</v>
      </c>
      <c r="AJ171" s="7">
        <f t="shared" ca="1" si="142"/>
        <v>0</v>
      </c>
      <c r="AK171" s="7">
        <f t="shared" ca="1" si="142"/>
        <v>0</v>
      </c>
      <c r="AL171" s="7">
        <f t="shared" ca="1" si="142"/>
        <v>0</v>
      </c>
      <c r="AM171" s="7">
        <f t="shared" ca="1" si="142"/>
        <v>0</v>
      </c>
    </row>
    <row r="172" spans="1:39">
      <c r="A172" s="3" t="s">
        <v>36</v>
      </c>
      <c r="B172" s="14" t="str">
        <f>A164</f>
        <v>Sliema</v>
      </c>
      <c r="C172" s="7">
        <f t="shared" ref="C172:AM172" ca="1" si="143">IF(AND(C165&gt;0,C168=0),VLOOKUP($A164,$72:$76,C$1+2,FALSE),0)</f>
        <v>0</v>
      </c>
      <c r="D172" s="7">
        <f t="shared" ca="1" si="143"/>
        <v>0</v>
      </c>
      <c r="E172" s="7">
        <f t="shared" ca="1" si="143"/>
        <v>0</v>
      </c>
      <c r="F172" s="7">
        <f t="shared" ca="1" si="143"/>
        <v>0</v>
      </c>
      <c r="G172" s="7">
        <f t="shared" ca="1" si="143"/>
        <v>0</v>
      </c>
      <c r="H172" s="7">
        <f t="shared" ca="1" si="143"/>
        <v>0</v>
      </c>
      <c r="I172" s="7">
        <f t="shared" ca="1" si="143"/>
        <v>0</v>
      </c>
      <c r="J172" s="7">
        <f t="shared" ca="1" si="143"/>
        <v>0</v>
      </c>
      <c r="K172" s="7">
        <f t="shared" ca="1" si="143"/>
        <v>0</v>
      </c>
      <c r="L172" s="7">
        <f t="shared" ca="1" si="143"/>
        <v>0</v>
      </c>
      <c r="M172" s="7">
        <f t="shared" ca="1" si="143"/>
        <v>0</v>
      </c>
      <c r="N172" s="7">
        <f t="shared" ca="1" si="143"/>
        <v>0</v>
      </c>
      <c r="O172" s="7">
        <f t="shared" ca="1" si="143"/>
        <v>0</v>
      </c>
      <c r="P172" s="7">
        <f t="shared" ca="1" si="143"/>
        <v>0</v>
      </c>
      <c r="Q172" s="7">
        <f t="shared" ca="1" si="143"/>
        <v>0</v>
      </c>
      <c r="R172" s="7">
        <f t="shared" ca="1" si="143"/>
        <v>0</v>
      </c>
      <c r="S172" s="7">
        <f t="shared" ca="1" si="143"/>
        <v>0</v>
      </c>
      <c r="T172" s="7">
        <f t="shared" ca="1" si="143"/>
        <v>0</v>
      </c>
      <c r="U172" s="7">
        <f t="shared" ca="1" si="143"/>
        <v>0</v>
      </c>
      <c r="V172" s="7">
        <f t="shared" ca="1" si="143"/>
        <v>0</v>
      </c>
      <c r="W172" s="7">
        <f t="shared" ca="1" si="143"/>
        <v>0</v>
      </c>
      <c r="X172" s="7">
        <f t="shared" ca="1" si="143"/>
        <v>0</v>
      </c>
      <c r="Y172" s="7">
        <f t="shared" ca="1" si="143"/>
        <v>0</v>
      </c>
      <c r="Z172" s="7">
        <f t="shared" ca="1" si="143"/>
        <v>0</v>
      </c>
      <c r="AA172" s="7">
        <f t="shared" ca="1" si="143"/>
        <v>0</v>
      </c>
      <c r="AB172" s="7">
        <f t="shared" ca="1" si="143"/>
        <v>0</v>
      </c>
      <c r="AC172" s="7">
        <f t="shared" ca="1" si="143"/>
        <v>0</v>
      </c>
      <c r="AD172" s="7">
        <f t="shared" ca="1" si="143"/>
        <v>0</v>
      </c>
      <c r="AE172" s="7">
        <f t="shared" ca="1" si="143"/>
        <v>0</v>
      </c>
      <c r="AF172" s="7">
        <f t="shared" ca="1" si="143"/>
        <v>0</v>
      </c>
      <c r="AG172" s="7">
        <f t="shared" ca="1" si="143"/>
        <v>0</v>
      </c>
      <c r="AH172" s="7">
        <f t="shared" ca="1" si="143"/>
        <v>0</v>
      </c>
      <c r="AI172" s="7">
        <f t="shared" ca="1" si="143"/>
        <v>0</v>
      </c>
      <c r="AJ172" s="7">
        <f t="shared" ca="1" si="143"/>
        <v>0</v>
      </c>
      <c r="AK172" s="7">
        <f t="shared" ca="1" si="143"/>
        <v>0</v>
      </c>
      <c r="AL172" s="7">
        <f t="shared" ca="1" si="143"/>
        <v>0</v>
      </c>
      <c r="AM172" s="7">
        <f t="shared" ca="1" si="143"/>
        <v>0</v>
      </c>
    </row>
    <row r="173" spans="1:39">
      <c r="A173" s="3" t="s">
        <v>37</v>
      </c>
      <c r="C173" s="7">
        <f ca="1">-C166+SUM(C169:C172)</f>
        <v>0</v>
      </c>
      <c r="D173" s="7">
        <f t="shared" ref="D173" ca="1" si="144">-D166+SUM(D169:D172)</f>
        <v>0</v>
      </c>
      <c r="E173" s="7">
        <f t="shared" ref="E173:AM173" ca="1" si="145">-E166+SUM(E169:E172)</f>
        <v>0</v>
      </c>
      <c r="F173" s="7">
        <f t="shared" ca="1" si="145"/>
        <v>0</v>
      </c>
      <c r="G173" s="7">
        <f t="shared" ca="1" si="145"/>
        <v>0</v>
      </c>
      <c r="H173" s="7">
        <f t="shared" ca="1" si="145"/>
        <v>0</v>
      </c>
      <c r="I173" s="7">
        <f t="shared" ca="1" si="145"/>
        <v>0</v>
      </c>
      <c r="J173" s="7">
        <f t="shared" ca="1" si="145"/>
        <v>0</v>
      </c>
      <c r="K173" s="7">
        <f t="shared" ca="1" si="145"/>
        <v>0</v>
      </c>
      <c r="L173" s="7">
        <f t="shared" ca="1" si="145"/>
        <v>0</v>
      </c>
      <c r="M173" s="7">
        <f t="shared" ca="1" si="145"/>
        <v>0</v>
      </c>
      <c r="N173" s="7">
        <f t="shared" ca="1" si="145"/>
        <v>0</v>
      </c>
      <c r="O173" s="7">
        <f t="shared" ca="1" si="145"/>
        <v>0</v>
      </c>
      <c r="P173" s="7">
        <f t="shared" ca="1" si="145"/>
        <v>0</v>
      </c>
      <c r="Q173" s="7">
        <f t="shared" ca="1" si="145"/>
        <v>0</v>
      </c>
      <c r="R173" s="7">
        <f t="shared" ca="1" si="145"/>
        <v>0</v>
      </c>
      <c r="S173" s="7">
        <f t="shared" ca="1" si="145"/>
        <v>0</v>
      </c>
      <c r="T173" s="7">
        <f t="shared" ca="1" si="145"/>
        <v>0</v>
      </c>
      <c r="U173" s="7">
        <f t="shared" ca="1" si="145"/>
        <v>0</v>
      </c>
      <c r="V173" s="7">
        <f t="shared" ca="1" si="145"/>
        <v>0</v>
      </c>
      <c r="W173" s="7">
        <f t="shared" ca="1" si="145"/>
        <v>0</v>
      </c>
      <c r="X173" s="7">
        <f t="shared" ca="1" si="145"/>
        <v>0</v>
      </c>
      <c r="Y173" s="7">
        <f t="shared" ca="1" si="145"/>
        <v>0</v>
      </c>
      <c r="Z173" s="7">
        <f t="shared" ca="1" si="145"/>
        <v>0</v>
      </c>
      <c r="AA173" s="7">
        <f t="shared" ca="1" si="145"/>
        <v>0</v>
      </c>
      <c r="AB173" s="7">
        <f t="shared" ca="1" si="145"/>
        <v>0</v>
      </c>
      <c r="AC173" s="7">
        <f t="shared" ca="1" si="145"/>
        <v>0</v>
      </c>
      <c r="AD173" s="7">
        <f t="shared" ca="1" si="145"/>
        <v>0</v>
      </c>
      <c r="AE173" s="7">
        <f t="shared" ca="1" si="145"/>
        <v>0</v>
      </c>
      <c r="AF173" s="7">
        <f t="shared" ca="1" si="145"/>
        <v>0</v>
      </c>
      <c r="AG173" s="7">
        <f t="shared" ca="1" si="145"/>
        <v>0</v>
      </c>
      <c r="AH173" s="7">
        <f t="shared" ca="1" si="145"/>
        <v>0</v>
      </c>
      <c r="AI173" s="7">
        <f t="shared" ca="1" si="145"/>
        <v>0</v>
      </c>
      <c r="AJ173" s="7">
        <f t="shared" ca="1" si="145"/>
        <v>0</v>
      </c>
      <c r="AK173" s="7">
        <f t="shared" ca="1" si="145"/>
        <v>0</v>
      </c>
      <c r="AL173" s="7">
        <f t="shared" ca="1" si="145"/>
        <v>0</v>
      </c>
      <c r="AM173" s="7">
        <f t="shared" ca="1" si="145"/>
        <v>0</v>
      </c>
    </row>
    <row r="174" spans="1:39">
      <c r="A174" s="3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</row>
    <row r="175" spans="1:39">
      <c r="A175" s="3" t="s">
        <v>77</v>
      </c>
      <c r="C175" s="7">
        <f ca="1">C161+SUM($C173:C173)</f>
        <v>37716.75</v>
      </c>
      <c r="D175" s="7">
        <f ca="1">D161+SUM($C173:D173)</f>
        <v>69048.493749999994</v>
      </c>
      <c r="E175" s="7">
        <f ca="1">E161+SUM($C173:E173)</f>
        <v>80800.384218750027</v>
      </c>
      <c r="F175" s="7">
        <f ca="1">F161+SUM($C173:F173)</f>
        <v>127283.44827895577</v>
      </c>
      <c r="G175" s="7">
        <f ca="1">G161+SUM($C173:G173)</f>
        <v>178918.83267437888</v>
      </c>
      <c r="H175" s="7">
        <f ca="1">H161+SUM($C173:H173)</f>
        <v>245901.78181548161</v>
      </c>
      <c r="I175" s="7">
        <f ca="1">I161+SUM($C173:I173)</f>
        <v>323696.65132994356</v>
      </c>
      <c r="J175" s="7">
        <f ca="1">J161+SUM($C173:J173)</f>
        <v>388989.26300950802</v>
      </c>
      <c r="K175" s="7">
        <f ca="1">K161+SUM($C173:K173)</f>
        <v>539281.37409876089</v>
      </c>
      <c r="L175" s="7">
        <f ca="1">L161+SUM($C173:L173)</f>
        <v>601876.82255875634</v>
      </c>
      <c r="M175" s="7">
        <f ca="1">M161+SUM($C173:M173)</f>
        <v>721038.5473662219</v>
      </c>
      <c r="N175" s="7">
        <f ca="1">N161+SUM($C173:N173)</f>
        <v>846583.81996541878</v>
      </c>
      <c r="O175" s="7">
        <f ca="1">O161+SUM($C173:O173)</f>
        <v>978782.14070489258</v>
      </c>
      <c r="P175" s="7">
        <f ca="1">P161+SUM($C173:P173)</f>
        <v>1117913.239204355</v>
      </c>
      <c r="Q175" s="7">
        <f ca="1">Q161+SUM($C173:Q173)</f>
        <v>1264267.4396996587</v>
      </c>
      <c r="R175" s="7">
        <f ca="1">R161+SUM($C173:R173)</f>
        <v>1418146.0389312971</v>
      </c>
      <c r="S175" s="7">
        <f ca="1">S161+SUM($C173:S173)</f>
        <v>1473929.4664830596</v>
      </c>
      <c r="T175" s="7">
        <f ca="1">T161+SUM($C173:T173)</f>
        <v>1539631.0553787265</v>
      </c>
      <c r="U175" s="7">
        <f ca="1">U161+SUM($C173:U173)</f>
        <v>1608018.7707598673</v>
      </c>
      <c r="V175" s="7">
        <f ca="1">V161+SUM($C173:V173)</f>
        <v>1679196.2730464134</v>
      </c>
      <c r="W175" s="7">
        <f ca="1">W161+SUM($C173:W173)</f>
        <v>1753271.0393779005</v>
      </c>
      <c r="X175" s="7">
        <f ca="1">X161+SUM($C173:X173)</f>
        <v>1809947.5795442504</v>
      </c>
      <c r="Y175" s="7">
        <f ca="1">Y161+SUM($C173:Y173)</f>
        <v>1868727.9885819815</v>
      </c>
      <c r="Z175" s="7">
        <f ca="1">Z161+SUM($C173:Z173)</f>
        <v>1929693.7621849393</v>
      </c>
      <c r="AA175" s="7">
        <f ca="1">AA161+SUM($C173:AA173)</f>
        <v>1992929.5076662535</v>
      </c>
      <c r="AB175" s="7">
        <f ca="1">AB161+SUM($C173:AB173)</f>
        <v>2058523.0591570721</v>
      </c>
      <c r="AC175" s="7">
        <f ca="1">AC161+SUM($C173:AC173)</f>
        <v>2126565.5969370482</v>
      </c>
      <c r="AD175" s="7">
        <f ca="1">AD161+SUM($C173:AD173)</f>
        <v>2207012.5086333081</v>
      </c>
      <c r="AE175" s="7">
        <f ca="1">AE161+SUM($C173:AE173)</f>
        <v>2290594.3413533093</v>
      </c>
      <c r="AF175" s="7">
        <f ca="1">AF161+SUM($C173:AF173)</f>
        <v>2377431.5621965392</v>
      </c>
      <c r="AG175" s="7">
        <f ca="1">AG161+SUM($C173:AG173)</f>
        <v>2467649.1223028628</v>
      </c>
      <c r="AH175" s="7">
        <f ca="1">AH161+SUM($C173:AH173)</f>
        <v>2561376.6183629362</v>
      </c>
      <c r="AI175" s="7">
        <f ca="1">AI161+SUM($C173:AI173)</f>
        <v>2658748.4597796248</v>
      </c>
      <c r="AJ175" s="7">
        <f ca="1">AJ161+SUM($C173:AJ173)</f>
        <v>2759904.041673373</v>
      </c>
      <c r="AK175" s="7">
        <f ca="1">AK161+SUM($C173:AK173)</f>
        <v>2864987.92393093</v>
      </c>
      <c r="AL175" s="7">
        <f ca="1">AL161+SUM($C173:AL173)</f>
        <v>2974150.0165034966</v>
      </c>
      <c r="AM175" s="7">
        <f ca="1">AM161+SUM($C173:AM173)</f>
        <v>3087545.7711672578</v>
      </c>
    </row>
    <row r="176" spans="1:39">
      <c r="A176" s="3" t="s">
        <v>74</v>
      </c>
      <c r="C176" s="7">
        <f t="shared" ref="C176:AM176" ca="1" si="146">MAX(C175+buffer,0)-MAX(C161+buffer,0)</f>
        <v>0</v>
      </c>
      <c r="D176" s="7">
        <f t="shared" ca="1" si="146"/>
        <v>0</v>
      </c>
      <c r="E176" s="7">
        <f t="shared" ca="1" si="146"/>
        <v>0</v>
      </c>
      <c r="F176" s="7">
        <f t="shared" ca="1" si="146"/>
        <v>0</v>
      </c>
      <c r="G176" s="7">
        <f t="shared" ca="1" si="146"/>
        <v>0</v>
      </c>
      <c r="H176" s="7">
        <f t="shared" ca="1" si="146"/>
        <v>0</v>
      </c>
      <c r="I176" s="7">
        <f t="shared" ca="1" si="146"/>
        <v>0</v>
      </c>
      <c r="J176" s="7">
        <f t="shared" ca="1" si="146"/>
        <v>0</v>
      </c>
      <c r="K176" s="7">
        <f t="shared" ca="1" si="146"/>
        <v>0</v>
      </c>
      <c r="L176" s="7">
        <f t="shared" ca="1" si="146"/>
        <v>0</v>
      </c>
      <c r="M176" s="7">
        <f t="shared" ca="1" si="146"/>
        <v>0</v>
      </c>
      <c r="N176" s="7">
        <f t="shared" ca="1" si="146"/>
        <v>0</v>
      </c>
      <c r="O176" s="7">
        <f t="shared" ca="1" si="146"/>
        <v>0</v>
      </c>
      <c r="P176" s="7">
        <f t="shared" ca="1" si="146"/>
        <v>0</v>
      </c>
      <c r="Q176" s="7">
        <f t="shared" ca="1" si="146"/>
        <v>0</v>
      </c>
      <c r="R176" s="7">
        <f t="shared" ca="1" si="146"/>
        <v>0</v>
      </c>
      <c r="S176" s="7">
        <f t="shared" ca="1" si="146"/>
        <v>0</v>
      </c>
      <c r="T176" s="7">
        <f t="shared" ca="1" si="146"/>
        <v>0</v>
      </c>
      <c r="U176" s="7">
        <f t="shared" ca="1" si="146"/>
        <v>0</v>
      </c>
      <c r="V176" s="7">
        <f t="shared" ca="1" si="146"/>
        <v>0</v>
      </c>
      <c r="W176" s="7">
        <f t="shared" ca="1" si="146"/>
        <v>0</v>
      </c>
      <c r="X176" s="7">
        <f t="shared" ca="1" si="146"/>
        <v>0</v>
      </c>
      <c r="Y176" s="7">
        <f t="shared" ca="1" si="146"/>
        <v>0</v>
      </c>
      <c r="Z176" s="7">
        <f t="shared" ca="1" si="146"/>
        <v>0</v>
      </c>
      <c r="AA176" s="7">
        <f t="shared" ca="1" si="146"/>
        <v>0</v>
      </c>
      <c r="AB176" s="7">
        <f t="shared" ca="1" si="146"/>
        <v>0</v>
      </c>
      <c r="AC176" s="7">
        <f t="shared" ca="1" si="146"/>
        <v>0</v>
      </c>
      <c r="AD176" s="7">
        <f t="shared" ca="1" si="146"/>
        <v>0</v>
      </c>
      <c r="AE176" s="7">
        <f t="shared" ca="1" si="146"/>
        <v>0</v>
      </c>
      <c r="AF176" s="7">
        <f t="shared" ca="1" si="146"/>
        <v>0</v>
      </c>
      <c r="AG176" s="7">
        <f t="shared" ca="1" si="146"/>
        <v>0</v>
      </c>
      <c r="AH176" s="7">
        <f t="shared" ca="1" si="146"/>
        <v>0</v>
      </c>
      <c r="AI176" s="7">
        <f t="shared" ca="1" si="146"/>
        <v>0</v>
      </c>
      <c r="AJ176" s="7">
        <f t="shared" ca="1" si="146"/>
        <v>0</v>
      </c>
      <c r="AK176" s="7">
        <f t="shared" ca="1" si="146"/>
        <v>0</v>
      </c>
      <c r="AL176" s="7">
        <f t="shared" ca="1" si="146"/>
        <v>0</v>
      </c>
      <c r="AM176" s="7">
        <f t="shared" ca="1" si="146"/>
        <v>0</v>
      </c>
    </row>
    <row r="177" spans="1:39">
      <c r="A177" s="3" t="s">
        <v>75</v>
      </c>
      <c r="C177" s="7">
        <f ca="1">C176*Inputs!$B$181</f>
        <v>0</v>
      </c>
      <c r="D177" s="7">
        <f ca="1">D176*Inputs!$B$181</f>
        <v>0</v>
      </c>
      <c r="E177" s="7">
        <f ca="1">E176*Inputs!$B$181</f>
        <v>0</v>
      </c>
      <c r="F177" s="7">
        <f ca="1">F176*Inputs!$B$181</f>
        <v>0</v>
      </c>
      <c r="G177" s="7">
        <f ca="1">G176*Inputs!$B$181</f>
        <v>0</v>
      </c>
      <c r="H177" s="7">
        <f ca="1">H176*Inputs!$B$181</f>
        <v>0</v>
      </c>
      <c r="I177" s="7">
        <f ca="1">I176*Inputs!$B$181</f>
        <v>0</v>
      </c>
      <c r="J177" s="7">
        <f ca="1">J176*Inputs!$B$181</f>
        <v>0</v>
      </c>
      <c r="K177" s="7">
        <f ca="1">K176*Inputs!$B$181</f>
        <v>0</v>
      </c>
      <c r="L177" s="7">
        <f ca="1">L176*Inputs!$B$181</f>
        <v>0</v>
      </c>
      <c r="M177" s="7">
        <f ca="1">M176*Inputs!$B$181</f>
        <v>0</v>
      </c>
      <c r="N177" s="7">
        <f ca="1">N176*Inputs!$B$181</f>
        <v>0</v>
      </c>
      <c r="O177" s="7">
        <f ca="1">O176*Inputs!$B$181</f>
        <v>0</v>
      </c>
      <c r="P177" s="7">
        <f ca="1">P176*Inputs!$B$181</f>
        <v>0</v>
      </c>
      <c r="Q177" s="7">
        <f ca="1">Q176*Inputs!$B$181</f>
        <v>0</v>
      </c>
      <c r="R177" s="7">
        <f ca="1">R176*Inputs!$B$181</f>
        <v>0</v>
      </c>
      <c r="S177" s="7">
        <f ca="1">S176*Inputs!$B$181</f>
        <v>0</v>
      </c>
      <c r="T177" s="7">
        <f ca="1">T176*Inputs!$B$181</f>
        <v>0</v>
      </c>
      <c r="U177" s="7">
        <f ca="1">U176*Inputs!$B$181</f>
        <v>0</v>
      </c>
      <c r="V177" s="7">
        <f ca="1">V176*Inputs!$B$181</f>
        <v>0</v>
      </c>
      <c r="W177" s="7">
        <f ca="1">W176*Inputs!$B$181</f>
        <v>0</v>
      </c>
      <c r="X177" s="7">
        <f ca="1">X176*Inputs!$B$181</f>
        <v>0</v>
      </c>
      <c r="Y177" s="7">
        <f ca="1">Y176*Inputs!$B$181</f>
        <v>0</v>
      </c>
      <c r="Z177" s="7">
        <f ca="1">Z176*Inputs!$B$181</f>
        <v>0</v>
      </c>
      <c r="AA177" s="7">
        <f ca="1">AA176*Inputs!$B$181</f>
        <v>0</v>
      </c>
      <c r="AB177" s="7">
        <f ca="1">AB176*Inputs!$B$181</f>
        <v>0</v>
      </c>
      <c r="AC177" s="7">
        <f ca="1">AC176*Inputs!$B$181</f>
        <v>0</v>
      </c>
      <c r="AD177" s="7">
        <f ca="1">AD176*Inputs!$B$181</f>
        <v>0</v>
      </c>
      <c r="AE177" s="7">
        <f ca="1">AE176*Inputs!$B$181</f>
        <v>0</v>
      </c>
      <c r="AF177" s="7">
        <f ca="1">AF176*Inputs!$B$181</f>
        <v>0</v>
      </c>
      <c r="AG177" s="7">
        <f ca="1">AG176*Inputs!$B$181</f>
        <v>0</v>
      </c>
      <c r="AH177" s="7">
        <f ca="1">AH176*Inputs!$B$181</f>
        <v>0</v>
      </c>
      <c r="AI177" s="7">
        <f ca="1">AI176*Inputs!$B$181</f>
        <v>0</v>
      </c>
      <c r="AJ177" s="7">
        <f ca="1">AJ176*Inputs!$B$181</f>
        <v>0</v>
      </c>
      <c r="AK177" s="7">
        <f ca="1">AK176*Inputs!$B$181</f>
        <v>0</v>
      </c>
      <c r="AL177" s="7">
        <f ca="1">AL176*Inputs!$B$181</f>
        <v>0</v>
      </c>
      <c r="AM177" s="7">
        <f ca="1">AM176*Inputs!$B$181</f>
        <v>0</v>
      </c>
    </row>
    <row r="178" spans="1:39">
      <c r="A178" s="3" t="s">
        <v>158</v>
      </c>
      <c r="C178" s="7">
        <f ca="1">C175+SUM($C177:C177)</f>
        <v>37716.75</v>
      </c>
      <c r="D178" s="7">
        <f ca="1">D175+SUM($C177:D177)</f>
        <v>69048.493749999994</v>
      </c>
      <c r="E178" s="7">
        <f ca="1">E175+SUM($C177:E177)</f>
        <v>80800.384218750027</v>
      </c>
      <c r="F178" s="7">
        <f ca="1">F175+SUM($C177:F177)</f>
        <v>127283.44827895577</v>
      </c>
      <c r="G178" s="7">
        <f ca="1">G175+SUM($C177:G177)</f>
        <v>178918.83267437888</v>
      </c>
      <c r="H178" s="7">
        <f ca="1">H175+SUM($C177:H177)</f>
        <v>245901.78181548161</v>
      </c>
      <c r="I178" s="7">
        <f ca="1">I175+SUM($C177:I177)</f>
        <v>323696.65132994356</v>
      </c>
      <c r="J178" s="7">
        <f ca="1">J175+SUM($C177:J177)</f>
        <v>388989.26300950802</v>
      </c>
      <c r="K178" s="7">
        <f ca="1">K175+SUM($C177:K177)</f>
        <v>539281.37409876089</v>
      </c>
      <c r="L178" s="7">
        <f ca="1">L175+SUM($C177:L177)</f>
        <v>601876.82255875634</v>
      </c>
      <c r="M178" s="7">
        <f ca="1">M175+SUM($C177:M177)</f>
        <v>721038.5473662219</v>
      </c>
      <c r="N178" s="7">
        <f ca="1">N175+SUM($C177:N177)</f>
        <v>846583.81996541878</v>
      </c>
      <c r="O178" s="7">
        <f ca="1">O175+SUM($C177:O177)</f>
        <v>978782.14070489258</v>
      </c>
      <c r="P178" s="7">
        <f ca="1">P175+SUM($C177:P177)</f>
        <v>1117913.239204355</v>
      </c>
      <c r="Q178" s="7">
        <f ca="1">Q175+SUM($C177:Q177)</f>
        <v>1264267.4396996587</v>
      </c>
      <c r="R178" s="7">
        <f ca="1">R175+SUM($C177:R177)</f>
        <v>1418146.0389312971</v>
      </c>
      <c r="S178" s="7">
        <f ca="1">S175+SUM($C177:S177)</f>
        <v>1473929.4664830596</v>
      </c>
      <c r="T178" s="7">
        <f ca="1">T175+SUM($C177:T177)</f>
        <v>1539631.0553787265</v>
      </c>
      <c r="U178" s="7">
        <f ca="1">U175+SUM($C177:U177)</f>
        <v>1608018.7707598673</v>
      </c>
      <c r="V178" s="7">
        <f ca="1">V175+SUM($C177:V177)</f>
        <v>1679196.2730464134</v>
      </c>
      <c r="W178" s="7">
        <f ca="1">W175+SUM($C177:W177)</f>
        <v>1753271.0393779005</v>
      </c>
      <c r="X178" s="7">
        <f ca="1">X175+SUM($C177:X177)</f>
        <v>1809947.5795442504</v>
      </c>
      <c r="Y178" s="7">
        <f ca="1">Y175+SUM($C177:Y177)</f>
        <v>1868727.9885819815</v>
      </c>
      <c r="Z178" s="7">
        <f ca="1">Z175+SUM($C177:Z177)</f>
        <v>1929693.7621849393</v>
      </c>
      <c r="AA178" s="7">
        <f ca="1">AA175+SUM($C177:AA177)</f>
        <v>1992929.5076662535</v>
      </c>
      <c r="AB178" s="7">
        <f ca="1">AB175+SUM($C177:AB177)</f>
        <v>2058523.0591570721</v>
      </c>
      <c r="AC178" s="7">
        <f ca="1">AC175+SUM($C177:AC177)</f>
        <v>2126565.5969370482</v>
      </c>
      <c r="AD178" s="7">
        <f ca="1">AD175+SUM($C177:AD177)</f>
        <v>2207012.5086333081</v>
      </c>
      <c r="AE178" s="7">
        <f ca="1">AE175+SUM($C177:AE177)</f>
        <v>2290594.3413533093</v>
      </c>
      <c r="AF178" s="7">
        <f ca="1">AF175+SUM($C177:AF177)</f>
        <v>2377431.5621965392</v>
      </c>
      <c r="AG178" s="7">
        <f ca="1">AG175+SUM($C177:AG177)</f>
        <v>2467649.1223028628</v>
      </c>
      <c r="AH178" s="7">
        <f ca="1">AH175+SUM($C177:AH177)</f>
        <v>2561376.6183629362</v>
      </c>
      <c r="AI178" s="7">
        <f ca="1">AI175+SUM($C177:AI177)</f>
        <v>2658748.4597796248</v>
      </c>
      <c r="AJ178" s="7">
        <f ca="1">AJ175+SUM($C177:AJ177)</f>
        <v>2759904.041673373</v>
      </c>
      <c r="AK178" s="7">
        <f ca="1">AK175+SUM($C177:AK177)</f>
        <v>2864987.92393093</v>
      </c>
      <c r="AL178" s="7">
        <f ca="1">AL175+SUM($C177:AL177)</f>
        <v>2974150.0165034966</v>
      </c>
      <c r="AM178" s="7">
        <f ca="1">AM175+SUM($C177:AM177)</f>
        <v>3087545.7711672578</v>
      </c>
    </row>
    <row r="179" spans="1:39">
      <c r="A179" s="3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</row>
    <row r="180" spans="1:39">
      <c r="A180" s="3" t="s">
        <v>156</v>
      </c>
      <c r="C180" s="7">
        <f t="shared" ref="C180:AM180" ca="1" si="147">C178+buffer</f>
        <v>77716.75</v>
      </c>
      <c r="D180" s="7">
        <f t="shared" ca="1" si="147"/>
        <v>109048.49374999999</v>
      </c>
      <c r="E180" s="7">
        <f t="shared" ca="1" si="147"/>
        <v>120800.38421875003</v>
      </c>
      <c r="F180" s="7">
        <f t="shared" ca="1" si="147"/>
        <v>167283.44827895577</v>
      </c>
      <c r="G180" s="7">
        <f t="shared" ca="1" si="147"/>
        <v>218918.83267437888</v>
      </c>
      <c r="H180" s="7">
        <f t="shared" ca="1" si="147"/>
        <v>285901.78181548161</v>
      </c>
      <c r="I180" s="7">
        <f t="shared" ca="1" si="147"/>
        <v>363696.65132994356</v>
      </c>
      <c r="J180" s="7">
        <f t="shared" ca="1" si="147"/>
        <v>428989.26300950802</v>
      </c>
      <c r="K180" s="7">
        <f t="shared" ca="1" si="147"/>
        <v>579281.37409876089</v>
      </c>
      <c r="L180" s="7">
        <f t="shared" ca="1" si="147"/>
        <v>641876.82255875634</v>
      </c>
      <c r="M180" s="7">
        <f t="shared" ca="1" si="147"/>
        <v>761038.5473662219</v>
      </c>
      <c r="N180" s="7">
        <f t="shared" ca="1" si="147"/>
        <v>886583.81996541878</v>
      </c>
      <c r="O180" s="7">
        <f t="shared" ca="1" si="147"/>
        <v>1018782.1407048926</v>
      </c>
      <c r="P180" s="7">
        <f t="shared" ca="1" si="147"/>
        <v>1157913.239204355</v>
      </c>
      <c r="Q180" s="7">
        <f t="shared" ca="1" si="147"/>
        <v>1304267.4396996587</v>
      </c>
      <c r="R180" s="7">
        <f t="shared" ca="1" si="147"/>
        <v>1458146.0389312971</v>
      </c>
      <c r="S180" s="7">
        <f t="shared" ca="1" si="147"/>
        <v>1513929.4664830596</v>
      </c>
      <c r="T180" s="7">
        <f t="shared" ca="1" si="147"/>
        <v>1579631.0553787265</v>
      </c>
      <c r="U180" s="7">
        <f t="shared" ca="1" si="147"/>
        <v>1648018.7707598673</v>
      </c>
      <c r="V180" s="7">
        <f t="shared" ca="1" si="147"/>
        <v>1719196.2730464134</v>
      </c>
      <c r="W180" s="7">
        <f t="shared" ca="1" si="147"/>
        <v>1793271.0393779005</v>
      </c>
      <c r="X180" s="7">
        <f t="shared" ca="1" si="147"/>
        <v>1849947.5795442504</v>
      </c>
      <c r="Y180" s="7">
        <f t="shared" ca="1" si="147"/>
        <v>1908727.9885819815</v>
      </c>
      <c r="Z180" s="7">
        <f t="shared" ca="1" si="147"/>
        <v>1969693.7621849393</v>
      </c>
      <c r="AA180" s="7">
        <f t="shared" ca="1" si="147"/>
        <v>2032929.5076662535</v>
      </c>
      <c r="AB180" s="7">
        <f t="shared" ca="1" si="147"/>
        <v>2098523.0591570721</v>
      </c>
      <c r="AC180" s="7">
        <f t="shared" ca="1" si="147"/>
        <v>2166565.5969370482</v>
      </c>
      <c r="AD180" s="7">
        <f t="shared" ca="1" si="147"/>
        <v>2247012.5086333081</v>
      </c>
      <c r="AE180" s="7">
        <f t="shared" ca="1" si="147"/>
        <v>2330594.3413533093</v>
      </c>
      <c r="AF180" s="7">
        <f t="shared" ca="1" si="147"/>
        <v>2417431.5621965392</v>
      </c>
      <c r="AG180" s="7">
        <f t="shared" ca="1" si="147"/>
        <v>2507649.1223028628</v>
      </c>
      <c r="AH180" s="7">
        <f t="shared" ca="1" si="147"/>
        <v>2601376.6183629362</v>
      </c>
      <c r="AI180" s="7">
        <f t="shared" ca="1" si="147"/>
        <v>2698748.4597796248</v>
      </c>
      <c r="AJ180" s="7">
        <f t="shared" ca="1" si="147"/>
        <v>2799904.041673373</v>
      </c>
      <c r="AK180" s="7">
        <f t="shared" ca="1" si="147"/>
        <v>2904987.92393093</v>
      </c>
      <c r="AL180" s="7">
        <f t="shared" ca="1" si="147"/>
        <v>3014150.0165034966</v>
      </c>
      <c r="AM180" s="7">
        <f t="shared" ca="1" si="147"/>
        <v>3127545.7711672578</v>
      </c>
    </row>
    <row r="181" spans="1:39">
      <c r="A181" s="4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</row>
    <row r="182" spans="1:39">
      <c r="A182" s="29" t="s">
        <v>62</v>
      </c>
      <c r="B182" s="26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</row>
    <row r="183" spans="1:39">
      <c r="A183" s="3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</row>
    <row r="184" spans="1:39">
      <c r="A184" s="18" t="s">
        <v>65</v>
      </c>
      <c r="B184" s="19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</row>
    <row r="185" spans="1:39">
      <c r="A185" s="22" t="str">
        <f>B$104</f>
        <v>Gudja</v>
      </c>
      <c r="B185" s="19"/>
      <c r="C185" s="20">
        <f ca="1">SUM($C98:C98)</f>
        <v>0</v>
      </c>
      <c r="D185" s="20">
        <f ca="1">SUM($C98:D98)</f>
        <v>0</v>
      </c>
      <c r="E185" s="20">
        <f ca="1">SUM($C98:E98)</f>
        <v>0</v>
      </c>
      <c r="F185" s="20">
        <f ca="1">SUM($C98:F98)</f>
        <v>0</v>
      </c>
      <c r="G185" s="20">
        <f ca="1">SUM($C98:G98)</f>
        <v>0</v>
      </c>
      <c r="H185" s="20">
        <f ca="1">SUM($C98:H98)</f>
        <v>0</v>
      </c>
      <c r="I185" s="20">
        <f ca="1">SUM($C98:I98)</f>
        <v>0</v>
      </c>
      <c r="J185" s="20">
        <f ca="1">SUM($C98:J98)</f>
        <v>0</v>
      </c>
      <c r="K185" s="20">
        <f ca="1">SUM($C98:K98)</f>
        <v>0</v>
      </c>
      <c r="L185" s="20">
        <f ca="1">SUM($C98:L98)</f>
        <v>0</v>
      </c>
      <c r="M185" s="20">
        <f ca="1">SUM($C98:M98)</f>
        <v>0</v>
      </c>
      <c r="N185" s="20">
        <f ca="1">SUM($C98:N98)</f>
        <v>0</v>
      </c>
      <c r="O185" s="20">
        <f ca="1">SUM($C98:O98)</f>
        <v>0</v>
      </c>
      <c r="P185" s="20">
        <f ca="1">SUM($C98:P98)</f>
        <v>0</v>
      </c>
      <c r="Q185" s="20">
        <f ca="1">SUM($C98:Q98)</f>
        <v>0</v>
      </c>
      <c r="R185" s="20">
        <f ca="1">SUM($C98:R98)</f>
        <v>0</v>
      </c>
      <c r="S185" s="20">
        <f ca="1">SUM($C98:S98)</f>
        <v>0</v>
      </c>
      <c r="T185" s="20">
        <f ca="1">SUM($C98:T98)</f>
        <v>0</v>
      </c>
      <c r="U185" s="20">
        <f ca="1">SUM($C98:U98)</f>
        <v>0</v>
      </c>
      <c r="V185" s="20">
        <f ca="1">SUM($C98:V98)</f>
        <v>0</v>
      </c>
      <c r="W185" s="20">
        <f ca="1">SUM($C98:W98)</f>
        <v>0</v>
      </c>
      <c r="X185" s="20">
        <f ca="1">SUM($C98:X98)</f>
        <v>0</v>
      </c>
      <c r="Y185" s="20">
        <f ca="1">SUM($C98:Y98)</f>
        <v>0</v>
      </c>
      <c r="Z185" s="20">
        <f ca="1">SUM($C98:Z98)</f>
        <v>0</v>
      </c>
      <c r="AA185" s="20">
        <f ca="1">SUM($C98:AA98)</f>
        <v>0</v>
      </c>
      <c r="AB185" s="20">
        <f ca="1">SUM($C98:AB98)</f>
        <v>0</v>
      </c>
      <c r="AC185" s="20">
        <f ca="1">SUM($C98:AC98)</f>
        <v>0</v>
      </c>
      <c r="AD185" s="20">
        <f ca="1">SUM($C98:AD98)</f>
        <v>0</v>
      </c>
      <c r="AE185" s="20">
        <f ca="1">SUM($C98:AE98)</f>
        <v>0</v>
      </c>
      <c r="AF185" s="20">
        <f ca="1">SUM($C98:AF98)</f>
        <v>0</v>
      </c>
      <c r="AG185" s="20">
        <f ca="1">SUM($C98:AG98)</f>
        <v>0</v>
      </c>
      <c r="AH185" s="20">
        <f ca="1">SUM($C98:AH98)</f>
        <v>0</v>
      </c>
      <c r="AI185" s="20">
        <f ca="1">SUM($C98:AI98)</f>
        <v>0</v>
      </c>
      <c r="AJ185" s="20">
        <f ca="1">SUM($C98:AJ98)</f>
        <v>0</v>
      </c>
      <c r="AK185" s="20">
        <f ca="1">SUM($C98:AK98)</f>
        <v>0</v>
      </c>
      <c r="AL185" s="20">
        <f ca="1">SUM($C98:AL98)</f>
        <v>0</v>
      </c>
      <c r="AM185" s="20">
        <f ca="1">SUM($C98:AM98)</f>
        <v>0</v>
      </c>
    </row>
    <row r="186" spans="1:39">
      <c r="A186" s="22" t="str">
        <f>B$121</f>
        <v>Marsa</v>
      </c>
      <c r="B186" s="19"/>
      <c r="C186" s="20">
        <f ca="1">SUM($C115:C115)</f>
        <v>0</v>
      </c>
      <c r="D186" s="20">
        <f ca="1">SUM($C115:D115)</f>
        <v>0</v>
      </c>
      <c r="E186" s="20">
        <f ca="1">SUM($C115:E115)</f>
        <v>0</v>
      </c>
      <c r="F186" s="20">
        <f ca="1">SUM($C115:F115)</f>
        <v>0</v>
      </c>
      <c r="G186" s="20">
        <f ca="1">SUM($C115:G115)</f>
        <v>0</v>
      </c>
      <c r="H186" s="20">
        <f ca="1">SUM($C115:H115)</f>
        <v>0</v>
      </c>
      <c r="I186" s="20">
        <f ca="1">SUM($C115:I115)</f>
        <v>0</v>
      </c>
      <c r="J186" s="20">
        <f ca="1">SUM($C115:J115)</f>
        <v>0</v>
      </c>
      <c r="K186" s="20">
        <f ca="1">SUM($C115:K115)</f>
        <v>0</v>
      </c>
      <c r="L186" s="20">
        <f ca="1">SUM($C115:L115)</f>
        <v>0</v>
      </c>
      <c r="M186" s="20">
        <f ca="1">SUM($C115:M115)</f>
        <v>0</v>
      </c>
      <c r="N186" s="20">
        <f ca="1">SUM($C115:N115)</f>
        <v>0</v>
      </c>
      <c r="O186" s="20">
        <f ca="1">SUM($C115:O115)</f>
        <v>0</v>
      </c>
      <c r="P186" s="20">
        <f ca="1">SUM($C115:P115)</f>
        <v>0</v>
      </c>
      <c r="Q186" s="20">
        <f ca="1">SUM($C115:Q115)</f>
        <v>0</v>
      </c>
      <c r="R186" s="20">
        <f ca="1">SUM($C115:R115)</f>
        <v>0</v>
      </c>
      <c r="S186" s="20">
        <f ca="1">SUM($C115:S115)</f>
        <v>0</v>
      </c>
      <c r="T186" s="20">
        <f ca="1">SUM($C115:T115)</f>
        <v>0</v>
      </c>
      <c r="U186" s="20">
        <f ca="1">SUM($C115:U115)</f>
        <v>0</v>
      </c>
      <c r="V186" s="20">
        <f ca="1">SUM($C115:V115)</f>
        <v>0</v>
      </c>
      <c r="W186" s="20">
        <f ca="1">SUM($C115:W115)</f>
        <v>0</v>
      </c>
      <c r="X186" s="20">
        <f ca="1">SUM($C115:X115)</f>
        <v>0</v>
      </c>
      <c r="Y186" s="20">
        <f ca="1">SUM($C115:Y115)</f>
        <v>0</v>
      </c>
      <c r="Z186" s="20">
        <f ca="1">SUM($C115:Z115)</f>
        <v>0</v>
      </c>
      <c r="AA186" s="20">
        <f ca="1">SUM($C115:AA115)</f>
        <v>0</v>
      </c>
      <c r="AB186" s="20">
        <f ca="1">SUM($C115:AB115)</f>
        <v>0</v>
      </c>
      <c r="AC186" s="20">
        <f ca="1">SUM($C115:AC115)</f>
        <v>0</v>
      </c>
      <c r="AD186" s="20">
        <f ca="1">SUM($C115:AD115)</f>
        <v>0</v>
      </c>
      <c r="AE186" s="20">
        <f ca="1">SUM($C115:AE115)</f>
        <v>0</v>
      </c>
      <c r="AF186" s="20">
        <f ca="1">SUM($C115:AF115)</f>
        <v>0</v>
      </c>
      <c r="AG186" s="20">
        <f ca="1">SUM($C115:AG115)</f>
        <v>0</v>
      </c>
      <c r="AH186" s="20">
        <f ca="1">SUM($C115:AH115)</f>
        <v>0</v>
      </c>
      <c r="AI186" s="20">
        <f ca="1">SUM($C115:AI115)</f>
        <v>0</v>
      </c>
      <c r="AJ186" s="20">
        <f ca="1">SUM($C115:AJ115)</f>
        <v>0</v>
      </c>
      <c r="AK186" s="20">
        <f ca="1">SUM($C115:AK115)</f>
        <v>0</v>
      </c>
      <c r="AL186" s="20">
        <f ca="1">SUM($C115:AL115)</f>
        <v>0</v>
      </c>
      <c r="AM186" s="20">
        <f ca="1">SUM($C115:AM115)</f>
        <v>0</v>
      </c>
    </row>
    <row r="187" spans="1:39">
      <c r="A187" s="22" t="str">
        <f>B$138</f>
        <v>Gzira</v>
      </c>
      <c r="B187" s="19"/>
      <c r="C187" s="20">
        <f ca="1">SUM($C132:C132)</f>
        <v>0</v>
      </c>
      <c r="D187" s="20">
        <f ca="1">SUM($C132:D132)</f>
        <v>0</v>
      </c>
      <c r="E187" s="20">
        <f ca="1">SUM($C132:E132)</f>
        <v>0</v>
      </c>
      <c r="F187" s="20">
        <f ca="1">SUM($C132:F132)</f>
        <v>0</v>
      </c>
      <c r="G187" s="20">
        <f ca="1">SUM($C132:G132)</f>
        <v>0</v>
      </c>
      <c r="H187" s="20">
        <f ca="1">SUM($C132:H132)</f>
        <v>0</v>
      </c>
      <c r="I187" s="20">
        <f ca="1">SUM($C132:I132)</f>
        <v>0</v>
      </c>
      <c r="J187" s="20">
        <f ca="1">SUM($C132:J132)</f>
        <v>0</v>
      </c>
      <c r="K187" s="20">
        <f ca="1">SUM($C132:K132)</f>
        <v>0</v>
      </c>
      <c r="L187" s="20">
        <f ca="1">SUM($C132:L132)</f>
        <v>0</v>
      </c>
      <c r="M187" s="20">
        <f ca="1">SUM($C132:M132)</f>
        <v>0</v>
      </c>
      <c r="N187" s="20">
        <f ca="1">SUM($C132:N132)</f>
        <v>0</v>
      </c>
      <c r="O187" s="20">
        <f ca="1">SUM($C132:O132)</f>
        <v>0</v>
      </c>
      <c r="P187" s="20">
        <f ca="1">SUM($C132:P132)</f>
        <v>0</v>
      </c>
      <c r="Q187" s="20">
        <f ca="1">SUM($C132:Q132)</f>
        <v>0</v>
      </c>
      <c r="R187" s="20">
        <f ca="1">SUM($C132:R132)</f>
        <v>0</v>
      </c>
      <c r="S187" s="20">
        <f ca="1">SUM($C132:S132)</f>
        <v>0</v>
      </c>
      <c r="T187" s="20">
        <f ca="1">SUM($C132:T132)</f>
        <v>0</v>
      </c>
      <c r="U187" s="20">
        <f ca="1">SUM($C132:U132)</f>
        <v>0</v>
      </c>
      <c r="V187" s="20">
        <f ca="1">SUM($C132:V132)</f>
        <v>0</v>
      </c>
      <c r="W187" s="20">
        <f ca="1">SUM($C132:W132)</f>
        <v>0</v>
      </c>
      <c r="X187" s="20">
        <f ca="1">SUM($C132:X132)</f>
        <v>0</v>
      </c>
      <c r="Y187" s="20">
        <f ca="1">SUM($C132:Y132)</f>
        <v>0</v>
      </c>
      <c r="Z187" s="20">
        <f ca="1">SUM($C132:Z132)</f>
        <v>0</v>
      </c>
      <c r="AA187" s="20">
        <f ca="1">SUM($C132:AA132)</f>
        <v>0</v>
      </c>
      <c r="AB187" s="20">
        <f ca="1">SUM($C132:AB132)</f>
        <v>0</v>
      </c>
      <c r="AC187" s="20">
        <f ca="1">SUM($C132:AC132)</f>
        <v>0</v>
      </c>
      <c r="AD187" s="20">
        <f ca="1">SUM($C132:AD132)</f>
        <v>0</v>
      </c>
      <c r="AE187" s="20">
        <f ca="1">SUM($C132:AE132)</f>
        <v>0</v>
      </c>
      <c r="AF187" s="20">
        <f ca="1">SUM($C132:AF132)</f>
        <v>0</v>
      </c>
      <c r="AG187" s="20">
        <f ca="1">SUM($C132:AG132)</f>
        <v>0</v>
      </c>
      <c r="AH187" s="20">
        <f ca="1">SUM($C132:AH132)</f>
        <v>0</v>
      </c>
      <c r="AI187" s="20">
        <f ca="1">SUM($C132:AI132)</f>
        <v>0</v>
      </c>
      <c r="AJ187" s="20">
        <f ca="1">SUM($C132:AJ132)</f>
        <v>0</v>
      </c>
      <c r="AK187" s="20">
        <f ca="1">SUM($C132:AK132)</f>
        <v>0</v>
      </c>
      <c r="AL187" s="20">
        <f ca="1">SUM($C132:AL132)</f>
        <v>0</v>
      </c>
      <c r="AM187" s="20">
        <f ca="1">SUM($C132:AM132)</f>
        <v>0</v>
      </c>
    </row>
    <row r="188" spans="1:39">
      <c r="A188" s="22" t="str">
        <f>B$155</f>
        <v>Qormi</v>
      </c>
      <c r="B188" s="19"/>
      <c r="C188" s="20">
        <f ca="1">SUM($C149:C149)</f>
        <v>0</v>
      </c>
      <c r="D188" s="20">
        <f ca="1">SUM($C149:D149)</f>
        <v>0</v>
      </c>
      <c r="E188" s="20">
        <f ca="1">SUM($C149:E149)</f>
        <v>0</v>
      </c>
      <c r="F188" s="20">
        <f ca="1">SUM($C149:F149)</f>
        <v>0</v>
      </c>
      <c r="G188" s="20">
        <f ca="1">SUM($C149:G149)</f>
        <v>0</v>
      </c>
      <c r="H188" s="20">
        <f ca="1">SUM($C149:H149)</f>
        <v>0</v>
      </c>
      <c r="I188" s="20">
        <f ca="1">SUM($C149:I149)</f>
        <v>0</v>
      </c>
      <c r="J188" s="20">
        <f ca="1">SUM($C149:J149)</f>
        <v>0</v>
      </c>
      <c r="K188" s="20">
        <f ca="1">SUM($C149:K149)</f>
        <v>0</v>
      </c>
      <c r="L188" s="20">
        <f ca="1">SUM($C149:L149)</f>
        <v>0</v>
      </c>
      <c r="M188" s="20">
        <f ca="1">SUM($C149:M149)</f>
        <v>0</v>
      </c>
      <c r="N188" s="20">
        <f ca="1">SUM($C149:N149)</f>
        <v>0</v>
      </c>
      <c r="O188" s="20">
        <f ca="1">SUM($C149:O149)</f>
        <v>0</v>
      </c>
      <c r="P188" s="20">
        <f ca="1">SUM($C149:P149)</f>
        <v>0</v>
      </c>
      <c r="Q188" s="20">
        <f ca="1">SUM($C149:Q149)</f>
        <v>0</v>
      </c>
      <c r="R188" s="20">
        <f ca="1">SUM($C149:R149)</f>
        <v>0</v>
      </c>
      <c r="S188" s="20">
        <f ca="1">SUM($C149:S149)</f>
        <v>0</v>
      </c>
      <c r="T188" s="20">
        <f ca="1">SUM($C149:T149)</f>
        <v>0</v>
      </c>
      <c r="U188" s="20">
        <f ca="1">SUM($C149:U149)</f>
        <v>0</v>
      </c>
      <c r="V188" s="20">
        <f ca="1">SUM($C149:V149)</f>
        <v>0</v>
      </c>
      <c r="W188" s="20">
        <f ca="1">SUM($C149:W149)</f>
        <v>0</v>
      </c>
      <c r="X188" s="20">
        <f ca="1">SUM($C149:X149)</f>
        <v>0</v>
      </c>
      <c r="Y188" s="20">
        <f ca="1">SUM($C149:Y149)</f>
        <v>0</v>
      </c>
      <c r="Z188" s="20">
        <f ca="1">SUM($C149:Z149)</f>
        <v>0</v>
      </c>
      <c r="AA188" s="20">
        <f ca="1">SUM($C149:AA149)</f>
        <v>0</v>
      </c>
      <c r="AB188" s="20">
        <f ca="1">SUM($C149:AB149)</f>
        <v>0</v>
      </c>
      <c r="AC188" s="20">
        <f ca="1">SUM($C149:AC149)</f>
        <v>0</v>
      </c>
      <c r="AD188" s="20">
        <f ca="1">SUM($C149:AD149)</f>
        <v>0</v>
      </c>
      <c r="AE188" s="20">
        <f ca="1">SUM($C149:AE149)</f>
        <v>0</v>
      </c>
      <c r="AF188" s="20">
        <f ca="1">SUM($C149:AF149)</f>
        <v>0</v>
      </c>
      <c r="AG188" s="20">
        <f ca="1">SUM($C149:AG149)</f>
        <v>0</v>
      </c>
      <c r="AH188" s="20">
        <f ca="1">SUM($C149:AH149)</f>
        <v>0</v>
      </c>
      <c r="AI188" s="20">
        <f ca="1">SUM($C149:AI149)</f>
        <v>0</v>
      </c>
      <c r="AJ188" s="20">
        <f ca="1">SUM($C149:AJ149)</f>
        <v>0</v>
      </c>
      <c r="AK188" s="20">
        <f ca="1">SUM($C149:AK149)</f>
        <v>0</v>
      </c>
      <c r="AL188" s="20">
        <f ca="1">SUM($C149:AL149)</f>
        <v>0</v>
      </c>
      <c r="AM188" s="20">
        <f ca="1">SUM($C149:AM149)</f>
        <v>0</v>
      </c>
    </row>
    <row r="189" spans="1:39">
      <c r="A189" s="22" t="str">
        <f>B$172</f>
        <v>Sliema</v>
      </c>
      <c r="B189" s="19"/>
      <c r="C189" s="20">
        <f ca="1">SUM($C166:C166)</f>
        <v>0</v>
      </c>
      <c r="D189" s="20">
        <f ca="1">SUM($C166:D166)</f>
        <v>0</v>
      </c>
      <c r="E189" s="20">
        <f ca="1">SUM($C166:E166)</f>
        <v>0</v>
      </c>
      <c r="F189" s="20">
        <f ca="1">SUM($C166:F166)</f>
        <v>0</v>
      </c>
      <c r="G189" s="20">
        <f ca="1">SUM($C166:G166)</f>
        <v>0</v>
      </c>
      <c r="H189" s="20">
        <f ca="1">SUM($C166:H166)</f>
        <v>0</v>
      </c>
      <c r="I189" s="20">
        <f ca="1">SUM($C166:I166)</f>
        <v>0</v>
      </c>
      <c r="J189" s="20">
        <f ca="1">SUM($C166:J166)</f>
        <v>0</v>
      </c>
      <c r="K189" s="20">
        <f ca="1">SUM($C166:K166)</f>
        <v>0</v>
      </c>
      <c r="L189" s="20">
        <f ca="1">SUM($C166:L166)</f>
        <v>0</v>
      </c>
      <c r="M189" s="20">
        <f ca="1">SUM($C166:M166)</f>
        <v>0</v>
      </c>
      <c r="N189" s="20">
        <f ca="1">SUM($C166:N166)</f>
        <v>0</v>
      </c>
      <c r="O189" s="20">
        <f ca="1">SUM($C166:O166)</f>
        <v>0</v>
      </c>
      <c r="P189" s="20">
        <f ca="1">SUM($C166:P166)</f>
        <v>0</v>
      </c>
      <c r="Q189" s="20">
        <f ca="1">SUM($C166:Q166)</f>
        <v>0</v>
      </c>
      <c r="R189" s="20">
        <f ca="1">SUM($C166:R166)</f>
        <v>0</v>
      </c>
      <c r="S189" s="20">
        <f ca="1">SUM($C166:S166)</f>
        <v>0</v>
      </c>
      <c r="T189" s="20">
        <f ca="1">SUM($C166:T166)</f>
        <v>0</v>
      </c>
      <c r="U189" s="20">
        <f ca="1">SUM($C166:U166)</f>
        <v>0</v>
      </c>
      <c r="V189" s="20">
        <f ca="1">SUM($C166:V166)</f>
        <v>0</v>
      </c>
      <c r="W189" s="20">
        <f ca="1">SUM($C166:W166)</f>
        <v>0</v>
      </c>
      <c r="X189" s="20">
        <f ca="1">SUM($C166:X166)</f>
        <v>0</v>
      </c>
      <c r="Y189" s="20">
        <f ca="1">SUM($C166:Y166)</f>
        <v>0</v>
      </c>
      <c r="Z189" s="20">
        <f ca="1">SUM($C166:Z166)</f>
        <v>0</v>
      </c>
      <c r="AA189" s="20">
        <f ca="1">SUM($C166:AA166)</f>
        <v>0</v>
      </c>
      <c r="AB189" s="20">
        <f ca="1">SUM($C166:AB166)</f>
        <v>0</v>
      </c>
      <c r="AC189" s="20">
        <f ca="1">SUM($C166:AC166)</f>
        <v>0</v>
      </c>
      <c r="AD189" s="20">
        <f ca="1">SUM($C166:AD166)</f>
        <v>0</v>
      </c>
      <c r="AE189" s="20">
        <f ca="1">SUM($C166:AE166)</f>
        <v>0</v>
      </c>
      <c r="AF189" s="20">
        <f ca="1">SUM($C166:AF166)</f>
        <v>0</v>
      </c>
      <c r="AG189" s="20">
        <f ca="1">SUM($C166:AG166)</f>
        <v>0</v>
      </c>
      <c r="AH189" s="20">
        <f ca="1">SUM($C166:AH166)</f>
        <v>0</v>
      </c>
      <c r="AI189" s="20">
        <f ca="1">SUM($C166:AI166)</f>
        <v>0</v>
      </c>
      <c r="AJ189" s="20">
        <f ca="1">SUM($C166:AJ166)</f>
        <v>0</v>
      </c>
      <c r="AK189" s="20">
        <f ca="1">SUM($C166:AK166)</f>
        <v>0</v>
      </c>
      <c r="AL189" s="20">
        <f ca="1">SUM($C166:AL166)</f>
        <v>0</v>
      </c>
      <c r="AM189" s="20">
        <f ca="1">SUM($C166:AM166)</f>
        <v>0</v>
      </c>
    </row>
    <row r="190" spans="1:39">
      <c r="A190" s="21"/>
      <c r="B190" s="19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</row>
    <row r="191" spans="1:39">
      <c r="A191" s="18" t="s">
        <v>66</v>
      </c>
      <c r="B191" s="19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</row>
    <row r="192" spans="1:39">
      <c r="A192" s="22" t="str">
        <f>$A64</f>
        <v>Sliema</v>
      </c>
      <c r="B192" s="19"/>
      <c r="C192" s="20">
        <f ca="1">IFERROR(IF(VLOOKUP($A192,$184:$189,C$1+2,FALSE)=0,C64,0),C64)</f>
        <v>309000</v>
      </c>
      <c r="D192" s="20">
        <f t="shared" ref="D192:AM196" ca="1" si="148">IFERROR(IF(VLOOKUP($A192,$184:$189,D$1+2,FALSE)=0,D64,0),D64)</f>
        <v>318270</v>
      </c>
      <c r="E192" s="20">
        <f t="shared" ca="1" si="148"/>
        <v>327818.10000000003</v>
      </c>
      <c r="F192" s="20">
        <f t="shared" ca="1" si="148"/>
        <v>337652.64300000004</v>
      </c>
      <c r="G192" s="20">
        <f t="shared" ca="1" si="148"/>
        <v>347782.22229000006</v>
      </c>
      <c r="H192" s="20">
        <f t="shared" ca="1" si="148"/>
        <v>358215.68895870005</v>
      </c>
      <c r="I192" s="20">
        <f t="shared" ca="1" si="148"/>
        <v>368962.15962746105</v>
      </c>
      <c r="J192" s="20">
        <f t="shared" ca="1" si="148"/>
        <v>380031.02441628487</v>
      </c>
      <c r="K192" s="20">
        <f t="shared" ca="1" si="148"/>
        <v>391431.95514877344</v>
      </c>
      <c r="L192" s="20">
        <f t="shared" ca="1" si="148"/>
        <v>403174.91380323668</v>
      </c>
      <c r="M192" s="20">
        <f t="shared" ca="1" si="148"/>
        <v>415270.16121733381</v>
      </c>
      <c r="N192" s="20">
        <f t="shared" ca="1" si="148"/>
        <v>427728.26605385385</v>
      </c>
      <c r="O192" s="20">
        <f t="shared" ca="1" si="148"/>
        <v>440560.11403546948</v>
      </c>
      <c r="P192" s="20">
        <f t="shared" ca="1" si="148"/>
        <v>453776.91745653359</v>
      </c>
      <c r="Q192" s="20">
        <f t="shared" ca="1" si="148"/>
        <v>467390.22498022963</v>
      </c>
      <c r="R192" s="20">
        <f t="shared" ca="1" si="148"/>
        <v>481411.9317296365</v>
      </c>
      <c r="S192" s="20">
        <f t="shared" ca="1" si="148"/>
        <v>495854.28968152561</v>
      </c>
      <c r="T192" s="20">
        <f t="shared" ca="1" si="148"/>
        <v>510729.91837197141</v>
      </c>
      <c r="U192" s="20">
        <f t="shared" ca="1" si="148"/>
        <v>526051.81592313061</v>
      </c>
      <c r="V192" s="20">
        <f t="shared" ca="1" si="148"/>
        <v>541833.37040082458</v>
      </c>
      <c r="W192" s="20">
        <f t="shared" ca="1" si="148"/>
        <v>558088.37151284935</v>
      </c>
      <c r="X192" s="20">
        <f t="shared" ca="1" si="148"/>
        <v>574831.02265823481</v>
      </c>
      <c r="Y192" s="20">
        <f t="shared" ca="1" si="148"/>
        <v>592075.95333798183</v>
      </c>
      <c r="Z192" s="20">
        <f t="shared" ca="1" si="148"/>
        <v>609838.23193812126</v>
      </c>
      <c r="AA192" s="20">
        <f t="shared" ca="1" si="148"/>
        <v>628133.37889626494</v>
      </c>
      <c r="AB192" s="20">
        <f t="shared" ca="1" si="148"/>
        <v>646977.38026315288</v>
      </c>
      <c r="AC192" s="20">
        <f t="shared" ca="1" si="148"/>
        <v>666386.70167104749</v>
      </c>
      <c r="AD192" s="20">
        <f t="shared" ca="1" si="148"/>
        <v>686378.30272117897</v>
      </c>
      <c r="AE192" s="20">
        <f t="shared" ca="1" si="148"/>
        <v>706969.65180281433</v>
      </c>
      <c r="AF192" s="20">
        <f t="shared" ca="1" si="148"/>
        <v>728178.7413568988</v>
      </c>
      <c r="AG192" s="20">
        <f t="shared" ca="1" si="148"/>
        <v>750024.10359760583</v>
      </c>
      <c r="AH192" s="20">
        <f t="shared" ca="1" si="148"/>
        <v>772524.82670553401</v>
      </c>
      <c r="AI192" s="20">
        <f t="shared" ca="1" si="148"/>
        <v>795700.57150670001</v>
      </c>
      <c r="AJ192" s="20">
        <f t="shared" ca="1" si="148"/>
        <v>819571.58865190099</v>
      </c>
      <c r="AK192" s="20">
        <f t="shared" ca="1" si="148"/>
        <v>844158.73631145805</v>
      </c>
      <c r="AL192" s="20">
        <f t="shared" ca="1" si="148"/>
        <v>869483.49840080179</v>
      </c>
      <c r="AM192" s="20">
        <f t="shared" ca="1" si="148"/>
        <v>895568.00335282588</v>
      </c>
    </row>
    <row r="193" spans="1:39">
      <c r="A193" s="22" t="str">
        <f>$A65</f>
        <v>Gzira</v>
      </c>
      <c r="B193" s="19"/>
      <c r="C193" s="20">
        <f t="shared" ref="C193:D196" ca="1" si="149">IFERROR(IF(VLOOKUP($A193,$184:$189,C$1+2,FALSE)=0,C65,0),C65)</f>
        <v>154500</v>
      </c>
      <c r="D193" s="20">
        <f t="shared" ca="1" si="149"/>
        <v>159135</v>
      </c>
      <c r="E193" s="20">
        <f t="shared" ca="1" si="148"/>
        <v>163909.05000000002</v>
      </c>
      <c r="F193" s="20">
        <f t="shared" ca="1" si="148"/>
        <v>168826.32150000002</v>
      </c>
      <c r="G193" s="20">
        <f t="shared" ca="1" si="148"/>
        <v>173891.11114500003</v>
      </c>
      <c r="H193" s="20">
        <f t="shared" ca="1" si="148"/>
        <v>179107.84447935002</v>
      </c>
      <c r="I193" s="20">
        <f t="shared" ca="1" si="148"/>
        <v>184481.07981373052</v>
      </c>
      <c r="J193" s="20">
        <f t="shared" ca="1" si="148"/>
        <v>190015.51220814243</v>
      </c>
      <c r="K193" s="20">
        <f t="shared" ca="1" si="148"/>
        <v>195715.97757438672</v>
      </c>
      <c r="L193" s="20">
        <f t="shared" ca="1" si="148"/>
        <v>201587.45690161834</v>
      </c>
      <c r="M193" s="20">
        <f t="shared" ca="1" si="148"/>
        <v>207635.0806086669</v>
      </c>
      <c r="N193" s="20">
        <f t="shared" ca="1" si="148"/>
        <v>213864.13302692692</v>
      </c>
      <c r="O193" s="20">
        <f t="shared" ca="1" si="148"/>
        <v>220280.05701773474</v>
      </c>
      <c r="P193" s="20">
        <f t="shared" ca="1" si="148"/>
        <v>226888.45872826679</v>
      </c>
      <c r="Q193" s="20">
        <f t="shared" ca="1" si="148"/>
        <v>233695.11249011481</v>
      </c>
      <c r="R193" s="20">
        <f t="shared" ca="1" si="148"/>
        <v>240705.96586481825</v>
      </c>
      <c r="S193" s="20">
        <f t="shared" ca="1" si="148"/>
        <v>247927.1448407628</v>
      </c>
      <c r="T193" s="20">
        <f t="shared" ca="1" si="148"/>
        <v>255364.9591859857</v>
      </c>
      <c r="U193" s="20">
        <f t="shared" ca="1" si="148"/>
        <v>263025.9079615653</v>
      </c>
      <c r="V193" s="20">
        <f t="shared" ca="1" si="148"/>
        <v>270916.68520041229</v>
      </c>
      <c r="W193" s="20">
        <f t="shared" ca="1" si="148"/>
        <v>279044.18575642467</v>
      </c>
      <c r="X193" s="20">
        <f t="shared" ca="1" si="148"/>
        <v>287415.51132911741</v>
      </c>
      <c r="Y193" s="20">
        <f t="shared" ca="1" si="148"/>
        <v>296037.97666899092</v>
      </c>
      <c r="Z193" s="20">
        <f t="shared" ca="1" si="148"/>
        <v>304919.11596906063</v>
      </c>
      <c r="AA193" s="20">
        <f t="shared" ca="1" si="148"/>
        <v>314066.68944813247</v>
      </c>
      <c r="AB193" s="20">
        <f t="shared" ca="1" si="148"/>
        <v>323488.69013157644</v>
      </c>
      <c r="AC193" s="20">
        <f t="shared" ca="1" si="148"/>
        <v>333193.35083552374</v>
      </c>
      <c r="AD193" s="20">
        <f t="shared" ca="1" si="148"/>
        <v>343189.15136058949</v>
      </c>
      <c r="AE193" s="20">
        <f t="shared" ca="1" si="148"/>
        <v>353484.82590140717</v>
      </c>
      <c r="AF193" s="20">
        <f t="shared" ca="1" si="148"/>
        <v>364089.3706784494</v>
      </c>
      <c r="AG193" s="20">
        <f t="shared" ca="1" si="148"/>
        <v>375012.05179880292</v>
      </c>
      <c r="AH193" s="20">
        <f t="shared" ca="1" si="148"/>
        <v>386262.41335276701</v>
      </c>
      <c r="AI193" s="20">
        <f t="shared" ca="1" si="148"/>
        <v>397850.28575335001</v>
      </c>
      <c r="AJ193" s="20">
        <f t="shared" ca="1" si="148"/>
        <v>409785.7943259505</v>
      </c>
      <c r="AK193" s="20">
        <f t="shared" ca="1" si="148"/>
        <v>422079.36815572903</v>
      </c>
      <c r="AL193" s="20">
        <f t="shared" ca="1" si="148"/>
        <v>434741.7492004009</v>
      </c>
      <c r="AM193" s="20">
        <f t="shared" ca="1" si="148"/>
        <v>447784.00167641294</v>
      </c>
    </row>
    <row r="194" spans="1:39">
      <c r="A194" s="22" t="str">
        <f t="shared" ref="A194:A196" si="150">$A66</f>
        <v>Qormi</v>
      </c>
      <c r="B194" s="19"/>
      <c r="C194" s="20">
        <f t="shared" ca="1" si="149"/>
        <v>226600</v>
      </c>
      <c r="D194" s="20">
        <f t="shared" ca="1" si="149"/>
        <v>233398</v>
      </c>
      <c r="E194" s="20">
        <f t="shared" ca="1" si="148"/>
        <v>240399.94</v>
      </c>
      <c r="F194" s="20">
        <f t="shared" ca="1" si="148"/>
        <v>247611.9382</v>
      </c>
      <c r="G194" s="20">
        <f t="shared" ca="1" si="148"/>
        <v>255040.29634600002</v>
      </c>
      <c r="H194" s="20">
        <f t="shared" ca="1" si="148"/>
        <v>262691.50523638004</v>
      </c>
      <c r="I194" s="20">
        <f t="shared" ca="1" si="148"/>
        <v>270572.25039347145</v>
      </c>
      <c r="J194" s="20">
        <f t="shared" ca="1" si="148"/>
        <v>278689.41790527559</v>
      </c>
      <c r="K194" s="20">
        <f t="shared" ca="1" si="148"/>
        <v>287050.10044243385</v>
      </c>
      <c r="L194" s="20">
        <f t="shared" ca="1" si="148"/>
        <v>295661.60345570685</v>
      </c>
      <c r="M194" s="20">
        <f t="shared" ca="1" si="148"/>
        <v>304531.45155937807</v>
      </c>
      <c r="N194" s="20">
        <f t="shared" ca="1" si="148"/>
        <v>313667.39510615944</v>
      </c>
      <c r="O194" s="20">
        <f t="shared" ca="1" si="148"/>
        <v>323077.41695934423</v>
      </c>
      <c r="P194" s="20">
        <f t="shared" ca="1" si="148"/>
        <v>332769.73946812458</v>
      </c>
      <c r="Q194" s="20">
        <f t="shared" ca="1" si="148"/>
        <v>342752.8316521683</v>
      </c>
      <c r="R194" s="20">
        <f t="shared" ca="1" si="148"/>
        <v>353035.41660173336</v>
      </c>
      <c r="S194" s="20">
        <f t="shared" ca="1" si="148"/>
        <v>363626.47909978539</v>
      </c>
      <c r="T194" s="20">
        <f t="shared" ca="1" si="148"/>
        <v>374535.27347277896</v>
      </c>
      <c r="U194" s="20">
        <f t="shared" ca="1" si="148"/>
        <v>385771.33167696232</v>
      </c>
      <c r="V194" s="20">
        <f t="shared" ca="1" si="148"/>
        <v>397344.47162727121</v>
      </c>
      <c r="W194" s="20">
        <f t="shared" ca="1" si="148"/>
        <v>409264.80577608937</v>
      </c>
      <c r="X194" s="20">
        <f t="shared" ca="1" si="148"/>
        <v>421542.74994937208</v>
      </c>
      <c r="Y194" s="20">
        <f t="shared" ca="1" si="148"/>
        <v>434189.03244785324</v>
      </c>
      <c r="Z194" s="20">
        <f t="shared" ca="1" si="148"/>
        <v>447214.70342128887</v>
      </c>
      <c r="AA194" s="20">
        <f t="shared" ca="1" si="148"/>
        <v>460631.14452392753</v>
      </c>
      <c r="AB194" s="20">
        <f t="shared" ca="1" si="148"/>
        <v>474450.07885964535</v>
      </c>
      <c r="AC194" s="20">
        <f t="shared" ca="1" si="148"/>
        <v>488683.58122543473</v>
      </c>
      <c r="AD194" s="20">
        <f t="shared" ca="1" si="148"/>
        <v>503344.08866219776</v>
      </c>
      <c r="AE194" s="20">
        <f t="shared" ca="1" si="148"/>
        <v>518444.41132206371</v>
      </c>
      <c r="AF194" s="20">
        <f t="shared" ca="1" si="148"/>
        <v>533997.74366172566</v>
      </c>
      <c r="AG194" s="20">
        <f t="shared" ca="1" si="148"/>
        <v>550017.67597157741</v>
      </c>
      <c r="AH194" s="20">
        <f t="shared" ca="1" si="148"/>
        <v>566518.20625072473</v>
      </c>
      <c r="AI194" s="20">
        <f t="shared" ca="1" si="148"/>
        <v>583513.75243824651</v>
      </c>
      <c r="AJ194" s="20">
        <f t="shared" ca="1" si="148"/>
        <v>601019.16501139395</v>
      </c>
      <c r="AK194" s="20">
        <f t="shared" ca="1" si="148"/>
        <v>619049.73996173579</v>
      </c>
      <c r="AL194" s="20">
        <f t="shared" ca="1" si="148"/>
        <v>637621.23216058791</v>
      </c>
      <c r="AM194" s="20">
        <f t="shared" ca="1" si="148"/>
        <v>656749.86912540556</v>
      </c>
    </row>
    <row r="195" spans="1:39">
      <c r="A195" s="22" t="str">
        <f t="shared" si="150"/>
        <v>Gudja</v>
      </c>
      <c r="B195" s="19"/>
      <c r="C195" s="20">
        <f t="shared" ca="1" si="149"/>
        <v>82400</v>
      </c>
      <c r="D195" s="20">
        <f t="shared" ca="1" si="149"/>
        <v>84872</v>
      </c>
      <c r="E195" s="20">
        <f t="shared" ca="1" si="148"/>
        <v>87418.16</v>
      </c>
      <c r="F195" s="20">
        <f t="shared" ca="1" si="148"/>
        <v>90040.704800000007</v>
      </c>
      <c r="G195" s="20">
        <f t="shared" ca="1" si="148"/>
        <v>92741.925944000002</v>
      </c>
      <c r="H195" s="20">
        <f t="shared" ca="1" si="148"/>
        <v>95524.183722319998</v>
      </c>
      <c r="I195" s="20">
        <f t="shared" ca="1" si="148"/>
        <v>98389.909233989601</v>
      </c>
      <c r="J195" s="20">
        <f t="shared" ca="1" si="148"/>
        <v>101341.60651100929</v>
      </c>
      <c r="K195" s="20">
        <f t="shared" ca="1" si="148"/>
        <v>104381.85470633957</v>
      </c>
      <c r="L195" s="20">
        <f t="shared" ca="1" si="148"/>
        <v>107513.31034752975</v>
      </c>
      <c r="M195" s="20">
        <f t="shared" ca="1" si="148"/>
        <v>110738.70965795565</v>
      </c>
      <c r="N195" s="20">
        <f t="shared" ca="1" si="148"/>
        <v>114060.87094769432</v>
      </c>
      <c r="O195" s="20">
        <f t="shared" ca="1" si="148"/>
        <v>117482.69707612516</v>
      </c>
      <c r="P195" s="20">
        <f t="shared" ca="1" si="148"/>
        <v>121007.17798840892</v>
      </c>
      <c r="Q195" s="20">
        <f t="shared" ca="1" si="148"/>
        <v>124637.3933280612</v>
      </c>
      <c r="R195" s="20">
        <f t="shared" ca="1" si="148"/>
        <v>128376.51512790304</v>
      </c>
      <c r="S195" s="20">
        <f t="shared" ca="1" si="148"/>
        <v>132227.81058174014</v>
      </c>
      <c r="T195" s="20">
        <f t="shared" ca="1" si="148"/>
        <v>136194.64489919235</v>
      </c>
      <c r="U195" s="20">
        <f t="shared" ca="1" si="148"/>
        <v>140280.48424616814</v>
      </c>
      <c r="V195" s="20">
        <f t="shared" ca="1" si="148"/>
        <v>144488.8987735532</v>
      </c>
      <c r="W195" s="20">
        <f t="shared" ca="1" si="148"/>
        <v>148823.5657367598</v>
      </c>
      <c r="X195" s="20">
        <f t="shared" ca="1" si="148"/>
        <v>153288.27270886261</v>
      </c>
      <c r="Y195" s="20">
        <f t="shared" ca="1" si="148"/>
        <v>157886.9208901285</v>
      </c>
      <c r="Z195" s="20">
        <f t="shared" ca="1" si="148"/>
        <v>162623.52851683236</v>
      </c>
      <c r="AA195" s="20">
        <f t="shared" ca="1" si="148"/>
        <v>167502.23437233735</v>
      </c>
      <c r="AB195" s="20">
        <f t="shared" ca="1" si="148"/>
        <v>172527.30140350747</v>
      </c>
      <c r="AC195" s="20">
        <f t="shared" ca="1" si="148"/>
        <v>177703.1204456127</v>
      </c>
      <c r="AD195" s="20">
        <f t="shared" ca="1" si="148"/>
        <v>183034.21405898107</v>
      </c>
      <c r="AE195" s="20">
        <f t="shared" ca="1" si="148"/>
        <v>188525.24048075051</v>
      </c>
      <c r="AF195" s="20">
        <f t="shared" ca="1" si="148"/>
        <v>194180.99769517302</v>
      </c>
      <c r="AG195" s="20">
        <f t="shared" ca="1" si="148"/>
        <v>200006.42762602822</v>
      </c>
      <c r="AH195" s="20">
        <f t="shared" ca="1" si="148"/>
        <v>206006.62045480908</v>
      </c>
      <c r="AI195" s="20">
        <f t="shared" ca="1" si="148"/>
        <v>212186.81906845336</v>
      </c>
      <c r="AJ195" s="20">
        <f t="shared" ca="1" si="148"/>
        <v>218552.42364050698</v>
      </c>
      <c r="AK195" s="20">
        <f t="shared" ca="1" si="148"/>
        <v>225108.99634972221</v>
      </c>
      <c r="AL195" s="20">
        <f t="shared" ca="1" si="148"/>
        <v>231862.26624021388</v>
      </c>
      <c r="AM195" s="20">
        <f t="shared" ca="1" si="148"/>
        <v>238818.13422742029</v>
      </c>
    </row>
    <row r="196" spans="1:39">
      <c r="A196" s="22" t="str">
        <f t="shared" si="150"/>
        <v>Marsa</v>
      </c>
      <c r="B196" s="19"/>
      <c r="C196" s="20">
        <f t="shared" ca="1" si="149"/>
        <v>123600</v>
      </c>
      <c r="D196" s="20">
        <f t="shared" ca="1" si="149"/>
        <v>127308</v>
      </c>
      <c r="E196" s="20">
        <f t="shared" ca="1" si="148"/>
        <v>131127.24</v>
      </c>
      <c r="F196" s="20">
        <f t="shared" ca="1" si="148"/>
        <v>135061.05719999998</v>
      </c>
      <c r="G196" s="20">
        <f t="shared" ca="1" si="148"/>
        <v>139112.888916</v>
      </c>
      <c r="H196" s="20">
        <f t="shared" ca="1" si="148"/>
        <v>143286.27558347999</v>
      </c>
      <c r="I196" s="20">
        <f t="shared" ca="1" si="148"/>
        <v>147584.8638509844</v>
      </c>
      <c r="J196" s="20">
        <f t="shared" ca="1" si="148"/>
        <v>152012.40976651394</v>
      </c>
      <c r="K196" s="20">
        <f t="shared" ca="1" si="148"/>
        <v>156572.78205950937</v>
      </c>
      <c r="L196" s="20">
        <f t="shared" ca="1" si="148"/>
        <v>161269.96552129465</v>
      </c>
      <c r="M196" s="20">
        <f t="shared" ca="1" si="148"/>
        <v>166108.06448693349</v>
      </c>
      <c r="N196" s="20">
        <f t="shared" ca="1" si="148"/>
        <v>171091.30642154149</v>
      </c>
      <c r="O196" s="20">
        <f t="shared" ca="1" si="148"/>
        <v>176224.04561418775</v>
      </c>
      <c r="P196" s="20">
        <f t="shared" ca="1" si="148"/>
        <v>181510.76698261339</v>
      </c>
      <c r="Q196" s="20">
        <f t="shared" ca="1" si="148"/>
        <v>186956.08999209179</v>
      </c>
      <c r="R196" s="20">
        <f t="shared" ca="1" si="148"/>
        <v>192564.77269185454</v>
      </c>
      <c r="S196" s="20">
        <f t="shared" ca="1" si="148"/>
        <v>198341.71587261019</v>
      </c>
      <c r="T196" s="20">
        <f t="shared" ca="1" si="148"/>
        <v>204291.96734878852</v>
      </c>
      <c r="U196" s="20">
        <f t="shared" ca="1" si="148"/>
        <v>210420.72636925217</v>
      </c>
      <c r="V196" s="20">
        <f t="shared" ca="1" si="148"/>
        <v>216733.34816032974</v>
      </c>
      <c r="W196" s="20">
        <f t="shared" ca="1" si="148"/>
        <v>223235.34860513965</v>
      </c>
      <c r="X196" s="20">
        <f t="shared" ca="1" si="148"/>
        <v>229932.40906329383</v>
      </c>
      <c r="Y196" s="20">
        <f t="shared" ca="1" si="148"/>
        <v>236830.38133519265</v>
      </c>
      <c r="Z196" s="20">
        <f t="shared" ca="1" si="148"/>
        <v>243935.29277524844</v>
      </c>
      <c r="AA196" s="20">
        <f t="shared" ca="1" si="148"/>
        <v>251253.35155850591</v>
      </c>
      <c r="AB196" s="20">
        <f t="shared" ca="1" si="148"/>
        <v>258790.95210526109</v>
      </c>
      <c r="AC196" s="20">
        <f t="shared" ca="1" si="148"/>
        <v>266554.68066841894</v>
      </c>
      <c r="AD196" s="20">
        <f t="shared" ca="1" si="148"/>
        <v>274551.32108847151</v>
      </c>
      <c r="AE196" s="20">
        <f t="shared" ca="1" si="148"/>
        <v>282787.86072112567</v>
      </c>
      <c r="AF196" s="20">
        <f t="shared" ca="1" si="148"/>
        <v>291271.49654275947</v>
      </c>
      <c r="AG196" s="20">
        <f t="shared" ca="1" si="148"/>
        <v>300009.64143904229</v>
      </c>
      <c r="AH196" s="20">
        <f t="shared" ca="1" si="148"/>
        <v>309009.93068221357</v>
      </c>
      <c r="AI196" s="20">
        <f t="shared" ca="1" si="148"/>
        <v>318280.22860267997</v>
      </c>
      <c r="AJ196" s="20">
        <f t="shared" ca="1" si="148"/>
        <v>327828.63546076039</v>
      </c>
      <c r="AK196" s="20">
        <f t="shared" ca="1" si="148"/>
        <v>337663.49452458322</v>
      </c>
      <c r="AL196" s="20">
        <f t="shared" ca="1" si="148"/>
        <v>347793.39936032071</v>
      </c>
      <c r="AM196" s="20">
        <f t="shared" ca="1" si="148"/>
        <v>358227.20134113036</v>
      </c>
    </row>
    <row r="197" spans="1:39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</row>
    <row r="198" spans="1:39">
      <c r="A198" s="18" t="s">
        <v>63</v>
      </c>
      <c r="B198" s="19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</row>
    <row r="199" spans="1:39">
      <c r="A199" s="22" t="str">
        <f>B$104</f>
        <v>Gudja</v>
      </c>
      <c r="B199" s="19"/>
      <c r="C199" s="20">
        <f ca="1">SUM($C104:C104)</f>
        <v>0</v>
      </c>
      <c r="D199" s="20">
        <f ca="1">SUM($C104:D104)</f>
        <v>0</v>
      </c>
      <c r="E199" s="20">
        <f ca="1">SUM($C104:E104)</f>
        <v>0</v>
      </c>
      <c r="F199" s="20">
        <f ca="1">SUM($C104:F104)</f>
        <v>0</v>
      </c>
      <c r="G199" s="20">
        <f ca="1">SUM($C104:G104)</f>
        <v>0</v>
      </c>
      <c r="H199" s="20">
        <f ca="1">SUM($C104:H104)</f>
        <v>0</v>
      </c>
      <c r="I199" s="20">
        <f ca="1">SUM($C104:I104)</f>
        <v>0</v>
      </c>
      <c r="J199" s="20">
        <f ca="1">SUM($C104:J104)</f>
        <v>0</v>
      </c>
      <c r="K199" s="20">
        <f ca="1">SUM($C104:K104)</f>
        <v>0</v>
      </c>
      <c r="L199" s="20">
        <f ca="1">SUM($C104:L104)</f>
        <v>0</v>
      </c>
      <c r="M199" s="20">
        <f ca="1">SUM($C104:M104)</f>
        <v>0</v>
      </c>
      <c r="N199" s="20">
        <f ca="1">SUM($C104:N104)</f>
        <v>0</v>
      </c>
      <c r="O199" s="20">
        <f ca="1">SUM($C104:O104)</f>
        <v>0</v>
      </c>
      <c r="P199" s="20">
        <f ca="1">SUM($C104:P104)</f>
        <v>0</v>
      </c>
      <c r="Q199" s="20">
        <f ca="1">SUM($C104:Q104)</f>
        <v>0</v>
      </c>
      <c r="R199" s="20">
        <f ca="1">SUM($C104:R104)</f>
        <v>0</v>
      </c>
      <c r="S199" s="20">
        <f ca="1">SUM($C104:S104)</f>
        <v>0</v>
      </c>
      <c r="T199" s="20">
        <f ca="1">SUM($C104:T104)</f>
        <v>0</v>
      </c>
      <c r="U199" s="20">
        <f ca="1">SUM($C104:U104)</f>
        <v>0</v>
      </c>
      <c r="V199" s="20">
        <f ca="1">SUM($C104:V104)</f>
        <v>0</v>
      </c>
      <c r="W199" s="20">
        <f ca="1">SUM($C104:W104)</f>
        <v>0</v>
      </c>
      <c r="X199" s="20">
        <f ca="1">SUM($C104:X104)</f>
        <v>0</v>
      </c>
      <c r="Y199" s="20">
        <f ca="1">SUM($C104:Y104)</f>
        <v>0</v>
      </c>
      <c r="Z199" s="20">
        <f ca="1">SUM($C104:Z104)</f>
        <v>0</v>
      </c>
      <c r="AA199" s="20">
        <f ca="1">SUM($C104:AA104)</f>
        <v>0</v>
      </c>
      <c r="AB199" s="20">
        <f ca="1">SUM($C104:AB104)</f>
        <v>0</v>
      </c>
      <c r="AC199" s="20">
        <f ca="1">SUM($C104:AC104)</f>
        <v>0</v>
      </c>
      <c r="AD199" s="20">
        <f ca="1">SUM($C104:AD104)</f>
        <v>0</v>
      </c>
      <c r="AE199" s="20">
        <f ca="1">SUM($C104:AE104)</f>
        <v>0</v>
      </c>
      <c r="AF199" s="20">
        <f ca="1">SUM($C104:AF104)</f>
        <v>0</v>
      </c>
      <c r="AG199" s="20">
        <f ca="1">SUM($C104:AG104)</f>
        <v>0</v>
      </c>
      <c r="AH199" s="20">
        <f ca="1">SUM($C104:AH104)</f>
        <v>0</v>
      </c>
      <c r="AI199" s="20">
        <f ca="1">SUM($C104:AI104)</f>
        <v>0</v>
      </c>
      <c r="AJ199" s="20">
        <f ca="1">SUM($C104:AJ104)</f>
        <v>0</v>
      </c>
      <c r="AK199" s="20">
        <f ca="1">SUM($C104:AK104)</f>
        <v>0</v>
      </c>
      <c r="AL199" s="20">
        <f ca="1">SUM($C104:AL104)</f>
        <v>0</v>
      </c>
      <c r="AM199" s="20">
        <f ca="1">SUM($C104:AM104)</f>
        <v>0</v>
      </c>
    </row>
    <row r="200" spans="1:39">
      <c r="A200" s="22" t="str">
        <f>B$121</f>
        <v>Marsa</v>
      </c>
      <c r="B200" s="19"/>
      <c r="C200" s="20">
        <f ca="1">SUM($C121:C121)</f>
        <v>0</v>
      </c>
      <c r="D200" s="20">
        <f ca="1">SUM($C121:D121)</f>
        <v>0</v>
      </c>
      <c r="E200" s="20">
        <f ca="1">SUM($C121:E121)</f>
        <v>0</v>
      </c>
      <c r="F200" s="20">
        <f ca="1">SUM($C121:F121)</f>
        <v>0</v>
      </c>
      <c r="G200" s="20">
        <f ca="1">SUM($C121:G121)</f>
        <v>0</v>
      </c>
      <c r="H200" s="20">
        <f ca="1">SUM($C121:H121)</f>
        <v>0</v>
      </c>
      <c r="I200" s="20">
        <f ca="1">SUM($C121:I121)</f>
        <v>0</v>
      </c>
      <c r="J200" s="20">
        <f ca="1">SUM($C121:J121)</f>
        <v>0</v>
      </c>
      <c r="K200" s="20">
        <f ca="1">SUM($C121:K121)</f>
        <v>0</v>
      </c>
      <c r="L200" s="20">
        <f ca="1">SUM($C121:L121)</f>
        <v>0</v>
      </c>
      <c r="M200" s="20">
        <f ca="1">SUM($C121:M121)</f>
        <v>0</v>
      </c>
      <c r="N200" s="20">
        <f ca="1">SUM($C121:N121)</f>
        <v>0</v>
      </c>
      <c r="O200" s="20">
        <f ca="1">SUM($C121:O121)</f>
        <v>0</v>
      </c>
      <c r="P200" s="20">
        <f ca="1">SUM($C121:P121)</f>
        <v>0</v>
      </c>
      <c r="Q200" s="20">
        <f ca="1">SUM($C121:Q121)</f>
        <v>0</v>
      </c>
      <c r="R200" s="20">
        <f ca="1">SUM($C121:R121)</f>
        <v>0</v>
      </c>
      <c r="S200" s="20">
        <f ca="1">SUM($C121:S121)</f>
        <v>0</v>
      </c>
      <c r="T200" s="20">
        <f ca="1">SUM($C121:T121)</f>
        <v>0</v>
      </c>
      <c r="U200" s="20">
        <f ca="1">SUM($C121:U121)</f>
        <v>0</v>
      </c>
      <c r="V200" s="20">
        <f ca="1">SUM($C121:V121)</f>
        <v>0</v>
      </c>
      <c r="W200" s="20">
        <f ca="1">SUM($C121:W121)</f>
        <v>0</v>
      </c>
      <c r="X200" s="20">
        <f ca="1">SUM($C121:X121)</f>
        <v>0</v>
      </c>
      <c r="Y200" s="20">
        <f ca="1">SUM($C121:Y121)</f>
        <v>0</v>
      </c>
      <c r="Z200" s="20">
        <f ca="1">SUM($C121:Z121)</f>
        <v>0</v>
      </c>
      <c r="AA200" s="20">
        <f ca="1">SUM($C121:AA121)</f>
        <v>0</v>
      </c>
      <c r="AB200" s="20">
        <f ca="1">SUM($C121:AB121)</f>
        <v>0</v>
      </c>
      <c r="AC200" s="20">
        <f ca="1">SUM($C121:AC121)</f>
        <v>0</v>
      </c>
      <c r="AD200" s="20">
        <f ca="1">SUM($C121:AD121)</f>
        <v>0</v>
      </c>
      <c r="AE200" s="20">
        <f ca="1">SUM($C121:AE121)</f>
        <v>0</v>
      </c>
      <c r="AF200" s="20">
        <f ca="1">SUM($C121:AF121)</f>
        <v>0</v>
      </c>
      <c r="AG200" s="20">
        <f ca="1">SUM($C121:AG121)</f>
        <v>0</v>
      </c>
      <c r="AH200" s="20">
        <f ca="1">SUM($C121:AH121)</f>
        <v>0</v>
      </c>
      <c r="AI200" s="20">
        <f ca="1">SUM($C121:AI121)</f>
        <v>0</v>
      </c>
      <c r="AJ200" s="20">
        <f ca="1">SUM($C121:AJ121)</f>
        <v>0</v>
      </c>
      <c r="AK200" s="20">
        <f ca="1">SUM($C121:AK121)</f>
        <v>0</v>
      </c>
      <c r="AL200" s="20">
        <f ca="1">SUM($C121:AL121)</f>
        <v>0</v>
      </c>
      <c r="AM200" s="20">
        <f ca="1">SUM($C121:AM121)</f>
        <v>0</v>
      </c>
    </row>
    <row r="201" spans="1:39">
      <c r="A201" s="22" t="str">
        <f>B$138</f>
        <v>Gzira</v>
      </c>
      <c r="B201" s="19"/>
      <c r="C201" s="20">
        <f ca="1">SUM($C138:C138)</f>
        <v>0</v>
      </c>
      <c r="D201" s="20">
        <f ca="1">SUM($C138:D138)</f>
        <v>0</v>
      </c>
      <c r="E201" s="20">
        <f ca="1">SUM($C138:E138)</f>
        <v>0</v>
      </c>
      <c r="F201" s="20">
        <f ca="1">SUM($C138:F138)</f>
        <v>0</v>
      </c>
      <c r="G201" s="20">
        <f ca="1">SUM($C138:G138)</f>
        <v>0</v>
      </c>
      <c r="H201" s="20">
        <f ca="1">SUM($C138:H138)</f>
        <v>0</v>
      </c>
      <c r="I201" s="20">
        <f ca="1">SUM($C138:I138)</f>
        <v>0</v>
      </c>
      <c r="J201" s="20">
        <f ca="1">SUM($C138:J138)</f>
        <v>0</v>
      </c>
      <c r="K201" s="20">
        <f ca="1">SUM($C138:K138)</f>
        <v>0</v>
      </c>
      <c r="L201" s="20">
        <f ca="1">SUM($C138:L138)</f>
        <v>0</v>
      </c>
      <c r="M201" s="20">
        <f ca="1">SUM($C138:M138)</f>
        <v>0</v>
      </c>
      <c r="N201" s="20">
        <f ca="1">SUM($C138:N138)</f>
        <v>0</v>
      </c>
      <c r="O201" s="20">
        <f ca="1">SUM($C138:O138)</f>
        <v>0</v>
      </c>
      <c r="P201" s="20">
        <f ca="1">SUM($C138:P138)</f>
        <v>0</v>
      </c>
      <c r="Q201" s="20">
        <f ca="1">SUM($C138:Q138)</f>
        <v>0</v>
      </c>
      <c r="R201" s="20">
        <f ca="1">SUM($C138:R138)</f>
        <v>0</v>
      </c>
      <c r="S201" s="20">
        <f ca="1">SUM($C138:S138)</f>
        <v>0</v>
      </c>
      <c r="T201" s="20">
        <f ca="1">SUM($C138:T138)</f>
        <v>0</v>
      </c>
      <c r="U201" s="20">
        <f ca="1">SUM($C138:U138)</f>
        <v>0</v>
      </c>
      <c r="V201" s="20">
        <f ca="1">SUM($C138:V138)</f>
        <v>0</v>
      </c>
      <c r="W201" s="20">
        <f ca="1">SUM($C138:W138)</f>
        <v>0</v>
      </c>
      <c r="X201" s="20">
        <f ca="1">SUM($C138:X138)</f>
        <v>0</v>
      </c>
      <c r="Y201" s="20">
        <f ca="1">SUM($C138:Y138)</f>
        <v>0</v>
      </c>
      <c r="Z201" s="20">
        <f ca="1">SUM($C138:Z138)</f>
        <v>0</v>
      </c>
      <c r="AA201" s="20">
        <f ca="1">SUM($C138:AA138)</f>
        <v>0</v>
      </c>
      <c r="AB201" s="20">
        <f ca="1">SUM($C138:AB138)</f>
        <v>0</v>
      </c>
      <c r="AC201" s="20">
        <f ca="1">SUM($C138:AC138)</f>
        <v>0</v>
      </c>
      <c r="AD201" s="20">
        <f ca="1">SUM($C138:AD138)</f>
        <v>0</v>
      </c>
      <c r="AE201" s="20">
        <f ca="1">SUM($C138:AE138)</f>
        <v>0</v>
      </c>
      <c r="AF201" s="20">
        <f ca="1">SUM($C138:AF138)</f>
        <v>0</v>
      </c>
      <c r="AG201" s="20">
        <f ca="1">SUM($C138:AG138)</f>
        <v>0</v>
      </c>
      <c r="AH201" s="20">
        <f ca="1">SUM($C138:AH138)</f>
        <v>0</v>
      </c>
      <c r="AI201" s="20">
        <f ca="1">SUM($C138:AI138)</f>
        <v>0</v>
      </c>
      <c r="AJ201" s="20">
        <f ca="1">SUM($C138:AJ138)</f>
        <v>0</v>
      </c>
      <c r="AK201" s="20">
        <f ca="1">SUM($C138:AK138)</f>
        <v>0</v>
      </c>
      <c r="AL201" s="20">
        <f ca="1">SUM($C138:AL138)</f>
        <v>0</v>
      </c>
      <c r="AM201" s="20">
        <f ca="1">SUM($C138:AM138)</f>
        <v>0</v>
      </c>
    </row>
    <row r="202" spans="1:39">
      <c r="A202" s="22" t="str">
        <f>B$155</f>
        <v>Qormi</v>
      </c>
      <c r="B202" s="19"/>
      <c r="C202" s="20">
        <f ca="1">SUM($C155:C155)</f>
        <v>0</v>
      </c>
      <c r="D202" s="20">
        <f ca="1">SUM($C155:D155)</f>
        <v>0</v>
      </c>
      <c r="E202" s="20">
        <f ca="1">SUM($C155:E155)</f>
        <v>0</v>
      </c>
      <c r="F202" s="20">
        <f ca="1">SUM($C155:F155)</f>
        <v>0</v>
      </c>
      <c r="G202" s="20">
        <f ca="1">SUM($C155:G155)</f>
        <v>0</v>
      </c>
      <c r="H202" s="20">
        <f ca="1">SUM($C155:H155)</f>
        <v>0</v>
      </c>
      <c r="I202" s="20">
        <f ca="1">SUM($C155:I155)</f>
        <v>0</v>
      </c>
      <c r="J202" s="20">
        <f ca="1">SUM($C155:J155)</f>
        <v>0</v>
      </c>
      <c r="K202" s="20">
        <f ca="1">SUM($C155:K155)</f>
        <v>0</v>
      </c>
      <c r="L202" s="20">
        <f ca="1">SUM($C155:L155)</f>
        <v>0</v>
      </c>
      <c r="M202" s="20">
        <f ca="1">SUM($C155:M155)</f>
        <v>0</v>
      </c>
      <c r="N202" s="20">
        <f ca="1">SUM($C155:N155)</f>
        <v>0</v>
      </c>
      <c r="O202" s="20">
        <f ca="1">SUM($C155:O155)</f>
        <v>0</v>
      </c>
      <c r="P202" s="20">
        <f ca="1">SUM($C155:P155)</f>
        <v>0</v>
      </c>
      <c r="Q202" s="20">
        <f ca="1">SUM($C155:Q155)</f>
        <v>0</v>
      </c>
      <c r="R202" s="20">
        <f ca="1">SUM($C155:R155)</f>
        <v>0</v>
      </c>
      <c r="S202" s="20">
        <f ca="1">SUM($C155:S155)</f>
        <v>0</v>
      </c>
      <c r="T202" s="20">
        <f ca="1">SUM($C155:T155)</f>
        <v>0</v>
      </c>
      <c r="U202" s="20">
        <f ca="1">SUM($C155:U155)</f>
        <v>0</v>
      </c>
      <c r="V202" s="20">
        <f ca="1">SUM($C155:V155)</f>
        <v>0</v>
      </c>
      <c r="W202" s="20">
        <f ca="1">SUM($C155:W155)</f>
        <v>0</v>
      </c>
      <c r="X202" s="20">
        <f ca="1">SUM($C155:X155)</f>
        <v>0</v>
      </c>
      <c r="Y202" s="20">
        <f ca="1">SUM($C155:Y155)</f>
        <v>0</v>
      </c>
      <c r="Z202" s="20">
        <f ca="1">SUM($C155:Z155)</f>
        <v>0</v>
      </c>
      <c r="AA202" s="20">
        <f ca="1">SUM($C155:AA155)</f>
        <v>0</v>
      </c>
      <c r="AB202" s="20">
        <f ca="1">SUM($C155:AB155)</f>
        <v>0</v>
      </c>
      <c r="AC202" s="20">
        <f ca="1">SUM($C155:AC155)</f>
        <v>0</v>
      </c>
      <c r="AD202" s="20">
        <f ca="1">SUM($C155:AD155)</f>
        <v>0</v>
      </c>
      <c r="AE202" s="20">
        <f ca="1">SUM($C155:AE155)</f>
        <v>0</v>
      </c>
      <c r="AF202" s="20">
        <f ca="1">SUM($C155:AF155)</f>
        <v>0</v>
      </c>
      <c r="AG202" s="20">
        <f ca="1">SUM($C155:AG155)</f>
        <v>0</v>
      </c>
      <c r="AH202" s="20">
        <f ca="1">SUM($C155:AH155)</f>
        <v>0</v>
      </c>
      <c r="AI202" s="20">
        <f ca="1">SUM($C155:AI155)</f>
        <v>0</v>
      </c>
      <c r="AJ202" s="20">
        <f ca="1">SUM($C155:AJ155)</f>
        <v>0</v>
      </c>
      <c r="AK202" s="20">
        <f ca="1">SUM($C155:AK155)</f>
        <v>0</v>
      </c>
      <c r="AL202" s="20">
        <f ca="1">SUM($C155:AL155)</f>
        <v>0</v>
      </c>
      <c r="AM202" s="20">
        <f ca="1">SUM($C155:AM155)</f>
        <v>0</v>
      </c>
    </row>
    <row r="203" spans="1:39">
      <c r="A203" s="22" t="str">
        <f>B$172</f>
        <v>Sliema</v>
      </c>
      <c r="B203" s="19"/>
      <c r="C203" s="20">
        <f ca="1">SUM($C172:C172)</f>
        <v>0</v>
      </c>
      <c r="D203" s="20">
        <f ca="1">SUM($C172:D172)</f>
        <v>0</v>
      </c>
      <c r="E203" s="20">
        <f ca="1">SUM($C172:E172)</f>
        <v>0</v>
      </c>
      <c r="F203" s="20">
        <f ca="1">SUM($C172:F172)</f>
        <v>0</v>
      </c>
      <c r="G203" s="20">
        <f ca="1">SUM($C172:G172)</f>
        <v>0</v>
      </c>
      <c r="H203" s="20">
        <f ca="1">SUM($C172:H172)</f>
        <v>0</v>
      </c>
      <c r="I203" s="20">
        <f ca="1">SUM($C172:I172)</f>
        <v>0</v>
      </c>
      <c r="J203" s="20">
        <f ca="1">SUM($C172:J172)</f>
        <v>0</v>
      </c>
      <c r="K203" s="20">
        <f ca="1">SUM($C172:K172)</f>
        <v>0</v>
      </c>
      <c r="L203" s="20">
        <f ca="1">SUM($C172:L172)</f>
        <v>0</v>
      </c>
      <c r="M203" s="20">
        <f ca="1">SUM($C172:M172)</f>
        <v>0</v>
      </c>
      <c r="N203" s="20">
        <f ca="1">SUM($C172:N172)</f>
        <v>0</v>
      </c>
      <c r="O203" s="20">
        <f ca="1">SUM($C172:O172)</f>
        <v>0</v>
      </c>
      <c r="P203" s="20">
        <f ca="1">SUM($C172:P172)</f>
        <v>0</v>
      </c>
      <c r="Q203" s="20">
        <f ca="1">SUM($C172:Q172)</f>
        <v>0</v>
      </c>
      <c r="R203" s="20">
        <f ca="1">SUM($C172:R172)</f>
        <v>0</v>
      </c>
      <c r="S203" s="20">
        <f ca="1">SUM($C172:S172)</f>
        <v>0</v>
      </c>
      <c r="T203" s="20">
        <f ca="1">SUM($C172:T172)</f>
        <v>0</v>
      </c>
      <c r="U203" s="20">
        <f ca="1">SUM($C172:U172)</f>
        <v>0</v>
      </c>
      <c r="V203" s="20">
        <f ca="1">SUM($C172:V172)</f>
        <v>0</v>
      </c>
      <c r="W203" s="20">
        <f ca="1">SUM($C172:W172)</f>
        <v>0</v>
      </c>
      <c r="X203" s="20">
        <f ca="1">SUM($C172:X172)</f>
        <v>0</v>
      </c>
      <c r="Y203" s="20">
        <f ca="1">SUM($C172:Y172)</f>
        <v>0</v>
      </c>
      <c r="Z203" s="20">
        <f ca="1">SUM($C172:Z172)</f>
        <v>0</v>
      </c>
      <c r="AA203" s="20">
        <f ca="1">SUM($C172:AA172)</f>
        <v>0</v>
      </c>
      <c r="AB203" s="20">
        <f ca="1">SUM($C172:AB172)</f>
        <v>0</v>
      </c>
      <c r="AC203" s="20">
        <f ca="1">SUM($C172:AC172)</f>
        <v>0</v>
      </c>
      <c r="AD203" s="20">
        <f ca="1">SUM($C172:AD172)</f>
        <v>0</v>
      </c>
      <c r="AE203" s="20">
        <f ca="1">SUM($C172:AE172)</f>
        <v>0</v>
      </c>
      <c r="AF203" s="20">
        <f ca="1">SUM($C172:AF172)</f>
        <v>0</v>
      </c>
      <c r="AG203" s="20">
        <f ca="1">SUM($C172:AG172)</f>
        <v>0</v>
      </c>
      <c r="AH203" s="20">
        <f ca="1">SUM($C172:AH172)</f>
        <v>0</v>
      </c>
      <c r="AI203" s="20">
        <f ca="1">SUM($C172:AI172)</f>
        <v>0</v>
      </c>
      <c r="AJ203" s="20">
        <f ca="1">SUM($C172:AJ172)</f>
        <v>0</v>
      </c>
      <c r="AK203" s="20">
        <f ca="1">SUM($C172:AK172)</f>
        <v>0</v>
      </c>
      <c r="AL203" s="20">
        <f ca="1">SUM($C172:AL172)</f>
        <v>0</v>
      </c>
      <c r="AM203" s="20">
        <f ca="1">SUM($C172:AM172)</f>
        <v>0</v>
      </c>
    </row>
    <row r="204" spans="1:39">
      <c r="A204" s="21"/>
      <c r="B204" s="19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</row>
    <row r="205" spans="1:39">
      <c r="A205" s="3" t="s">
        <v>51</v>
      </c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</row>
    <row r="206" spans="1:39">
      <c r="A206" s="16" t="str">
        <f>$A64</f>
        <v>Sliema</v>
      </c>
      <c r="C206" s="7">
        <f ca="1">IFERROR(IF(VLOOKUP($A206,$198:$203,C$1+2,FALSE)=0,C72,0),C72)</f>
        <v>-45437.606462973985</v>
      </c>
      <c r="D206" s="7">
        <f t="shared" ref="D206:AM206" ca="1" si="151">IFERROR(IF(VLOOKUP($A206,$198:$203,D$1+2,FALSE)=0,D72,0),D72)</f>
        <v>-40736.443360703342</v>
      </c>
      <c r="E206" s="7">
        <f t="shared" ca="1" si="151"/>
        <v>-35892.289884070618</v>
      </c>
      <c r="F206" s="7">
        <f t="shared" ca="1" si="151"/>
        <v>-30900.796844010245</v>
      </c>
      <c r="G206" s="7">
        <f t="shared" ca="1" si="151"/>
        <v>-25757.48276670936</v>
      </c>
      <c r="H206" s="7">
        <f t="shared" ca="1" si="151"/>
        <v>-20457.729870040646</v>
      </c>
      <c r="I206" s="7">
        <f t="shared" ca="1" si="151"/>
        <v>-14996.779917614593</v>
      </c>
      <c r="J206" s="7">
        <f t="shared" ca="1" si="151"/>
        <v>-9369.7299467287376</v>
      </c>
      <c r="K206" s="7">
        <f t="shared" ca="1" si="151"/>
        <v>-3571.5278663783029</v>
      </c>
      <c r="L206" s="7">
        <f t="shared" ca="1" si="151"/>
        <v>0</v>
      </c>
      <c r="M206" s="7">
        <f t="shared" ca="1" si="151"/>
        <v>0</v>
      </c>
      <c r="N206" s="7">
        <f t="shared" ca="1" si="151"/>
        <v>0</v>
      </c>
      <c r="O206" s="7">
        <f t="shared" ca="1" si="151"/>
        <v>0</v>
      </c>
      <c r="P206" s="7">
        <f t="shared" ca="1" si="151"/>
        <v>0</v>
      </c>
      <c r="Q206" s="7">
        <f t="shared" ca="1" si="151"/>
        <v>0</v>
      </c>
      <c r="R206" s="7">
        <f t="shared" ca="1" si="151"/>
        <v>0</v>
      </c>
      <c r="S206" s="7">
        <f t="shared" ca="1" si="151"/>
        <v>0</v>
      </c>
      <c r="T206" s="7">
        <f t="shared" ca="1" si="151"/>
        <v>0</v>
      </c>
      <c r="U206" s="7">
        <f t="shared" ca="1" si="151"/>
        <v>0</v>
      </c>
      <c r="V206" s="7">
        <f t="shared" ca="1" si="151"/>
        <v>0</v>
      </c>
      <c r="W206" s="7">
        <f t="shared" ca="1" si="151"/>
        <v>0</v>
      </c>
      <c r="X206" s="7">
        <f t="shared" ca="1" si="151"/>
        <v>0</v>
      </c>
      <c r="Y206" s="7">
        <f t="shared" ca="1" si="151"/>
        <v>0</v>
      </c>
      <c r="Z206" s="7">
        <f t="shared" ca="1" si="151"/>
        <v>0</v>
      </c>
      <c r="AA206" s="7">
        <f t="shared" ca="1" si="151"/>
        <v>0</v>
      </c>
      <c r="AB206" s="7">
        <f t="shared" ca="1" si="151"/>
        <v>0</v>
      </c>
      <c r="AC206" s="7">
        <f t="shared" ca="1" si="151"/>
        <v>0</v>
      </c>
      <c r="AD206" s="7">
        <f t="shared" ca="1" si="151"/>
        <v>0</v>
      </c>
      <c r="AE206" s="7">
        <f t="shared" ca="1" si="151"/>
        <v>0</v>
      </c>
      <c r="AF206" s="7">
        <f t="shared" ca="1" si="151"/>
        <v>0</v>
      </c>
      <c r="AG206" s="7">
        <f t="shared" ca="1" si="151"/>
        <v>0</v>
      </c>
      <c r="AH206" s="7">
        <f t="shared" ca="1" si="151"/>
        <v>0</v>
      </c>
      <c r="AI206" s="7">
        <f t="shared" ca="1" si="151"/>
        <v>0</v>
      </c>
      <c r="AJ206" s="7">
        <f t="shared" ca="1" si="151"/>
        <v>0</v>
      </c>
      <c r="AK206" s="7">
        <f t="shared" ca="1" si="151"/>
        <v>0</v>
      </c>
      <c r="AL206" s="7">
        <f t="shared" ca="1" si="151"/>
        <v>0</v>
      </c>
      <c r="AM206" s="7">
        <f t="shared" ca="1" si="151"/>
        <v>0</v>
      </c>
    </row>
    <row r="207" spans="1:39">
      <c r="A207" s="16" t="str">
        <f t="shared" ref="A207:A210" si="152">$A65</f>
        <v>Gzira</v>
      </c>
      <c r="C207" s="7">
        <f t="shared" ref="C207:AM210" ca="1" si="153">IFERROR(IF(VLOOKUP($A207,$198:$203,C$1+2,FALSE)=0,C73,0),C73)</f>
        <v>-6249.4443415125261</v>
      </c>
      <c r="D207" s="7">
        <f t="shared" ca="1" si="153"/>
        <v>-3953.4626671330816</v>
      </c>
      <c r="E207" s="7">
        <f t="shared" ca="1" si="153"/>
        <v>-1611.1380819997976</v>
      </c>
      <c r="F207" s="7">
        <f t="shared" ca="1" si="153"/>
        <v>0</v>
      </c>
      <c r="G207" s="7">
        <f t="shared" ca="1" si="153"/>
        <v>0</v>
      </c>
      <c r="H207" s="7">
        <f t="shared" ca="1" si="153"/>
        <v>0</v>
      </c>
      <c r="I207" s="7">
        <f t="shared" ca="1" si="153"/>
        <v>0</v>
      </c>
      <c r="J207" s="7">
        <f t="shared" ca="1" si="153"/>
        <v>0</v>
      </c>
      <c r="K207" s="7">
        <f t="shared" ca="1" si="153"/>
        <v>0</v>
      </c>
      <c r="L207" s="7">
        <f t="shared" ca="1" si="153"/>
        <v>0</v>
      </c>
      <c r="M207" s="7">
        <f t="shared" ca="1" si="153"/>
        <v>0</v>
      </c>
      <c r="N207" s="7">
        <f t="shared" ca="1" si="153"/>
        <v>0</v>
      </c>
      <c r="O207" s="7">
        <f t="shared" ca="1" si="153"/>
        <v>0</v>
      </c>
      <c r="P207" s="7">
        <f t="shared" ca="1" si="153"/>
        <v>0</v>
      </c>
      <c r="Q207" s="7">
        <f t="shared" ca="1" si="153"/>
        <v>0</v>
      </c>
      <c r="R207" s="7">
        <f t="shared" ca="1" si="153"/>
        <v>0</v>
      </c>
      <c r="S207" s="7">
        <f t="shared" ca="1" si="153"/>
        <v>0</v>
      </c>
      <c r="T207" s="7">
        <f t="shared" ca="1" si="153"/>
        <v>0</v>
      </c>
      <c r="U207" s="7">
        <f t="shared" ca="1" si="153"/>
        <v>0</v>
      </c>
      <c r="V207" s="7">
        <f t="shared" ca="1" si="153"/>
        <v>0</v>
      </c>
      <c r="W207" s="7">
        <f t="shared" ca="1" si="153"/>
        <v>0</v>
      </c>
      <c r="X207" s="7">
        <f t="shared" ca="1" si="153"/>
        <v>0</v>
      </c>
      <c r="Y207" s="7">
        <f t="shared" ca="1" si="153"/>
        <v>0</v>
      </c>
      <c r="Z207" s="7">
        <f t="shared" ca="1" si="153"/>
        <v>0</v>
      </c>
      <c r="AA207" s="7">
        <f t="shared" ca="1" si="153"/>
        <v>0</v>
      </c>
      <c r="AB207" s="7">
        <f t="shared" ca="1" si="153"/>
        <v>0</v>
      </c>
      <c r="AC207" s="7">
        <f t="shared" ca="1" si="153"/>
        <v>0</v>
      </c>
      <c r="AD207" s="7">
        <f t="shared" ca="1" si="153"/>
        <v>0</v>
      </c>
      <c r="AE207" s="7">
        <f t="shared" ca="1" si="153"/>
        <v>0</v>
      </c>
      <c r="AF207" s="7">
        <f t="shared" ca="1" si="153"/>
        <v>0</v>
      </c>
      <c r="AG207" s="7">
        <f t="shared" ca="1" si="153"/>
        <v>0</v>
      </c>
      <c r="AH207" s="7">
        <f t="shared" ca="1" si="153"/>
        <v>0</v>
      </c>
      <c r="AI207" s="7">
        <f t="shared" ca="1" si="153"/>
        <v>0</v>
      </c>
      <c r="AJ207" s="7">
        <f t="shared" ca="1" si="153"/>
        <v>0</v>
      </c>
      <c r="AK207" s="7">
        <f t="shared" ca="1" si="153"/>
        <v>0</v>
      </c>
      <c r="AL207" s="7">
        <f t="shared" ca="1" si="153"/>
        <v>0</v>
      </c>
      <c r="AM207" s="7">
        <f t="shared" ca="1" si="153"/>
        <v>0</v>
      </c>
    </row>
    <row r="208" spans="1:39">
      <c r="A208" s="16" t="str">
        <f t="shared" si="152"/>
        <v>Qormi</v>
      </c>
      <c r="C208" s="7">
        <f t="shared" ca="1" si="153"/>
        <v>-12697.714595321995</v>
      </c>
      <c r="D208" s="7">
        <f t="shared" ca="1" si="153"/>
        <v>-10277.63989987525</v>
      </c>
      <c r="E208" s="7">
        <f t="shared" ca="1" si="153"/>
        <v>-7733.7495899939004</v>
      </c>
      <c r="F208" s="7">
        <f t="shared" ca="1" si="153"/>
        <v>-5059.7090238560577</v>
      </c>
      <c r="G208" s="7">
        <f t="shared" ca="1" si="153"/>
        <v>-2248.8594673418665</v>
      </c>
      <c r="H208" s="7">
        <f t="shared" ca="1" si="153"/>
        <v>0</v>
      </c>
      <c r="I208" s="7">
        <f t="shared" ca="1" si="153"/>
        <v>0</v>
      </c>
      <c r="J208" s="7">
        <f t="shared" ca="1" si="153"/>
        <v>0</v>
      </c>
      <c r="K208" s="7">
        <f t="shared" ca="1" si="153"/>
        <v>0</v>
      </c>
      <c r="L208" s="7">
        <f t="shared" ca="1" si="153"/>
        <v>0</v>
      </c>
      <c r="M208" s="7">
        <f t="shared" ca="1" si="153"/>
        <v>0</v>
      </c>
      <c r="N208" s="7">
        <f t="shared" ca="1" si="153"/>
        <v>0</v>
      </c>
      <c r="O208" s="7">
        <f t="shared" ca="1" si="153"/>
        <v>0</v>
      </c>
      <c r="P208" s="7">
        <f t="shared" ca="1" si="153"/>
        <v>0</v>
      </c>
      <c r="Q208" s="7">
        <f t="shared" ca="1" si="153"/>
        <v>0</v>
      </c>
      <c r="R208" s="7">
        <f t="shared" ca="1" si="153"/>
        <v>0</v>
      </c>
      <c r="S208" s="7">
        <f t="shared" ca="1" si="153"/>
        <v>0</v>
      </c>
      <c r="T208" s="7">
        <f t="shared" ca="1" si="153"/>
        <v>0</v>
      </c>
      <c r="U208" s="7">
        <f t="shared" ca="1" si="153"/>
        <v>0</v>
      </c>
      <c r="V208" s="7">
        <f t="shared" ca="1" si="153"/>
        <v>0</v>
      </c>
      <c r="W208" s="7">
        <f t="shared" ca="1" si="153"/>
        <v>0</v>
      </c>
      <c r="X208" s="7">
        <f t="shared" ca="1" si="153"/>
        <v>0</v>
      </c>
      <c r="Y208" s="7">
        <f t="shared" ca="1" si="153"/>
        <v>0</v>
      </c>
      <c r="Z208" s="7">
        <f t="shared" ca="1" si="153"/>
        <v>0</v>
      </c>
      <c r="AA208" s="7">
        <f t="shared" ca="1" si="153"/>
        <v>0</v>
      </c>
      <c r="AB208" s="7">
        <f t="shared" ca="1" si="153"/>
        <v>0</v>
      </c>
      <c r="AC208" s="7">
        <f t="shared" ca="1" si="153"/>
        <v>0</v>
      </c>
      <c r="AD208" s="7">
        <f t="shared" ca="1" si="153"/>
        <v>0</v>
      </c>
      <c r="AE208" s="7">
        <f t="shared" ca="1" si="153"/>
        <v>0</v>
      </c>
      <c r="AF208" s="7">
        <f t="shared" ca="1" si="153"/>
        <v>0</v>
      </c>
      <c r="AG208" s="7">
        <f t="shared" ca="1" si="153"/>
        <v>0</v>
      </c>
      <c r="AH208" s="7">
        <f t="shared" ca="1" si="153"/>
        <v>0</v>
      </c>
      <c r="AI208" s="7">
        <f t="shared" ca="1" si="153"/>
        <v>0</v>
      </c>
      <c r="AJ208" s="7">
        <f t="shared" ca="1" si="153"/>
        <v>0</v>
      </c>
      <c r="AK208" s="7">
        <f t="shared" ca="1" si="153"/>
        <v>0</v>
      </c>
      <c r="AL208" s="7">
        <f t="shared" ca="1" si="153"/>
        <v>0</v>
      </c>
      <c r="AM208" s="7">
        <f t="shared" ca="1" si="153"/>
        <v>0</v>
      </c>
    </row>
    <row r="209" spans="1:39">
      <c r="A209" s="16" t="str">
        <f t="shared" si="152"/>
        <v>Gudja</v>
      </c>
      <c r="C209" s="7">
        <f t="shared" ca="1" si="153"/>
        <v>-3805.6137118773331</v>
      </c>
      <c r="D209" s="7">
        <f t="shared" ca="1" si="153"/>
        <v>-2913.5784999121538</v>
      </c>
      <c r="E209" s="7">
        <f t="shared" ca="1" si="153"/>
        <v>-2003.5381319482622</v>
      </c>
      <c r="F209" s="7">
        <f t="shared" ca="1" si="153"/>
        <v>-1075.1291855128484</v>
      </c>
      <c r="G209" s="7">
        <f t="shared" ca="1" si="153"/>
        <v>-127.98090268471151</v>
      </c>
      <c r="H209" s="7">
        <f t="shared" ca="1" si="153"/>
        <v>0</v>
      </c>
      <c r="I209" s="7">
        <f t="shared" ca="1" si="153"/>
        <v>0</v>
      </c>
      <c r="J209" s="7">
        <f t="shared" ca="1" si="153"/>
        <v>0</v>
      </c>
      <c r="K209" s="7">
        <f t="shared" ca="1" si="153"/>
        <v>0</v>
      </c>
      <c r="L209" s="7">
        <f t="shared" ca="1" si="153"/>
        <v>0</v>
      </c>
      <c r="M209" s="7">
        <f t="shared" ca="1" si="153"/>
        <v>0</v>
      </c>
      <c r="N209" s="7">
        <f t="shared" ca="1" si="153"/>
        <v>0</v>
      </c>
      <c r="O209" s="7">
        <f t="shared" ca="1" si="153"/>
        <v>0</v>
      </c>
      <c r="P209" s="7">
        <f t="shared" ca="1" si="153"/>
        <v>0</v>
      </c>
      <c r="Q209" s="7">
        <f t="shared" ca="1" si="153"/>
        <v>0</v>
      </c>
      <c r="R209" s="7">
        <f t="shared" ca="1" si="153"/>
        <v>0</v>
      </c>
      <c r="S209" s="7">
        <f t="shared" ca="1" si="153"/>
        <v>0</v>
      </c>
      <c r="T209" s="7">
        <f t="shared" ca="1" si="153"/>
        <v>0</v>
      </c>
      <c r="U209" s="7">
        <f t="shared" ca="1" si="153"/>
        <v>0</v>
      </c>
      <c r="V209" s="7">
        <f t="shared" ca="1" si="153"/>
        <v>0</v>
      </c>
      <c r="W209" s="7">
        <f t="shared" ca="1" si="153"/>
        <v>0</v>
      </c>
      <c r="X209" s="7">
        <f t="shared" ca="1" si="153"/>
        <v>0</v>
      </c>
      <c r="Y209" s="7">
        <f t="shared" ca="1" si="153"/>
        <v>0</v>
      </c>
      <c r="Z209" s="7">
        <f t="shared" ca="1" si="153"/>
        <v>0</v>
      </c>
      <c r="AA209" s="7">
        <f t="shared" ca="1" si="153"/>
        <v>0</v>
      </c>
      <c r="AB209" s="7">
        <f t="shared" ca="1" si="153"/>
        <v>0</v>
      </c>
      <c r="AC209" s="7">
        <f t="shared" ca="1" si="153"/>
        <v>0</v>
      </c>
      <c r="AD209" s="7">
        <f t="shared" ca="1" si="153"/>
        <v>0</v>
      </c>
      <c r="AE209" s="7">
        <f t="shared" ca="1" si="153"/>
        <v>0</v>
      </c>
      <c r="AF209" s="7">
        <f t="shared" ca="1" si="153"/>
        <v>0</v>
      </c>
      <c r="AG209" s="7">
        <f t="shared" ca="1" si="153"/>
        <v>0</v>
      </c>
      <c r="AH209" s="7">
        <f t="shared" ca="1" si="153"/>
        <v>0</v>
      </c>
      <c r="AI209" s="7">
        <f t="shared" ca="1" si="153"/>
        <v>0</v>
      </c>
      <c r="AJ209" s="7">
        <f t="shared" ca="1" si="153"/>
        <v>0</v>
      </c>
      <c r="AK209" s="7">
        <f t="shared" ca="1" si="153"/>
        <v>0</v>
      </c>
      <c r="AL209" s="7">
        <f t="shared" ca="1" si="153"/>
        <v>0</v>
      </c>
      <c r="AM209" s="7">
        <f t="shared" ca="1" si="153"/>
        <v>0</v>
      </c>
    </row>
    <row r="210" spans="1:39">
      <c r="A210" s="16" t="str">
        <f t="shared" si="152"/>
        <v>Marsa</v>
      </c>
      <c r="C210" s="7">
        <f t="shared" ca="1" si="153"/>
        <v>-8353.7156417959159</v>
      </c>
      <c r="D210" s="7">
        <f t="shared" ca="1" si="153"/>
        <v>-7147.835964976146</v>
      </c>
      <c r="E210" s="7">
        <f t="shared" ca="1" si="153"/>
        <v>-5905.2783038633406</v>
      </c>
      <c r="F210" s="7">
        <f t="shared" ca="1" si="153"/>
        <v>-4624.9270624675901</v>
      </c>
      <c r="G210" s="7">
        <f t="shared" ca="1" si="153"/>
        <v>-3305.6327128793955</v>
      </c>
      <c r="H210" s="7">
        <f t="shared" ca="1" si="153"/>
        <v>-1946.2107631978924</v>
      </c>
      <c r="I210" s="7">
        <f t="shared" ca="1" si="153"/>
        <v>-545.44069406759263</v>
      </c>
      <c r="J210" s="7">
        <f t="shared" ca="1" si="153"/>
        <v>0</v>
      </c>
      <c r="K210" s="7">
        <f t="shared" ca="1" si="153"/>
        <v>0</v>
      </c>
      <c r="L210" s="7">
        <f t="shared" ca="1" si="153"/>
        <v>0</v>
      </c>
      <c r="M210" s="7">
        <f t="shared" ca="1" si="153"/>
        <v>0</v>
      </c>
      <c r="N210" s="7">
        <f t="shared" ca="1" si="153"/>
        <v>0</v>
      </c>
      <c r="O210" s="7">
        <f t="shared" ca="1" si="153"/>
        <v>0</v>
      </c>
      <c r="P210" s="7">
        <f t="shared" ca="1" si="153"/>
        <v>0</v>
      </c>
      <c r="Q210" s="7">
        <f t="shared" ca="1" si="153"/>
        <v>0</v>
      </c>
      <c r="R210" s="7">
        <f t="shared" ca="1" si="153"/>
        <v>0</v>
      </c>
      <c r="S210" s="7">
        <f t="shared" ca="1" si="153"/>
        <v>0</v>
      </c>
      <c r="T210" s="7">
        <f t="shared" ca="1" si="153"/>
        <v>0</v>
      </c>
      <c r="U210" s="7">
        <f t="shared" ca="1" si="153"/>
        <v>0</v>
      </c>
      <c r="V210" s="7">
        <f t="shared" ca="1" si="153"/>
        <v>0</v>
      </c>
      <c r="W210" s="7">
        <f t="shared" ca="1" si="153"/>
        <v>0</v>
      </c>
      <c r="X210" s="7">
        <f t="shared" ca="1" si="153"/>
        <v>0</v>
      </c>
      <c r="Y210" s="7">
        <f t="shared" ca="1" si="153"/>
        <v>0</v>
      </c>
      <c r="Z210" s="7">
        <f t="shared" ca="1" si="153"/>
        <v>0</v>
      </c>
      <c r="AA210" s="7">
        <f t="shared" ca="1" si="153"/>
        <v>0</v>
      </c>
      <c r="AB210" s="7">
        <f t="shared" ca="1" si="153"/>
        <v>0</v>
      </c>
      <c r="AC210" s="7">
        <f t="shared" ca="1" si="153"/>
        <v>0</v>
      </c>
      <c r="AD210" s="7">
        <f t="shared" ca="1" si="153"/>
        <v>0</v>
      </c>
      <c r="AE210" s="7">
        <f t="shared" ca="1" si="153"/>
        <v>0</v>
      </c>
      <c r="AF210" s="7">
        <f t="shared" ca="1" si="153"/>
        <v>0</v>
      </c>
      <c r="AG210" s="7">
        <f t="shared" ca="1" si="153"/>
        <v>0</v>
      </c>
      <c r="AH210" s="7">
        <f t="shared" ca="1" si="153"/>
        <v>0</v>
      </c>
      <c r="AI210" s="7">
        <f t="shared" ca="1" si="153"/>
        <v>0</v>
      </c>
      <c r="AJ210" s="7">
        <f t="shared" ca="1" si="153"/>
        <v>0</v>
      </c>
      <c r="AK210" s="7">
        <f t="shared" ca="1" si="153"/>
        <v>0</v>
      </c>
      <c r="AL210" s="7">
        <f t="shared" ca="1" si="153"/>
        <v>0</v>
      </c>
      <c r="AM210" s="7">
        <f t="shared" ca="1" si="153"/>
        <v>0</v>
      </c>
    </row>
    <row r="211" spans="1:39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</row>
    <row r="212" spans="1:39">
      <c r="A212" s="3" t="s">
        <v>64</v>
      </c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</row>
    <row r="213" spans="1:39">
      <c r="A213" s="16" t="str">
        <f t="shared" ref="A213:A218" si="154">A61</f>
        <v>Cash</v>
      </c>
      <c r="C213" s="7">
        <f ca="1">C180</f>
        <v>77716.75</v>
      </c>
      <c r="D213" s="7">
        <f t="shared" ref="D213:AM213" ca="1" si="155">D180</f>
        <v>109048.49374999999</v>
      </c>
      <c r="E213" s="7">
        <f t="shared" ca="1" si="155"/>
        <v>120800.38421875003</v>
      </c>
      <c r="F213" s="7">
        <f t="shared" ca="1" si="155"/>
        <v>167283.44827895577</v>
      </c>
      <c r="G213" s="7">
        <f t="shared" ca="1" si="155"/>
        <v>218918.83267437888</v>
      </c>
      <c r="H213" s="7">
        <f t="shared" ca="1" si="155"/>
        <v>285901.78181548161</v>
      </c>
      <c r="I213" s="7">
        <f t="shared" ca="1" si="155"/>
        <v>363696.65132994356</v>
      </c>
      <c r="J213" s="7">
        <f t="shared" ca="1" si="155"/>
        <v>428989.26300950802</v>
      </c>
      <c r="K213" s="7">
        <f t="shared" ca="1" si="155"/>
        <v>579281.37409876089</v>
      </c>
      <c r="L213" s="7">
        <f t="shared" ca="1" si="155"/>
        <v>641876.82255875634</v>
      </c>
      <c r="M213" s="7">
        <f t="shared" ca="1" si="155"/>
        <v>761038.5473662219</v>
      </c>
      <c r="N213" s="7">
        <f t="shared" ca="1" si="155"/>
        <v>886583.81996541878</v>
      </c>
      <c r="O213" s="7">
        <f t="shared" ca="1" si="155"/>
        <v>1018782.1407048926</v>
      </c>
      <c r="P213" s="7">
        <f t="shared" ca="1" si="155"/>
        <v>1157913.239204355</v>
      </c>
      <c r="Q213" s="7">
        <f t="shared" ca="1" si="155"/>
        <v>1304267.4396996587</v>
      </c>
      <c r="R213" s="7">
        <f t="shared" ca="1" si="155"/>
        <v>1458146.0389312971</v>
      </c>
      <c r="S213" s="7">
        <f t="shared" ca="1" si="155"/>
        <v>1513929.4664830596</v>
      </c>
      <c r="T213" s="7">
        <f t="shared" ca="1" si="155"/>
        <v>1579631.0553787265</v>
      </c>
      <c r="U213" s="7">
        <f t="shared" ca="1" si="155"/>
        <v>1648018.7707598673</v>
      </c>
      <c r="V213" s="7">
        <f t="shared" ca="1" si="155"/>
        <v>1719196.2730464134</v>
      </c>
      <c r="W213" s="7">
        <f t="shared" ca="1" si="155"/>
        <v>1793271.0393779005</v>
      </c>
      <c r="X213" s="7">
        <f t="shared" ca="1" si="155"/>
        <v>1849947.5795442504</v>
      </c>
      <c r="Y213" s="7">
        <f t="shared" ca="1" si="155"/>
        <v>1908727.9885819815</v>
      </c>
      <c r="Z213" s="7">
        <f t="shared" ca="1" si="155"/>
        <v>1969693.7621849393</v>
      </c>
      <c r="AA213" s="7">
        <f t="shared" ca="1" si="155"/>
        <v>2032929.5076662535</v>
      </c>
      <c r="AB213" s="7">
        <f t="shared" ca="1" si="155"/>
        <v>2098523.0591570721</v>
      </c>
      <c r="AC213" s="7">
        <f t="shared" ca="1" si="155"/>
        <v>2166565.5969370482</v>
      </c>
      <c r="AD213" s="7">
        <f t="shared" ca="1" si="155"/>
        <v>2247012.5086333081</v>
      </c>
      <c r="AE213" s="7">
        <f t="shared" ca="1" si="155"/>
        <v>2330594.3413533093</v>
      </c>
      <c r="AF213" s="7">
        <f t="shared" ca="1" si="155"/>
        <v>2417431.5621965392</v>
      </c>
      <c r="AG213" s="7">
        <f t="shared" ca="1" si="155"/>
        <v>2507649.1223028628</v>
      </c>
      <c r="AH213" s="7">
        <f t="shared" ca="1" si="155"/>
        <v>2601376.6183629362</v>
      </c>
      <c r="AI213" s="7">
        <f t="shared" ca="1" si="155"/>
        <v>2698748.4597796248</v>
      </c>
      <c r="AJ213" s="7">
        <f t="shared" ca="1" si="155"/>
        <v>2799904.041673373</v>
      </c>
      <c r="AK213" s="7">
        <f t="shared" ca="1" si="155"/>
        <v>2904987.92393093</v>
      </c>
      <c r="AL213" s="7">
        <f t="shared" ca="1" si="155"/>
        <v>3014150.0165034966</v>
      </c>
      <c r="AM213" s="7">
        <f t="shared" ca="1" si="155"/>
        <v>3127545.7711672578</v>
      </c>
    </row>
    <row r="214" spans="1:39">
      <c r="A214" s="16" t="str">
        <f t="shared" si="154"/>
        <v>Home</v>
      </c>
      <c r="C214" s="7">
        <f t="shared" ref="C214:AM214" si="156">C62</f>
        <v>618000</v>
      </c>
      <c r="D214" s="7">
        <f t="shared" si="156"/>
        <v>636540</v>
      </c>
      <c r="E214" s="7">
        <f t="shared" si="156"/>
        <v>655636.20000000007</v>
      </c>
      <c r="F214" s="7">
        <f t="shared" si="156"/>
        <v>675305.28600000008</v>
      </c>
      <c r="G214" s="7">
        <f t="shared" si="156"/>
        <v>695564.44458000013</v>
      </c>
      <c r="H214" s="7">
        <f t="shared" si="156"/>
        <v>716431.3779174001</v>
      </c>
      <c r="I214" s="7">
        <f t="shared" si="156"/>
        <v>737924.3192549221</v>
      </c>
      <c r="J214" s="7">
        <f t="shared" si="156"/>
        <v>760062.04883256974</v>
      </c>
      <c r="K214" s="7">
        <f t="shared" si="156"/>
        <v>782863.91029754688</v>
      </c>
      <c r="L214" s="7">
        <f t="shared" si="156"/>
        <v>806349.82760647335</v>
      </c>
      <c r="M214" s="7">
        <f t="shared" si="156"/>
        <v>830540.32243466761</v>
      </c>
      <c r="N214" s="7">
        <f t="shared" si="156"/>
        <v>855456.5321077077</v>
      </c>
      <c r="O214" s="7">
        <f t="shared" si="156"/>
        <v>881120.22807093896</v>
      </c>
      <c r="P214" s="7">
        <f t="shared" si="156"/>
        <v>907553.83491306717</v>
      </c>
      <c r="Q214" s="7">
        <f t="shared" si="156"/>
        <v>934780.44996045926</v>
      </c>
      <c r="R214" s="7">
        <f t="shared" si="156"/>
        <v>962823.86345927301</v>
      </c>
      <c r="S214" s="7">
        <f t="shared" si="156"/>
        <v>991708.57936305122</v>
      </c>
      <c r="T214" s="7">
        <f t="shared" si="156"/>
        <v>1021459.8367439428</v>
      </c>
      <c r="U214" s="7">
        <f t="shared" si="156"/>
        <v>1052103.6318462612</v>
      </c>
      <c r="V214" s="7">
        <f t="shared" si="156"/>
        <v>1083666.7408016492</v>
      </c>
      <c r="W214" s="7">
        <f t="shared" si="156"/>
        <v>1116176.7430256987</v>
      </c>
      <c r="X214" s="7">
        <f t="shared" si="156"/>
        <v>1149662.0453164696</v>
      </c>
      <c r="Y214" s="7">
        <f t="shared" si="156"/>
        <v>1184151.9066759637</v>
      </c>
      <c r="Z214" s="7">
        <f t="shared" si="156"/>
        <v>1219676.4638762425</v>
      </c>
      <c r="AA214" s="7">
        <f t="shared" si="156"/>
        <v>1256266.7577925299</v>
      </c>
      <c r="AB214" s="7">
        <f t="shared" si="156"/>
        <v>1293954.7605263058</v>
      </c>
      <c r="AC214" s="7">
        <f t="shared" si="156"/>
        <v>1332773.403342095</v>
      </c>
      <c r="AD214" s="7">
        <f t="shared" si="156"/>
        <v>1372756.6054423579</v>
      </c>
      <c r="AE214" s="7">
        <f t="shared" si="156"/>
        <v>1413939.3036056287</v>
      </c>
      <c r="AF214" s="7">
        <f t="shared" si="156"/>
        <v>1456357.4827137976</v>
      </c>
      <c r="AG214" s="7">
        <f t="shared" si="156"/>
        <v>1500048.2071952117</v>
      </c>
      <c r="AH214" s="7">
        <f t="shared" si="156"/>
        <v>1545049.653411068</v>
      </c>
      <c r="AI214" s="7">
        <f t="shared" si="156"/>
        <v>1591401.1430134</v>
      </c>
      <c r="AJ214" s="7">
        <f t="shared" si="156"/>
        <v>1639143.177303802</v>
      </c>
      <c r="AK214" s="7">
        <f t="shared" si="156"/>
        <v>1688317.4726229161</v>
      </c>
      <c r="AL214" s="7">
        <f t="shared" si="156"/>
        <v>1738966.9968016036</v>
      </c>
      <c r="AM214" s="7">
        <f t="shared" si="156"/>
        <v>1791136.0067056518</v>
      </c>
    </row>
    <row r="215" spans="1:39">
      <c r="A215" s="16" t="str">
        <f t="shared" si="154"/>
        <v>Other property</v>
      </c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</row>
    <row r="216" spans="1:39">
      <c r="A216" s="17" t="str">
        <f t="shared" si="154"/>
        <v>Sliema</v>
      </c>
      <c r="C216" s="7">
        <f t="shared" ref="C216:AM220" ca="1" si="157">C192</f>
        <v>309000</v>
      </c>
      <c r="D216" s="7">
        <f t="shared" ca="1" si="157"/>
        <v>318270</v>
      </c>
      <c r="E216" s="7">
        <f t="shared" ca="1" si="157"/>
        <v>327818.10000000003</v>
      </c>
      <c r="F216" s="7">
        <f t="shared" ca="1" si="157"/>
        <v>337652.64300000004</v>
      </c>
      <c r="G216" s="7">
        <f t="shared" ca="1" si="157"/>
        <v>347782.22229000006</v>
      </c>
      <c r="H216" s="7">
        <f t="shared" ca="1" si="157"/>
        <v>358215.68895870005</v>
      </c>
      <c r="I216" s="7">
        <f t="shared" ca="1" si="157"/>
        <v>368962.15962746105</v>
      </c>
      <c r="J216" s="7">
        <f t="shared" ca="1" si="157"/>
        <v>380031.02441628487</v>
      </c>
      <c r="K216" s="7">
        <f t="shared" ca="1" si="157"/>
        <v>391431.95514877344</v>
      </c>
      <c r="L216" s="7">
        <f t="shared" ca="1" si="157"/>
        <v>403174.91380323668</v>
      </c>
      <c r="M216" s="7">
        <f t="shared" ca="1" si="157"/>
        <v>415270.16121733381</v>
      </c>
      <c r="N216" s="7">
        <f t="shared" ca="1" si="157"/>
        <v>427728.26605385385</v>
      </c>
      <c r="O216" s="7">
        <f t="shared" ca="1" si="157"/>
        <v>440560.11403546948</v>
      </c>
      <c r="P216" s="7">
        <f t="shared" ca="1" si="157"/>
        <v>453776.91745653359</v>
      </c>
      <c r="Q216" s="7">
        <f t="shared" ca="1" si="157"/>
        <v>467390.22498022963</v>
      </c>
      <c r="R216" s="7">
        <f t="shared" ca="1" si="157"/>
        <v>481411.9317296365</v>
      </c>
      <c r="S216" s="7">
        <f t="shared" ca="1" si="157"/>
        <v>495854.28968152561</v>
      </c>
      <c r="T216" s="7">
        <f t="shared" ca="1" si="157"/>
        <v>510729.91837197141</v>
      </c>
      <c r="U216" s="7">
        <f t="shared" ca="1" si="157"/>
        <v>526051.81592313061</v>
      </c>
      <c r="V216" s="7">
        <f t="shared" ca="1" si="157"/>
        <v>541833.37040082458</v>
      </c>
      <c r="W216" s="7">
        <f t="shared" ca="1" si="157"/>
        <v>558088.37151284935</v>
      </c>
      <c r="X216" s="7">
        <f t="shared" ca="1" si="157"/>
        <v>574831.02265823481</v>
      </c>
      <c r="Y216" s="7">
        <f t="shared" ca="1" si="157"/>
        <v>592075.95333798183</v>
      </c>
      <c r="Z216" s="7">
        <f t="shared" ca="1" si="157"/>
        <v>609838.23193812126</v>
      </c>
      <c r="AA216" s="7">
        <f t="shared" ca="1" si="157"/>
        <v>628133.37889626494</v>
      </c>
      <c r="AB216" s="7">
        <f t="shared" ca="1" si="157"/>
        <v>646977.38026315288</v>
      </c>
      <c r="AC216" s="7">
        <f t="shared" ca="1" si="157"/>
        <v>666386.70167104749</v>
      </c>
      <c r="AD216" s="7">
        <f t="shared" ca="1" si="157"/>
        <v>686378.30272117897</v>
      </c>
      <c r="AE216" s="7">
        <f t="shared" ca="1" si="157"/>
        <v>706969.65180281433</v>
      </c>
      <c r="AF216" s="7">
        <f t="shared" ca="1" si="157"/>
        <v>728178.7413568988</v>
      </c>
      <c r="AG216" s="7">
        <f t="shared" ca="1" si="157"/>
        <v>750024.10359760583</v>
      </c>
      <c r="AH216" s="7">
        <f t="shared" ca="1" si="157"/>
        <v>772524.82670553401</v>
      </c>
      <c r="AI216" s="7">
        <f t="shared" ca="1" si="157"/>
        <v>795700.57150670001</v>
      </c>
      <c r="AJ216" s="7">
        <f t="shared" ca="1" si="157"/>
        <v>819571.58865190099</v>
      </c>
      <c r="AK216" s="7">
        <f t="shared" ca="1" si="157"/>
        <v>844158.73631145805</v>
      </c>
      <c r="AL216" s="7">
        <f t="shared" ca="1" si="157"/>
        <v>869483.49840080179</v>
      </c>
      <c r="AM216" s="7">
        <f t="shared" ca="1" si="157"/>
        <v>895568.00335282588</v>
      </c>
    </row>
    <row r="217" spans="1:39">
      <c r="A217" s="17" t="str">
        <f t="shared" si="154"/>
        <v>Gzira</v>
      </c>
      <c r="C217" s="7">
        <f t="shared" ca="1" si="157"/>
        <v>154500</v>
      </c>
      <c r="D217" s="7">
        <f t="shared" ca="1" si="157"/>
        <v>159135</v>
      </c>
      <c r="E217" s="7">
        <f t="shared" ca="1" si="157"/>
        <v>163909.05000000002</v>
      </c>
      <c r="F217" s="7">
        <f t="shared" ca="1" si="157"/>
        <v>168826.32150000002</v>
      </c>
      <c r="G217" s="7">
        <f t="shared" ca="1" si="157"/>
        <v>173891.11114500003</v>
      </c>
      <c r="H217" s="7">
        <f t="shared" ca="1" si="157"/>
        <v>179107.84447935002</v>
      </c>
      <c r="I217" s="7">
        <f t="shared" ca="1" si="157"/>
        <v>184481.07981373052</v>
      </c>
      <c r="J217" s="7">
        <f t="shared" ca="1" si="157"/>
        <v>190015.51220814243</v>
      </c>
      <c r="K217" s="7">
        <f t="shared" ca="1" si="157"/>
        <v>195715.97757438672</v>
      </c>
      <c r="L217" s="7">
        <f t="shared" ca="1" si="157"/>
        <v>201587.45690161834</v>
      </c>
      <c r="M217" s="7">
        <f t="shared" ca="1" si="157"/>
        <v>207635.0806086669</v>
      </c>
      <c r="N217" s="7">
        <f t="shared" ca="1" si="157"/>
        <v>213864.13302692692</v>
      </c>
      <c r="O217" s="7">
        <f t="shared" ca="1" si="157"/>
        <v>220280.05701773474</v>
      </c>
      <c r="P217" s="7">
        <f t="shared" ca="1" si="157"/>
        <v>226888.45872826679</v>
      </c>
      <c r="Q217" s="7">
        <f t="shared" ca="1" si="157"/>
        <v>233695.11249011481</v>
      </c>
      <c r="R217" s="7">
        <f t="shared" ca="1" si="157"/>
        <v>240705.96586481825</v>
      </c>
      <c r="S217" s="7">
        <f t="shared" ca="1" si="157"/>
        <v>247927.1448407628</v>
      </c>
      <c r="T217" s="7">
        <f t="shared" ca="1" si="157"/>
        <v>255364.9591859857</v>
      </c>
      <c r="U217" s="7">
        <f t="shared" ca="1" si="157"/>
        <v>263025.9079615653</v>
      </c>
      <c r="V217" s="7">
        <f t="shared" ca="1" si="157"/>
        <v>270916.68520041229</v>
      </c>
      <c r="W217" s="7">
        <f t="shared" ca="1" si="157"/>
        <v>279044.18575642467</v>
      </c>
      <c r="X217" s="7">
        <f t="shared" ca="1" si="157"/>
        <v>287415.51132911741</v>
      </c>
      <c r="Y217" s="7">
        <f t="shared" ca="1" si="157"/>
        <v>296037.97666899092</v>
      </c>
      <c r="Z217" s="7">
        <f t="shared" ca="1" si="157"/>
        <v>304919.11596906063</v>
      </c>
      <c r="AA217" s="7">
        <f t="shared" ca="1" si="157"/>
        <v>314066.68944813247</v>
      </c>
      <c r="AB217" s="7">
        <f t="shared" ca="1" si="157"/>
        <v>323488.69013157644</v>
      </c>
      <c r="AC217" s="7">
        <f t="shared" ca="1" si="157"/>
        <v>333193.35083552374</v>
      </c>
      <c r="AD217" s="7">
        <f t="shared" ca="1" si="157"/>
        <v>343189.15136058949</v>
      </c>
      <c r="AE217" s="7">
        <f t="shared" ca="1" si="157"/>
        <v>353484.82590140717</v>
      </c>
      <c r="AF217" s="7">
        <f t="shared" ca="1" si="157"/>
        <v>364089.3706784494</v>
      </c>
      <c r="AG217" s="7">
        <f t="shared" ca="1" si="157"/>
        <v>375012.05179880292</v>
      </c>
      <c r="AH217" s="7">
        <f t="shared" ca="1" si="157"/>
        <v>386262.41335276701</v>
      </c>
      <c r="AI217" s="7">
        <f t="shared" ca="1" si="157"/>
        <v>397850.28575335001</v>
      </c>
      <c r="AJ217" s="7">
        <f t="shared" ca="1" si="157"/>
        <v>409785.7943259505</v>
      </c>
      <c r="AK217" s="7">
        <f t="shared" ca="1" si="157"/>
        <v>422079.36815572903</v>
      </c>
      <c r="AL217" s="7">
        <f t="shared" ca="1" si="157"/>
        <v>434741.7492004009</v>
      </c>
      <c r="AM217" s="7">
        <f t="shared" ca="1" si="157"/>
        <v>447784.00167641294</v>
      </c>
    </row>
    <row r="218" spans="1:39">
      <c r="A218" s="17" t="str">
        <f t="shared" si="154"/>
        <v>Qormi</v>
      </c>
      <c r="C218" s="7">
        <f t="shared" ca="1" si="157"/>
        <v>226600</v>
      </c>
      <c r="D218" s="7">
        <f t="shared" ca="1" si="157"/>
        <v>233398</v>
      </c>
      <c r="E218" s="7">
        <f t="shared" ca="1" si="157"/>
        <v>240399.94</v>
      </c>
      <c r="F218" s="7">
        <f t="shared" ca="1" si="157"/>
        <v>247611.9382</v>
      </c>
      <c r="G218" s="7">
        <f t="shared" ca="1" si="157"/>
        <v>255040.29634600002</v>
      </c>
      <c r="H218" s="7">
        <f t="shared" ca="1" si="157"/>
        <v>262691.50523638004</v>
      </c>
      <c r="I218" s="7">
        <f t="shared" ca="1" si="157"/>
        <v>270572.25039347145</v>
      </c>
      <c r="J218" s="7">
        <f t="shared" ca="1" si="157"/>
        <v>278689.41790527559</v>
      </c>
      <c r="K218" s="7">
        <f t="shared" ca="1" si="157"/>
        <v>287050.10044243385</v>
      </c>
      <c r="L218" s="7">
        <f t="shared" ca="1" si="157"/>
        <v>295661.60345570685</v>
      </c>
      <c r="M218" s="7">
        <f t="shared" ca="1" si="157"/>
        <v>304531.45155937807</v>
      </c>
      <c r="N218" s="7">
        <f t="shared" ca="1" si="157"/>
        <v>313667.39510615944</v>
      </c>
      <c r="O218" s="7">
        <f t="shared" ca="1" si="157"/>
        <v>323077.41695934423</v>
      </c>
      <c r="P218" s="7">
        <f t="shared" ca="1" si="157"/>
        <v>332769.73946812458</v>
      </c>
      <c r="Q218" s="7">
        <f t="shared" ca="1" si="157"/>
        <v>342752.8316521683</v>
      </c>
      <c r="R218" s="7">
        <f t="shared" ca="1" si="157"/>
        <v>353035.41660173336</v>
      </c>
      <c r="S218" s="7">
        <f t="shared" ca="1" si="157"/>
        <v>363626.47909978539</v>
      </c>
      <c r="T218" s="7">
        <f t="shared" ca="1" si="157"/>
        <v>374535.27347277896</v>
      </c>
      <c r="U218" s="7">
        <f t="shared" ca="1" si="157"/>
        <v>385771.33167696232</v>
      </c>
      <c r="V218" s="7">
        <f t="shared" ca="1" si="157"/>
        <v>397344.47162727121</v>
      </c>
      <c r="W218" s="7">
        <f t="shared" ca="1" si="157"/>
        <v>409264.80577608937</v>
      </c>
      <c r="X218" s="7">
        <f t="shared" ca="1" si="157"/>
        <v>421542.74994937208</v>
      </c>
      <c r="Y218" s="7">
        <f t="shared" ca="1" si="157"/>
        <v>434189.03244785324</v>
      </c>
      <c r="Z218" s="7">
        <f t="shared" ca="1" si="157"/>
        <v>447214.70342128887</v>
      </c>
      <c r="AA218" s="7">
        <f t="shared" ca="1" si="157"/>
        <v>460631.14452392753</v>
      </c>
      <c r="AB218" s="7">
        <f t="shared" ca="1" si="157"/>
        <v>474450.07885964535</v>
      </c>
      <c r="AC218" s="7">
        <f t="shared" ca="1" si="157"/>
        <v>488683.58122543473</v>
      </c>
      <c r="AD218" s="7">
        <f t="shared" ca="1" si="157"/>
        <v>503344.08866219776</v>
      </c>
      <c r="AE218" s="7">
        <f t="shared" ca="1" si="157"/>
        <v>518444.41132206371</v>
      </c>
      <c r="AF218" s="7">
        <f t="shared" ca="1" si="157"/>
        <v>533997.74366172566</v>
      </c>
      <c r="AG218" s="7">
        <f t="shared" ca="1" si="157"/>
        <v>550017.67597157741</v>
      </c>
      <c r="AH218" s="7">
        <f t="shared" ca="1" si="157"/>
        <v>566518.20625072473</v>
      </c>
      <c r="AI218" s="7">
        <f t="shared" ca="1" si="157"/>
        <v>583513.75243824651</v>
      </c>
      <c r="AJ218" s="7">
        <f t="shared" ca="1" si="157"/>
        <v>601019.16501139395</v>
      </c>
      <c r="AK218" s="7">
        <f t="shared" ca="1" si="157"/>
        <v>619049.73996173579</v>
      </c>
      <c r="AL218" s="7">
        <f t="shared" ca="1" si="157"/>
        <v>637621.23216058791</v>
      </c>
      <c r="AM218" s="7">
        <f t="shared" ca="1" si="157"/>
        <v>656749.86912540556</v>
      </c>
    </row>
    <row r="219" spans="1:39">
      <c r="A219" s="17" t="str">
        <f t="shared" ref="A219:A220" si="158">A67</f>
        <v>Gudja</v>
      </c>
      <c r="C219" s="7">
        <f t="shared" ca="1" si="157"/>
        <v>82400</v>
      </c>
      <c r="D219" s="7">
        <f t="shared" ca="1" si="157"/>
        <v>84872</v>
      </c>
      <c r="E219" s="7">
        <f t="shared" ca="1" si="157"/>
        <v>87418.16</v>
      </c>
      <c r="F219" s="7">
        <f t="shared" ca="1" si="157"/>
        <v>90040.704800000007</v>
      </c>
      <c r="G219" s="7">
        <f t="shared" ca="1" si="157"/>
        <v>92741.925944000002</v>
      </c>
      <c r="H219" s="7">
        <f t="shared" ca="1" si="157"/>
        <v>95524.183722319998</v>
      </c>
      <c r="I219" s="7">
        <f t="shared" ca="1" si="157"/>
        <v>98389.909233989601</v>
      </c>
      <c r="J219" s="7">
        <f t="shared" ca="1" si="157"/>
        <v>101341.60651100929</v>
      </c>
      <c r="K219" s="7">
        <f t="shared" ca="1" si="157"/>
        <v>104381.85470633957</v>
      </c>
      <c r="L219" s="7">
        <f t="shared" ca="1" si="157"/>
        <v>107513.31034752975</v>
      </c>
      <c r="M219" s="7">
        <f t="shared" ca="1" si="157"/>
        <v>110738.70965795565</v>
      </c>
      <c r="N219" s="7">
        <f t="shared" ca="1" si="157"/>
        <v>114060.87094769432</v>
      </c>
      <c r="O219" s="7">
        <f t="shared" ca="1" si="157"/>
        <v>117482.69707612516</v>
      </c>
      <c r="P219" s="7">
        <f t="shared" ca="1" si="157"/>
        <v>121007.17798840892</v>
      </c>
      <c r="Q219" s="7">
        <f t="shared" ca="1" si="157"/>
        <v>124637.3933280612</v>
      </c>
      <c r="R219" s="7">
        <f t="shared" ca="1" si="157"/>
        <v>128376.51512790304</v>
      </c>
      <c r="S219" s="7">
        <f t="shared" ca="1" si="157"/>
        <v>132227.81058174014</v>
      </c>
      <c r="T219" s="7">
        <f t="shared" ca="1" si="157"/>
        <v>136194.64489919235</v>
      </c>
      <c r="U219" s="7">
        <f t="shared" ca="1" si="157"/>
        <v>140280.48424616814</v>
      </c>
      <c r="V219" s="7">
        <f t="shared" ca="1" si="157"/>
        <v>144488.8987735532</v>
      </c>
      <c r="W219" s="7">
        <f t="shared" ca="1" si="157"/>
        <v>148823.5657367598</v>
      </c>
      <c r="X219" s="7">
        <f t="shared" ca="1" si="157"/>
        <v>153288.27270886261</v>
      </c>
      <c r="Y219" s="7">
        <f t="shared" ca="1" si="157"/>
        <v>157886.9208901285</v>
      </c>
      <c r="Z219" s="7">
        <f t="shared" ca="1" si="157"/>
        <v>162623.52851683236</v>
      </c>
      <c r="AA219" s="7">
        <f t="shared" ca="1" si="157"/>
        <v>167502.23437233735</v>
      </c>
      <c r="AB219" s="7">
        <f t="shared" ca="1" si="157"/>
        <v>172527.30140350747</v>
      </c>
      <c r="AC219" s="7">
        <f t="shared" ca="1" si="157"/>
        <v>177703.1204456127</v>
      </c>
      <c r="AD219" s="7">
        <f t="shared" ca="1" si="157"/>
        <v>183034.21405898107</v>
      </c>
      <c r="AE219" s="7">
        <f t="shared" ca="1" si="157"/>
        <v>188525.24048075051</v>
      </c>
      <c r="AF219" s="7">
        <f t="shared" ca="1" si="157"/>
        <v>194180.99769517302</v>
      </c>
      <c r="AG219" s="7">
        <f t="shared" ca="1" si="157"/>
        <v>200006.42762602822</v>
      </c>
      <c r="AH219" s="7">
        <f t="shared" ca="1" si="157"/>
        <v>206006.62045480908</v>
      </c>
      <c r="AI219" s="7">
        <f t="shared" ca="1" si="157"/>
        <v>212186.81906845336</v>
      </c>
      <c r="AJ219" s="7">
        <f t="shared" ca="1" si="157"/>
        <v>218552.42364050698</v>
      </c>
      <c r="AK219" s="7">
        <f t="shared" ca="1" si="157"/>
        <v>225108.99634972221</v>
      </c>
      <c r="AL219" s="7">
        <f t="shared" ca="1" si="157"/>
        <v>231862.26624021388</v>
      </c>
      <c r="AM219" s="7">
        <f t="shared" ca="1" si="157"/>
        <v>238818.13422742029</v>
      </c>
    </row>
    <row r="220" spans="1:39">
      <c r="A220" s="17" t="str">
        <f t="shared" si="158"/>
        <v>Marsa</v>
      </c>
      <c r="C220" s="7">
        <f t="shared" ca="1" si="157"/>
        <v>123600</v>
      </c>
      <c r="D220" s="7">
        <f t="shared" ca="1" si="157"/>
        <v>127308</v>
      </c>
      <c r="E220" s="7">
        <f t="shared" ca="1" si="157"/>
        <v>131127.24</v>
      </c>
      <c r="F220" s="7">
        <f t="shared" ca="1" si="157"/>
        <v>135061.05719999998</v>
      </c>
      <c r="G220" s="7">
        <f t="shared" ca="1" si="157"/>
        <v>139112.888916</v>
      </c>
      <c r="H220" s="7">
        <f t="shared" ca="1" si="157"/>
        <v>143286.27558347999</v>
      </c>
      <c r="I220" s="7">
        <f t="shared" ca="1" si="157"/>
        <v>147584.8638509844</v>
      </c>
      <c r="J220" s="7">
        <f t="shared" ca="1" si="157"/>
        <v>152012.40976651394</v>
      </c>
      <c r="K220" s="7">
        <f t="shared" ca="1" si="157"/>
        <v>156572.78205950937</v>
      </c>
      <c r="L220" s="7">
        <f t="shared" ca="1" si="157"/>
        <v>161269.96552129465</v>
      </c>
      <c r="M220" s="7">
        <f t="shared" ca="1" si="157"/>
        <v>166108.06448693349</v>
      </c>
      <c r="N220" s="7">
        <f t="shared" ca="1" si="157"/>
        <v>171091.30642154149</v>
      </c>
      <c r="O220" s="7">
        <f t="shared" ca="1" si="157"/>
        <v>176224.04561418775</v>
      </c>
      <c r="P220" s="7">
        <f t="shared" ca="1" si="157"/>
        <v>181510.76698261339</v>
      </c>
      <c r="Q220" s="7">
        <f t="shared" ca="1" si="157"/>
        <v>186956.08999209179</v>
      </c>
      <c r="R220" s="7">
        <f t="shared" ca="1" si="157"/>
        <v>192564.77269185454</v>
      </c>
      <c r="S220" s="7">
        <f t="shared" ca="1" si="157"/>
        <v>198341.71587261019</v>
      </c>
      <c r="T220" s="7">
        <f t="shared" ca="1" si="157"/>
        <v>204291.96734878852</v>
      </c>
      <c r="U220" s="7">
        <f t="shared" ca="1" si="157"/>
        <v>210420.72636925217</v>
      </c>
      <c r="V220" s="7">
        <f t="shared" ca="1" si="157"/>
        <v>216733.34816032974</v>
      </c>
      <c r="W220" s="7">
        <f t="shared" ca="1" si="157"/>
        <v>223235.34860513965</v>
      </c>
      <c r="X220" s="7">
        <f t="shared" ca="1" si="157"/>
        <v>229932.40906329383</v>
      </c>
      <c r="Y220" s="7">
        <f t="shared" ca="1" si="157"/>
        <v>236830.38133519265</v>
      </c>
      <c r="Z220" s="7">
        <f t="shared" ca="1" si="157"/>
        <v>243935.29277524844</v>
      </c>
      <c r="AA220" s="7">
        <f t="shared" ca="1" si="157"/>
        <v>251253.35155850591</v>
      </c>
      <c r="AB220" s="7">
        <f t="shared" ca="1" si="157"/>
        <v>258790.95210526109</v>
      </c>
      <c r="AC220" s="7">
        <f t="shared" ca="1" si="157"/>
        <v>266554.68066841894</v>
      </c>
      <c r="AD220" s="7">
        <f t="shared" ca="1" si="157"/>
        <v>274551.32108847151</v>
      </c>
      <c r="AE220" s="7">
        <f t="shared" ca="1" si="157"/>
        <v>282787.86072112567</v>
      </c>
      <c r="AF220" s="7">
        <f t="shared" ca="1" si="157"/>
        <v>291271.49654275947</v>
      </c>
      <c r="AG220" s="7">
        <f t="shared" ca="1" si="157"/>
        <v>300009.64143904229</v>
      </c>
      <c r="AH220" s="7">
        <f t="shared" ca="1" si="157"/>
        <v>309009.93068221357</v>
      </c>
      <c r="AI220" s="7">
        <f t="shared" ca="1" si="157"/>
        <v>318280.22860267997</v>
      </c>
      <c r="AJ220" s="7">
        <f t="shared" ca="1" si="157"/>
        <v>327828.63546076039</v>
      </c>
      <c r="AK220" s="7">
        <f t="shared" ca="1" si="157"/>
        <v>337663.49452458322</v>
      </c>
      <c r="AL220" s="7">
        <f t="shared" ca="1" si="157"/>
        <v>347793.39936032071</v>
      </c>
      <c r="AM220" s="7">
        <f t="shared" ca="1" si="157"/>
        <v>358227.20134113036</v>
      </c>
    </row>
    <row r="221" spans="1:39">
      <c r="A221" s="16" t="str">
        <f t="shared" ref="A221:A226" si="159">A69</f>
        <v>Stock market equity investments</v>
      </c>
      <c r="C221" s="7">
        <f t="shared" ref="C221:AM221" ca="1" si="160">C89</f>
        <v>32400.000000000004</v>
      </c>
      <c r="D221" s="7">
        <f t="shared" ca="1" si="160"/>
        <v>34992.000000000007</v>
      </c>
      <c r="E221" s="7">
        <f t="shared" ca="1" si="160"/>
        <v>37791.360000000008</v>
      </c>
      <c r="F221" s="7">
        <f t="shared" ca="1" si="160"/>
        <v>40814.668800000007</v>
      </c>
      <c r="G221" s="7">
        <f t="shared" ca="1" si="160"/>
        <v>44079.842304000005</v>
      </c>
      <c r="H221" s="7">
        <f t="shared" ca="1" si="160"/>
        <v>47606.229688320003</v>
      </c>
      <c r="I221" s="7">
        <f t="shared" ca="1" si="160"/>
        <v>51414.728063385606</v>
      </c>
      <c r="J221" s="7">
        <f t="shared" ca="1" si="160"/>
        <v>55527.906308456455</v>
      </c>
      <c r="K221" s="7">
        <f t="shared" ca="1" si="160"/>
        <v>59970.138813132973</v>
      </c>
      <c r="L221" s="7">
        <f t="shared" ca="1" si="160"/>
        <v>64767.74991818361</v>
      </c>
      <c r="M221" s="7">
        <f t="shared" ca="1" si="160"/>
        <v>69949.169911638295</v>
      </c>
      <c r="N221" s="7">
        <f t="shared" ca="1" si="160"/>
        <v>75545.103504569357</v>
      </c>
      <c r="O221" s="7">
        <f t="shared" ca="1" si="160"/>
        <v>81588.711784934902</v>
      </c>
      <c r="P221" s="7">
        <f t="shared" ca="1" si="160"/>
        <v>88115.808727729687</v>
      </c>
      <c r="Q221" s="7">
        <f t="shared" ca="1" si="160"/>
        <v>95165.073425948067</v>
      </c>
      <c r="R221" s="7">
        <f t="shared" ca="1" si="160"/>
        <v>102778.27930002392</v>
      </c>
      <c r="S221" s="7">
        <f t="shared" ca="1" si="160"/>
        <v>111000.54164402583</v>
      </c>
      <c r="T221" s="7">
        <f t="shared" ca="1" si="160"/>
        <v>119880.5849755479</v>
      </c>
      <c r="U221" s="7">
        <f t="shared" ca="1" si="160"/>
        <v>129471.03177359173</v>
      </c>
      <c r="V221" s="7">
        <f t="shared" ca="1" si="160"/>
        <v>139828.71431547907</v>
      </c>
      <c r="W221" s="7">
        <f t="shared" ca="1" si="160"/>
        <v>151015.01146071739</v>
      </c>
      <c r="X221" s="7">
        <f t="shared" ca="1" si="160"/>
        <v>163096.21237757479</v>
      </c>
      <c r="Y221" s="7">
        <f t="shared" ca="1" si="160"/>
        <v>176143.90936778078</v>
      </c>
      <c r="Z221" s="7">
        <f t="shared" ca="1" si="160"/>
        <v>190235.42211720324</v>
      </c>
      <c r="AA221" s="7">
        <f t="shared" ca="1" si="160"/>
        <v>205454.25588657951</v>
      </c>
      <c r="AB221" s="7">
        <f t="shared" ca="1" si="160"/>
        <v>221890.59635750588</v>
      </c>
      <c r="AC221" s="7">
        <f t="shared" ca="1" si="160"/>
        <v>239641.84406610637</v>
      </c>
      <c r="AD221" s="7">
        <f t="shared" ca="1" si="160"/>
        <v>258813.19159139489</v>
      </c>
      <c r="AE221" s="7">
        <f t="shared" ca="1" si="160"/>
        <v>279518.24691870646</v>
      </c>
      <c r="AF221" s="7">
        <f t="shared" ca="1" si="160"/>
        <v>301879.70667220297</v>
      </c>
      <c r="AG221" s="7">
        <f t="shared" ca="1" si="160"/>
        <v>326030.0832059792</v>
      </c>
      <c r="AH221" s="7">
        <f t="shared" ca="1" si="160"/>
        <v>352112.48986245756</v>
      </c>
      <c r="AI221" s="7">
        <f t="shared" ca="1" si="160"/>
        <v>380281.48905145418</v>
      </c>
      <c r="AJ221" s="7">
        <f t="shared" ca="1" si="160"/>
        <v>410704.00817557052</v>
      </c>
      <c r="AK221" s="7">
        <f t="shared" ca="1" si="160"/>
        <v>443560.32882961619</v>
      </c>
      <c r="AL221" s="7">
        <f t="shared" ca="1" si="160"/>
        <v>479045.15513598546</v>
      </c>
      <c r="AM221" s="7">
        <f t="shared" ca="1" si="160"/>
        <v>517368.76754686428</v>
      </c>
    </row>
    <row r="222" spans="1:39">
      <c r="A222" s="16" t="str">
        <f t="shared" si="159"/>
        <v>Home loan</v>
      </c>
      <c r="C222" s="7">
        <f t="shared" ref="C222:AM222" si="161">C70</f>
        <v>-41787.691633353177</v>
      </c>
      <c r="D222" s="7">
        <f t="shared" si="161"/>
        <v>-33325.598049266016</v>
      </c>
      <c r="E222" s="7">
        <f t="shared" si="161"/>
        <v>-24606.12179132711</v>
      </c>
      <c r="F222" s="7">
        <f t="shared" si="161"/>
        <v>-15621.434319218446</v>
      </c>
      <c r="G222" s="7">
        <f t="shared" si="161"/>
        <v>-6363.4689800768465</v>
      </c>
      <c r="H222" s="7">
        <f t="shared" si="161"/>
        <v>0</v>
      </c>
      <c r="I222" s="7">
        <f t="shared" si="161"/>
        <v>0</v>
      </c>
      <c r="J222" s="7">
        <f t="shared" si="161"/>
        <v>0</v>
      </c>
      <c r="K222" s="7">
        <f t="shared" si="161"/>
        <v>0</v>
      </c>
      <c r="L222" s="7">
        <f t="shared" si="161"/>
        <v>0</v>
      </c>
      <c r="M222" s="7">
        <f t="shared" si="161"/>
        <v>0</v>
      </c>
      <c r="N222" s="7">
        <f t="shared" si="161"/>
        <v>0</v>
      </c>
      <c r="O222" s="7">
        <f t="shared" si="161"/>
        <v>0</v>
      </c>
      <c r="P222" s="7">
        <f t="shared" si="161"/>
        <v>0</v>
      </c>
      <c r="Q222" s="7">
        <f t="shared" si="161"/>
        <v>0</v>
      </c>
      <c r="R222" s="7">
        <f t="shared" si="161"/>
        <v>0</v>
      </c>
      <c r="S222" s="7">
        <f t="shared" si="161"/>
        <v>0</v>
      </c>
      <c r="T222" s="7">
        <f t="shared" si="161"/>
        <v>0</v>
      </c>
      <c r="U222" s="7">
        <f t="shared" si="161"/>
        <v>0</v>
      </c>
      <c r="V222" s="7">
        <f t="shared" si="161"/>
        <v>0</v>
      </c>
      <c r="W222" s="7">
        <f t="shared" si="161"/>
        <v>0</v>
      </c>
      <c r="X222" s="7">
        <f t="shared" si="161"/>
        <v>0</v>
      </c>
      <c r="Y222" s="7">
        <f t="shared" si="161"/>
        <v>0</v>
      </c>
      <c r="Z222" s="7">
        <f t="shared" si="161"/>
        <v>0</v>
      </c>
      <c r="AA222" s="7">
        <f t="shared" si="161"/>
        <v>0</v>
      </c>
      <c r="AB222" s="7">
        <f t="shared" si="161"/>
        <v>0</v>
      </c>
      <c r="AC222" s="7">
        <f t="shared" si="161"/>
        <v>0</v>
      </c>
      <c r="AD222" s="7">
        <f t="shared" si="161"/>
        <v>0</v>
      </c>
      <c r="AE222" s="7">
        <f t="shared" si="161"/>
        <v>0</v>
      </c>
      <c r="AF222" s="7">
        <f t="shared" si="161"/>
        <v>0</v>
      </c>
      <c r="AG222" s="7">
        <f t="shared" si="161"/>
        <v>0</v>
      </c>
      <c r="AH222" s="7">
        <f t="shared" si="161"/>
        <v>0</v>
      </c>
      <c r="AI222" s="7">
        <f t="shared" si="161"/>
        <v>0</v>
      </c>
      <c r="AJ222" s="7">
        <f t="shared" si="161"/>
        <v>0</v>
      </c>
      <c r="AK222" s="7">
        <f t="shared" si="161"/>
        <v>0</v>
      </c>
      <c r="AL222" s="7">
        <f t="shared" si="161"/>
        <v>0</v>
      </c>
      <c r="AM222" s="7">
        <f t="shared" si="161"/>
        <v>0</v>
      </c>
    </row>
    <row r="223" spans="1:39">
      <c r="A223" s="16" t="str">
        <f t="shared" si="159"/>
        <v>Other property loans</v>
      </c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</row>
    <row r="224" spans="1:39">
      <c r="A224" s="17" t="str">
        <f t="shared" si="159"/>
        <v>Sliema</v>
      </c>
      <c r="C224" s="7">
        <f ca="1">C206</f>
        <v>-45437.606462973985</v>
      </c>
      <c r="D224" s="7">
        <f t="shared" ref="D224:AM226" ca="1" si="162">D206</f>
        <v>-40736.443360703342</v>
      </c>
      <c r="E224" s="7">
        <f t="shared" ca="1" si="162"/>
        <v>-35892.289884070618</v>
      </c>
      <c r="F224" s="7">
        <f t="shared" ca="1" si="162"/>
        <v>-30900.796844010245</v>
      </c>
      <c r="G224" s="7">
        <f t="shared" ca="1" si="162"/>
        <v>-25757.48276670936</v>
      </c>
      <c r="H224" s="7">
        <f t="shared" ca="1" si="162"/>
        <v>-20457.729870040646</v>
      </c>
      <c r="I224" s="7">
        <f t="shared" ca="1" si="162"/>
        <v>-14996.779917614593</v>
      </c>
      <c r="J224" s="7">
        <f t="shared" ca="1" si="162"/>
        <v>-9369.7299467287376</v>
      </c>
      <c r="K224" s="7">
        <f t="shared" ca="1" si="162"/>
        <v>-3571.5278663783029</v>
      </c>
      <c r="L224" s="7">
        <f t="shared" ca="1" si="162"/>
        <v>0</v>
      </c>
      <c r="M224" s="7">
        <f t="shared" ca="1" si="162"/>
        <v>0</v>
      </c>
      <c r="N224" s="7">
        <f t="shared" ca="1" si="162"/>
        <v>0</v>
      </c>
      <c r="O224" s="7">
        <f t="shared" ca="1" si="162"/>
        <v>0</v>
      </c>
      <c r="P224" s="7">
        <f t="shared" ca="1" si="162"/>
        <v>0</v>
      </c>
      <c r="Q224" s="7">
        <f t="shared" ca="1" si="162"/>
        <v>0</v>
      </c>
      <c r="R224" s="7">
        <f t="shared" ca="1" si="162"/>
        <v>0</v>
      </c>
      <c r="S224" s="7">
        <f t="shared" ca="1" si="162"/>
        <v>0</v>
      </c>
      <c r="T224" s="7">
        <f t="shared" ca="1" si="162"/>
        <v>0</v>
      </c>
      <c r="U224" s="7">
        <f t="shared" ca="1" si="162"/>
        <v>0</v>
      </c>
      <c r="V224" s="7">
        <f t="shared" ca="1" si="162"/>
        <v>0</v>
      </c>
      <c r="W224" s="7">
        <f t="shared" ca="1" si="162"/>
        <v>0</v>
      </c>
      <c r="X224" s="7">
        <f t="shared" ca="1" si="162"/>
        <v>0</v>
      </c>
      <c r="Y224" s="7">
        <f t="shared" ca="1" si="162"/>
        <v>0</v>
      </c>
      <c r="Z224" s="7">
        <f t="shared" ca="1" si="162"/>
        <v>0</v>
      </c>
      <c r="AA224" s="7">
        <f t="shared" ca="1" si="162"/>
        <v>0</v>
      </c>
      <c r="AB224" s="7">
        <f t="shared" ca="1" si="162"/>
        <v>0</v>
      </c>
      <c r="AC224" s="7">
        <f t="shared" ca="1" si="162"/>
        <v>0</v>
      </c>
      <c r="AD224" s="7">
        <f t="shared" ca="1" si="162"/>
        <v>0</v>
      </c>
      <c r="AE224" s="7">
        <f t="shared" ca="1" si="162"/>
        <v>0</v>
      </c>
      <c r="AF224" s="7">
        <f t="shared" ca="1" si="162"/>
        <v>0</v>
      </c>
      <c r="AG224" s="7">
        <f t="shared" ca="1" si="162"/>
        <v>0</v>
      </c>
      <c r="AH224" s="7">
        <f t="shared" ca="1" si="162"/>
        <v>0</v>
      </c>
      <c r="AI224" s="7">
        <f t="shared" ca="1" si="162"/>
        <v>0</v>
      </c>
      <c r="AJ224" s="7">
        <f t="shared" ca="1" si="162"/>
        <v>0</v>
      </c>
      <c r="AK224" s="7">
        <f t="shared" ca="1" si="162"/>
        <v>0</v>
      </c>
      <c r="AL224" s="7">
        <f t="shared" ca="1" si="162"/>
        <v>0</v>
      </c>
      <c r="AM224" s="7">
        <f t="shared" ca="1" si="162"/>
        <v>0</v>
      </c>
    </row>
    <row r="225" spans="1:39">
      <c r="A225" s="17" t="str">
        <f t="shared" si="159"/>
        <v>Gzira</v>
      </c>
      <c r="C225" s="7">
        <f ca="1">C207</f>
        <v>-6249.4443415125261</v>
      </c>
      <c r="D225" s="7">
        <f t="shared" ca="1" si="162"/>
        <v>-3953.4626671330816</v>
      </c>
      <c r="E225" s="7">
        <f t="shared" ca="1" si="162"/>
        <v>-1611.1380819997976</v>
      </c>
      <c r="F225" s="7">
        <f t="shared" ca="1" si="162"/>
        <v>0</v>
      </c>
      <c r="G225" s="7">
        <f t="shared" ca="1" si="162"/>
        <v>0</v>
      </c>
      <c r="H225" s="7">
        <f t="shared" ca="1" si="162"/>
        <v>0</v>
      </c>
      <c r="I225" s="7">
        <f t="shared" ca="1" si="162"/>
        <v>0</v>
      </c>
      <c r="J225" s="7">
        <f t="shared" ca="1" si="162"/>
        <v>0</v>
      </c>
      <c r="K225" s="7">
        <f t="shared" ca="1" si="162"/>
        <v>0</v>
      </c>
      <c r="L225" s="7">
        <f t="shared" ca="1" si="162"/>
        <v>0</v>
      </c>
      <c r="M225" s="7">
        <f t="shared" ca="1" si="162"/>
        <v>0</v>
      </c>
      <c r="N225" s="7">
        <f t="shared" ca="1" si="162"/>
        <v>0</v>
      </c>
      <c r="O225" s="7">
        <f t="shared" ca="1" si="162"/>
        <v>0</v>
      </c>
      <c r="P225" s="7">
        <f t="shared" ca="1" si="162"/>
        <v>0</v>
      </c>
      <c r="Q225" s="7">
        <f t="shared" ca="1" si="162"/>
        <v>0</v>
      </c>
      <c r="R225" s="7">
        <f t="shared" ca="1" si="162"/>
        <v>0</v>
      </c>
      <c r="S225" s="7">
        <f t="shared" ca="1" si="162"/>
        <v>0</v>
      </c>
      <c r="T225" s="7">
        <f t="shared" ca="1" si="162"/>
        <v>0</v>
      </c>
      <c r="U225" s="7">
        <f t="shared" ca="1" si="162"/>
        <v>0</v>
      </c>
      <c r="V225" s="7">
        <f t="shared" ca="1" si="162"/>
        <v>0</v>
      </c>
      <c r="W225" s="7">
        <f t="shared" ca="1" si="162"/>
        <v>0</v>
      </c>
      <c r="X225" s="7">
        <f t="shared" ca="1" si="162"/>
        <v>0</v>
      </c>
      <c r="Y225" s="7">
        <f t="shared" ca="1" si="162"/>
        <v>0</v>
      </c>
      <c r="Z225" s="7">
        <f t="shared" ca="1" si="162"/>
        <v>0</v>
      </c>
      <c r="AA225" s="7">
        <f t="shared" ca="1" si="162"/>
        <v>0</v>
      </c>
      <c r="AB225" s="7">
        <f t="shared" ca="1" si="162"/>
        <v>0</v>
      </c>
      <c r="AC225" s="7">
        <f t="shared" ca="1" si="162"/>
        <v>0</v>
      </c>
      <c r="AD225" s="7">
        <f t="shared" ca="1" si="162"/>
        <v>0</v>
      </c>
      <c r="AE225" s="7">
        <f t="shared" ca="1" si="162"/>
        <v>0</v>
      </c>
      <c r="AF225" s="7">
        <f t="shared" ca="1" si="162"/>
        <v>0</v>
      </c>
      <c r="AG225" s="7">
        <f t="shared" ca="1" si="162"/>
        <v>0</v>
      </c>
      <c r="AH225" s="7">
        <f t="shared" ca="1" si="162"/>
        <v>0</v>
      </c>
      <c r="AI225" s="7">
        <f t="shared" ca="1" si="162"/>
        <v>0</v>
      </c>
      <c r="AJ225" s="7">
        <f t="shared" ca="1" si="162"/>
        <v>0</v>
      </c>
      <c r="AK225" s="7">
        <f t="shared" ca="1" si="162"/>
        <v>0</v>
      </c>
      <c r="AL225" s="7">
        <f t="shared" ca="1" si="162"/>
        <v>0</v>
      </c>
      <c r="AM225" s="7">
        <f t="shared" ca="1" si="162"/>
        <v>0</v>
      </c>
    </row>
    <row r="226" spans="1:39">
      <c r="A226" s="17" t="str">
        <f t="shared" si="159"/>
        <v>Qormi</v>
      </c>
      <c r="C226" s="7">
        <f ca="1">C208</f>
        <v>-12697.714595321995</v>
      </c>
      <c r="D226" s="7">
        <f t="shared" ca="1" si="162"/>
        <v>-10277.63989987525</v>
      </c>
      <c r="E226" s="7">
        <f t="shared" ca="1" si="162"/>
        <v>-7733.7495899939004</v>
      </c>
      <c r="F226" s="7">
        <f t="shared" ca="1" si="162"/>
        <v>-5059.7090238560577</v>
      </c>
      <c r="G226" s="7">
        <f t="shared" ca="1" si="162"/>
        <v>-2248.8594673418665</v>
      </c>
      <c r="H226" s="7">
        <f t="shared" ca="1" si="162"/>
        <v>0</v>
      </c>
      <c r="I226" s="7">
        <f t="shared" ca="1" si="162"/>
        <v>0</v>
      </c>
      <c r="J226" s="7">
        <f t="shared" ca="1" si="162"/>
        <v>0</v>
      </c>
      <c r="K226" s="7">
        <f t="shared" ca="1" si="162"/>
        <v>0</v>
      </c>
      <c r="L226" s="7">
        <f t="shared" ca="1" si="162"/>
        <v>0</v>
      </c>
      <c r="M226" s="7">
        <f t="shared" ca="1" si="162"/>
        <v>0</v>
      </c>
      <c r="N226" s="7">
        <f t="shared" ca="1" si="162"/>
        <v>0</v>
      </c>
      <c r="O226" s="7">
        <f t="shared" ca="1" si="162"/>
        <v>0</v>
      </c>
      <c r="P226" s="7">
        <f t="shared" ca="1" si="162"/>
        <v>0</v>
      </c>
      <c r="Q226" s="7">
        <f t="shared" ca="1" si="162"/>
        <v>0</v>
      </c>
      <c r="R226" s="7">
        <f t="shared" ca="1" si="162"/>
        <v>0</v>
      </c>
      <c r="S226" s="7">
        <f t="shared" ca="1" si="162"/>
        <v>0</v>
      </c>
      <c r="T226" s="7">
        <f t="shared" ca="1" si="162"/>
        <v>0</v>
      </c>
      <c r="U226" s="7">
        <f t="shared" ca="1" si="162"/>
        <v>0</v>
      </c>
      <c r="V226" s="7">
        <f t="shared" ca="1" si="162"/>
        <v>0</v>
      </c>
      <c r="W226" s="7">
        <f t="shared" ca="1" si="162"/>
        <v>0</v>
      </c>
      <c r="X226" s="7">
        <f t="shared" ca="1" si="162"/>
        <v>0</v>
      </c>
      <c r="Y226" s="7">
        <f t="shared" ca="1" si="162"/>
        <v>0</v>
      </c>
      <c r="Z226" s="7">
        <f t="shared" ca="1" si="162"/>
        <v>0</v>
      </c>
      <c r="AA226" s="7">
        <f t="shared" ca="1" si="162"/>
        <v>0</v>
      </c>
      <c r="AB226" s="7">
        <f t="shared" ca="1" si="162"/>
        <v>0</v>
      </c>
      <c r="AC226" s="7">
        <f t="shared" ca="1" si="162"/>
        <v>0</v>
      </c>
      <c r="AD226" s="7">
        <f t="shared" ca="1" si="162"/>
        <v>0</v>
      </c>
      <c r="AE226" s="7">
        <f t="shared" ca="1" si="162"/>
        <v>0</v>
      </c>
      <c r="AF226" s="7">
        <f t="shared" ca="1" si="162"/>
        <v>0</v>
      </c>
      <c r="AG226" s="7">
        <f t="shared" ca="1" si="162"/>
        <v>0</v>
      </c>
      <c r="AH226" s="7">
        <f t="shared" ca="1" si="162"/>
        <v>0</v>
      </c>
      <c r="AI226" s="7">
        <f t="shared" ca="1" si="162"/>
        <v>0</v>
      </c>
      <c r="AJ226" s="7">
        <f t="shared" ca="1" si="162"/>
        <v>0</v>
      </c>
      <c r="AK226" s="7">
        <f t="shared" ca="1" si="162"/>
        <v>0</v>
      </c>
      <c r="AL226" s="7">
        <f t="shared" ca="1" si="162"/>
        <v>0</v>
      </c>
      <c r="AM226" s="7">
        <f t="shared" ca="1" si="162"/>
        <v>0</v>
      </c>
    </row>
    <row r="227" spans="1:39">
      <c r="A227" s="17" t="str">
        <f t="shared" ref="A227:A228" si="163">A75</f>
        <v>Gudja</v>
      </c>
      <c r="C227" s="7">
        <f t="shared" ref="C227:AM228" ca="1" si="164">C209</f>
        <v>-3805.6137118773331</v>
      </c>
      <c r="D227" s="7">
        <f t="shared" ca="1" si="164"/>
        <v>-2913.5784999121538</v>
      </c>
      <c r="E227" s="7">
        <f t="shared" ca="1" si="164"/>
        <v>-2003.5381319482622</v>
      </c>
      <c r="F227" s="7">
        <f t="shared" ca="1" si="164"/>
        <v>-1075.1291855128484</v>
      </c>
      <c r="G227" s="7">
        <f t="shared" ca="1" si="164"/>
        <v>-127.98090268471151</v>
      </c>
      <c r="H227" s="7">
        <f t="shared" ca="1" si="164"/>
        <v>0</v>
      </c>
      <c r="I227" s="7">
        <f t="shared" ca="1" si="164"/>
        <v>0</v>
      </c>
      <c r="J227" s="7">
        <f t="shared" ca="1" si="164"/>
        <v>0</v>
      </c>
      <c r="K227" s="7">
        <f t="shared" ca="1" si="164"/>
        <v>0</v>
      </c>
      <c r="L227" s="7">
        <f t="shared" ca="1" si="164"/>
        <v>0</v>
      </c>
      <c r="M227" s="7">
        <f t="shared" ca="1" si="164"/>
        <v>0</v>
      </c>
      <c r="N227" s="7">
        <f t="shared" ca="1" si="164"/>
        <v>0</v>
      </c>
      <c r="O227" s="7">
        <f t="shared" ca="1" si="164"/>
        <v>0</v>
      </c>
      <c r="P227" s="7">
        <f t="shared" ca="1" si="164"/>
        <v>0</v>
      </c>
      <c r="Q227" s="7">
        <f t="shared" ca="1" si="164"/>
        <v>0</v>
      </c>
      <c r="R227" s="7">
        <f t="shared" ca="1" si="164"/>
        <v>0</v>
      </c>
      <c r="S227" s="7">
        <f t="shared" ca="1" si="164"/>
        <v>0</v>
      </c>
      <c r="T227" s="7">
        <f t="shared" ca="1" si="164"/>
        <v>0</v>
      </c>
      <c r="U227" s="7">
        <f t="shared" ca="1" si="164"/>
        <v>0</v>
      </c>
      <c r="V227" s="7">
        <f t="shared" ca="1" si="164"/>
        <v>0</v>
      </c>
      <c r="W227" s="7">
        <f t="shared" ca="1" si="164"/>
        <v>0</v>
      </c>
      <c r="X227" s="7">
        <f t="shared" ca="1" si="164"/>
        <v>0</v>
      </c>
      <c r="Y227" s="7">
        <f t="shared" ca="1" si="164"/>
        <v>0</v>
      </c>
      <c r="Z227" s="7">
        <f t="shared" ca="1" si="164"/>
        <v>0</v>
      </c>
      <c r="AA227" s="7">
        <f t="shared" ca="1" si="164"/>
        <v>0</v>
      </c>
      <c r="AB227" s="7">
        <f t="shared" ca="1" si="164"/>
        <v>0</v>
      </c>
      <c r="AC227" s="7">
        <f t="shared" ca="1" si="164"/>
        <v>0</v>
      </c>
      <c r="AD227" s="7">
        <f t="shared" ca="1" si="164"/>
        <v>0</v>
      </c>
      <c r="AE227" s="7">
        <f t="shared" ca="1" si="164"/>
        <v>0</v>
      </c>
      <c r="AF227" s="7">
        <f t="shared" ca="1" si="164"/>
        <v>0</v>
      </c>
      <c r="AG227" s="7">
        <f t="shared" ca="1" si="164"/>
        <v>0</v>
      </c>
      <c r="AH227" s="7">
        <f t="shared" ca="1" si="164"/>
        <v>0</v>
      </c>
      <c r="AI227" s="7">
        <f t="shared" ca="1" si="164"/>
        <v>0</v>
      </c>
      <c r="AJ227" s="7">
        <f t="shared" ca="1" si="164"/>
        <v>0</v>
      </c>
      <c r="AK227" s="7">
        <f t="shared" ca="1" si="164"/>
        <v>0</v>
      </c>
      <c r="AL227" s="7">
        <f t="shared" ca="1" si="164"/>
        <v>0</v>
      </c>
      <c r="AM227" s="7">
        <f t="shared" ca="1" si="164"/>
        <v>0</v>
      </c>
    </row>
    <row r="228" spans="1:39">
      <c r="A228" s="17" t="str">
        <f t="shared" si="163"/>
        <v>Marsa</v>
      </c>
      <c r="C228" s="7">
        <f t="shared" ca="1" si="164"/>
        <v>-8353.7156417959159</v>
      </c>
      <c r="D228" s="7">
        <f t="shared" ca="1" si="164"/>
        <v>-7147.835964976146</v>
      </c>
      <c r="E228" s="7">
        <f t="shared" ca="1" si="164"/>
        <v>-5905.2783038633406</v>
      </c>
      <c r="F228" s="7">
        <f t="shared" ca="1" si="164"/>
        <v>-4624.9270624675901</v>
      </c>
      <c r="G228" s="7">
        <f t="shared" ca="1" si="164"/>
        <v>-3305.6327128793955</v>
      </c>
      <c r="H228" s="7">
        <f t="shared" ca="1" si="164"/>
        <v>-1946.2107631978924</v>
      </c>
      <c r="I228" s="7">
        <f t="shared" ca="1" si="164"/>
        <v>-545.44069406759263</v>
      </c>
      <c r="J228" s="7">
        <f t="shared" ca="1" si="164"/>
        <v>0</v>
      </c>
      <c r="K228" s="7">
        <f t="shared" ca="1" si="164"/>
        <v>0</v>
      </c>
      <c r="L228" s="7">
        <f t="shared" ca="1" si="164"/>
        <v>0</v>
      </c>
      <c r="M228" s="7">
        <f t="shared" ca="1" si="164"/>
        <v>0</v>
      </c>
      <c r="N228" s="7">
        <f t="shared" ca="1" si="164"/>
        <v>0</v>
      </c>
      <c r="O228" s="7">
        <f t="shared" ca="1" si="164"/>
        <v>0</v>
      </c>
      <c r="P228" s="7">
        <f t="shared" ca="1" si="164"/>
        <v>0</v>
      </c>
      <c r="Q228" s="7">
        <f t="shared" ca="1" si="164"/>
        <v>0</v>
      </c>
      <c r="R228" s="7">
        <f t="shared" ca="1" si="164"/>
        <v>0</v>
      </c>
      <c r="S228" s="7">
        <f t="shared" ca="1" si="164"/>
        <v>0</v>
      </c>
      <c r="T228" s="7">
        <f t="shared" ca="1" si="164"/>
        <v>0</v>
      </c>
      <c r="U228" s="7">
        <f t="shared" ca="1" si="164"/>
        <v>0</v>
      </c>
      <c r="V228" s="7">
        <f t="shared" ca="1" si="164"/>
        <v>0</v>
      </c>
      <c r="W228" s="7">
        <f t="shared" ca="1" si="164"/>
        <v>0</v>
      </c>
      <c r="X228" s="7">
        <f t="shared" ca="1" si="164"/>
        <v>0</v>
      </c>
      <c r="Y228" s="7">
        <f t="shared" ca="1" si="164"/>
        <v>0</v>
      </c>
      <c r="Z228" s="7">
        <f t="shared" ca="1" si="164"/>
        <v>0</v>
      </c>
      <c r="AA228" s="7">
        <f t="shared" ca="1" si="164"/>
        <v>0</v>
      </c>
      <c r="AB228" s="7">
        <f t="shared" ca="1" si="164"/>
        <v>0</v>
      </c>
      <c r="AC228" s="7">
        <f t="shared" ca="1" si="164"/>
        <v>0</v>
      </c>
      <c r="AD228" s="7">
        <f t="shared" ca="1" si="164"/>
        <v>0</v>
      </c>
      <c r="AE228" s="7">
        <f t="shared" ca="1" si="164"/>
        <v>0</v>
      </c>
      <c r="AF228" s="7">
        <f t="shared" ca="1" si="164"/>
        <v>0</v>
      </c>
      <c r="AG228" s="7">
        <f t="shared" ca="1" si="164"/>
        <v>0</v>
      </c>
      <c r="AH228" s="7">
        <f t="shared" ca="1" si="164"/>
        <v>0</v>
      </c>
      <c r="AI228" s="7">
        <f t="shared" ca="1" si="164"/>
        <v>0</v>
      </c>
      <c r="AJ228" s="7">
        <f t="shared" ca="1" si="164"/>
        <v>0</v>
      </c>
      <c r="AK228" s="7">
        <f t="shared" ca="1" si="164"/>
        <v>0</v>
      </c>
      <c r="AL228" s="7">
        <f t="shared" ca="1" si="164"/>
        <v>0</v>
      </c>
      <c r="AM228" s="7">
        <f t="shared" ca="1" si="164"/>
        <v>0</v>
      </c>
    </row>
    <row r="229" spans="1:39">
      <c r="A229" s="16" t="str">
        <f>A77</f>
        <v>Other loan</v>
      </c>
      <c r="C229" s="7">
        <f t="shared" ref="C229:AM229" si="165">C77</f>
        <v>-3629.9331288130147</v>
      </c>
      <c r="D229" s="7">
        <f t="shared" si="165"/>
        <v>-3237.0413427676731</v>
      </c>
      <c r="E229" s="7">
        <f t="shared" si="165"/>
        <v>-2819.9168510595237</v>
      </c>
      <c r="F229" s="7">
        <f t="shared" si="165"/>
        <v>-2377.0650334277229</v>
      </c>
      <c r="G229" s="7">
        <f t="shared" si="165"/>
        <v>-1906.8990847041773</v>
      </c>
      <c r="H229" s="7">
        <f t="shared" si="165"/>
        <v>-1407.7343290501685</v>
      </c>
      <c r="I229" s="7">
        <f t="shared" si="165"/>
        <v>-877.78218350754105</v>
      </c>
      <c r="J229" s="7">
        <f t="shared" si="165"/>
        <v>-315.14374923495234</v>
      </c>
      <c r="K229" s="7">
        <f t="shared" si="165"/>
        <v>0</v>
      </c>
      <c r="L229" s="7">
        <f t="shared" si="165"/>
        <v>0</v>
      </c>
      <c r="M229" s="7">
        <f t="shared" si="165"/>
        <v>0</v>
      </c>
      <c r="N229" s="7">
        <f t="shared" si="165"/>
        <v>0</v>
      </c>
      <c r="O229" s="7">
        <f t="shared" si="165"/>
        <v>0</v>
      </c>
      <c r="P229" s="7">
        <f t="shared" si="165"/>
        <v>0</v>
      </c>
      <c r="Q229" s="7">
        <f t="shared" si="165"/>
        <v>0</v>
      </c>
      <c r="R229" s="7">
        <f t="shared" si="165"/>
        <v>0</v>
      </c>
      <c r="S229" s="7">
        <f t="shared" si="165"/>
        <v>0</v>
      </c>
      <c r="T229" s="7">
        <f t="shared" si="165"/>
        <v>0</v>
      </c>
      <c r="U229" s="7">
        <f t="shared" si="165"/>
        <v>0</v>
      </c>
      <c r="V229" s="7">
        <f t="shared" si="165"/>
        <v>0</v>
      </c>
      <c r="W229" s="7">
        <f t="shared" si="165"/>
        <v>0</v>
      </c>
      <c r="X229" s="7">
        <f t="shared" si="165"/>
        <v>0</v>
      </c>
      <c r="Y229" s="7">
        <f t="shared" si="165"/>
        <v>0</v>
      </c>
      <c r="Z229" s="7">
        <f t="shared" si="165"/>
        <v>0</v>
      </c>
      <c r="AA229" s="7">
        <f t="shared" si="165"/>
        <v>0</v>
      </c>
      <c r="AB229" s="7">
        <f t="shared" si="165"/>
        <v>0</v>
      </c>
      <c r="AC229" s="7">
        <f t="shared" si="165"/>
        <v>0</v>
      </c>
      <c r="AD229" s="7">
        <f t="shared" si="165"/>
        <v>0</v>
      </c>
      <c r="AE229" s="7">
        <f t="shared" si="165"/>
        <v>0</v>
      </c>
      <c r="AF229" s="7">
        <f t="shared" si="165"/>
        <v>0</v>
      </c>
      <c r="AG229" s="7">
        <f t="shared" si="165"/>
        <v>0</v>
      </c>
      <c r="AH229" s="7">
        <f t="shared" si="165"/>
        <v>0</v>
      </c>
      <c r="AI229" s="7">
        <f t="shared" si="165"/>
        <v>0</v>
      </c>
      <c r="AJ229" s="7">
        <f t="shared" si="165"/>
        <v>0</v>
      </c>
      <c r="AK229" s="7">
        <f t="shared" si="165"/>
        <v>0</v>
      </c>
      <c r="AL229" s="7">
        <f t="shared" si="165"/>
        <v>0</v>
      </c>
      <c r="AM229" s="7">
        <f t="shared" si="165"/>
        <v>0</v>
      </c>
    </row>
    <row r="230" spans="1:39">
      <c r="A230" s="4"/>
      <c r="C230" s="9">
        <f ca="1">SUM(C212:C229)</f>
        <v>1502255.030484352</v>
      </c>
      <c r="D230" s="9">
        <f t="shared" ref="D230:AM230" ca="1" si="166">SUM(D212:D229)</f>
        <v>1601971.8939653663</v>
      </c>
      <c r="E230" s="9">
        <f t="shared" ca="1" si="166"/>
        <v>1684328.4015844876</v>
      </c>
      <c r="F230" s="9">
        <f t="shared" ca="1" si="166"/>
        <v>1802937.006310463</v>
      </c>
      <c r="G230" s="9">
        <f t="shared" ca="1" si="166"/>
        <v>1927421.2402849826</v>
      </c>
      <c r="H230" s="9">
        <f t="shared" ca="1" si="166"/>
        <v>2064953.2124391431</v>
      </c>
      <c r="I230" s="9">
        <f t="shared" ca="1" si="166"/>
        <v>2206605.9587726984</v>
      </c>
      <c r="J230" s="9">
        <f t="shared" ca="1" si="166"/>
        <v>2336984.315261797</v>
      </c>
      <c r="K230" s="9">
        <f t="shared" ca="1" si="166"/>
        <v>2553696.5652745049</v>
      </c>
      <c r="L230" s="9">
        <f t="shared" ca="1" si="166"/>
        <v>2682201.6501127994</v>
      </c>
      <c r="M230" s="9">
        <f t="shared" ca="1" si="166"/>
        <v>2865811.5072427955</v>
      </c>
      <c r="N230" s="9">
        <f t="shared" ca="1" si="166"/>
        <v>3057997.4271338722</v>
      </c>
      <c r="O230" s="9">
        <f t="shared" ca="1" si="166"/>
        <v>3259115.4112636279</v>
      </c>
      <c r="P230" s="9">
        <f t="shared" ca="1" si="166"/>
        <v>3469535.9434690997</v>
      </c>
      <c r="Q230" s="9">
        <f t="shared" ca="1" si="166"/>
        <v>3689644.6155287321</v>
      </c>
      <c r="R230" s="9">
        <f t="shared" ca="1" si="166"/>
        <v>3919842.7837065398</v>
      </c>
      <c r="S230" s="9">
        <f t="shared" ca="1" si="166"/>
        <v>4054616.0275665605</v>
      </c>
      <c r="T230" s="9">
        <f t="shared" ca="1" si="166"/>
        <v>4202088.2403769335</v>
      </c>
      <c r="U230" s="9">
        <f t="shared" ca="1" si="166"/>
        <v>4355143.7005567988</v>
      </c>
      <c r="V230" s="9">
        <f t="shared" ca="1" si="166"/>
        <v>4514008.5023259325</v>
      </c>
      <c r="W230" s="9">
        <f t="shared" ca="1" si="166"/>
        <v>4678919.0712515805</v>
      </c>
      <c r="X230" s="9">
        <f t="shared" ca="1" si="166"/>
        <v>4829715.8029471757</v>
      </c>
      <c r="Y230" s="9">
        <f t="shared" ca="1" si="166"/>
        <v>4986044.0693058725</v>
      </c>
      <c r="Z230" s="9">
        <f t="shared" ca="1" si="166"/>
        <v>5148136.5207989374</v>
      </c>
      <c r="AA230" s="9">
        <f t="shared" ca="1" si="166"/>
        <v>5316237.3201445313</v>
      </c>
      <c r="AB230" s="9">
        <f t="shared" ca="1" si="166"/>
        <v>5490602.8188040266</v>
      </c>
      <c r="AC230" s="9">
        <f t="shared" ca="1" si="166"/>
        <v>5671502.2791912882</v>
      </c>
      <c r="AD230" s="9">
        <f t="shared" ca="1" si="166"/>
        <v>5869079.3835584801</v>
      </c>
      <c r="AE230" s="9">
        <f t="shared" ca="1" si="166"/>
        <v>6074263.882105805</v>
      </c>
      <c r="AF230" s="9">
        <f t="shared" ca="1" si="166"/>
        <v>6287387.101517546</v>
      </c>
      <c r="AG230" s="9">
        <f t="shared" ca="1" si="166"/>
        <v>6508797.3131371113</v>
      </c>
      <c r="AH230" s="9">
        <f t="shared" ca="1" si="166"/>
        <v>6738860.7590825101</v>
      </c>
      <c r="AI230" s="9">
        <f t="shared" ca="1" si="166"/>
        <v>6977962.7492139079</v>
      </c>
      <c r="AJ230" s="9">
        <f t="shared" ca="1" si="166"/>
        <v>7226508.8342432585</v>
      </c>
      <c r="AK230" s="9">
        <f t="shared" ca="1" si="166"/>
        <v>7484926.0606866907</v>
      </c>
      <c r="AL230" s="9">
        <f t="shared" ca="1" si="166"/>
        <v>7753664.3138034102</v>
      </c>
      <c r="AM230" s="9">
        <f t="shared" ca="1" si="166"/>
        <v>8033197.7551429691</v>
      </c>
    </row>
    <row r="231" spans="1:39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</row>
    <row r="232" spans="1:39" ht="19">
      <c r="A232" s="25" t="s">
        <v>78</v>
      </c>
      <c r="B232" s="26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</row>
    <row r="233" spans="1:39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</row>
    <row r="234" spans="1:39">
      <c r="A234" s="15" t="s">
        <v>67</v>
      </c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</row>
    <row r="235" spans="1:39">
      <c r="A235" s="3" t="s">
        <v>9</v>
      </c>
      <c r="C235" s="7">
        <f t="shared" ref="C235:AM235" ca="1" si="167">C61</f>
        <v>77716.75</v>
      </c>
      <c r="D235" s="7">
        <f t="shared" ca="1" si="167"/>
        <v>109048.49374999999</v>
      </c>
      <c r="E235" s="7">
        <f t="shared" ca="1" si="167"/>
        <v>120800.38421875003</v>
      </c>
      <c r="F235" s="7">
        <f t="shared" ca="1" si="167"/>
        <v>167283.44827895577</v>
      </c>
      <c r="G235" s="7">
        <f t="shared" ca="1" si="167"/>
        <v>218918.83267437888</v>
      </c>
      <c r="H235" s="7">
        <f t="shared" ca="1" si="167"/>
        <v>285901.78181548161</v>
      </c>
      <c r="I235" s="7">
        <f t="shared" ca="1" si="167"/>
        <v>363696.65132994356</v>
      </c>
      <c r="J235" s="7">
        <f t="shared" ca="1" si="167"/>
        <v>428989.26300950802</v>
      </c>
      <c r="K235" s="7">
        <f t="shared" ca="1" si="167"/>
        <v>579281.37409876089</v>
      </c>
      <c r="L235" s="7">
        <f t="shared" ca="1" si="167"/>
        <v>641876.82255875634</v>
      </c>
      <c r="M235" s="7">
        <f t="shared" ca="1" si="167"/>
        <v>761038.5473662219</v>
      </c>
      <c r="N235" s="7">
        <f t="shared" ca="1" si="167"/>
        <v>886583.81996541878</v>
      </c>
      <c r="O235" s="7">
        <f t="shared" ca="1" si="167"/>
        <v>1018782.1407048926</v>
      </c>
      <c r="P235" s="7">
        <f t="shared" ca="1" si="167"/>
        <v>1157913.239204355</v>
      </c>
      <c r="Q235" s="7">
        <f t="shared" ca="1" si="167"/>
        <v>1304267.4396996587</v>
      </c>
      <c r="R235" s="7">
        <f t="shared" ca="1" si="167"/>
        <v>1458146.0389312971</v>
      </c>
      <c r="S235" s="7">
        <f t="shared" ca="1" si="167"/>
        <v>1513929.4664830596</v>
      </c>
      <c r="T235" s="7">
        <f t="shared" ca="1" si="167"/>
        <v>1579631.0553787265</v>
      </c>
      <c r="U235" s="7">
        <f t="shared" ca="1" si="167"/>
        <v>1648018.7707598673</v>
      </c>
      <c r="V235" s="7">
        <f t="shared" ca="1" si="167"/>
        <v>1719196.2730464134</v>
      </c>
      <c r="W235" s="7">
        <f t="shared" ca="1" si="167"/>
        <v>1793271.0393779005</v>
      </c>
      <c r="X235" s="7">
        <f t="shared" ca="1" si="167"/>
        <v>1849947.5795442504</v>
      </c>
      <c r="Y235" s="7">
        <f t="shared" ca="1" si="167"/>
        <v>1908727.9885819815</v>
      </c>
      <c r="Z235" s="7">
        <f t="shared" ca="1" si="167"/>
        <v>1969693.7621849393</v>
      </c>
      <c r="AA235" s="7">
        <f t="shared" ca="1" si="167"/>
        <v>2032929.5076662535</v>
      </c>
      <c r="AB235" s="7">
        <f t="shared" ca="1" si="167"/>
        <v>2098523.0591570721</v>
      </c>
      <c r="AC235" s="7">
        <f t="shared" ca="1" si="167"/>
        <v>2166565.5969370482</v>
      </c>
      <c r="AD235" s="7">
        <f t="shared" ca="1" si="167"/>
        <v>2247012.5086333081</v>
      </c>
      <c r="AE235" s="7">
        <f t="shared" ca="1" si="167"/>
        <v>2330594.3413533093</v>
      </c>
      <c r="AF235" s="7">
        <f t="shared" ca="1" si="167"/>
        <v>2417431.5621965392</v>
      </c>
      <c r="AG235" s="7">
        <f t="shared" ca="1" si="167"/>
        <v>2507649.1223028628</v>
      </c>
      <c r="AH235" s="7">
        <f t="shared" ca="1" si="167"/>
        <v>2601376.6183629362</v>
      </c>
      <c r="AI235" s="7">
        <f t="shared" ca="1" si="167"/>
        <v>2698748.4597796248</v>
      </c>
      <c r="AJ235" s="7">
        <f t="shared" ca="1" si="167"/>
        <v>2799904.041673373</v>
      </c>
      <c r="AK235" s="7">
        <f t="shared" ca="1" si="167"/>
        <v>2904987.92393093</v>
      </c>
      <c r="AL235" s="7">
        <f t="shared" ca="1" si="167"/>
        <v>3014150.0165034966</v>
      </c>
      <c r="AM235" s="7">
        <f t="shared" ca="1" si="167"/>
        <v>3127545.7711672578</v>
      </c>
    </row>
    <row r="236" spans="1:39">
      <c r="A236" s="3" t="s">
        <v>28</v>
      </c>
      <c r="C236" s="7">
        <f t="shared" ref="C236:AM236" ca="1" si="168">C78</f>
        <v>1502255.030484352</v>
      </c>
      <c r="D236" s="7">
        <f t="shared" ca="1" si="168"/>
        <v>1601971.8939653663</v>
      </c>
      <c r="E236" s="7">
        <f t="shared" ca="1" si="168"/>
        <v>1684328.4015844876</v>
      </c>
      <c r="F236" s="7">
        <f t="shared" ca="1" si="168"/>
        <v>1802937.006310463</v>
      </c>
      <c r="G236" s="7">
        <f t="shared" ca="1" si="168"/>
        <v>1927421.2402849826</v>
      </c>
      <c r="H236" s="7">
        <f t="shared" ca="1" si="168"/>
        <v>2064953.2124391431</v>
      </c>
      <c r="I236" s="7">
        <f t="shared" ca="1" si="168"/>
        <v>2206605.9587726984</v>
      </c>
      <c r="J236" s="7">
        <f t="shared" ca="1" si="168"/>
        <v>2336984.315261797</v>
      </c>
      <c r="K236" s="7">
        <f t="shared" ca="1" si="168"/>
        <v>2553696.5652745049</v>
      </c>
      <c r="L236" s="7">
        <f t="shared" ca="1" si="168"/>
        <v>2682201.6501127994</v>
      </c>
      <c r="M236" s="7">
        <f t="shared" ca="1" si="168"/>
        <v>2865811.5072427955</v>
      </c>
      <c r="N236" s="7">
        <f t="shared" ca="1" si="168"/>
        <v>3057997.4271338722</v>
      </c>
      <c r="O236" s="7">
        <f t="shared" ca="1" si="168"/>
        <v>3259115.4112636279</v>
      </c>
      <c r="P236" s="7">
        <f t="shared" ca="1" si="168"/>
        <v>3469535.9434690997</v>
      </c>
      <c r="Q236" s="7">
        <f t="shared" ca="1" si="168"/>
        <v>3689644.6155287321</v>
      </c>
      <c r="R236" s="7">
        <f t="shared" ca="1" si="168"/>
        <v>3919842.7837065402</v>
      </c>
      <c r="S236" s="7">
        <f t="shared" ca="1" si="168"/>
        <v>4054616.0275665605</v>
      </c>
      <c r="T236" s="7">
        <f t="shared" ca="1" si="168"/>
        <v>4202088.2403769335</v>
      </c>
      <c r="U236" s="7">
        <f t="shared" ca="1" si="168"/>
        <v>4355143.7005567998</v>
      </c>
      <c r="V236" s="7">
        <f t="shared" ca="1" si="168"/>
        <v>4514008.5023259334</v>
      </c>
      <c r="W236" s="7">
        <f t="shared" ca="1" si="168"/>
        <v>4678919.0712515805</v>
      </c>
      <c r="X236" s="7">
        <f t="shared" ca="1" si="168"/>
        <v>4829715.8029471757</v>
      </c>
      <c r="Y236" s="7">
        <f t="shared" ca="1" si="168"/>
        <v>4986044.0693058725</v>
      </c>
      <c r="Z236" s="7">
        <f t="shared" ca="1" si="168"/>
        <v>5148136.5207989374</v>
      </c>
      <c r="AA236" s="7">
        <f t="shared" ca="1" si="168"/>
        <v>5316237.3201445313</v>
      </c>
      <c r="AB236" s="7">
        <f t="shared" ca="1" si="168"/>
        <v>5490602.8188040275</v>
      </c>
      <c r="AC236" s="7">
        <f t="shared" ca="1" si="168"/>
        <v>5671502.2791912882</v>
      </c>
      <c r="AD236" s="7">
        <f t="shared" ca="1" si="168"/>
        <v>5869079.3835584801</v>
      </c>
      <c r="AE236" s="7">
        <f t="shared" ca="1" si="168"/>
        <v>6074263.8821058059</v>
      </c>
      <c r="AF236" s="7">
        <f t="shared" ca="1" si="168"/>
        <v>6287387.1015175469</v>
      </c>
      <c r="AG236" s="7">
        <f t="shared" ca="1" si="168"/>
        <v>6508797.3131371122</v>
      </c>
      <c r="AH236" s="7">
        <f t="shared" ca="1" si="168"/>
        <v>6738860.7590825101</v>
      </c>
      <c r="AI236" s="7">
        <f t="shared" ca="1" si="168"/>
        <v>6977962.7492139088</v>
      </c>
      <c r="AJ236" s="7">
        <f t="shared" ca="1" si="168"/>
        <v>7226508.8342432594</v>
      </c>
      <c r="AK236" s="7">
        <f t="shared" ca="1" si="168"/>
        <v>7484926.0606866917</v>
      </c>
      <c r="AL236" s="7">
        <f t="shared" ca="1" si="168"/>
        <v>7753664.3138034111</v>
      </c>
      <c r="AM236" s="7">
        <f t="shared" ca="1" si="168"/>
        <v>8033197.75514297</v>
      </c>
    </row>
    <row r="237" spans="1:39">
      <c r="A237" s="3"/>
      <c r="C237" s="10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</row>
    <row r="238" spans="1:39">
      <c r="A238" s="15" t="s">
        <v>68</v>
      </c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</row>
    <row r="239" spans="1:39">
      <c r="A239" s="3" t="s">
        <v>9</v>
      </c>
      <c r="C239" s="7">
        <f t="shared" ref="C239:AM239" ca="1" si="169">C213</f>
        <v>77716.75</v>
      </c>
      <c r="D239" s="7">
        <f t="shared" ca="1" si="169"/>
        <v>109048.49374999999</v>
      </c>
      <c r="E239" s="7">
        <f t="shared" ca="1" si="169"/>
        <v>120800.38421875003</v>
      </c>
      <c r="F239" s="7">
        <f t="shared" ca="1" si="169"/>
        <v>167283.44827895577</v>
      </c>
      <c r="G239" s="7">
        <f t="shared" ca="1" si="169"/>
        <v>218918.83267437888</v>
      </c>
      <c r="H239" s="7">
        <f t="shared" ca="1" si="169"/>
        <v>285901.78181548161</v>
      </c>
      <c r="I239" s="7">
        <f t="shared" ca="1" si="169"/>
        <v>363696.65132994356</v>
      </c>
      <c r="J239" s="7">
        <f t="shared" ca="1" si="169"/>
        <v>428989.26300950802</v>
      </c>
      <c r="K239" s="7">
        <f t="shared" ca="1" si="169"/>
        <v>579281.37409876089</v>
      </c>
      <c r="L239" s="7">
        <f t="shared" ca="1" si="169"/>
        <v>641876.82255875634</v>
      </c>
      <c r="M239" s="7">
        <f t="shared" ca="1" si="169"/>
        <v>761038.5473662219</v>
      </c>
      <c r="N239" s="7">
        <f t="shared" ca="1" si="169"/>
        <v>886583.81996541878</v>
      </c>
      <c r="O239" s="7">
        <f t="shared" ca="1" si="169"/>
        <v>1018782.1407048926</v>
      </c>
      <c r="P239" s="7">
        <f t="shared" ca="1" si="169"/>
        <v>1157913.239204355</v>
      </c>
      <c r="Q239" s="7">
        <f t="shared" ca="1" si="169"/>
        <v>1304267.4396996587</v>
      </c>
      <c r="R239" s="7">
        <f t="shared" ca="1" si="169"/>
        <v>1458146.0389312971</v>
      </c>
      <c r="S239" s="7">
        <f t="shared" ca="1" si="169"/>
        <v>1513929.4664830596</v>
      </c>
      <c r="T239" s="7">
        <f t="shared" ca="1" si="169"/>
        <v>1579631.0553787265</v>
      </c>
      <c r="U239" s="7">
        <f t="shared" ca="1" si="169"/>
        <v>1648018.7707598673</v>
      </c>
      <c r="V239" s="7">
        <f t="shared" ca="1" si="169"/>
        <v>1719196.2730464134</v>
      </c>
      <c r="W239" s="7">
        <f t="shared" ca="1" si="169"/>
        <v>1793271.0393779005</v>
      </c>
      <c r="X239" s="7">
        <f t="shared" ca="1" si="169"/>
        <v>1849947.5795442504</v>
      </c>
      <c r="Y239" s="7">
        <f t="shared" ca="1" si="169"/>
        <v>1908727.9885819815</v>
      </c>
      <c r="Z239" s="7">
        <f t="shared" ca="1" si="169"/>
        <v>1969693.7621849393</v>
      </c>
      <c r="AA239" s="7">
        <f t="shared" ca="1" si="169"/>
        <v>2032929.5076662535</v>
      </c>
      <c r="AB239" s="7">
        <f t="shared" ca="1" si="169"/>
        <v>2098523.0591570721</v>
      </c>
      <c r="AC239" s="7">
        <f t="shared" ca="1" si="169"/>
        <v>2166565.5969370482</v>
      </c>
      <c r="AD239" s="7">
        <f t="shared" ca="1" si="169"/>
        <v>2247012.5086333081</v>
      </c>
      <c r="AE239" s="7">
        <f t="shared" ca="1" si="169"/>
        <v>2330594.3413533093</v>
      </c>
      <c r="AF239" s="7">
        <f t="shared" ca="1" si="169"/>
        <v>2417431.5621965392</v>
      </c>
      <c r="AG239" s="7">
        <f t="shared" ca="1" si="169"/>
        <v>2507649.1223028628</v>
      </c>
      <c r="AH239" s="7">
        <f t="shared" ca="1" si="169"/>
        <v>2601376.6183629362</v>
      </c>
      <c r="AI239" s="7">
        <f t="shared" ca="1" si="169"/>
        <v>2698748.4597796248</v>
      </c>
      <c r="AJ239" s="7">
        <f t="shared" ca="1" si="169"/>
        <v>2799904.041673373</v>
      </c>
      <c r="AK239" s="7">
        <f t="shared" ca="1" si="169"/>
        <v>2904987.92393093</v>
      </c>
      <c r="AL239" s="7">
        <f t="shared" ca="1" si="169"/>
        <v>3014150.0165034966</v>
      </c>
      <c r="AM239" s="7">
        <f t="shared" ca="1" si="169"/>
        <v>3127545.7711672578</v>
      </c>
    </row>
    <row r="240" spans="1:39">
      <c r="A240" s="3" t="s">
        <v>28</v>
      </c>
      <c r="C240" s="7">
        <f t="shared" ref="C240:AM240" ca="1" si="170">C230</f>
        <v>1502255.030484352</v>
      </c>
      <c r="D240" s="7">
        <f t="shared" ca="1" si="170"/>
        <v>1601971.8939653663</v>
      </c>
      <c r="E240" s="7">
        <f t="shared" ca="1" si="170"/>
        <v>1684328.4015844876</v>
      </c>
      <c r="F240" s="7">
        <f t="shared" ca="1" si="170"/>
        <v>1802937.006310463</v>
      </c>
      <c r="G240" s="7">
        <f t="shared" ca="1" si="170"/>
        <v>1927421.2402849826</v>
      </c>
      <c r="H240" s="7">
        <f t="shared" ca="1" si="170"/>
        <v>2064953.2124391431</v>
      </c>
      <c r="I240" s="7">
        <f t="shared" ca="1" si="170"/>
        <v>2206605.9587726984</v>
      </c>
      <c r="J240" s="7">
        <f t="shared" ca="1" si="170"/>
        <v>2336984.315261797</v>
      </c>
      <c r="K240" s="7">
        <f t="shared" ca="1" si="170"/>
        <v>2553696.5652745049</v>
      </c>
      <c r="L240" s="7">
        <f t="shared" ca="1" si="170"/>
        <v>2682201.6501127994</v>
      </c>
      <c r="M240" s="7">
        <f t="shared" ca="1" si="170"/>
        <v>2865811.5072427955</v>
      </c>
      <c r="N240" s="7">
        <f t="shared" ca="1" si="170"/>
        <v>3057997.4271338722</v>
      </c>
      <c r="O240" s="7">
        <f t="shared" ca="1" si="170"/>
        <v>3259115.4112636279</v>
      </c>
      <c r="P240" s="7">
        <f t="shared" ca="1" si="170"/>
        <v>3469535.9434690997</v>
      </c>
      <c r="Q240" s="7">
        <f t="shared" ca="1" si="170"/>
        <v>3689644.6155287321</v>
      </c>
      <c r="R240" s="7">
        <f t="shared" ca="1" si="170"/>
        <v>3919842.7837065398</v>
      </c>
      <c r="S240" s="7">
        <f t="shared" ca="1" si="170"/>
        <v>4054616.0275665605</v>
      </c>
      <c r="T240" s="7">
        <f t="shared" ca="1" si="170"/>
        <v>4202088.2403769335</v>
      </c>
      <c r="U240" s="7">
        <f t="shared" ca="1" si="170"/>
        <v>4355143.7005567988</v>
      </c>
      <c r="V240" s="7">
        <f t="shared" ca="1" si="170"/>
        <v>4514008.5023259325</v>
      </c>
      <c r="W240" s="7">
        <f t="shared" ca="1" si="170"/>
        <v>4678919.0712515805</v>
      </c>
      <c r="X240" s="7">
        <f t="shared" ca="1" si="170"/>
        <v>4829715.8029471757</v>
      </c>
      <c r="Y240" s="7">
        <f t="shared" ca="1" si="170"/>
        <v>4986044.0693058725</v>
      </c>
      <c r="Z240" s="7">
        <f t="shared" ca="1" si="170"/>
        <v>5148136.5207989374</v>
      </c>
      <c r="AA240" s="7">
        <f t="shared" ca="1" si="170"/>
        <v>5316237.3201445313</v>
      </c>
      <c r="AB240" s="7">
        <f t="shared" ca="1" si="170"/>
        <v>5490602.8188040266</v>
      </c>
      <c r="AC240" s="7">
        <f t="shared" ca="1" si="170"/>
        <v>5671502.2791912882</v>
      </c>
      <c r="AD240" s="7">
        <f t="shared" ca="1" si="170"/>
        <v>5869079.3835584801</v>
      </c>
      <c r="AE240" s="7">
        <f t="shared" ca="1" si="170"/>
        <v>6074263.882105805</v>
      </c>
      <c r="AF240" s="7">
        <f t="shared" ca="1" si="170"/>
        <v>6287387.101517546</v>
      </c>
      <c r="AG240" s="7">
        <f t="shared" ca="1" si="170"/>
        <v>6508797.3131371113</v>
      </c>
      <c r="AH240" s="7">
        <f t="shared" ca="1" si="170"/>
        <v>6738860.7590825101</v>
      </c>
      <c r="AI240" s="7">
        <f t="shared" ca="1" si="170"/>
        <v>6977962.7492139079</v>
      </c>
      <c r="AJ240" s="7">
        <f t="shared" ca="1" si="170"/>
        <v>7226508.8342432585</v>
      </c>
      <c r="AK240" s="7">
        <f t="shared" ca="1" si="170"/>
        <v>7484926.0606866907</v>
      </c>
      <c r="AL240" s="7">
        <f t="shared" ca="1" si="170"/>
        <v>7753664.3138034102</v>
      </c>
      <c r="AM240" s="7">
        <f t="shared" ca="1" si="170"/>
        <v>8033197.7551429691</v>
      </c>
    </row>
    <row r="241" spans="1:39">
      <c r="A241" s="3"/>
      <c r="C241" s="7"/>
      <c r="D241" s="7"/>
      <c r="E241" s="23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</row>
    <row r="242" spans="1:39">
      <c r="A242" s="15" t="s">
        <v>69</v>
      </c>
      <c r="B242" s="2" t="s">
        <v>1</v>
      </c>
      <c r="C242" s="7">
        <f t="shared" ref="C242:AM242" si="171">C3</f>
        <v>49</v>
      </c>
      <c r="D242" s="7">
        <f t="shared" si="171"/>
        <v>50</v>
      </c>
      <c r="E242" s="7">
        <f t="shared" si="171"/>
        <v>51</v>
      </c>
      <c r="F242" s="7">
        <f t="shared" si="171"/>
        <v>52</v>
      </c>
      <c r="G242" s="7">
        <f t="shared" si="171"/>
        <v>53</v>
      </c>
      <c r="H242" s="7">
        <f t="shared" si="171"/>
        <v>54</v>
      </c>
      <c r="I242" s="7">
        <f t="shared" si="171"/>
        <v>55</v>
      </c>
      <c r="J242" s="7">
        <f t="shared" si="171"/>
        <v>56</v>
      </c>
      <c r="K242" s="7">
        <f t="shared" si="171"/>
        <v>57</v>
      </c>
      <c r="L242" s="7">
        <f t="shared" si="171"/>
        <v>58</v>
      </c>
      <c r="M242" s="7">
        <f t="shared" si="171"/>
        <v>59</v>
      </c>
      <c r="N242" s="7">
        <f t="shared" si="171"/>
        <v>60</v>
      </c>
      <c r="O242" s="7">
        <f t="shared" si="171"/>
        <v>61</v>
      </c>
      <c r="P242" s="7">
        <f t="shared" si="171"/>
        <v>62</v>
      </c>
      <c r="Q242" s="7">
        <f t="shared" si="171"/>
        <v>63</v>
      </c>
      <c r="R242" s="7">
        <f t="shared" si="171"/>
        <v>64</v>
      </c>
      <c r="S242" s="7">
        <f t="shared" si="171"/>
        <v>65</v>
      </c>
      <c r="T242" s="7">
        <f t="shared" si="171"/>
        <v>66</v>
      </c>
      <c r="U242" s="7">
        <f t="shared" si="171"/>
        <v>67</v>
      </c>
      <c r="V242" s="7">
        <f t="shared" si="171"/>
        <v>68</v>
      </c>
      <c r="W242" s="7">
        <f t="shared" si="171"/>
        <v>69</v>
      </c>
      <c r="X242" s="7">
        <f t="shared" si="171"/>
        <v>70</v>
      </c>
      <c r="Y242" s="7">
        <f t="shared" si="171"/>
        <v>71</v>
      </c>
      <c r="Z242" s="7">
        <f t="shared" si="171"/>
        <v>72</v>
      </c>
      <c r="AA242" s="7">
        <f t="shared" si="171"/>
        <v>73</v>
      </c>
      <c r="AB242" s="7">
        <f t="shared" si="171"/>
        <v>74</v>
      </c>
      <c r="AC242" s="7">
        <f t="shared" si="171"/>
        <v>75</v>
      </c>
      <c r="AD242" s="7">
        <f t="shared" si="171"/>
        <v>76</v>
      </c>
      <c r="AE242" s="7">
        <f t="shared" si="171"/>
        <v>77</v>
      </c>
      <c r="AF242" s="7">
        <f t="shared" si="171"/>
        <v>78</v>
      </c>
      <c r="AG242" s="7">
        <f t="shared" si="171"/>
        <v>79</v>
      </c>
      <c r="AH242" s="7">
        <f t="shared" si="171"/>
        <v>80</v>
      </c>
      <c r="AI242" s="7">
        <f t="shared" si="171"/>
        <v>81</v>
      </c>
      <c r="AJ242" s="7">
        <f t="shared" si="171"/>
        <v>82</v>
      </c>
      <c r="AK242" s="7">
        <f t="shared" si="171"/>
        <v>83</v>
      </c>
      <c r="AL242" s="7">
        <f t="shared" si="171"/>
        <v>84</v>
      </c>
      <c r="AM242" s="7">
        <f t="shared" si="171"/>
        <v>85</v>
      </c>
    </row>
    <row r="243" spans="1:39">
      <c r="A243" s="3" t="s">
        <v>67</v>
      </c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</row>
    <row r="244" spans="1:39">
      <c r="A244" s="3" t="s">
        <v>9</v>
      </c>
      <c r="C244" s="7">
        <f t="shared" ref="C244:AM244" ca="1" si="172">C235</f>
        <v>77716.75</v>
      </c>
      <c r="D244" s="7">
        <f t="shared" ca="1" si="172"/>
        <v>109048.49374999999</v>
      </c>
      <c r="E244" s="7">
        <f t="shared" ca="1" si="172"/>
        <v>120800.38421875003</v>
      </c>
      <c r="F244" s="7">
        <f t="shared" ca="1" si="172"/>
        <v>167283.44827895577</v>
      </c>
      <c r="G244" s="7">
        <f t="shared" ca="1" si="172"/>
        <v>218918.83267437888</v>
      </c>
      <c r="H244" s="7">
        <f t="shared" ca="1" si="172"/>
        <v>285901.78181548161</v>
      </c>
      <c r="I244" s="7">
        <f t="shared" ca="1" si="172"/>
        <v>363696.65132994356</v>
      </c>
      <c r="J244" s="7">
        <f t="shared" ca="1" si="172"/>
        <v>428989.26300950802</v>
      </c>
      <c r="K244" s="7">
        <f t="shared" ca="1" si="172"/>
        <v>579281.37409876089</v>
      </c>
      <c r="L244" s="7">
        <f t="shared" ca="1" si="172"/>
        <v>641876.82255875634</v>
      </c>
      <c r="M244" s="7">
        <f t="shared" ca="1" si="172"/>
        <v>761038.5473662219</v>
      </c>
      <c r="N244" s="7">
        <f t="shared" ca="1" si="172"/>
        <v>886583.81996541878</v>
      </c>
      <c r="O244" s="7">
        <f t="shared" ca="1" si="172"/>
        <v>1018782.1407048926</v>
      </c>
      <c r="P244" s="7">
        <f t="shared" ca="1" si="172"/>
        <v>1157913.239204355</v>
      </c>
      <c r="Q244" s="7">
        <f t="shared" ca="1" si="172"/>
        <v>1304267.4396996587</v>
      </c>
      <c r="R244" s="7">
        <f t="shared" ca="1" si="172"/>
        <v>1458146.0389312971</v>
      </c>
      <c r="S244" s="7">
        <f t="shared" ca="1" si="172"/>
        <v>1513929.4664830596</v>
      </c>
      <c r="T244" s="7">
        <f t="shared" ca="1" si="172"/>
        <v>1579631.0553787265</v>
      </c>
      <c r="U244" s="7">
        <f t="shared" ca="1" si="172"/>
        <v>1648018.7707598673</v>
      </c>
      <c r="V244" s="7">
        <f t="shared" ca="1" si="172"/>
        <v>1719196.2730464134</v>
      </c>
      <c r="W244" s="7">
        <f t="shared" ca="1" si="172"/>
        <v>1793271.0393779005</v>
      </c>
      <c r="X244" s="7">
        <f t="shared" ca="1" si="172"/>
        <v>1849947.5795442504</v>
      </c>
      <c r="Y244" s="7">
        <f t="shared" ca="1" si="172"/>
        <v>1908727.9885819815</v>
      </c>
      <c r="Z244" s="7">
        <f t="shared" ca="1" si="172"/>
        <v>1969693.7621849393</v>
      </c>
      <c r="AA244" s="7">
        <f t="shared" ca="1" si="172"/>
        <v>2032929.5076662535</v>
      </c>
      <c r="AB244" s="7">
        <f t="shared" ca="1" si="172"/>
        <v>2098523.0591570721</v>
      </c>
      <c r="AC244" s="7">
        <f t="shared" ca="1" si="172"/>
        <v>2166565.5969370482</v>
      </c>
      <c r="AD244" s="7">
        <f t="shared" ca="1" si="172"/>
        <v>2247012.5086333081</v>
      </c>
      <c r="AE244" s="7">
        <f t="shared" ca="1" si="172"/>
        <v>2330594.3413533093</v>
      </c>
      <c r="AF244" s="7">
        <f t="shared" ca="1" si="172"/>
        <v>2417431.5621965392</v>
      </c>
      <c r="AG244" s="7">
        <f t="shared" ca="1" si="172"/>
        <v>2507649.1223028628</v>
      </c>
      <c r="AH244" s="7">
        <f t="shared" ca="1" si="172"/>
        <v>2601376.6183629362</v>
      </c>
      <c r="AI244" s="7">
        <f t="shared" ca="1" si="172"/>
        <v>2698748.4597796248</v>
      </c>
      <c r="AJ244" s="7">
        <f t="shared" ca="1" si="172"/>
        <v>2799904.041673373</v>
      </c>
      <c r="AK244" s="7">
        <f t="shared" ca="1" si="172"/>
        <v>2904987.92393093</v>
      </c>
      <c r="AL244" s="7">
        <f t="shared" ca="1" si="172"/>
        <v>3014150.0165034966</v>
      </c>
      <c r="AM244" s="7">
        <f t="shared" ca="1" si="172"/>
        <v>3127545.7711672578</v>
      </c>
    </row>
    <row r="245" spans="1:39">
      <c r="A245" s="3" t="s">
        <v>28</v>
      </c>
      <c r="C245" s="7">
        <f t="shared" ref="C245:AM245" ca="1" si="173">C236</f>
        <v>1502255.030484352</v>
      </c>
      <c r="D245" s="7">
        <f t="shared" ca="1" si="173"/>
        <v>1601971.8939653663</v>
      </c>
      <c r="E245" s="7">
        <f t="shared" ca="1" si="173"/>
        <v>1684328.4015844876</v>
      </c>
      <c r="F245" s="7">
        <f t="shared" ca="1" si="173"/>
        <v>1802937.006310463</v>
      </c>
      <c r="G245" s="7">
        <f t="shared" ca="1" si="173"/>
        <v>1927421.2402849826</v>
      </c>
      <c r="H245" s="7">
        <f t="shared" ca="1" si="173"/>
        <v>2064953.2124391431</v>
      </c>
      <c r="I245" s="7">
        <f t="shared" ca="1" si="173"/>
        <v>2206605.9587726984</v>
      </c>
      <c r="J245" s="7">
        <f t="shared" ca="1" si="173"/>
        <v>2336984.315261797</v>
      </c>
      <c r="K245" s="7">
        <f t="shared" ca="1" si="173"/>
        <v>2553696.5652745049</v>
      </c>
      <c r="L245" s="7">
        <f t="shared" ca="1" si="173"/>
        <v>2682201.6501127994</v>
      </c>
      <c r="M245" s="7">
        <f t="shared" ca="1" si="173"/>
        <v>2865811.5072427955</v>
      </c>
      <c r="N245" s="7">
        <f t="shared" ca="1" si="173"/>
        <v>3057997.4271338722</v>
      </c>
      <c r="O245" s="7">
        <f t="shared" ca="1" si="173"/>
        <v>3259115.4112636279</v>
      </c>
      <c r="P245" s="7">
        <f t="shared" ca="1" si="173"/>
        <v>3469535.9434690997</v>
      </c>
      <c r="Q245" s="7">
        <f t="shared" ca="1" si="173"/>
        <v>3689644.6155287321</v>
      </c>
      <c r="R245" s="7">
        <f t="shared" ca="1" si="173"/>
        <v>3919842.7837065402</v>
      </c>
      <c r="S245" s="7">
        <f t="shared" ca="1" si="173"/>
        <v>4054616.0275665605</v>
      </c>
      <c r="T245" s="7">
        <f t="shared" ca="1" si="173"/>
        <v>4202088.2403769335</v>
      </c>
      <c r="U245" s="7">
        <f t="shared" ca="1" si="173"/>
        <v>4355143.7005567998</v>
      </c>
      <c r="V245" s="7">
        <f t="shared" ca="1" si="173"/>
        <v>4514008.5023259334</v>
      </c>
      <c r="W245" s="7">
        <f t="shared" ca="1" si="173"/>
        <v>4678919.0712515805</v>
      </c>
      <c r="X245" s="7">
        <f t="shared" ca="1" si="173"/>
        <v>4829715.8029471757</v>
      </c>
      <c r="Y245" s="7">
        <f t="shared" ca="1" si="173"/>
        <v>4986044.0693058725</v>
      </c>
      <c r="Z245" s="7">
        <f t="shared" ca="1" si="173"/>
        <v>5148136.5207989374</v>
      </c>
      <c r="AA245" s="7">
        <f t="shared" ca="1" si="173"/>
        <v>5316237.3201445313</v>
      </c>
      <c r="AB245" s="7">
        <f t="shared" ca="1" si="173"/>
        <v>5490602.8188040275</v>
      </c>
      <c r="AC245" s="7">
        <f t="shared" ca="1" si="173"/>
        <v>5671502.2791912882</v>
      </c>
      <c r="AD245" s="7">
        <f t="shared" ca="1" si="173"/>
        <v>5869079.3835584801</v>
      </c>
      <c r="AE245" s="7">
        <f t="shared" ca="1" si="173"/>
        <v>6074263.8821058059</v>
      </c>
      <c r="AF245" s="7">
        <f t="shared" ca="1" si="173"/>
        <v>6287387.1015175469</v>
      </c>
      <c r="AG245" s="7">
        <f t="shared" ca="1" si="173"/>
        <v>6508797.3131371122</v>
      </c>
      <c r="AH245" s="7">
        <f t="shared" ca="1" si="173"/>
        <v>6738860.7590825101</v>
      </c>
      <c r="AI245" s="7">
        <f t="shared" ca="1" si="173"/>
        <v>6977962.7492139088</v>
      </c>
      <c r="AJ245" s="7">
        <f t="shared" ca="1" si="173"/>
        <v>7226508.8342432594</v>
      </c>
      <c r="AK245" s="7">
        <f t="shared" ca="1" si="173"/>
        <v>7484926.0606866917</v>
      </c>
      <c r="AL245" s="7">
        <f t="shared" ca="1" si="173"/>
        <v>7753664.3138034111</v>
      </c>
      <c r="AM245" s="7">
        <f t="shared" ca="1" si="173"/>
        <v>8033197.75514297</v>
      </c>
    </row>
    <row r="246" spans="1:39">
      <c r="A246" s="3" t="s">
        <v>68</v>
      </c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</row>
    <row r="247" spans="1:39">
      <c r="A247" s="16" t="s">
        <v>9</v>
      </c>
      <c r="C247" s="7">
        <f ca="1">C239</f>
        <v>77716.75</v>
      </c>
      <c r="D247" s="7">
        <f t="shared" ref="D247:G247" ca="1" si="174">D239</f>
        <v>109048.49374999999</v>
      </c>
      <c r="E247" s="7">
        <f t="shared" ca="1" si="174"/>
        <v>120800.38421875003</v>
      </c>
      <c r="F247" s="7">
        <f t="shared" ca="1" si="174"/>
        <v>167283.44827895577</v>
      </c>
      <c r="G247" s="7">
        <f t="shared" ca="1" si="174"/>
        <v>218918.83267437888</v>
      </c>
      <c r="H247" s="7">
        <f t="shared" ref="H247:I247" ca="1" si="175">H239</f>
        <v>285901.78181548161</v>
      </c>
      <c r="I247" s="7">
        <f t="shared" ca="1" si="175"/>
        <v>363696.65132994356</v>
      </c>
      <c r="J247" s="7">
        <f t="shared" ref="J247:AM247" ca="1" si="176">J239</f>
        <v>428989.26300950802</v>
      </c>
      <c r="K247" s="7">
        <f t="shared" ca="1" si="176"/>
        <v>579281.37409876089</v>
      </c>
      <c r="L247" s="7">
        <f t="shared" ca="1" si="176"/>
        <v>641876.82255875634</v>
      </c>
      <c r="M247" s="7">
        <f t="shared" ca="1" si="176"/>
        <v>761038.5473662219</v>
      </c>
      <c r="N247" s="7">
        <f t="shared" ca="1" si="176"/>
        <v>886583.81996541878</v>
      </c>
      <c r="O247" s="7">
        <f t="shared" ca="1" si="176"/>
        <v>1018782.1407048926</v>
      </c>
      <c r="P247" s="7">
        <f t="shared" ca="1" si="176"/>
        <v>1157913.239204355</v>
      </c>
      <c r="Q247" s="7">
        <f t="shared" ca="1" si="176"/>
        <v>1304267.4396996587</v>
      </c>
      <c r="R247" s="7">
        <f t="shared" ca="1" si="176"/>
        <v>1458146.0389312971</v>
      </c>
      <c r="S247" s="7">
        <f t="shared" ca="1" si="176"/>
        <v>1513929.4664830596</v>
      </c>
      <c r="T247" s="7">
        <f t="shared" ca="1" si="176"/>
        <v>1579631.0553787265</v>
      </c>
      <c r="U247" s="7">
        <f t="shared" ca="1" si="176"/>
        <v>1648018.7707598673</v>
      </c>
      <c r="V247" s="7">
        <f t="shared" ca="1" si="176"/>
        <v>1719196.2730464134</v>
      </c>
      <c r="W247" s="7">
        <f t="shared" ca="1" si="176"/>
        <v>1793271.0393779005</v>
      </c>
      <c r="X247" s="7">
        <f t="shared" ca="1" si="176"/>
        <v>1849947.5795442504</v>
      </c>
      <c r="Y247" s="7">
        <f t="shared" ca="1" si="176"/>
        <v>1908727.9885819815</v>
      </c>
      <c r="Z247" s="7">
        <f t="shared" ca="1" si="176"/>
        <v>1969693.7621849393</v>
      </c>
      <c r="AA247" s="7">
        <f t="shared" ca="1" si="176"/>
        <v>2032929.5076662535</v>
      </c>
      <c r="AB247" s="7">
        <f t="shared" ca="1" si="176"/>
        <v>2098523.0591570721</v>
      </c>
      <c r="AC247" s="7">
        <f t="shared" ca="1" si="176"/>
        <v>2166565.5969370482</v>
      </c>
      <c r="AD247" s="7">
        <f t="shared" ca="1" si="176"/>
        <v>2247012.5086333081</v>
      </c>
      <c r="AE247" s="7">
        <f t="shared" ca="1" si="176"/>
        <v>2330594.3413533093</v>
      </c>
      <c r="AF247" s="7">
        <f t="shared" ca="1" si="176"/>
        <v>2417431.5621965392</v>
      </c>
      <c r="AG247" s="7">
        <f t="shared" ca="1" si="176"/>
        <v>2507649.1223028628</v>
      </c>
      <c r="AH247" s="7">
        <f t="shared" ca="1" si="176"/>
        <v>2601376.6183629362</v>
      </c>
      <c r="AI247" s="7">
        <f t="shared" ca="1" si="176"/>
        <v>2698748.4597796248</v>
      </c>
      <c r="AJ247" s="7">
        <f t="shared" ca="1" si="176"/>
        <v>2799904.041673373</v>
      </c>
      <c r="AK247" s="7">
        <f t="shared" ca="1" si="176"/>
        <v>2904987.92393093</v>
      </c>
      <c r="AL247" s="7">
        <f t="shared" ca="1" si="176"/>
        <v>3014150.0165034966</v>
      </c>
      <c r="AM247" s="7">
        <f t="shared" ca="1" si="176"/>
        <v>3127545.7711672578</v>
      </c>
    </row>
    <row r="248" spans="1:39">
      <c r="A248" s="16" t="s">
        <v>28</v>
      </c>
      <c r="C248" s="7">
        <f ca="1">C240</f>
        <v>1502255.030484352</v>
      </c>
      <c r="D248" s="7">
        <f t="shared" ref="D248:G248" ca="1" si="177">D240</f>
        <v>1601971.8939653663</v>
      </c>
      <c r="E248" s="7">
        <f t="shared" ca="1" si="177"/>
        <v>1684328.4015844876</v>
      </c>
      <c r="F248" s="7">
        <f t="shared" ca="1" si="177"/>
        <v>1802937.006310463</v>
      </c>
      <c r="G248" s="7">
        <f t="shared" ca="1" si="177"/>
        <v>1927421.2402849826</v>
      </c>
      <c r="H248" s="7">
        <f t="shared" ref="H248:I248" ca="1" si="178">H240</f>
        <v>2064953.2124391431</v>
      </c>
      <c r="I248" s="7">
        <f t="shared" ca="1" si="178"/>
        <v>2206605.9587726984</v>
      </c>
      <c r="J248" s="7">
        <f t="shared" ref="J248:AM248" ca="1" si="179">J240</f>
        <v>2336984.315261797</v>
      </c>
      <c r="K248" s="7">
        <f t="shared" ca="1" si="179"/>
        <v>2553696.5652745049</v>
      </c>
      <c r="L248" s="7">
        <f t="shared" ca="1" si="179"/>
        <v>2682201.6501127994</v>
      </c>
      <c r="M248" s="7">
        <f t="shared" ca="1" si="179"/>
        <v>2865811.5072427955</v>
      </c>
      <c r="N248" s="7">
        <f t="shared" ca="1" si="179"/>
        <v>3057997.4271338722</v>
      </c>
      <c r="O248" s="7">
        <f t="shared" ca="1" si="179"/>
        <v>3259115.4112636279</v>
      </c>
      <c r="P248" s="7">
        <f t="shared" ca="1" si="179"/>
        <v>3469535.9434690997</v>
      </c>
      <c r="Q248" s="7">
        <f t="shared" ca="1" si="179"/>
        <v>3689644.6155287321</v>
      </c>
      <c r="R248" s="7">
        <f t="shared" ca="1" si="179"/>
        <v>3919842.7837065398</v>
      </c>
      <c r="S248" s="7">
        <f t="shared" ca="1" si="179"/>
        <v>4054616.0275665605</v>
      </c>
      <c r="T248" s="7">
        <f t="shared" ca="1" si="179"/>
        <v>4202088.2403769335</v>
      </c>
      <c r="U248" s="7">
        <f t="shared" ca="1" si="179"/>
        <v>4355143.7005567988</v>
      </c>
      <c r="V248" s="7">
        <f t="shared" ca="1" si="179"/>
        <v>4514008.5023259325</v>
      </c>
      <c r="W248" s="7">
        <f t="shared" ca="1" si="179"/>
        <v>4678919.0712515805</v>
      </c>
      <c r="X248" s="7">
        <f t="shared" ca="1" si="179"/>
        <v>4829715.8029471757</v>
      </c>
      <c r="Y248" s="7">
        <f t="shared" ca="1" si="179"/>
        <v>4986044.0693058725</v>
      </c>
      <c r="Z248" s="7">
        <f t="shared" ca="1" si="179"/>
        <v>5148136.5207989374</v>
      </c>
      <c r="AA248" s="7">
        <f t="shared" ca="1" si="179"/>
        <v>5316237.3201445313</v>
      </c>
      <c r="AB248" s="7">
        <f t="shared" ca="1" si="179"/>
        <v>5490602.8188040266</v>
      </c>
      <c r="AC248" s="7">
        <f t="shared" ca="1" si="179"/>
        <v>5671502.2791912882</v>
      </c>
      <c r="AD248" s="7">
        <f t="shared" ca="1" si="179"/>
        <v>5869079.3835584801</v>
      </c>
      <c r="AE248" s="7">
        <f t="shared" ca="1" si="179"/>
        <v>6074263.882105805</v>
      </c>
      <c r="AF248" s="7">
        <f t="shared" ca="1" si="179"/>
        <v>6287387.101517546</v>
      </c>
      <c r="AG248" s="7">
        <f t="shared" ca="1" si="179"/>
        <v>6508797.3131371113</v>
      </c>
      <c r="AH248" s="7">
        <f t="shared" ca="1" si="179"/>
        <v>6738860.7590825101</v>
      </c>
      <c r="AI248" s="7">
        <f t="shared" ca="1" si="179"/>
        <v>6977962.7492139079</v>
      </c>
      <c r="AJ248" s="7">
        <f t="shared" ca="1" si="179"/>
        <v>7226508.8342432585</v>
      </c>
      <c r="AK248" s="7">
        <f t="shared" ca="1" si="179"/>
        <v>7484926.0606866907</v>
      </c>
      <c r="AL248" s="7">
        <f t="shared" ca="1" si="179"/>
        <v>7753664.3138034102</v>
      </c>
      <c r="AM248" s="7">
        <f t="shared" ca="1" si="179"/>
        <v>8033197.7551429691</v>
      </c>
    </row>
    <row r="249" spans="1:39">
      <c r="A249" s="4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</row>
    <row r="250" spans="1:39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</row>
    <row r="251" spans="1:39"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</row>
    <row r="252" spans="1:39"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</row>
    <row r="253" spans="1:39"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</row>
    <row r="254" spans="1:39"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</row>
    <row r="255" spans="1:39"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</row>
    <row r="256" spans="1:39"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</row>
    <row r="257" spans="3:39"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</row>
    <row r="258" spans="3:39"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</row>
    <row r="259" spans="3:39"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</row>
    <row r="260" spans="3:39"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</row>
    <row r="261" spans="3:39"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</row>
    <row r="262" spans="3:39"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</row>
    <row r="263" spans="3:39"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</row>
    <row r="264" spans="3:39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</row>
    <row r="265" spans="3:39"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</row>
    <row r="266" spans="3:39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</row>
    <row r="267" spans="3:39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</row>
    <row r="268" spans="3:39"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</row>
    <row r="269" spans="3:39"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</row>
    <row r="270" spans="3:39"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</row>
    <row r="271" spans="3:39"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</row>
    <row r="272" spans="3:39"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</row>
    <row r="273" spans="3:39"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</row>
    <row r="274" spans="3:39"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</row>
    <row r="275" spans="3:39"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</row>
    <row r="276" spans="3:39"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</row>
    <row r="277" spans="3:39"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</row>
    <row r="278" spans="3:39"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</row>
    <row r="279" spans="3:39"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</row>
    <row r="280" spans="3:39"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</row>
    <row r="281" spans="3:39"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</row>
    <row r="282" spans="3:39"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 spans="3:39"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3:39"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 spans="3:39"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</row>
    <row r="286" spans="3:39"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</row>
    <row r="287" spans="3:39"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</row>
    <row r="288" spans="3:39"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</row>
    <row r="289" spans="3:39"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</row>
    <row r="290" spans="3:39"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</row>
    <row r="291" spans="3:39"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</row>
    <row r="292" spans="3:39"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</row>
    <row r="293" spans="3:39"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</row>
    <row r="294" spans="3:39"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</row>
    <row r="295" spans="3:39"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</row>
    <row r="296" spans="3:39"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</row>
    <row r="297" spans="3:39"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</row>
    <row r="298" spans="3:39"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</row>
    <row r="299" spans="3:39"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</row>
    <row r="300" spans="3:39"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</row>
    <row r="301" spans="3:39"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</row>
    <row r="302" spans="3:39"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</row>
    <row r="303" spans="3:39"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</row>
    <row r="304" spans="3:39"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</row>
    <row r="305" spans="3:39"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</row>
    <row r="306" spans="3:39"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</row>
    <row r="307" spans="3:39"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</row>
    <row r="308" spans="3:39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</row>
    <row r="309" spans="3:39"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</row>
    <row r="310" spans="3:39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</row>
    <row r="311" spans="3:39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</row>
    <row r="312" spans="3:39"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</row>
    <row r="313" spans="3:39"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</row>
    <row r="314" spans="3:39"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</row>
    <row r="315" spans="3:39"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</row>
    <row r="316" spans="3:39"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</row>
    <row r="317" spans="3:39"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</row>
    <row r="318" spans="3:39"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</row>
    <row r="319" spans="3:39"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</row>
    <row r="320" spans="3:39"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</row>
    <row r="321" spans="3:39"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</row>
    <row r="322" spans="3:39"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</row>
    <row r="323" spans="3:39"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</row>
    <row r="324" spans="3:39"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</row>
    <row r="325" spans="3:39"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</row>
    <row r="326" spans="3:39"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</row>
    <row r="327" spans="3:39"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</row>
    <row r="328" spans="3:39"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</row>
    <row r="329" spans="3:39"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</row>
    <row r="330" spans="3:39"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</row>
    <row r="331" spans="3:39"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</row>
    <row r="332" spans="3:39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</row>
    <row r="333" spans="3:39"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</row>
    <row r="334" spans="3:39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</row>
    <row r="335" spans="3:39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</row>
    <row r="336" spans="3:39"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3:39"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</row>
    <row r="338" spans="3:39"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</row>
    <row r="339" spans="3:39"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</row>
    <row r="340" spans="3:39"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</row>
    <row r="341" spans="3:39"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</row>
    <row r="342" spans="3:39"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</row>
    <row r="343" spans="3:39"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</row>
    <row r="344" spans="3:39"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</row>
    <row r="345" spans="3:39"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</row>
    <row r="346" spans="3:39"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</row>
    <row r="347" spans="3:39"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</row>
    <row r="348" spans="3:39"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</row>
    <row r="349" spans="3:39"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</row>
    <row r="350" spans="3:39"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</row>
    <row r="351" spans="3:39"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</row>
    <row r="352" spans="3:39"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</row>
    <row r="353" spans="3:39"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</row>
    <row r="354" spans="3:39"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</row>
    <row r="355" spans="3:39"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</row>
    <row r="356" spans="3:39"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</row>
    <row r="357" spans="3:39"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</row>
    <row r="358" spans="3:39"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</row>
    <row r="359" spans="3:39"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</row>
    <row r="360" spans="3:39"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</row>
    <row r="361" spans="3:39"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</row>
    <row r="362" spans="3:39"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</row>
    <row r="363" spans="3:39"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</row>
    <row r="364" spans="3:39"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</row>
    <row r="365" spans="3:39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</row>
    <row r="366" spans="3:39"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</row>
    <row r="367" spans="3:39"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</row>
    <row r="368" spans="3:39"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</row>
    <row r="369" spans="3:39"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3:39"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</row>
    <row r="371" spans="3:39"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</row>
    <row r="372" spans="3:39"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3:39"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</row>
    <row r="374" spans="3:39"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</row>
    <row r="375" spans="3:39"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</row>
    <row r="376" spans="3:39"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</row>
    <row r="377" spans="3:39"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</row>
    <row r="378" spans="3:39"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</row>
    <row r="379" spans="3:39"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</row>
    <row r="380" spans="3:39"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</row>
    <row r="381" spans="3:39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 spans="3:39"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</row>
    <row r="383" spans="3:39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</row>
    <row r="384" spans="3:39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 spans="3:39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</row>
    <row r="386" spans="3:39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 spans="3:39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3:39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3:39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3:39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3:39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3:39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3:39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3:39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4D0C-8E54-FD49-9F91-8069ED82671C}">
  <sheetPr codeName="Sheet5"/>
  <dimension ref="A1:AM394"/>
  <sheetViews>
    <sheetView tabSelected="1" zoomScale="110" zoomScaleNormal="110" workbookViewId="0">
      <pane xSplit="1" ySplit="3" topLeftCell="Z205" activePane="bottomRight" state="frozen"/>
      <selection activeCell="A241" sqref="A241:XFD242"/>
      <selection pane="topRight" activeCell="A241" sqref="A241:XFD242"/>
      <selection pane="bottomLeft" activeCell="A241" sqref="A241:XFD242"/>
      <selection pane="bottomRight" activeCell="AM8" sqref="AM8:AM12"/>
    </sheetView>
  </sheetViews>
  <sheetFormatPr baseColWidth="10" defaultRowHeight="16"/>
  <cols>
    <col min="1" max="1" width="39.33203125" style="2" customWidth="1"/>
    <col min="2" max="2" width="4.33203125" style="6" customWidth="1"/>
    <col min="3" max="39" width="11.83203125" style="2" customWidth="1"/>
    <col min="40" max="78" width="11.83203125" customWidth="1"/>
  </cols>
  <sheetData>
    <row r="1" spans="1:39">
      <c r="B1" s="5">
        <v>0</v>
      </c>
      <c r="C1" s="2">
        <v>1</v>
      </c>
      <c r="D1" s="2">
        <f>C1+1</f>
        <v>2</v>
      </c>
      <c r="E1" s="2">
        <f t="shared" ref="E1:H3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ref="I1:I3" si="1">H1+1</f>
        <v>7</v>
      </c>
      <c r="J1" s="2">
        <f t="shared" ref="J1:J3" si="2">I1+1</f>
        <v>8</v>
      </c>
      <c r="K1" s="2">
        <f t="shared" ref="K1:K3" si="3">J1+1</f>
        <v>9</v>
      </c>
      <c r="L1" s="2">
        <f t="shared" ref="L1:L3" si="4">K1+1</f>
        <v>10</v>
      </c>
      <c r="M1" s="2">
        <f t="shared" ref="M1:M3" si="5">L1+1</f>
        <v>11</v>
      </c>
      <c r="N1" s="2">
        <f t="shared" ref="N1:N3" si="6">M1+1</f>
        <v>12</v>
      </c>
      <c r="O1" s="2">
        <f t="shared" ref="O1:O3" si="7">N1+1</f>
        <v>13</v>
      </c>
      <c r="P1" s="2">
        <f t="shared" ref="P1:P3" si="8">O1+1</f>
        <v>14</v>
      </c>
      <c r="Q1" s="2">
        <f t="shared" ref="Q1:Q3" si="9">P1+1</f>
        <v>15</v>
      </c>
      <c r="R1" s="2">
        <f t="shared" ref="R1:R3" si="10">Q1+1</f>
        <v>16</v>
      </c>
      <c r="S1" s="2">
        <f t="shared" ref="S1:S3" si="11">R1+1</f>
        <v>17</v>
      </c>
      <c r="T1" s="2">
        <f t="shared" ref="T1:T3" si="12">S1+1</f>
        <v>18</v>
      </c>
      <c r="U1" s="2">
        <f t="shared" ref="U1:U3" si="13">T1+1</f>
        <v>19</v>
      </c>
      <c r="V1" s="2">
        <f t="shared" ref="V1:V3" si="14">U1+1</f>
        <v>20</v>
      </c>
      <c r="W1" s="2">
        <f t="shared" ref="W1:W3" si="15">V1+1</f>
        <v>21</v>
      </c>
      <c r="X1" s="2">
        <f t="shared" ref="X1:X3" si="16">W1+1</f>
        <v>22</v>
      </c>
      <c r="Y1" s="2">
        <f t="shared" ref="Y1:Y3" si="17">X1+1</f>
        <v>23</v>
      </c>
      <c r="Z1" s="2">
        <f t="shared" ref="Z1:Z3" si="18">Y1+1</f>
        <v>24</v>
      </c>
      <c r="AA1" s="2">
        <f t="shared" ref="AA1:AA3" si="19">Z1+1</f>
        <v>25</v>
      </c>
      <c r="AB1" s="2">
        <f t="shared" ref="AB1:AB3" si="20">AA1+1</f>
        <v>26</v>
      </c>
      <c r="AC1" s="2">
        <f t="shared" ref="AC1:AC3" si="21">AB1+1</f>
        <v>27</v>
      </c>
      <c r="AD1" s="2">
        <f t="shared" ref="AD1:AD3" si="22">AC1+1</f>
        <v>28</v>
      </c>
      <c r="AE1" s="2">
        <f t="shared" ref="AE1:AE3" si="23">AD1+1</f>
        <v>29</v>
      </c>
      <c r="AF1" s="2">
        <f t="shared" ref="AF1:AF3" si="24">AE1+1</f>
        <v>30</v>
      </c>
      <c r="AG1" s="2">
        <f t="shared" ref="AG1:AG3" si="25">AF1+1</f>
        <v>31</v>
      </c>
      <c r="AH1" s="2">
        <f t="shared" ref="AH1:AH3" si="26">AG1+1</f>
        <v>32</v>
      </c>
      <c r="AI1" s="2">
        <f t="shared" ref="AI1:AI3" si="27">AH1+1</f>
        <v>33</v>
      </c>
      <c r="AJ1" s="2">
        <f t="shared" ref="AJ1:AJ3" si="28">AI1+1</f>
        <v>34</v>
      </c>
      <c r="AK1" s="2">
        <f t="shared" ref="AK1:AK3" si="29">AJ1+1</f>
        <v>35</v>
      </c>
      <c r="AL1" s="2">
        <f t="shared" ref="AL1:AL3" si="30">AK1+1</f>
        <v>36</v>
      </c>
      <c r="AM1" s="2">
        <f t="shared" ref="AM1:AM3" si="31">AL1+1</f>
        <v>37</v>
      </c>
    </row>
    <row r="2" spans="1:39">
      <c r="A2" s="10"/>
      <c r="B2" s="5" t="s">
        <v>6</v>
      </c>
      <c r="C2" s="2">
        <f ca="1">YEAR(TODAY())+1</f>
        <v>2027</v>
      </c>
      <c r="D2" s="2">
        <f ca="1">C2+1</f>
        <v>2028</v>
      </c>
      <c r="E2" s="2">
        <f t="shared" ca="1" si="0"/>
        <v>2029</v>
      </c>
      <c r="F2" s="2">
        <f t="shared" ca="1" si="0"/>
        <v>2030</v>
      </c>
      <c r="G2" s="2">
        <f t="shared" ca="1" si="0"/>
        <v>2031</v>
      </c>
      <c r="H2" s="2">
        <f t="shared" ca="1" si="0"/>
        <v>2032</v>
      </c>
      <c r="I2" s="2">
        <f t="shared" ca="1" si="1"/>
        <v>2033</v>
      </c>
      <c r="J2" s="2">
        <f t="shared" ca="1" si="2"/>
        <v>2034</v>
      </c>
      <c r="K2" s="2">
        <f t="shared" ca="1" si="3"/>
        <v>2035</v>
      </c>
      <c r="L2" s="2">
        <f t="shared" ca="1" si="4"/>
        <v>2036</v>
      </c>
      <c r="M2" s="2">
        <f t="shared" ca="1" si="5"/>
        <v>2037</v>
      </c>
      <c r="N2" s="2">
        <f t="shared" ca="1" si="6"/>
        <v>2038</v>
      </c>
      <c r="O2" s="2">
        <f t="shared" ca="1" si="7"/>
        <v>2039</v>
      </c>
      <c r="P2" s="2">
        <f t="shared" ca="1" si="8"/>
        <v>2040</v>
      </c>
      <c r="Q2" s="2">
        <f t="shared" ca="1" si="9"/>
        <v>2041</v>
      </c>
      <c r="R2" s="2">
        <f t="shared" ca="1" si="10"/>
        <v>2042</v>
      </c>
      <c r="S2" s="2">
        <f t="shared" ca="1" si="11"/>
        <v>2043</v>
      </c>
      <c r="T2" s="2">
        <f t="shared" ca="1" si="12"/>
        <v>2044</v>
      </c>
      <c r="U2" s="2">
        <f t="shared" ca="1" si="13"/>
        <v>2045</v>
      </c>
      <c r="V2" s="2">
        <f t="shared" ca="1" si="14"/>
        <v>2046</v>
      </c>
      <c r="W2" s="2">
        <f t="shared" ca="1" si="15"/>
        <v>2047</v>
      </c>
      <c r="X2" s="2">
        <f t="shared" ca="1" si="16"/>
        <v>2048</v>
      </c>
      <c r="Y2" s="2">
        <f t="shared" ca="1" si="17"/>
        <v>2049</v>
      </c>
      <c r="Z2" s="2">
        <f t="shared" ca="1" si="18"/>
        <v>2050</v>
      </c>
      <c r="AA2" s="2">
        <f t="shared" ca="1" si="19"/>
        <v>2051</v>
      </c>
      <c r="AB2" s="2">
        <f t="shared" ca="1" si="20"/>
        <v>2052</v>
      </c>
      <c r="AC2" s="2">
        <f t="shared" ca="1" si="21"/>
        <v>2053</v>
      </c>
      <c r="AD2" s="2">
        <f t="shared" ca="1" si="22"/>
        <v>2054</v>
      </c>
      <c r="AE2" s="2">
        <f t="shared" ca="1" si="23"/>
        <v>2055</v>
      </c>
      <c r="AF2" s="2">
        <f t="shared" ca="1" si="24"/>
        <v>2056</v>
      </c>
      <c r="AG2" s="2">
        <f t="shared" ca="1" si="25"/>
        <v>2057</v>
      </c>
      <c r="AH2" s="2">
        <f t="shared" ca="1" si="26"/>
        <v>2058</v>
      </c>
      <c r="AI2" s="2">
        <f t="shared" ca="1" si="27"/>
        <v>2059</v>
      </c>
      <c r="AJ2" s="2">
        <f t="shared" ca="1" si="28"/>
        <v>2060</v>
      </c>
      <c r="AK2" s="2">
        <f t="shared" ca="1" si="29"/>
        <v>2061</v>
      </c>
      <c r="AL2" s="2">
        <f t="shared" ca="1" si="30"/>
        <v>2062</v>
      </c>
      <c r="AM2" s="2">
        <f t="shared" ca="1" si="31"/>
        <v>2063</v>
      </c>
    </row>
    <row r="3" spans="1:39">
      <c r="A3" s="31"/>
      <c r="B3" s="32">
        <v>51</v>
      </c>
      <c r="C3" s="2">
        <f>Inputs!B4+1</f>
        <v>49</v>
      </c>
      <c r="D3" s="2">
        <f>C3+1</f>
        <v>50</v>
      </c>
      <c r="E3" s="2">
        <f t="shared" si="0"/>
        <v>51</v>
      </c>
      <c r="F3" s="2">
        <f t="shared" si="0"/>
        <v>52</v>
      </c>
      <c r="G3" s="2">
        <f t="shared" si="0"/>
        <v>53</v>
      </c>
      <c r="H3" s="2">
        <f t="shared" si="0"/>
        <v>54</v>
      </c>
      <c r="I3" s="2">
        <f t="shared" si="1"/>
        <v>55</v>
      </c>
      <c r="J3" s="2">
        <f t="shared" si="2"/>
        <v>56</v>
      </c>
      <c r="K3" s="2">
        <f t="shared" si="3"/>
        <v>57</v>
      </c>
      <c r="L3" s="2">
        <f t="shared" si="4"/>
        <v>58</v>
      </c>
      <c r="M3" s="2">
        <f t="shared" si="5"/>
        <v>59</v>
      </c>
      <c r="N3" s="2">
        <f t="shared" si="6"/>
        <v>60</v>
      </c>
      <c r="O3" s="2">
        <f t="shared" si="7"/>
        <v>61</v>
      </c>
      <c r="P3" s="2">
        <f t="shared" si="8"/>
        <v>62</v>
      </c>
      <c r="Q3" s="2">
        <f t="shared" si="9"/>
        <v>63</v>
      </c>
      <c r="R3" s="2">
        <f t="shared" si="10"/>
        <v>64</v>
      </c>
      <c r="S3" s="2">
        <f t="shared" si="11"/>
        <v>65</v>
      </c>
      <c r="T3" s="2">
        <f t="shared" si="12"/>
        <v>66</v>
      </c>
      <c r="U3" s="2">
        <f t="shared" si="13"/>
        <v>67</v>
      </c>
      <c r="V3" s="2">
        <f t="shared" si="14"/>
        <v>68</v>
      </c>
      <c r="W3" s="2">
        <f t="shared" si="15"/>
        <v>69</v>
      </c>
      <c r="X3" s="2">
        <f t="shared" si="16"/>
        <v>70</v>
      </c>
      <c r="Y3" s="2">
        <f t="shared" si="17"/>
        <v>71</v>
      </c>
      <c r="Z3" s="2">
        <f t="shared" si="18"/>
        <v>72</v>
      </c>
      <c r="AA3" s="2">
        <f t="shared" si="19"/>
        <v>73</v>
      </c>
      <c r="AB3" s="2">
        <f t="shared" si="20"/>
        <v>74</v>
      </c>
      <c r="AC3" s="2">
        <f t="shared" si="21"/>
        <v>75</v>
      </c>
      <c r="AD3" s="2">
        <f t="shared" si="22"/>
        <v>76</v>
      </c>
      <c r="AE3" s="2">
        <f t="shared" si="23"/>
        <v>77</v>
      </c>
      <c r="AF3" s="2">
        <f t="shared" si="24"/>
        <v>78</v>
      </c>
      <c r="AG3" s="2">
        <f t="shared" si="25"/>
        <v>79</v>
      </c>
      <c r="AH3" s="2">
        <f t="shared" si="26"/>
        <v>80</v>
      </c>
      <c r="AI3" s="2">
        <f t="shared" si="27"/>
        <v>81</v>
      </c>
      <c r="AJ3" s="2">
        <f t="shared" si="28"/>
        <v>82</v>
      </c>
      <c r="AK3" s="2">
        <f t="shared" si="29"/>
        <v>83</v>
      </c>
      <c r="AL3" s="2">
        <f t="shared" si="30"/>
        <v>84</v>
      </c>
      <c r="AM3" s="2">
        <f t="shared" si="31"/>
        <v>85</v>
      </c>
    </row>
    <row r="4" spans="1:39" ht="19">
      <c r="A4" s="12" t="s">
        <v>17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>
      <c r="A5" s="4" t="s">
        <v>47</v>
      </c>
      <c r="B5" s="8"/>
      <c r="C5" s="7">
        <f>IF(AND(Inputs!$B$19&gt;C3,$B$3&gt;C3),Inputs!$B$6*(1+sincr)^B1,0)</f>
        <v>80000</v>
      </c>
      <c r="D5" s="7">
        <f>IF(AND(Inputs!$B$19&gt;D3,$B$3&gt;D3),Inputs!$B$6*(1+sincr)^C1,0)</f>
        <v>82400</v>
      </c>
      <c r="E5" s="7">
        <f>IF(AND(Inputs!$B$19&gt;E3,$B$3&gt;E3),Inputs!$B$6*(1+sincr)^D1,0)</f>
        <v>0</v>
      </c>
      <c r="F5" s="7">
        <f>IF(AND(Inputs!$B$19&gt;F3,$B$3&gt;F3),Inputs!$B$6*(1+sincr)^E1,0)</f>
        <v>0</v>
      </c>
      <c r="G5" s="7">
        <f>IF(AND(Inputs!$B$19&gt;G3,$B$3&gt;G3),Inputs!$B$6*(1+sincr)^F1,0)</f>
        <v>0</v>
      </c>
      <c r="H5" s="7">
        <f>IF(AND(Inputs!$B$19&gt;H3,$B$3&gt;H3),Inputs!$B$6*(1+sincr)^G1,0)</f>
        <v>0</v>
      </c>
      <c r="I5" s="7">
        <f>IF(AND(Inputs!$B$19&gt;I3,$B$3&gt;I3),Inputs!$B$6*(1+sincr)^H1,0)</f>
        <v>0</v>
      </c>
      <c r="J5" s="7">
        <f>IF(AND(Inputs!$B$19&gt;J3,$B$3&gt;J3),Inputs!$B$6*(1+sincr)^I1,0)</f>
        <v>0</v>
      </c>
      <c r="K5" s="7">
        <f>IF(AND(Inputs!$B$19&gt;K3,$B$3&gt;K3),Inputs!$B$6*(1+sincr)^J1,0)</f>
        <v>0</v>
      </c>
      <c r="L5" s="7">
        <f>IF(AND(Inputs!$B$19&gt;L3,$B$3&gt;L3),Inputs!$B$6*(1+sincr)^K1,0)</f>
        <v>0</v>
      </c>
      <c r="M5" s="7">
        <f>IF(AND(Inputs!$B$19&gt;M3,$B$3&gt;M3),Inputs!$B$6*(1+sincr)^L1,0)</f>
        <v>0</v>
      </c>
      <c r="N5" s="7">
        <f>IF(AND(Inputs!$B$19&gt;N3,$B$3&gt;N3),Inputs!$B$6*(1+sincr)^M1,0)</f>
        <v>0</v>
      </c>
      <c r="O5" s="7">
        <f>IF(AND(Inputs!$B$19&gt;O3,$B$3&gt;O3),Inputs!$B$6*(1+sincr)^N1,0)</f>
        <v>0</v>
      </c>
      <c r="P5" s="7">
        <f>IF(AND(Inputs!$B$19&gt;P3,$B$3&gt;P3),Inputs!$B$6*(1+sincr)^O1,0)</f>
        <v>0</v>
      </c>
      <c r="Q5" s="7">
        <f>IF(AND(Inputs!$B$19&gt;Q3,$B$3&gt;Q3),Inputs!$B$6*(1+sincr)^P1,0)</f>
        <v>0</v>
      </c>
      <c r="R5" s="7">
        <f>IF(AND(Inputs!$B$19&gt;R3,$B$3&gt;R3),Inputs!$B$6*(1+sincr)^Q1,0)</f>
        <v>0</v>
      </c>
      <c r="S5" s="7">
        <f>IF(AND(Inputs!$B$19&gt;S3,$B$3&gt;S3),Inputs!$B$6*(1+sincr)^R1,0)</f>
        <v>0</v>
      </c>
      <c r="T5" s="7">
        <f>IF(AND(Inputs!$B$19&gt;T3,$B$3&gt;T3),Inputs!$B$6*(1+sincr)^S1,0)</f>
        <v>0</v>
      </c>
      <c r="U5" s="7">
        <f>IF(AND(Inputs!$B$19&gt;U3,$B$3&gt;U3),Inputs!$B$6*(1+sincr)^T1,0)</f>
        <v>0</v>
      </c>
      <c r="V5" s="7">
        <f>IF(AND(Inputs!$B$19&gt;V3,$B$3&gt;V3),Inputs!$B$6*(1+sincr)^U1,0)</f>
        <v>0</v>
      </c>
      <c r="W5" s="7">
        <f>IF(AND(Inputs!$B$19&gt;W3,$B$3&gt;W3),Inputs!$B$6*(1+sincr)^V1,0)</f>
        <v>0</v>
      </c>
      <c r="X5" s="7">
        <f>IF(AND(Inputs!$B$19&gt;X3,$B$3&gt;X3),Inputs!$B$6*(1+sincr)^W1,0)</f>
        <v>0</v>
      </c>
      <c r="Y5" s="7">
        <f>IF(AND(Inputs!$B$19&gt;Y3,$B$3&gt;Y3),Inputs!$B$6*(1+sincr)^X1,0)</f>
        <v>0</v>
      </c>
      <c r="Z5" s="7">
        <f>IF(AND(Inputs!$B$19&gt;Z3,$B$3&gt;Z3),Inputs!$B$6*(1+sincr)^Y1,0)</f>
        <v>0</v>
      </c>
      <c r="AA5" s="7">
        <f>IF(AND(Inputs!$B$19&gt;AA3,$B$3&gt;AA3),Inputs!$B$6*(1+sincr)^Z1,0)</f>
        <v>0</v>
      </c>
      <c r="AB5" s="7">
        <f>IF(AND(Inputs!$B$19&gt;AB3,$B$3&gt;AB3),Inputs!$B$6*(1+sincr)^AA1,0)</f>
        <v>0</v>
      </c>
      <c r="AC5" s="7">
        <f>IF(AND(Inputs!$B$19&gt;AC3,$B$3&gt;AC3),Inputs!$B$6*(1+sincr)^AB1,0)</f>
        <v>0</v>
      </c>
      <c r="AD5" s="7">
        <f>IF(AND(Inputs!$B$19&gt;AD3,$B$3&gt;AD3),Inputs!$B$6*(1+sincr)^AC1,0)</f>
        <v>0</v>
      </c>
      <c r="AE5" s="7">
        <f>IF(AND(Inputs!$B$19&gt;AE3,$B$3&gt;AE3),Inputs!$B$6*(1+sincr)^AD1,0)</f>
        <v>0</v>
      </c>
      <c r="AF5" s="7">
        <f>IF(AND(Inputs!$B$19&gt;AF3,$B$3&gt;AF3),Inputs!$B$6*(1+sincr)^AE1,0)</f>
        <v>0</v>
      </c>
      <c r="AG5" s="7">
        <f>IF(AND(Inputs!$B$19&gt;AG3,$B$3&gt;AG3),Inputs!$B$6*(1+sincr)^AF1,0)</f>
        <v>0</v>
      </c>
      <c r="AH5" s="7">
        <f>IF(AND(Inputs!$B$19&gt;AH3,$B$3&gt;AH3),Inputs!$B$6*(1+sincr)^AG1,0)</f>
        <v>0</v>
      </c>
      <c r="AI5" s="7">
        <f>IF(AND(Inputs!$B$19&gt;AI3,$B$3&gt;AI3),Inputs!$B$6*(1+sincr)^AH1,0)</f>
        <v>0</v>
      </c>
      <c r="AJ5" s="7">
        <f>IF(AND(Inputs!$B$19&gt;AJ3,$B$3&gt;AJ3),Inputs!$B$6*(1+sincr)^AI1,0)</f>
        <v>0</v>
      </c>
      <c r="AK5" s="7">
        <f>IF(AND(Inputs!$B$19&gt;AK3,$B$3&gt;AK3),Inputs!$B$6*(1+sincr)^AJ1,0)</f>
        <v>0</v>
      </c>
      <c r="AL5" s="7">
        <f>IF(AND(Inputs!$B$19&gt;AL3,$B$3&gt;AL3),Inputs!$B$6*(1+sincr)^AK1,0)</f>
        <v>0</v>
      </c>
      <c r="AM5" s="7">
        <f>IF(AND(Inputs!$B$19&gt;AM3,$B$3&gt;AM3),Inputs!$B$6*(1+sincr)^AL1,0)</f>
        <v>0</v>
      </c>
    </row>
    <row r="6" spans="1:39">
      <c r="A6" s="4" t="s">
        <v>14</v>
      </c>
      <c r="B6" s="8"/>
      <c r="C6" s="7">
        <f>IF(C$3&lt;=Inputs!$B$93,Inputs!$B$92,0)*(1+inf)^B$1</f>
        <v>2000</v>
      </c>
      <c r="D6" s="7">
        <f>IF(D$3&lt;=Inputs!$B$93,Inputs!$B$92,0)*(1+inf)^C$1</f>
        <v>2050</v>
      </c>
      <c r="E6" s="7">
        <f>IF(E$3&lt;=Inputs!$B$93,Inputs!$B$92,0)*(1+inf)^D$1</f>
        <v>2101.25</v>
      </c>
      <c r="F6" s="7">
        <f>IF(F$3&lt;=Inputs!$B$93,Inputs!$B$92,0)*(1+inf)^E$1</f>
        <v>2153.7812499999995</v>
      </c>
      <c r="G6" s="7">
        <f>IF(G$3&lt;=Inputs!$B$93,Inputs!$B$92,0)*(1+inf)^F$1</f>
        <v>2207.6257812499994</v>
      </c>
      <c r="H6" s="7">
        <f>IF(H$3&lt;=Inputs!$B$93,Inputs!$B$92,0)*(1+inf)^G$1</f>
        <v>2262.8164257812491</v>
      </c>
      <c r="I6" s="7">
        <f>IF(I$3&lt;=Inputs!$B$93,Inputs!$B$92,0)*(1+inf)^H$1</f>
        <v>2319.3868364257805</v>
      </c>
      <c r="J6" s="7">
        <f>IF(J$3&lt;=Inputs!$B$93,Inputs!$B$92,0)*(1+inf)^I$1</f>
        <v>2377.3715073364251</v>
      </c>
      <c r="K6" s="7">
        <f>IF(K$3&lt;=Inputs!$B$93,Inputs!$B$92,0)*(1+inf)^J$1</f>
        <v>2436.8057950198354</v>
      </c>
      <c r="L6" s="7">
        <f>IF(L$3&lt;=Inputs!$B$93,Inputs!$B$92,0)*(1+inf)^K$1</f>
        <v>2497.7259398953311</v>
      </c>
      <c r="M6" s="7">
        <f>IF(M$3&lt;=Inputs!$B$93,Inputs!$B$92,0)*(1+inf)^L$1</f>
        <v>0</v>
      </c>
      <c r="N6" s="7">
        <f>IF(N$3&lt;=Inputs!$B$93,Inputs!$B$92,0)*(1+inf)^M$1</f>
        <v>0</v>
      </c>
      <c r="O6" s="7">
        <f>IF(O$3&lt;=Inputs!$B$93,Inputs!$B$92,0)*(1+inf)^N$1</f>
        <v>0</v>
      </c>
      <c r="P6" s="7">
        <f>IF(P$3&lt;=Inputs!$B$93,Inputs!$B$92,0)*(1+inf)^O$1</f>
        <v>0</v>
      </c>
      <c r="Q6" s="7">
        <f>IF(Q$3&lt;=Inputs!$B$93,Inputs!$B$92,0)*(1+inf)^P$1</f>
        <v>0</v>
      </c>
      <c r="R6" s="7">
        <f>IF(R$3&lt;=Inputs!$B$93,Inputs!$B$92,0)*(1+inf)^Q$1</f>
        <v>0</v>
      </c>
      <c r="S6" s="7">
        <f>IF(S$3&lt;=Inputs!$B$93,Inputs!$B$92,0)*(1+inf)^R$1</f>
        <v>0</v>
      </c>
      <c r="T6" s="7">
        <f>IF(T$3&lt;=Inputs!$B$93,Inputs!$B$92,0)*(1+inf)^S$1</f>
        <v>0</v>
      </c>
      <c r="U6" s="7">
        <f>IF(U$3&lt;=Inputs!$B$93,Inputs!$B$92,0)*(1+inf)^T$1</f>
        <v>0</v>
      </c>
      <c r="V6" s="7">
        <f>IF(V$3&lt;=Inputs!$B$93,Inputs!$B$92,0)*(1+inf)^U$1</f>
        <v>0</v>
      </c>
      <c r="W6" s="7">
        <f>IF(W$3&lt;=Inputs!$B$93,Inputs!$B$92,0)*(1+inf)^V$1</f>
        <v>0</v>
      </c>
      <c r="X6" s="7">
        <f>IF(X$3&lt;=Inputs!$B$93,Inputs!$B$92,0)*(1+inf)^W$1</f>
        <v>0</v>
      </c>
      <c r="Y6" s="7">
        <f>IF(Y$3&lt;=Inputs!$B$93,Inputs!$B$92,0)*(1+inf)^X$1</f>
        <v>0</v>
      </c>
      <c r="Z6" s="7">
        <f>IF(Z$3&lt;=Inputs!$B$93,Inputs!$B$92,0)*(1+inf)^Y$1</f>
        <v>0</v>
      </c>
      <c r="AA6" s="7">
        <f>IF(AA$3&lt;=Inputs!$B$93,Inputs!$B$92,0)*(1+inf)^Z$1</f>
        <v>0</v>
      </c>
      <c r="AB6" s="7">
        <f>IF(AB$3&lt;=Inputs!$B$93,Inputs!$B$92,0)*(1+inf)^AA$1</f>
        <v>0</v>
      </c>
      <c r="AC6" s="7">
        <f>IF(AC$3&lt;=Inputs!$B$93,Inputs!$B$92,0)*(1+inf)^AB$1</f>
        <v>0</v>
      </c>
      <c r="AD6" s="7">
        <f>IF(AD$3&lt;=Inputs!$B$93,Inputs!$B$92,0)*(1+inf)^AC$1</f>
        <v>0</v>
      </c>
      <c r="AE6" s="7">
        <f>IF(AE$3&lt;=Inputs!$B$93,Inputs!$B$92,0)*(1+inf)^AD$1</f>
        <v>0</v>
      </c>
      <c r="AF6" s="7">
        <f>IF(AF$3&lt;=Inputs!$B$93,Inputs!$B$92,0)*(1+inf)^AE$1</f>
        <v>0</v>
      </c>
      <c r="AG6" s="7">
        <f>IF(AG$3&lt;=Inputs!$B$93,Inputs!$B$92,0)*(1+inf)^AF$1</f>
        <v>0</v>
      </c>
      <c r="AH6" s="7">
        <f>IF(AH$3&lt;=Inputs!$B$93,Inputs!$B$92,0)*(1+inf)^AG$1</f>
        <v>0</v>
      </c>
      <c r="AI6" s="7">
        <f>IF(AI$3&lt;=Inputs!$B$93,Inputs!$B$92,0)*(1+inf)^AH$1</f>
        <v>0</v>
      </c>
      <c r="AJ6" s="7">
        <f>IF(AJ$3&lt;=Inputs!$B$93,Inputs!$B$92,0)*(1+inf)^AI$1</f>
        <v>0</v>
      </c>
      <c r="AK6" s="7">
        <f>IF(AK$3&lt;=Inputs!$B$93,Inputs!$B$92,0)*(1+inf)^AJ$1</f>
        <v>0</v>
      </c>
      <c r="AL6" s="7">
        <f>IF(AL$3&lt;=Inputs!$B$93,Inputs!$B$92,0)*(1+inf)^AK$1</f>
        <v>0</v>
      </c>
      <c r="AM6" s="7">
        <f>IF(AM$3&lt;=Inputs!$B$93,Inputs!$B$92,0)*(1+inf)^AL$1</f>
        <v>0</v>
      </c>
    </row>
    <row r="7" spans="1:39">
      <c r="A7" s="4" t="s">
        <v>70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>
      <c r="A8" s="3" t="str">
        <f>TEXT(Inputs!$B$60,"")</f>
        <v>Sliema</v>
      </c>
      <c r="C8" s="7">
        <f>Inputs!B86</f>
        <v>12000</v>
      </c>
      <c r="D8" s="7">
        <f t="shared" ref="D8:S12" si="32">C8*(1+rinc)</f>
        <v>12360</v>
      </c>
      <c r="E8" s="7">
        <f t="shared" si="32"/>
        <v>12730.800000000001</v>
      </c>
      <c r="F8" s="7">
        <f t="shared" si="32"/>
        <v>13112.724000000002</v>
      </c>
      <c r="G8" s="7">
        <f t="shared" si="32"/>
        <v>13506.105720000003</v>
      </c>
      <c r="H8" s="7">
        <f t="shared" si="32"/>
        <v>13911.288891600003</v>
      </c>
      <c r="I8" s="7">
        <f t="shared" si="32"/>
        <v>14328.627558348004</v>
      </c>
      <c r="J8" s="7">
        <f t="shared" si="32"/>
        <v>14758.486385098444</v>
      </c>
      <c r="K8" s="7">
        <f t="shared" si="32"/>
        <v>15201.240976651397</v>
      </c>
      <c r="L8" s="7">
        <f t="shared" si="32"/>
        <v>15657.278205950939</v>
      </c>
      <c r="M8" s="7">
        <f t="shared" si="32"/>
        <v>16126.996552129467</v>
      </c>
      <c r="N8" s="7">
        <f t="shared" si="32"/>
        <v>16610.806448693351</v>
      </c>
      <c r="O8" s="7">
        <f t="shared" si="32"/>
        <v>17109.130642154152</v>
      </c>
      <c r="P8" s="7">
        <f t="shared" si="32"/>
        <v>17622.404561418778</v>
      </c>
      <c r="Q8" s="7">
        <f t="shared" si="32"/>
        <v>18151.076698261342</v>
      </c>
      <c r="R8" s="7">
        <f t="shared" si="32"/>
        <v>18695.608999209184</v>
      </c>
      <c r="S8" s="7">
        <f t="shared" si="32"/>
        <v>19256.47726918546</v>
      </c>
      <c r="T8" s="7">
        <f t="shared" ref="T8:AI12" si="33">S8*(1+rinc)</f>
        <v>19834.171587261026</v>
      </c>
      <c r="U8" s="7">
        <f t="shared" si="33"/>
        <v>20429.196734878857</v>
      </c>
      <c r="V8" s="7">
        <f t="shared" si="33"/>
        <v>21042.072636925222</v>
      </c>
      <c r="W8" s="7">
        <f t="shared" si="33"/>
        <v>21673.334816032981</v>
      </c>
      <c r="X8" s="7">
        <f t="shared" si="33"/>
        <v>22323.53486051397</v>
      </c>
      <c r="Y8" s="7">
        <f t="shared" si="33"/>
        <v>22993.240906329389</v>
      </c>
      <c r="Z8" s="7">
        <f t="shared" si="33"/>
        <v>23683.038133519272</v>
      </c>
      <c r="AA8" s="7">
        <f t="shared" si="33"/>
        <v>24393.529277524853</v>
      </c>
      <c r="AB8" s="7">
        <f t="shared" si="33"/>
        <v>25125.3351558506</v>
      </c>
      <c r="AC8" s="7">
        <f t="shared" si="33"/>
        <v>25879.09521052612</v>
      </c>
      <c r="AD8" s="7">
        <f t="shared" si="33"/>
        <v>26655.468066841906</v>
      </c>
      <c r="AE8" s="7">
        <f t="shared" si="33"/>
        <v>27455.132108847163</v>
      </c>
      <c r="AF8" s="7">
        <f t="shared" si="33"/>
        <v>28278.78607211258</v>
      </c>
      <c r="AG8" s="7">
        <f t="shared" si="33"/>
        <v>29127.14965427596</v>
      </c>
      <c r="AH8" s="7">
        <f t="shared" si="33"/>
        <v>30000.964143904239</v>
      </c>
      <c r="AI8" s="7">
        <f t="shared" si="33"/>
        <v>30900.993068221367</v>
      </c>
      <c r="AJ8" s="7">
        <f t="shared" ref="AJ8:AM12" si="34">AI8*(1+rinc)</f>
        <v>31828.022860268007</v>
      </c>
      <c r="AK8" s="7">
        <f t="shared" si="34"/>
        <v>32782.863546076049</v>
      </c>
      <c r="AL8" s="7">
        <f t="shared" si="34"/>
        <v>33766.349452458329</v>
      </c>
      <c r="AM8" s="7">
        <f t="shared" si="34"/>
        <v>34779.339936032084</v>
      </c>
    </row>
    <row r="9" spans="1:39">
      <c r="A9" s="3" t="str">
        <f>TEXT(Inputs!$B$65,"")</f>
        <v>Gzira</v>
      </c>
      <c r="C9" s="7">
        <f>Inputs!B87</f>
        <v>10000</v>
      </c>
      <c r="D9" s="7">
        <f t="shared" si="32"/>
        <v>10300</v>
      </c>
      <c r="E9" s="7">
        <f t="shared" si="32"/>
        <v>10609</v>
      </c>
      <c r="F9" s="7">
        <f t="shared" si="32"/>
        <v>10927.27</v>
      </c>
      <c r="G9" s="7">
        <f t="shared" si="32"/>
        <v>11255.088100000001</v>
      </c>
      <c r="H9" s="7">
        <f t="shared" si="32"/>
        <v>11592.740743</v>
      </c>
      <c r="I9" s="7">
        <f t="shared" si="32"/>
        <v>11940.52296529</v>
      </c>
      <c r="J9" s="7">
        <f t="shared" si="32"/>
        <v>12298.7386542487</v>
      </c>
      <c r="K9" s="7">
        <f t="shared" si="32"/>
        <v>12667.700813876161</v>
      </c>
      <c r="L9" s="7">
        <f t="shared" si="32"/>
        <v>13047.731838292446</v>
      </c>
      <c r="M9" s="7">
        <f t="shared" si="32"/>
        <v>13439.163793441219</v>
      </c>
      <c r="N9" s="7">
        <f t="shared" si="32"/>
        <v>13842.338707244457</v>
      </c>
      <c r="O9" s="7">
        <f t="shared" si="32"/>
        <v>14257.60886846179</v>
      </c>
      <c r="P9" s="7">
        <f t="shared" si="32"/>
        <v>14685.337134515645</v>
      </c>
      <c r="Q9" s="7">
        <f t="shared" si="32"/>
        <v>15125.897248551115</v>
      </c>
      <c r="R9" s="7">
        <f t="shared" si="32"/>
        <v>15579.67416600765</v>
      </c>
      <c r="S9" s="7">
        <f t="shared" si="32"/>
        <v>16047.06439098788</v>
      </c>
      <c r="T9" s="7">
        <f t="shared" si="33"/>
        <v>16528.476322717517</v>
      </c>
      <c r="U9" s="7">
        <f t="shared" si="33"/>
        <v>17024.330612399044</v>
      </c>
      <c r="V9" s="7">
        <f t="shared" si="33"/>
        <v>17535.060530771018</v>
      </c>
      <c r="W9" s="7">
        <f t="shared" si="33"/>
        <v>18061.11234669415</v>
      </c>
      <c r="X9" s="7">
        <f t="shared" si="33"/>
        <v>18602.945717094975</v>
      </c>
      <c r="Y9" s="7">
        <f t="shared" si="33"/>
        <v>19161.034088607827</v>
      </c>
      <c r="Z9" s="7">
        <f t="shared" si="33"/>
        <v>19735.865111266063</v>
      </c>
      <c r="AA9" s="7">
        <f t="shared" si="33"/>
        <v>20327.941064604045</v>
      </c>
      <c r="AB9" s="7">
        <f t="shared" si="33"/>
        <v>20937.779296542169</v>
      </c>
      <c r="AC9" s="7">
        <f t="shared" si="33"/>
        <v>21565.912675438434</v>
      </c>
      <c r="AD9" s="7">
        <f t="shared" si="33"/>
        <v>22212.890055701588</v>
      </c>
      <c r="AE9" s="7">
        <f t="shared" si="33"/>
        <v>22879.276757372634</v>
      </c>
      <c r="AF9" s="7">
        <f t="shared" si="33"/>
        <v>23565.655060093814</v>
      </c>
      <c r="AG9" s="7">
        <f t="shared" si="33"/>
        <v>24272.624711896628</v>
      </c>
      <c r="AH9" s="7">
        <f t="shared" si="33"/>
        <v>25000.803453253528</v>
      </c>
      <c r="AI9" s="7">
        <f t="shared" si="33"/>
        <v>25750.827556851134</v>
      </c>
      <c r="AJ9" s="7">
        <f t="shared" si="34"/>
        <v>26523.35238355667</v>
      </c>
      <c r="AK9" s="7">
        <f t="shared" si="34"/>
        <v>27319.052955063373</v>
      </c>
      <c r="AL9" s="7">
        <f t="shared" si="34"/>
        <v>28138.624543715276</v>
      </c>
      <c r="AM9" s="7">
        <f t="shared" si="34"/>
        <v>28982.783280026735</v>
      </c>
    </row>
    <row r="10" spans="1:39">
      <c r="A10" s="3" t="str">
        <f>TEXT(Inputs!$B$70,"")</f>
        <v>Qormi</v>
      </c>
      <c r="C10" s="7">
        <f>Inputs!B88</f>
        <v>8000</v>
      </c>
      <c r="D10" s="7">
        <f t="shared" si="32"/>
        <v>8240</v>
      </c>
      <c r="E10" s="7">
        <f t="shared" si="32"/>
        <v>8487.2000000000007</v>
      </c>
      <c r="F10" s="7">
        <f t="shared" si="32"/>
        <v>8741.8160000000007</v>
      </c>
      <c r="G10" s="7">
        <f t="shared" si="32"/>
        <v>9004.0704800000003</v>
      </c>
      <c r="H10" s="7">
        <f t="shared" si="32"/>
        <v>9274.1925944000013</v>
      </c>
      <c r="I10" s="7">
        <f t="shared" si="32"/>
        <v>9552.4183722320013</v>
      </c>
      <c r="J10" s="7">
        <f t="shared" si="32"/>
        <v>9838.990923398962</v>
      </c>
      <c r="K10" s="7">
        <f t="shared" si="32"/>
        <v>10134.16065110093</v>
      </c>
      <c r="L10" s="7">
        <f t="shared" si="32"/>
        <v>10438.185470633958</v>
      </c>
      <c r="M10" s="7">
        <f t="shared" si="32"/>
        <v>10751.331034752977</v>
      </c>
      <c r="N10" s="7">
        <f t="shared" si="32"/>
        <v>11073.870965795566</v>
      </c>
      <c r="O10" s="7">
        <f t="shared" si="32"/>
        <v>11406.087094769433</v>
      </c>
      <c r="P10" s="7">
        <f t="shared" si="32"/>
        <v>11748.269707612517</v>
      </c>
      <c r="Q10" s="7">
        <f t="shared" si="32"/>
        <v>12100.717798840893</v>
      </c>
      <c r="R10" s="7">
        <f t="shared" si="32"/>
        <v>12463.739332806121</v>
      </c>
      <c r="S10" s="7">
        <f t="shared" si="32"/>
        <v>12837.651512790304</v>
      </c>
      <c r="T10" s="7">
        <f t="shared" si="33"/>
        <v>13222.781058174014</v>
      </c>
      <c r="U10" s="7">
        <f t="shared" si="33"/>
        <v>13619.464489919235</v>
      </c>
      <c r="V10" s="7">
        <f t="shared" si="33"/>
        <v>14028.048424616813</v>
      </c>
      <c r="W10" s="7">
        <f t="shared" si="33"/>
        <v>14448.889877355317</v>
      </c>
      <c r="X10" s="7">
        <f t="shared" si="33"/>
        <v>14882.356573675977</v>
      </c>
      <c r="Y10" s="7">
        <f t="shared" si="33"/>
        <v>15328.827270886257</v>
      </c>
      <c r="Z10" s="7">
        <f t="shared" si="33"/>
        <v>15788.692089012846</v>
      </c>
      <c r="AA10" s="7">
        <f t="shared" si="33"/>
        <v>16262.352851683232</v>
      </c>
      <c r="AB10" s="7">
        <f t="shared" si="33"/>
        <v>16750.22343723373</v>
      </c>
      <c r="AC10" s="7">
        <f t="shared" si="33"/>
        <v>17252.730140350741</v>
      </c>
      <c r="AD10" s="7">
        <f t="shared" si="33"/>
        <v>17770.312044561262</v>
      </c>
      <c r="AE10" s="7">
        <f t="shared" si="33"/>
        <v>18303.421405898102</v>
      </c>
      <c r="AF10" s="7">
        <f t="shared" si="33"/>
        <v>18852.524048075044</v>
      </c>
      <c r="AG10" s="7">
        <f t="shared" si="33"/>
        <v>19418.099769517295</v>
      </c>
      <c r="AH10" s="7">
        <f t="shared" si="33"/>
        <v>20000.642762602816</v>
      </c>
      <c r="AI10" s="7">
        <f t="shared" si="33"/>
        <v>20600.662045480902</v>
      </c>
      <c r="AJ10" s="7">
        <f t="shared" si="34"/>
        <v>21218.68190684533</v>
      </c>
      <c r="AK10" s="7">
        <f t="shared" si="34"/>
        <v>21855.24236405069</v>
      </c>
      <c r="AL10" s="7">
        <f t="shared" si="34"/>
        <v>22510.899634972211</v>
      </c>
      <c r="AM10" s="7">
        <f t="shared" si="34"/>
        <v>23186.226624021379</v>
      </c>
    </row>
    <row r="11" spans="1:39">
      <c r="A11" s="3" t="str">
        <f>TEXT(Inputs!$B$75,"")</f>
        <v>Gudja</v>
      </c>
      <c r="C11" s="7">
        <f>Inputs!B89</f>
        <v>5000</v>
      </c>
      <c r="D11" s="7">
        <f t="shared" si="32"/>
        <v>5150</v>
      </c>
      <c r="E11" s="7">
        <f t="shared" si="32"/>
        <v>5304.5</v>
      </c>
      <c r="F11" s="7">
        <f t="shared" si="32"/>
        <v>5463.6350000000002</v>
      </c>
      <c r="G11" s="7">
        <f t="shared" si="32"/>
        <v>5627.5440500000004</v>
      </c>
      <c r="H11" s="7">
        <f t="shared" si="32"/>
        <v>5796.3703715000001</v>
      </c>
      <c r="I11" s="7">
        <f t="shared" si="32"/>
        <v>5970.2614826449999</v>
      </c>
      <c r="J11" s="7">
        <f t="shared" si="32"/>
        <v>6149.3693271243501</v>
      </c>
      <c r="K11" s="7">
        <f t="shared" si="32"/>
        <v>6333.8504069380806</v>
      </c>
      <c r="L11" s="7">
        <f t="shared" si="32"/>
        <v>6523.865919146223</v>
      </c>
      <c r="M11" s="7">
        <f t="shared" si="32"/>
        <v>6719.5818967206096</v>
      </c>
      <c r="N11" s="7">
        <f t="shared" si="32"/>
        <v>6921.1693536222283</v>
      </c>
      <c r="O11" s="7">
        <f t="shared" si="32"/>
        <v>7128.8044342308949</v>
      </c>
      <c r="P11" s="7">
        <f t="shared" si="32"/>
        <v>7342.6685672578224</v>
      </c>
      <c r="Q11" s="7">
        <f t="shared" si="32"/>
        <v>7562.9486242755574</v>
      </c>
      <c r="R11" s="7">
        <f t="shared" si="32"/>
        <v>7789.8370830038248</v>
      </c>
      <c r="S11" s="7">
        <f t="shared" si="32"/>
        <v>8023.53219549394</v>
      </c>
      <c r="T11" s="7">
        <f t="shared" si="33"/>
        <v>8264.2381613587586</v>
      </c>
      <c r="U11" s="7">
        <f t="shared" si="33"/>
        <v>8512.1653061995221</v>
      </c>
      <c r="V11" s="7">
        <f t="shared" si="33"/>
        <v>8767.5302653855088</v>
      </c>
      <c r="W11" s="7">
        <f t="shared" si="33"/>
        <v>9030.5561733470749</v>
      </c>
      <c r="X11" s="7">
        <f t="shared" si="33"/>
        <v>9301.4728585474877</v>
      </c>
      <c r="Y11" s="7">
        <f t="shared" si="33"/>
        <v>9580.5170443039133</v>
      </c>
      <c r="Z11" s="7">
        <f t="shared" si="33"/>
        <v>9867.9325556330314</v>
      </c>
      <c r="AA11" s="7">
        <f t="shared" si="33"/>
        <v>10163.970532302023</v>
      </c>
      <c r="AB11" s="7">
        <f t="shared" si="33"/>
        <v>10468.889648271084</v>
      </c>
      <c r="AC11" s="7">
        <f t="shared" si="33"/>
        <v>10782.956337719217</v>
      </c>
      <c r="AD11" s="7">
        <f t="shared" si="33"/>
        <v>11106.445027850794</v>
      </c>
      <c r="AE11" s="7">
        <f t="shared" si="33"/>
        <v>11439.638378686317</v>
      </c>
      <c r="AF11" s="7">
        <f t="shared" si="33"/>
        <v>11782.827530046907</v>
      </c>
      <c r="AG11" s="7">
        <f t="shared" si="33"/>
        <v>12136.312355948314</v>
      </c>
      <c r="AH11" s="7">
        <f t="shared" si="33"/>
        <v>12500.401726626764</v>
      </c>
      <c r="AI11" s="7">
        <f t="shared" si="33"/>
        <v>12875.413778425567</v>
      </c>
      <c r="AJ11" s="7">
        <f t="shared" si="34"/>
        <v>13261.676191778335</v>
      </c>
      <c r="AK11" s="7">
        <f t="shared" si="34"/>
        <v>13659.526477531686</v>
      </c>
      <c r="AL11" s="7">
        <f t="shared" si="34"/>
        <v>14069.312271857638</v>
      </c>
      <c r="AM11" s="7">
        <f t="shared" si="34"/>
        <v>14491.391640013368</v>
      </c>
    </row>
    <row r="12" spans="1:39">
      <c r="A12" s="3" t="str">
        <f>TEXT(Inputs!$B$80,"")</f>
        <v>Marsa</v>
      </c>
      <c r="C12" s="7">
        <f>Inputs!B90</f>
        <v>6500</v>
      </c>
      <c r="D12" s="7">
        <f t="shared" si="32"/>
        <v>6695</v>
      </c>
      <c r="E12" s="7">
        <f t="shared" si="32"/>
        <v>6895.85</v>
      </c>
      <c r="F12" s="7">
        <f t="shared" si="32"/>
        <v>7102.7255000000005</v>
      </c>
      <c r="G12" s="7">
        <f t="shared" si="32"/>
        <v>7315.8072650000004</v>
      </c>
      <c r="H12" s="7">
        <f t="shared" si="32"/>
        <v>7535.2814829500003</v>
      </c>
      <c r="I12" s="7">
        <f t="shared" si="32"/>
        <v>7761.3399274385001</v>
      </c>
      <c r="J12" s="7">
        <f t="shared" si="32"/>
        <v>7994.1801252616551</v>
      </c>
      <c r="K12" s="7">
        <f t="shared" si="32"/>
        <v>8234.005529019505</v>
      </c>
      <c r="L12" s="7">
        <f t="shared" si="32"/>
        <v>8481.0256948900897</v>
      </c>
      <c r="M12" s="7">
        <f t="shared" si="32"/>
        <v>8735.4564657367919</v>
      </c>
      <c r="N12" s="7">
        <f t="shared" si="32"/>
        <v>8997.5201597088962</v>
      </c>
      <c r="O12" s="7">
        <f t="shared" si="32"/>
        <v>9267.4457645001639</v>
      </c>
      <c r="P12" s="7">
        <f t="shared" si="32"/>
        <v>9545.4691374351696</v>
      </c>
      <c r="Q12" s="7">
        <f t="shared" si="32"/>
        <v>9831.8332115582252</v>
      </c>
      <c r="R12" s="7">
        <f t="shared" si="32"/>
        <v>10126.788207904972</v>
      </c>
      <c r="S12" s="7">
        <f t="shared" si="32"/>
        <v>10430.591854142122</v>
      </c>
      <c r="T12" s="7">
        <f t="shared" si="33"/>
        <v>10743.509609766386</v>
      </c>
      <c r="U12" s="7">
        <f t="shared" si="33"/>
        <v>11065.814898059378</v>
      </c>
      <c r="V12" s="7">
        <f t="shared" si="33"/>
        <v>11397.78934500116</v>
      </c>
      <c r="W12" s="7">
        <f t="shared" si="33"/>
        <v>11739.723025351195</v>
      </c>
      <c r="X12" s="7">
        <f t="shared" si="33"/>
        <v>12091.914716111731</v>
      </c>
      <c r="Y12" s="7">
        <f t="shared" si="33"/>
        <v>12454.672157595083</v>
      </c>
      <c r="Z12" s="7">
        <f t="shared" si="33"/>
        <v>12828.312322322936</v>
      </c>
      <c r="AA12" s="7">
        <f t="shared" si="33"/>
        <v>13213.161691992624</v>
      </c>
      <c r="AB12" s="7">
        <f t="shared" si="33"/>
        <v>13609.556542752403</v>
      </c>
      <c r="AC12" s="7">
        <f t="shared" si="33"/>
        <v>14017.843239034975</v>
      </c>
      <c r="AD12" s="7">
        <f t="shared" si="33"/>
        <v>14438.378536206024</v>
      </c>
      <c r="AE12" s="7">
        <f t="shared" si="33"/>
        <v>14871.529892292205</v>
      </c>
      <c r="AF12" s="7">
        <f t="shared" si="33"/>
        <v>15317.675789060972</v>
      </c>
      <c r="AG12" s="7">
        <f t="shared" si="33"/>
        <v>15777.206062732801</v>
      </c>
      <c r="AH12" s="7">
        <f t="shared" si="33"/>
        <v>16250.522244614785</v>
      </c>
      <c r="AI12" s="7">
        <f t="shared" si="33"/>
        <v>16738.03791195323</v>
      </c>
      <c r="AJ12" s="7">
        <f t="shared" si="34"/>
        <v>17240.179049311828</v>
      </c>
      <c r="AK12" s="7">
        <f t="shared" si="34"/>
        <v>17757.384420791182</v>
      </c>
      <c r="AL12" s="7">
        <f t="shared" si="34"/>
        <v>18290.105953414917</v>
      </c>
      <c r="AM12" s="7">
        <f t="shared" si="34"/>
        <v>18838.809132017366</v>
      </c>
    </row>
    <row r="13" spans="1:39">
      <c r="A13" s="4" t="s">
        <v>79</v>
      </c>
      <c r="B13" s="8"/>
      <c r="C13" s="7">
        <f>IF(C$3&lt;Inputs!$B$19,0,Inputs!$B$21)*(1+inf)^B$1</f>
        <v>0</v>
      </c>
      <c r="D13" s="7">
        <f>IF(D$3&lt;Inputs!$B$19,0,Inputs!$B$21)*(1+inf)^C$1</f>
        <v>0</v>
      </c>
      <c r="E13" s="7">
        <f>IF(E$3&lt;Inputs!$B$19,0,Inputs!$B$21)*(1+inf)^D$1</f>
        <v>0</v>
      </c>
      <c r="F13" s="7">
        <f>IF(F$3&lt;Inputs!$B$19,0,Inputs!$B$21)*(1+inf)^E$1</f>
        <v>0</v>
      </c>
      <c r="G13" s="7">
        <f>IF(G$3&lt;Inputs!$B$19,0,Inputs!$B$21)*(1+inf)^F$1</f>
        <v>0</v>
      </c>
      <c r="H13" s="7">
        <f>IF(H$3&lt;Inputs!$B$19,0,Inputs!$B$21)*(1+inf)^G$1</f>
        <v>0</v>
      </c>
      <c r="I13" s="7">
        <f>IF(I$3&lt;Inputs!$B$19,0,Inputs!$B$21)*(1+inf)^H$1</f>
        <v>0</v>
      </c>
      <c r="J13" s="7">
        <f>IF(J$3&lt;Inputs!$B$19,0,Inputs!$B$21)*(1+inf)^I$1</f>
        <v>0</v>
      </c>
      <c r="K13" s="7">
        <f>IF(K$3&lt;Inputs!$B$19,0,Inputs!$B$21)*(1+inf)^J$1</f>
        <v>0</v>
      </c>
      <c r="L13" s="7">
        <f>IF(L$3&lt;Inputs!$B$19,0,Inputs!$B$21)*(1+inf)^K$1</f>
        <v>0</v>
      </c>
      <c r="M13" s="7">
        <f>IF(M$3&lt;Inputs!$B$19,0,Inputs!$B$21)*(1+inf)^L$1</f>
        <v>0</v>
      </c>
      <c r="N13" s="7">
        <f>IF(N$3&lt;Inputs!$B$19,0,Inputs!$B$21)*(1+inf)^M$1</f>
        <v>0</v>
      </c>
      <c r="O13" s="7">
        <f>IF(O$3&lt;Inputs!$B$19,0,Inputs!$B$21)*(1+inf)^N$1</f>
        <v>0</v>
      </c>
      <c r="P13" s="7">
        <f>IF(P$3&lt;Inputs!$B$19,0,Inputs!$B$21)*(1+inf)^O$1</f>
        <v>0</v>
      </c>
      <c r="Q13" s="7">
        <f>IF(Q$3&lt;Inputs!$B$19,0,Inputs!$B$21)*(1+inf)^P$1</f>
        <v>0</v>
      </c>
      <c r="R13" s="7">
        <f>IF(R$3&lt;Inputs!$B$19,0,Inputs!$B$21)*(1+inf)^Q$1</f>
        <v>0</v>
      </c>
      <c r="S13" s="7">
        <f>IF(S$3&lt;Inputs!$B$19,0,Inputs!$B$21)*(1+inf)^R$1</f>
        <v>23752.089930569011</v>
      </c>
      <c r="T13" s="7">
        <f>IF(T$3&lt;Inputs!$B$19,0,Inputs!$B$21)*(1+inf)^S$1</f>
        <v>24345.892178833234</v>
      </c>
      <c r="U13" s="7">
        <f>IF(U$3&lt;Inputs!$B$19,0,Inputs!$B$21)*(1+inf)^T$1</f>
        <v>24954.539483304063</v>
      </c>
      <c r="V13" s="7">
        <f>IF(V$3&lt;Inputs!$B$19,0,Inputs!$B$21)*(1+inf)^U$1</f>
        <v>25578.402970386665</v>
      </c>
      <c r="W13" s="7">
        <f>IF(W$3&lt;Inputs!$B$19,0,Inputs!$B$21)*(1+inf)^V$1</f>
        <v>26217.863044646328</v>
      </c>
      <c r="X13" s="7">
        <f>IF(X$3&lt;Inputs!$B$19,0,Inputs!$B$21)*(1+inf)^W$1</f>
        <v>26873.309620762484</v>
      </c>
      <c r="Y13" s="7">
        <f>IF(Y$3&lt;Inputs!$B$19,0,Inputs!$B$21)*(1+inf)^X$1</f>
        <v>27545.142361281545</v>
      </c>
      <c r="Z13" s="7">
        <f>IF(Z$3&lt;Inputs!$B$19,0,Inputs!$B$21)*(1+inf)^Y$1</f>
        <v>28233.770920313586</v>
      </c>
      <c r="AA13" s="7">
        <f>IF(AA$3&lt;Inputs!$B$19,0,Inputs!$B$21)*(1+inf)^Z$1</f>
        <v>28939.615193321424</v>
      </c>
      <c r="AB13" s="7">
        <f>IF(AB$3&lt;Inputs!$B$19,0,Inputs!$B$21)*(1+inf)^AA$1</f>
        <v>29663.105573154455</v>
      </c>
      <c r="AC13" s="7">
        <f>IF(AC$3&lt;Inputs!$B$19,0,Inputs!$B$21)*(1+inf)^AB$1</f>
        <v>30404.683212483313</v>
      </c>
      <c r="AD13" s="7">
        <f>IF(AD$3&lt;Inputs!$B$19,0,Inputs!$B$21)*(1+inf)^AC$1</f>
        <v>31164.800292795393</v>
      </c>
      <c r="AE13" s="7">
        <f>IF(AE$3&lt;Inputs!$B$19,0,Inputs!$B$21)*(1+inf)^AD$1</f>
        <v>31943.920300115278</v>
      </c>
      <c r="AF13" s="7">
        <f>IF(AF$3&lt;Inputs!$B$19,0,Inputs!$B$21)*(1+inf)^AE$1</f>
        <v>32742.518307618164</v>
      </c>
      <c r="AG13" s="7">
        <f>IF(AG$3&lt;Inputs!$B$19,0,Inputs!$B$21)*(1+inf)^AF$1</f>
        <v>33561.08126530861</v>
      </c>
      <c r="AH13" s="7">
        <f>IF(AH$3&lt;Inputs!$B$19,0,Inputs!$B$21)*(1+inf)^AG$1</f>
        <v>34400.108296941333</v>
      </c>
      <c r="AI13" s="7">
        <f>IF(AI$3&lt;Inputs!$B$19,0,Inputs!$B$21)*(1+inf)^AH$1</f>
        <v>35260.111004364859</v>
      </c>
      <c r="AJ13" s="7">
        <f>IF(AJ$3&lt;Inputs!$B$19,0,Inputs!$B$21)*(1+inf)^AI$1</f>
        <v>36141.613779473977</v>
      </c>
      <c r="AK13" s="7">
        <f>IF(AK$3&lt;Inputs!$B$19,0,Inputs!$B$21)*(1+inf)^AJ$1</f>
        <v>37045.154123960827</v>
      </c>
      <c r="AL13" s="7">
        <f>IF(AL$3&lt;Inputs!$B$19,0,Inputs!$B$21)*(1+inf)^AK$1</f>
        <v>37971.28297705984</v>
      </c>
      <c r="AM13" s="7">
        <f>IF(AM$3&lt;Inputs!$B$19,0,Inputs!$B$21)*(1+inf)^AL$1</f>
        <v>38920.565051486345</v>
      </c>
    </row>
    <row r="14" spans="1:39">
      <c r="A14" s="4" t="s">
        <v>80</v>
      </c>
      <c r="B14" s="8"/>
      <c r="C14" s="7">
        <f>MIN(0,MAX(-IF(C13=0,0,(Inputs!$B$19-INDEX(3:3,MATCH(0,5:5,0))))*Inputs!$B$189*(1+inf)^B$1,-C13))</f>
        <v>0</v>
      </c>
      <c r="D14" s="7">
        <f>MIN(0,MAX(-IF(D13=0,0,(Inputs!$B$19-INDEX(3:3,MATCH(0,5:5,0))))*Inputs!$B$189*(1+inf)^C$1,-D13))</f>
        <v>0</v>
      </c>
      <c r="E14" s="7">
        <f>MIN(0,MAX(-IF(E13=0,0,(Inputs!$B$19-INDEX(3:3,MATCH(0,5:5,0))))*Inputs!$B$189*(1+inf)^D$1,-E13))</f>
        <v>0</v>
      </c>
      <c r="F14" s="7">
        <f>MIN(0,MAX(-IF(F13=0,0,(Inputs!$B$19-INDEX(3:3,MATCH(0,5:5,0))))*Inputs!$B$189*(1+inf)^E$1,-F13))</f>
        <v>0</v>
      </c>
      <c r="G14" s="7">
        <f>MIN(0,MAX(-IF(G13=0,0,(Inputs!$B$19-INDEX(3:3,MATCH(0,5:5,0))))*Inputs!$B$189*(1+inf)^F$1,-G13))</f>
        <v>0</v>
      </c>
      <c r="H14" s="7">
        <f>MIN(0,MAX(-IF(H13=0,0,(Inputs!$B$19-INDEX(3:3,MATCH(0,5:5,0))))*Inputs!$B$189*(1+inf)^G$1,-H13))</f>
        <v>0</v>
      </c>
      <c r="I14" s="7">
        <f>MIN(0,MAX(-IF(I13=0,0,(Inputs!$B$19-INDEX(3:3,MATCH(0,5:5,0))))*Inputs!$B$189*(1+inf)^H$1,-I13))</f>
        <v>0</v>
      </c>
      <c r="J14" s="7">
        <f>MIN(0,MAX(-IF(J13=0,0,(Inputs!$B$19-INDEX(3:3,MATCH(0,5:5,0))))*Inputs!$B$189*(1+inf)^I$1,-J13))</f>
        <v>0</v>
      </c>
      <c r="K14" s="7">
        <f>MIN(0,MAX(-IF(K13=0,0,(Inputs!$B$19-INDEX(3:3,MATCH(0,5:5,0))))*Inputs!$B$189*(1+inf)^J$1,-K13))</f>
        <v>0</v>
      </c>
      <c r="L14" s="7">
        <f>MIN(0,MAX(-IF(L13=0,0,(Inputs!$B$19-INDEX(3:3,MATCH(0,5:5,0))))*Inputs!$B$189*(1+inf)^K$1,-L13))</f>
        <v>0</v>
      </c>
      <c r="M14" s="7">
        <f>MIN(0,MAX(-IF(M13=0,0,(Inputs!$B$19-INDEX(3:3,MATCH(0,5:5,0))))*Inputs!$B$189*(1+inf)^L$1,-M13))</f>
        <v>0</v>
      </c>
      <c r="N14" s="7">
        <f>MIN(0,MAX(-IF(N13=0,0,(Inputs!$B$19-INDEX(3:3,MATCH(0,5:5,0))))*Inputs!$B$189*(1+inf)^M$1,-N13))</f>
        <v>0</v>
      </c>
      <c r="O14" s="7">
        <f>MIN(0,MAX(-IF(O13=0,0,(Inputs!$B$19-INDEX(3:3,MATCH(0,5:5,0))))*Inputs!$B$189*(1+inf)^N$1,-O13))</f>
        <v>0</v>
      </c>
      <c r="P14" s="7">
        <f>MIN(0,MAX(-IF(P13=0,0,(Inputs!$B$19-INDEX(3:3,MATCH(0,5:5,0))))*Inputs!$B$189*(1+inf)^O$1,-P13))</f>
        <v>0</v>
      </c>
      <c r="Q14" s="7">
        <f>MIN(0,MAX(-IF(Q13=0,0,(Inputs!$B$19-INDEX(3:3,MATCH(0,5:5,0))))*Inputs!$B$189*(1+inf)^P$1,-Q13))</f>
        <v>0</v>
      </c>
      <c r="R14" s="7">
        <f>MIN(0,MAX(-IF(R13=0,0,(Inputs!$B$19-INDEX(3:3,MATCH(0,5:5,0))))*Inputs!$B$189*(1+inf)^Q$1,-R13))</f>
        <v>0</v>
      </c>
      <c r="S14" s="7">
        <f>MIN(0,MAX(-IF(S13=0,0,(Inputs!$B$19-INDEX(3:3,MATCH(0,5:5,0))))*Inputs!$B$189*(1+inf)^R$1,-S13))</f>
        <v>-6234.923606774365</v>
      </c>
      <c r="T14" s="7">
        <f>MIN(0,MAX(-IF(T13=0,0,(Inputs!$B$19-INDEX(3:3,MATCH(0,5:5,0))))*Inputs!$B$189*(1+inf)^S$1,-T13))</f>
        <v>-6390.796696943723</v>
      </c>
      <c r="U14" s="7">
        <f>MIN(0,MAX(-IF(U13=0,0,(Inputs!$B$19-INDEX(3:3,MATCH(0,5:5,0))))*Inputs!$B$189*(1+inf)^T$1,-U13))</f>
        <v>-6550.566614367317</v>
      </c>
      <c r="V14" s="7">
        <f>MIN(0,MAX(-IF(V13=0,0,(Inputs!$B$19-INDEX(3:3,MATCH(0,5:5,0))))*Inputs!$B$189*(1+inf)^U$1,-V13))</f>
        <v>-6714.3307797264997</v>
      </c>
      <c r="W14" s="7">
        <f>MIN(0,MAX(-IF(W13=0,0,(Inputs!$B$19-INDEX(3:3,MATCH(0,5:5,0))))*Inputs!$B$189*(1+inf)^V$1,-W13))</f>
        <v>-6882.1890492196617</v>
      </c>
      <c r="X14" s="7">
        <f>MIN(0,MAX(-IF(X13=0,0,(Inputs!$B$19-INDEX(3:3,MATCH(0,5:5,0))))*Inputs!$B$189*(1+inf)^W$1,-X13))</f>
        <v>-7054.2437754501516</v>
      </c>
      <c r="Y14" s="7">
        <f>MIN(0,MAX(-IF(Y13=0,0,(Inputs!$B$19-INDEX(3:3,MATCH(0,5:5,0))))*Inputs!$B$189*(1+inf)^X$1,-Y13))</f>
        <v>-7230.5998698364056</v>
      </c>
      <c r="Z14" s="7">
        <f>MIN(0,MAX(-IF(Z13=0,0,(Inputs!$B$19-INDEX(3:3,MATCH(0,5:5,0))))*Inputs!$B$189*(1+inf)^Y$1,-Z13))</f>
        <v>-7411.3648665823157</v>
      </c>
      <c r="AA14" s="7">
        <f>MIN(0,MAX(-IF(AA13=0,0,(Inputs!$B$19-INDEX(3:3,MATCH(0,5:5,0))))*Inputs!$B$189*(1+inf)^Z$1,-AA13))</f>
        <v>-7596.6489882468732</v>
      </c>
      <c r="AB14" s="7">
        <f>MIN(0,MAX(-IF(AB13=0,0,(Inputs!$B$19-INDEX(3:3,MATCH(0,5:5,0))))*Inputs!$B$189*(1+inf)^AA$1,-AB13))</f>
        <v>-7786.5652129530445</v>
      </c>
      <c r="AC14" s="7">
        <f>MIN(0,MAX(-IF(AC13=0,0,(Inputs!$B$19-INDEX(3:3,MATCH(0,5:5,0))))*Inputs!$B$189*(1+inf)^AB$1,-AC13))</f>
        <v>-7981.2293432768693</v>
      </c>
      <c r="AD14" s="7">
        <f>MIN(0,MAX(-IF(AD13=0,0,(Inputs!$B$19-INDEX(3:3,MATCH(0,5:5,0))))*Inputs!$B$189*(1+inf)^AC$1,-AD13))</f>
        <v>-8180.7600768587909</v>
      </c>
      <c r="AE14" s="7">
        <f>MIN(0,MAX(-IF(AE13=0,0,(Inputs!$B$19-INDEX(3:3,MATCH(0,5:5,0))))*Inputs!$B$189*(1+inf)^AD$1,-AE13))</f>
        <v>-8385.2790787802605</v>
      </c>
      <c r="AF14" s="7">
        <f>MIN(0,MAX(-IF(AF13=0,0,(Inputs!$B$19-INDEX(3:3,MATCH(0,5:5,0))))*Inputs!$B$189*(1+inf)^AE$1,-AF13))</f>
        <v>-8594.9110557497679</v>
      </c>
      <c r="AG14" s="7">
        <f>MIN(0,MAX(-IF(AG13=0,0,(Inputs!$B$19-INDEX(3:3,MATCH(0,5:5,0))))*Inputs!$B$189*(1+inf)^AF$1,-AG13))</f>
        <v>-8809.7838321435102</v>
      </c>
      <c r="AH14" s="7">
        <f>MIN(0,MAX(-IF(AH13=0,0,(Inputs!$B$19-INDEX(3:3,MATCH(0,5:5,0))))*Inputs!$B$189*(1+inf)^AG$1,-AH13))</f>
        <v>-9030.0284279470998</v>
      </c>
      <c r="AI14" s="7">
        <f>MIN(0,MAX(-IF(AI13=0,0,(Inputs!$B$19-INDEX(3:3,MATCH(0,5:5,0))))*Inputs!$B$189*(1+inf)^AH$1,-AI13))</f>
        <v>-9255.7791386457757</v>
      </c>
      <c r="AJ14" s="7">
        <f>MIN(0,MAX(-IF(AJ13=0,0,(Inputs!$B$19-INDEX(3:3,MATCH(0,5:5,0))))*Inputs!$B$189*(1+inf)^AI$1,-AJ13))</f>
        <v>-9487.1736171119192</v>
      </c>
      <c r="AK14" s="7">
        <f>MIN(0,MAX(-IF(AK13=0,0,(Inputs!$B$19-INDEX(3:3,MATCH(0,5:5,0))))*Inputs!$B$189*(1+inf)^AJ$1,-AK13))</f>
        <v>-9724.352957539717</v>
      </c>
      <c r="AL14" s="7">
        <f>MIN(0,MAX(-IF(AL13=0,0,(Inputs!$B$19-INDEX(3:3,MATCH(0,5:5,0))))*Inputs!$B$189*(1+inf)^AK$1,-AL13))</f>
        <v>-9967.4617814782086</v>
      </c>
      <c r="AM14" s="7">
        <f>MIN(0,MAX(-IF(AM13=0,0,(Inputs!$B$19-INDEX(3:3,MATCH(0,5:5,0))))*Inputs!$B$189*(1+inf)^AL$1,-AM13))</f>
        <v>-10216.648326015165</v>
      </c>
    </row>
    <row r="15" spans="1:39">
      <c r="A15" s="4" t="s">
        <v>48</v>
      </c>
      <c r="B15" s="8"/>
      <c r="C15" s="7">
        <f>IF(AND(C$3&gt;=Inputs!$B$174,C$3&lt;=Inputs!$B$175),Inputs!$B$173*(1+inf)^B$1,0)</f>
        <v>0</v>
      </c>
      <c r="D15" s="7">
        <f>IF(AND(D$3&gt;=Inputs!$B$174,D$3&lt;=Inputs!$B$175),Inputs!$B$173*(1+inf)^C$1,0)</f>
        <v>0</v>
      </c>
      <c r="E15" s="7">
        <f>IF(AND(E$3&gt;=Inputs!$B$174,E$3&lt;=Inputs!$B$175),Inputs!$B$173*(1+inf)^D$1,0)</f>
        <v>0</v>
      </c>
      <c r="F15" s="7">
        <f>IF(AND(F$3&gt;=Inputs!$B$174,F$3&lt;=Inputs!$B$175),Inputs!$B$173*(1+inf)^E$1,0)</f>
        <v>0</v>
      </c>
      <c r="G15" s="7">
        <f>IF(AND(G$3&gt;=Inputs!$B$174,G$3&lt;=Inputs!$B$175),Inputs!$B$173*(1+inf)^F$1,0)</f>
        <v>0</v>
      </c>
      <c r="H15" s="7">
        <f>IF(AND(H$3&gt;=Inputs!$B$174,H$3&lt;=Inputs!$B$175),Inputs!$B$173*(1+inf)^G$1,0)</f>
        <v>0</v>
      </c>
      <c r="I15" s="7">
        <f>IF(AND(I$3&gt;=Inputs!$B$174,I$3&lt;=Inputs!$B$175),Inputs!$B$173*(1+inf)^H$1,0)</f>
        <v>0</v>
      </c>
      <c r="J15" s="7">
        <f>IF(AND(J$3&gt;=Inputs!$B$174,J$3&lt;=Inputs!$B$175),Inputs!$B$173*(1+inf)^I$1,0)</f>
        <v>0</v>
      </c>
      <c r="K15" s="7">
        <f>IF(AND(K$3&gt;=Inputs!$B$174,K$3&lt;=Inputs!$B$175),Inputs!$B$173*(1+inf)^J$1,0)</f>
        <v>0</v>
      </c>
      <c r="L15" s="7">
        <f>IF(AND(L$3&gt;=Inputs!$B$174,L$3&lt;=Inputs!$B$175),Inputs!$B$173*(1+inf)^K$1,0)</f>
        <v>14986.355639371985</v>
      </c>
      <c r="M15" s="7">
        <f>IF(AND(M$3&gt;=Inputs!$B$174,M$3&lt;=Inputs!$B$175),Inputs!$B$173*(1+inf)^L$1,0)</f>
        <v>15361.014530356286</v>
      </c>
      <c r="N15" s="7">
        <f>IF(AND(N$3&gt;=Inputs!$B$174,N$3&lt;=Inputs!$B$175),Inputs!$B$173*(1+inf)^M$1,0)</f>
        <v>15745.039893615192</v>
      </c>
      <c r="O15" s="7">
        <f>IF(AND(O$3&gt;=Inputs!$B$174,O$3&lt;=Inputs!$B$175),Inputs!$B$173*(1+inf)^N$1,0)</f>
        <v>16138.66589095557</v>
      </c>
      <c r="P15" s="7">
        <f>IF(AND(P$3&gt;=Inputs!$B$174,P$3&lt;=Inputs!$B$175),Inputs!$B$173*(1+inf)^O$1,0)</f>
        <v>16542.13253822946</v>
      </c>
      <c r="Q15" s="7">
        <f>IF(AND(Q$3&gt;=Inputs!$B$174,Q$3&lt;=Inputs!$B$175),Inputs!$B$173*(1+inf)^P$1,0)</f>
        <v>16955.685851685193</v>
      </c>
      <c r="R15" s="7">
        <f>IF(AND(R$3&gt;=Inputs!$B$174,R$3&lt;=Inputs!$B$175),Inputs!$B$173*(1+inf)^Q$1,0)</f>
        <v>17379.577997977325</v>
      </c>
      <c r="S15" s="7">
        <f>IF(AND(S$3&gt;=Inputs!$B$174,S$3&lt;=Inputs!$B$175),Inputs!$B$173*(1+inf)^R$1,0)</f>
        <v>17814.067447926758</v>
      </c>
      <c r="T15" s="7">
        <f>IF(AND(T$3&gt;=Inputs!$B$174,T$3&lt;=Inputs!$B$175),Inputs!$B$173*(1+inf)^S$1,0)</f>
        <v>18259.419134124924</v>
      </c>
      <c r="U15" s="7">
        <f>IF(AND(U$3&gt;=Inputs!$B$174,U$3&lt;=Inputs!$B$175),Inputs!$B$173*(1+inf)^T$1,0)</f>
        <v>18715.904612478047</v>
      </c>
      <c r="V15" s="7">
        <f>IF(AND(V$3&gt;=Inputs!$B$174,V$3&lt;=Inputs!$B$175),Inputs!$B$173*(1+inf)^U$1,0)</f>
        <v>19183.802227789998</v>
      </c>
      <c r="W15" s="7">
        <f>IF(AND(W$3&gt;=Inputs!$B$174,W$3&lt;=Inputs!$B$175),Inputs!$B$173*(1+inf)^V$1,0)</f>
        <v>19663.397283484748</v>
      </c>
      <c r="X15" s="7">
        <f>IF(AND(X$3&gt;=Inputs!$B$174,X$3&lt;=Inputs!$B$175),Inputs!$B$173*(1+inf)^W$1,0)</f>
        <v>0</v>
      </c>
      <c r="Y15" s="7">
        <f>IF(AND(Y$3&gt;=Inputs!$B$174,Y$3&lt;=Inputs!$B$175),Inputs!$B$173*(1+inf)^X$1,0)</f>
        <v>0</v>
      </c>
      <c r="Z15" s="7">
        <f>IF(AND(Z$3&gt;=Inputs!$B$174,Z$3&lt;=Inputs!$B$175),Inputs!$B$173*(1+inf)^Y$1,0)</f>
        <v>0</v>
      </c>
      <c r="AA15" s="7">
        <f>IF(AND(AA$3&gt;=Inputs!$B$174,AA$3&lt;=Inputs!$B$175),Inputs!$B$173*(1+inf)^Z$1,0)</f>
        <v>0</v>
      </c>
      <c r="AB15" s="7">
        <f>IF(AND(AB$3&gt;=Inputs!$B$174,AB$3&lt;=Inputs!$B$175),Inputs!$B$173*(1+inf)^AA$1,0)</f>
        <v>0</v>
      </c>
      <c r="AC15" s="7">
        <f>IF(AND(AC$3&gt;=Inputs!$B$174,AC$3&lt;=Inputs!$B$175),Inputs!$B$173*(1+inf)^AB$1,0)</f>
        <v>0</v>
      </c>
      <c r="AD15" s="7">
        <f>IF(AND(AD$3&gt;=Inputs!$B$174,AD$3&lt;=Inputs!$B$175),Inputs!$B$173*(1+inf)^AC$1,0)</f>
        <v>0</v>
      </c>
      <c r="AE15" s="7">
        <f>IF(AND(AE$3&gt;=Inputs!$B$174,AE$3&lt;=Inputs!$B$175),Inputs!$B$173*(1+inf)^AD$1,0)</f>
        <v>0</v>
      </c>
      <c r="AF15" s="7">
        <f>IF(AND(AF$3&gt;=Inputs!$B$174,AF$3&lt;=Inputs!$B$175),Inputs!$B$173*(1+inf)^AE$1,0)</f>
        <v>0</v>
      </c>
      <c r="AG15" s="7">
        <f>IF(AND(AG$3&gt;=Inputs!$B$174,AG$3&lt;=Inputs!$B$175),Inputs!$B$173*(1+inf)^AF$1,0)</f>
        <v>0</v>
      </c>
      <c r="AH15" s="7">
        <f>IF(AND(AH$3&gt;=Inputs!$B$174,AH$3&lt;=Inputs!$B$175),Inputs!$B$173*(1+inf)^AG$1,0)</f>
        <v>0</v>
      </c>
      <c r="AI15" s="7">
        <f>IF(AND(AI$3&gt;=Inputs!$B$174,AI$3&lt;=Inputs!$B$175),Inputs!$B$173*(1+inf)^AH$1,0)</f>
        <v>0</v>
      </c>
      <c r="AJ15" s="7">
        <f>IF(AND(AJ$3&gt;=Inputs!$B$174,AJ$3&lt;=Inputs!$B$175),Inputs!$B$173*(1+inf)^AI$1,0)</f>
        <v>0</v>
      </c>
      <c r="AK15" s="7">
        <f>IF(AND(AK$3&gt;=Inputs!$B$174,AK$3&lt;=Inputs!$B$175),Inputs!$B$173*(1+inf)^AJ$1,0)</f>
        <v>0</v>
      </c>
      <c r="AL15" s="7">
        <f>IF(AND(AL$3&gt;=Inputs!$B$174,AL$3&lt;=Inputs!$B$175),Inputs!$B$173*(1+inf)^AK$1,0)</f>
        <v>0</v>
      </c>
      <c r="AM15" s="7">
        <f>IF(AND(AM$3&gt;=Inputs!$B$174,AM$3&lt;=Inputs!$B$175),Inputs!$B$173*(1+inf)^AL$1,0)</f>
        <v>0</v>
      </c>
    </row>
    <row r="16" spans="1:39">
      <c r="A16" s="4" t="s">
        <v>139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>
      <c r="A17" s="3" t="str">
        <f>TEXT(Inputs!B132,"")</f>
        <v>Inheritance</v>
      </c>
      <c r="B17" s="8"/>
      <c r="C17" s="7">
        <f ca="1">IF(C$2=Inputs!$B134,Inputs!$B133,0)*(1+inf)^B$1</f>
        <v>0</v>
      </c>
      <c r="D17" s="7">
        <f ca="1">IF(D$2=Inputs!$B134,Inputs!$B133,0)*(1+inf)^C$1</f>
        <v>0</v>
      </c>
      <c r="E17" s="7">
        <f ca="1">IF(E$2=Inputs!$B134,Inputs!$B133,0)*(1+inf)^D$1</f>
        <v>0</v>
      </c>
      <c r="F17" s="7">
        <f ca="1">IF(F$2=Inputs!$B134,Inputs!$B133,0)*(1+inf)^E$1</f>
        <v>0</v>
      </c>
      <c r="G17" s="7">
        <f ca="1">IF(G$2=Inputs!$B134,Inputs!$B133,0)*(1+inf)^F$1</f>
        <v>0</v>
      </c>
      <c r="H17" s="7">
        <f ca="1">IF(H$2=Inputs!$B134,Inputs!$B133,0)*(1+inf)^G$1</f>
        <v>0</v>
      </c>
      <c r="I17" s="7">
        <f ca="1">IF(I$2=Inputs!$B134,Inputs!$B133,0)*(1+inf)^H$1</f>
        <v>0</v>
      </c>
      <c r="J17" s="7">
        <f ca="1">IF(J$2=Inputs!$B134,Inputs!$B133,0)*(1+inf)^I$1</f>
        <v>0</v>
      </c>
      <c r="K17" s="7">
        <f ca="1">IF(K$2=Inputs!$B134,Inputs!$B133,0)*(1+inf)^J$1</f>
        <v>60920.144875495884</v>
      </c>
      <c r="L17" s="7">
        <f ca="1">IF(L$2=Inputs!$B134,Inputs!$B133,0)*(1+inf)^K$1</f>
        <v>0</v>
      </c>
      <c r="M17" s="7">
        <f ca="1">IF(M$2=Inputs!$B134,Inputs!$B133,0)*(1+inf)^L$1</f>
        <v>0</v>
      </c>
      <c r="N17" s="7">
        <f ca="1">IF(N$2=Inputs!$B134,Inputs!$B133,0)*(1+inf)^M$1</f>
        <v>0</v>
      </c>
      <c r="O17" s="7">
        <f ca="1">IF(O$2=Inputs!$B134,Inputs!$B133,0)*(1+inf)^N$1</f>
        <v>0</v>
      </c>
      <c r="P17" s="7">
        <f ca="1">IF(P$2=Inputs!$B134,Inputs!$B133,0)*(1+inf)^O$1</f>
        <v>0</v>
      </c>
      <c r="Q17" s="7">
        <f ca="1">IF(Q$2=Inputs!$B134,Inputs!$B133,0)*(1+inf)^P$1</f>
        <v>0</v>
      </c>
      <c r="R17" s="7">
        <f ca="1">IF(R$2=Inputs!$B134,Inputs!$B133,0)*(1+inf)^Q$1</f>
        <v>0</v>
      </c>
      <c r="S17" s="7">
        <f ca="1">IF(S$2=Inputs!$B134,Inputs!$B133,0)*(1+inf)^R$1</f>
        <v>0</v>
      </c>
      <c r="T17" s="7">
        <f ca="1">IF(T$2=Inputs!$B134,Inputs!$B133,0)*(1+inf)^S$1</f>
        <v>0</v>
      </c>
      <c r="U17" s="7">
        <f ca="1">IF(U$2=Inputs!$B134,Inputs!$B133,0)*(1+inf)^T$1</f>
        <v>0</v>
      </c>
      <c r="V17" s="7">
        <f ca="1">IF(V$2=Inputs!$B134,Inputs!$B133,0)*(1+inf)^U$1</f>
        <v>0</v>
      </c>
      <c r="W17" s="7">
        <f ca="1">IF(W$2=Inputs!$B134,Inputs!$B133,0)*(1+inf)^V$1</f>
        <v>0</v>
      </c>
      <c r="X17" s="7">
        <f ca="1">IF(X$2=Inputs!$B134,Inputs!$B133,0)*(1+inf)^W$1</f>
        <v>0</v>
      </c>
      <c r="Y17" s="7">
        <f ca="1">IF(Y$2=Inputs!$B134,Inputs!$B133,0)*(1+inf)^X$1</f>
        <v>0</v>
      </c>
      <c r="Z17" s="7">
        <f ca="1">IF(Z$2=Inputs!$B134,Inputs!$B133,0)*(1+inf)^Y$1</f>
        <v>0</v>
      </c>
      <c r="AA17" s="7">
        <f ca="1">IF(AA$2=Inputs!$B134,Inputs!$B133,0)*(1+inf)^Z$1</f>
        <v>0</v>
      </c>
      <c r="AB17" s="7">
        <f ca="1">IF(AB$2=Inputs!$B134,Inputs!$B133,0)*(1+inf)^AA$1</f>
        <v>0</v>
      </c>
      <c r="AC17" s="7">
        <f ca="1">IF(AC$2=Inputs!$B134,Inputs!$B133,0)*(1+inf)^AB$1</f>
        <v>0</v>
      </c>
      <c r="AD17" s="7">
        <f ca="1">IF(AD$2=Inputs!$B134,Inputs!$B133,0)*(1+inf)^AC$1</f>
        <v>0</v>
      </c>
      <c r="AE17" s="7">
        <f ca="1">IF(AE$2=Inputs!$B134,Inputs!$B133,0)*(1+inf)^AD$1</f>
        <v>0</v>
      </c>
      <c r="AF17" s="7">
        <f ca="1">IF(AF$2=Inputs!$B134,Inputs!$B133,0)*(1+inf)^AE$1</f>
        <v>0</v>
      </c>
      <c r="AG17" s="7">
        <f ca="1">IF(AG$2=Inputs!$B134,Inputs!$B133,0)*(1+inf)^AF$1</f>
        <v>0</v>
      </c>
      <c r="AH17" s="7">
        <f ca="1">IF(AH$2=Inputs!$B134,Inputs!$B133,0)*(1+inf)^AG$1</f>
        <v>0</v>
      </c>
      <c r="AI17" s="7">
        <f ca="1">IF(AI$2=Inputs!$B134,Inputs!$B133,0)*(1+inf)^AH$1</f>
        <v>0</v>
      </c>
      <c r="AJ17" s="7">
        <f ca="1">IF(AJ$2=Inputs!$B134,Inputs!$B133,0)*(1+inf)^AI$1</f>
        <v>0</v>
      </c>
      <c r="AK17" s="7">
        <f ca="1">IF(AK$2=Inputs!$B134,Inputs!$B133,0)*(1+inf)^AJ$1</f>
        <v>0</v>
      </c>
      <c r="AL17" s="7">
        <f ca="1">IF(AL$2=Inputs!$B134,Inputs!$B133,0)*(1+inf)^AK$1</f>
        <v>0</v>
      </c>
      <c r="AM17" s="7">
        <f ca="1">IF(AM$2=Inputs!$B134,Inputs!$B133,0)*(1+inf)^AL$1</f>
        <v>0</v>
      </c>
    </row>
    <row r="18" spans="1:39">
      <c r="A18" s="3" t="str">
        <f>TEXT(Inputs!B137,"")</f>
        <v>Sell Painting</v>
      </c>
      <c r="B18" s="8"/>
      <c r="C18" s="7">
        <f ca="1">IF(C$2=Inputs!$B139,Inputs!$B138,0)*(1+inf)^B$1</f>
        <v>0</v>
      </c>
      <c r="D18" s="7">
        <f ca="1">IF(D$2=Inputs!$B139,Inputs!$B138,0)*(1+inf)^C$1</f>
        <v>0</v>
      </c>
      <c r="E18" s="7">
        <f ca="1">IF(E$2=Inputs!$B139,Inputs!$B138,0)*(1+inf)^D$1</f>
        <v>10506.25</v>
      </c>
      <c r="F18" s="7">
        <f ca="1">IF(F$2=Inputs!$B139,Inputs!$B138,0)*(1+inf)^E$1</f>
        <v>0</v>
      </c>
      <c r="G18" s="7">
        <f ca="1">IF(G$2=Inputs!$B139,Inputs!$B138,0)*(1+inf)^F$1</f>
        <v>0</v>
      </c>
      <c r="H18" s="7">
        <f ca="1">IF(H$2=Inputs!$B139,Inputs!$B138,0)*(1+inf)^G$1</f>
        <v>0</v>
      </c>
      <c r="I18" s="7">
        <f ca="1">IF(I$2=Inputs!$B139,Inputs!$B138,0)*(1+inf)^H$1</f>
        <v>0</v>
      </c>
      <c r="J18" s="7">
        <f ca="1">IF(J$2=Inputs!$B139,Inputs!$B138,0)*(1+inf)^I$1</f>
        <v>0</v>
      </c>
      <c r="K18" s="7">
        <f ca="1">IF(K$2=Inputs!$B139,Inputs!$B138,0)*(1+inf)^J$1</f>
        <v>0</v>
      </c>
      <c r="L18" s="7">
        <f ca="1">IF(L$2=Inputs!$B139,Inputs!$B138,0)*(1+inf)^K$1</f>
        <v>0</v>
      </c>
      <c r="M18" s="7">
        <f ca="1">IF(M$2=Inputs!$B139,Inputs!$B138,0)*(1+inf)^L$1</f>
        <v>0</v>
      </c>
      <c r="N18" s="7">
        <f ca="1">IF(N$2=Inputs!$B139,Inputs!$B138,0)*(1+inf)^M$1</f>
        <v>0</v>
      </c>
      <c r="O18" s="7">
        <f ca="1">IF(O$2=Inputs!$B139,Inputs!$B138,0)*(1+inf)^N$1</f>
        <v>0</v>
      </c>
      <c r="P18" s="7">
        <f ca="1">IF(P$2=Inputs!$B139,Inputs!$B138,0)*(1+inf)^O$1</f>
        <v>0</v>
      </c>
      <c r="Q18" s="7">
        <f ca="1">IF(Q$2=Inputs!$B139,Inputs!$B138,0)*(1+inf)^P$1</f>
        <v>0</v>
      </c>
      <c r="R18" s="7">
        <f ca="1">IF(R$2=Inputs!$B139,Inputs!$B138,0)*(1+inf)^Q$1</f>
        <v>0</v>
      </c>
      <c r="S18" s="7">
        <f ca="1">IF(S$2=Inputs!$B139,Inputs!$B138,0)*(1+inf)^R$1</f>
        <v>0</v>
      </c>
      <c r="T18" s="7">
        <f ca="1">IF(T$2=Inputs!$B139,Inputs!$B138,0)*(1+inf)^S$1</f>
        <v>0</v>
      </c>
      <c r="U18" s="7">
        <f ca="1">IF(U$2=Inputs!$B139,Inputs!$B138,0)*(1+inf)^T$1</f>
        <v>0</v>
      </c>
      <c r="V18" s="7">
        <f ca="1">IF(V$2=Inputs!$B139,Inputs!$B138,0)*(1+inf)^U$1</f>
        <v>0</v>
      </c>
      <c r="W18" s="7">
        <f ca="1">IF(W$2=Inputs!$B139,Inputs!$B138,0)*(1+inf)^V$1</f>
        <v>0</v>
      </c>
      <c r="X18" s="7">
        <f ca="1">IF(X$2=Inputs!$B139,Inputs!$B138,0)*(1+inf)^W$1</f>
        <v>0</v>
      </c>
      <c r="Y18" s="7">
        <f ca="1">IF(Y$2=Inputs!$B139,Inputs!$B138,0)*(1+inf)^X$1</f>
        <v>0</v>
      </c>
      <c r="Z18" s="7">
        <f ca="1">IF(Z$2=Inputs!$B139,Inputs!$B138,0)*(1+inf)^Y$1</f>
        <v>0</v>
      </c>
      <c r="AA18" s="7">
        <f ca="1">IF(AA$2=Inputs!$B139,Inputs!$B138,0)*(1+inf)^Z$1</f>
        <v>0</v>
      </c>
      <c r="AB18" s="7">
        <f ca="1">IF(AB$2=Inputs!$B139,Inputs!$B138,0)*(1+inf)^AA$1</f>
        <v>0</v>
      </c>
      <c r="AC18" s="7">
        <f ca="1">IF(AC$2=Inputs!$B139,Inputs!$B138,0)*(1+inf)^AB$1</f>
        <v>0</v>
      </c>
      <c r="AD18" s="7">
        <f ca="1">IF(AD$2=Inputs!$B139,Inputs!$B138,0)*(1+inf)^AC$1</f>
        <v>0</v>
      </c>
      <c r="AE18" s="7">
        <f ca="1">IF(AE$2=Inputs!$B139,Inputs!$B138,0)*(1+inf)^AD$1</f>
        <v>0</v>
      </c>
      <c r="AF18" s="7">
        <f ca="1">IF(AF$2=Inputs!$B139,Inputs!$B138,0)*(1+inf)^AE$1</f>
        <v>0</v>
      </c>
      <c r="AG18" s="7">
        <f ca="1">IF(AG$2=Inputs!$B139,Inputs!$B138,0)*(1+inf)^AF$1</f>
        <v>0</v>
      </c>
      <c r="AH18" s="7">
        <f ca="1">IF(AH$2=Inputs!$B139,Inputs!$B138,0)*(1+inf)^AG$1</f>
        <v>0</v>
      </c>
      <c r="AI18" s="7">
        <f ca="1">IF(AI$2=Inputs!$B139,Inputs!$B138,0)*(1+inf)^AH$1</f>
        <v>0</v>
      </c>
      <c r="AJ18" s="7">
        <f ca="1">IF(AJ$2=Inputs!$B139,Inputs!$B138,0)*(1+inf)^AI$1</f>
        <v>0</v>
      </c>
      <c r="AK18" s="7">
        <f ca="1">IF(AK$2=Inputs!$B139,Inputs!$B138,0)*(1+inf)^AJ$1</f>
        <v>0</v>
      </c>
      <c r="AL18" s="7">
        <f ca="1">IF(AL$2=Inputs!$B139,Inputs!$B138,0)*(1+inf)^AK$1</f>
        <v>0</v>
      </c>
      <c r="AM18" s="7">
        <f ca="1">IF(AM$2=Inputs!$B139,Inputs!$B138,0)*(1+inf)^AL$1</f>
        <v>0</v>
      </c>
    </row>
    <row r="19" spans="1:39">
      <c r="A19" s="3" t="str">
        <f>TEXT(Inputs!B142,"")</f>
        <v>Sell Jewels</v>
      </c>
      <c r="B19" s="8"/>
      <c r="C19" s="7">
        <f ca="1">IF(C$2=Inputs!$B144,Inputs!$B143,0)*(1+inf)^B$1</f>
        <v>0</v>
      </c>
      <c r="D19" s="7">
        <f ca="1">IF(D$2=Inputs!$B144,Inputs!$B143,0)*(1+inf)^C$1</f>
        <v>0</v>
      </c>
      <c r="E19" s="7">
        <f ca="1">IF(E$2=Inputs!$B144,Inputs!$B143,0)*(1+inf)^D$1</f>
        <v>0</v>
      </c>
      <c r="F19" s="7">
        <f ca="1">IF(F$2=Inputs!$B144,Inputs!$B143,0)*(1+inf)^E$1</f>
        <v>0</v>
      </c>
      <c r="G19" s="7">
        <f ca="1">IF(G$2=Inputs!$B144,Inputs!$B143,0)*(1+inf)^F$1</f>
        <v>0</v>
      </c>
      <c r="H19" s="7">
        <f ca="1">IF(H$2=Inputs!$B144,Inputs!$B143,0)*(1+inf)^G$1</f>
        <v>5657.041064453123</v>
      </c>
      <c r="I19" s="7">
        <f ca="1">IF(I$2=Inputs!$B144,Inputs!$B143,0)*(1+inf)^H$1</f>
        <v>0</v>
      </c>
      <c r="J19" s="7">
        <f ca="1">IF(J$2=Inputs!$B144,Inputs!$B143,0)*(1+inf)^I$1</f>
        <v>0</v>
      </c>
      <c r="K19" s="7">
        <f ca="1">IF(K$2=Inputs!$B144,Inputs!$B143,0)*(1+inf)^J$1</f>
        <v>0</v>
      </c>
      <c r="L19" s="7">
        <f ca="1">IF(L$2=Inputs!$B144,Inputs!$B143,0)*(1+inf)^K$1</f>
        <v>0</v>
      </c>
      <c r="M19" s="7">
        <f ca="1">IF(M$2=Inputs!$B144,Inputs!$B143,0)*(1+inf)^L$1</f>
        <v>0</v>
      </c>
      <c r="N19" s="7">
        <f ca="1">IF(N$2=Inputs!$B144,Inputs!$B143,0)*(1+inf)^M$1</f>
        <v>0</v>
      </c>
      <c r="O19" s="7">
        <f ca="1">IF(O$2=Inputs!$B144,Inputs!$B143,0)*(1+inf)^N$1</f>
        <v>0</v>
      </c>
      <c r="P19" s="7">
        <f ca="1">IF(P$2=Inputs!$B144,Inputs!$B143,0)*(1+inf)^O$1</f>
        <v>0</v>
      </c>
      <c r="Q19" s="7">
        <f ca="1">IF(Q$2=Inputs!$B144,Inputs!$B143,0)*(1+inf)^P$1</f>
        <v>0</v>
      </c>
      <c r="R19" s="7">
        <f ca="1">IF(R$2=Inputs!$B144,Inputs!$B143,0)*(1+inf)^Q$1</f>
        <v>0</v>
      </c>
      <c r="S19" s="7">
        <f ca="1">IF(S$2=Inputs!$B144,Inputs!$B143,0)*(1+inf)^R$1</f>
        <v>0</v>
      </c>
      <c r="T19" s="7">
        <f ca="1">IF(T$2=Inputs!$B144,Inputs!$B143,0)*(1+inf)^S$1</f>
        <v>0</v>
      </c>
      <c r="U19" s="7">
        <f ca="1">IF(U$2=Inputs!$B144,Inputs!$B143,0)*(1+inf)^T$1</f>
        <v>0</v>
      </c>
      <c r="V19" s="7">
        <f ca="1">IF(V$2=Inputs!$B144,Inputs!$B143,0)*(1+inf)^U$1</f>
        <v>0</v>
      </c>
      <c r="W19" s="7">
        <f ca="1">IF(W$2=Inputs!$B144,Inputs!$B143,0)*(1+inf)^V$1</f>
        <v>0</v>
      </c>
      <c r="X19" s="7">
        <f ca="1">IF(X$2=Inputs!$B144,Inputs!$B143,0)*(1+inf)^W$1</f>
        <v>0</v>
      </c>
      <c r="Y19" s="7">
        <f ca="1">IF(Y$2=Inputs!$B144,Inputs!$B143,0)*(1+inf)^X$1</f>
        <v>0</v>
      </c>
      <c r="Z19" s="7">
        <f ca="1">IF(Z$2=Inputs!$B144,Inputs!$B143,0)*(1+inf)^Y$1</f>
        <v>0</v>
      </c>
      <c r="AA19" s="7">
        <f ca="1">IF(AA$2=Inputs!$B144,Inputs!$B143,0)*(1+inf)^Z$1</f>
        <v>0</v>
      </c>
      <c r="AB19" s="7">
        <f ca="1">IF(AB$2=Inputs!$B144,Inputs!$B143,0)*(1+inf)^AA$1</f>
        <v>0</v>
      </c>
      <c r="AC19" s="7">
        <f ca="1">IF(AC$2=Inputs!$B144,Inputs!$B143,0)*(1+inf)^AB$1</f>
        <v>0</v>
      </c>
      <c r="AD19" s="7">
        <f ca="1">IF(AD$2=Inputs!$B144,Inputs!$B143,0)*(1+inf)^AC$1</f>
        <v>0</v>
      </c>
      <c r="AE19" s="7">
        <f ca="1">IF(AE$2=Inputs!$B144,Inputs!$B143,0)*(1+inf)^AD$1</f>
        <v>0</v>
      </c>
      <c r="AF19" s="7">
        <f ca="1">IF(AF$2=Inputs!$B144,Inputs!$B143,0)*(1+inf)^AE$1</f>
        <v>0</v>
      </c>
      <c r="AG19" s="7">
        <f ca="1">IF(AG$2=Inputs!$B144,Inputs!$B143,0)*(1+inf)^AF$1</f>
        <v>0</v>
      </c>
      <c r="AH19" s="7">
        <f ca="1">IF(AH$2=Inputs!$B144,Inputs!$B143,0)*(1+inf)^AG$1</f>
        <v>0</v>
      </c>
      <c r="AI19" s="7">
        <f ca="1">IF(AI$2=Inputs!$B144,Inputs!$B143,0)*(1+inf)^AH$1</f>
        <v>0</v>
      </c>
      <c r="AJ19" s="7">
        <f ca="1">IF(AJ$2=Inputs!$B144,Inputs!$B143,0)*(1+inf)^AI$1</f>
        <v>0</v>
      </c>
      <c r="AK19" s="7">
        <f ca="1">IF(AK$2=Inputs!$B144,Inputs!$B143,0)*(1+inf)^AJ$1</f>
        <v>0</v>
      </c>
      <c r="AL19" s="7">
        <f ca="1">IF(AL$2=Inputs!$B144,Inputs!$B143,0)*(1+inf)^AK$1</f>
        <v>0</v>
      </c>
      <c r="AM19" s="7">
        <f ca="1">IF(AM$2=Inputs!$B144,Inputs!$B143,0)*(1+inf)^AL$1</f>
        <v>0</v>
      </c>
    </row>
    <row r="20" spans="1:39">
      <c r="A20" s="4" t="s">
        <v>8</v>
      </c>
      <c r="C20" s="7">
        <f ca="1">MAX(AVERAGE(C57,C57+SUM(C5:C19)-C54)*Inputs!$B$181,0)</f>
        <v>1576.75</v>
      </c>
      <c r="D20" s="7">
        <f ca="1">MAX(AVERAGE(D57,D57+SUM(D5:D19)-D54)*Inputs!$B$181,0)</f>
        <v>2305.7437500000001</v>
      </c>
      <c r="E20" s="7">
        <f ca="1">MAX(AVERAGE(E57,E57+SUM(E5:E19)-E54)*Inputs!$B$181,0)</f>
        <v>1776.7404687500002</v>
      </c>
      <c r="F20" s="7">
        <f ca="1">MAX(AVERAGE(F57,F57+SUM(F5:F19)-F54)*Inputs!$B$181,0)</f>
        <v>315.54102466303431</v>
      </c>
      <c r="G20" s="7">
        <f ca="1">MAX(AVERAGE(G57,G57+SUM(G5:G19)-G54)*Inputs!$B$181,0)</f>
        <v>0</v>
      </c>
      <c r="H20" s="7">
        <f ca="1">MAX(AVERAGE(H57,H57+SUM(H5:H19)-H54)*Inputs!$B$181,0)</f>
        <v>0</v>
      </c>
      <c r="I20" s="7">
        <f ca="1">MAX(AVERAGE(I57,I57+SUM(I5:I19)-I54)*Inputs!$B$181,0)</f>
        <v>0</v>
      </c>
      <c r="J20" s="7">
        <f ca="1">MAX(AVERAGE(J57,J57+SUM(J5:J19)-J54)*Inputs!$B$181,0)</f>
        <v>0</v>
      </c>
      <c r="K20" s="7">
        <f ca="1">MAX(AVERAGE(K57,K57+SUM(K5:K19)-K54)*Inputs!$B$181,0)</f>
        <v>0</v>
      </c>
      <c r="L20" s="7">
        <f ca="1">MAX(AVERAGE(L57,L57+SUM(L5:L19)-L54)*Inputs!$B$181,0)</f>
        <v>0</v>
      </c>
      <c r="M20" s="7">
        <f ca="1">MAX(AVERAGE(M57,M57+SUM(M5:M19)-M54)*Inputs!$B$181,0)</f>
        <v>0</v>
      </c>
      <c r="N20" s="7">
        <f ca="1">MAX(AVERAGE(N57,N57+SUM(N5:N19)-N54)*Inputs!$B$181,0)</f>
        <v>0</v>
      </c>
      <c r="O20" s="7">
        <f ca="1">MAX(AVERAGE(O57,O57+SUM(O5:O19)-O54)*Inputs!$B$181,0)</f>
        <v>0</v>
      </c>
      <c r="P20" s="7">
        <f ca="1">MAX(AVERAGE(P57,P57+SUM(P5:P19)-P54)*Inputs!$B$181,0)</f>
        <v>0</v>
      </c>
      <c r="Q20" s="7">
        <f ca="1">MAX(AVERAGE(Q57,Q57+SUM(Q5:Q19)-Q54)*Inputs!$B$181,0)</f>
        <v>0</v>
      </c>
      <c r="R20" s="7">
        <f ca="1">MAX(AVERAGE(R57,R57+SUM(R5:R19)-R54)*Inputs!$B$181,0)</f>
        <v>0</v>
      </c>
      <c r="S20" s="7">
        <f ca="1">MAX(AVERAGE(S57,S57+SUM(S5:S19)-S54)*Inputs!$B$181,0)</f>
        <v>0</v>
      </c>
      <c r="T20" s="7">
        <f ca="1">MAX(AVERAGE(T57,T57+SUM(T5:T19)-T54)*Inputs!$B$181,0)</f>
        <v>0</v>
      </c>
      <c r="U20" s="7">
        <f ca="1">MAX(AVERAGE(U57,U57+SUM(U5:U19)-U54)*Inputs!$B$181,0)</f>
        <v>0</v>
      </c>
      <c r="V20" s="7">
        <f ca="1">MAX(AVERAGE(V57,V57+SUM(V5:V19)-V54)*Inputs!$B$181,0)</f>
        <v>0</v>
      </c>
      <c r="W20" s="7">
        <f ca="1">MAX(AVERAGE(W57,W57+SUM(W5:W19)-W54)*Inputs!$B$181,0)</f>
        <v>0</v>
      </c>
      <c r="X20" s="7">
        <f ca="1">MAX(AVERAGE(X57,X57+SUM(X5:X19)-X54)*Inputs!$B$181,0)</f>
        <v>0</v>
      </c>
      <c r="Y20" s="7">
        <f ca="1">MAX(AVERAGE(Y57,Y57+SUM(Y5:Y19)-Y54)*Inputs!$B$181,0)</f>
        <v>0</v>
      </c>
      <c r="Z20" s="7">
        <f ca="1">MAX(AVERAGE(Z57,Z57+SUM(Z5:Z19)-Z54)*Inputs!$B$181,0)</f>
        <v>0</v>
      </c>
      <c r="AA20" s="7">
        <f ca="1">MAX(AVERAGE(AA57,AA57+SUM(AA5:AA19)-AA54)*Inputs!$B$181,0)</f>
        <v>0</v>
      </c>
      <c r="AB20" s="7">
        <f ca="1">MAX(AVERAGE(AB57,AB57+SUM(AB5:AB19)-AB54)*Inputs!$B$181,0)</f>
        <v>0</v>
      </c>
      <c r="AC20" s="7">
        <f ca="1">MAX(AVERAGE(AC57,AC57+SUM(AC5:AC19)-AC54)*Inputs!$B$181,0)</f>
        <v>0</v>
      </c>
      <c r="AD20" s="7">
        <f ca="1">MAX(AVERAGE(AD57,AD57+SUM(AD5:AD19)-AD54)*Inputs!$B$181,0)</f>
        <v>0</v>
      </c>
      <c r="AE20" s="7">
        <f ca="1">MAX(AVERAGE(AE57,AE57+SUM(AE5:AE19)-AE54)*Inputs!$B$181,0)</f>
        <v>0</v>
      </c>
      <c r="AF20" s="7">
        <f ca="1">MAX(AVERAGE(AF57,AF57+SUM(AF5:AF19)-AF54)*Inputs!$B$181,0)</f>
        <v>0</v>
      </c>
      <c r="AG20" s="7">
        <f ca="1">MAX(AVERAGE(AG57,AG57+SUM(AG5:AG19)-AG54)*Inputs!$B$181,0)</f>
        <v>0</v>
      </c>
      <c r="AH20" s="7">
        <f ca="1">MAX(AVERAGE(AH57,AH57+SUM(AH5:AH19)-AH54)*Inputs!$B$181,0)</f>
        <v>522.17765554376388</v>
      </c>
      <c r="AI20" s="7">
        <f ca="1">MAX(AVERAGE(AI57,AI57+SUM(AI5:AI19)-AI54)*Inputs!$B$181,0)</f>
        <v>1089.0507858081808</v>
      </c>
      <c r="AJ20" s="7">
        <f ca="1">MAX(AVERAGE(AJ57,AJ57+SUM(AJ5:AJ19)-AJ54)*Inputs!$B$181,0)</f>
        <v>1697.1049158443502</v>
      </c>
      <c r="AK20" s="7">
        <f ca="1">MAX(AVERAGE(AK57,AK57+SUM(AK5:AK19)-AK54)*Inputs!$B$181,0)</f>
        <v>2348.4397110632412</v>
      </c>
      <c r="AL20" s="7">
        <f ca="1">MAX(AVERAGE(AL57,AL57+SUM(AL5:AL19)-AL54)*Inputs!$B$181,0)</f>
        <v>3045.2459293553784</v>
      </c>
      <c r="AM20" s="7">
        <f ca="1">MAX(AVERAGE(AM57,AM57+SUM(AM5:AM19)-AM54)*Inputs!$B$181,0)</f>
        <v>3789.8090188439546</v>
      </c>
    </row>
    <row r="21" spans="1:39">
      <c r="C21" s="9">
        <f ca="1">SUM(C4:C20)</f>
        <v>125076.75</v>
      </c>
      <c r="D21" s="9">
        <f t="shared" ref="D21:AM21" ca="1" si="35">SUM(D4:D20)</f>
        <v>129500.74374999999</v>
      </c>
      <c r="E21" s="9">
        <f t="shared" ca="1" si="35"/>
        <v>58411.590468750001</v>
      </c>
      <c r="F21" s="9">
        <f t="shared" ca="1" si="35"/>
        <v>47817.492774663042</v>
      </c>
      <c r="G21" s="9">
        <f t="shared" ca="1" si="35"/>
        <v>48916.241396250007</v>
      </c>
      <c r="H21" s="9">
        <f t="shared" ca="1" si="35"/>
        <v>56029.731573684374</v>
      </c>
      <c r="I21" s="9">
        <f t="shared" ca="1" si="35"/>
        <v>51872.557142379286</v>
      </c>
      <c r="J21" s="9">
        <f t="shared" ca="1" si="35"/>
        <v>53417.136922468533</v>
      </c>
      <c r="K21" s="9">
        <f t="shared" ca="1" si="35"/>
        <v>115927.90904810179</v>
      </c>
      <c r="L21" s="9">
        <f t="shared" ca="1" si="35"/>
        <v>71632.16870818098</v>
      </c>
      <c r="M21" s="9">
        <f t="shared" ca="1" si="35"/>
        <v>71133.544273137348</v>
      </c>
      <c r="N21" s="9">
        <f t="shared" ca="1" si="35"/>
        <v>73190.74552867969</v>
      </c>
      <c r="O21" s="9">
        <f t="shared" ca="1" si="35"/>
        <v>75307.742695071996</v>
      </c>
      <c r="P21" s="9">
        <f t="shared" ca="1" si="35"/>
        <v>77486.28164646939</v>
      </c>
      <c r="Q21" s="9">
        <f t="shared" ca="1" si="35"/>
        <v>79728.159433172332</v>
      </c>
      <c r="R21" s="9">
        <f t="shared" ca="1" si="35"/>
        <v>82035.225786909083</v>
      </c>
      <c r="S21" s="9">
        <f t="shared" ca="1" si="35"/>
        <v>101926.55099432112</v>
      </c>
      <c r="T21" s="9">
        <f t="shared" ca="1" si="35"/>
        <v>104807.69135529213</v>
      </c>
      <c r="U21" s="9">
        <f t="shared" ca="1" si="35"/>
        <v>107770.84952287083</v>
      </c>
      <c r="V21" s="9">
        <f t="shared" ca="1" si="35"/>
        <v>110818.3756211499</v>
      </c>
      <c r="W21" s="9">
        <f t="shared" ca="1" si="35"/>
        <v>113952.68751769213</v>
      </c>
      <c r="X21" s="9">
        <f t="shared" ca="1" si="35"/>
        <v>97021.290571256483</v>
      </c>
      <c r="Y21" s="9">
        <f t="shared" ca="1" si="35"/>
        <v>99832.83395916759</v>
      </c>
      <c r="Z21" s="9">
        <f t="shared" ca="1" si="35"/>
        <v>102726.24626548543</v>
      </c>
      <c r="AA21" s="9">
        <f t="shared" ca="1" si="35"/>
        <v>105703.92162318133</v>
      </c>
      <c r="AB21" s="9">
        <f t="shared" ca="1" si="35"/>
        <v>108768.32444085137</v>
      </c>
      <c r="AC21" s="9">
        <f t="shared" ca="1" si="35"/>
        <v>111921.99147227594</v>
      </c>
      <c r="AD21" s="9">
        <f t="shared" ca="1" si="35"/>
        <v>115167.53394709819</v>
      </c>
      <c r="AE21" s="9">
        <f t="shared" ca="1" si="35"/>
        <v>118507.63976443143</v>
      </c>
      <c r="AF21" s="9">
        <f t="shared" ca="1" si="35"/>
        <v>121945.07575125773</v>
      </c>
      <c r="AG21" s="9">
        <f t="shared" ca="1" si="35"/>
        <v>125482.6899875361</v>
      </c>
      <c r="AH21" s="9">
        <f t="shared" ca="1" si="35"/>
        <v>129645.59185554014</v>
      </c>
      <c r="AI21" s="9">
        <f t="shared" ca="1" si="35"/>
        <v>133959.31701245948</v>
      </c>
      <c r="AJ21" s="9">
        <f t="shared" ca="1" si="35"/>
        <v>138423.45746996658</v>
      </c>
      <c r="AK21" s="9">
        <f t="shared" ca="1" si="35"/>
        <v>143043.31064099731</v>
      </c>
      <c r="AL21" s="9">
        <f t="shared" ca="1" si="35"/>
        <v>147824.35898135538</v>
      </c>
      <c r="AM21" s="9">
        <f t="shared" ca="1" si="35"/>
        <v>152772.27635642607</v>
      </c>
    </row>
    <row r="22" spans="1:39" ht="19">
      <c r="A22" s="12" t="s">
        <v>18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</row>
    <row r="23" spans="1:39">
      <c r="A23" s="4" t="s">
        <v>71</v>
      </c>
      <c r="C23" s="7">
        <f>Inputs!B97</f>
        <v>1000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</row>
    <row r="24" spans="1:39">
      <c r="A24" s="4" t="s">
        <v>13</v>
      </c>
      <c r="C24" s="7">
        <f>MAX(IF(C$1*12&lt;=Inputs!$G$15,12,(Inputs!$G$15-B$1*12)),0)*Inputs!$B$17</f>
        <v>9600</v>
      </c>
      <c r="D24" s="7">
        <f>MAX(IF(D$1*12&lt;=Inputs!$G$15,12,(Inputs!$G$15-C$1*12)),0)*Inputs!$B$17</f>
        <v>9600</v>
      </c>
      <c r="E24" s="7">
        <f>MAX(IF(E$1*12&lt;=Inputs!$G$15,12,(Inputs!$G$15-D$1*12)),0)*Inputs!$B$17</f>
        <v>9600</v>
      </c>
      <c r="F24" s="7">
        <f>MAX(IF(F$1*12&lt;=Inputs!$G$15,12,(Inputs!$G$15-E$1*12)),0)*Inputs!$B$17</f>
        <v>9600</v>
      </c>
      <c r="G24" s="7">
        <f>MAX(IF(G$1*12&lt;=Inputs!$G$15,12,(Inputs!$G$15-F$1*12)),0)*Inputs!$B$17</f>
        <v>9600</v>
      </c>
      <c r="H24" s="7">
        <f>MAX(IF(H$1*12&lt;=Inputs!$G$15,12,(Inputs!$G$15-G$1*12)),0)*Inputs!$B$17</f>
        <v>6435.6231080800517</v>
      </c>
      <c r="I24" s="7">
        <f>MAX(IF(I$1*12&lt;=Inputs!$G$15,12,(Inputs!$G$15-H$1*12)),0)*Inputs!$B$17</f>
        <v>0</v>
      </c>
      <c r="J24" s="7">
        <f>MAX(IF(J$1*12&lt;=Inputs!$G$15,12,(Inputs!$G$15-I$1*12)),0)*Inputs!$B$17</f>
        <v>0</v>
      </c>
      <c r="K24" s="7">
        <f>MAX(IF(K$1*12&lt;=Inputs!$G$15,12,(Inputs!$G$15-J$1*12)),0)*Inputs!$B$17</f>
        <v>0</v>
      </c>
      <c r="L24" s="7">
        <f>MAX(IF(L$1*12&lt;=Inputs!$G$15,12,(Inputs!$G$15-K$1*12)),0)*Inputs!$B$17</f>
        <v>0</v>
      </c>
      <c r="M24" s="7">
        <f>MAX(IF(M$1*12&lt;=Inputs!$G$15,12,(Inputs!$G$15-L$1*12)),0)*Inputs!$B$17</f>
        <v>0</v>
      </c>
      <c r="N24" s="7">
        <f>MAX(IF(N$1*12&lt;=Inputs!$G$15,12,(Inputs!$G$15-M$1*12)),0)*Inputs!$B$17</f>
        <v>0</v>
      </c>
      <c r="O24" s="7">
        <f>MAX(IF(O$1*12&lt;=Inputs!$G$15,12,(Inputs!$G$15-N$1*12)),0)*Inputs!$B$17</f>
        <v>0</v>
      </c>
      <c r="P24" s="7">
        <f>MAX(IF(P$1*12&lt;=Inputs!$G$15,12,(Inputs!$G$15-O$1*12)),0)*Inputs!$B$17</f>
        <v>0</v>
      </c>
      <c r="Q24" s="7">
        <f>MAX(IF(Q$1*12&lt;=Inputs!$G$15,12,(Inputs!$G$15-P$1*12)),0)*Inputs!$B$17</f>
        <v>0</v>
      </c>
      <c r="R24" s="7">
        <f>MAX(IF(R$1*12&lt;=Inputs!$G$15,12,(Inputs!$G$15-Q$1*12)),0)*Inputs!$B$17</f>
        <v>0</v>
      </c>
      <c r="S24" s="7">
        <f>MAX(IF(S$1*12&lt;=Inputs!$G$15,12,(Inputs!$G$15-R$1*12)),0)*Inputs!$B$17</f>
        <v>0</v>
      </c>
      <c r="T24" s="7">
        <f>MAX(IF(T$1*12&lt;=Inputs!$G$15,12,(Inputs!$G$15-S$1*12)),0)*Inputs!$B$17</f>
        <v>0</v>
      </c>
      <c r="U24" s="7">
        <f>MAX(IF(U$1*12&lt;=Inputs!$G$15,12,(Inputs!$G$15-T$1*12)),0)*Inputs!$B$17</f>
        <v>0</v>
      </c>
      <c r="V24" s="7">
        <f>MAX(IF(V$1*12&lt;=Inputs!$G$15,12,(Inputs!$G$15-U$1*12)),0)*Inputs!$B$17</f>
        <v>0</v>
      </c>
      <c r="W24" s="7">
        <f>MAX(IF(W$1*12&lt;=Inputs!$G$15,12,(Inputs!$G$15-V$1*12)),0)*Inputs!$B$17</f>
        <v>0</v>
      </c>
      <c r="X24" s="7">
        <f>MAX(IF(X$1*12&lt;=Inputs!$G$15,12,(Inputs!$G$15-W$1*12)),0)*Inputs!$B$17</f>
        <v>0</v>
      </c>
      <c r="Y24" s="7">
        <f>MAX(IF(Y$1*12&lt;=Inputs!$G$15,12,(Inputs!$G$15-X$1*12)),0)*Inputs!$B$17</f>
        <v>0</v>
      </c>
      <c r="Z24" s="7">
        <f>MAX(IF(Z$1*12&lt;=Inputs!$G$15,12,(Inputs!$G$15-Y$1*12)),0)*Inputs!$B$17</f>
        <v>0</v>
      </c>
      <c r="AA24" s="7">
        <f>MAX(IF(AA$1*12&lt;=Inputs!$G$15,12,(Inputs!$G$15-Z$1*12)),0)*Inputs!$B$17</f>
        <v>0</v>
      </c>
      <c r="AB24" s="7">
        <f>MAX(IF(AB$1*12&lt;=Inputs!$G$15,12,(Inputs!$G$15-AA$1*12)),0)*Inputs!$B$17</f>
        <v>0</v>
      </c>
      <c r="AC24" s="7">
        <f>MAX(IF(AC$1*12&lt;=Inputs!$G$15,12,(Inputs!$G$15-AB$1*12)),0)*Inputs!$B$17</f>
        <v>0</v>
      </c>
      <c r="AD24" s="7">
        <f>MAX(IF(AD$1*12&lt;=Inputs!$G$15,12,(Inputs!$G$15-AC$1*12)),0)*Inputs!$B$17</f>
        <v>0</v>
      </c>
      <c r="AE24" s="7">
        <f>MAX(IF(AE$1*12&lt;=Inputs!$G$15,12,(Inputs!$G$15-AD$1*12)),0)*Inputs!$B$17</f>
        <v>0</v>
      </c>
      <c r="AF24" s="7">
        <f>MAX(IF(AF$1*12&lt;=Inputs!$G$15,12,(Inputs!$G$15-AE$1*12)),0)*Inputs!$B$17</f>
        <v>0</v>
      </c>
      <c r="AG24" s="7">
        <f>MAX(IF(AG$1*12&lt;=Inputs!$G$15,12,(Inputs!$G$15-AF$1*12)),0)*Inputs!$B$17</f>
        <v>0</v>
      </c>
      <c r="AH24" s="7">
        <f>MAX(IF(AH$1*12&lt;=Inputs!$G$15,12,(Inputs!$G$15-AG$1*12)),0)*Inputs!$B$17</f>
        <v>0</v>
      </c>
      <c r="AI24" s="7">
        <f>MAX(IF(AI$1*12&lt;=Inputs!$G$15,12,(Inputs!$G$15-AH$1*12)),0)*Inputs!$B$17</f>
        <v>0</v>
      </c>
      <c r="AJ24" s="7">
        <f>MAX(IF(AJ$1*12&lt;=Inputs!$G$15,12,(Inputs!$G$15-AI$1*12)),0)*Inputs!$B$17</f>
        <v>0</v>
      </c>
      <c r="AK24" s="7">
        <f>MAX(IF(AK$1*12&lt;=Inputs!$G$15,12,(Inputs!$G$15-AJ$1*12)),0)*Inputs!$B$17</f>
        <v>0</v>
      </c>
      <c r="AL24" s="7">
        <f>MAX(IF(AL$1*12&lt;=Inputs!$G$15,12,(Inputs!$G$15-AK$1*12)),0)*Inputs!$B$17</f>
        <v>0</v>
      </c>
      <c r="AM24" s="7">
        <f>MAX(IF(AM$1*12&lt;=Inputs!$G$15,12,(Inputs!$G$15-AL$1*12)),0)*Inputs!$B$17</f>
        <v>0</v>
      </c>
    </row>
    <row r="25" spans="1:39">
      <c r="A25" s="4" t="s">
        <v>53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</row>
    <row r="26" spans="1:39">
      <c r="A26" s="3" t="str">
        <f>TEXT(Inputs!$B$60,"")</f>
        <v>Sliema</v>
      </c>
      <c r="C26" s="7">
        <f>MAX(IF(C$1*12&lt;=Inputs!$G$100,12,(Inputs!$G$100-B$1*12)),0)*Inputs!$B$102</f>
        <v>6000</v>
      </c>
      <c r="D26" s="7">
        <f>MAX(IF(D$1*12&lt;=Inputs!$G$100,12,(Inputs!$G$100-C$1*12)),0)*Inputs!$B$102</f>
        <v>6000</v>
      </c>
      <c r="E26" s="7">
        <f>MAX(IF(E$1*12&lt;=Inputs!$G$100,12,(Inputs!$G$100-D$1*12)),0)*Inputs!$B$102</f>
        <v>6000</v>
      </c>
      <c r="F26" s="7">
        <f>MAX(IF(F$1*12&lt;=Inputs!$G$100,12,(Inputs!$G$100-E$1*12)),0)*Inputs!$B$102</f>
        <v>6000</v>
      </c>
      <c r="G26" s="7">
        <f>MAX(IF(G$1*12&lt;=Inputs!$G$100,12,(Inputs!$G$100-F$1*12)),0)*Inputs!$B$102</f>
        <v>6000</v>
      </c>
      <c r="H26" s="7">
        <f>MAX(IF(H$1*12&lt;=Inputs!$G$100,12,(Inputs!$G$100-G$1*12)),0)*Inputs!$B$102</f>
        <v>6000</v>
      </c>
      <c r="I26" s="7">
        <f>MAX(IF(I$1*12&lt;=Inputs!$G$100,12,(Inputs!$G$100-H$1*12)),0)*Inputs!$B$102</f>
        <v>6000</v>
      </c>
      <c r="J26" s="7">
        <f>MAX(IF(J$1*12&lt;=Inputs!$G$100,12,(Inputs!$G$100-I$1*12)),0)*Inputs!$B$102</f>
        <v>6000</v>
      </c>
      <c r="K26" s="7">
        <f>MAX(IF(K$1*12&lt;=Inputs!$G$100,12,(Inputs!$G$100-J$1*12)),0)*Inputs!$B$102</f>
        <v>6000</v>
      </c>
      <c r="L26" s="7">
        <f>MAX(IF(L$1*12&lt;=Inputs!$G$100,12,(Inputs!$G$100-K$1*12)),0)*Inputs!$B$102</f>
        <v>3608.3050789871932</v>
      </c>
      <c r="M26" s="7">
        <f>MAX(IF(M$1*12&lt;=Inputs!$G$100,12,(Inputs!$G$100-L$1*12)),0)*Inputs!$B$102</f>
        <v>0</v>
      </c>
      <c r="N26" s="7">
        <f>MAX(IF(N$1*12&lt;=Inputs!$G$100,12,(Inputs!$G$100-M$1*12)),0)*Inputs!$B$102</f>
        <v>0</v>
      </c>
      <c r="O26" s="7">
        <f>MAX(IF(O$1*12&lt;=Inputs!$G$100,12,(Inputs!$G$100-N$1*12)),0)*Inputs!$B$102</f>
        <v>0</v>
      </c>
      <c r="P26" s="7">
        <f>MAX(IF(P$1*12&lt;=Inputs!$G$100,12,(Inputs!$G$100-O$1*12)),0)*Inputs!$B$102</f>
        <v>0</v>
      </c>
      <c r="Q26" s="7">
        <f>MAX(IF(Q$1*12&lt;=Inputs!$G$100,12,(Inputs!$G$100-P$1*12)),0)*Inputs!$B$102</f>
        <v>0</v>
      </c>
      <c r="R26" s="7">
        <f>MAX(IF(R$1*12&lt;=Inputs!$G$100,12,(Inputs!$G$100-Q$1*12)),0)*Inputs!$B$102</f>
        <v>0</v>
      </c>
      <c r="S26" s="7">
        <f>MAX(IF(S$1*12&lt;=Inputs!$G$100,12,(Inputs!$G$100-R$1*12)),0)*Inputs!$B$102</f>
        <v>0</v>
      </c>
      <c r="T26" s="7">
        <f>MAX(IF(T$1*12&lt;=Inputs!$G$100,12,(Inputs!$G$100-S$1*12)),0)*Inputs!$B$102</f>
        <v>0</v>
      </c>
      <c r="U26" s="7">
        <f>MAX(IF(U$1*12&lt;=Inputs!$G$100,12,(Inputs!$G$100-T$1*12)),0)*Inputs!$B$102</f>
        <v>0</v>
      </c>
      <c r="V26" s="7">
        <f>MAX(IF(V$1*12&lt;=Inputs!$G$100,12,(Inputs!$G$100-U$1*12)),0)*Inputs!$B$102</f>
        <v>0</v>
      </c>
      <c r="W26" s="7">
        <f>MAX(IF(W$1*12&lt;=Inputs!$G$100,12,(Inputs!$G$100-V$1*12)),0)*Inputs!$B$102</f>
        <v>0</v>
      </c>
      <c r="X26" s="7">
        <f>MAX(IF(X$1*12&lt;=Inputs!$G$100,12,(Inputs!$G$100-W$1*12)),0)*Inputs!$B$102</f>
        <v>0</v>
      </c>
      <c r="Y26" s="7">
        <f>MAX(IF(Y$1*12&lt;=Inputs!$G$100,12,(Inputs!$G$100-X$1*12)),0)*Inputs!$B$102</f>
        <v>0</v>
      </c>
      <c r="Z26" s="7">
        <f>MAX(IF(Z$1*12&lt;=Inputs!$G$100,12,(Inputs!$G$100-Y$1*12)),0)*Inputs!$B$102</f>
        <v>0</v>
      </c>
      <c r="AA26" s="7">
        <f>MAX(IF(AA$1*12&lt;=Inputs!$G$100,12,(Inputs!$G$100-Z$1*12)),0)*Inputs!$B$102</f>
        <v>0</v>
      </c>
      <c r="AB26" s="7">
        <f>MAX(IF(AB$1*12&lt;=Inputs!$G$100,12,(Inputs!$G$100-AA$1*12)),0)*Inputs!$B$102</f>
        <v>0</v>
      </c>
      <c r="AC26" s="7">
        <f>MAX(IF(AC$1*12&lt;=Inputs!$G$100,12,(Inputs!$G$100-AB$1*12)),0)*Inputs!$B$102</f>
        <v>0</v>
      </c>
      <c r="AD26" s="7">
        <f>MAX(IF(AD$1*12&lt;=Inputs!$G$100,12,(Inputs!$G$100-AC$1*12)),0)*Inputs!$B$102</f>
        <v>0</v>
      </c>
      <c r="AE26" s="7">
        <f>MAX(IF(AE$1*12&lt;=Inputs!$G$100,12,(Inputs!$G$100-AD$1*12)),0)*Inputs!$B$102</f>
        <v>0</v>
      </c>
      <c r="AF26" s="7">
        <f>MAX(IF(AF$1*12&lt;=Inputs!$G$100,12,(Inputs!$G$100-AE$1*12)),0)*Inputs!$B$102</f>
        <v>0</v>
      </c>
      <c r="AG26" s="7">
        <f>MAX(IF(AG$1*12&lt;=Inputs!$G$100,12,(Inputs!$G$100-AF$1*12)),0)*Inputs!$B$102</f>
        <v>0</v>
      </c>
      <c r="AH26" s="7">
        <f>MAX(IF(AH$1*12&lt;=Inputs!$G$100,12,(Inputs!$G$100-AG$1*12)),0)*Inputs!$B$102</f>
        <v>0</v>
      </c>
      <c r="AI26" s="7">
        <f>MAX(IF(AI$1*12&lt;=Inputs!$G$100,12,(Inputs!$G$100-AH$1*12)),0)*Inputs!$B$102</f>
        <v>0</v>
      </c>
      <c r="AJ26" s="7">
        <f>MAX(IF(AJ$1*12&lt;=Inputs!$G$100,12,(Inputs!$G$100-AI$1*12)),0)*Inputs!$B$102</f>
        <v>0</v>
      </c>
      <c r="AK26" s="7">
        <f>MAX(IF(AK$1*12&lt;=Inputs!$G$100,12,(Inputs!$G$100-AJ$1*12)),0)*Inputs!$B$102</f>
        <v>0</v>
      </c>
      <c r="AL26" s="7">
        <f>MAX(IF(AL$1*12&lt;=Inputs!$G$100,12,(Inputs!$G$100-AK$1*12)),0)*Inputs!$B$102</f>
        <v>0</v>
      </c>
      <c r="AM26" s="7">
        <f>MAX(IF(AM$1*12&lt;=Inputs!$G$100,12,(Inputs!$G$100-AL$1*12)),0)*Inputs!$B$102</f>
        <v>0</v>
      </c>
    </row>
    <row r="27" spans="1:39">
      <c r="A27" s="3" t="str">
        <f>TEXT(Inputs!$B$65,"")</f>
        <v>Gzira</v>
      </c>
      <c r="C27" s="7">
        <f>MAX(IF(C$1*12&lt;=Inputs!$G$105,12,(Inputs!$G$105-B$1*12)),0)*Inputs!$B$107</f>
        <v>2400</v>
      </c>
      <c r="D27" s="7">
        <f>MAX(IF(D$1*12&lt;=Inputs!$G$105,12,(Inputs!$G$105-C$1*12)),0)*Inputs!$B$107</f>
        <v>2400</v>
      </c>
      <c r="E27" s="7">
        <f>MAX(IF(E$1*12&lt;=Inputs!$G$105,12,(Inputs!$G$105-D$1*12)),0)*Inputs!$B$107</f>
        <v>2400</v>
      </c>
      <c r="F27" s="7">
        <f>MAX(IF(F$1*12&lt;=Inputs!$G$105,12,(Inputs!$G$105-E$1*12)),0)*Inputs!$B$107</f>
        <v>1623.4029019573059</v>
      </c>
      <c r="G27" s="7">
        <f>MAX(IF(G$1*12&lt;=Inputs!$G$105,12,(Inputs!$G$105-F$1*12)),0)*Inputs!$B$107</f>
        <v>0</v>
      </c>
      <c r="H27" s="7">
        <f>MAX(IF(H$1*12&lt;=Inputs!$G$105,12,(Inputs!$G$105-G$1*12)),0)*Inputs!$B$107</f>
        <v>0</v>
      </c>
      <c r="I27" s="7">
        <f>MAX(IF(I$1*12&lt;=Inputs!$G$105,12,(Inputs!$G$105-H$1*12)),0)*Inputs!$B$107</f>
        <v>0</v>
      </c>
      <c r="J27" s="7">
        <f>MAX(IF(J$1*12&lt;=Inputs!$G$105,12,(Inputs!$G$105-I$1*12)),0)*Inputs!$B$107</f>
        <v>0</v>
      </c>
      <c r="K27" s="7">
        <f>MAX(IF(K$1*12&lt;=Inputs!$G$105,12,(Inputs!$G$105-J$1*12)),0)*Inputs!$B$107</f>
        <v>0</v>
      </c>
      <c r="L27" s="7">
        <f>MAX(IF(L$1*12&lt;=Inputs!$G$105,12,(Inputs!$G$105-K$1*12)),0)*Inputs!$B$107</f>
        <v>0</v>
      </c>
      <c r="M27" s="7">
        <f>MAX(IF(M$1*12&lt;=Inputs!$G$105,12,(Inputs!$G$105-L$1*12)),0)*Inputs!$B$107</f>
        <v>0</v>
      </c>
      <c r="N27" s="7">
        <f>MAX(IF(N$1*12&lt;=Inputs!$G$105,12,(Inputs!$G$105-M$1*12)),0)*Inputs!$B$107</f>
        <v>0</v>
      </c>
      <c r="O27" s="7">
        <f>MAX(IF(O$1*12&lt;=Inputs!$G$105,12,(Inputs!$G$105-N$1*12)),0)*Inputs!$B$107</f>
        <v>0</v>
      </c>
      <c r="P27" s="7">
        <f>MAX(IF(P$1*12&lt;=Inputs!$G$105,12,(Inputs!$G$105-O$1*12)),0)*Inputs!$B$107</f>
        <v>0</v>
      </c>
      <c r="Q27" s="7">
        <f>MAX(IF(Q$1*12&lt;=Inputs!$G$105,12,(Inputs!$G$105-P$1*12)),0)*Inputs!$B$107</f>
        <v>0</v>
      </c>
      <c r="R27" s="7">
        <f>MAX(IF(R$1*12&lt;=Inputs!$G$105,12,(Inputs!$G$105-Q$1*12)),0)*Inputs!$B$107</f>
        <v>0</v>
      </c>
      <c r="S27" s="7">
        <f>MAX(IF(S$1*12&lt;=Inputs!$G$105,12,(Inputs!$G$105-R$1*12)),0)*Inputs!$B$107</f>
        <v>0</v>
      </c>
      <c r="T27" s="7">
        <f>MAX(IF(T$1*12&lt;=Inputs!$G$105,12,(Inputs!$G$105-S$1*12)),0)*Inputs!$B$107</f>
        <v>0</v>
      </c>
      <c r="U27" s="7">
        <f>MAX(IF(U$1*12&lt;=Inputs!$G$105,12,(Inputs!$G$105-T$1*12)),0)*Inputs!$B$107</f>
        <v>0</v>
      </c>
      <c r="V27" s="7">
        <f>MAX(IF(V$1*12&lt;=Inputs!$G$105,12,(Inputs!$G$105-U$1*12)),0)*Inputs!$B$107</f>
        <v>0</v>
      </c>
      <c r="W27" s="7">
        <f>MAX(IF(W$1*12&lt;=Inputs!$G$105,12,(Inputs!$G$105-V$1*12)),0)*Inputs!$B$107</f>
        <v>0</v>
      </c>
      <c r="X27" s="7">
        <f>MAX(IF(X$1*12&lt;=Inputs!$G$105,12,(Inputs!$G$105-W$1*12)),0)*Inputs!$B$107</f>
        <v>0</v>
      </c>
      <c r="Y27" s="7">
        <f>MAX(IF(Y$1*12&lt;=Inputs!$G$105,12,(Inputs!$G$105-X$1*12)),0)*Inputs!$B$107</f>
        <v>0</v>
      </c>
      <c r="Z27" s="7">
        <f>MAX(IF(Z$1*12&lt;=Inputs!$G$105,12,(Inputs!$G$105-Y$1*12)),0)*Inputs!$B$107</f>
        <v>0</v>
      </c>
      <c r="AA27" s="7">
        <f>MAX(IF(AA$1*12&lt;=Inputs!$G$105,12,(Inputs!$G$105-Z$1*12)),0)*Inputs!$B$107</f>
        <v>0</v>
      </c>
      <c r="AB27" s="7">
        <f>MAX(IF(AB$1*12&lt;=Inputs!$G$105,12,(Inputs!$G$105-AA$1*12)),0)*Inputs!$B$107</f>
        <v>0</v>
      </c>
      <c r="AC27" s="7">
        <f>MAX(IF(AC$1*12&lt;=Inputs!$G$105,12,(Inputs!$G$105-AB$1*12)),0)*Inputs!$B$107</f>
        <v>0</v>
      </c>
      <c r="AD27" s="7">
        <f>MAX(IF(AD$1*12&lt;=Inputs!$G$105,12,(Inputs!$G$105-AC$1*12)),0)*Inputs!$B$107</f>
        <v>0</v>
      </c>
      <c r="AE27" s="7">
        <f>MAX(IF(AE$1*12&lt;=Inputs!$G$105,12,(Inputs!$G$105-AD$1*12)),0)*Inputs!$B$107</f>
        <v>0</v>
      </c>
      <c r="AF27" s="7">
        <f>MAX(IF(AF$1*12&lt;=Inputs!$G$105,12,(Inputs!$G$105-AE$1*12)),0)*Inputs!$B$107</f>
        <v>0</v>
      </c>
      <c r="AG27" s="7">
        <f>MAX(IF(AG$1*12&lt;=Inputs!$G$105,12,(Inputs!$G$105-AF$1*12)),0)*Inputs!$B$107</f>
        <v>0</v>
      </c>
      <c r="AH27" s="7">
        <f>MAX(IF(AH$1*12&lt;=Inputs!$G$105,12,(Inputs!$G$105-AG$1*12)),0)*Inputs!$B$107</f>
        <v>0</v>
      </c>
      <c r="AI27" s="7">
        <f>MAX(IF(AI$1*12&lt;=Inputs!$G$105,12,(Inputs!$G$105-AH$1*12)),0)*Inputs!$B$107</f>
        <v>0</v>
      </c>
      <c r="AJ27" s="7">
        <f>MAX(IF(AJ$1*12&lt;=Inputs!$G$105,12,(Inputs!$G$105-AI$1*12)),0)*Inputs!$B$107</f>
        <v>0</v>
      </c>
      <c r="AK27" s="7">
        <f>MAX(IF(AK$1*12&lt;=Inputs!$G$105,12,(Inputs!$G$105-AJ$1*12)),0)*Inputs!$B$107</f>
        <v>0</v>
      </c>
      <c r="AL27" s="7">
        <f>MAX(IF(AL$1*12&lt;=Inputs!$G$105,12,(Inputs!$G$105-AK$1*12)),0)*Inputs!$B$107</f>
        <v>0</v>
      </c>
      <c r="AM27" s="7">
        <f>MAX(IF(AM$1*12&lt;=Inputs!$G$105,12,(Inputs!$G$105-AL$1*12)),0)*Inputs!$B$107</f>
        <v>0</v>
      </c>
    </row>
    <row r="28" spans="1:39">
      <c r="A28" s="3" t="str">
        <f>TEXT(Inputs!$B$70,"")</f>
        <v>Qormi</v>
      </c>
      <c r="C28" s="7">
        <f>MAX(IF(C$1*12&lt;=Inputs!$G$110,12,(Inputs!$G$110-B$1*12)),0)*Inputs!$B$112</f>
        <v>3000</v>
      </c>
      <c r="D28" s="7">
        <f>MAX(IF(D$1*12&lt;=Inputs!$G$110,12,(Inputs!$G$110-C$1*12)),0)*Inputs!$B$112</f>
        <v>3000</v>
      </c>
      <c r="E28" s="7">
        <f>MAX(IF(E$1*12&lt;=Inputs!$G$110,12,(Inputs!$G$110-D$1*12)),0)*Inputs!$B$112</f>
        <v>3000</v>
      </c>
      <c r="F28" s="7">
        <f>MAX(IF(F$1*12&lt;=Inputs!$G$110,12,(Inputs!$G$110-E$1*12)),0)*Inputs!$B$112</f>
        <v>3000</v>
      </c>
      <c r="G28" s="7">
        <f>MAX(IF(G$1*12&lt;=Inputs!$G$110,12,(Inputs!$G$110-F$1*12)),0)*Inputs!$B$112</f>
        <v>3000</v>
      </c>
      <c r="H28" s="7">
        <f>MAX(IF(H$1*12&lt;=Inputs!$G$110,12,(Inputs!$G$110-G$1*12)),0)*Inputs!$B$112</f>
        <v>2296.8596856502154</v>
      </c>
      <c r="I28" s="7">
        <f>MAX(IF(I$1*12&lt;=Inputs!$G$110,12,(Inputs!$G$110-H$1*12)),0)*Inputs!$B$112</f>
        <v>0</v>
      </c>
      <c r="J28" s="7">
        <f>MAX(IF(J$1*12&lt;=Inputs!$G$110,12,(Inputs!$G$110-I$1*12)),0)*Inputs!$B$112</f>
        <v>0</v>
      </c>
      <c r="K28" s="7">
        <f>MAX(IF(K$1*12&lt;=Inputs!$G$110,12,(Inputs!$G$110-J$1*12)),0)*Inputs!$B$112</f>
        <v>0</v>
      </c>
      <c r="L28" s="7">
        <f>MAX(IF(L$1*12&lt;=Inputs!$G$110,12,(Inputs!$G$110-K$1*12)),0)*Inputs!$B$112</f>
        <v>0</v>
      </c>
      <c r="M28" s="7">
        <f>MAX(IF(M$1*12&lt;=Inputs!$G$110,12,(Inputs!$G$110-L$1*12)),0)*Inputs!$B$112</f>
        <v>0</v>
      </c>
      <c r="N28" s="7">
        <f>MAX(IF(N$1*12&lt;=Inputs!$G$110,12,(Inputs!$G$110-M$1*12)),0)*Inputs!$B$112</f>
        <v>0</v>
      </c>
      <c r="O28" s="7">
        <f>MAX(IF(O$1*12&lt;=Inputs!$G$110,12,(Inputs!$G$110-N$1*12)),0)*Inputs!$B$112</f>
        <v>0</v>
      </c>
      <c r="P28" s="7">
        <f>MAX(IF(P$1*12&lt;=Inputs!$G$110,12,(Inputs!$G$110-O$1*12)),0)*Inputs!$B$112</f>
        <v>0</v>
      </c>
      <c r="Q28" s="7">
        <f>MAX(IF(Q$1*12&lt;=Inputs!$G$110,12,(Inputs!$G$110-P$1*12)),0)*Inputs!$B$112</f>
        <v>0</v>
      </c>
      <c r="R28" s="7">
        <f>MAX(IF(R$1*12&lt;=Inputs!$G$110,12,(Inputs!$G$110-Q$1*12)),0)*Inputs!$B$112</f>
        <v>0</v>
      </c>
      <c r="S28" s="7">
        <f>MAX(IF(S$1*12&lt;=Inputs!$G$110,12,(Inputs!$G$110-R$1*12)),0)*Inputs!$B$112</f>
        <v>0</v>
      </c>
      <c r="T28" s="7">
        <f>MAX(IF(T$1*12&lt;=Inputs!$G$110,12,(Inputs!$G$110-S$1*12)),0)*Inputs!$B$112</f>
        <v>0</v>
      </c>
      <c r="U28" s="7">
        <f>MAX(IF(U$1*12&lt;=Inputs!$G$110,12,(Inputs!$G$110-T$1*12)),0)*Inputs!$B$112</f>
        <v>0</v>
      </c>
      <c r="V28" s="7">
        <f>MAX(IF(V$1*12&lt;=Inputs!$G$110,12,(Inputs!$G$110-U$1*12)),0)*Inputs!$B$112</f>
        <v>0</v>
      </c>
      <c r="W28" s="7">
        <f>MAX(IF(W$1*12&lt;=Inputs!$G$110,12,(Inputs!$G$110-V$1*12)),0)*Inputs!$B$112</f>
        <v>0</v>
      </c>
      <c r="X28" s="7">
        <f>MAX(IF(X$1*12&lt;=Inputs!$G$110,12,(Inputs!$G$110-W$1*12)),0)*Inputs!$B$112</f>
        <v>0</v>
      </c>
      <c r="Y28" s="7">
        <f>MAX(IF(Y$1*12&lt;=Inputs!$G$110,12,(Inputs!$G$110-X$1*12)),0)*Inputs!$B$112</f>
        <v>0</v>
      </c>
      <c r="Z28" s="7">
        <f>MAX(IF(Z$1*12&lt;=Inputs!$G$110,12,(Inputs!$G$110-Y$1*12)),0)*Inputs!$B$112</f>
        <v>0</v>
      </c>
      <c r="AA28" s="7">
        <f>MAX(IF(AA$1*12&lt;=Inputs!$G$110,12,(Inputs!$G$110-Z$1*12)),0)*Inputs!$B$112</f>
        <v>0</v>
      </c>
      <c r="AB28" s="7">
        <f>MAX(IF(AB$1*12&lt;=Inputs!$G$110,12,(Inputs!$G$110-AA$1*12)),0)*Inputs!$B$112</f>
        <v>0</v>
      </c>
      <c r="AC28" s="7">
        <f>MAX(IF(AC$1*12&lt;=Inputs!$G$110,12,(Inputs!$G$110-AB$1*12)),0)*Inputs!$B$112</f>
        <v>0</v>
      </c>
      <c r="AD28" s="7">
        <f>MAX(IF(AD$1*12&lt;=Inputs!$G$110,12,(Inputs!$G$110-AC$1*12)),0)*Inputs!$B$112</f>
        <v>0</v>
      </c>
      <c r="AE28" s="7">
        <f>MAX(IF(AE$1*12&lt;=Inputs!$G$110,12,(Inputs!$G$110-AD$1*12)),0)*Inputs!$B$112</f>
        <v>0</v>
      </c>
      <c r="AF28" s="7">
        <f>MAX(IF(AF$1*12&lt;=Inputs!$G$110,12,(Inputs!$G$110-AE$1*12)),0)*Inputs!$B$112</f>
        <v>0</v>
      </c>
      <c r="AG28" s="7">
        <f>MAX(IF(AG$1*12&lt;=Inputs!$G$110,12,(Inputs!$G$110-AF$1*12)),0)*Inputs!$B$112</f>
        <v>0</v>
      </c>
      <c r="AH28" s="7">
        <f>MAX(IF(AH$1*12&lt;=Inputs!$G$110,12,(Inputs!$G$110-AG$1*12)),0)*Inputs!$B$112</f>
        <v>0</v>
      </c>
      <c r="AI28" s="7">
        <f>MAX(IF(AI$1*12&lt;=Inputs!$G$110,12,(Inputs!$G$110-AH$1*12)),0)*Inputs!$B$112</f>
        <v>0</v>
      </c>
      <c r="AJ28" s="7">
        <f>MAX(IF(AJ$1*12&lt;=Inputs!$G$110,12,(Inputs!$G$110-AI$1*12)),0)*Inputs!$B$112</f>
        <v>0</v>
      </c>
      <c r="AK28" s="7">
        <f>MAX(IF(AK$1*12&lt;=Inputs!$G$110,12,(Inputs!$G$110-AJ$1*12)),0)*Inputs!$B$112</f>
        <v>0</v>
      </c>
      <c r="AL28" s="7">
        <f>MAX(IF(AL$1*12&lt;=Inputs!$G$110,12,(Inputs!$G$110-AK$1*12)),0)*Inputs!$B$112</f>
        <v>0</v>
      </c>
      <c r="AM28" s="7">
        <f>MAX(IF(AM$1*12&lt;=Inputs!$G$110,12,(Inputs!$G$110-AL$1*12)),0)*Inputs!$B$112</f>
        <v>0</v>
      </c>
    </row>
    <row r="29" spans="1:39">
      <c r="A29" s="3" t="str">
        <f>TEXT(Inputs!$B$75,"")</f>
        <v>Gudja</v>
      </c>
      <c r="C29" s="7">
        <f>MAX(IF(C$1*12&lt;=Inputs!$G$115,12,(Inputs!$G$115-B$1*12)),0)*Inputs!$B$117</f>
        <v>960</v>
      </c>
      <c r="D29" s="7">
        <f>MAX(IF(D$1*12&lt;=Inputs!$G$115,12,(Inputs!$G$115-C$1*12)),0)*Inputs!$B$117</f>
        <v>960</v>
      </c>
      <c r="E29" s="7">
        <f>MAX(IF(E$1*12&lt;=Inputs!$G$115,12,(Inputs!$G$115-D$1*12)),0)*Inputs!$B$117</f>
        <v>960</v>
      </c>
      <c r="F29" s="7">
        <f>MAX(IF(F$1*12&lt;=Inputs!$G$115,12,(Inputs!$G$115-E$1*12)),0)*Inputs!$B$117</f>
        <v>960</v>
      </c>
      <c r="G29" s="7">
        <f>MAX(IF(G$1*12&lt;=Inputs!$G$115,12,(Inputs!$G$115-F$1*12)),0)*Inputs!$B$117</f>
        <v>960</v>
      </c>
      <c r="H29" s="7">
        <f>MAX(IF(H$1*12&lt;=Inputs!$G$115,12,(Inputs!$G$115-G$1*12)),0)*Inputs!$B$117</f>
        <v>128.25858585362369</v>
      </c>
      <c r="I29" s="7">
        <f>MAX(IF(I$1*12&lt;=Inputs!$G$115,12,(Inputs!$G$115-H$1*12)),0)*Inputs!$B$117</f>
        <v>0</v>
      </c>
      <c r="J29" s="7">
        <f>MAX(IF(J$1*12&lt;=Inputs!$G$115,12,(Inputs!$G$115-I$1*12)),0)*Inputs!$B$117</f>
        <v>0</v>
      </c>
      <c r="K29" s="7">
        <f>MAX(IF(K$1*12&lt;=Inputs!$G$115,12,(Inputs!$G$115-J$1*12)),0)*Inputs!$B$117</f>
        <v>0</v>
      </c>
      <c r="L29" s="7">
        <f>MAX(IF(L$1*12&lt;=Inputs!$G$115,12,(Inputs!$G$115-K$1*12)),0)*Inputs!$B$117</f>
        <v>0</v>
      </c>
      <c r="M29" s="7">
        <f>MAX(IF(M$1*12&lt;=Inputs!$G$115,12,(Inputs!$G$115-L$1*12)),0)*Inputs!$B$117</f>
        <v>0</v>
      </c>
      <c r="N29" s="7">
        <f>MAX(IF(N$1*12&lt;=Inputs!$G$115,12,(Inputs!$G$115-M$1*12)),0)*Inputs!$B$117</f>
        <v>0</v>
      </c>
      <c r="O29" s="7">
        <f>MAX(IF(O$1*12&lt;=Inputs!$G$115,12,(Inputs!$G$115-N$1*12)),0)*Inputs!$B$117</f>
        <v>0</v>
      </c>
      <c r="P29" s="7">
        <f>MAX(IF(P$1*12&lt;=Inputs!$G$115,12,(Inputs!$G$115-O$1*12)),0)*Inputs!$B$117</f>
        <v>0</v>
      </c>
      <c r="Q29" s="7">
        <f>MAX(IF(Q$1*12&lt;=Inputs!$G$115,12,(Inputs!$G$115-P$1*12)),0)*Inputs!$B$117</f>
        <v>0</v>
      </c>
      <c r="R29" s="7">
        <f>MAX(IF(R$1*12&lt;=Inputs!$G$115,12,(Inputs!$G$115-Q$1*12)),0)*Inputs!$B$117</f>
        <v>0</v>
      </c>
      <c r="S29" s="7">
        <f>MAX(IF(S$1*12&lt;=Inputs!$G$115,12,(Inputs!$G$115-R$1*12)),0)*Inputs!$B$117</f>
        <v>0</v>
      </c>
      <c r="T29" s="7">
        <f>MAX(IF(T$1*12&lt;=Inputs!$G$115,12,(Inputs!$G$115-S$1*12)),0)*Inputs!$B$117</f>
        <v>0</v>
      </c>
      <c r="U29" s="7">
        <f>MAX(IF(U$1*12&lt;=Inputs!$G$115,12,(Inputs!$G$115-T$1*12)),0)*Inputs!$B$117</f>
        <v>0</v>
      </c>
      <c r="V29" s="7">
        <f>MAX(IF(V$1*12&lt;=Inputs!$G$115,12,(Inputs!$G$115-U$1*12)),0)*Inputs!$B$117</f>
        <v>0</v>
      </c>
      <c r="W29" s="7">
        <f>MAX(IF(W$1*12&lt;=Inputs!$G$115,12,(Inputs!$G$115-V$1*12)),0)*Inputs!$B$117</f>
        <v>0</v>
      </c>
      <c r="X29" s="7">
        <f>MAX(IF(X$1*12&lt;=Inputs!$G$115,12,(Inputs!$G$115-W$1*12)),0)*Inputs!$B$117</f>
        <v>0</v>
      </c>
      <c r="Y29" s="7">
        <f>MAX(IF(Y$1*12&lt;=Inputs!$G$115,12,(Inputs!$G$115-X$1*12)),0)*Inputs!$B$117</f>
        <v>0</v>
      </c>
      <c r="Z29" s="7">
        <f>MAX(IF(Z$1*12&lt;=Inputs!$G$115,12,(Inputs!$G$115-Y$1*12)),0)*Inputs!$B$117</f>
        <v>0</v>
      </c>
      <c r="AA29" s="7">
        <f>MAX(IF(AA$1*12&lt;=Inputs!$G$115,12,(Inputs!$G$115-Z$1*12)),0)*Inputs!$B$117</f>
        <v>0</v>
      </c>
      <c r="AB29" s="7">
        <f>MAX(IF(AB$1*12&lt;=Inputs!$G$115,12,(Inputs!$G$115-AA$1*12)),0)*Inputs!$B$117</f>
        <v>0</v>
      </c>
      <c r="AC29" s="7">
        <f>MAX(IF(AC$1*12&lt;=Inputs!$G$115,12,(Inputs!$G$115-AB$1*12)),0)*Inputs!$B$117</f>
        <v>0</v>
      </c>
      <c r="AD29" s="7">
        <f>MAX(IF(AD$1*12&lt;=Inputs!$G$115,12,(Inputs!$G$115-AC$1*12)),0)*Inputs!$B$117</f>
        <v>0</v>
      </c>
      <c r="AE29" s="7">
        <f>MAX(IF(AE$1*12&lt;=Inputs!$G$115,12,(Inputs!$G$115-AD$1*12)),0)*Inputs!$B$117</f>
        <v>0</v>
      </c>
      <c r="AF29" s="7">
        <f>MAX(IF(AF$1*12&lt;=Inputs!$G$115,12,(Inputs!$G$115-AE$1*12)),0)*Inputs!$B$117</f>
        <v>0</v>
      </c>
      <c r="AG29" s="7">
        <f>MAX(IF(AG$1*12&lt;=Inputs!$G$115,12,(Inputs!$G$115-AF$1*12)),0)*Inputs!$B$117</f>
        <v>0</v>
      </c>
      <c r="AH29" s="7">
        <f>MAX(IF(AH$1*12&lt;=Inputs!$G$115,12,(Inputs!$G$115-AG$1*12)),0)*Inputs!$B$117</f>
        <v>0</v>
      </c>
      <c r="AI29" s="7">
        <f>MAX(IF(AI$1*12&lt;=Inputs!$G$115,12,(Inputs!$G$115-AH$1*12)),0)*Inputs!$B$117</f>
        <v>0</v>
      </c>
      <c r="AJ29" s="7">
        <f>MAX(IF(AJ$1*12&lt;=Inputs!$G$115,12,(Inputs!$G$115-AI$1*12)),0)*Inputs!$B$117</f>
        <v>0</v>
      </c>
      <c r="AK29" s="7">
        <f>MAX(IF(AK$1*12&lt;=Inputs!$G$115,12,(Inputs!$G$115-AJ$1*12)),0)*Inputs!$B$117</f>
        <v>0</v>
      </c>
      <c r="AL29" s="7">
        <f>MAX(IF(AL$1*12&lt;=Inputs!$G$115,12,(Inputs!$G$115-AK$1*12)),0)*Inputs!$B$117</f>
        <v>0</v>
      </c>
      <c r="AM29" s="7">
        <f>MAX(IF(AM$1*12&lt;=Inputs!$G$115,12,(Inputs!$G$115-AL$1*12)),0)*Inputs!$B$117</f>
        <v>0</v>
      </c>
    </row>
    <row r="30" spans="1:39">
      <c r="A30" s="3" t="str">
        <f>TEXT(Inputs!$B$80,"")</f>
        <v>Marsa</v>
      </c>
      <c r="C30" s="7">
        <f>MAX(IF(C$1*12&lt;=Inputs!$G$120,12,(Inputs!$G$120-B$1*12)),0)*Inputs!$B$122</f>
        <v>1440</v>
      </c>
      <c r="D30" s="7">
        <f>MAX(IF(D$1*12&lt;=Inputs!$G$120,12,(Inputs!$G$120-C$1*12)),0)*Inputs!$B$122</f>
        <v>1440</v>
      </c>
      <c r="E30" s="7">
        <f>MAX(IF(E$1*12&lt;=Inputs!$G$120,12,(Inputs!$G$120-D$1*12)),0)*Inputs!$B$122</f>
        <v>1440</v>
      </c>
      <c r="F30" s="7">
        <f>MAX(IF(F$1*12&lt;=Inputs!$G$120,12,(Inputs!$G$120-E$1*12)),0)*Inputs!$B$122</f>
        <v>1440</v>
      </c>
      <c r="G30" s="7">
        <f>MAX(IF(G$1*12&lt;=Inputs!$G$120,12,(Inputs!$G$120-F$1*12)),0)*Inputs!$B$122</f>
        <v>1440</v>
      </c>
      <c r="H30" s="7">
        <f>MAX(IF(H$1*12&lt;=Inputs!$G$120,12,(Inputs!$G$120-G$1*12)),0)*Inputs!$B$122</f>
        <v>1440</v>
      </c>
      <c r="I30" s="7">
        <f>MAX(IF(I$1*12&lt;=Inputs!$G$120,12,(Inputs!$G$120-H$1*12)),0)*Inputs!$B$122</f>
        <v>1440</v>
      </c>
      <c r="J30" s="7">
        <f>MAX(IF(J$1*12&lt;=Inputs!$G$120,12,(Inputs!$G$120-I$1*12)),0)*Inputs!$B$122</f>
        <v>549.24880782033654</v>
      </c>
      <c r="K30" s="7">
        <f>MAX(IF(K$1*12&lt;=Inputs!$G$120,12,(Inputs!$G$120-J$1*12)),0)*Inputs!$B$122</f>
        <v>0</v>
      </c>
      <c r="L30" s="7">
        <f>MAX(IF(L$1*12&lt;=Inputs!$G$120,12,(Inputs!$G$120-K$1*12)),0)*Inputs!$B$122</f>
        <v>0</v>
      </c>
      <c r="M30" s="7">
        <f>MAX(IF(M$1*12&lt;=Inputs!$G$120,12,(Inputs!$G$120-L$1*12)),0)*Inputs!$B$122</f>
        <v>0</v>
      </c>
      <c r="N30" s="7">
        <f>MAX(IF(N$1*12&lt;=Inputs!$G$120,12,(Inputs!$G$120-M$1*12)),0)*Inputs!$B$122</f>
        <v>0</v>
      </c>
      <c r="O30" s="7">
        <f>MAX(IF(O$1*12&lt;=Inputs!$G$120,12,(Inputs!$G$120-N$1*12)),0)*Inputs!$B$122</f>
        <v>0</v>
      </c>
      <c r="P30" s="7">
        <f>MAX(IF(P$1*12&lt;=Inputs!$G$120,12,(Inputs!$G$120-O$1*12)),0)*Inputs!$B$122</f>
        <v>0</v>
      </c>
      <c r="Q30" s="7">
        <f>MAX(IF(Q$1*12&lt;=Inputs!$G$120,12,(Inputs!$G$120-P$1*12)),0)*Inputs!$B$122</f>
        <v>0</v>
      </c>
      <c r="R30" s="7">
        <f>MAX(IF(R$1*12&lt;=Inputs!$G$120,12,(Inputs!$G$120-Q$1*12)),0)*Inputs!$B$122</f>
        <v>0</v>
      </c>
      <c r="S30" s="7">
        <f>MAX(IF(S$1*12&lt;=Inputs!$G$120,12,(Inputs!$G$120-R$1*12)),0)*Inputs!$B$122</f>
        <v>0</v>
      </c>
      <c r="T30" s="7">
        <f>MAX(IF(T$1*12&lt;=Inputs!$G$120,12,(Inputs!$G$120-S$1*12)),0)*Inputs!$B$122</f>
        <v>0</v>
      </c>
      <c r="U30" s="7">
        <f>MAX(IF(U$1*12&lt;=Inputs!$G$120,12,(Inputs!$G$120-T$1*12)),0)*Inputs!$B$122</f>
        <v>0</v>
      </c>
      <c r="V30" s="7">
        <f>MAX(IF(V$1*12&lt;=Inputs!$G$120,12,(Inputs!$G$120-U$1*12)),0)*Inputs!$B$122</f>
        <v>0</v>
      </c>
      <c r="W30" s="7">
        <f>MAX(IF(W$1*12&lt;=Inputs!$G$120,12,(Inputs!$G$120-V$1*12)),0)*Inputs!$B$122</f>
        <v>0</v>
      </c>
      <c r="X30" s="7">
        <f>MAX(IF(X$1*12&lt;=Inputs!$G$120,12,(Inputs!$G$120-W$1*12)),0)*Inputs!$B$122</f>
        <v>0</v>
      </c>
      <c r="Y30" s="7">
        <f>MAX(IF(Y$1*12&lt;=Inputs!$G$120,12,(Inputs!$G$120-X$1*12)),0)*Inputs!$B$122</f>
        <v>0</v>
      </c>
      <c r="Z30" s="7">
        <f>MAX(IF(Z$1*12&lt;=Inputs!$G$120,12,(Inputs!$G$120-Y$1*12)),0)*Inputs!$B$122</f>
        <v>0</v>
      </c>
      <c r="AA30" s="7">
        <f>MAX(IF(AA$1*12&lt;=Inputs!$G$120,12,(Inputs!$G$120-Z$1*12)),0)*Inputs!$B$122</f>
        <v>0</v>
      </c>
      <c r="AB30" s="7">
        <f>MAX(IF(AB$1*12&lt;=Inputs!$G$120,12,(Inputs!$G$120-AA$1*12)),0)*Inputs!$B$122</f>
        <v>0</v>
      </c>
      <c r="AC30" s="7">
        <f>MAX(IF(AC$1*12&lt;=Inputs!$G$120,12,(Inputs!$G$120-AB$1*12)),0)*Inputs!$B$122</f>
        <v>0</v>
      </c>
      <c r="AD30" s="7">
        <f>MAX(IF(AD$1*12&lt;=Inputs!$G$120,12,(Inputs!$G$120-AC$1*12)),0)*Inputs!$B$122</f>
        <v>0</v>
      </c>
      <c r="AE30" s="7">
        <f>MAX(IF(AE$1*12&lt;=Inputs!$G$120,12,(Inputs!$G$120-AD$1*12)),0)*Inputs!$B$122</f>
        <v>0</v>
      </c>
      <c r="AF30" s="7">
        <f>MAX(IF(AF$1*12&lt;=Inputs!$G$120,12,(Inputs!$G$120-AE$1*12)),0)*Inputs!$B$122</f>
        <v>0</v>
      </c>
      <c r="AG30" s="7">
        <f>MAX(IF(AG$1*12&lt;=Inputs!$G$120,12,(Inputs!$G$120-AF$1*12)),0)*Inputs!$B$122</f>
        <v>0</v>
      </c>
      <c r="AH30" s="7">
        <f>MAX(IF(AH$1*12&lt;=Inputs!$G$120,12,(Inputs!$G$120-AG$1*12)),0)*Inputs!$B$122</f>
        <v>0</v>
      </c>
      <c r="AI30" s="7">
        <f>MAX(IF(AI$1*12&lt;=Inputs!$G$120,12,(Inputs!$G$120-AH$1*12)),0)*Inputs!$B$122</f>
        <v>0</v>
      </c>
      <c r="AJ30" s="7">
        <f>MAX(IF(AJ$1*12&lt;=Inputs!$G$120,12,(Inputs!$G$120-AI$1*12)),0)*Inputs!$B$122</f>
        <v>0</v>
      </c>
      <c r="AK30" s="7">
        <f>MAX(IF(AK$1*12&lt;=Inputs!$G$120,12,(Inputs!$G$120-AJ$1*12)),0)*Inputs!$B$122</f>
        <v>0</v>
      </c>
      <c r="AL30" s="7">
        <f>MAX(IF(AL$1*12&lt;=Inputs!$G$120,12,(Inputs!$G$120-AK$1*12)),0)*Inputs!$B$122</f>
        <v>0</v>
      </c>
      <c r="AM30" s="7">
        <f>MAX(IF(AM$1*12&lt;=Inputs!$G$120,12,(Inputs!$G$120-AL$1*12)),0)*Inputs!$B$122</f>
        <v>0</v>
      </c>
    </row>
    <row r="31" spans="1:39">
      <c r="A31" s="4" t="s">
        <v>35</v>
      </c>
      <c r="C31" s="7">
        <f>MAX(IF(C$1*12&lt;=Inputs!$G$125,12,(Inputs!$G$125-B$1*12)),0)*Inputs!$B$127</f>
        <v>600</v>
      </c>
      <c r="D31" s="7">
        <f>MAX(IF(D$1*12&lt;=Inputs!$G$125,12,(Inputs!$G$125-C$1*12)),0)*Inputs!$B$127</f>
        <v>600</v>
      </c>
      <c r="E31" s="7">
        <f>MAX(IF(E$1*12&lt;=Inputs!$G$125,12,(Inputs!$G$125-D$1*12)),0)*Inputs!$B$127</f>
        <v>600</v>
      </c>
      <c r="F31" s="7">
        <f>MAX(IF(F$1*12&lt;=Inputs!$G$125,12,(Inputs!$G$125-E$1*12)),0)*Inputs!$B$127</f>
        <v>600</v>
      </c>
      <c r="G31" s="7">
        <f>MAX(IF(G$1*12&lt;=Inputs!$G$125,12,(Inputs!$G$125-F$1*12)),0)*Inputs!$B$127</f>
        <v>600</v>
      </c>
      <c r="H31" s="7">
        <f>MAX(IF(H$1*12&lt;=Inputs!$G$125,12,(Inputs!$G$125-G$1*12)),0)*Inputs!$B$127</f>
        <v>600</v>
      </c>
      <c r="I31" s="7">
        <f>MAX(IF(I$1*12&lt;=Inputs!$G$125,12,(Inputs!$G$125-H$1*12)),0)*Inputs!$B$127</f>
        <v>600</v>
      </c>
      <c r="J31" s="7">
        <f>MAX(IF(J$1*12&lt;=Inputs!$G$125,12,(Inputs!$G$125-I$1*12)),0)*Inputs!$B$127</f>
        <v>600</v>
      </c>
      <c r="K31" s="7">
        <f>MAX(IF(K$1*12&lt;=Inputs!$G$125,12,(Inputs!$G$125-J$1*12)),0)*Inputs!$B$127</f>
        <v>321.016262575219</v>
      </c>
      <c r="L31" s="7">
        <f>MAX(IF(L$1*12&lt;=Inputs!$G$125,12,(Inputs!$G$125-K$1*12)),0)*Inputs!$B$127</f>
        <v>0</v>
      </c>
      <c r="M31" s="7">
        <f>MAX(IF(M$1*12&lt;=Inputs!$G$125,12,(Inputs!$G$125-L$1*12)),0)*Inputs!$B$127</f>
        <v>0</v>
      </c>
      <c r="N31" s="7">
        <f>MAX(IF(N$1*12&lt;=Inputs!$G$125,12,(Inputs!$G$125-M$1*12)),0)*Inputs!$B$127</f>
        <v>0</v>
      </c>
      <c r="O31" s="7">
        <f>MAX(IF(O$1*12&lt;=Inputs!$G$125,12,(Inputs!$G$125-N$1*12)),0)*Inputs!$B$127</f>
        <v>0</v>
      </c>
      <c r="P31" s="7">
        <f>MAX(IF(P$1*12&lt;=Inputs!$G$125,12,(Inputs!$G$125-O$1*12)),0)*Inputs!$B$127</f>
        <v>0</v>
      </c>
      <c r="Q31" s="7">
        <f>MAX(IF(Q$1*12&lt;=Inputs!$G$125,12,(Inputs!$G$125-P$1*12)),0)*Inputs!$B$127</f>
        <v>0</v>
      </c>
      <c r="R31" s="7">
        <f>MAX(IF(R$1*12&lt;=Inputs!$G$125,12,(Inputs!$G$125-Q$1*12)),0)*Inputs!$B$127</f>
        <v>0</v>
      </c>
      <c r="S31" s="7">
        <f>MAX(IF(S$1*12&lt;=Inputs!$G$125,12,(Inputs!$G$125-R$1*12)),0)*Inputs!$B$127</f>
        <v>0</v>
      </c>
      <c r="T31" s="7">
        <f>MAX(IF(T$1*12&lt;=Inputs!$G$125,12,(Inputs!$G$125-S$1*12)),0)*Inputs!$B$127</f>
        <v>0</v>
      </c>
      <c r="U31" s="7">
        <f>MAX(IF(U$1*12&lt;=Inputs!$G$125,12,(Inputs!$G$125-T$1*12)),0)*Inputs!$B$127</f>
        <v>0</v>
      </c>
      <c r="V31" s="7">
        <f>MAX(IF(V$1*12&lt;=Inputs!$G$125,12,(Inputs!$G$125-U$1*12)),0)*Inputs!$B$127</f>
        <v>0</v>
      </c>
      <c r="W31" s="7">
        <f>MAX(IF(W$1*12&lt;=Inputs!$G$125,12,(Inputs!$G$125-V$1*12)),0)*Inputs!$B$127</f>
        <v>0</v>
      </c>
      <c r="X31" s="7">
        <f>MAX(IF(X$1*12&lt;=Inputs!$G$125,12,(Inputs!$G$125-W$1*12)),0)*Inputs!$B$127</f>
        <v>0</v>
      </c>
      <c r="Y31" s="7">
        <f>MAX(IF(Y$1*12&lt;=Inputs!$G$125,12,(Inputs!$G$125-X$1*12)),0)*Inputs!$B$127</f>
        <v>0</v>
      </c>
      <c r="Z31" s="7">
        <f>MAX(IF(Z$1*12&lt;=Inputs!$G$125,12,(Inputs!$G$125-Y$1*12)),0)*Inputs!$B$127</f>
        <v>0</v>
      </c>
      <c r="AA31" s="7">
        <f>MAX(IF(AA$1*12&lt;=Inputs!$G$125,12,(Inputs!$G$125-Z$1*12)),0)*Inputs!$B$127</f>
        <v>0</v>
      </c>
      <c r="AB31" s="7">
        <f>MAX(IF(AB$1*12&lt;=Inputs!$G$125,12,(Inputs!$G$125-AA$1*12)),0)*Inputs!$B$127</f>
        <v>0</v>
      </c>
      <c r="AC31" s="7">
        <f>MAX(IF(AC$1*12&lt;=Inputs!$G$125,12,(Inputs!$G$125-AB$1*12)),0)*Inputs!$B$127</f>
        <v>0</v>
      </c>
      <c r="AD31" s="7">
        <f>MAX(IF(AD$1*12&lt;=Inputs!$G$125,12,(Inputs!$G$125-AC$1*12)),0)*Inputs!$B$127</f>
        <v>0</v>
      </c>
      <c r="AE31" s="7">
        <f>MAX(IF(AE$1*12&lt;=Inputs!$G$125,12,(Inputs!$G$125-AD$1*12)),0)*Inputs!$B$127</f>
        <v>0</v>
      </c>
      <c r="AF31" s="7">
        <f>MAX(IF(AF$1*12&lt;=Inputs!$G$125,12,(Inputs!$G$125-AE$1*12)),0)*Inputs!$B$127</f>
        <v>0</v>
      </c>
      <c r="AG31" s="7">
        <f>MAX(IF(AG$1*12&lt;=Inputs!$G$125,12,(Inputs!$G$125-AF$1*12)),0)*Inputs!$B$127</f>
        <v>0</v>
      </c>
      <c r="AH31" s="7">
        <f>MAX(IF(AH$1*12&lt;=Inputs!$G$125,12,(Inputs!$G$125-AG$1*12)),0)*Inputs!$B$127</f>
        <v>0</v>
      </c>
      <c r="AI31" s="7">
        <f>MAX(IF(AI$1*12&lt;=Inputs!$G$125,12,(Inputs!$G$125-AH$1*12)),0)*Inputs!$B$127</f>
        <v>0</v>
      </c>
      <c r="AJ31" s="7">
        <f>MAX(IF(AJ$1*12&lt;=Inputs!$G$125,12,(Inputs!$G$125-AI$1*12)),0)*Inputs!$B$127</f>
        <v>0</v>
      </c>
      <c r="AK31" s="7">
        <f>MAX(IF(AK$1*12&lt;=Inputs!$G$125,12,(Inputs!$G$125-AJ$1*12)),0)*Inputs!$B$127</f>
        <v>0</v>
      </c>
      <c r="AL31" s="7">
        <f>MAX(IF(AL$1*12&lt;=Inputs!$G$125,12,(Inputs!$G$125-AK$1*12)),0)*Inputs!$B$127</f>
        <v>0</v>
      </c>
      <c r="AM31" s="7">
        <f>MAX(IF(AM$1*12&lt;=Inputs!$G$125,12,(Inputs!$G$125-AL$1*12)),0)*Inputs!$B$127</f>
        <v>0</v>
      </c>
    </row>
    <row r="32" spans="1:39">
      <c r="A32" s="4" t="s">
        <v>54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</row>
    <row r="33" spans="1:39">
      <c r="A33" s="3" t="str">
        <f>TEXT(Inputs!B33,"")</f>
        <v>John</v>
      </c>
      <c r="B33" s="8"/>
      <c r="C33" s="7">
        <f>IF(Inputs!$B$35&gt;=C$1,Inputs!$B$34,0)*(1+inf)^B$1</f>
        <v>2000</v>
      </c>
      <c r="D33" s="7">
        <f>IF(Inputs!$B$35&gt;=D$1,Inputs!$B$34,0)*(1+inf)^C$1</f>
        <v>2050</v>
      </c>
      <c r="E33" s="7">
        <f>IF(Inputs!$B$35&gt;=E$1,Inputs!$B$34,0)*(1+inf)^D$1</f>
        <v>2101.25</v>
      </c>
      <c r="F33" s="7">
        <f>IF(Inputs!$B$35&gt;=F$1,Inputs!$B$34,0)*(1+inf)^E$1</f>
        <v>0</v>
      </c>
      <c r="G33" s="7">
        <f>IF(Inputs!$B$35&gt;=G$1,Inputs!$B$34,0)*(1+inf)^F$1</f>
        <v>0</v>
      </c>
      <c r="H33" s="7">
        <f>IF(Inputs!$B$35&gt;=H$1,Inputs!$B$34,0)*(1+inf)^G$1</f>
        <v>0</v>
      </c>
      <c r="I33" s="7">
        <f>IF(Inputs!$B$35&gt;=I$1,Inputs!$B$34,0)*(1+inf)^H$1</f>
        <v>0</v>
      </c>
      <c r="J33" s="7">
        <f>IF(Inputs!$B$35&gt;=J$1,Inputs!$B$34,0)*(1+inf)^I$1</f>
        <v>0</v>
      </c>
      <c r="K33" s="7">
        <f>IF(Inputs!$B$35&gt;=K$1,Inputs!$B$34,0)*(1+inf)^J$1</f>
        <v>0</v>
      </c>
      <c r="L33" s="7">
        <f>IF(Inputs!$B$35&gt;=L$1,Inputs!$B$34,0)*(1+inf)^K$1</f>
        <v>0</v>
      </c>
      <c r="M33" s="7">
        <f>IF(Inputs!$B$35&gt;=M$1,Inputs!$B$34,0)*(1+inf)^L$1</f>
        <v>0</v>
      </c>
      <c r="N33" s="7">
        <f>IF(Inputs!$B$35&gt;=N$1,Inputs!$B$34,0)*(1+inf)^M$1</f>
        <v>0</v>
      </c>
      <c r="O33" s="7">
        <f>IF(Inputs!$B$35&gt;=O$1,Inputs!$B$34,0)*(1+inf)^N$1</f>
        <v>0</v>
      </c>
      <c r="P33" s="7">
        <f>IF(Inputs!$B$35&gt;=P$1,Inputs!$B$34,0)*(1+inf)^O$1</f>
        <v>0</v>
      </c>
      <c r="Q33" s="7">
        <f>IF(Inputs!$B$35&gt;=Q$1,Inputs!$B$34,0)*(1+inf)^P$1</f>
        <v>0</v>
      </c>
      <c r="R33" s="7">
        <f>IF(Inputs!$B$35&gt;=R$1,Inputs!$B$34,0)*(1+inf)^Q$1</f>
        <v>0</v>
      </c>
      <c r="S33" s="7">
        <f>IF(Inputs!$B$35&gt;=S$1,Inputs!$B$34,0)*(1+inf)^R$1</f>
        <v>0</v>
      </c>
      <c r="T33" s="7">
        <f>IF(Inputs!$B$35&gt;=T$1,Inputs!$B$34,0)*(1+inf)^S$1</f>
        <v>0</v>
      </c>
      <c r="U33" s="7">
        <f>IF(Inputs!$B$35&gt;=U$1,Inputs!$B$34,0)*(1+inf)^T$1</f>
        <v>0</v>
      </c>
      <c r="V33" s="7">
        <f>IF(Inputs!$B$35&gt;=V$1,Inputs!$B$34,0)*(1+inf)^U$1</f>
        <v>0</v>
      </c>
      <c r="W33" s="7">
        <f>IF(Inputs!$B$35&gt;=W$1,Inputs!$B$34,0)*(1+inf)^V$1</f>
        <v>0</v>
      </c>
      <c r="X33" s="7">
        <f>IF(Inputs!$B$35&gt;=X$1,Inputs!$B$34,0)*(1+inf)^W$1</f>
        <v>0</v>
      </c>
      <c r="Y33" s="7">
        <f>IF(Inputs!$B$35&gt;=Y$1,Inputs!$B$34,0)*(1+inf)^X$1</f>
        <v>0</v>
      </c>
      <c r="Z33" s="7">
        <f>IF(Inputs!$B$35&gt;=Z$1,Inputs!$B$34,0)*(1+inf)^Y$1</f>
        <v>0</v>
      </c>
      <c r="AA33" s="7">
        <f>IF(Inputs!$B$35&gt;=AA$1,Inputs!$B$34,0)*(1+inf)^Z$1</f>
        <v>0</v>
      </c>
      <c r="AB33" s="7">
        <f>IF(Inputs!$B$35&gt;=AB$1,Inputs!$B$34,0)*(1+inf)^AA$1</f>
        <v>0</v>
      </c>
      <c r="AC33" s="7">
        <f>IF(Inputs!$B$35&gt;=AC$1,Inputs!$B$34,0)*(1+inf)^AB$1</f>
        <v>0</v>
      </c>
      <c r="AD33" s="7">
        <f>IF(Inputs!$B$35&gt;=AD$1,Inputs!$B$34,0)*(1+inf)^AC$1</f>
        <v>0</v>
      </c>
      <c r="AE33" s="7">
        <f>IF(Inputs!$B$35&gt;=AE$1,Inputs!$B$34,0)*(1+inf)^AD$1</f>
        <v>0</v>
      </c>
      <c r="AF33" s="7">
        <f>IF(Inputs!$B$35&gt;=AF$1,Inputs!$B$34,0)*(1+inf)^AE$1</f>
        <v>0</v>
      </c>
      <c r="AG33" s="7">
        <f>IF(Inputs!$B$35&gt;=AG$1,Inputs!$B$34,0)*(1+inf)^AF$1</f>
        <v>0</v>
      </c>
      <c r="AH33" s="7">
        <f>IF(Inputs!$B$35&gt;=AH$1,Inputs!$B$34,0)*(1+inf)^AG$1</f>
        <v>0</v>
      </c>
      <c r="AI33" s="7">
        <f>IF(Inputs!$B$35&gt;=AI$1,Inputs!$B$34,0)*(1+inf)^AH$1</f>
        <v>0</v>
      </c>
      <c r="AJ33" s="7">
        <f>IF(Inputs!$B$35&gt;=AJ$1,Inputs!$B$34,0)*(1+inf)^AI$1</f>
        <v>0</v>
      </c>
      <c r="AK33" s="7">
        <f>IF(Inputs!$B$35&gt;=AK$1,Inputs!$B$34,0)*(1+inf)^AJ$1</f>
        <v>0</v>
      </c>
      <c r="AL33" s="7">
        <f>IF(Inputs!$B$35&gt;=AL$1,Inputs!$B$34,0)*(1+inf)^AK$1</f>
        <v>0</v>
      </c>
      <c r="AM33" s="7">
        <f>IF(Inputs!$B$35&gt;=AM$1,Inputs!$B$34,0)*(1+inf)^AL$1</f>
        <v>0</v>
      </c>
    </row>
    <row r="34" spans="1:39">
      <c r="A34" s="3" t="str">
        <f>TEXT(Inputs!B38,"")</f>
        <v>Jack</v>
      </c>
      <c r="B34" s="8"/>
      <c r="C34" s="7">
        <f>IF(Inputs!$B$40&gt;=C$1,Inputs!$B$39,0)*(1+inf)^B$1</f>
        <v>1000</v>
      </c>
      <c r="D34" s="7">
        <f>IF(Inputs!$B$40&gt;=D$1,Inputs!$B$39,0)*(1+inf)^C$1</f>
        <v>1025</v>
      </c>
      <c r="E34" s="7">
        <f>IF(Inputs!$B$40&gt;=E$1,Inputs!$B$39,0)*(1+inf)^D$1</f>
        <v>1050.625</v>
      </c>
      <c r="F34" s="7">
        <f>IF(Inputs!$B$40&gt;=F$1,Inputs!$B$39,0)*(1+inf)^E$1</f>
        <v>1076.8906249999998</v>
      </c>
      <c r="G34" s="7">
        <f>IF(Inputs!$B$40&gt;=G$1,Inputs!$B$39,0)*(1+inf)^F$1</f>
        <v>1103.8128906249997</v>
      </c>
      <c r="H34" s="7">
        <f>IF(Inputs!$B$40&gt;=H$1,Inputs!$B$39,0)*(1+inf)^G$1</f>
        <v>0</v>
      </c>
      <c r="I34" s="7">
        <f>IF(Inputs!$B$40&gt;=I$1,Inputs!$B$39,0)*(1+inf)^H$1</f>
        <v>0</v>
      </c>
      <c r="J34" s="7">
        <f>IF(Inputs!$B$40&gt;=J$1,Inputs!$B$39,0)*(1+inf)^I$1</f>
        <v>0</v>
      </c>
      <c r="K34" s="7">
        <f>IF(Inputs!$B$40&gt;=K$1,Inputs!$B$39,0)*(1+inf)^J$1</f>
        <v>0</v>
      </c>
      <c r="L34" s="7">
        <f>IF(Inputs!$B$40&gt;=L$1,Inputs!$B$39,0)*(1+inf)^K$1</f>
        <v>0</v>
      </c>
      <c r="M34" s="7">
        <f>IF(Inputs!$B$40&gt;=M$1,Inputs!$B$39,0)*(1+inf)^L$1</f>
        <v>0</v>
      </c>
      <c r="N34" s="7">
        <f>IF(Inputs!$B$40&gt;=N$1,Inputs!$B$39,0)*(1+inf)^M$1</f>
        <v>0</v>
      </c>
      <c r="O34" s="7">
        <f>IF(Inputs!$B$40&gt;=O$1,Inputs!$B$39,0)*(1+inf)^N$1</f>
        <v>0</v>
      </c>
      <c r="P34" s="7">
        <f>IF(Inputs!$B$40&gt;=P$1,Inputs!$B$39,0)*(1+inf)^O$1</f>
        <v>0</v>
      </c>
      <c r="Q34" s="7">
        <f>IF(Inputs!$B$40&gt;=Q$1,Inputs!$B$39,0)*(1+inf)^P$1</f>
        <v>0</v>
      </c>
      <c r="R34" s="7">
        <f>IF(Inputs!$B$40&gt;=R$1,Inputs!$B$39,0)*(1+inf)^Q$1</f>
        <v>0</v>
      </c>
      <c r="S34" s="7">
        <f>IF(Inputs!$B$40&gt;=S$1,Inputs!$B$39,0)*(1+inf)^R$1</f>
        <v>0</v>
      </c>
      <c r="T34" s="7">
        <f>IF(Inputs!$B$40&gt;=T$1,Inputs!$B$39,0)*(1+inf)^S$1</f>
        <v>0</v>
      </c>
      <c r="U34" s="7">
        <f>IF(Inputs!$B$40&gt;=U$1,Inputs!$B$39,0)*(1+inf)^T$1</f>
        <v>0</v>
      </c>
      <c r="V34" s="7">
        <f>IF(Inputs!$B$40&gt;=V$1,Inputs!$B$39,0)*(1+inf)^U$1</f>
        <v>0</v>
      </c>
      <c r="W34" s="7">
        <f>IF(Inputs!$B$40&gt;=W$1,Inputs!$B$39,0)*(1+inf)^V$1</f>
        <v>0</v>
      </c>
      <c r="X34" s="7">
        <f>IF(Inputs!$B$40&gt;=X$1,Inputs!$B$39,0)*(1+inf)^W$1</f>
        <v>0</v>
      </c>
      <c r="Y34" s="7">
        <f>IF(Inputs!$B$40&gt;=Y$1,Inputs!$B$39,0)*(1+inf)^X$1</f>
        <v>0</v>
      </c>
      <c r="Z34" s="7">
        <f>IF(Inputs!$B$40&gt;=Z$1,Inputs!$B$39,0)*(1+inf)^Y$1</f>
        <v>0</v>
      </c>
      <c r="AA34" s="7">
        <f>IF(Inputs!$B$40&gt;=AA$1,Inputs!$B$39,0)*(1+inf)^Z$1</f>
        <v>0</v>
      </c>
      <c r="AB34" s="7">
        <f>IF(Inputs!$B$40&gt;=AB$1,Inputs!$B$39,0)*(1+inf)^AA$1</f>
        <v>0</v>
      </c>
      <c r="AC34" s="7">
        <f>IF(Inputs!$B$40&gt;=AC$1,Inputs!$B$39,0)*(1+inf)^AB$1</f>
        <v>0</v>
      </c>
      <c r="AD34" s="7">
        <f>IF(Inputs!$B$40&gt;=AD$1,Inputs!$B$39,0)*(1+inf)^AC$1</f>
        <v>0</v>
      </c>
      <c r="AE34" s="7">
        <f>IF(Inputs!$B$40&gt;=AE$1,Inputs!$B$39,0)*(1+inf)^AD$1</f>
        <v>0</v>
      </c>
      <c r="AF34" s="7">
        <f>IF(Inputs!$B$40&gt;=AF$1,Inputs!$B$39,0)*(1+inf)^AE$1</f>
        <v>0</v>
      </c>
      <c r="AG34" s="7">
        <f>IF(Inputs!$B$40&gt;=AG$1,Inputs!$B$39,0)*(1+inf)^AF$1</f>
        <v>0</v>
      </c>
      <c r="AH34" s="7">
        <f>IF(Inputs!$B$40&gt;=AH$1,Inputs!$B$39,0)*(1+inf)^AG$1</f>
        <v>0</v>
      </c>
      <c r="AI34" s="7">
        <f>IF(Inputs!$B$40&gt;=AI$1,Inputs!$B$39,0)*(1+inf)^AH$1</f>
        <v>0</v>
      </c>
      <c r="AJ34" s="7">
        <f>IF(Inputs!$B$40&gt;=AJ$1,Inputs!$B$39,0)*(1+inf)^AI$1</f>
        <v>0</v>
      </c>
      <c r="AK34" s="7">
        <f>IF(Inputs!$B$40&gt;=AK$1,Inputs!$B$39,0)*(1+inf)^AJ$1</f>
        <v>0</v>
      </c>
      <c r="AL34" s="7">
        <f>IF(Inputs!$B$40&gt;=AL$1,Inputs!$B$39,0)*(1+inf)^AK$1</f>
        <v>0</v>
      </c>
      <c r="AM34" s="7">
        <f>IF(Inputs!$B$40&gt;=AM$1,Inputs!$B$39,0)*(1+inf)^AL$1</f>
        <v>0</v>
      </c>
    </row>
    <row r="35" spans="1:39">
      <c r="A35" s="3" t="str">
        <f>TEXT(Inputs!B43,"")</f>
        <v>Bill</v>
      </c>
      <c r="B35" s="8"/>
      <c r="C35" s="7">
        <f>IF(Inputs!$B$45&gt;=C$1,Inputs!$B$44,0)*(1+inf)^B$1</f>
        <v>4000</v>
      </c>
      <c r="D35" s="7">
        <f>IF(Inputs!$B$45&gt;=D$1,Inputs!$B$44,0)*(1+inf)^C$1</f>
        <v>4100</v>
      </c>
      <c r="E35" s="7">
        <f>IF(Inputs!$B$45&gt;=E$1,Inputs!$B$44,0)*(1+inf)^D$1</f>
        <v>0</v>
      </c>
      <c r="F35" s="7">
        <f>IF(Inputs!$B$45&gt;=F$1,Inputs!$B$44,0)*(1+inf)^E$1</f>
        <v>0</v>
      </c>
      <c r="G35" s="7">
        <f>IF(Inputs!$B$45&gt;=G$1,Inputs!$B$44,0)*(1+inf)^F$1</f>
        <v>0</v>
      </c>
      <c r="H35" s="7">
        <f>IF(Inputs!$B$45&gt;=H$1,Inputs!$B$44,0)*(1+inf)^G$1</f>
        <v>0</v>
      </c>
      <c r="I35" s="7">
        <f>IF(Inputs!$B$45&gt;=I$1,Inputs!$B$44,0)*(1+inf)^H$1</f>
        <v>0</v>
      </c>
      <c r="J35" s="7">
        <f>IF(Inputs!$B$45&gt;=J$1,Inputs!$B$44,0)*(1+inf)^I$1</f>
        <v>0</v>
      </c>
      <c r="K35" s="7">
        <f>IF(Inputs!$B$45&gt;=K$1,Inputs!$B$44,0)*(1+inf)^J$1</f>
        <v>0</v>
      </c>
      <c r="L35" s="7">
        <f>IF(Inputs!$B$45&gt;=L$1,Inputs!$B$44,0)*(1+inf)^K$1</f>
        <v>0</v>
      </c>
      <c r="M35" s="7">
        <f>IF(Inputs!$B$45&gt;=M$1,Inputs!$B$44,0)*(1+inf)^L$1</f>
        <v>0</v>
      </c>
      <c r="N35" s="7">
        <f>IF(Inputs!$B$45&gt;=N$1,Inputs!$B$44,0)*(1+inf)^M$1</f>
        <v>0</v>
      </c>
      <c r="O35" s="7">
        <f>IF(Inputs!$B$45&gt;=O$1,Inputs!$B$44,0)*(1+inf)^N$1</f>
        <v>0</v>
      </c>
      <c r="P35" s="7">
        <f>IF(Inputs!$B$45&gt;=P$1,Inputs!$B$44,0)*(1+inf)^O$1</f>
        <v>0</v>
      </c>
      <c r="Q35" s="7">
        <f>IF(Inputs!$B$45&gt;=Q$1,Inputs!$B$44,0)*(1+inf)^P$1</f>
        <v>0</v>
      </c>
      <c r="R35" s="7">
        <f>IF(Inputs!$B$45&gt;=R$1,Inputs!$B$44,0)*(1+inf)^Q$1</f>
        <v>0</v>
      </c>
      <c r="S35" s="7">
        <f>IF(Inputs!$B$45&gt;=S$1,Inputs!$B$44,0)*(1+inf)^R$1</f>
        <v>0</v>
      </c>
      <c r="T35" s="7">
        <f>IF(Inputs!$B$45&gt;=T$1,Inputs!$B$44,0)*(1+inf)^S$1</f>
        <v>0</v>
      </c>
      <c r="U35" s="7">
        <f>IF(Inputs!$B$45&gt;=U$1,Inputs!$B$44,0)*(1+inf)^T$1</f>
        <v>0</v>
      </c>
      <c r="V35" s="7">
        <f>IF(Inputs!$B$45&gt;=V$1,Inputs!$B$44,0)*(1+inf)^U$1</f>
        <v>0</v>
      </c>
      <c r="W35" s="7">
        <f>IF(Inputs!$B$45&gt;=W$1,Inputs!$B$44,0)*(1+inf)^V$1</f>
        <v>0</v>
      </c>
      <c r="X35" s="7">
        <f>IF(Inputs!$B$45&gt;=X$1,Inputs!$B$44,0)*(1+inf)^W$1</f>
        <v>0</v>
      </c>
      <c r="Y35" s="7">
        <f>IF(Inputs!$B$45&gt;=Y$1,Inputs!$B$44,0)*(1+inf)^X$1</f>
        <v>0</v>
      </c>
      <c r="Z35" s="7">
        <f>IF(Inputs!$B$45&gt;=Z$1,Inputs!$B$44,0)*(1+inf)^Y$1</f>
        <v>0</v>
      </c>
      <c r="AA35" s="7">
        <f>IF(Inputs!$B$45&gt;=AA$1,Inputs!$B$44,0)*(1+inf)^Z$1</f>
        <v>0</v>
      </c>
      <c r="AB35" s="7">
        <f>IF(Inputs!$B$45&gt;=AB$1,Inputs!$B$44,0)*(1+inf)^AA$1</f>
        <v>0</v>
      </c>
      <c r="AC35" s="7">
        <f>IF(Inputs!$B$45&gt;=AC$1,Inputs!$B$44,0)*(1+inf)^AB$1</f>
        <v>0</v>
      </c>
      <c r="AD35" s="7">
        <f>IF(Inputs!$B$45&gt;=AD$1,Inputs!$B$44,0)*(1+inf)^AC$1</f>
        <v>0</v>
      </c>
      <c r="AE35" s="7">
        <f>IF(Inputs!$B$45&gt;=AE$1,Inputs!$B$44,0)*(1+inf)^AD$1</f>
        <v>0</v>
      </c>
      <c r="AF35" s="7">
        <f>IF(Inputs!$B$45&gt;=AF$1,Inputs!$B$44,0)*(1+inf)^AE$1</f>
        <v>0</v>
      </c>
      <c r="AG35" s="7">
        <f>IF(Inputs!$B$45&gt;=AG$1,Inputs!$B$44,0)*(1+inf)^AF$1</f>
        <v>0</v>
      </c>
      <c r="AH35" s="7">
        <f>IF(Inputs!$B$45&gt;=AH$1,Inputs!$B$44,0)*(1+inf)^AG$1</f>
        <v>0</v>
      </c>
      <c r="AI35" s="7">
        <f>IF(Inputs!$B$45&gt;=AI$1,Inputs!$B$44,0)*(1+inf)^AH$1</f>
        <v>0</v>
      </c>
      <c r="AJ35" s="7">
        <f>IF(Inputs!$B$45&gt;=AJ$1,Inputs!$B$44,0)*(1+inf)^AI$1</f>
        <v>0</v>
      </c>
      <c r="AK35" s="7">
        <f>IF(Inputs!$B$45&gt;=AK$1,Inputs!$B$44,0)*(1+inf)^AJ$1</f>
        <v>0</v>
      </c>
      <c r="AL35" s="7">
        <f>IF(Inputs!$B$45&gt;=AL$1,Inputs!$B$44,0)*(1+inf)^AK$1</f>
        <v>0</v>
      </c>
      <c r="AM35" s="7">
        <f>IF(Inputs!$B$45&gt;=AM$1,Inputs!$B$44,0)*(1+inf)^AL$1</f>
        <v>0</v>
      </c>
    </row>
    <row r="36" spans="1:39">
      <c r="A36" s="3" t="str">
        <f>TEXT(Inputs!B48,"")</f>
        <v>Stephen</v>
      </c>
      <c r="B36" s="8"/>
      <c r="C36" s="7">
        <f>IF(Inputs!$B$50&gt;=C$1,Inputs!$B$49,0)*(1+inf)^B$1</f>
        <v>2500</v>
      </c>
      <c r="D36" s="7">
        <f>IF(Inputs!$B$50&gt;=D$1,Inputs!$B$49,0)*(1+inf)^C$1</f>
        <v>2562.5</v>
      </c>
      <c r="E36" s="7">
        <f>IF(Inputs!$B$50&gt;=E$1,Inputs!$B$49,0)*(1+inf)^D$1</f>
        <v>2626.5625</v>
      </c>
      <c r="F36" s="7">
        <f>IF(Inputs!$B$50&gt;=F$1,Inputs!$B$49,0)*(1+inf)^E$1</f>
        <v>0</v>
      </c>
      <c r="G36" s="7">
        <f>IF(Inputs!$B$50&gt;=G$1,Inputs!$B$49,0)*(1+inf)^F$1</f>
        <v>0</v>
      </c>
      <c r="H36" s="7">
        <f>IF(Inputs!$B$50&gt;=H$1,Inputs!$B$49,0)*(1+inf)^G$1</f>
        <v>0</v>
      </c>
      <c r="I36" s="7">
        <f>IF(Inputs!$B$50&gt;=I$1,Inputs!$B$49,0)*(1+inf)^H$1</f>
        <v>0</v>
      </c>
      <c r="J36" s="7">
        <f>IF(Inputs!$B$50&gt;=J$1,Inputs!$B$49,0)*(1+inf)^I$1</f>
        <v>0</v>
      </c>
      <c r="K36" s="7">
        <f>IF(Inputs!$B$50&gt;=K$1,Inputs!$B$49,0)*(1+inf)^J$1</f>
        <v>0</v>
      </c>
      <c r="L36" s="7">
        <f>IF(Inputs!$B$50&gt;=L$1,Inputs!$B$49,0)*(1+inf)^K$1</f>
        <v>0</v>
      </c>
      <c r="M36" s="7">
        <f>IF(Inputs!$B$50&gt;=M$1,Inputs!$B$49,0)*(1+inf)^L$1</f>
        <v>0</v>
      </c>
      <c r="N36" s="7">
        <f>IF(Inputs!$B$50&gt;=N$1,Inputs!$B$49,0)*(1+inf)^M$1</f>
        <v>0</v>
      </c>
      <c r="O36" s="7">
        <f>IF(Inputs!$B$50&gt;=O$1,Inputs!$B$49,0)*(1+inf)^N$1</f>
        <v>0</v>
      </c>
      <c r="P36" s="7">
        <f>IF(Inputs!$B$50&gt;=P$1,Inputs!$B$49,0)*(1+inf)^O$1</f>
        <v>0</v>
      </c>
      <c r="Q36" s="7">
        <f>IF(Inputs!$B$50&gt;=Q$1,Inputs!$B$49,0)*(1+inf)^P$1</f>
        <v>0</v>
      </c>
      <c r="R36" s="7">
        <f>IF(Inputs!$B$50&gt;=R$1,Inputs!$B$49,0)*(1+inf)^Q$1</f>
        <v>0</v>
      </c>
      <c r="S36" s="7">
        <f>IF(Inputs!$B$50&gt;=S$1,Inputs!$B$49,0)*(1+inf)^R$1</f>
        <v>0</v>
      </c>
      <c r="T36" s="7">
        <f>IF(Inputs!$B$50&gt;=T$1,Inputs!$B$49,0)*(1+inf)^S$1</f>
        <v>0</v>
      </c>
      <c r="U36" s="7">
        <f>IF(Inputs!$B$50&gt;=U$1,Inputs!$B$49,0)*(1+inf)^T$1</f>
        <v>0</v>
      </c>
      <c r="V36" s="7">
        <f>IF(Inputs!$B$50&gt;=V$1,Inputs!$B$49,0)*(1+inf)^U$1</f>
        <v>0</v>
      </c>
      <c r="W36" s="7">
        <f>IF(Inputs!$B$50&gt;=W$1,Inputs!$B$49,0)*(1+inf)^V$1</f>
        <v>0</v>
      </c>
      <c r="X36" s="7">
        <f>IF(Inputs!$B$50&gt;=X$1,Inputs!$B$49,0)*(1+inf)^W$1</f>
        <v>0</v>
      </c>
      <c r="Y36" s="7">
        <f>IF(Inputs!$B$50&gt;=Y$1,Inputs!$B$49,0)*(1+inf)^X$1</f>
        <v>0</v>
      </c>
      <c r="Z36" s="7">
        <f>IF(Inputs!$B$50&gt;=Z$1,Inputs!$B$49,0)*(1+inf)^Y$1</f>
        <v>0</v>
      </c>
      <c r="AA36" s="7">
        <f>IF(Inputs!$B$50&gt;=AA$1,Inputs!$B$49,0)*(1+inf)^Z$1</f>
        <v>0</v>
      </c>
      <c r="AB36" s="7">
        <f>IF(Inputs!$B$50&gt;=AB$1,Inputs!$B$49,0)*(1+inf)^AA$1</f>
        <v>0</v>
      </c>
      <c r="AC36" s="7">
        <f>IF(Inputs!$B$50&gt;=AC$1,Inputs!$B$49,0)*(1+inf)^AB$1</f>
        <v>0</v>
      </c>
      <c r="AD36" s="7">
        <f>IF(Inputs!$B$50&gt;=AD$1,Inputs!$B$49,0)*(1+inf)^AC$1</f>
        <v>0</v>
      </c>
      <c r="AE36" s="7">
        <f>IF(Inputs!$B$50&gt;=AE$1,Inputs!$B$49,0)*(1+inf)^AD$1</f>
        <v>0</v>
      </c>
      <c r="AF36" s="7">
        <f>IF(Inputs!$B$50&gt;=AF$1,Inputs!$B$49,0)*(1+inf)^AE$1</f>
        <v>0</v>
      </c>
      <c r="AG36" s="7">
        <f>IF(Inputs!$B$50&gt;=AG$1,Inputs!$B$49,0)*(1+inf)^AF$1</f>
        <v>0</v>
      </c>
      <c r="AH36" s="7">
        <f>IF(Inputs!$B$50&gt;=AH$1,Inputs!$B$49,0)*(1+inf)^AG$1</f>
        <v>0</v>
      </c>
      <c r="AI36" s="7">
        <f>IF(Inputs!$B$50&gt;=AI$1,Inputs!$B$49,0)*(1+inf)^AH$1</f>
        <v>0</v>
      </c>
      <c r="AJ36" s="7">
        <f>IF(Inputs!$B$50&gt;=AJ$1,Inputs!$B$49,0)*(1+inf)^AI$1</f>
        <v>0</v>
      </c>
      <c r="AK36" s="7">
        <f>IF(Inputs!$B$50&gt;=AK$1,Inputs!$B$49,0)*(1+inf)^AJ$1</f>
        <v>0</v>
      </c>
      <c r="AL36" s="7">
        <f>IF(Inputs!$B$50&gt;=AL$1,Inputs!$B$49,0)*(1+inf)^AK$1</f>
        <v>0</v>
      </c>
      <c r="AM36" s="7">
        <f>IF(Inputs!$B$50&gt;=AM$1,Inputs!$B$49,0)*(1+inf)^AL$1</f>
        <v>0</v>
      </c>
    </row>
    <row r="37" spans="1:39">
      <c r="A37" s="3" t="str">
        <f>TEXT(Inputs!B53,"")</f>
        <v>Jane</v>
      </c>
      <c r="B37" s="8"/>
      <c r="C37" s="7">
        <f>IF(Inputs!$B$55&gt;=C$1,Inputs!$B$54,0)*(1+inf)^B$1</f>
        <v>2860</v>
      </c>
      <c r="D37" s="7">
        <f>IF(Inputs!$B$55&gt;=D$1,Inputs!$B$54,0)*(1+inf)^C$1</f>
        <v>2931.4999999999995</v>
      </c>
      <c r="E37" s="7">
        <f>IF(Inputs!$B$55&gt;=E$1,Inputs!$B$54,0)*(1+inf)^D$1</f>
        <v>3004.7874999999999</v>
      </c>
      <c r="F37" s="7">
        <f>IF(Inputs!$B$55&gt;=F$1,Inputs!$B$54,0)*(1+inf)^E$1</f>
        <v>3079.9071874999995</v>
      </c>
      <c r="G37" s="7">
        <f>IF(Inputs!$B$55&gt;=G$1,Inputs!$B$54,0)*(1+inf)^F$1</f>
        <v>3156.9048671874993</v>
      </c>
      <c r="H37" s="7">
        <f>IF(Inputs!$B$55&gt;=H$1,Inputs!$B$54,0)*(1+inf)^G$1</f>
        <v>3235.8274888671867</v>
      </c>
      <c r="I37" s="7">
        <f>IF(Inputs!$B$55&gt;=I$1,Inputs!$B$54,0)*(1+inf)^H$1</f>
        <v>0</v>
      </c>
      <c r="J37" s="7">
        <f>IF(Inputs!$B$55&gt;=J$1,Inputs!$B$54,0)*(1+inf)^I$1</f>
        <v>0</v>
      </c>
      <c r="K37" s="7">
        <f>IF(Inputs!$B$55&gt;=K$1,Inputs!$B$54,0)*(1+inf)^J$1</f>
        <v>0</v>
      </c>
      <c r="L37" s="7">
        <f>IF(Inputs!$B$55&gt;=L$1,Inputs!$B$54,0)*(1+inf)^K$1</f>
        <v>0</v>
      </c>
      <c r="M37" s="7">
        <f>IF(Inputs!$B$55&gt;=M$1,Inputs!$B$54,0)*(1+inf)^L$1</f>
        <v>0</v>
      </c>
      <c r="N37" s="7">
        <f>IF(Inputs!$B$55&gt;=N$1,Inputs!$B$54,0)*(1+inf)^M$1</f>
        <v>0</v>
      </c>
      <c r="O37" s="7">
        <f>IF(Inputs!$B$55&gt;=O$1,Inputs!$B$54,0)*(1+inf)^N$1</f>
        <v>0</v>
      </c>
      <c r="P37" s="7">
        <f>IF(Inputs!$B$55&gt;=P$1,Inputs!$B$54,0)*(1+inf)^O$1</f>
        <v>0</v>
      </c>
      <c r="Q37" s="7">
        <f>IF(Inputs!$B$55&gt;=Q$1,Inputs!$B$54,0)*(1+inf)^P$1</f>
        <v>0</v>
      </c>
      <c r="R37" s="7">
        <f>IF(Inputs!$B$55&gt;=R$1,Inputs!$B$54,0)*(1+inf)^Q$1</f>
        <v>0</v>
      </c>
      <c r="S37" s="7">
        <f>IF(Inputs!$B$55&gt;=S$1,Inputs!$B$54,0)*(1+inf)^R$1</f>
        <v>0</v>
      </c>
      <c r="T37" s="7">
        <f>IF(Inputs!$B$55&gt;=T$1,Inputs!$B$54,0)*(1+inf)^S$1</f>
        <v>0</v>
      </c>
      <c r="U37" s="7">
        <f>IF(Inputs!$B$55&gt;=U$1,Inputs!$B$54,0)*(1+inf)^T$1</f>
        <v>0</v>
      </c>
      <c r="V37" s="7">
        <f>IF(Inputs!$B$55&gt;=V$1,Inputs!$B$54,0)*(1+inf)^U$1</f>
        <v>0</v>
      </c>
      <c r="W37" s="7">
        <f>IF(Inputs!$B$55&gt;=W$1,Inputs!$B$54,0)*(1+inf)^V$1</f>
        <v>0</v>
      </c>
      <c r="X37" s="7">
        <f>IF(Inputs!$B$55&gt;=X$1,Inputs!$B$54,0)*(1+inf)^W$1</f>
        <v>0</v>
      </c>
      <c r="Y37" s="7">
        <f>IF(Inputs!$B$55&gt;=Y$1,Inputs!$B$54,0)*(1+inf)^X$1</f>
        <v>0</v>
      </c>
      <c r="Z37" s="7">
        <f>IF(Inputs!$B$55&gt;=Z$1,Inputs!$B$54,0)*(1+inf)^Y$1</f>
        <v>0</v>
      </c>
      <c r="AA37" s="7">
        <f>IF(Inputs!$B$55&gt;=AA$1,Inputs!$B$54,0)*(1+inf)^Z$1</f>
        <v>0</v>
      </c>
      <c r="AB37" s="7">
        <f>IF(Inputs!$B$55&gt;=AB$1,Inputs!$B$54,0)*(1+inf)^AA$1</f>
        <v>0</v>
      </c>
      <c r="AC37" s="7">
        <f>IF(Inputs!$B$55&gt;=AC$1,Inputs!$B$54,0)*(1+inf)^AB$1</f>
        <v>0</v>
      </c>
      <c r="AD37" s="7">
        <f>IF(Inputs!$B$55&gt;=AD$1,Inputs!$B$54,0)*(1+inf)^AC$1</f>
        <v>0</v>
      </c>
      <c r="AE37" s="7">
        <f>IF(Inputs!$B$55&gt;=AE$1,Inputs!$B$54,0)*(1+inf)^AD$1</f>
        <v>0</v>
      </c>
      <c r="AF37" s="7">
        <f>IF(Inputs!$B$55&gt;=AF$1,Inputs!$B$54,0)*(1+inf)^AE$1</f>
        <v>0</v>
      </c>
      <c r="AG37" s="7">
        <f>IF(Inputs!$B$55&gt;=AG$1,Inputs!$B$54,0)*(1+inf)^AF$1</f>
        <v>0</v>
      </c>
      <c r="AH37" s="7">
        <f>IF(Inputs!$B$55&gt;=AH$1,Inputs!$B$54,0)*(1+inf)^AG$1</f>
        <v>0</v>
      </c>
      <c r="AI37" s="7">
        <f>IF(Inputs!$B$55&gt;=AI$1,Inputs!$B$54,0)*(1+inf)^AH$1</f>
        <v>0</v>
      </c>
      <c r="AJ37" s="7">
        <f>IF(Inputs!$B$55&gt;=AJ$1,Inputs!$B$54,0)*(1+inf)^AI$1</f>
        <v>0</v>
      </c>
      <c r="AK37" s="7">
        <f>IF(Inputs!$B$55&gt;=AK$1,Inputs!$B$54,0)*(1+inf)^AJ$1</f>
        <v>0</v>
      </c>
      <c r="AL37" s="7">
        <f>IF(Inputs!$B$55&gt;=AL$1,Inputs!$B$54,0)*(1+inf)^AK$1</f>
        <v>0</v>
      </c>
      <c r="AM37" s="7">
        <f>IF(Inputs!$B$55&gt;=AM$1,Inputs!$B$54,0)*(1+inf)^AL$1</f>
        <v>0</v>
      </c>
    </row>
    <row r="38" spans="1:39">
      <c r="A38" s="4" t="s">
        <v>5</v>
      </c>
      <c r="B38" s="8"/>
      <c r="C38" s="7">
        <f>Inputs!$B$23*(1+inf)^B$1</f>
        <v>0</v>
      </c>
      <c r="D38" s="7">
        <f>Inputs!$B$23*(1+inf)^C$1</f>
        <v>0</v>
      </c>
      <c r="E38" s="7">
        <f>Inputs!$B$23*(1+inf)^D$1</f>
        <v>0</v>
      </c>
      <c r="F38" s="7">
        <f>Inputs!$B$23*(1+inf)^E$1</f>
        <v>0</v>
      </c>
      <c r="G38" s="7">
        <f>Inputs!$B$23*(1+inf)^F$1</f>
        <v>0</v>
      </c>
      <c r="H38" s="7">
        <f>Inputs!$B$23*(1+inf)^G$1</f>
        <v>0</v>
      </c>
      <c r="I38" s="7">
        <f>Inputs!$B$23*(1+inf)^H$1</f>
        <v>0</v>
      </c>
      <c r="J38" s="7">
        <f>Inputs!$B$23*(1+inf)^I$1</f>
        <v>0</v>
      </c>
      <c r="K38" s="7">
        <f>Inputs!$B$23*(1+inf)^J$1</f>
        <v>0</v>
      </c>
      <c r="L38" s="7">
        <f>Inputs!$B$23*(1+inf)^K$1</f>
        <v>0</v>
      </c>
      <c r="M38" s="7">
        <f>Inputs!$B$23*(1+inf)^L$1</f>
        <v>0</v>
      </c>
      <c r="N38" s="7">
        <f>Inputs!$B$23*(1+inf)^M$1</f>
        <v>0</v>
      </c>
      <c r="O38" s="7">
        <f>Inputs!$B$23*(1+inf)^N$1</f>
        <v>0</v>
      </c>
      <c r="P38" s="7">
        <f>Inputs!$B$23*(1+inf)^O$1</f>
        <v>0</v>
      </c>
      <c r="Q38" s="7">
        <f>Inputs!$B$23*(1+inf)^P$1</f>
        <v>0</v>
      </c>
      <c r="R38" s="7">
        <f>Inputs!$B$23*(1+inf)^Q$1</f>
        <v>0</v>
      </c>
      <c r="S38" s="7">
        <f>Inputs!$B$23*(1+inf)^R$1</f>
        <v>0</v>
      </c>
      <c r="T38" s="7">
        <f>Inputs!$B$23*(1+inf)^S$1</f>
        <v>0</v>
      </c>
      <c r="U38" s="7">
        <f>Inputs!$B$23*(1+inf)^T$1</f>
        <v>0</v>
      </c>
      <c r="V38" s="7">
        <f>Inputs!$B$23*(1+inf)^U$1</f>
        <v>0</v>
      </c>
      <c r="W38" s="7">
        <f>Inputs!$B$23*(1+inf)^V$1</f>
        <v>0</v>
      </c>
      <c r="X38" s="7">
        <f>Inputs!$B$23*(1+inf)^W$1</f>
        <v>0</v>
      </c>
      <c r="Y38" s="7">
        <f>Inputs!$B$23*(1+inf)^X$1</f>
        <v>0</v>
      </c>
      <c r="Z38" s="7">
        <f>Inputs!$B$23*(1+inf)^Y$1</f>
        <v>0</v>
      </c>
      <c r="AA38" s="7">
        <f>Inputs!$B$23*(1+inf)^Z$1</f>
        <v>0</v>
      </c>
      <c r="AB38" s="7">
        <f>Inputs!$B$23*(1+inf)^AA$1</f>
        <v>0</v>
      </c>
      <c r="AC38" s="7">
        <f>Inputs!$B$23*(1+inf)^AB$1</f>
        <v>0</v>
      </c>
      <c r="AD38" s="7">
        <f>Inputs!$B$23*(1+inf)^AC$1</f>
        <v>0</v>
      </c>
      <c r="AE38" s="7">
        <f>Inputs!$B$23*(1+inf)^AD$1</f>
        <v>0</v>
      </c>
      <c r="AF38" s="7">
        <f>Inputs!$B$23*(1+inf)^AE$1</f>
        <v>0</v>
      </c>
      <c r="AG38" s="7">
        <f>Inputs!$B$23*(1+inf)^AF$1</f>
        <v>0</v>
      </c>
      <c r="AH38" s="7">
        <f>Inputs!$B$23*(1+inf)^AG$1</f>
        <v>0</v>
      </c>
      <c r="AI38" s="7">
        <f>Inputs!$B$23*(1+inf)^AH$1</f>
        <v>0</v>
      </c>
      <c r="AJ38" s="7">
        <f>Inputs!$B$23*(1+inf)^AI$1</f>
        <v>0</v>
      </c>
      <c r="AK38" s="7">
        <f>Inputs!$B$23*(1+inf)^AJ$1</f>
        <v>0</v>
      </c>
      <c r="AL38" s="7">
        <f>Inputs!$B$23*(1+inf)^AK$1</f>
        <v>0</v>
      </c>
      <c r="AM38" s="7">
        <f>Inputs!$B$23*(1+inf)^AL$1</f>
        <v>0</v>
      </c>
    </row>
    <row r="39" spans="1:39">
      <c r="A39" s="4" t="s">
        <v>55</v>
      </c>
      <c r="B39" s="8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</row>
    <row r="40" spans="1:39">
      <c r="A40" s="3" t="str">
        <f>TEXT(Inputs!$B$60,"")</f>
        <v>Sliema</v>
      </c>
      <c r="B40" s="8"/>
      <c r="C40" s="7">
        <f>Inputs!$B62*(1+inf)^B$1</f>
        <v>5000</v>
      </c>
      <c r="D40" s="7">
        <f>Inputs!$B62*(1+inf)^C$1</f>
        <v>5125</v>
      </c>
      <c r="E40" s="7">
        <f>Inputs!$B62*(1+inf)^D$1</f>
        <v>5253.125</v>
      </c>
      <c r="F40" s="7">
        <f>Inputs!$B62*(1+inf)^E$1</f>
        <v>5384.4531249999991</v>
      </c>
      <c r="G40" s="7">
        <f>Inputs!$B62*(1+inf)^F$1</f>
        <v>5519.0644531249991</v>
      </c>
      <c r="H40" s="7">
        <f>Inputs!$B62*(1+inf)^G$1</f>
        <v>5657.041064453123</v>
      </c>
      <c r="I40" s="7">
        <f>Inputs!$B62*(1+inf)^H$1</f>
        <v>5798.4670910644509</v>
      </c>
      <c r="J40" s="7">
        <f>Inputs!$B62*(1+inf)^I$1</f>
        <v>5943.4287683410621</v>
      </c>
      <c r="K40" s="7">
        <f>Inputs!$B62*(1+inf)^J$1</f>
        <v>6092.0144875495889</v>
      </c>
      <c r="L40" s="7">
        <f>Inputs!$B62*(1+inf)^K$1</f>
        <v>6244.3148497383272</v>
      </c>
      <c r="M40" s="7">
        <f>Inputs!$B62*(1+inf)^L$1</f>
        <v>6400.4227209817855</v>
      </c>
      <c r="N40" s="7">
        <f>Inputs!$B62*(1+inf)^M$1</f>
        <v>6560.4332890063297</v>
      </c>
      <c r="O40" s="7">
        <f>Inputs!$B62*(1+inf)^N$1</f>
        <v>6724.4441212314878</v>
      </c>
      <c r="P40" s="7">
        <f>Inputs!$B62*(1+inf)^O$1</f>
        <v>6892.5552242622744</v>
      </c>
      <c r="Q40" s="7">
        <f>Inputs!$B62*(1+inf)^P$1</f>
        <v>7064.8691048688306</v>
      </c>
      <c r="R40" s="7">
        <f>Inputs!$B62*(1+inf)^Q$1</f>
        <v>7241.4908324905527</v>
      </c>
      <c r="S40" s="7">
        <f>Inputs!$B62*(1+inf)^R$1</f>
        <v>7422.5281033028159</v>
      </c>
      <c r="T40" s="7">
        <f>Inputs!$B62*(1+inf)^S$1</f>
        <v>7608.0913058853848</v>
      </c>
      <c r="U40" s="7">
        <f>Inputs!$B62*(1+inf)^T$1</f>
        <v>7798.2935885325196</v>
      </c>
      <c r="V40" s="7">
        <f>Inputs!$B62*(1+inf)^U$1</f>
        <v>7993.2509282458332</v>
      </c>
      <c r="W40" s="7">
        <f>Inputs!$B62*(1+inf)^V$1</f>
        <v>8193.0822014519781</v>
      </c>
      <c r="X40" s="7">
        <f>Inputs!$B62*(1+inf)^W$1</f>
        <v>8397.9092564882758</v>
      </c>
      <c r="Y40" s="7">
        <f>Inputs!$B62*(1+inf)^X$1</f>
        <v>8607.8569879004826</v>
      </c>
      <c r="Z40" s="7">
        <f>Inputs!$B62*(1+inf)^Y$1</f>
        <v>8823.0534125979957</v>
      </c>
      <c r="AA40" s="7">
        <f>Inputs!$B62*(1+inf)^Z$1</f>
        <v>9043.6297479129444</v>
      </c>
      <c r="AB40" s="7">
        <f>Inputs!$B62*(1+inf)^AA$1</f>
        <v>9269.7204916107676</v>
      </c>
      <c r="AC40" s="7">
        <f>Inputs!$B62*(1+inf)^AB$1</f>
        <v>9501.4635039010354</v>
      </c>
      <c r="AD40" s="7">
        <f>Inputs!$B62*(1+inf)^AC$1</f>
        <v>9739.0000914985612</v>
      </c>
      <c r="AE40" s="7">
        <f>Inputs!$B62*(1+inf)^AD$1</f>
        <v>9982.4750937860244</v>
      </c>
      <c r="AF40" s="7">
        <f>Inputs!$B62*(1+inf)^AE$1</f>
        <v>10232.036971130676</v>
      </c>
      <c r="AG40" s="7">
        <f>Inputs!$B62*(1+inf)^AF$1</f>
        <v>10487.83789540894</v>
      </c>
      <c r="AH40" s="7">
        <f>Inputs!$B62*(1+inf)^AG$1</f>
        <v>10750.033842794166</v>
      </c>
      <c r="AI40" s="7">
        <f>Inputs!$B62*(1+inf)^AH$1</f>
        <v>11018.784688864018</v>
      </c>
      <c r="AJ40" s="7">
        <f>Inputs!$B62*(1+inf)^AI$1</f>
        <v>11294.254306085619</v>
      </c>
      <c r="AK40" s="7">
        <f>Inputs!$B62*(1+inf)^AJ$1</f>
        <v>11576.610663737758</v>
      </c>
      <c r="AL40" s="7">
        <f>Inputs!$B62*(1+inf)^AK$1</f>
        <v>11866.025930331201</v>
      </c>
      <c r="AM40" s="7">
        <f>Inputs!$B62*(1+inf)^AL$1</f>
        <v>12162.676578589482</v>
      </c>
    </row>
    <row r="41" spans="1:39">
      <c r="A41" s="3" t="str">
        <f>TEXT(Inputs!$B$65,"")</f>
        <v>Gzira</v>
      </c>
      <c r="B41" s="8"/>
      <c r="C41" s="7">
        <f>Inputs!$B67*(1+inf)^B$1</f>
        <v>2000</v>
      </c>
      <c r="D41" s="7">
        <f>Inputs!$B67*(1+inf)^C$1</f>
        <v>2050</v>
      </c>
      <c r="E41" s="7">
        <f>Inputs!$B67*(1+inf)^D$1</f>
        <v>2101.25</v>
      </c>
      <c r="F41" s="7">
        <f>Inputs!$B67*(1+inf)^E$1</f>
        <v>2153.7812499999995</v>
      </c>
      <c r="G41" s="7">
        <f>Inputs!$B67*(1+inf)^F$1</f>
        <v>2207.6257812499994</v>
      </c>
      <c r="H41" s="7">
        <f>Inputs!$B67*(1+inf)^G$1</f>
        <v>2262.8164257812491</v>
      </c>
      <c r="I41" s="7">
        <f>Inputs!$B67*(1+inf)^H$1</f>
        <v>2319.3868364257805</v>
      </c>
      <c r="J41" s="7">
        <f>Inputs!$B67*(1+inf)^I$1</f>
        <v>2377.3715073364251</v>
      </c>
      <c r="K41" s="7">
        <f>Inputs!$B67*(1+inf)^J$1</f>
        <v>2436.8057950198354</v>
      </c>
      <c r="L41" s="7">
        <f>Inputs!$B67*(1+inf)^K$1</f>
        <v>2497.7259398953311</v>
      </c>
      <c r="M41" s="7">
        <f>Inputs!$B67*(1+inf)^L$1</f>
        <v>2560.169088392714</v>
      </c>
      <c r="N41" s="7">
        <f>Inputs!$B67*(1+inf)^M$1</f>
        <v>2624.1733156025321</v>
      </c>
      <c r="O41" s="7">
        <f>Inputs!$B67*(1+inf)^N$1</f>
        <v>2689.7776484925948</v>
      </c>
      <c r="P41" s="7">
        <f>Inputs!$B67*(1+inf)^O$1</f>
        <v>2757.0220897049098</v>
      </c>
      <c r="Q41" s="7">
        <f>Inputs!$B67*(1+inf)^P$1</f>
        <v>2825.9476419475322</v>
      </c>
      <c r="R41" s="7">
        <f>Inputs!$B67*(1+inf)^Q$1</f>
        <v>2896.596332996221</v>
      </c>
      <c r="S41" s="7">
        <f>Inputs!$B67*(1+inf)^R$1</f>
        <v>2969.0112413211264</v>
      </c>
      <c r="T41" s="7">
        <f>Inputs!$B67*(1+inf)^S$1</f>
        <v>3043.2365223541542</v>
      </c>
      <c r="U41" s="7">
        <f>Inputs!$B67*(1+inf)^T$1</f>
        <v>3119.3174354130078</v>
      </c>
      <c r="V41" s="7">
        <f>Inputs!$B67*(1+inf)^U$1</f>
        <v>3197.3003712983332</v>
      </c>
      <c r="W41" s="7">
        <f>Inputs!$B67*(1+inf)^V$1</f>
        <v>3277.2328805807911</v>
      </c>
      <c r="X41" s="7">
        <f>Inputs!$B67*(1+inf)^W$1</f>
        <v>3359.1637025953105</v>
      </c>
      <c r="Y41" s="7">
        <f>Inputs!$B67*(1+inf)^X$1</f>
        <v>3443.1427951601931</v>
      </c>
      <c r="Z41" s="7">
        <f>Inputs!$B67*(1+inf)^Y$1</f>
        <v>3529.2213650391982</v>
      </c>
      <c r="AA41" s="7">
        <f>Inputs!$B67*(1+inf)^Z$1</f>
        <v>3617.451899165178</v>
      </c>
      <c r="AB41" s="7">
        <f>Inputs!$B67*(1+inf)^AA$1</f>
        <v>3707.8881966443068</v>
      </c>
      <c r="AC41" s="7">
        <f>Inputs!$B67*(1+inf)^AB$1</f>
        <v>3800.5854015604141</v>
      </c>
      <c r="AD41" s="7">
        <f>Inputs!$B67*(1+inf)^AC$1</f>
        <v>3895.6000365994241</v>
      </c>
      <c r="AE41" s="7">
        <f>Inputs!$B67*(1+inf)^AD$1</f>
        <v>3992.9900375144098</v>
      </c>
      <c r="AF41" s="7">
        <f>Inputs!$B67*(1+inf)^AE$1</f>
        <v>4092.8147884522705</v>
      </c>
      <c r="AG41" s="7">
        <f>Inputs!$B67*(1+inf)^AF$1</f>
        <v>4195.1351581635763</v>
      </c>
      <c r="AH41" s="7">
        <f>Inputs!$B67*(1+inf)^AG$1</f>
        <v>4300.0135371176666</v>
      </c>
      <c r="AI41" s="7">
        <f>Inputs!$B67*(1+inf)^AH$1</f>
        <v>4407.5138755456073</v>
      </c>
      <c r="AJ41" s="7">
        <f>Inputs!$B67*(1+inf)^AI$1</f>
        <v>4517.7017224342471</v>
      </c>
      <c r="AK41" s="7">
        <f>Inputs!$B67*(1+inf)^AJ$1</f>
        <v>4630.6442654951034</v>
      </c>
      <c r="AL41" s="7">
        <f>Inputs!$B67*(1+inf)^AK$1</f>
        <v>4746.41037213248</v>
      </c>
      <c r="AM41" s="7">
        <f>Inputs!$B67*(1+inf)^AL$1</f>
        <v>4865.0706314357931</v>
      </c>
    </row>
    <row r="42" spans="1:39">
      <c r="A42" s="3" t="str">
        <f>TEXT(Inputs!$B$70,"")</f>
        <v>Qormi</v>
      </c>
      <c r="B42" s="8"/>
      <c r="C42" s="7">
        <f>Inputs!$B72*(1+inf)^B$1</f>
        <v>1200</v>
      </c>
      <c r="D42" s="7">
        <f>Inputs!$B72*(1+inf)^C$1</f>
        <v>1230</v>
      </c>
      <c r="E42" s="7">
        <f>Inputs!$B72*(1+inf)^D$1</f>
        <v>1260.75</v>
      </c>
      <c r="F42" s="7">
        <f>Inputs!$B72*(1+inf)^E$1</f>
        <v>1292.26875</v>
      </c>
      <c r="G42" s="7">
        <f>Inputs!$B72*(1+inf)^F$1</f>
        <v>1324.5754687499998</v>
      </c>
      <c r="H42" s="7">
        <f>Inputs!$B72*(1+inf)^G$1</f>
        <v>1357.6898554687496</v>
      </c>
      <c r="I42" s="7">
        <f>Inputs!$B72*(1+inf)^H$1</f>
        <v>1391.6321018554681</v>
      </c>
      <c r="J42" s="7">
        <f>Inputs!$B72*(1+inf)^I$1</f>
        <v>1426.422904401855</v>
      </c>
      <c r="K42" s="7">
        <f>Inputs!$B72*(1+inf)^J$1</f>
        <v>1462.0834770119013</v>
      </c>
      <c r="L42" s="7">
        <f>Inputs!$B72*(1+inf)^K$1</f>
        <v>1498.6355639371984</v>
      </c>
      <c r="M42" s="7">
        <f>Inputs!$B72*(1+inf)^L$1</f>
        <v>1536.1014530356285</v>
      </c>
      <c r="N42" s="7">
        <f>Inputs!$B72*(1+inf)^M$1</f>
        <v>1574.5039893615192</v>
      </c>
      <c r="O42" s="7">
        <f>Inputs!$B72*(1+inf)^N$1</f>
        <v>1613.8665890955569</v>
      </c>
      <c r="P42" s="7">
        <f>Inputs!$B72*(1+inf)^O$1</f>
        <v>1654.2132538229459</v>
      </c>
      <c r="Q42" s="7">
        <f>Inputs!$B72*(1+inf)^P$1</f>
        <v>1695.5685851685193</v>
      </c>
      <c r="R42" s="7">
        <f>Inputs!$B72*(1+inf)^Q$1</f>
        <v>1737.9577997977326</v>
      </c>
      <c r="S42" s="7">
        <f>Inputs!$B72*(1+inf)^R$1</f>
        <v>1781.4067447926757</v>
      </c>
      <c r="T42" s="7">
        <f>Inputs!$B72*(1+inf)^S$1</f>
        <v>1825.9419134124923</v>
      </c>
      <c r="U42" s="7">
        <f>Inputs!$B72*(1+inf)^T$1</f>
        <v>1871.5904612478048</v>
      </c>
      <c r="V42" s="7">
        <f>Inputs!$B72*(1+inf)^U$1</f>
        <v>1918.380222779</v>
      </c>
      <c r="W42" s="7">
        <f>Inputs!$B72*(1+inf)^V$1</f>
        <v>1966.3397283484746</v>
      </c>
      <c r="X42" s="7">
        <f>Inputs!$B72*(1+inf)^W$1</f>
        <v>2015.4982215571863</v>
      </c>
      <c r="Y42" s="7">
        <f>Inputs!$B72*(1+inf)^X$1</f>
        <v>2065.8856770961161</v>
      </c>
      <c r="Z42" s="7">
        <f>Inputs!$B72*(1+inf)^Y$1</f>
        <v>2117.5328190235191</v>
      </c>
      <c r="AA42" s="7">
        <f>Inputs!$B72*(1+inf)^Z$1</f>
        <v>2170.4711394991068</v>
      </c>
      <c r="AB42" s="7">
        <f>Inputs!$B72*(1+inf)^AA$1</f>
        <v>2224.7329179865842</v>
      </c>
      <c r="AC42" s="7">
        <f>Inputs!$B72*(1+inf)^AB$1</f>
        <v>2280.3512409362484</v>
      </c>
      <c r="AD42" s="7">
        <f>Inputs!$B72*(1+inf)^AC$1</f>
        <v>2337.3600219596547</v>
      </c>
      <c r="AE42" s="7">
        <f>Inputs!$B72*(1+inf)^AD$1</f>
        <v>2395.7940225086459</v>
      </c>
      <c r="AF42" s="7">
        <f>Inputs!$B72*(1+inf)^AE$1</f>
        <v>2455.6888730713622</v>
      </c>
      <c r="AG42" s="7">
        <f>Inputs!$B72*(1+inf)^AF$1</f>
        <v>2517.0810948981457</v>
      </c>
      <c r="AH42" s="7">
        <f>Inputs!$B72*(1+inf)^AG$1</f>
        <v>2580.0081222705999</v>
      </c>
      <c r="AI42" s="7">
        <f>Inputs!$B72*(1+inf)^AH$1</f>
        <v>2644.5083253273642</v>
      </c>
      <c r="AJ42" s="7">
        <f>Inputs!$B72*(1+inf)^AI$1</f>
        <v>2710.6210334605485</v>
      </c>
      <c r="AK42" s="7">
        <f>Inputs!$B72*(1+inf)^AJ$1</f>
        <v>2778.3865592970619</v>
      </c>
      <c r="AL42" s="7">
        <f>Inputs!$B72*(1+inf)^AK$1</f>
        <v>2847.8462232794882</v>
      </c>
      <c r="AM42" s="7">
        <f>Inputs!$B72*(1+inf)^AL$1</f>
        <v>2919.0423788614758</v>
      </c>
    </row>
    <row r="43" spans="1:39">
      <c r="A43" s="3" t="str">
        <f>TEXT(Inputs!$B$75,"")</f>
        <v>Gudja</v>
      </c>
      <c r="B43" s="8"/>
      <c r="C43" s="7">
        <f>Inputs!$B77*(1+inf)^B$1</f>
        <v>1000</v>
      </c>
      <c r="D43" s="7">
        <f>Inputs!$B77*(1+inf)^C$1</f>
        <v>1025</v>
      </c>
      <c r="E43" s="7">
        <f>Inputs!$B77*(1+inf)^D$1</f>
        <v>1050.625</v>
      </c>
      <c r="F43" s="7">
        <f>Inputs!$B77*(1+inf)^E$1</f>
        <v>1076.8906249999998</v>
      </c>
      <c r="G43" s="7">
        <f>Inputs!$B77*(1+inf)^F$1</f>
        <v>1103.8128906249997</v>
      </c>
      <c r="H43" s="7">
        <f>Inputs!$B77*(1+inf)^G$1</f>
        <v>1131.4082128906246</v>
      </c>
      <c r="I43" s="7">
        <f>Inputs!$B77*(1+inf)^H$1</f>
        <v>1159.6934182128903</v>
      </c>
      <c r="J43" s="7">
        <f>Inputs!$B77*(1+inf)^I$1</f>
        <v>1188.6857536682126</v>
      </c>
      <c r="K43" s="7">
        <f>Inputs!$B77*(1+inf)^J$1</f>
        <v>1218.4028975099177</v>
      </c>
      <c r="L43" s="7">
        <f>Inputs!$B77*(1+inf)^K$1</f>
        <v>1248.8629699476655</v>
      </c>
      <c r="M43" s="7">
        <f>Inputs!$B77*(1+inf)^L$1</f>
        <v>1280.084544196357</v>
      </c>
      <c r="N43" s="7">
        <f>Inputs!$B77*(1+inf)^M$1</f>
        <v>1312.086657801266</v>
      </c>
      <c r="O43" s="7">
        <f>Inputs!$B77*(1+inf)^N$1</f>
        <v>1344.8888242462974</v>
      </c>
      <c r="P43" s="7">
        <f>Inputs!$B77*(1+inf)^O$1</f>
        <v>1378.5110448524549</v>
      </c>
      <c r="Q43" s="7">
        <f>Inputs!$B77*(1+inf)^P$1</f>
        <v>1412.9738209737661</v>
      </c>
      <c r="R43" s="7">
        <f>Inputs!$B77*(1+inf)^Q$1</f>
        <v>1448.2981664981105</v>
      </c>
      <c r="S43" s="7">
        <f>Inputs!$B77*(1+inf)^R$1</f>
        <v>1484.5056206605632</v>
      </c>
      <c r="T43" s="7">
        <f>Inputs!$B77*(1+inf)^S$1</f>
        <v>1521.6182611770771</v>
      </c>
      <c r="U43" s="7">
        <f>Inputs!$B77*(1+inf)^T$1</f>
        <v>1559.6587177065039</v>
      </c>
      <c r="V43" s="7">
        <f>Inputs!$B77*(1+inf)^U$1</f>
        <v>1598.6501856491666</v>
      </c>
      <c r="W43" s="7">
        <f>Inputs!$B77*(1+inf)^V$1</f>
        <v>1638.6164402903955</v>
      </c>
      <c r="X43" s="7">
        <f>Inputs!$B77*(1+inf)^W$1</f>
        <v>1679.5818512976552</v>
      </c>
      <c r="Y43" s="7">
        <f>Inputs!$B77*(1+inf)^X$1</f>
        <v>1721.5713975800966</v>
      </c>
      <c r="Z43" s="7">
        <f>Inputs!$B77*(1+inf)^Y$1</f>
        <v>1764.6106825195991</v>
      </c>
      <c r="AA43" s="7">
        <f>Inputs!$B77*(1+inf)^Z$1</f>
        <v>1808.725949582589</v>
      </c>
      <c r="AB43" s="7">
        <f>Inputs!$B77*(1+inf)^AA$1</f>
        <v>1853.9440983221534</v>
      </c>
      <c r="AC43" s="7">
        <f>Inputs!$B77*(1+inf)^AB$1</f>
        <v>1900.292700780207</v>
      </c>
      <c r="AD43" s="7">
        <f>Inputs!$B77*(1+inf)^AC$1</f>
        <v>1947.8000182997121</v>
      </c>
      <c r="AE43" s="7">
        <f>Inputs!$B77*(1+inf)^AD$1</f>
        <v>1996.4950187572049</v>
      </c>
      <c r="AF43" s="7">
        <f>Inputs!$B77*(1+inf)^AE$1</f>
        <v>2046.4073942261352</v>
      </c>
      <c r="AG43" s="7">
        <f>Inputs!$B77*(1+inf)^AF$1</f>
        <v>2097.5675790817882</v>
      </c>
      <c r="AH43" s="7">
        <f>Inputs!$B77*(1+inf)^AG$1</f>
        <v>2150.0067685588333</v>
      </c>
      <c r="AI43" s="7">
        <f>Inputs!$B77*(1+inf)^AH$1</f>
        <v>2203.7569377728037</v>
      </c>
      <c r="AJ43" s="7">
        <f>Inputs!$B77*(1+inf)^AI$1</f>
        <v>2258.8508612171236</v>
      </c>
      <c r="AK43" s="7">
        <f>Inputs!$B77*(1+inf)^AJ$1</f>
        <v>2315.3221327475517</v>
      </c>
      <c r="AL43" s="7">
        <f>Inputs!$B77*(1+inf)^AK$1</f>
        <v>2373.20518606624</v>
      </c>
      <c r="AM43" s="7">
        <f>Inputs!$B77*(1+inf)^AL$1</f>
        <v>2432.5353157178965</v>
      </c>
    </row>
    <row r="44" spans="1:39">
      <c r="A44" s="3" t="str">
        <f>TEXT(Inputs!$B$80,"")</f>
        <v>Marsa</v>
      </c>
      <c r="B44" s="8"/>
      <c r="C44" s="7">
        <f>Inputs!$B82*(1+inf)^B$1</f>
        <v>800</v>
      </c>
      <c r="D44" s="7">
        <f>Inputs!$B82*(1+inf)^C$1</f>
        <v>819.99999999999989</v>
      </c>
      <c r="E44" s="7">
        <f>Inputs!$B82*(1+inf)^D$1</f>
        <v>840.49999999999989</v>
      </c>
      <c r="F44" s="7">
        <f>Inputs!$B82*(1+inf)^E$1</f>
        <v>861.51249999999993</v>
      </c>
      <c r="G44" s="7">
        <f>Inputs!$B82*(1+inf)^F$1</f>
        <v>883.05031249999979</v>
      </c>
      <c r="H44" s="7">
        <f>Inputs!$B82*(1+inf)^G$1</f>
        <v>905.12657031249978</v>
      </c>
      <c r="I44" s="7">
        <f>Inputs!$B82*(1+inf)^H$1</f>
        <v>927.75473457031217</v>
      </c>
      <c r="J44" s="7">
        <f>Inputs!$B82*(1+inf)^I$1</f>
        <v>950.94860293456998</v>
      </c>
      <c r="K44" s="7">
        <f>Inputs!$B82*(1+inf)^J$1</f>
        <v>974.72231800793418</v>
      </c>
      <c r="L44" s="7">
        <f>Inputs!$B82*(1+inf)^K$1</f>
        <v>999.09037595813231</v>
      </c>
      <c r="M44" s="7">
        <f>Inputs!$B82*(1+inf)^L$1</f>
        <v>1024.0676353570857</v>
      </c>
      <c r="N44" s="7">
        <f>Inputs!$B82*(1+inf)^M$1</f>
        <v>1049.6693262410129</v>
      </c>
      <c r="O44" s="7">
        <f>Inputs!$B82*(1+inf)^N$1</f>
        <v>1075.9110593970381</v>
      </c>
      <c r="P44" s="7">
        <f>Inputs!$B82*(1+inf)^O$1</f>
        <v>1102.8088358819639</v>
      </c>
      <c r="Q44" s="7">
        <f>Inputs!$B82*(1+inf)^P$1</f>
        <v>1130.3790567790129</v>
      </c>
      <c r="R44" s="7">
        <f>Inputs!$B82*(1+inf)^Q$1</f>
        <v>1158.6385331984884</v>
      </c>
      <c r="S44" s="7">
        <f>Inputs!$B82*(1+inf)^R$1</f>
        <v>1187.6044965284505</v>
      </c>
      <c r="T44" s="7">
        <f>Inputs!$B82*(1+inf)^S$1</f>
        <v>1217.2946089416616</v>
      </c>
      <c r="U44" s="7">
        <f>Inputs!$B82*(1+inf)^T$1</f>
        <v>1247.7269741652033</v>
      </c>
      <c r="V44" s="7">
        <f>Inputs!$B82*(1+inf)^U$1</f>
        <v>1278.9201485193332</v>
      </c>
      <c r="W44" s="7">
        <f>Inputs!$B82*(1+inf)^V$1</f>
        <v>1310.8931522323164</v>
      </c>
      <c r="X44" s="7">
        <f>Inputs!$B82*(1+inf)^W$1</f>
        <v>1343.6654810381242</v>
      </c>
      <c r="Y44" s="7">
        <f>Inputs!$B82*(1+inf)^X$1</f>
        <v>1377.2571180640773</v>
      </c>
      <c r="Z44" s="7">
        <f>Inputs!$B82*(1+inf)^Y$1</f>
        <v>1411.6885460156793</v>
      </c>
      <c r="AA44" s="7">
        <f>Inputs!$B82*(1+inf)^Z$1</f>
        <v>1446.9807596660712</v>
      </c>
      <c r="AB44" s="7">
        <f>Inputs!$B82*(1+inf)^AA$1</f>
        <v>1483.1552786577226</v>
      </c>
      <c r="AC44" s="7">
        <f>Inputs!$B82*(1+inf)^AB$1</f>
        <v>1520.2341606241657</v>
      </c>
      <c r="AD44" s="7">
        <f>Inputs!$B82*(1+inf)^AC$1</f>
        <v>1558.2400146397697</v>
      </c>
      <c r="AE44" s="7">
        <f>Inputs!$B82*(1+inf)^AD$1</f>
        <v>1597.1960150057639</v>
      </c>
      <c r="AF44" s="7">
        <f>Inputs!$B82*(1+inf)^AE$1</f>
        <v>1637.1259153809081</v>
      </c>
      <c r="AG44" s="7">
        <f>Inputs!$B82*(1+inf)^AF$1</f>
        <v>1678.0540632654304</v>
      </c>
      <c r="AH44" s="7">
        <f>Inputs!$B82*(1+inf)^AG$1</f>
        <v>1720.0054148470667</v>
      </c>
      <c r="AI44" s="7">
        <f>Inputs!$B82*(1+inf)^AH$1</f>
        <v>1763.0055502182429</v>
      </c>
      <c r="AJ44" s="7">
        <f>Inputs!$B82*(1+inf)^AI$1</f>
        <v>1807.0806889736989</v>
      </c>
      <c r="AK44" s="7">
        <f>Inputs!$B82*(1+inf)^AJ$1</f>
        <v>1852.2577061980414</v>
      </c>
      <c r="AL44" s="7">
        <f>Inputs!$B82*(1+inf)^AK$1</f>
        <v>1898.5641488529923</v>
      </c>
      <c r="AM44" s="7">
        <f>Inputs!$B82*(1+inf)^AL$1</f>
        <v>1946.0282525743171</v>
      </c>
    </row>
    <row r="45" spans="1:39">
      <c r="A45" s="4" t="s">
        <v>16</v>
      </c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 spans="1:39">
      <c r="A46" s="3" t="s">
        <v>56</v>
      </c>
      <c r="B46" s="8"/>
      <c r="C46" s="7">
        <f>Inputs!$B$25*(1+inf)^B$1</f>
        <v>50000</v>
      </c>
      <c r="D46" s="7">
        <f>Inputs!$B$25*(1+inf)^C$1</f>
        <v>51249.999999999993</v>
      </c>
      <c r="E46" s="7">
        <f>Inputs!$B$25*(1+inf)^D$1</f>
        <v>52531.249999999993</v>
      </c>
      <c r="F46" s="7">
        <f>Inputs!$B$25*(1+inf)^E$1</f>
        <v>53844.531249999993</v>
      </c>
      <c r="G46" s="7">
        <f>Inputs!$B$25*(1+inf)^F$1</f>
        <v>55190.644531249985</v>
      </c>
      <c r="H46" s="7">
        <f>Inputs!$B$25*(1+inf)^G$1</f>
        <v>56570.410644531235</v>
      </c>
      <c r="I46" s="7">
        <f>Inputs!$B$25*(1+inf)^H$1</f>
        <v>57984.670910644512</v>
      </c>
      <c r="J46" s="7">
        <f>Inputs!$B$25*(1+inf)^I$1</f>
        <v>59434.287683410628</v>
      </c>
      <c r="K46" s="7">
        <f>Inputs!$B$25*(1+inf)^J$1</f>
        <v>60920.144875495884</v>
      </c>
      <c r="L46" s="7">
        <f>Inputs!$B$25*(1+inf)^K$1</f>
        <v>62443.14849738327</v>
      </c>
      <c r="M46" s="7">
        <f>Inputs!$B$25*(1+inf)^L$1</f>
        <v>64004.227209817851</v>
      </c>
      <c r="N46" s="7">
        <f>Inputs!$B$25*(1+inf)^M$1</f>
        <v>65604.332890063306</v>
      </c>
      <c r="O46" s="7">
        <f>Inputs!$B$25*(1+inf)^N$1</f>
        <v>67244.44121231488</v>
      </c>
      <c r="P46" s="7">
        <f>Inputs!$B$25*(1+inf)^O$1</f>
        <v>68925.55224262274</v>
      </c>
      <c r="Q46" s="7">
        <f>Inputs!$B$25*(1+inf)^P$1</f>
        <v>70648.691048688299</v>
      </c>
      <c r="R46" s="7">
        <f>Inputs!$B$25*(1+inf)^Q$1</f>
        <v>72414.908324905526</v>
      </c>
      <c r="S46" s="7">
        <f>Inputs!$B$25*(1+inf)^R$1</f>
        <v>74225.28103302815</v>
      </c>
      <c r="T46" s="7">
        <f>Inputs!$B$25*(1+inf)^S$1</f>
        <v>76080.913058853854</v>
      </c>
      <c r="U46" s="7">
        <f>Inputs!$B$25*(1+inf)^T$1</f>
        <v>77982.935885325205</v>
      </c>
      <c r="V46" s="7">
        <f>Inputs!$B$25*(1+inf)^U$1</f>
        <v>79932.509282458326</v>
      </c>
      <c r="W46" s="7">
        <f>Inputs!$B$25*(1+inf)^V$1</f>
        <v>81930.82201451977</v>
      </c>
      <c r="X46" s="7">
        <f>Inputs!$B$25*(1+inf)^W$1</f>
        <v>83979.092564882769</v>
      </c>
      <c r="Y46" s="7">
        <f>Inputs!$B$25*(1+inf)^X$1</f>
        <v>86078.569879004834</v>
      </c>
      <c r="Z46" s="7">
        <f>Inputs!$B$25*(1+inf)^Y$1</f>
        <v>88230.534125979961</v>
      </c>
      <c r="AA46" s="7">
        <f>Inputs!$B$25*(1+inf)^Z$1</f>
        <v>90436.29747912944</v>
      </c>
      <c r="AB46" s="7">
        <f>Inputs!$B$25*(1+inf)^AA$1</f>
        <v>92697.204916107672</v>
      </c>
      <c r="AC46" s="7">
        <f>Inputs!$B$25*(1+inf)^AB$1</f>
        <v>95014.635039010347</v>
      </c>
      <c r="AD46" s="7">
        <f>Inputs!$B$25*(1+inf)^AC$1</f>
        <v>97390.000914985605</v>
      </c>
      <c r="AE46" s="7">
        <f>Inputs!$B$25*(1+inf)^AD$1</f>
        <v>99824.750937860241</v>
      </c>
      <c r="AF46" s="7">
        <f>Inputs!$B$25*(1+inf)^AE$1</f>
        <v>102320.36971130676</v>
      </c>
      <c r="AG46" s="7">
        <f>Inputs!$B$25*(1+inf)^AF$1</f>
        <v>104878.37895408941</v>
      </c>
      <c r="AH46" s="7">
        <f>Inputs!$B$25*(1+inf)^AG$1</f>
        <v>107500.33842794166</v>
      </c>
      <c r="AI46" s="7">
        <f>Inputs!$B$25*(1+inf)^AH$1</f>
        <v>110187.84688864018</v>
      </c>
      <c r="AJ46" s="7">
        <f>Inputs!$B$25*(1+inf)^AI$1</f>
        <v>112942.54306085619</v>
      </c>
      <c r="AK46" s="7">
        <f>Inputs!$B$25*(1+inf)^AJ$1</f>
        <v>115766.10663737758</v>
      </c>
      <c r="AL46" s="7">
        <f>Inputs!$B$25*(1+inf)^AK$1</f>
        <v>118660.25930331201</v>
      </c>
      <c r="AM46" s="7">
        <f>Inputs!$B$25*(1+inf)^AL$1</f>
        <v>121626.76578589482</v>
      </c>
    </row>
    <row r="47" spans="1:39">
      <c r="A47" s="3" t="str">
        <f>"Adjustment "&amp;Inputs!A169</f>
        <v>Adjustment from now to 65</v>
      </c>
      <c r="B47" s="8"/>
      <c r="C47" s="7">
        <f>IF(C$3&lt;=65,Inputs!$B$169*C$46,0)</f>
        <v>0</v>
      </c>
      <c r="D47" s="7">
        <f>IF(D$3&lt;=65,Inputs!$B$169*D$46,0)</f>
        <v>0</v>
      </c>
      <c r="E47" s="7">
        <f>IF(E$3&lt;=65,Inputs!$B$169*E$46,0)</f>
        <v>0</v>
      </c>
      <c r="F47" s="7">
        <f>IF(F$3&lt;=65,Inputs!$B$169*F$46,0)</f>
        <v>0</v>
      </c>
      <c r="G47" s="7">
        <f>IF(G$3&lt;=65,Inputs!$B$169*G$46,0)</f>
        <v>0</v>
      </c>
      <c r="H47" s="7">
        <f>IF(H$3&lt;=65,Inputs!$B$169*H$46,0)</f>
        <v>0</v>
      </c>
      <c r="I47" s="7">
        <f>IF(I$3&lt;=65,Inputs!$B$169*I$46,0)</f>
        <v>0</v>
      </c>
      <c r="J47" s="7">
        <f>IF(J$3&lt;=65,Inputs!$B$169*J$46,0)</f>
        <v>0</v>
      </c>
      <c r="K47" s="7">
        <f>IF(K$3&lt;=65,Inputs!$B$169*K$46,0)</f>
        <v>0</v>
      </c>
      <c r="L47" s="7">
        <f>IF(L$3&lt;=65,Inputs!$B$169*L$46,0)</f>
        <v>0</v>
      </c>
      <c r="M47" s="7">
        <f>IF(M$3&lt;=65,Inputs!$B$169*M$46,0)</f>
        <v>0</v>
      </c>
      <c r="N47" s="7">
        <f>IF(N$3&lt;=65,Inputs!$B$169*N$46,0)</f>
        <v>0</v>
      </c>
      <c r="O47" s="7">
        <f>IF(O$3&lt;=65,Inputs!$B$169*O$46,0)</f>
        <v>0</v>
      </c>
      <c r="P47" s="7">
        <f>IF(P$3&lt;=65,Inputs!$B$169*P$46,0)</f>
        <v>0</v>
      </c>
      <c r="Q47" s="7">
        <f>IF(Q$3&lt;=65,Inputs!$B$169*Q$46,0)</f>
        <v>0</v>
      </c>
      <c r="R47" s="7">
        <f>IF(R$3&lt;=65,Inputs!$B$169*R$46,0)</f>
        <v>0</v>
      </c>
      <c r="S47" s="7">
        <f>IF(S$3&lt;=65,Inputs!$B$169*S$46,0)</f>
        <v>0</v>
      </c>
      <c r="T47" s="7">
        <f>IF(T$3&lt;=65,Inputs!$B$169*T$46,0)</f>
        <v>0</v>
      </c>
      <c r="U47" s="7">
        <f>IF(U$3&lt;=65,Inputs!$B$169*U$46,0)</f>
        <v>0</v>
      </c>
      <c r="V47" s="7">
        <f>IF(V$3&lt;=65,Inputs!$B$169*V$46,0)</f>
        <v>0</v>
      </c>
      <c r="W47" s="7">
        <f>IF(W$3&lt;=65,Inputs!$B$169*W$46,0)</f>
        <v>0</v>
      </c>
      <c r="X47" s="7">
        <f>IF(X$3&lt;=65,Inputs!$B$169*X$46,0)</f>
        <v>0</v>
      </c>
      <c r="Y47" s="7">
        <f>IF(Y$3&lt;=65,Inputs!$B$169*Y$46,0)</f>
        <v>0</v>
      </c>
      <c r="Z47" s="7">
        <f>IF(Z$3&lt;=65,Inputs!$B$169*Z$46,0)</f>
        <v>0</v>
      </c>
      <c r="AA47" s="7">
        <f>IF(AA$3&lt;=65,Inputs!$B$169*AA$46,0)</f>
        <v>0</v>
      </c>
      <c r="AB47" s="7">
        <f>IF(AB$3&lt;=65,Inputs!$B$169*AB$46,0)</f>
        <v>0</v>
      </c>
      <c r="AC47" s="7">
        <f>IF(AC$3&lt;=65,Inputs!$B$169*AC$46,0)</f>
        <v>0</v>
      </c>
      <c r="AD47" s="7">
        <f>IF(AD$3&lt;=65,Inputs!$B$169*AD$46,0)</f>
        <v>0</v>
      </c>
      <c r="AE47" s="7">
        <f>IF(AE$3&lt;=65,Inputs!$B$169*AE$46,0)</f>
        <v>0</v>
      </c>
      <c r="AF47" s="7">
        <f>IF(AF$3&lt;=65,Inputs!$B$169*AF$46,0)</f>
        <v>0</v>
      </c>
      <c r="AG47" s="7">
        <f>IF(AG$3&lt;=65,Inputs!$B$169*AG$46,0)</f>
        <v>0</v>
      </c>
      <c r="AH47" s="7">
        <f>IF(AH$3&lt;=65,Inputs!$B$169*AH$46,0)</f>
        <v>0</v>
      </c>
      <c r="AI47" s="7">
        <f>IF(AI$3&lt;=65,Inputs!$B$169*AI$46,0)</f>
        <v>0</v>
      </c>
      <c r="AJ47" s="7">
        <f>IF(AJ$3&lt;=65,Inputs!$B$169*AJ$46,0)</f>
        <v>0</v>
      </c>
      <c r="AK47" s="7">
        <f>IF(AK$3&lt;=65,Inputs!$B$169*AK$46,0)</f>
        <v>0</v>
      </c>
      <c r="AL47" s="7">
        <f>IF(AL$3&lt;=65,Inputs!$B$169*AL$46,0)</f>
        <v>0</v>
      </c>
      <c r="AM47" s="7">
        <f>IF(AM$3&lt;=65,Inputs!$B$169*AM$46,0)</f>
        <v>0</v>
      </c>
    </row>
    <row r="48" spans="1:39">
      <c r="A48" s="3" t="str">
        <f>"Adjustment "&amp;Inputs!A170</f>
        <v>Adjustment from 66-75</v>
      </c>
      <c r="B48" s="8"/>
      <c r="C48" s="7">
        <f>IF(AND(C$3&gt;65,C$3&lt;=75),Inputs!$B$170*C46,0)</f>
        <v>0</v>
      </c>
      <c r="D48" s="7">
        <f>IF(AND(D$3&gt;65,D$3&lt;=75),Inputs!$B$170*D46,0)</f>
        <v>0</v>
      </c>
      <c r="E48" s="7">
        <f>IF(AND(E$3&gt;65,E$3&lt;=75),Inputs!$B$170*E46,0)</f>
        <v>0</v>
      </c>
      <c r="F48" s="7">
        <f>IF(AND(F$3&gt;65,F$3&lt;=75),Inputs!$B$170*F46,0)</f>
        <v>0</v>
      </c>
      <c r="G48" s="7">
        <f>IF(AND(G$3&gt;65,G$3&lt;=75),Inputs!$B$170*G46,0)</f>
        <v>0</v>
      </c>
      <c r="H48" s="7">
        <f>IF(AND(H$3&gt;65,H$3&lt;=75),Inputs!$B$170*H46,0)</f>
        <v>0</v>
      </c>
      <c r="I48" s="7">
        <f>IF(AND(I$3&gt;65,I$3&lt;=75),Inputs!$B$170*I46,0)</f>
        <v>0</v>
      </c>
      <c r="J48" s="7">
        <f>IF(AND(J$3&gt;65,J$3&lt;=75),Inputs!$B$170*J46,0)</f>
        <v>0</v>
      </c>
      <c r="K48" s="7">
        <f>IF(AND(K$3&gt;65,K$3&lt;=75),Inputs!$B$170*K46,0)</f>
        <v>0</v>
      </c>
      <c r="L48" s="7">
        <f>IF(AND(L$3&gt;65,L$3&lt;=75),Inputs!$B$170*L46,0)</f>
        <v>0</v>
      </c>
      <c r="M48" s="7">
        <f>IF(AND(M$3&gt;65,M$3&lt;=75),Inputs!$B$170*M46,0)</f>
        <v>0</v>
      </c>
      <c r="N48" s="7">
        <f>IF(AND(N$3&gt;65,N$3&lt;=75),Inputs!$B$170*N46,0)</f>
        <v>0</v>
      </c>
      <c r="O48" s="7">
        <f>IF(AND(O$3&gt;65,O$3&lt;=75),Inputs!$B$170*O46,0)</f>
        <v>0</v>
      </c>
      <c r="P48" s="7">
        <f>IF(AND(P$3&gt;65,P$3&lt;=75),Inputs!$B$170*P46,0)</f>
        <v>0</v>
      </c>
      <c r="Q48" s="7">
        <f>IF(AND(Q$3&gt;65,Q$3&lt;=75),Inputs!$B$170*Q46,0)</f>
        <v>0</v>
      </c>
      <c r="R48" s="7">
        <f>IF(AND(R$3&gt;65,R$3&lt;=75),Inputs!$B$170*R46,0)</f>
        <v>0</v>
      </c>
      <c r="S48" s="7">
        <f>IF(AND(S$3&gt;65,S$3&lt;=75),Inputs!$B$170*S46,0)</f>
        <v>0</v>
      </c>
      <c r="T48" s="7">
        <f>IF(AND(T$3&gt;65,T$3&lt;=75),Inputs!$B$170*T46,0)</f>
        <v>-7608.0913058853857</v>
      </c>
      <c r="U48" s="7">
        <f>IF(AND(U$3&gt;65,U$3&lt;=75),Inputs!$B$170*U46,0)</f>
        <v>-7798.2935885325205</v>
      </c>
      <c r="V48" s="7">
        <f>IF(AND(V$3&gt;65,V$3&lt;=75),Inputs!$B$170*V46,0)</f>
        <v>-7993.2509282458332</v>
      </c>
      <c r="W48" s="7">
        <f>IF(AND(W$3&gt;65,W$3&lt;=75),Inputs!$B$170*W46,0)</f>
        <v>-8193.0822014519781</v>
      </c>
      <c r="X48" s="7">
        <f>IF(AND(X$3&gt;65,X$3&lt;=75),Inputs!$B$170*X46,0)</f>
        <v>-8397.9092564882776</v>
      </c>
      <c r="Y48" s="7">
        <f>IF(AND(Y$3&gt;65,Y$3&lt;=75),Inputs!$B$170*Y46,0)</f>
        <v>-8607.8569879004845</v>
      </c>
      <c r="Z48" s="7">
        <f>IF(AND(Z$3&gt;65,Z$3&lt;=75),Inputs!$B$170*Z46,0)</f>
        <v>-8823.0534125979957</v>
      </c>
      <c r="AA48" s="7">
        <f>IF(AND(AA$3&gt;65,AA$3&lt;=75),Inputs!$B$170*AA46,0)</f>
        <v>-9043.6297479129444</v>
      </c>
      <c r="AB48" s="7">
        <f>IF(AND(AB$3&gt;65,AB$3&lt;=75),Inputs!$B$170*AB46,0)</f>
        <v>-9269.7204916107676</v>
      </c>
      <c r="AC48" s="7">
        <f>IF(AND(AC$3&gt;65,AC$3&lt;=75),Inputs!$B$170*AC46,0)</f>
        <v>-9501.4635039010354</v>
      </c>
      <c r="AD48" s="7">
        <f>IF(AND(AD$3&gt;65,AD$3&lt;=75),Inputs!$B$170*AD46,0)</f>
        <v>0</v>
      </c>
      <c r="AE48" s="7">
        <f>IF(AND(AE$3&gt;65,AE$3&lt;=75),Inputs!$B$170*AE46,0)</f>
        <v>0</v>
      </c>
      <c r="AF48" s="7">
        <f>IF(AND(AF$3&gt;65,AF$3&lt;=75),Inputs!$B$170*AF46,0)</f>
        <v>0</v>
      </c>
      <c r="AG48" s="7">
        <f>IF(AND(AG$3&gt;65,AG$3&lt;=75),Inputs!$B$170*AG46,0)</f>
        <v>0</v>
      </c>
      <c r="AH48" s="7">
        <f>IF(AND(AH$3&gt;65,AH$3&lt;=75),Inputs!$B$170*AH46,0)</f>
        <v>0</v>
      </c>
      <c r="AI48" s="7">
        <f>IF(AND(AI$3&gt;65,AI$3&lt;=75),Inputs!$B$170*AI46,0)</f>
        <v>0</v>
      </c>
      <c r="AJ48" s="7">
        <f>IF(AND(AJ$3&gt;65,AJ$3&lt;=75),Inputs!$B$170*AJ46,0)</f>
        <v>0</v>
      </c>
      <c r="AK48" s="7">
        <f>IF(AND(AK$3&gt;65,AK$3&lt;=75),Inputs!$B$170*AK46,0)</f>
        <v>0</v>
      </c>
      <c r="AL48" s="7">
        <f>IF(AND(AL$3&gt;65,AL$3&lt;=75),Inputs!$B$170*AL46,0)</f>
        <v>0</v>
      </c>
      <c r="AM48" s="7">
        <f>IF(AND(AM$3&gt;65,AM$3&lt;=75),Inputs!$B$170*AM46,0)</f>
        <v>0</v>
      </c>
    </row>
    <row r="49" spans="1:39">
      <c r="A49" s="3" t="str">
        <f>"Adjustment "&amp;Inputs!A171</f>
        <v>Adjustment from age 76</v>
      </c>
      <c r="B49" s="8"/>
      <c r="C49" s="7">
        <f>IF(C$3&gt;75,Inputs!$B$171*C$46,0)</f>
        <v>0</v>
      </c>
      <c r="D49" s="7">
        <f>IF(D$3&gt;75,Inputs!$B$171*D$46,0)</f>
        <v>0</v>
      </c>
      <c r="E49" s="7">
        <f>IF(E$3&gt;75,Inputs!$B$171*E$46,0)</f>
        <v>0</v>
      </c>
      <c r="F49" s="7">
        <f>IF(F$3&gt;75,Inputs!$B$171*F$46,0)</f>
        <v>0</v>
      </c>
      <c r="G49" s="7">
        <f>IF(G$3&gt;75,Inputs!$B$171*G$46,0)</f>
        <v>0</v>
      </c>
      <c r="H49" s="7">
        <f>IF(H$3&gt;75,Inputs!$B$171*H$46,0)</f>
        <v>0</v>
      </c>
      <c r="I49" s="7">
        <f>IF(I$3&gt;75,Inputs!$B$171*I$46,0)</f>
        <v>0</v>
      </c>
      <c r="J49" s="7">
        <f>IF(J$3&gt;75,Inputs!$B$171*J$46,0)</f>
        <v>0</v>
      </c>
      <c r="K49" s="7">
        <f>IF(K$3&gt;75,Inputs!$B$171*K$46,0)</f>
        <v>0</v>
      </c>
      <c r="L49" s="7">
        <f>IF(L$3&gt;75,Inputs!$B$171*L$46,0)</f>
        <v>0</v>
      </c>
      <c r="M49" s="7">
        <f>IF(M$3&gt;75,Inputs!$B$171*M$46,0)</f>
        <v>0</v>
      </c>
      <c r="N49" s="7">
        <f>IF(N$3&gt;75,Inputs!$B$171*N$46,0)</f>
        <v>0</v>
      </c>
      <c r="O49" s="7">
        <f>IF(O$3&gt;75,Inputs!$B$171*O$46,0)</f>
        <v>0</v>
      </c>
      <c r="P49" s="7">
        <f>IF(P$3&gt;75,Inputs!$B$171*P$46,0)</f>
        <v>0</v>
      </c>
      <c r="Q49" s="7">
        <f>IF(Q$3&gt;75,Inputs!$B$171*Q$46,0)</f>
        <v>0</v>
      </c>
      <c r="R49" s="7">
        <f>IF(R$3&gt;75,Inputs!$B$171*R$46,0)</f>
        <v>0</v>
      </c>
      <c r="S49" s="7">
        <f>IF(S$3&gt;75,Inputs!$B$171*S$46,0)</f>
        <v>0</v>
      </c>
      <c r="T49" s="7">
        <f>IF(T$3&gt;75,Inputs!$B$171*T$46,0)</f>
        <v>0</v>
      </c>
      <c r="U49" s="7">
        <f>IF(U$3&gt;75,Inputs!$B$171*U$46,0)</f>
        <v>0</v>
      </c>
      <c r="V49" s="7">
        <f>IF(V$3&gt;75,Inputs!$B$171*V$46,0)</f>
        <v>0</v>
      </c>
      <c r="W49" s="7">
        <f>IF(W$3&gt;75,Inputs!$B$171*W$46,0)</f>
        <v>0</v>
      </c>
      <c r="X49" s="7">
        <f>IF(X$3&gt;75,Inputs!$B$171*X$46,0)</f>
        <v>0</v>
      </c>
      <c r="Y49" s="7">
        <f>IF(Y$3&gt;75,Inputs!$B$171*Y$46,0)</f>
        <v>0</v>
      </c>
      <c r="Z49" s="7">
        <f>IF(Z$3&gt;75,Inputs!$B$171*Z$46,0)</f>
        <v>0</v>
      </c>
      <c r="AA49" s="7">
        <f>IF(AA$3&gt;75,Inputs!$B$171*AA$46,0)</f>
        <v>0</v>
      </c>
      <c r="AB49" s="7">
        <f>IF(AB$3&gt;75,Inputs!$B$171*AB$46,0)</f>
        <v>0</v>
      </c>
      <c r="AC49" s="7">
        <f>IF(AC$3&gt;75,Inputs!$B$171*AC$46,0)</f>
        <v>0</v>
      </c>
      <c r="AD49" s="7">
        <f>IF(AD$3&gt;75,Inputs!$B$171*AD$46,0)</f>
        <v>-19478.000182997122</v>
      </c>
      <c r="AE49" s="7">
        <f>IF(AE$3&gt;75,Inputs!$B$171*AE$46,0)</f>
        <v>-19964.950187572049</v>
      </c>
      <c r="AF49" s="7">
        <f>IF(AF$3&gt;75,Inputs!$B$171*AF$46,0)</f>
        <v>-20464.073942261355</v>
      </c>
      <c r="AG49" s="7">
        <f>IF(AG$3&gt;75,Inputs!$B$171*AG$46,0)</f>
        <v>-20975.675790817884</v>
      </c>
      <c r="AH49" s="7">
        <f>IF(AH$3&gt;75,Inputs!$B$171*AH$46,0)</f>
        <v>-21500.067685588336</v>
      </c>
      <c r="AI49" s="7">
        <f>IF(AI$3&gt;75,Inputs!$B$171*AI$46,0)</f>
        <v>-22037.569377728039</v>
      </c>
      <c r="AJ49" s="7">
        <f>IF(AJ$3&gt;75,Inputs!$B$171*AJ$46,0)</f>
        <v>-22588.508612171237</v>
      </c>
      <c r="AK49" s="7">
        <f>IF(AK$3&gt;75,Inputs!$B$171*AK$46,0)</f>
        <v>-23153.22132747552</v>
      </c>
      <c r="AL49" s="7">
        <f>IF(AL$3&gt;75,Inputs!$B$171*AL$46,0)</f>
        <v>-23732.051860662403</v>
      </c>
      <c r="AM49" s="7">
        <f>IF(AM$3&gt;75,Inputs!$B$171*AM$46,0)</f>
        <v>-24325.353157178964</v>
      </c>
    </row>
    <row r="50" spans="1:39">
      <c r="A50" s="4" t="s">
        <v>60</v>
      </c>
      <c r="B50" s="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</row>
    <row r="51" spans="1:39">
      <c r="A51" s="3" t="str">
        <f>TEXT(Inputs!$B$149,"")</f>
        <v>Wedding</v>
      </c>
      <c r="B51" s="8"/>
      <c r="C51" s="7">
        <f ca="1">IF(C$2=Inputs!$B151,Inputs!$B150,0)*(1+inf)^B$1</f>
        <v>0</v>
      </c>
      <c r="D51" s="7">
        <f ca="1">IF(D$2=Inputs!$B151,Inputs!$B150,0)*(1+inf)^C$1</f>
        <v>0</v>
      </c>
      <c r="E51" s="7">
        <f ca="1">IF(E$2=Inputs!$B151,Inputs!$B150,0)*(1+inf)^D$1</f>
        <v>0</v>
      </c>
      <c r="F51" s="7">
        <f ca="1">IF(F$2=Inputs!$B151,Inputs!$B150,0)*(1+inf)^E$1</f>
        <v>0</v>
      </c>
      <c r="G51" s="7">
        <f ca="1">IF(G$2=Inputs!$B151,Inputs!$B150,0)*(1+inf)^F$1</f>
        <v>0</v>
      </c>
      <c r="H51" s="7">
        <f ca="1">IF(H$2=Inputs!$B151,Inputs!$B150,0)*(1+inf)^G$1</f>
        <v>0</v>
      </c>
      <c r="I51" s="7">
        <f ca="1">IF(I$2=Inputs!$B151,Inputs!$B150,0)*(1+inf)^H$1</f>
        <v>0</v>
      </c>
      <c r="J51" s="7">
        <f ca="1">IF(J$2=Inputs!$B151,Inputs!$B150,0)*(1+inf)^I$1</f>
        <v>0</v>
      </c>
      <c r="K51" s="7">
        <f ca="1">IF(K$2=Inputs!$B151,Inputs!$B150,0)*(1+inf)^J$1</f>
        <v>0</v>
      </c>
      <c r="L51" s="7">
        <f ca="1">IF(L$2=Inputs!$B151,Inputs!$B150,0)*(1+inf)^K$1</f>
        <v>49954.518797906618</v>
      </c>
      <c r="M51" s="7">
        <f ca="1">IF(M$2=Inputs!$B151,Inputs!$B150,0)*(1+inf)^L$1</f>
        <v>0</v>
      </c>
      <c r="N51" s="7">
        <f ca="1">IF(N$2=Inputs!$B151,Inputs!$B150,0)*(1+inf)^M$1</f>
        <v>0</v>
      </c>
      <c r="O51" s="7">
        <f ca="1">IF(O$2=Inputs!$B151,Inputs!$B150,0)*(1+inf)^N$1</f>
        <v>0</v>
      </c>
      <c r="P51" s="7">
        <f ca="1">IF(P$2=Inputs!$B151,Inputs!$B150,0)*(1+inf)^O$1</f>
        <v>0</v>
      </c>
      <c r="Q51" s="7">
        <f ca="1">IF(Q$2=Inputs!$B151,Inputs!$B150,0)*(1+inf)^P$1</f>
        <v>0</v>
      </c>
      <c r="R51" s="7">
        <f ca="1">IF(R$2=Inputs!$B151,Inputs!$B150,0)*(1+inf)^Q$1</f>
        <v>0</v>
      </c>
      <c r="S51" s="7">
        <f ca="1">IF(S$2=Inputs!$B151,Inputs!$B150,0)*(1+inf)^R$1</f>
        <v>0</v>
      </c>
      <c r="T51" s="7">
        <f ca="1">IF(T$2=Inputs!$B151,Inputs!$B150,0)*(1+inf)^S$1</f>
        <v>0</v>
      </c>
      <c r="U51" s="7">
        <f ca="1">IF(U$2=Inputs!$B151,Inputs!$B150,0)*(1+inf)^T$1</f>
        <v>0</v>
      </c>
      <c r="V51" s="7">
        <f ca="1">IF(V$2=Inputs!$B151,Inputs!$B150,0)*(1+inf)^U$1</f>
        <v>0</v>
      </c>
      <c r="W51" s="7">
        <f ca="1">IF(W$2=Inputs!$B151,Inputs!$B150,0)*(1+inf)^V$1</f>
        <v>0</v>
      </c>
      <c r="X51" s="7">
        <f ca="1">IF(X$2=Inputs!$B151,Inputs!$B150,0)*(1+inf)^W$1</f>
        <v>0</v>
      </c>
      <c r="Y51" s="7">
        <f ca="1">IF(Y$2=Inputs!$B151,Inputs!$B150,0)*(1+inf)^X$1</f>
        <v>0</v>
      </c>
      <c r="Z51" s="7">
        <f ca="1">IF(Z$2=Inputs!$B151,Inputs!$B150,0)*(1+inf)^Y$1</f>
        <v>0</v>
      </c>
      <c r="AA51" s="7">
        <f ca="1">IF(AA$2=Inputs!$B151,Inputs!$B150,0)*(1+inf)^Z$1</f>
        <v>0</v>
      </c>
      <c r="AB51" s="7">
        <f ca="1">IF(AB$2=Inputs!$B151,Inputs!$B150,0)*(1+inf)^AA$1</f>
        <v>0</v>
      </c>
      <c r="AC51" s="7">
        <f ca="1">IF(AC$2=Inputs!$B151,Inputs!$B150,0)*(1+inf)^AB$1</f>
        <v>0</v>
      </c>
      <c r="AD51" s="7">
        <f ca="1">IF(AD$2=Inputs!$B151,Inputs!$B150,0)*(1+inf)^AC$1</f>
        <v>0</v>
      </c>
      <c r="AE51" s="7">
        <f ca="1">IF(AE$2=Inputs!$B151,Inputs!$B150,0)*(1+inf)^AD$1</f>
        <v>0</v>
      </c>
      <c r="AF51" s="7">
        <f ca="1">IF(AF$2=Inputs!$B151,Inputs!$B150,0)*(1+inf)^AE$1</f>
        <v>0</v>
      </c>
      <c r="AG51" s="7">
        <f ca="1">IF(AG$2=Inputs!$B151,Inputs!$B150,0)*(1+inf)^AF$1</f>
        <v>0</v>
      </c>
      <c r="AH51" s="7">
        <f ca="1">IF(AH$2=Inputs!$B151,Inputs!$B150,0)*(1+inf)^AG$1</f>
        <v>0</v>
      </c>
      <c r="AI51" s="7">
        <f ca="1">IF(AI$2=Inputs!$B151,Inputs!$B150,0)*(1+inf)^AH$1</f>
        <v>0</v>
      </c>
      <c r="AJ51" s="7">
        <f ca="1">IF(AJ$2=Inputs!$B151,Inputs!$B150,0)*(1+inf)^AI$1</f>
        <v>0</v>
      </c>
      <c r="AK51" s="7">
        <f ca="1">IF(AK$2=Inputs!$B151,Inputs!$B150,0)*(1+inf)^AJ$1</f>
        <v>0</v>
      </c>
      <c r="AL51" s="7">
        <f ca="1">IF(AL$2=Inputs!$B151,Inputs!$B150,0)*(1+inf)^AK$1</f>
        <v>0</v>
      </c>
      <c r="AM51" s="7">
        <f ca="1">IF(AM$2=Inputs!$B151,Inputs!$B150,0)*(1+inf)^AL$1</f>
        <v>0</v>
      </c>
    </row>
    <row r="52" spans="1:39">
      <c r="A52" s="3" t="str">
        <f>TEXT(Inputs!$B$154,"")</f>
        <v>New Car</v>
      </c>
      <c r="B52" s="8"/>
      <c r="C52" s="7">
        <f ca="1">IF(C$2=Inputs!$B156,Inputs!$B155,0)*(1+inf)^B$1</f>
        <v>0</v>
      </c>
      <c r="D52" s="7">
        <f ca="1">IF(D$2=Inputs!$B156,Inputs!$B155,0)*(1+inf)^C$1</f>
        <v>0</v>
      </c>
      <c r="E52" s="7">
        <f ca="1">IF(E$2=Inputs!$B156,Inputs!$B155,0)*(1+inf)^D$1</f>
        <v>36771.875</v>
      </c>
      <c r="F52" s="7">
        <f ca="1">IF(F$2=Inputs!$B156,Inputs!$B155,0)*(1+inf)^E$1</f>
        <v>0</v>
      </c>
      <c r="G52" s="7">
        <f ca="1">IF(G$2=Inputs!$B156,Inputs!$B155,0)*(1+inf)^F$1</f>
        <v>0</v>
      </c>
      <c r="H52" s="7">
        <f ca="1">IF(H$2=Inputs!$B156,Inputs!$B155,0)*(1+inf)^G$1</f>
        <v>0</v>
      </c>
      <c r="I52" s="7">
        <f ca="1">IF(I$2=Inputs!$B156,Inputs!$B155,0)*(1+inf)^H$1</f>
        <v>0</v>
      </c>
      <c r="J52" s="7">
        <f ca="1">IF(J$2=Inputs!$B156,Inputs!$B155,0)*(1+inf)^I$1</f>
        <v>0</v>
      </c>
      <c r="K52" s="7">
        <f ca="1">IF(K$2=Inputs!$B156,Inputs!$B155,0)*(1+inf)^J$1</f>
        <v>0</v>
      </c>
      <c r="L52" s="7">
        <f ca="1">IF(L$2=Inputs!$B156,Inputs!$B155,0)*(1+inf)^K$1</f>
        <v>0</v>
      </c>
      <c r="M52" s="7">
        <f ca="1">IF(M$2=Inputs!$B156,Inputs!$B155,0)*(1+inf)^L$1</f>
        <v>0</v>
      </c>
      <c r="N52" s="7">
        <f ca="1">IF(N$2=Inputs!$B156,Inputs!$B155,0)*(1+inf)^M$1</f>
        <v>0</v>
      </c>
      <c r="O52" s="7">
        <f ca="1">IF(O$2=Inputs!$B156,Inputs!$B155,0)*(1+inf)^N$1</f>
        <v>0</v>
      </c>
      <c r="P52" s="7">
        <f ca="1">IF(P$2=Inputs!$B156,Inputs!$B155,0)*(1+inf)^O$1</f>
        <v>0</v>
      </c>
      <c r="Q52" s="7">
        <f ca="1">IF(Q$2=Inputs!$B156,Inputs!$B155,0)*(1+inf)^P$1</f>
        <v>0</v>
      </c>
      <c r="R52" s="7">
        <f ca="1">IF(R$2=Inputs!$B156,Inputs!$B155,0)*(1+inf)^Q$1</f>
        <v>0</v>
      </c>
      <c r="S52" s="7">
        <f ca="1">IF(S$2=Inputs!$B156,Inputs!$B155,0)*(1+inf)^R$1</f>
        <v>0</v>
      </c>
      <c r="T52" s="7">
        <f ca="1">IF(T$2=Inputs!$B156,Inputs!$B155,0)*(1+inf)^S$1</f>
        <v>0</v>
      </c>
      <c r="U52" s="7">
        <f ca="1">IF(U$2=Inputs!$B156,Inputs!$B155,0)*(1+inf)^T$1</f>
        <v>0</v>
      </c>
      <c r="V52" s="7">
        <f ca="1">IF(V$2=Inputs!$B156,Inputs!$B155,0)*(1+inf)^U$1</f>
        <v>0</v>
      </c>
      <c r="W52" s="7">
        <f ca="1">IF(W$2=Inputs!$B156,Inputs!$B155,0)*(1+inf)^V$1</f>
        <v>0</v>
      </c>
      <c r="X52" s="7">
        <f ca="1">IF(X$2=Inputs!$B156,Inputs!$B155,0)*(1+inf)^W$1</f>
        <v>0</v>
      </c>
      <c r="Y52" s="7">
        <f ca="1">IF(Y$2=Inputs!$B156,Inputs!$B155,0)*(1+inf)^X$1</f>
        <v>0</v>
      </c>
      <c r="Z52" s="7">
        <f ca="1">IF(Z$2=Inputs!$B156,Inputs!$B155,0)*(1+inf)^Y$1</f>
        <v>0</v>
      </c>
      <c r="AA52" s="7">
        <f ca="1">IF(AA$2=Inputs!$B156,Inputs!$B155,0)*(1+inf)^Z$1</f>
        <v>0</v>
      </c>
      <c r="AB52" s="7">
        <f ca="1">IF(AB$2=Inputs!$B156,Inputs!$B155,0)*(1+inf)^AA$1</f>
        <v>0</v>
      </c>
      <c r="AC52" s="7">
        <f ca="1">IF(AC$2=Inputs!$B156,Inputs!$B155,0)*(1+inf)^AB$1</f>
        <v>0</v>
      </c>
      <c r="AD52" s="7">
        <f ca="1">IF(AD$2=Inputs!$B156,Inputs!$B155,0)*(1+inf)^AC$1</f>
        <v>0</v>
      </c>
      <c r="AE52" s="7">
        <f ca="1">IF(AE$2=Inputs!$B156,Inputs!$B155,0)*(1+inf)^AD$1</f>
        <v>0</v>
      </c>
      <c r="AF52" s="7">
        <f ca="1">IF(AF$2=Inputs!$B156,Inputs!$B155,0)*(1+inf)^AE$1</f>
        <v>0</v>
      </c>
      <c r="AG52" s="7">
        <f ca="1">IF(AG$2=Inputs!$B156,Inputs!$B155,0)*(1+inf)^AF$1</f>
        <v>0</v>
      </c>
      <c r="AH52" s="7">
        <f ca="1">IF(AH$2=Inputs!$B156,Inputs!$B155,0)*(1+inf)^AG$1</f>
        <v>0</v>
      </c>
      <c r="AI52" s="7">
        <f ca="1">IF(AI$2=Inputs!$B156,Inputs!$B155,0)*(1+inf)^AH$1</f>
        <v>0</v>
      </c>
      <c r="AJ52" s="7">
        <f ca="1">IF(AJ$2=Inputs!$B156,Inputs!$B155,0)*(1+inf)^AI$1</f>
        <v>0</v>
      </c>
      <c r="AK52" s="7">
        <f ca="1">IF(AK$2=Inputs!$B156,Inputs!$B155,0)*(1+inf)^AJ$1</f>
        <v>0</v>
      </c>
      <c r="AL52" s="7">
        <f ca="1">IF(AL$2=Inputs!$B156,Inputs!$B155,0)*(1+inf)^AK$1</f>
        <v>0</v>
      </c>
      <c r="AM52" s="7">
        <f ca="1">IF(AM$2=Inputs!$B156,Inputs!$B155,0)*(1+inf)^AL$1</f>
        <v>0</v>
      </c>
    </row>
    <row r="53" spans="1:39">
      <c r="A53" s="3" t="str">
        <f>TEXT(Inputs!$B$159,"")</f>
        <v>New AC</v>
      </c>
      <c r="B53" s="8"/>
      <c r="C53" s="7">
        <f ca="1">IF(C$2=Inputs!$B161,Inputs!$B160,0)*(1+inf)^B$1</f>
        <v>0</v>
      </c>
      <c r="D53" s="7">
        <f ca="1">IF(D$2=Inputs!$B161,Inputs!$B160,0)*(1+inf)^C$1</f>
        <v>0</v>
      </c>
      <c r="E53" s="7">
        <f ca="1">IF(E$2=Inputs!$B161,Inputs!$B160,0)*(1+inf)^D$1</f>
        <v>0</v>
      </c>
      <c r="F53" s="7">
        <f ca="1">IF(F$2=Inputs!$B161,Inputs!$B160,0)*(1+inf)^E$1</f>
        <v>0</v>
      </c>
      <c r="G53" s="7">
        <f ca="1">IF(G$2=Inputs!$B161,Inputs!$B160,0)*(1+inf)^F$1</f>
        <v>0</v>
      </c>
      <c r="H53" s="7">
        <f ca="1">IF(H$2=Inputs!$B161,Inputs!$B160,0)*(1+inf)^G$1</f>
        <v>0</v>
      </c>
      <c r="I53" s="7">
        <f ca="1">IF(I$2=Inputs!$B161,Inputs!$B160,0)*(1+inf)^H$1</f>
        <v>0</v>
      </c>
      <c r="J53" s="7">
        <f ca="1">IF(J$2=Inputs!$B161,Inputs!$B160,0)*(1+inf)^I$1</f>
        <v>17830.286305023186</v>
      </c>
      <c r="K53" s="7">
        <f ca="1">IF(K$2=Inputs!$B161,Inputs!$B160,0)*(1+inf)^J$1</f>
        <v>0</v>
      </c>
      <c r="L53" s="7">
        <f ca="1">IF(L$2=Inputs!$B161,Inputs!$B160,0)*(1+inf)^K$1</f>
        <v>0</v>
      </c>
      <c r="M53" s="7">
        <f ca="1">IF(M$2=Inputs!$B161,Inputs!$B160,0)*(1+inf)^L$1</f>
        <v>0</v>
      </c>
      <c r="N53" s="7">
        <f ca="1">IF(N$2=Inputs!$B161,Inputs!$B160,0)*(1+inf)^M$1</f>
        <v>0</v>
      </c>
      <c r="O53" s="7">
        <f ca="1">IF(O$2=Inputs!$B161,Inputs!$B160,0)*(1+inf)^N$1</f>
        <v>0</v>
      </c>
      <c r="P53" s="7">
        <f ca="1">IF(P$2=Inputs!$B161,Inputs!$B160,0)*(1+inf)^O$1</f>
        <v>0</v>
      </c>
      <c r="Q53" s="7">
        <f ca="1">IF(Q$2=Inputs!$B161,Inputs!$B160,0)*(1+inf)^P$1</f>
        <v>0</v>
      </c>
      <c r="R53" s="7">
        <f ca="1">IF(R$2=Inputs!$B161,Inputs!$B160,0)*(1+inf)^Q$1</f>
        <v>0</v>
      </c>
      <c r="S53" s="7">
        <f ca="1">IF(S$2=Inputs!$B161,Inputs!$B160,0)*(1+inf)^R$1</f>
        <v>0</v>
      </c>
      <c r="T53" s="7">
        <f ca="1">IF(T$2=Inputs!$B161,Inputs!$B160,0)*(1+inf)^S$1</f>
        <v>0</v>
      </c>
      <c r="U53" s="7">
        <f ca="1">IF(U$2=Inputs!$B161,Inputs!$B160,0)*(1+inf)^T$1</f>
        <v>0</v>
      </c>
      <c r="V53" s="7">
        <f ca="1">IF(V$2=Inputs!$B161,Inputs!$B160,0)*(1+inf)^U$1</f>
        <v>0</v>
      </c>
      <c r="W53" s="7">
        <f ca="1">IF(W$2=Inputs!$B161,Inputs!$B160,0)*(1+inf)^V$1</f>
        <v>0</v>
      </c>
      <c r="X53" s="7">
        <f ca="1">IF(X$2=Inputs!$B161,Inputs!$B160,0)*(1+inf)^W$1</f>
        <v>0</v>
      </c>
      <c r="Y53" s="7">
        <f ca="1">IF(Y$2=Inputs!$B161,Inputs!$B160,0)*(1+inf)^X$1</f>
        <v>0</v>
      </c>
      <c r="Z53" s="7">
        <f ca="1">IF(Z$2=Inputs!$B161,Inputs!$B160,0)*(1+inf)^Y$1</f>
        <v>0</v>
      </c>
      <c r="AA53" s="7">
        <f ca="1">IF(AA$2=Inputs!$B161,Inputs!$B160,0)*(1+inf)^Z$1</f>
        <v>0</v>
      </c>
      <c r="AB53" s="7">
        <f ca="1">IF(AB$2=Inputs!$B161,Inputs!$B160,0)*(1+inf)^AA$1</f>
        <v>0</v>
      </c>
      <c r="AC53" s="7">
        <f ca="1">IF(AC$2=Inputs!$B161,Inputs!$B160,0)*(1+inf)^AB$1</f>
        <v>0</v>
      </c>
      <c r="AD53" s="7">
        <f ca="1">IF(AD$2=Inputs!$B161,Inputs!$B160,0)*(1+inf)^AC$1</f>
        <v>0</v>
      </c>
      <c r="AE53" s="7">
        <f ca="1">IF(AE$2=Inputs!$B161,Inputs!$B160,0)*(1+inf)^AD$1</f>
        <v>0</v>
      </c>
      <c r="AF53" s="7">
        <f ca="1">IF(AF$2=Inputs!$B161,Inputs!$B160,0)*(1+inf)^AE$1</f>
        <v>0</v>
      </c>
      <c r="AG53" s="7">
        <f ca="1">IF(AG$2=Inputs!$B161,Inputs!$B160,0)*(1+inf)^AF$1</f>
        <v>0</v>
      </c>
      <c r="AH53" s="7">
        <f ca="1">IF(AH$2=Inputs!$B161,Inputs!$B160,0)*(1+inf)^AG$1</f>
        <v>0</v>
      </c>
      <c r="AI53" s="7">
        <f ca="1">IF(AI$2=Inputs!$B161,Inputs!$B160,0)*(1+inf)^AH$1</f>
        <v>0</v>
      </c>
      <c r="AJ53" s="7">
        <f ca="1">IF(AJ$2=Inputs!$B161,Inputs!$B160,0)*(1+inf)^AI$1</f>
        <v>0</v>
      </c>
      <c r="AK53" s="7">
        <f ca="1">IF(AK$2=Inputs!$B161,Inputs!$B160,0)*(1+inf)^AJ$1</f>
        <v>0</v>
      </c>
      <c r="AL53" s="7">
        <f ca="1">IF(AL$2=Inputs!$B161,Inputs!$B160,0)*(1+inf)^AK$1</f>
        <v>0</v>
      </c>
      <c r="AM53" s="7">
        <f ca="1">IF(AM$2=Inputs!$B161,Inputs!$B160,0)*(1+inf)^AL$1</f>
        <v>0</v>
      </c>
    </row>
    <row r="54" spans="1:39">
      <c r="A54" s="4"/>
      <c r="C54" s="9">
        <f t="shared" ref="C54:G54" ca="1" si="36">SUM(C22:C53)</f>
        <v>97360</v>
      </c>
      <c r="D54" s="9">
        <f t="shared" ca="1" si="36"/>
        <v>98169</v>
      </c>
      <c r="E54" s="9">
        <f t="shared" ca="1" si="36"/>
        <v>132592.59999999998</v>
      </c>
      <c r="F54" s="9">
        <f t="shared" ca="1" si="36"/>
        <v>91993.6382144573</v>
      </c>
      <c r="G54" s="9">
        <f t="shared" ca="1" si="36"/>
        <v>92089.491195312483</v>
      </c>
      <c r="H54" s="9">
        <f t="shared" ref="H54:AM54" ca="1" si="37">SUM(H22:H53)</f>
        <v>88021.061641888562</v>
      </c>
      <c r="I54" s="9">
        <f t="shared" ca="1" si="37"/>
        <v>77621.605092773418</v>
      </c>
      <c r="J54" s="9">
        <f t="shared" ca="1" si="37"/>
        <v>96300.680332936274</v>
      </c>
      <c r="K54" s="9">
        <f t="shared" ca="1" si="37"/>
        <v>79425.190113170276</v>
      </c>
      <c r="L54" s="9">
        <f t="shared" ca="1" si="37"/>
        <v>128494.60207375375</v>
      </c>
      <c r="M54" s="9">
        <f t="shared" ca="1" si="37"/>
        <v>76805.072651781418</v>
      </c>
      <c r="N54" s="9">
        <f t="shared" ca="1" si="37"/>
        <v>78725.199468075967</v>
      </c>
      <c r="O54" s="9">
        <f t="shared" ca="1" si="37"/>
        <v>80693.32945477785</v>
      </c>
      <c r="P54" s="9">
        <f t="shared" ca="1" si="37"/>
        <v>82710.662691147285</v>
      </c>
      <c r="Q54" s="9">
        <f t="shared" ca="1" si="37"/>
        <v>84778.429258425953</v>
      </c>
      <c r="R54" s="9">
        <f t="shared" ca="1" si="37"/>
        <v>86897.889989886637</v>
      </c>
      <c r="S54" s="9">
        <f t="shared" ca="1" si="37"/>
        <v>89070.33723963378</v>
      </c>
      <c r="T54" s="9">
        <f t="shared" ca="1" si="37"/>
        <v>83689.00436473923</v>
      </c>
      <c r="U54" s="9">
        <f t="shared" ca="1" si="37"/>
        <v>85781.229473857733</v>
      </c>
      <c r="V54" s="9">
        <f t="shared" ca="1" si="37"/>
        <v>87925.76021070416</v>
      </c>
      <c r="W54" s="9">
        <f t="shared" ca="1" si="37"/>
        <v>90123.90421597175</v>
      </c>
      <c r="X54" s="9">
        <f t="shared" ca="1" si="37"/>
        <v>92377.001821371043</v>
      </c>
      <c r="Y54" s="9">
        <f t="shared" ca="1" si="37"/>
        <v>94686.426866905327</v>
      </c>
      <c r="Z54" s="9">
        <f t="shared" ca="1" si="37"/>
        <v>97053.587538577965</v>
      </c>
      <c r="AA54" s="9">
        <f t="shared" ca="1" si="37"/>
        <v>99479.927227042383</v>
      </c>
      <c r="AB54" s="9">
        <f t="shared" ca="1" si="37"/>
        <v>101966.92540771843</v>
      </c>
      <c r="AC54" s="9">
        <f t="shared" ca="1" si="37"/>
        <v>104516.09854291138</v>
      </c>
      <c r="AD54" s="9">
        <f t="shared" ca="1" si="37"/>
        <v>97390.000914985605</v>
      </c>
      <c r="AE54" s="9">
        <f t="shared" ca="1" si="37"/>
        <v>99824.750937860241</v>
      </c>
      <c r="AF54" s="9">
        <f t="shared" ca="1" si="37"/>
        <v>102320.36971130676</v>
      </c>
      <c r="AG54" s="9">
        <f t="shared" ca="1" si="37"/>
        <v>104878.37895408941</v>
      </c>
      <c r="AH54" s="9">
        <f t="shared" ca="1" si="37"/>
        <v>107500.33842794166</v>
      </c>
      <c r="AI54" s="9">
        <f t="shared" ca="1" si="37"/>
        <v>110187.84688864017</v>
      </c>
      <c r="AJ54" s="9">
        <f t="shared" ca="1" si="37"/>
        <v>112942.54306085619</v>
      </c>
      <c r="AK54" s="9">
        <f t="shared" ca="1" si="37"/>
        <v>115766.10663737757</v>
      </c>
      <c r="AL54" s="9">
        <f t="shared" ca="1" si="37"/>
        <v>118660.25930331199</v>
      </c>
      <c r="AM54" s="9">
        <f t="shared" ca="1" si="37"/>
        <v>121626.76578589482</v>
      </c>
    </row>
    <row r="55" spans="1:39">
      <c r="A55" s="4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</row>
    <row r="56" spans="1:39" ht="19">
      <c r="A56" s="12" t="s">
        <v>19</v>
      </c>
      <c r="C56" s="7">
        <f t="shared" ref="C56:AM56" ca="1" si="38">C21-C54</f>
        <v>27716.75</v>
      </c>
      <c r="D56" s="7">
        <f t="shared" ca="1" si="38"/>
        <v>31331.743749999994</v>
      </c>
      <c r="E56" s="7">
        <f t="shared" ca="1" si="38"/>
        <v>-74181.009531249976</v>
      </c>
      <c r="F56" s="7">
        <f t="shared" ca="1" si="38"/>
        <v>-44176.145439794258</v>
      </c>
      <c r="G56" s="7">
        <f t="shared" ca="1" si="38"/>
        <v>-43173.249799062476</v>
      </c>
      <c r="H56" s="7">
        <f t="shared" ca="1" si="38"/>
        <v>-31991.330068204188</v>
      </c>
      <c r="I56" s="7">
        <f t="shared" ca="1" si="38"/>
        <v>-25749.047950394131</v>
      </c>
      <c r="J56" s="7">
        <f t="shared" ca="1" si="38"/>
        <v>-42883.543410467741</v>
      </c>
      <c r="K56" s="7">
        <f t="shared" ca="1" si="38"/>
        <v>36502.718934931516</v>
      </c>
      <c r="L56" s="7">
        <f t="shared" ca="1" si="38"/>
        <v>-56862.433365572768</v>
      </c>
      <c r="M56" s="7">
        <f t="shared" ca="1" si="38"/>
        <v>-5671.5283786440705</v>
      </c>
      <c r="N56" s="7">
        <f t="shared" ca="1" si="38"/>
        <v>-5534.4539393962768</v>
      </c>
      <c r="O56" s="7">
        <f t="shared" ca="1" si="38"/>
        <v>-5385.5867597058532</v>
      </c>
      <c r="P56" s="7">
        <f t="shared" ca="1" si="38"/>
        <v>-5224.3810446778953</v>
      </c>
      <c r="Q56" s="7">
        <f t="shared" ca="1" si="38"/>
        <v>-5050.2698252536211</v>
      </c>
      <c r="R56" s="7">
        <f t="shared" ca="1" si="38"/>
        <v>-4862.6642029775539</v>
      </c>
      <c r="S56" s="7">
        <f t="shared" ca="1" si="38"/>
        <v>12856.213754687342</v>
      </c>
      <c r="T56" s="7">
        <f t="shared" ca="1" si="38"/>
        <v>21118.686990552902</v>
      </c>
      <c r="U56" s="7">
        <f t="shared" ca="1" si="38"/>
        <v>21989.620049013101</v>
      </c>
      <c r="V56" s="7">
        <f t="shared" ca="1" si="38"/>
        <v>22892.615410445738</v>
      </c>
      <c r="W56" s="7">
        <f t="shared" ca="1" si="38"/>
        <v>23828.783301720381</v>
      </c>
      <c r="X56" s="7">
        <f t="shared" ca="1" si="38"/>
        <v>4644.2887498854398</v>
      </c>
      <c r="Y56" s="7">
        <f t="shared" ca="1" si="38"/>
        <v>5146.4070922622632</v>
      </c>
      <c r="Z56" s="7">
        <f t="shared" ca="1" si="38"/>
        <v>5672.6587269074662</v>
      </c>
      <c r="AA56" s="7">
        <f t="shared" ca="1" si="38"/>
        <v>6223.9943961389508</v>
      </c>
      <c r="AB56" s="7">
        <f t="shared" ca="1" si="38"/>
        <v>6801.3990331329405</v>
      </c>
      <c r="AC56" s="7">
        <f t="shared" ca="1" si="38"/>
        <v>7405.8929293645633</v>
      </c>
      <c r="AD56" s="7">
        <f t="shared" ca="1" si="38"/>
        <v>17777.53303211258</v>
      </c>
      <c r="AE56" s="7">
        <f t="shared" ca="1" si="38"/>
        <v>18682.888826571187</v>
      </c>
      <c r="AF56" s="7">
        <f t="shared" ca="1" si="38"/>
        <v>19624.706039950965</v>
      </c>
      <c r="AG56" s="7">
        <f t="shared" ca="1" si="38"/>
        <v>20604.311033446691</v>
      </c>
      <c r="AH56" s="7">
        <f t="shared" ca="1" si="38"/>
        <v>22145.25342759848</v>
      </c>
      <c r="AI56" s="7">
        <f t="shared" ca="1" si="38"/>
        <v>23771.470123819308</v>
      </c>
      <c r="AJ56" s="7">
        <f t="shared" ca="1" si="38"/>
        <v>25480.914409110395</v>
      </c>
      <c r="AK56" s="7">
        <f t="shared" ca="1" si="38"/>
        <v>27277.204003619743</v>
      </c>
      <c r="AL56" s="7">
        <f t="shared" ca="1" si="38"/>
        <v>29164.099678043392</v>
      </c>
      <c r="AM56" s="7">
        <f t="shared" ca="1" si="38"/>
        <v>31145.510570531245</v>
      </c>
    </row>
    <row r="57" spans="1:39">
      <c r="A57" s="4" t="s">
        <v>10</v>
      </c>
      <c r="C57" s="7">
        <f>Inputs!B8</f>
        <v>50000</v>
      </c>
      <c r="D57" s="7">
        <f ca="1">C58</f>
        <v>77716.75</v>
      </c>
      <c r="E57" s="7">
        <f t="shared" ref="E57:AM57" ca="1" si="39">D58</f>
        <v>109048.49374999999</v>
      </c>
      <c r="F57" s="7">
        <f t="shared" ca="1" si="39"/>
        <v>34867.484218750018</v>
      </c>
      <c r="G57" s="7">
        <f t="shared" ca="1" si="39"/>
        <v>-9308.6612210442399</v>
      </c>
      <c r="H57" s="7">
        <f t="shared" ca="1" si="39"/>
        <v>-52481.911020106716</v>
      </c>
      <c r="I57" s="7">
        <f t="shared" ca="1" si="39"/>
        <v>-84473.241088310897</v>
      </c>
      <c r="J57" s="7">
        <f t="shared" ca="1" si="39"/>
        <v>-110222.28903870503</v>
      </c>
      <c r="K57" s="7">
        <f t="shared" ca="1" si="39"/>
        <v>-153105.83244917277</v>
      </c>
      <c r="L57" s="7">
        <f t="shared" ca="1" si="39"/>
        <v>-116603.11351424125</v>
      </c>
      <c r="M57" s="7">
        <f t="shared" ca="1" si="39"/>
        <v>-173465.54687981401</v>
      </c>
      <c r="N57" s="7">
        <f t="shared" ca="1" si="39"/>
        <v>-179137.07525845809</v>
      </c>
      <c r="O57" s="7">
        <f t="shared" ca="1" si="39"/>
        <v>-184671.52919785437</v>
      </c>
      <c r="P57" s="7">
        <f t="shared" ca="1" si="39"/>
        <v>-190057.11595756022</v>
      </c>
      <c r="Q57" s="7">
        <f t="shared" ca="1" si="39"/>
        <v>-195281.49700223812</v>
      </c>
      <c r="R57" s="7">
        <f t="shared" ca="1" si="39"/>
        <v>-200331.76682749175</v>
      </c>
      <c r="S57" s="7">
        <f t="shared" ca="1" si="39"/>
        <v>-205194.43103046931</v>
      </c>
      <c r="T57" s="7">
        <f t="shared" ca="1" si="39"/>
        <v>-192338.21727578196</v>
      </c>
      <c r="U57" s="7">
        <f t="shared" ca="1" si="39"/>
        <v>-171219.53028522906</v>
      </c>
      <c r="V57" s="7">
        <f t="shared" ca="1" si="39"/>
        <v>-149229.91023621598</v>
      </c>
      <c r="W57" s="7">
        <f t="shared" ca="1" si="39"/>
        <v>-126337.29482577024</v>
      </c>
      <c r="X57" s="7">
        <f t="shared" ca="1" si="39"/>
        <v>-102508.51152404986</v>
      </c>
      <c r="Y57" s="7">
        <f t="shared" ca="1" si="39"/>
        <v>-97864.222774164416</v>
      </c>
      <c r="Z57" s="7">
        <f t="shared" ca="1" si="39"/>
        <v>-92717.815681902153</v>
      </c>
      <c r="AA57" s="7">
        <f t="shared" ca="1" si="39"/>
        <v>-87045.156954994687</v>
      </c>
      <c r="AB57" s="7">
        <f t="shared" ca="1" si="39"/>
        <v>-80821.162558855736</v>
      </c>
      <c r="AC57" s="7">
        <f t="shared" ca="1" si="39"/>
        <v>-74019.763525722796</v>
      </c>
      <c r="AD57" s="7">
        <f t="shared" ca="1" si="39"/>
        <v>-66613.870596358232</v>
      </c>
      <c r="AE57" s="7">
        <f t="shared" ca="1" si="39"/>
        <v>-48836.337564245652</v>
      </c>
      <c r="AF57" s="7">
        <f t="shared" ca="1" si="39"/>
        <v>-30153.448737674466</v>
      </c>
      <c r="AG57" s="7">
        <f t="shared" ca="1" si="39"/>
        <v>-10528.742697723501</v>
      </c>
      <c r="AH57" s="7">
        <f t="shared" ca="1" si="39"/>
        <v>10075.56833572319</v>
      </c>
      <c r="AI57" s="7">
        <f t="shared" ca="1" si="39"/>
        <v>32220.82176332167</v>
      </c>
      <c r="AJ57" s="7">
        <f t="shared" ca="1" si="39"/>
        <v>55992.291887140978</v>
      </c>
      <c r="AK57" s="7">
        <f t="shared" ca="1" si="39"/>
        <v>81473.206296251374</v>
      </c>
      <c r="AL57" s="7">
        <f t="shared" ca="1" si="39"/>
        <v>108750.41029987112</v>
      </c>
      <c r="AM57" s="7">
        <f t="shared" ca="1" si="39"/>
        <v>137914.50997791451</v>
      </c>
    </row>
    <row r="58" spans="1:39">
      <c r="A58" s="4" t="s">
        <v>11</v>
      </c>
      <c r="C58" s="9">
        <f ca="1">SUM(C56:C57)</f>
        <v>77716.75</v>
      </c>
      <c r="D58" s="9">
        <f t="shared" ref="D58:AM58" ca="1" si="40">SUM(D56:D57)</f>
        <v>109048.49374999999</v>
      </c>
      <c r="E58" s="9">
        <f t="shared" ca="1" si="40"/>
        <v>34867.484218750018</v>
      </c>
      <c r="F58" s="9">
        <f t="shared" ca="1" si="40"/>
        <v>-9308.6612210442399</v>
      </c>
      <c r="G58" s="9">
        <f t="shared" ca="1" si="40"/>
        <v>-52481.911020106716</v>
      </c>
      <c r="H58" s="9">
        <f t="shared" ca="1" si="40"/>
        <v>-84473.241088310897</v>
      </c>
      <c r="I58" s="9">
        <f t="shared" ca="1" si="40"/>
        <v>-110222.28903870503</v>
      </c>
      <c r="J58" s="9">
        <f t="shared" ca="1" si="40"/>
        <v>-153105.83244917277</v>
      </c>
      <c r="K58" s="9">
        <f t="shared" ca="1" si="40"/>
        <v>-116603.11351424125</v>
      </c>
      <c r="L58" s="9">
        <f t="shared" ca="1" si="40"/>
        <v>-173465.54687981401</v>
      </c>
      <c r="M58" s="9">
        <f t="shared" ca="1" si="40"/>
        <v>-179137.07525845809</v>
      </c>
      <c r="N58" s="9">
        <f t="shared" ca="1" si="40"/>
        <v>-184671.52919785437</v>
      </c>
      <c r="O58" s="9">
        <f t="shared" ca="1" si="40"/>
        <v>-190057.11595756022</v>
      </c>
      <c r="P58" s="9">
        <f t="shared" ca="1" si="40"/>
        <v>-195281.49700223812</v>
      </c>
      <c r="Q58" s="9">
        <f t="shared" ca="1" si="40"/>
        <v>-200331.76682749175</v>
      </c>
      <c r="R58" s="9">
        <f t="shared" ca="1" si="40"/>
        <v>-205194.43103046931</v>
      </c>
      <c r="S58" s="9">
        <f t="shared" ca="1" si="40"/>
        <v>-192338.21727578196</v>
      </c>
      <c r="T58" s="9">
        <f t="shared" ca="1" si="40"/>
        <v>-171219.53028522906</v>
      </c>
      <c r="U58" s="9">
        <f t="shared" ca="1" si="40"/>
        <v>-149229.91023621598</v>
      </c>
      <c r="V58" s="9">
        <f t="shared" ca="1" si="40"/>
        <v>-126337.29482577024</v>
      </c>
      <c r="W58" s="9">
        <f t="shared" ca="1" si="40"/>
        <v>-102508.51152404986</v>
      </c>
      <c r="X58" s="9">
        <f t="shared" ca="1" si="40"/>
        <v>-97864.222774164416</v>
      </c>
      <c r="Y58" s="9">
        <f t="shared" ca="1" si="40"/>
        <v>-92717.815681902153</v>
      </c>
      <c r="Z58" s="9">
        <f t="shared" ca="1" si="40"/>
        <v>-87045.156954994687</v>
      </c>
      <c r="AA58" s="9">
        <f t="shared" ca="1" si="40"/>
        <v>-80821.162558855736</v>
      </c>
      <c r="AB58" s="9">
        <f t="shared" ca="1" si="40"/>
        <v>-74019.763525722796</v>
      </c>
      <c r="AC58" s="9">
        <f t="shared" ca="1" si="40"/>
        <v>-66613.870596358232</v>
      </c>
      <c r="AD58" s="9">
        <f t="shared" ca="1" si="40"/>
        <v>-48836.337564245652</v>
      </c>
      <c r="AE58" s="9">
        <f t="shared" ca="1" si="40"/>
        <v>-30153.448737674466</v>
      </c>
      <c r="AF58" s="9">
        <f t="shared" ca="1" si="40"/>
        <v>-10528.742697723501</v>
      </c>
      <c r="AG58" s="9">
        <f t="shared" ca="1" si="40"/>
        <v>10075.56833572319</v>
      </c>
      <c r="AH58" s="9">
        <f t="shared" ca="1" si="40"/>
        <v>32220.82176332167</v>
      </c>
      <c r="AI58" s="9">
        <f t="shared" ca="1" si="40"/>
        <v>55992.291887140978</v>
      </c>
      <c r="AJ58" s="9">
        <f t="shared" ca="1" si="40"/>
        <v>81473.206296251374</v>
      </c>
      <c r="AK58" s="9">
        <f t="shared" ca="1" si="40"/>
        <v>108750.41029987112</v>
      </c>
      <c r="AL58" s="9">
        <f t="shared" ca="1" si="40"/>
        <v>137914.50997791451</v>
      </c>
      <c r="AM58" s="9">
        <f t="shared" ca="1" si="40"/>
        <v>169060.02054844575</v>
      </c>
    </row>
    <row r="59" spans="1:39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</row>
    <row r="60" spans="1:39" ht="19">
      <c r="A60" s="25" t="s">
        <v>72</v>
      </c>
      <c r="B60" s="26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</row>
    <row r="61" spans="1:39">
      <c r="A61" s="4" t="s">
        <v>9</v>
      </c>
      <c r="C61" s="7">
        <f t="shared" ref="C61:AM61" ca="1" si="41">C58</f>
        <v>77716.75</v>
      </c>
      <c r="D61" s="7">
        <f t="shared" ca="1" si="41"/>
        <v>109048.49374999999</v>
      </c>
      <c r="E61" s="7">
        <f t="shared" ca="1" si="41"/>
        <v>34867.484218750018</v>
      </c>
      <c r="F61" s="7">
        <f t="shared" ca="1" si="41"/>
        <v>-9308.6612210442399</v>
      </c>
      <c r="G61" s="7">
        <f t="shared" ca="1" si="41"/>
        <v>-52481.911020106716</v>
      </c>
      <c r="H61" s="7">
        <f t="shared" ca="1" si="41"/>
        <v>-84473.241088310897</v>
      </c>
      <c r="I61" s="7">
        <f t="shared" ca="1" si="41"/>
        <v>-110222.28903870503</v>
      </c>
      <c r="J61" s="7">
        <f t="shared" ca="1" si="41"/>
        <v>-153105.83244917277</v>
      </c>
      <c r="K61" s="7">
        <f t="shared" ca="1" si="41"/>
        <v>-116603.11351424125</v>
      </c>
      <c r="L61" s="7">
        <f t="shared" ca="1" si="41"/>
        <v>-173465.54687981401</v>
      </c>
      <c r="M61" s="7">
        <f t="shared" ca="1" si="41"/>
        <v>-179137.07525845809</v>
      </c>
      <c r="N61" s="7">
        <f t="shared" ca="1" si="41"/>
        <v>-184671.52919785437</v>
      </c>
      <c r="O61" s="7">
        <f t="shared" ca="1" si="41"/>
        <v>-190057.11595756022</v>
      </c>
      <c r="P61" s="7">
        <f t="shared" ca="1" si="41"/>
        <v>-195281.49700223812</v>
      </c>
      <c r="Q61" s="7">
        <f t="shared" ca="1" si="41"/>
        <v>-200331.76682749175</v>
      </c>
      <c r="R61" s="7">
        <f t="shared" ca="1" si="41"/>
        <v>-205194.43103046931</v>
      </c>
      <c r="S61" s="7">
        <f t="shared" ca="1" si="41"/>
        <v>-192338.21727578196</v>
      </c>
      <c r="T61" s="7">
        <f t="shared" ca="1" si="41"/>
        <v>-171219.53028522906</v>
      </c>
      <c r="U61" s="7">
        <f t="shared" ca="1" si="41"/>
        <v>-149229.91023621598</v>
      </c>
      <c r="V61" s="7">
        <f t="shared" ca="1" si="41"/>
        <v>-126337.29482577024</v>
      </c>
      <c r="W61" s="7">
        <f t="shared" ca="1" si="41"/>
        <v>-102508.51152404986</v>
      </c>
      <c r="X61" s="7">
        <f t="shared" ca="1" si="41"/>
        <v>-97864.222774164416</v>
      </c>
      <c r="Y61" s="7">
        <f t="shared" ca="1" si="41"/>
        <v>-92717.815681902153</v>
      </c>
      <c r="Z61" s="7">
        <f t="shared" ca="1" si="41"/>
        <v>-87045.156954994687</v>
      </c>
      <c r="AA61" s="7">
        <f t="shared" ca="1" si="41"/>
        <v>-80821.162558855736</v>
      </c>
      <c r="AB61" s="7">
        <f t="shared" ca="1" si="41"/>
        <v>-74019.763525722796</v>
      </c>
      <c r="AC61" s="7">
        <f t="shared" ca="1" si="41"/>
        <v>-66613.870596358232</v>
      </c>
      <c r="AD61" s="7">
        <f t="shared" ca="1" si="41"/>
        <v>-48836.337564245652</v>
      </c>
      <c r="AE61" s="7">
        <f t="shared" ca="1" si="41"/>
        <v>-30153.448737674466</v>
      </c>
      <c r="AF61" s="7">
        <f t="shared" ca="1" si="41"/>
        <v>-10528.742697723501</v>
      </c>
      <c r="AG61" s="7">
        <f t="shared" ca="1" si="41"/>
        <v>10075.56833572319</v>
      </c>
      <c r="AH61" s="7">
        <f t="shared" ca="1" si="41"/>
        <v>32220.82176332167</v>
      </c>
      <c r="AI61" s="7">
        <f t="shared" ca="1" si="41"/>
        <v>55992.291887140978</v>
      </c>
      <c r="AJ61" s="7">
        <f t="shared" ca="1" si="41"/>
        <v>81473.206296251374</v>
      </c>
      <c r="AK61" s="7">
        <f t="shared" ca="1" si="41"/>
        <v>108750.41029987112</v>
      </c>
      <c r="AL61" s="7">
        <f t="shared" ca="1" si="41"/>
        <v>137914.50997791451</v>
      </c>
      <c r="AM61" s="7">
        <f t="shared" ca="1" si="41"/>
        <v>169060.02054844575</v>
      </c>
    </row>
    <row r="62" spans="1:39">
      <c r="A62" s="4" t="s">
        <v>7</v>
      </c>
      <c r="C62" s="7">
        <f>Inputs!B12*(1+princ)</f>
        <v>618000</v>
      </c>
      <c r="D62" s="7">
        <f t="shared" ref="D62:AM62" si="42">C62*(1+princ)</f>
        <v>636540</v>
      </c>
      <c r="E62" s="7">
        <f t="shared" si="42"/>
        <v>655636.20000000007</v>
      </c>
      <c r="F62" s="7">
        <f t="shared" si="42"/>
        <v>675305.28600000008</v>
      </c>
      <c r="G62" s="7">
        <f t="shared" si="42"/>
        <v>695564.44458000013</v>
      </c>
      <c r="H62" s="7">
        <f t="shared" si="42"/>
        <v>716431.3779174001</v>
      </c>
      <c r="I62" s="7">
        <f t="shared" si="42"/>
        <v>737924.3192549221</v>
      </c>
      <c r="J62" s="7">
        <f t="shared" si="42"/>
        <v>760062.04883256974</v>
      </c>
      <c r="K62" s="7">
        <f t="shared" si="42"/>
        <v>782863.91029754688</v>
      </c>
      <c r="L62" s="7">
        <f t="shared" si="42"/>
        <v>806349.82760647335</v>
      </c>
      <c r="M62" s="7">
        <f t="shared" si="42"/>
        <v>830540.32243466761</v>
      </c>
      <c r="N62" s="7">
        <f t="shared" si="42"/>
        <v>855456.5321077077</v>
      </c>
      <c r="O62" s="7">
        <f t="shared" si="42"/>
        <v>881120.22807093896</v>
      </c>
      <c r="P62" s="7">
        <f t="shared" si="42"/>
        <v>907553.83491306717</v>
      </c>
      <c r="Q62" s="7">
        <f t="shared" si="42"/>
        <v>934780.44996045926</v>
      </c>
      <c r="R62" s="7">
        <f t="shared" si="42"/>
        <v>962823.86345927301</v>
      </c>
      <c r="S62" s="7">
        <f t="shared" si="42"/>
        <v>991708.57936305122</v>
      </c>
      <c r="T62" s="7">
        <f t="shared" si="42"/>
        <v>1021459.8367439428</v>
      </c>
      <c r="U62" s="7">
        <f t="shared" si="42"/>
        <v>1052103.6318462612</v>
      </c>
      <c r="V62" s="7">
        <f t="shared" si="42"/>
        <v>1083666.7408016492</v>
      </c>
      <c r="W62" s="7">
        <f t="shared" si="42"/>
        <v>1116176.7430256987</v>
      </c>
      <c r="X62" s="7">
        <f t="shared" si="42"/>
        <v>1149662.0453164696</v>
      </c>
      <c r="Y62" s="7">
        <f t="shared" si="42"/>
        <v>1184151.9066759637</v>
      </c>
      <c r="Z62" s="7">
        <f t="shared" si="42"/>
        <v>1219676.4638762425</v>
      </c>
      <c r="AA62" s="7">
        <f t="shared" si="42"/>
        <v>1256266.7577925299</v>
      </c>
      <c r="AB62" s="7">
        <f t="shared" si="42"/>
        <v>1293954.7605263058</v>
      </c>
      <c r="AC62" s="7">
        <f t="shared" si="42"/>
        <v>1332773.403342095</v>
      </c>
      <c r="AD62" s="7">
        <f t="shared" si="42"/>
        <v>1372756.6054423579</v>
      </c>
      <c r="AE62" s="7">
        <f t="shared" si="42"/>
        <v>1413939.3036056287</v>
      </c>
      <c r="AF62" s="7">
        <f t="shared" si="42"/>
        <v>1456357.4827137976</v>
      </c>
      <c r="AG62" s="7">
        <f t="shared" si="42"/>
        <v>1500048.2071952117</v>
      </c>
      <c r="AH62" s="7">
        <f t="shared" si="42"/>
        <v>1545049.653411068</v>
      </c>
      <c r="AI62" s="7">
        <f t="shared" si="42"/>
        <v>1591401.1430134</v>
      </c>
      <c r="AJ62" s="7">
        <f t="shared" si="42"/>
        <v>1639143.177303802</v>
      </c>
      <c r="AK62" s="7">
        <f t="shared" si="42"/>
        <v>1688317.4726229161</v>
      </c>
      <c r="AL62" s="7">
        <f t="shared" si="42"/>
        <v>1738966.9968016036</v>
      </c>
      <c r="AM62" s="7">
        <f t="shared" si="42"/>
        <v>1791136.0067056518</v>
      </c>
    </row>
    <row r="63" spans="1:39">
      <c r="A63" s="4" t="s">
        <v>52</v>
      </c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</row>
    <row r="64" spans="1:39">
      <c r="A64" s="3" t="str">
        <f>TEXT(Inputs!$B$60,"")</f>
        <v>Sliema</v>
      </c>
      <c r="C64" s="7">
        <f>Inputs!B61*(1+princ)</f>
        <v>309000</v>
      </c>
      <c r="D64" s="7">
        <f t="shared" ref="D64:S68" si="43">C64*(1+princ)</f>
        <v>318270</v>
      </c>
      <c r="E64" s="7">
        <f t="shared" si="43"/>
        <v>327818.10000000003</v>
      </c>
      <c r="F64" s="7">
        <f t="shared" si="43"/>
        <v>337652.64300000004</v>
      </c>
      <c r="G64" s="7">
        <f t="shared" si="43"/>
        <v>347782.22229000006</v>
      </c>
      <c r="H64" s="7">
        <f t="shared" si="43"/>
        <v>358215.68895870005</v>
      </c>
      <c r="I64" s="7">
        <f t="shared" si="43"/>
        <v>368962.15962746105</v>
      </c>
      <c r="J64" s="7">
        <f t="shared" si="43"/>
        <v>380031.02441628487</v>
      </c>
      <c r="K64" s="7">
        <f t="shared" si="43"/>
        <v>391431.95514877344</v>
      </c>
      <c r="L64" s="7">
        <f t="shared" si="43"/>
        <v>403174.91380323668</v>
      </c>
      <c r="M64" s="7">
        <f t="shared" si="43"/>
        <v>415270.16121733381</v>
      </c>
      <c r="N64" s="7">
        <f t="shared" si="43"/>
        <v>427728.26605385385</v>
      </c>
      <c r="O64" s="7">
        <f t="shared" si="43"/>
        <v>440560.11403546948</v>
      </c>
      <c r="P64" s="7">
        <f t="shared" si="43"/>
        <v>453776.91745653359</v>
      </c>
      <c r="Q64" s="7">
        <f t="shared" si="43"/>
        <v>467390.22498022963</v>
      </c>
      <c r="R64" s="7">
        <f t="shared" si="43"/>
        <v>481411.9317296365</v>
      </c>
      <c r="S64" s="7">
        <f t="shared" si="43"/>
        <v>495854.28968152561</v>
      </c>
      <c r="T64" s="7">
        <f t="shared" ref="T64:AI68" si="44">S64*(1+princ)</f>
        <v>510729.91837197141</v>
      </c>
      <c r="U64" s="7">
        <f t="shared" si="44"/>
        <v>526051.81592313061</v>
      </c>
      <c r="V64" s="7">
        <f t="shared" si="44"/>
        <v>541833.37040082458</v>
      </c>
      <c r="W64" s="7">
        <f t="shared" si="44"/>
        <v>558088.37151284935</v>
      </c>
      <c r="X64" s="7">
        <f t="shared" si="44"/>
        <v>574831.02265823481</v>
      </c>
      <c r="Y64" s="7">
        <f t="shared" si="44"/>
        <v>592075.95333798183</v>
      </c>
      <c r="Z64" s="7">
        <f t="shared" si="44"/>
        <v>609838.23193812126</v>
      </c>
      <c r="AA64" s="7">
        <f t="shared" si="44"/>
        <v>628133.37889626494</v>
      </c>
      <c r="AB64" s="7">
        <f t="shared" si="44"/>
        <v>646977.38026315288</v>
      </c>
      <c r="AC64" s="7">
        <f t="shared" si="44"/>
        <v>666386.70167104749</v>
      </c>
      <c r="AD64" s="7">
        <f t="shared" si="44"/>
        <v>686378.30272117897</v>
      </c>
      <c r="AE64" s="7">
        <f t="shared" si="44"/>
        <v>706969.65180281433</v>
      </c>
      <c r="AF64" s="7">
        <f t="shared" si="44"/>
        <v>728178.7413568988</v>
      </c>
      <c r="AG64" s="7">
        <f t="shared" si="44"/>
        <v>750024.10359760583</v>
      </c>
      <c r="AH64" s="7">
        <f t="shared" si="44"/>
        <v>772524.82670553401</v>
      </c>
      <c r="AI64" s="7">
        <f t="shared" si="44"/>
        <v>795700.57150670001</v>
      </c>
      <c r="AJ64" s="7">
        <f t="shared" ref="AJ64:AM68" si="45">AI64*(1+princ)</f>
        <v>819571.58865190099</v>
      </c>
      <c r="AK64" s="7">
        <f t="shared" si="45"/>
        <v>844158.73631145805</v>
      </c>
      <c r="AL64" s="7">
        <f t="shared" si="45"/>
        <v>869483.49840080179</v>
      </c>
      <c r="AM64" s="7">
        <f t="shared" si="45"/>
        <v>895568.00335282588</v>
      </c>
    </row>
    <row r="65" spans="1:39">
      <c r="A65" s="3" t="str">
        <f>TEXT(Inputs!$B$65,"")</f>
        <v>Gzira</v>
      </c>
      <c r="C65" s="7">
        <f>Inputs!B66*(1+princ)</f>
        <v>154500</v>
      </c>
      <c r="D65" s="7">
        <f t="shared" si="43"/>
        <v>159135</v>
      </c>
      <c r="E65" s="7">
        <f t="shared" si="43"/>
        <v>163909.05000000002</v>
      </c>
      <c r="F65" s="7">
        <f t="shared" si="43"/>
        <v>168826.32150000002</v>
      </c>
      <c r="G65" s="7">
        <f t="shared" si="43"/>
        <v>173891.11114500003</v>
      </c>
      <c r="H65" s="7">
        <f t="shared" si="43"/>
        <v>179107.84447935002</v>
      </c>
      <c r="I65" s="7">
        <f t="shared" si="43"/>
        <v>184481.07981373052</v>
      </c>
      <c r="J65" s="7">
        <f t="shared" si="43"/>
        <v>190015.51220814243</v>
      </c>
      <c r="K65" s="7">
        <f t="shared" si="43"/>
        <v>195715.97757438672</v>
      </c>
      <c r="L65" s="7">
        <f t="shared" si="43"/>
        <v>201587.45690161834</v>
      </c>
      <c r="M65" s="7">
        <f t="shared" si="43"/>
        <v>207635.0806086669</v>
      </c>
      <c r="N65" s="7">
        <f t="shared" si="43"/>
        <v>213864.13302692692</v>
      </c>
      <c r="O65" s="7">
        <f t="shared" si="43"/>
        <v>220280.05701773474</v>
      </c>
      <c r="P65" s="7">
        <f t="shared" si="43"/>
        <v>226888.45872826679</v>
      </c>
      <c r="Q65" s="7">
        <f t="shared" si="43"/>
        <v>233695.11249011481</v>
      </c>
      <c r="R65" s="7">
        <f t="shared" si="43"/>
        <v>240705.96586481825</v>
      </c>
      <c r="S65" s="7">
        <f t="shared" si="43"/>
        <v>247927.1448407628</v>
      </c>
      <c r="T65" s="7">
        <f t="shared" si="44"/>
        <v>255364.9591859857</v>
      </c>
      <c r="U65" s="7">
        <f t="shared" si="44"/>
        <v>263025.9079615653</v>
      </c>
      <c r="V65" s="7">
        <f t="shared" si="44"/>
        <v>270916.68520041229</v>
      </c>
      <c r="W65" s="7">
        <f t="shared" si="44"/>
        <v>279044.18575642467</v>
      </c>
      <c r="X65" s="7">
        <f t="shared" si="44"/>
        <v>287415.51132911741</v>
      </c>
      <c r="Y65" s="7">
        <f t="shared" si="44"/>
        <v>296037.97666899092</v>
      </c>
      <c r="Z65" s="7">
        <f t="shared" si="44"/>
        <v>304919.11596906063</v>
      </c>
      <c r="AA65" s="7">
        <f t="shared" si="44"/>
        <v>314066.68944813247</v>
      </c>
      <c r="AB65" s="7">
        <f t="shared" si="44"/>
        <v>323488.69013157644</v>
      </c>
      <c r="AC65" s="7">
        <f t="shared" si="44"/>
        <v>333193.35083552374</v>
      </c>
      <c r="AD65" s="7">
        <f t="shared" si="44"/>
        <v>343189.15136058949</v>
      </c>
      <c r="AE65" s="7">
        <f t="shared" si="44"/>
        <v>353484.82590140717</v>
      </c>
      <c r="AF65" s="7">
        <f t="shared" si="44"/>
        <v>364089.3706784494</v>
      </c>
      <c r="AG65" s="7">
        <f t="shared" si="44"/>
        <v>375012.05179880292</v>
      </c>
      <c r="AH65" s="7">
        <f t="shared" si="44"/>
        <v>386262.41335276701</v>
      </c>
      <c r="AI65" s="7">
        <f t="shared" si="44"/>
        <v>397850.28575335001</v>
      </c>
      <c r="AJ65" s="7">
        <f t="shared" si="45"/>
        <v>409785.7943259505</v>
      </c>
      <c r="AK65" s="7">
        <f t="shared" si="45"/>
        <v>422079.36815572903</v>
      </c>
      <c r="AL65" s="7">
        <f t="shared" si="45"/>
        <v>434741.7492004009</v>
      </c>
      <c r="AM65" s="7">
        <f t="shared" si="45"/>
        <v>447784.00167641294</v>
      </c>
    </row>
    <row r="66" spans="1:39">
      <c r="A66" s="3" t="str">
        <f>TEXT(Inputs!$B$70,"")</f>
        <v>Qormi</v>
      </c>
      <c r="C66" s="7">
        <f>Inputs!B71*(1+princ)</f>
        <v>226600</v>
      </c>
      <c r="D66" s="7">
        <f t="shared" si="43"/>
        <v>233398</v>
      </c>
      <c r="E66" s="7">
        <f t="shared" si="43"/>
        <v>240399.94</v>
      </c>
      <c r="F66" s="7">
        <f t="shared" si="43"/>
        <v>247611.9382</v>
      </c>
      <c r="G66" s="7">
        <f t="shared" si="43"/>
        <v>255040.29634600002</v>
      </c>
      <c r="H66" s="7">
        <f t="shared" si="43"/>
        <v>262691.50523638004</v>
      </c>
      <c r="I66" s="7">
        <f t="shared" si="43"/>
        <v>270572.25039347145</v>
      </c>
      <c r="J66" s="7">
        <f t="shared" si="43"/>
        <v>278689.41790527559</v>
      </c>
      <c r="K66" s="7">
        <f t="shared" si="43"/>
        <v>287050.10044243385</v>
      </c>
      <c r="L66" s="7">
        <f t="shared" si="43"/>
        <v>295661.60345570685</v>
      </c>
      <c r="M66" s="7">
        <f t="shared" si="43"/>
        <v>304531.45155937807</v>
      </c>
      <c r="N66" s="7">
        <f t="shared" si="43"/>
        <v>313667.39510615944</v>
      </c>
      <c r="O66" s="7">
        <f t="shared" si="43"/>
        <v>323077.41695934423</v>
      </c>
      <c r="P66" s="7">
        <f t="shared" si="43"/>
        <v>332769.73946812458</v>
      </c>
      <c r="Q66" s="7">
        <f t="shared" si="43"/>
        <v>342752.8316521683</v>
      </c>
      <c r="R66" s="7">
        <f t="shared" si="43"/>
        <v>353035.41660173336</v>
      </c>
      <c r="S66" s="7">
        <f t="shared" si="43"/>
        <v>363626.47909978539</v>
      </c>
      <c r="T66" s="7">
        <f t="shared" si="44"/>
        <v>374535.27347277896</v>
      </c>
      <c r="U66" s="7">
        <f t="shared" si="44"/>
        <v>385771.33167696232</v>
      </c>
      <c r="V66" s="7">
        <f t="shared" si="44"/>
        <v>397344.47162727121</v>
      </c>
      <c r="W66" s="7">
        <f t="shared" si="44"/>
        <v>409264.80577608937</v>
      </c>
      <c r="X66" s="7">
        <f t="shared" si="44"/>
        <v>421542.74994937208</v>
      </c>
      <c r="Y66" s="7">
        <f t="shared" si="44"/>
        <v>434189.03244785324</v>
      </c>
      <c r="Z66" s="7">
        <f t="shared" si="44"/>
        <v>447214.70342128887</v>
      </c>
      <c r="AA66" s="7">
        <f t="shared" si="44"/>
        <v>460631.14452392753</v>
      </c>
      <c r="AB66" s="7">
        <f t="shared" si="44"/>
        <v>474450.07885964535</v>
      </c>
      <c r="AC66" s="7">
        <f t="shared" si="44"/>
        <v>488683.58122543473</v>
      </c>
      <c r="AD66" s="7">
        <f t="shared" si="44"/>
        <v>503344.08866219776</v>
      </c>
      <c r="AE66" s="7">
        <f t="shared" si="44"/>
        <v>518444.41132206371</v>
      </c>
      <c r="AF66" s="7">
        <f t="shared" si="44"/>
        <v>533997.74366172566</v>
      </c>
      <c r="AG66" s="7">
        <f t="shared" si="44"/>
        <v>550017.67597157741</v>
      </c>
      <c r="AH66" s="7">
        <f t="shared" si="44"/>
        <v>566518.20625072473</v>
      </c>
      <c r="AI66" s="7">
        <f t="shared" si="44"/>
        <v>583513.75243824651</v>
      </c>
      <c r="AJ66" s="7">
        <f t="shared" si="45"/>
        <v>601019.16501139395</v>
      </c>
      <c r="AK66" s="7">
        <f t="shared" si="45"/>
        <v>619049.73996173579</v>
      </c>
      <c r="AL66" s="7">
        <f t="shared" si="45"/>
        <v>637621.23216058791</v>
      </c>
      <c r="AM66" s="7">
        <f t="shared" si="45"/>
        <v>656749.86912540556</v>
      </c>
    </row>
    <row r="67" spans="1:39">
      <c r="A67" s="3" t="str">
        <f>TEXT(Inputs!$B$75,"")</f>
        <v>Gudja</v>
      </c>
      <c r="C67" s="7">
        <f>Inputs!B76*(1+princ)</f>
        <v>82400</v>
      </c>
      <c r="D67" s="7">
        <f t="shared" si="43"/>
        <v>84872</v>
      </c>
      <c r="E67" s="7">
        <f t="shared" si="43"/>
        <v>87418.16</v>
      </c>
      <c r="F67" s="7">
        <f t="shared" si="43"/>
        <v>90040.704800000007</v>
      </c>
      <c r="G67" s="7">
        <f t="shared" si="43"/>
        <v>92741.925944000002</v>
      </c>
      <c r="H67" s="7">
        <f t="shared" si="43"/>
        <v>95524.183722319998</v>
      </c>
      <c r="I67" s="7">
        <f t="shared" si="43"/>
        <v>98389.909233989601</v>
      </c>
      <c r="J67" s="7">
        <f t="shared" si="43"/>
        <v>101341.60651100929</v>
      </c>
      <c r="K67" s="7">
        <f t="shared" si="43"/>
        <v>104381.85470633957</v>
      </c>
      <c r="L67" s="7">
        <f t="shared" si="43"/>
        <v>107513.31034752975</v>
      </c>
      <c r="M67" s="7">
        <f t="shared" si="43"/>
        <v>110738.70965795565</v>
      </c>
      <c r="N67" s="7">
        <f t="shared" si="43"/>
        <v>114060.87094769432</v>
      </c>
      <c r="O67" s="7">
        <f t="shared" si="43"/>
        <v>117482.69707612516</v>
      </c>
      <c r="P67" s="7">
        <f t="shared" si="43"/>
        <v>121007.17798840892</v>
      </c>
      <c r="Q67" s="7">
        <f t="shared" si="43"/>
        <v>124637.3933280612</v>
      </c>
      <c r="R67" s="7">
        <f t="shared" si="43"/>
        <v>128376.51512790304</v>
      </c>
      <c r="S67" s="7">
        <f t="shared" si="43"/>
        <v>132227.81058174014</v>
      </c>
      <c r="T67" s="7">
        <f t="shared" si="44"/>
        <v>136194.64489919235</v>
      </c>
      <c r="U67" s="7">
        <f t="shared" si="44"/>
        <v>140280.48424616814</v>
      </c>
      <c r="V67" s="7">
        <f t="shared" si="44"/>
        <v>144488.8987735532</v>
      </c>
      <c r="W67" s="7">
        <f t="shared" si="44"/>
        <v>148823.5657367598</v>
      </c>
      <c r="X67" s="7">
        <f t="shared" si="44"/>
        <v>153288.27270886261</v>
      </c>
      <c r="Y67" s="7">
        <f t="shared" si="44"/>
        <v>157886.9208901285</v>
      </c>
      <c r="Z67" s="7">
        <f t="shared" si="44"/>
        <v>162623.52851683236</v>
      </c>
      <c r="AA67" s="7">
        <f t="shared" si="44"/>
        <v>167502.23437233735</v>
      </c>
      <c r="AB67" s="7">
        <f t="shared" si="44"/>
        <v>172527.30140350747</v>
      </c>
      <c r="AC67" s="7">
        <f t="shared" si="44"/>
        <v>177703.1204456127</v>
      </c>
      <c r="AD67" s="7">
        <f t="shared" si="44"/>
        <v>183034.21405898107</v>
      </c>
      <c r="AE67" s="7">
        <f t="shared" si="44"/>
        <v>188525.24048075051</v>
      </c>
      <c r="AF67" s="7">
        <f t="shared" si="44"/>
        <v>194180.99769517302</v>
      </c>
      <c r="AG67" s="7">
        <f t="shared" si="44"/>
        <v>200006.42762602822</v>
      </c>
      <c r="AH67" s="7">
        <f t="shared" si="44"/>
        <v>206006.62045480908</v>
      </c>
      <c r="AI67" s="7">
        <f t="shared" si="44"/>
        <v>212186.81906845336</v>
      </c>
      <c r="AJ67" s="7">
        <f t="shared" si="45"/>
        <v>218552.42364050698</v>
      </c>
      <c r="AK67" s="7">
        <f t="shared" si="45"/>
        <v>225108.99634972221</v>
      </c>
      <c r="AL67" s="7">
        <f t="shared" si="45"/>
        <v>231862.26624021388</v>
      </c>
      <c r="AM67" s="7">
        <f t="shared" si="45"/>
        <v>238818.13422742029</v>
      </c>
    </row>
    <row r="68" spans="1:39">
      <c r="A68" s="3" t="str">
        <f>TEXT(Inputs!$B$80,"")</f>
        <v>Marsa</v>
      </c>
      <c r="C68" s="7">
        <f>Inputs!B81*(1+princ)</f>
        <v>123600</v>
      </c>
      <c r="D68" s="7">
        <f t="shared" si="43"/>
        <v>127308</v>
      </c>
      <c r="E68" s="7">
        <f t="shared" si="43"/>
        <v>131127.24</v>
      </c>
      <c r="F68" s="7">
        <f t="shared" si="43"/>
        <v>135061.05719999998</v>
      </c>
      <c r="G68" s="7">
        <f t="shared" si="43"/>
        <v>139112.888916</v>
      </c>
      <c r="H68" s="7">
        <f t="shared" si="43"/>
        <v>143286.27558347999</v>
      </c>
      <c r="I68" s="7">
        <f t="shared" si="43"/>
        <v>147584.8638509844</v>
      </c>
      <c r="J68" s="7">
        <f t="shared" si="43"/>
        <v>152012.40976651394</v>
      </c>
      <c r="K68" s="7">
        <f t="shared" si="43"/>
        <v>156572.78205950937</v>
      </c>
      <c r="L68" s="7">
        <f t="shared" si="43"/>
        <v>161269.96552129465</v>
      </c>
      <c r="M68" s="7">
        <f t="shared" si="43"/>
        <v>166108.06448693349</v>
      </c>
      <c r="N68" s="7">
        <f t="shared" si="43"/>
        <v>171091.30642154149</v>
      </c>
      <c r="O68" s="7">
        <f t="shared" si="43"/>
        <v>176224.04561418775</v>
      </c>
      <c r="P68" s="7">
        <f t="shared" si="43"/>
        <v>181510.76698261339</v>
      </c>
      <c r="Q68" s="7">
        <f t="shared" si="43"/>
        <v>186956.08999209179</v>
      </c>
      <c r="R68" s="7">
        <f t="shared" si="43"/>
        <v>192564.77269185454</v>
      </c>
      <c r="S68" s="7">
        <f t="shared" si="43"/>
        <v>198341.71587261019</v>
      </c>
      <c r="T68" s="7">
        <f t="shared" si="44"/>
        <v>204291.96734878852</v>
      </c>
      <c r="U68" s="7">
        <f t="shared" si="44"/>
        <v>210420.72636925217</v>
      </c>
      <c r="V68" s="7">
        <f t="shared" si="44"/>
        <v>216733.34816032974</v>
      </c>
      <c r="W68" s="7">
        <f t="shared" si="44"/>
        <v>223235.34860513965</v>
      </c>
      <c r="X68" s="7">
        <f t="shared" si="44"/>
        <v>229932.40906329383</v>
      </c>
      <c r="Y68" s="7">
        <f t="shared" si="44"/>
        <v>236830.38133519265</v>
      </c>
      <c r="Z68" s="7">
        <f t="shared" si="44"/>
        <v>243935.29277524844</v>
      </c>
      <c r="AA68" s="7">
        <f t="shared" si="44"/>
        <v>251253.35155850591</v>
      </c>
      <c r="AB68" s="7">
        <f t="shared" si="44"/>
        <v>258790.95210526109</v>
      </c>
      <c r="AC68" s="7">
        <f t="shared" si="44"/>
        <v>266554.68066841894</v>
      </c>
      <c r="AD68" s="7">
        <f t="shared" si="44"/>
        <v>274551.32108847151</v>
      </c>
      <c r="AE68" s="7">
        <f t="shared" si="44"/>
        <v>282787.86072112567</v>
      </c>
      <c r="AF68" s="7">
        <f t="shared" si="44"/>
        <v>291271.49654275947</v>
      </c>
      <c r="AG68" s="7">
        <f t="shared" si="44"/>
        <v>300009.64143904229</v>
      </c>
      <c r="AH68" s="7">
        <f t="shared" si="44"/>
        <v>309009.93068221357</v>
      </c>
      <c r="AI68" s="7">
        <f t="shared" si="44"/>
        <v>318280.22860267997</v>
      </c>
      <c r="AJ68" s="7">
        <f t="shared" si="45"/>
        <v>327828.63546076039</v>
      </c>
      <c r="AK68" s="7">
        <f t="shared" si="45"/>
        <v>337663.49452458322</v>
      </c>
      <c r="AL68" s="7">
        <f t="shared" si="45"/>
        <v>347793.39936032071</v>
      </c>
      <c r="AM68" s="7">
        <f t="shared" si="45"/>
        <v>358227.20134113036</v>
      </c>
    </row>
    <row r="69" spans="1:39">
      <c r="A69" s="4" t="s">
        <v>12</v>
      </c>
      <c r="C69" s="7">
        <f>Inputs!B10*(1+stinc)</f>
        <v>32400.000000000004</v>
      </c>
      <c r="D69" s="7">
        <f>C69*(1+stinc)</f>
        <v>34992.000000000007</v>
      </c>
      <c r="E69" s="7">
        <f t="shared" ref="E69:AM69" si="46">D69*(1+stinc)</f>
        <v>37791.360000000008</v>
      </c>
      <c r="F69" s="7">
        <f t="shared" si="46"/>
        <v>40814.668800000014</v>
      </c>
      <c r="G69" s="7">
        <f t="shared" si="46"/>
        <v>44079.84230400002</v>
      </c>
      <c r="H69" s="7">
        <f t="shared" si="46"/>
        <v>47606.229688320025</v>
      </c>
      <c r="I69" s="7">
        <f t="shared" si="46"/>
        <v>51414.728063385628</v>
      </c>
      <c r="J69" s="7">
        <f t="shared" si="46"/>
        <v>55527.906308456484</v>
      </c>
      <c r="K69" s="7">
        <f t="shared" si="46"/>
        <v>59970.13881313301</v>
      </c>
      <c r="L69" s="7">
        <f t="shared" si="46"/>
        <v>64767.749918183654</v>
      </c>
      <c r="M69" s="7">
        <f t="shared" si="46"/>
        <v>69949.169911638353</v>
      </c>
      <c r="N69" s="7">
        <f t="shared" si="46"/>
        <v>75545.10350456943</v>
      </c>
      <c r="O69" s="7">
        <f t="shared" si="46"/>
        <v>81588.711784934989</v>
      </c>
      <c r="P69" s="7">
        <f t="shared" si="46"/>
        <v>88115.808727729789</v>
      </c>
      <c r="Q69" s="7">
        <f t="shared" si="46"/>
        <v>95165.073425948183</v>
      </c>
      <c r="R69" s="7">
        <f t="shared" si="46"/>
        <v>102778.27930002405</v>
      </c>
      <c r="S69" s="7">
        <f t="shared" si="46"/>
        <v>111000.54164402599</v>
      </c>
      <c r="T69" s="7">
        <f t="shared" si="46"/>
        <v>119880.58497554807</v>
      </c>
      <c r="U69" s="7">
        <f t="shared" si="46"/>
        <v>129471.03177359192</v>
      </c>
      <c r="V69" s="7">
        <f t="shared" si="46"/>
        <v>139828.71431547927</v>
      </c>
      <c r="W69" s="7">
        <f t="shared" si="46"/>
        <v>151015.01146071762</v>
      </c>
      <c r="X69" s="7">
        <f t="shared" si="46"/>
        <v>163096.21237757505</v>
      </c>
      <c r="Y69" s="7">
        <f t="shared" si="46"/>
        <v>176143.90936778107</v>
      </c>
      <c r="Z69" s="7">
        <f t="shared" si="46"/>
        <v>190235.42211720356</v>
      </c>
      <c r="AA69" s="7">
        <f t="shared" si="46"/>
        <v>205454.25588657986</v>
      </c>
      <c r="AB69" s="7">
        <f t="shared" si="46"/>
        <v>221890.59635750626</v>
      </c>
      <c r="AC69" s="7">
        <f t="shared" si="46"/>
        <v>239641.84406610677</v>
      </c>
      <c r="AD69" s="7">
        <f t="shared" si="46"/>
        <v>258813.19159139533</v>
      </c>
      <c r="AE69" s="7">
        <f t="shared" si="46"/>
        <v>279518.24691870698</v>
      </c>
      <c r="AF69" s="7">
        <f t="shared" si="46"/>
        <v>301879.70667220355</v>
      </c>
      <c r="AG69" s="7">
        <f t="shared" si="46"/>
        <v>326030.08320597984</v>
      </c>
      <c r="AH69" s="7">
        <f t="shared" si="46"/>
        <v>352112.48986245826</v>
      </c>
      <c r="AI69" s="7">
        <f t="shared" si="46"/>
        <v>380281.48905145493</v>
      </c>
      <c r="AJ69" s="7">
        <f t="shared" si="46"/>
        <v>410704.00817557133</v>
      </c>
      <c r="AK69" s="7">
        <f t="shared" si="46"/>
        <v>443560.32882961706</v>
      </c>
      <c r="AL69" s="7">
        <f t="shared" si="46"/>
        <v>479045.15513598645</v>
      </c>
      <c r="AM69" s="7">
        <f t="shared" si="46"/>
        <v>517368.76754686539</v>
      </c>
    </row>
    <row r="70" spans="1:39">
      <c r="A70" s="4" t="s">
        <v>2</v>
      </c>
      <c r="C70" s="7">
        <f>-MAX(FV(Inputs!$B16/12,C$1*12,Inputs!$B17,-Inputs!$B15),0)</f>
        <v>-41787.691633353177</v>
      </c>
      <c r="D70" s="7">
        <f>-MAX(FV(Inputs!$B16/12,D$1*12,Inputs!$B17,-Inputs!$B15),0)</f>
        <v>-33325.598049266016</v>
      </c>
      <c r="E70" s="7">
        <f>-MAX(FV(Inputs!$B16/12,E$1*12,Inputs!$B17,-Inputs!$B15),0)</f>
        <v>-24606.12179132711</v>
      </c>
      <c r="F70" s="7">
        <f>-MAX(FV(Inputs!$B16/12,F$1*12,Inputs!$B17,-Inputs!$B15),0)</f>
        <v>-15621.434319218446</v>
      </c>
      <c r="G70" s="7">
        <f>-MAX(FV(Inputs!$B16/12,G$1*12,Inputs!$B17,-Inputs!$B15),0)</f>
        <v>-6363.4689800768465</v>
      </c>
      <c r="H70" s="7">
        <f>-MAX(FV(Inputs!$B16/12,H$1*12,Inputs!$B17,-Inputs!$B15),0)</f>
        <v>0</v>
      </c>
      <c r="I70" s="7">
        <f>-MAX(FV(Inputs!$B16/12,I$1*12,Inputs!$B17,-Inputs!$B15),0)</f>
        <v>0</v>
      </c>
      <c r="J70" s="7">
        <f>-MAX(FV(Inputs!$B16/12,J$1*12,Inputs!$B17,-Inputs!$B15),0)</f>
        <v>0</v>
      </c>
      <c r="K70" s="7">
        <f>-MAX(FV(Inputs!$B16/12,K$1*12,Inputs!$B17,-Inputs!$B15),0)</f>
        <v>0</v>
      </c>
      <c r="L70" s="7">
        <f>-MAX(FV(Inputs!$B16/12,L$1*12,Inputs!$B17,-Inputs!$B15),0)</f>
        <v>0</v>
      </c>
      <c r="M70" s="7">
        <f>-MAX(FV(Inputs!$B16/12,M$1*12,Inputs!$B17,-Inputs!$B15),0)</f>
        <v>0</v>
      </c>
      <c r="N70" s="7">
        <f>-MAX(FV(Inputs!$B16/12,N$1*12,Inputs!$B17,-Inputs!$B15),0)</f>
        <v>0</v>
      </c>
      <c r="O70" s="7">
        <f>-MAX(FV(Inputs!$B16/12,O$1*12,Inputs!$B17,-Inputs!$B15),0)</f>
        <v>0</v>
      </c>
      <c r="P70" s="7">
        <f>-MAX(FV(Inputs!$B16/12,P$1*12,Inputs!$B17,-Inputs!$B15),0)</f>
        <v>0</v>
      </c>
      <c r="Q70" s="7">
        <f>-MAX(FV(Inputs!$B16/12,Q$1*12,Inputs!$B17,-Inputs!$B15),0)</f>
        <v>0</v>
      </c>
      <c r="R70" s="7">
        <f>-MAX(FV(Inputs!$B16/12,R$1*12,Inputs!$B17,-Inputs!$B15),0)</f>
        <v>0</v>
      </c>
      <c r="S70" s="7">
        <f>-MAX(FV(Inputs!$B16/12,S$1*12,Inputs!$B17,-Inputs!$B15),0)</f>
        <v>0</v>
      </c>
      <c r="T70" s="7">
        <f>-MAX(FV(Inputs!$B16/12,T$1*12,Inputs!$B17,-Inputs!$B15),0)</f>
        <v>0</v>
      </c>
      <c r="U70" s="7">
        <f>-MAX(FV(Inputs!$B16/12,U$1*12,Inputs!$B17,-Inputs!$B15),0)</f>
        <v>0</v>
      </c>
      <c r="V70" s="7">
        <f>-MAX(FV(Inputs!$B16/12,V$1*12,Inputs!$B17,-Inputs!$B15),0)</f>
        <v>0</v>
      </c>
      <c r="W70" s="7">
        <f>-MAX(FV(Inputs!$B16/12,W$1*12,Inputs!$B17,-Inputs!$B15),0)</f>
        <v>0</v>
      </c>
      <c r="X70" s="7">
        <f>-MAX(FV(Inputs!$B16/12,X$1*12,Inputs!$B17,-Inputs!$B15),0)</f>
        <v>0</v>
      </c>
      <c r="Y70" s="7">
        <f>-MAX(FV(Inputs!$B16/12,Y$1*12,Inputs!$B17,-Inputs!$B15),0)</f>
        <v>0</v>
      </c>
      <c r="Z70" s="7">
        <f>-MAX(FV(Inputs!$B16/12,Z$1*12,Inputs!$B17,-Inputs!$B15),0)</f>
        <v>0</v>
      </c>
      <c r="AA70" s="7">
        <f>-MAX(FV(Inputs!$B16/12,AA$1*12,Inputs!$B17,-Inputs!$B15),0)</f>
        <v>0</v>
      </c>
      <c r="AB70" s="7">
        <f>-MAX(FV(Inputs!$B16/12,AB$1*12,Inputs!$B17,-Inputs!$B15),0)</f>
        <v>0</v>
      </c>
      <c r="AC70" s="7">
        <f>-MAX(FV(Inputs!$B16/12,AC$1*12,Inputs!$B17,-Inputs!$B15),0)</f>
        <v>0</v>
      </c>
      <c r="AD70" s="7">
        <f>-MAX(FV(Inputs!$B16/12,AD$1*12,Inputs!$B17,-Inputs!$B15),0)</f>
        <v>0</v>
      </c>
      <c r="AE70" s="7">
        <f>-MAX(FV(Inputs!$B16/12,AE$1*12,Inputs!$B17,-Inputs!$B15),0)</f>
        <v>0</v>
      </c>
      <c r="AF70" s="7">
        <f>-MAX(FV(Inputs!$B16/12,AF$1*12,Inputs!$B17,-Inputs!$B15),0)</f>
        <v>0</v>
      </c>
      <c r="AG70" s="7">
        <f>-MAX(FV(Inputs!$B16/12,AG$1*12,Inputs!$B17,-Inputs!$B15),0)</f>
        <v>0</v>
      </c>
      <c r="AH70" s="7">
        <f>-MAX(FV(Inputs!$B16/12,AH$1*12,Inputs!$B17,-Inputs!$B15),0)</f>
        <v>0</v>
      </c>
      <c r="AI70" s="7">
        <f>-MAX(FV(Inputs!$B16/12,AI$1*12,Inputs!$B17,-Inputs!$B15),0)</f>
        <v>0</v>
      </c>
      <c r="AJ70" s="7">
        <f>-MAX(FV(Inputs!$B16/12,AJ$1*12,Inputs!$B17,-Inputs!$B15),0)</f>
        <v>0</v>
      </c>
      <c r="AK70" s="7">
        <f>-MAX(FV(Inputs!$B16/12,AK$1*12,Inputs!$B17,-Inputs!$B15),0)</f>
        <v>0</v>
      </c>
      <c r="AL70" s="7">
        <f>-MAX(FV(Inputs!$B16/12,AL$1*12,Inputs!$B17,-Inputs!$B15),0)</f>
        <v>0</v>
      </c>
      <c r="AM70" s="7">
        <f>-MAX(FV(Inputs!$B16/12,AM$1*12,Inputs!$B17,-Inputs!$B15),0)</f>
        <v>0</v>
      </c>
    </row>
    <row r="71" spans="1:39">
      <c r="A71" s="4" t="s">
        <v>61</v>
      </c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</row>
    <row r="72" spans="1:39">
      <c r="A72" s="3" t="str">
        <f>TEXT(Inputs!$B$60,"")</f>
        <v>Sliema</v>
      </c>
      <c r="C72" s="7">
        <f>-MAX(FV(Inputs!$B101/12,C$1*12,Inputs!$B102,-Inputs!$B100),0)</f>
        <v>-45437.606462973985</v>
      </c>
      <c r="D72" s="7">
        <f>-MAX(FV(Inputs!$B101/12,D$1*12,Inputs!$B102,-Inputs!$B100),0)</f>
        <v>-40736.443360703342</v>
      </c>
      <c r="E72" s="7">
        <f>-MAX(FV(Inputs!$B101/12,E$1*12,Inputs!$B102,-Inputs!$B100),0)</f>
        <v>-35892.289884070618</v>
      </c>
      <c r="F72" s="7">
        <f>-MAX(FV(Inputs!$B101/12,F$1*12,Inputs!$B102,-Inputs!$B100),0)</f>
        <v>-30900.796844010245</v>
      </c>
      <c r="G72" s="7">
        <f>-MAX(FV(Inputs!$B101/12,G$1*12,Inputs!$B102,-Inputs!$B100),0)</f>
        <v>-25757.48276670936</v>
      </c>
      <c r="H72" s="7">
        <f>-MAX(FV(Inputs!$B101/12,H$1*12,Inputs!$B102,-Inputs!$B100),0)</f>
        <v>-20457.729870040646</v>
      </c>
      <c r="I72" s="7">
        <f>-MAX(FV(Inputs!$B101/12,I$1*12,Inputs!$B102,-Inputs!$B100),0)</f>
        <v>-14996.779917614593</v>
      </c>
      <c r="J72" s="7">
        <f>-MAX(FV(Inputs!$B101/12,J$1*12,Inputs!$B102,-Inputs!$B100),0)</f>
        <v>-9369.7299467287376</v>
      </c>
      <c r="K72" s="7">
        <f>-MAX(FV(Inputs!$B101/12,K$1*12,Inputs!$B102,-Inputs!$B100),0)</f>
        <v>-3571.5278663783029</v>
      </c>
      <c r="L72" s="7">
        <f>-MAX(FV(Inputs!$B101/12,L$1*12,Inputs!$B102,-Inputs!$B100),0)</f>
        <v>0</v>
      </c>
      <c r="M72" s="7">
        <f>-MAX(FV(Inputs!$B101/12,M$1*12,Inputs!$B102,-Inputs!$B100),0)</f>
        <v>0</v>
      </c>
      <c r="N72" s="7">
        <f>-MAX(FV(Inputs!$B101/12,N$1*12,Inputs!$B102,-Inputs!$B100),0)</f>
        <v>0</v>
      </c>
      <c r="O72" s="7">
        <f>-MAX(FV(Inputs!$B101/12,O$1*12,Inputs!$B102,-Inputs!$B100),0)</f>
        <v>0</v>
      </c>
      <c r="P72" s="7">
        <f>-MAX(FV(Inputs!$B101/12,P$1*12,Inputs!$B102,-Inputs!$B100),0)</f>
        <v>0</v>
      </c>
      <c r="Q72" s="7">
        <f>-MAX(FV(Inputs!$B101/12,Q$1*12,Inputs!$B102,-Inputs!$B100),0)</f>
        <v>0</v>
      </c>
      <c r="R72" s="7">
        <f>-MAX(FV(Inputs!$B101/12,R$1*12,Inputs!$B102,-Inputs!$B100),0)</f>
        <v>0</v>
      </c>
      <c r="S72" s="7">
        <f>-MAX(FV(Inputs!$B101/12,S$1*12,Inputs!$B102,-Inputs!$B100),0)</f>
        <v>0</v>
      </c>
      <c r="T72" s="7">
        <f>-MAX(FV(Inputs!$B101/12,T$1*12,Inputs!$B102,-Inputs!$B100),0)</f>
        <v>0</v>
      </c>
      <c r="U72" s="7">
        <f>-MAX(FV(Inputs!$B101/12,U$1*12,Inputs!$B102,-Inputs!$B100),0)</f>
        <v>0</v>
      </c>
      <c r="V72" s="7">
        <f>-MAX(FV(Inputs!$B101/12,V$1*12,Inputs!$B102,-Inputs!$B100),0)</f>
        <v>0</v>
      </c>
      <c r="W72" s="7">
        <f>-MAX(FV(Inputs!$B101/12,W$1*12,Inputs!$B102,-Inputs!$B100),0)</f>
        <v>0</v>
      </c>
      <c r="X72" s="7">
        <f>-MAX(FV(Inputs!$B101/12,X$1*12,Inputs!$B102,-Inputs!$B100),0)</f>
        <v>0</v>
      </c>
      <c r="Y72" s="7">
        <f>-MAX(FV(Inputs!$B101/12,Y$1*12,Inputs!$B102,-Inputs!$B100),0)</f>
        <v>0</v>
      </c>
      <c r="Z72" s="7">
        <f>-MAX(FV(Inputs!$B101/12,Z$1*12,Inputs!$B102,-Inputs!$B100),0)</f>
        <v>0</v>
      </c>
      <c r="AA72" s="7">
        <f>-MAX(FV(Inputs!$B101/12,AA$1*12,Inputs!$B102,-Inputs!$B100),0)</f>
        <v>0</v>
      </c>
      <c r="AB72" s="7">
        <f>-MAX(FV(Inputs!$B101/12,AB$1*12,Inputs!$B102,-Inputs!$B100),0)</f>
        <v>0</v>
      </c>
      <c r="AC72" s="7">
        <f>-MAX(FV(Inputs!$B101/12,AC$1*12,Inputs!$B102,-Inputs!$B100),0)</f>
        <v>0</v>
      </c>
      <c r="AD72" s="7">
        <f>-MAX(FV(Inputs!$B101/12,AD$1*12,Inputs!$B102,-Inputs!$B100),0)</f>
        <v>0</v>
      </c>
      <c r="AE72" s="7">
        <f>-MAX(FV(Inputs!$B101/12,AE$1*12,Inputs!$B102,-Inputs!$B100),0)</f>
        <v>0</v>
      </c>
      <c r="AF72" s="7">
        <f>-MAX(FV(Inputs!$B101/12,AF$1*12,Inputs!$B102,-Inputs!$B100),0)</f>
        <v>0</v>
      </c>
      <c r="AG72" s="7">
        <f>-MAX(FV(Inputs!$B101/12,AG$1*12,Inputs!$B102,-Inputs!$B100),0)</f>
        <v>0</v>
      </c>
      <c r="AH72" s="7">
        <f>-MAX(FV(Inputs!$B101/12,AH$1*12,Inputs!$B102,-Inputs!$B100),0)</f>
        <v>0</v>
      </c>
      <c r="AI72" s="7">
        <f>-MAX(FV(Inputs!$B101/12,AI$1*12,Inputs!$B102,-Inputs!$B100),0)</f>
        <v>0</v>
      </c>
      <c r="AJ72" s="7">
        <f>-MAX(FV(Inputs!$B101/12,AJ$1*12,Inputs!$B102,-Inputs!$B100),0)</f>
        <v>0</v>
      </c>
      <c r="AK72" s="7">
        <f>-MAX(FV(Inputs!$B101/12,AK$1*12,Inputs!$B102,-Inputs!$B100),0)</f>
        <v>0</v>
      </c>
      <c r="AL72" s="7">
        <f>-MAX(FV(Inputs!$B101/12,AL$1*12,Inputs!$B102,-Inputs!$B100),0)</f>
        <v>0</v>
      </c>
      <c r="AM72" s="7">
        <f>-MAX(FV(Inputs!$B101/12,AM$1*12,Inputs!$B102,-Inputs!$B100),0)</f>
        <v>0</v>
      </c>
    </row>
    <row r="73" spans="1:39">
      <c r="A73" s="3" t="str">
        <f>TEXT(Inputs!$B$65,"")</f>
        <v>Gzira</v>
      </c>
      <c r="C73" s="7">
        <f>-MAX(FV(Inputs!$B106/12,C$1*12,Inputs!$B107,-Inputs!$B105),0)</f>
        <v>-6249.4443415125261</v>
      </c>
      <c r="D73" s="7">
        <f>-MAX(FV(Inputs!$B106/12,D$1*12,Inputs!$B107,-Inputs!$B105),0)</f>
        <v>-3953.4626671330816</v>
      </c>
      <c r="E73" s="7">
        <f>-MAX(FV(Inputs!$B106/12,E$1*12,Inputs!$B107,-Inputs!$B105),0)</f>
        <v>-1611.1380819997976</v>
      </c>
      <c r="F73" s="7">
        <f>-MAX(FV(Inputs!$B106/12,F$1*12,Inputs!$B107,-Inputs!$B105),0)</f>
        <v>0</v>
      </c>
      <c r="G73" s="7">
        <f>-MAX(FV(Inputs!$B106/12,G$1*12,Inputs!$B107,-Inputs!$B105),0)</f>
        <v>0</v>
      </c>
      <c r="H73" s="7">
        <f>-MAX(FV(Inputs!$B106/12,H$1*12,Inputs!$B107,-Inputs!$B105),0)</f>
        <v>0</v>
      </c>
      <c r="I73" s="7">
        <f>-MAX(FV(Inputs!$B106/12,I$1*12,Inputs!$B107,-Inputs!$B105),0)</f>
        <v>0</v>
      </c>
      <c r="J73" s="7">
        <f>-MAX(FV(Inputs!$B106/12,J$1*12,Inputs!$B107,-Inputs!$B105),0)</f>
        <v>0</v>
      </c>
      <c r="K73" s="7">
        <f>-MAX(FV(Inputs!$B106/12,K$1*12,Inputs!$B107,-Inputs!$B105),0)</f>
        <v>0</v>
      </c>
      <c r="L73" s="7">
        <f>-MAX(FV(Inputs!$B106/12,L$1*12,Inputs!$B107,-Inputs!$B105),0)</f>
        <v>0</v>
      </c>
      <c r="M73" s="7">
        <f>-MAX(FV(Inputs!$B106/12,M$1*12,Inputs!$B107,-Inputs!$B105),0)</f>
        <v>0</v>
      </c>
      <c r="N73" s="7">
        <f>-MAX(FV(Inputs!$B106/12,N$1*12,Inputs!$B107,-Inputs!$B105),0)</f>
        <v>0</v>
      </c>
      <c r="O73" s="7">
        <f>-MAX(FV(Inputs!$B106/12,O$1*12,Inputs!$B107,-Inputs!$B105),0)</f>
        <v>0</v>
      </c>
      <c r="P73" s="7">
        <f>-MAX(FV(Inputs!$B106/12,P$1*12,Inputs!$B107,-Inputs!$B105),0)</f>
        <v>0</v>
      </c>
      <c r="Q73" s="7">
        <f>-MAX(FV(Inputs!$B106/12,Q$1*12,Inputs!$B107,-Inputs!$B105),0)</f>
        <v>0</v>
      </c>
      <c r="R73" s="7">
        <f>-MAX(FV(Inputs!$B106/12,R$1*12,Inputs!$B107,-Inputs!$B105),0)</f>
        <v>0</v>
      </c>
      <c r="S73" s="7">
        <f>-MAX(FV(Inputs!$B106/12,S$1*12,Inputs!$B107,-Inputs!$B105),0)</f>
        <v>0</v>
      </c>
      <c r="T73" s="7">
        <f>-MAX(FV(Inputs!$B106/12,T$1*12,Inputs!$B107,-Inputs!$B105),0)</f>
        <v>0</v>
      </c>
      <c r="U73" s="7">
        <f>-MAX(FV(Inputs!$B106/12,U$1*12,Inputs!$B107,-Inputs!$B105),0)</f>
        <v>0</v>
      </c>
      <c r="V73" s="7">
        <f>-MAX(FV(Inputs!$B106/12,V$1*12,Inputs!$B107,-Inputs!$B105),0)</f>
        <v>0</v>
      </c>
      <c r="W73" s="7">
        <f>-MAX(FV(Inputs!$B106/12,W$1*12,Inputs!$B107,-Inputs!$B105),0)</f>
        <v>0</v>
      </c>
      <c r="X73" s="7">
        <f>-MAX(FV(Inputs!$B106/12,X$1*12,Inputs!$B107,-Inputs!$B105),0)</f>
        <v>0</v>
      </c>
      <c r="Y73" s="7">
        <f>-MAX(FV(Inputs!$B106/12,Y$1*12,Inputs!$B107,-Inputs!$B105),0)</f>
        <v>0</v>
      </c>
      <c r="Z73" s="7">
        <f>-MAX(FV(Inputs!$B106/12,Z$1*12,Inputs!$B107,-Inputs!$B105),0)</f>
        <v>0</v>
      </c>
      <c r="AA73" s="7">
        <f>-MAX(FV(Inputs!$B106/12,AA$1*12,Inputs!$B107,-Inputs!$B105),0)</f>
        <v>0</v>
      </c>
      <c r="AB73" s="7">
        <f>-MAX(FV(Inputs!$B106/12,AB$1*12,Inputs!$B107,-Inputs!$B105),0)</f>
        <v>0</v>
      </c>
      <c r="AC73" s="7">
        <f>-MAX(FV(Inputs!$B106/12,AC$1*12,Inputs!$B107,-Inputs!$B105),0)</f>
        <v>0</v>
      </c>
      <c r="AD73" s="7">
        <f>-MAX(FV(Inputs!$B106/12,AD$1*12,Inputs!$B107,-Inputs!$B105),0)</f>
        <v>0</v>
      </c>
      <c r="AE73" s="7">
        <f>-MAX(FV(Inputs!$B106/12,AE$1*12,Inputs!$B107,-Inputs!$B105),0)</f>
        <v>0</v>
      </c>
      <c r="AF73" s="7">
        <f>-MAX(FV(Inputs!$B106/12,AF$1*12,Inputs!$B107,-Inputs!$B105),0)</f>
        <v>0</v>
      </c>
      <c r="AG73" s="7">
        <f>-MAX(FV(Inputs!$B106/12,AG$1*12,Inputs!$B107,-Inputs!$B105),0)</f>
        <v>0</v>
      </c>
      <c r="AH73" s="7">
        <f>-MAX(FV(Inputs!$B106/12,AH$1*12,Inputs!$B107,-Inputs!$B105),0)</f>
        <v>0</v>
      </c>
      <c r="AI73" s="7">
        <f>-MAX(FV(Inputs!$B106/12,AI$1*12,Inputs!$B107,-Inputs!$B105),0)</f>
        <v>0</v>
      </c>
      <c r="AJ73" s="7">
        <f>-MAX(FV(Inputs!$B106/12,AJ$1*12,Inputs!$B107,-Inputs!$B105),0)</f>
        <v>0</v>
      </c>
      <c r="AK73" s="7">
        <f>-MAX(FV(Inputs!$B106/12,AK$1*12,Inputs!$B107,-Inputs!$B105),0)</f>
        <v>0</v>
      </c>
      <c r="AL73" s="7">
        <f>-MAX(FV(Inputs!$B106/12,AL$1*12,Inputs!$B107,-Inputs!$B105),0)</f>
        <v>0</v>
      </c>
      <c r="AM73" s="7">
        <f>-MAX(FV(Inputs!$B106/12,AM$1*12,Inputs!$B107,-Inputs!$B105),0)</f>
        <v>0</v>
      </c>
    </row>
    <row r="74" spans="1:39">
      <c r="A74" s="3" t="str">
        <f>TEXT(Inputs!$B$70,"")</f>
        <v>Qormi</v>
      </c>
      <c r="C74" s="7">
        <f>-MAX(FV(Inputs!$B111/12,C$1*12,Inputs!$B112,-Inputs!$B110),0)</f>
        <v>-12697.714595321995</v>
      </c>
      <c r="D74" s="7">
        <f>-MAX(FV(Inputs!$B111/12,D$1*12,Inputs!$B112,-Inputs!$B110),0)</f>
        <v>-10277.63989987525</v>
      </c>
      <c r="E74" s="7">
        <f>-MAX(FV(Inputs!$B111/12,E$1*12,Inputs!$B112,-Inputs!$B110),0)</f>
        <v>-7733.7495899939004</v>
      </c>
      <c r="F74" s="7">
        <f>-MAX(FV(Inputs!$B111/12,F$1*12,Inputs!$B112,-Inputs!$B110),0)</f>
        <v>-5059.7090238560577</v>
      </c>
      <c r="G74" s="7">
        <f>-MAX(FV(Inputs!$B111/12,G$1*12,Inputs!$B112,-Inputs!$B110),0)</f>
        <v>-2248.8594673418665</v>
      </c>
      <c r="H74" s="7">
        <f>-MAX(FV(Inputs!$B111/12,H$1*12,Inputs!$B112,-Inputs!$B110),0)</f>
        <v>0</v>
      </c>
      <c r="I74" s="7">
        <f>-MAX(FV(Inputs!$B111/12,I$1*12,Inputs!$B112,-Inputs!$B110),0)</f>
        <v>0</v>
      </c>
      <c r="J74" s="7">
        <f>-MAX(FV(Inputs!$B111/12,J$1*12,Inputs!$B112,-Inputs!$B110),0)</f>
        <v>0</v>
      </c>
      <c r="K74" s="7">
        <f>-MAX(FV(Inputs!$B111/12,K$1*12,Inputs!$B112,-Inputs!$B110),0)</f>
        <v>0</v>
      </c>
      <c r="L74" s="7">
        <f>-MAX(FV(Inputs!$B111/12,L$1*12,Inputs!$B112,-Inputs!$B110),0)</f>
        <v>0</v>
      </c>
      <c r="M74" s="7">
        <f>-MAX(FV(Inputs!$B111/12,M$1*12,Inputs!$B112,-Inputs!$B110),0)</f>
        <v>0</v>
      </c>
      <c r="N74" s="7">
        <f>-MAX(FV(Inputs!$B111/12,N$1*12,Inputs!$B112,-Inputs!$B110),0)</f>
        <v>0</v>
      </c>
      <c r="O74" s="7">
        <f>-MAX(FV(Inputs!$B111/12,O$1*12,Inputs!$B112,-Inputs!$B110),0)</f>
        <v>0</v>
      </c>
      <c r="P74" s="7">
        <f>-MAX(FV(Inputs!$B111/12,P$1*12,Inputs!$B112,-Inputs!$B110),0)</f>
        <v>0</v>
      </c>
      <c r="Q74" s="7">
        <f>-MAX(FV(Inputs!$B111/12,Q$1*12,Inputs!$B112,-Inputs!$B110),0)</f>
        <v>0</v>
      </c>
      <c r="R74" s="7">
        <f>-MAX(FV(Inputs!$B111/12,R$1*12,Inputs!$B112,-Inputs!$B110),0)</f>
        <v>0</v>
      </c>
      <c r="S74" s="7">
        <f>-MAX(FV(Inputs!$B111/12,S$1*12,Inputs!$B112,-Inputs!$B110),0)</f>
        <v>0</v>
      </c>
      <c r="T74" s="7">
        <f>-MAX(FV(Inputs!$B111/12,T$1*12,Inputs!$B112,-Inputs!$B110),0)</f>
        <v>0</v>
      </c>
      <c r="U74" s="7">
        <f>-MAX(FV(Inputs!$B111/12,U$1*12,Inputs!$B112,-Inputs!$B110),0)</f>
        <v>0</v>
      </c>
      <c r="V74" s="7">
        <f>-MAX(FV(Inputs!$B111/12,V$1*12,Inputs!$B112,-Inputs!$B110),0)</f>
        <v>0</v>
      </c>
      <c r="W74" s="7">
        <f>-MAX(FV(Inputs!$B111/12,W$1*12,Inputs!$B112,-Inputs!$B110),0)</f>
        <v>0</v>
      </c>
      <c r="X74" s="7">
        <f>-MAX(FV(Inputs!$B111/12,X$1*12,Inputs!$B112,-Inputs!$B110),0)</f>
        <v>0</v>
      </c>
      <c r="Y74" s="7">
        <f>-MAX(FV(Inputs!$B111/12,Y$1*12,Inputs!$B112,-Inputs!$B110),0)</f>
        <v>0</v>
      </c>
      <c r="Z74" s="7">
        <f>-MAX(FV(Inputs!$B111/12,Z$1*12,Inputs!$B112,-Inputs!$B110),0)</f>
        <v>0</v>
      </c>
      <c r="AA74" s="7">
        <f>-MAX(FV(Inputs!$B111/12,AA$1*12,Inputs!$B112,-Inputs!$B110),0)</f>
        <v>0</v>
      </c>
      <c r="AB74" s="7">
        <f>-MAX(FV(Inputs!$B111/12,AB$1*12,Inputs!$B112,-Inputs!$B110),0)</f>
        <v>0</v>
      </c>
      <c r="AC74" s="7">
        <f>-MAX(FV(Inputs!$B111/12,AC$1*12,Inputs!$B112,-Inputs!$B110),0)</f>
        <v>0</v>
      </c>
      <c r="AD74" s="7">
        <f>-MAX(FV(Inputs!$B111/12,AD$1*12,Inputs!$B112,-Inputs!$B110),0)</f>
        <v>0</v>
      </c>
      <c r="AE74" s="7">
        <f>-MAX(FV(Inputs!$B111/12,AE$1*12,Inputs!$B112,-Inputs!$B110),0)</f>
        <v>0</v>
      </c>
      <c r="AF74" s="7">
        <f>-MAX(FV(Inputs!$B111/12,AF$1*12,Inputs!$B112,-Inputs!$B110),0)</f>
        <v>0</v>
      </c>
      <c r="AG74" s="7">
        <f>-MAX(FV(Inputs!$B111/12,AG$1*12,Inputs!$B112,-Inputs!$B110),0)</f>
        <v>0</v>
      </c>
      <c r="AH74" s="7">
        <f>-MAX(FV(Inputs!$B111/12,AH$1*12,Inputs!$B112,-Inputs!$B110),0)</f>
        <v>0</v>
      </c>
      <c r="AI74" s="7">
        <f>-MAX(FV(Inputs!$B111/12,AI$1*12,Inputs!$B112,-Inputs!$B110),0)</f>
        <v>0</v>
      </c>
      <c r="AJ74" s="7">
        <f>-MAX(FV(Inputs!$B111/12,AJ$1*12,Inputs!$B112,-Inputs!$B110),0)</f>
        <v>0</v>
      </c>
      <c r="AK74" s="7">
        <f>-MAX(FV(Inputs!$B111/12,AK$1*12,Inputs!$B112,-Inputs!$B110),0)</f>
        <v>0</v>
      </c>
      <c r="AL74" s="7">
        <f>-MAX(FV(Inputs!$B111/12,AL$1*12,Inputs!$B112,-Inputs!$B110),0)</f>
        <v>0</v>
      </c>
      <c r="AM74" s="7">
        <f>-MAX(FV(Inputs!$B111/12,AM$1*12,Inputs!$B112,-Inputs!$B110),0)</f>
        <v>0</v>
      </c>
    </row>
    <row r="75" spans="1:39">
      <c r="A75" s="3" t="str">
        <f>TEXT(Inputs!$B$75,"")</f>
        <v>Gudja</v>
      </c>
      <c r="C75" s="7">
        <f>-MAX(FV(Inputs!$B116/12,C$1*12,Inputs!$B117,-Inputs!$B115),0)</f>
        <v>-3805.6137118773331</v>
      </c>
      <c r="D75" s="7">
        <f>-MAX(FV(Inputs!$B116/12,D$1*12,Inputs!$B117,-Inputs!$B115),0)</f>
        <v>-2913.5784999121538</v>
      </c>
      <c r="E75" s="7">
        <f>-MAX(FV(Inputs!$B116/12,E$1*12,Inputs!$B117,-Inputs!$B115),0)</f>
        <v>-2003.5381319482622</v>
      </c>
      <c r="F75" s="7">
        <f>-MAX(FV(Inputs!$B116/12,F$1*12,Inputs!$B117,-Inputs!$B115),0)</f>
        <v>-1075.1291855128484</v>
      </c>
      <c r="G75" s="7">
        <f>-MAX(FV(Inputs!$B116/12,G$1*12,Inputs!$B117,-Inputs!$B115),0)</f>
        <v>-127.98090268471151</v>
      </c>
      <c r="H75" s="7">
        <f>-MAX(FV(Inputs!$B116/12,H$1*12,Inputs!$B117,-Inputs!$B115),0)</f>
        <v>0</v>
      </c>
      <c r="I75" s="7">
        <f>-MAX(FV(Inputs!$B116/12,I$1*12,Inputs!$B117,-Inputs!$B115),0)</f>
        <v>0</v>
      </c>
      <c r="J75" s="7">
        <f>-MAX(FV(Inputs!$B116/12,J$1*12,Inputs!$B117,-Inputs!$B115),0)</f>
        <v>0</v>
      </c>
      <c r="K75" s="7">
        <f>-MAX(FV(Inputs!$B116/12,K$1*12,Inputs!$B117,-Inputs!$B115),0)</f>
        <v>0</v>
      </c>
      <c r="L75" s="7">
        <f>-MAX(FV(Inputs!$B116/12,L$1*12,Inputs!$B117,-Inputs!$B115),0)</f>
        <v>0</v>
      </c>
      <c r="M75" s="7">
        <f>-MAX(FV(Inputs!$B116/12,M$1*12,Inputs!$B117,-Inputs!$B115),0)</f>
        <v>0</v>
      </c>
      <c r="N75" s="7">
        <f>-MAX(FV(Inputs!$B116/12,N$1*12,Inputs!$B117,-Inputs!$B115),0)</f>
        <v>0</v>
      </c>
      <c r="O75" s="7">
        <f>-MAX(FV(Inputs!$B116/12,O$1*12,Inputs!$B117,-Inputs!$B115),0)</f>
        <v>0</v>
      </c>
      <c r="P75" s="7">
        <f>-MAX(FV(Inputs!$B116/12,P$1*12,Inputs!$B117,-Inputs!$B115),0)</f>
        <v>0</v>
      </c>
      <c r="Q75" s="7">
        <f>-MAX(FV(Inputs!$B116/12,Q$1*12,Inputs!$B117,-Inputs!$B115),0)</f>
        <v>0</v>
      </c>
      <c r="R75" s="7">
        <f>-MAX(FV(Inputs!$B116/12,R$1*12,Inputs!$B117,-Inputs!$B115),0)</f>
        <v>0</v>
      </c>
      <c r="S75" s="7">
        <f>-MAX(FV(Inputs!$B116/12,S$1*12,Inputs!$B117,-Inputs!$B115),0)</f>
        <v>0</v>
      </c>
      <c r="T75" s="7">
        <f>-MAX(FV(Inputs!$B116/12,T$1*12,Inputs!$B117,-Inputs!$B115),0)</f>
        <v>0</v>
      </c>
      <c r="U75" s="7">
        <f>-MAX(FV(Inputs!$B116/12,U$1*12,Inputs!$B117,-Inputs!$B115),0)</f>
        <v>0</v>
      </c>
      <c r="V75" s="7">
        <f>-MAX(FV(Inputs!$B116/12,V$1*12,Inputs!$B117,-Inputs!$B115),0)</f>
        <v>0</v>
      </c>
      <c r="W75" s="7">
        <f>-MAX(FV(Inputs!$B116/12,W$1*12,Inputs!$B117,-Inputs!$B115),0)</f>
        <v>0</v>
      </c>
      <c r="X75" s="7">
        <f>-MAX(FV(Inputs!$B116/12,X$1*12,Inputs!$B117,-Inputs!$B115),0)</f>
        <v>0</v>
      </c>
      <c r="Y75" s="7">
        <f>-MAX(FV(Inputs!$B116/12,Y$1*12,Inputs!$B117,-Inputs!$B115),0)</f>
        <v>0</v>
      </c>
      <c r="Z75" s="7">
        <f>-MAX(FV(Inputs!$B116/12,Z$1*12,Inputs!$B117,-Inputs!$B115),0)</f>
        <v>0</v>
      </c>
      <c r="AA75" s="7">
        <f>-MAX(FV(Inputs!$B116/12,AA$1*12,Inputs!$B117,-Inputs!$B115),0)</f>
        <v>0</v>
      </c>
      <c r="AB75" s="7">
        <f>-MAX(FV(Inputs!$B116/12,AB$1*12,Inputs!$B117,-Inputs!$B115),0)</f>
        <v>0</v>
      </c>
      <c r="AC75" s="7">
        <f>-MAX(FV(Inputs!$B116/12,AC$1*12,Inputs!$B117,-Inputs!$B115),0)</f>
        <v>0</v>
      </c>
      <c r="AD75" s="7">
        <f>-MAX(FV(Inputs!$B116/12,AD$1*12,Inputs!$B117,-Inputs!$B115),0)</f>
        <v>0</v>
      </c>
      <c r="AE75" s="7">
        <f>-MAX(FV(Inputs!$B116/12,AE$1*12,Inputs!$B117,-Inputs!$B115),0)</f>
        <v>0</v>
      </c>
      <c r="AF75" s="7">
        <f>-MAX(FV(Inputs!$B116/12,AF$1*12,Inputs!$B117,-Inputs!$B115),0)</f>
        <v>0</v>
      </c>
      <c r="AG75" s="7">
        <f>-MAX(FV(Inputs!$B116/12,AG$1*12,Inputs!$B117,-Inputs!$B115),0)</f>
        <v>0</v>
      </c>
      <c r="AH75" s="7">
        <f>-MAX(FV(Inputs!$B116/12,AH$1*12,Inputs!$B117,-Inputs!$B115),0)</f>
        <v>0</v>
      </c>
      <c r="AI75" s="7">
        <f>-MAX(FV(Inputs!$B116/12,AI$1*12,Inputs!$B117,-Inputs!$B115),0)</f>
        <v>0</v>
      </c>
      <c r="AJ75" s="7">
        <f>-MAX(FV(Inputs!$B116/12,AJ$1*12,Inputs!$B117,-Inputs!$B115),0)</f>
        <v>0</v>
      </c>
      <c r="AK75" s="7">
        <f>-MAX(FV(Inputs!$B116/12,AK$1*12,Inputs!$B117,-Inputs!$B115),0)</f>
        <v>0</v>
      </c>
      <c r="AL75" s="7">
        <f>-MAX(FV(Inputs!$B116/12,AL$1*12,Inputs!$B117,-Inputs!$B115),0)</f>
        <v>0</v>
      </c>
      <c r="AM75" s="7">
        <f>-MAX(FV(Inputs!$B116/12,AM$1*12,Inputs!$B117,-Inputs!$B115),0)</f>
        <v>0</v>
      </c>
    </row>
    <row r="76" spans="1:39">
      <c r="A76" s="3" t="str">
        <f>TEXT(Inputs!$B$80,"")</f>
        <v>Marsa</v>
      </c>
      <c r="C76" s="7">
        <f>-MAX(FV(Inputs!$B121/12,C$1*12,Inputs!$B122,-Inputs!$B120),0)</f>
        <v>-8353.7156417959159</v>
      </c>
      <c r="D76" s="7">
        <f>-MAX(FV(Inputs!$B121/12,D$1*12,Inputs!$B122,-Inputs!$B120),0)</f>
        <v>-7147.835964976146</v>
      </c>
      <c r="E76" s="7">
        <f>-MAX(FV(Inputs!$B121/12,E$1*12,Inputs!$B122,-Inputs!$B120),0)</f>
        <v>-5905.2783038633406</v>
      </c>
      <c r="F76" s="7">
        <f>-MAX(FV(Inputs!$B121/12,F$1*12,Inputs!$B122,-Inputs!$B120),0)</f>
        <v>-4624.9270624675901</v>
      </c>
      <c r="G76" s="7">
        <f>-MAX(FV(Inputs!$B121/12,G$1*12,Inputs!$B122,-Inputs!$B120),0)</f>
        <v>-3305.6327128793955</v>
      </c>
      <c r="H76" s="7">
        <f>-MAX(FV(Inputs!$B121/12,H$1*12,Inputs!$B122,-Inputs!$B120),0)</f>
        <v>-1946.2107631978924</v>
      </c>
      <c r="I76" s="7">
        <f>-MAX(FV(Inputs!$B121/12,I$1*12,Inputs!$B122,-Inputs!$B120),0)</f>
        <v>-545.44069406759263</v>
      </c>
      <c r="J76" s="7">
        <f>-MAX(FV(Inputs!$B121/12,J$1*12,Inputs!$B122,-Inputs!$B120),0)</f>
        <v>0</v>
      </c>
      <c r="K76" s="7">
        <f>-MAX(FV(Inputs!$B121/12,K$1*12,Inputs!$B122,-Inputs!$B120),0)</f>
        <v>0</v>
      </c>
      <c r="L76" s="7">
        <f>-MAX(FV(Inputs!$B121/12,L$1*12,Inputs!$B122,-Inputs!$B120),0)</f>
        <v>0</v>
      </c>
      <c r="M76" s="7">
        <f>-MAX(FV(Inputs!$B121/12,M$1*12,Inputs!$B122,-Inputs!$B120),0)</f>
        <v>0</v>
      </c>
      <c r="N76" s="7">
        <f>-MAX(FV(Inputs!$B121/12,N$1*12,Inputs!$B122,-Inputs!$B120),0)</f>
        <v>0</v>
      </c>
      <c r="O76" s="7">
        <f>-MAX(FV(Inputs!$B121/12,O$1*12,Inputs!$B122,-Inputs!$B120),0)</f>
        <v>0</v>
      </c>
      <c r="P76" s="7">
        <f>-MAX(FV(Inputs!$B121/12,P$1*12,Inputs!$B122,-Inputs!$B120),0)</f>
        <v>0</v>
      </c>
      <c r="Q76" s="7">
        <f>-MAX(FV(Inputs!$B121/12,Q$1*12,Inputs!$B122,-Inputs!$B120),0)</f>
        <v>0</v>
      </c>
      <c r="R76" s="7">
        <f>-MAX(FV(Inputs!$B121/12,R$1*12,Inputs!$B122,-Inputs!$B120),0)</f>
        <v>0</v>
      </c>
      <c r="S76" s="7">
        <f>-MAX(FV(Inputs!$B121/12,S$1*12,Inputs!$B122,-Inputs!$B120),0)</f>
        <v>0</v>
      </c>
      <c r="T76" s="7">
        <f>-MAX(FV(Inputs!$B121/12,T$1*12,Inputs!$B122,-Inputs!$B120),0)</f>
        <v>0</v>
      </c>
      <c r="U76" s="7">
        <f>-MAX(FV(Inputs!$B121/12,U$1*12,Inputs!$B122,-Inputs!$B120),0)</f>
        <v>0</v>
      </c>
      <c r="V76" s="7">
        <f>-MAX(FV(Inputs!$B121/12,V$1*12,Inputs!$B122,-Inputs!$B120),0)</f>
        <v>0</v>
      </c>
      <c r="W76" s="7">
        <f>-MAX(FV(Inputs!$B121/12,W$1*12,Inputs!$B122,-Inputs!$B120),0)</f>
        <v>0</v>
      </c>
      <c r="X76" s="7">
        <f>-MAX(FV(Inputs!$B121/12,X$1*12,Inputs!$B122,-Inputs!$B120),0)</f>
        <v>0</v>
      </c>
      <c r="Y76" s="7">
        <f>-MAX(FV(Inputs!$B121/12,Y$1*12,Inputs!$B122,-Inputs!$B120),0)</f>
        <v>0</v>
      </c>
      <c r="Z76" s="7">
        <f>-MAX(FV(Inputs!$B121/12,Z$1*12,Inputs!$B122,-Inputs!$B120),0)</f>
        <v>0</v>
      </c>
      <c r="AA76" s="7">
        <f>-MAX(FV(Inputs!$B121/12,AA$1*12,Inputs!$B122,-Inputs!$B120),0)</f>
        <v>0</v>
      </c>
      <c r="AB76" s="7">
        <f>-MAX(FV(Inputs!$B121/12,AB$1*12,Inputs!$B122,-Inputs!$B120),0)</f>
        <v>0</v>
      </c>
      <c r="AC76" s="7">
        <f>-MAX(FV(Inputs!$B121/12,AC$1*12,Inputs!$B122,-Inputs!$B120),0)</f>
        <v>0</v>
      </c>
      <c r="AD76" s="7">
        <f>-MAX(FV(Inputs!$B121/12,AD$1*12,Inputs!$B122,-Inputs!$B120),0)</f>
        <v>0</v>
      </c>
      <c r="AE76" s="7">
        <f>-MAX(FV(Inputs!$B121/12,AE$1*12,Inputs!$B122,-Inputs!$B120),0)</f>
        <v>0</v>
      </c>
      <c r="AF76" s="7">
        <f>-MAX(FV(Inputs!$B121/12,AF$1*12,Inputs!$B122,-Inputs!$B120),0)</f>
        <v>0</v>
      </c>
      <c r="AG76" s="7">
        <f>-MAX(FV(Inputs!$B121/12,AG$1*12,Inputs!$B122,-Inputs!$B120),0)</f>
        <v>0</v>
      </c>
      <c r="AH76" s="7">
        <f>-MAX(FV(Inputs!$B121/12,AH$1*12,Inputs!$B122,-Inputs!$B120),0)</f>
        <v>0</v>
      </c>
      <c r="AI76" s="7">
        <f>-MAX(FV(Inputs!$B121/12,AI$1*12,Inputs!$B122,-Inputs!$B120),0)</f>
        <v>0</v>
      </c>
      <c r="AJ76" s="7">
        <f>-MAX(FV(Inputs!$B121/12,AJ$1*12,Inputs!$B122,-Inputs!$B120),0)</f>
        <v>0</v>
      </c>
      <c r="AK76" s="7">
        <f>-MAX(FV(Inputs!$B121/12,AK$1*12,Inputs!$B122,-Inputs!$B120),0)</f>
        <v>0</v>
      </c>
      <c r="AL76" s="7">
        <f>-MAX(FV(Inputs!$B121/12,AL$1*12,Inputs!$B122,-Inputs!$B120),0)</f>
        <v>0</v>
      </c>
      <c r="AM76" s="7">
        <f>-MAX(FV(Inputs!$B121/12,AM$1*12,Inputs!$B122,-Inputs!$B120),0)</f>
        <v>0</v>
      </c>
    </row>
    <row r="77" spans="1:39">
      <c r="A77" s="4" t="s">
        <v>34</v>
      </c>
      <c r="C77" s="7">
        <f>-MAX(FV(Inputs!$B126/12,C$1*12,Inputs!$B127,-Inputs!$B125),0)</f>
        <v>-3629.9331288130147</v>
      </c>
      <c r="D77" s="7">
        <f>-MAX(FV(Inputs!$B126/12,D$1*12,Inputs!$B127,-Inputs!$B125),0)</f>
        <v>-3237.0413427676731</v>
      </c>
      <c r="E77" s="7">
        <f>-MAX(FV(Inputs!$B126/12,E$1*12,Inputs!$B127,-Inputs!$B125),0)</f>
        <v>-2819.9168510595237</v>
      </c>
      <c r="F77" s="7">
        <f>-MAX(FV(Inputs!$B126/12,F$1*12,Inputs!$B127,-Inputs!$B125),0)</f>
        <v>-2377.0650334277229</v>
      </c>
      <c r="G77" s="7">
        <f>-MAX(FV(Inputs!$B126/12,G$1*12,Inputs!$B127,-Inputs!$B125),0)</f>
        <v>-1906.8990847041773</v>
      </c>
      <c r="H77" s="7">
        <f>-MAX(FV(Inputs!$B126/12,H$1*12,Inputs!$B127,-Inputs!$B125),0)</f>
        <v>-1407.7343290501685</v>
      </c>
      <c r="I77" s="7">
        <f>-MAX(FV(Inputs!$B126/12,I$1*12,Inputs!$B127,-Inputs!$B125),0)</f>
        <v>-877.78218350754105</v>
      </c>
      <c r="J77" s="7">
        <f>-MAX(FV(Inputs!$B126/12,J$1*12,Inputs!$B127,-Inputs!$B125),0)</f>
        <v>-315.14374923495234</v>
      </c>
      <c r="K77" s="7">
        <f>-MAX(FV(Inputs!$B126/12,K$1*12,Inputs!$B127,-Inputs!$B125),0)</f>
        <v>0</v>
      </c>
      <c r="L77" s="7">
        <f>-MAX(FV(Inputs!$B126/12,L$1*12,Inputs!$B127,-Inputs!$B125),0)</f>
        <v>0</v>
      </c>
      <c r="M77" s="7">
        <f>-MAX(FV(Inputs!$B126/12,M$1*12,Inputs!$B127,-Inputs!$B125),0)</f>
        <v>0</v>
      </c>
      <c r="N77" s="7">
        <f>-MAX(FV(Inputs!$B126/12,N$1*12,Inputs!$B127,-Inputs!$B125),0)</f>
        <v>0</v>
      </c>
      <c r="O77" s="7">
        <f>-MAX(FV(Inputs!$B126/12,O$1*12,Inputs!$B127,-Inputs!$B125),0)</f>
        <v>0</v>
      </c>
      <c r="P77" s="7">
        <f>-MAX(FV(Inputs!$B126/12,P$1*12,Inputs!$B127,-Inputs!$B125),0)</f>
        <v>0</v>
      </c>
      <c r="Q77" s="7">
        <f>-MAX(FV(Inputs!$B126/12,Q$1*12,Inputs!$B127,-Inputs!$B125),0)</f>
        <v>0</v>
      </c>
      <c r="R77" s="7">
        <f>-MAX(FV(Inputs!$B126/12,R$1*12,Inputs!$B127,-Inputs!$B125),0)</f>
        <v>0</v>
      </c>
      <c r="S77" s="7">
        <f>-MAX(FV(Inputs!$B126/12,S$1*12,Inputs!$B127,-Inputs!$B125),0)</f>
        <v>0</v>
      </c>
      <c r="T77" s="7">
        <f>-MAX(FV(Inputs!$B126/12,T$1*12,Inputs!$B127,-Inputs!$B125),0)</f>
        <v>0</v>
      </c>
      <c r="U77" s="7">
        <f>-MAX(FV(Inputs!$B126/12,U$1*12,Inputs!$B127,-Inputs!$B125),0)</f>
        <v>0</v>
      </c>
      <c r="V77" s="7">
        <f>-MAX(FV(Inputs!$B126/12,V$1*12,Inputs!$B127,-Inputs!$B125),0)</f>
        <v>0</v>
      </c>
      <c r="W77" s="7">
        <f>-MAX(FV(Inputs!$B126/12,W$1*12,Inputs!$B127,-Inputs!$B125),0)</f>
        <v>0</v>
      </c>
      <c r="X77" s="7">
        <f>-MAX(FV(Inputs!$B126/12,X$1*12,Inputs!$B127,-Inputs!$B125),0)</f>
        <v>0</v>
      </c>
      <c r="Y77" s="7">
        <f>-MAX(FV(Inputs!$B126/12,Y$1*12,Inputs!$B127,-Inputs!$B125),0)</f>
        <v>0</v>
      </c>
      <c r="Z77" s="7">
        <f>-MAX(FV(Inputs!$B126/12,Z$1*12,Inputs!$B127,-Inputs!$B125),0)</f>
        <v>0</v>
      </c>
      <c r="AA77" s="7">
        <f>-MAX(FV(Inputs!$B126/12,AA$1*12,Inputs!$B127,-Inputs!$B125),0)</f>
        <v>0</v>
      </c>
      <c r="AB77" s="7">
        <f>-MAX(FV(Inputs!$B126/12,AB$1*12,Inputs!$B127,-Inputs!$B125),0)</f>
        <v>0</v>
      </c>
      <c r="AC77" s="7">
        <f>-MAX(FV(Inputs!$B126/12,AC$1*12,Inputs!$B127,-Inputs!$B125),0)</f>
        <v>0</v>
      </c>
      <c r="AD77" s="7">
        <f>-MAX(FV(Inputs!$B126/12,AD$1*12,Inputs!$B127,-Inputs!$B125),0)</f>
        <v>0</v>
      </c>
      <c r="AE77" s="7">
        <f>-MAX(FV(Inputs!$B126/12,AE$1*12,Inputs!$B127,-Inputs!$B125),0)</f>
        <v>0</v>
      </c>
      <c r="AF77" s="7">
        <f>-MAX(FV(Inputs!$B126/12,AF$1*12,Inputs!$B127,-Inputs!$B125),0)</f>
        <v>0</v>
      </c>
      <c r="AG77" s="7">
        <f>-MAX(FV(Inputs!$B126/12,AG$1*12,Inputs!$B127,-Inputs!$B125),0)</f>
        <v>0</v>
      </c>
      <c r="AH77" s="7">
        <f>-MAX(FV(Inputs!$B126/12,AH$1*12,Inputs!$B127,-Inputs!$B125),0)</f>
        <v>0</v>
      </c>
      <c r="AI77" s="7">
        <f>-MAX(FV(Inputs!$B126/12,AI$1*12,Inputs!$B127,-Inputs!$B125),0)</f>
        <v>0</v>
      </c>
      <c r="AJ77" s="7">
        <f>-MAX(FV(Inputs!$B126/12,AJ$1*12,Inputs!$B127,-Inputs!$B125),0)</f>
        <v>0</v>
      </c>
      <c r="AK77" s="7">
        <f>-MAX(FV(Inputs!$B126/12,AK$1*12,Inputs!$B127,-Inputs!$B125),0)</f>
        <v>0</v>
      </c>
      <c r="AL77" s="7">
        <f>-MAX(FV(Inputs!$B126/12,AL$1*12,Inputs!$B127,-Inputs!$B125),0)</f>
        <v>0</v>
      </c>
      <c r="AM77" s="7">
        <f>-MAX(FV(Inputs!$B126/12,AM$1*12,Inputs!$B127,-Inputs!$B125),0)</f>
        <v>0</v>
      </c>
    </row>
    <row r="78" spans="1:39">
      <c r="A78" s="4"/>
      <c r="C78" s="9">
        <f t="shared" ref="C78:AM78" ca="1" si="47">SUM(C60:C77)</f>
        <v>1502255.030484352</v>
      </c>
      <c r="D78" s="9">
        <f t="shared" ca="1" si="47"/>
        <v>1601971.8939653663</v>
      </c>
      <c r="E78" s="9">
        <f t="shared" ca="1" si="47"/>
        <v>1598395.5015844877</v>
      </c>
      <c r="F78" s="9">
        <f t="shared" ca="1" si="47"/>
        <v>1626344.8968104629</v>
      </c>
      <c r="G78" s="9">
        <f t="shared" ca="1" si="47"/>
        <v>1656020.496590497</v>
      </c>
      <c r="H78" s="9">
        <f t="shared" ca="1" si="47"/>
        <v>1694578.1895353505</v>
      </c>
      <c r="I78" s="9">
        <f t="shared" ca="1" si="47"/>
        <v>1732687.0184040503</v>
      </c>
      <c r="J78" s="9">
        <f t="shared" ca="1" si="47"/>
        <v>1754889.2198031158</v>
      </c>
      <c r="K78" s="9">
        <f t="shared" ca="1" si="47"/>
        <v>1857812.0776615031</v>
      </c>
      <c r="L78" s="9">
        <f t="shared" ca="1" si="47"/>
        <v>1866859.2806742294</v>
      </c>
      <c r="M78" s="9">
        <f t="shared" ca="1" si="47"/>
        <v>1925635.8846181156</v>
      </c>
      <c r="N78" s="9">
        <f t="shared" ca="1" si="47"/>
        <v>1986742.0779705991</v>
      </c>
      <c r="O78" s="9">
        <f t="shared" ca="1" si="47"/>
        <v>2050276.1546011751</v>
      </c>
      <c r="P78" s="9">
        <f t="shared" ca="1" si="47"/>
        <v>2116341.2072625058</v>
      </c>
      <c r="Q78" s="9">
        <f t="shared" ca="1" si="47"/>
        <v>2185045.4090015809</v>
      </c>
      <c r="R78" s="9">
        <f t="shared" ca="1" si="47"/>
        <v>2256502.3137447741</v>
      </c>
      <c r="S78" s="9">
        <f t="shared" ca="1" si="47"/>
        <v>2348348.3438077196</v>
      </c>
      <c r="T78" s="9">
        <f t="shared" ca="1" si="47"/>
        <v>2451237.6547129788</v>
      </c>
      <c r="U78" s="9">
        <f t="shared" ca="1" si="47"/>
        <v>2557895.0195607156</v>
      </c>
      <c r="V78" s="9">
        <f t="shared" ca="1" si="47"/>
        <v>2668474.9344537491</v>
      </c>
      <c r="W78" s="9">
        <f t="shared" ca="1" si="47"/>
        <v>2783139.5203496297</v>
      </c>
      <c r="X78" s="9">
        <f t="shared" ca="1" si="47"/>
        <v>2881904.000628761</v>
      </c>
      <c r="Y78" s="9">
        <f t="shared" ca="1" si="47"/>
        <v>2984598.2650419902</v>
      </c>
      <c r="Z78" s="9">
        <f t="shared" ca="1" si="47"/>
        <v>3091397.6016590032</v>
      </c>
      <c r="AA78" s="9">
        <f t="shared" ca="1" si="47"/>
        <v>3202486.6499194223</v>
      </c>
      <c r="AB78" s="9">
        <f t="shared" ca="1" si="47"/>
        <v>3318059.9961212324</v>
      </c>
      <c r="AC78" s="9">
        <f t="shared" ca="1" si="47"/>
        <v>3438322.8116578809</v>
      </c>
      <c r="AD78" s="9">
        <f t="shared" ca="1" si="47"/>
        <v>3573230.5373609271</v>
      </c>
      <c r="AE78" s="9">
        <f t="shared" ca="1" si="47"/>
        <v>3713516.0920148226</v>
      </c>
      <c r="AF78" s="9">
        <f t="shared" ca="1" si="47"/>
        <v>3859426.796623284</v>
      </c>
      <c r="AG78" s="9">
        <f t="shared" ca="1" si="47"/>
        <v>4011223.7591699711</v>
      </c>
      <c r="AH78" s="9">
        <f t="shared" ca="1" si="47"/>
        <v>4169704.9624828966</v>
      </c>
      <c r="AI78" s="9">
        <f t="shared" ca="1" si="47"/>
        <v>4335206.5813214257</v>
      </c>
      <c r="AJ78" s="9">
        <f t="shared" ca="1" si="47"/>
        <v>4508077.9988661371</v>
      </c>
      <c r="AK78" s="9">
        <f t="shared" ca="1" si="47"/>
        <v>4688688.5470556328</v>
      </c>
      <c r="AL78" s="9">
        <f t="shared" ca="1" si="47"/>
        <v>4877428.8072778294</v>
      </c>
      <c r="AM78" s="9">
        <f t="shared" ca="1" si="47"/>
        <v>5074712.0045241583</v>
      </c>
    </row>
    <row r="79" spans="1:39">
      <c r="A79" s="4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</row>
    <row r="80" spans="1:39">
      <c r="A80" s="30" t="s">
        <v>77</v>
      </c>
      <c r="C80" s="7">
        <f t="shared" ref="C80:AM80" ca="1" si="48">C61-buffer</f>
        <v>37716.75</v>
      </c>
      <c r="D80" s="7">
        <f t="shared" ca="1" si="48"/>
        <v>69048.493749999994</v>
      </c>
      <c r="E80" s="7">
        <f t="shared" ca="1" si="48"/>
        <v>-5132.515781249982</v>
      </c>
      <c r="F80" s="7">
        <f t="shared" ca="1" si="48"/>
        <v>-49308.66122104424</v>
      </c>
      <c r="G80" s="7">
        <f t="shared" ca="1" si="48"/>
        <v>-92481.911020106723</v>
      </c>
      <c r="H80" s="7">
        <f t="shared" ca="1" si="48"/>
        <v>-124473.2410883109</v>
      </c>
      <c r="I80" s="7">
        <f t="shared" ca="1" si="48"/>
        <v>-150222.28903870503</v>
      </c>
      <c r="J80" s="7">
        <f t="shared" ca="1" si="48"/>
        <v>-193105.83244917277</v>
      </c>
      <c r="K80" s="7">
        <f t="shared" ca="1" si="48"/>
        <v>-156603.11351424124</v>
      </c>
      <c r="L80" s="7">
        <f t="shared" ca="1" si="48"/>
        <v>-213465.54687981401</v>
      </c>
      <c r="M80" s="7">
        <f t="shared" ca="1" si="48"/>
        <v>-219137.07525845809</v>
      </c>
      <c r="N80" s="7">
        <f t="shared" ca="1" si="48"/>
        <v>-224671.52919785437</v>
      </c>
      <c r="O80" s="7">
        <f t="shared" ca="1" si="48"/>
        <v>-230057.11595756022</v>
      </c>
      <c r="P80" s="7">
        <f t="shared" ca="1" si="48"/>
        <v>-235281.49700223812</v>
      </c>
      <c r="Q80" s="7">
        <f t="shared" ca="1" si="48"/>
        <v>-240331.76682749175</v>
      </c>
      <c r="R80" s="7">
        <f t="shared" ca="1" si="48"/>
        <v>-245194.43103046931</v>
      </c>
      <c r="S80" s="7">
        <f t="shared" ca="1" si="48"/>
        <v>-232338.21727578196</v>
      </c>
      <c r="T80" s="7">
        <f t="shared" ca="1" si="48"/>
        <v>-211219.53028522906</v>
      </c>
      <c r="U80" s="7">
        <f t="shared" ca="1" si="48"/>
        <v>-189229.91023621598</v>
      </c>
      <c r="V80" s="7">
        <f t="shared" ca="1" si="48"/>
        <v>-166337.29482577025</v>
      </c>
      <c r="W80" s="7">
        <f t="shared" ca="1" si="48"/>
        <v>-142508.51152404986</v>
      </c>
      <c r="X80" s="7">
        <f t="shared" ca="1" si="48"/>
        <v>-137864.2227741644</v>
      </c>
      <c r="Y80" s="7">
        <f t="shared" ca="1" si="48"/>
        <v>-132717.81568190217</v>
      </c>
      <c r="Z80" s="7">
        <f t="shared" ca="1" si="48"/>
        <v>-127045.15695499469</v>
      </c>
      <c r="AA80" s="7">
        <f t="shared" ca="1" si="48"/>
        <v>-120821.16255885574</v>
      </c>
      <c r="AB80" s="7">
        <f t="shared" ca="1" si="48"/>
        <v>-114019.7635257228</v>
      </c>
      <c r="AC80" s="7">
        <f t="shared" ca="1" si="48"/>
        <v>-106613.87059635823</v>
      </c>
      <c r="AD80" s="7">
        <f t="shared" ca="1" si="48"/>
        <v>-88836.337564245652</v>
      </c>
      <c r="AE80" s="7">
        <f t="shared" ca="1" si="48"/>
        <v>-70153.448737674466</v>
      </c>
      <c r="AF80" s="7">
        <f t="shared" ca="1" si="48"/>
        <v>-50528.742697723501</v>
      </c>
      <c r="AG80" s="7">
        <f t="shared" ca="1" si="48"/>
        <v>-29924.43166427681</v>
      </c>
      <c r="AH80" s="7">
        <f t="shared" ca="1" si="48"/>
        <v>-7779.17823667833</v>
      </c>
      <c r="AI80" s="7">
        <f t="shared" ca="1" si="48"/>
        <v>15992.291887140978</v>
      </c>
      <c r="AJ80" s="7">
        <f t="shared" ca="1" si="48"/>
        <v>41473.206296251374</v>
      </c>
      <c r="AK80" s="7">
        <f t="shared" ca="1" si="48"/>
        <v>68750.410299871117</v>
      </c>
      <c r="AL80" s="7">
        <f t="shared" ca="1" si="48"/>
        <v>97914.509977914509</v>
      </c>
      <c r="AM80" s="7">
        <f t="shared" ca="1" si="48"/>
        <v>129060.02054844575</v>
      </c>
    </row>
    <row r="81" spans="1:39">
      <c r="A81" s="2" t="s">
        <v>20</v>
      </c>
      <c r="C81" s="7">
        <f ca="1">IF(C80&lt;0,-C80,0)</f>
        <v>0</v>
      </c>
      <c r="D81" s="7">
        <f ca="1">IF(D80+SUM($C81:C81)&lt;0,-(D80+SUM($C81:C81)),0)</f>
        <v>0</v>
      </c>
      <c r="E81" s="7">
        <f ca="1">IF(E80+SUM($C81:D81)&lt;0,-(E80+SUM($C81:D81)),0)</f>
        <v>5132.515781249982</v>
      </c>
      <c r="F81" s="7">
        <f ca="1">IF(F80+SUM($C81:E81)&lt;0,-(F80+SUM($C81:E81)),0)</f>
        <v>44176.145439794258</v>
      </c>
      <c r="G81" s="7">
        <f ca="1">IF(G80+SUM($C81:F81)&lt;0,-(G80+SUM($C81:F81)),0)</f>
        <v>43173.249799062483</v>
      </c>
      <c r="H81" s="7">
        <f ca="1">IF(H80+SUM($C81:G81)&lt;0,-(H80+SUM($C81:G81)),0)</f>
        <v>31991.330068204174</v>
      </c>
      <c r="I81" s="7">
        <f ca="1">IF(I80+SUM($C81:H81)&lt;0,-(I80+SUM($C81:H81)),0)</f>
        <v>25749.047950394131</v>
      </c>
      <c r="J81" s="7">
        <f ca="1">IF(J80+SUM($C81:I81)&lt;0,-(J80+SUM($C81:I81)),0)</f>
        <v>42883.543410467741</v>
      </c>
      <c r="K81" s="7">
        <f ca="1">IF(K80+SUM($C81:J81)&lt;0,-(K80+SUM($C81:J81)),0)</f>
        <v>0</v>
      </c>
      <c r="L81" s="7">
        <f ca="1">IF(L80+SUM($C81:K81)&lt;0,-(L80+SUM($C81:K81)),0)</f>
        <v>20359.714430641237</v>
      </c>
      <c r="M81" s="7">
        <f ca="1">IF(M80+SUM($C81:L81)&lt;0,-(M80+SUM($C81:L81)),0)</f>
        <v>5671.528378644085</v>
      </c>
      <c r="N81" s="7">
        <f ca="1">IF(N80+SUM($C81:M81)&lt;0,-(N80+SUM($C81:M81)),0)</f>
        <v>5534.4539393962768</v>
      </c>
      <c r="O81" s="7">
        <f ca="1">IF(O80+SUM($C81:N81)&lt;0,-(O80+SUM($C81:N81)),0)</f>
        <v>5385.5867597058532</v>
      </c>
      <c r="P81" s="7">
        <f ca="1">IF(P80+SUM($C81:O81)&lt;0,-(P80+SUM($C81:O81)),0)</f>
        <v>5224.3810446778953</v>
      </c>
      <c r="Q81" s="7">
        <f ca="1">IF(Q80+SUM($C81:P81)&lt;0,-(Q80+SUM($C81:P81)),0)</f>
        <v>5050.2698252536356</v>
      </c>
      <c r="R81" s="7">
        <f ca="1">IF(R80+SUM($C81:Q81)&lt;0,-(R80+SUM($C81:Q81)),0)</f>
        <v>4862.6642029775539</v>
      </c>
      <c r="S81" s="7">
        <f ca="1">IF(S80+SUM($C81:R81)&lt;0,-(S80+SUM($C81:R81)),0)</f>
        <v>0</v>
      </c>
      <c r="T81" s="7">
        <f ca="1">IF(T80+SUM($C81:S81)&lt;0,-(T80+SUM($C81:S81)),0)</f>
        <v>0</v>
      </c>
      <c r="U81" s="7">
        <f ca="1">IF(U80+SUM($C81:T81)&lt;0,-(U80+SUM($C81:T81)),0)</f>
        <v>0</v>
      </c>
      <c r="V81" s="7">
        <f ca="1">IF(V80+SUM($C81:U81)&lt;0,-(V80+SUM($C81:U81)),0)</f>
        <v>0</v>
      </c>
      <c r="W81" s="7">
        <f ca="1">IF(W80+SUM($C81:V81)&lt;0,-(W80+SUM($C81:V81)),0)</f>
        <v>0</v>
      </c>
      <c r="X81" s="7">
        <f ca="1">IF(X80+SUM($C81:W81)&lt;0,-(X80+SUM($C81:W81)),0)</f>
        <v>0</v>
      </c>
      <c r="Y81" s="7">
        <f ca="1">IF(Y80+SUM($C81:X81)&lt;0,-(Y80+SUM($C81:X81)),0)</f>
        <v>0</v>
      </c>
      <c r="Z81" s="7">
        <f ca="1">IF(Z80+SUM($C81:Y81)&lt;0,-(Z80+SUM($C81:Y81)),0)</f>
        <v>0</v>
      </c>
      <c r="AA81" s="7">
        <f ca="1">IF(AA80+SUM($C81:Z81)&lt;0,-(AA80+SUM($C81:Z81)),0)</f>
        <v>0</v>
      </c>
      <c r="AB81" s="7">
        <f ca="1">IF(AB80+SUM($C81:AA81)&lt;0,-(AB80+SUM($C81:AA81)),0)</f>
        <v>0</v>
      </c>
      <c r="AC81" s="7">
        <f ca="1">IF(AC80+SUM($C81:AB81)&lt;0,-(AC80+SUM($C81:AB81)),0)</f>
        <v>0</v>
      </c>
      <c r="AD81" s="7">
        <f ca="1">IF(AD80+SUM($C81:AC81)&lt;0,-(AD80+SUM($C81:AC81)),0)</f>
        <v>0</v>
      </c>
      <c r="AE81" s="7">
        <f ca="1">IF(AE80+SUM($C81:AD81)&lt;0,-(AE80+SUM($C81:AD81)),0)</f>
        <v>0</v>
      </c>
      <c r="AF81" s="7">
        <f ca="1">IF(AF80+SUM($C81:AE81)&lt;0,-(AF80+SUM($C81:AE81)),0)</f>
        <v>0</v>
      </c>
      <c r="AG81" s="7">
        <f ca="1">IF(AG80+SUM($C81:AF81)&lt;0,-(AG80+SUM($C81:AF81)),0)</f>
        <v>0</v>
      </c>
      <c r="AH81" s="7">
        <f ca="1">IF(AH80+SUM($C81:AG81)&lt;0,-(AH80+SUM($C81:AG81)),0)</f>
        <v>0</v>
      </c>
      <c r="AI81" s="7">
        <f ca="1">IF(AI80+SUM($C81:AH81)&lt;0,-(AI80+SUM($C81:AH81)),0)</f>
        <v>0</v>
      </c>
      <c r="AJ81" s="7">
        <f ca="1">IF(AJ80+SUM($C81:AI81)&lt;0,-(AJ80+SUM($C81:AI81)),0)</f>
        <v>0</v>
      </c>
      <c r="AK81" s="7">
        <f ca="1">IF(AK80+SUM($C81:AJ81)&lt;0,-(AK80+SUM($C81:AJ81)),0)</f>
        <v>0</v>
      </c>
      <c r="AL81" s="7">
        <f ca="1">IF(AL80+SUM($C81:AK81)&lt;0,-(AL80+SUM($C81:AK81)),0)</f>
        <v>0</v>
      </c>
      <c r="AM81" s="7">
        <f ca="1">IF(AM80+SUM($C81:AL81)&lt;0,-(AM80+SUM($C81:AL81)),0)</f>
        <v>0</v>
      </c>
    </row>
    <row r="82" spans="1:39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</row>
    <row r="83" spans="1:39" ht="19">
      <c r="A83" s="25" t="s">
        <v>21</v>
      </c>
      <c r="B83" s="26"/>
      <c r="C83" s="27"/>
      <c r="D83" s="28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</row>
    <row r="84" spans="1:39">
      <c r="A84" s="1"/>
      <c r="C84" s="7"/>
      <c r="D84" s="11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</row>
    <row r="85" spans="1:39">
      <c r="A85" s="24" t="s">
        <v>27</v>
      </c>
      <c r="B85" s="26"/>
      <c r="C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</row>
    <row r="86" spans="1:39">
      <c r="A86" s="3" t="s">
        <v>22</v>
      </c>
      <c r="C86" s="7">
        <f>C69</f>
        <v>32400.000000000004</v>
      </c>
      <c r="D86" s="7">
        <f t="shared" ref="D86:AM86" ca="1" si="49">C89</f>
        <v>32400.000000000004</v>
      </c>
      <c r="E86" s="7">
        <f t="shared" ca="1" si="49"/>
        <v>34992.000000000007</v>
      </c>
      <c r="F86" s="7">
        <f t="shared" ca="1" si="49"/>
        <v>31956.499953947394</v>
      </c>
      <c r="G86" s="7">
        <f t="shared" ca="1" si="49"/>
        <v>0</v>
      </c>
      <c r="H86" s="7">
        <f t="shared" ca="1" si="49"/>
        <v>0</v>
      </c>
      <c r="I86" s="7">
        <f t="shared" ca="1" si="49"/>
        <v>0</v>
      </c>
      <c r="J86" s="7">
        <f t="shared" ca="1" si="49"/>
        <v>0</v>
      </c>
      <c r="K86" s="7">
        <f t="shared" ca="1" si="49"/>
        <v>0</v>
      </c>
      <c r="L86" s="7">
        <f t="shared" ca="1" si="49"/>
        <v>0</v>
      </c>
      <c r="M86" s="7">
        <f t="shared" ca="1" si="49"/>
        <v>0</v>
      </c>
      <c r="N86" s="7">
        <f t="shared" ca="1" si="49"/>
        <v>0</v>
      </c>
      <c r="O86" s="7">
        <f t="shared" ca="1" si="49"/>
        <v>0</v>
      </c>
      <c r="P86" s="7">
        <f t="shared" ca="1" si="49"/>
        <v>0</v>
      </c>
      <c r="Q86" s="7">
        <f t="shared" ca="1" si="49"/>
        <v>0</v>
      </c>
      <c r="R86" s="7">
        <f t="shared" ca="1" si="49"/>
        <v>0</v>
      </c>
      <c r="S86" s="7">
        <f t="shared" ca="1" si="49"/>
        <v>0</v>
      </c>
      <c r="T86" s="7">
        <f t="shared" ca="1" si="49"/>
        <v>0</v>
      </c>
      <c r="U86" s="7">
        <f t="shared" ca="1" si="49"/>
        <v>0</v>
      </c>
      <c r="V86" s="7">
        <f t="shared" ca="1" si="49"/>
        <v>0</v>
      </c>
      <c r="W86" s="7">
        <f t="shared" ca="1" si="49"/>
        <v>0</v>
      </c>
      <c r="X86" s="7">
        <f t="shared" ca="1" si="49"/>
        <v>0</v>
      </c>
      <c r="Y86" s="7">
        <f t="shared" ca="1" si="49"/>
        <v>0</v>
      </c>
      <c r="Z86" s="7">
        <f t="shared" ca="1" si="49"/>
        <v>0</v>
      </c>
      <c r="AA86" s="7">
        <f t="shared" ca="1" si="49"/>
        <v>0</v>
      </c>
      <c r="AB86" s="7">
        <f t="shared" ca="1" si="49"/>
        <v>0</v>
      </c>
      <c r="AC86" s="7">
        <f t="shared" ca="1" si="49"/>
        <v>0</v>
      </c>
      <c r="AD86" s="7">
        <f t="shared" ca="1" si="49"/>
        <v>0</v>
      </c>
      <c r="AE86" s="7">
        <f t="shared" ca="1" si="49"/>
        <v>0</v>
      </c>
      <c r="AF86" s="7">
        <f t="shared" ca="1" si="49"/>
        <v>0</v>
      </c>
      <c r="AG86" s="7">
        <f t="shared" ca="1" si="49"/>
        <v>0</v>
      </c>
      <c r="AH86" s="7">
        <f t="shared" ca="1" si="49"/>
        <v>0</v>
      </c>
      <c r="AI86" s="7">
        <f t="shared" ca="1" si="49"/>
        <v>0</v>
      </c>
      <c r="AJ86" s="7">
        <f t="shared" ca="1" si="49"/>
        <v>0</v>
      </c>
      <c r="AK86" s="7">
        <f t="shared" ca="1" si="49"/>
        <v>0</v>
      </c>
      <c r="AL86" s="7">
        <f t="shared" ca="1" si="49"/>
        <v>0</v>
      </c>
      <c r="AM86" s="7">
        <f t="shared" ca="1" si="49"/>
        <v>0</v>
      </c>
    </row>
    <row r="87" spans="1:39">
      <c r="A87" s="3" t="s">
        <v>23</v>
      </c>
      <c r="C87" s="7">
        <f ca="1">-MIN(C86, C81/(1-Inputs!$B$193))</f>
        <v>0</v>
      </c>
      <c r="D87" s="7">
        <f ca="1">-MIN(D86, D81/(1-Inputs!$B$193))</f>
        <v>0</v>
      </c>
      <c r="E87" s="7">
        <f ca="1">-MIN(E86, E81/(1-Inputs!$B$193))</f>
        <v>-5402.6481907894549</v>
      </c>
      <c r="F87" s="7">
        <f ca="1">-MIN(F86, F81/(1-Inputs!$B$193))</f>
        <v>-31956.499953947394</v>
      </c>
      <c r="G87" s="7">
        <f ca="1">-MIN(G86, G81/(1-Inputs!$B$193))</f>
        <v>0</v>
      </c>
      <c r="H87" s="7">
        <f ca="1">-MIN(H86, H81/(1-Inputs!$B$193))</f>
        <v>0</v>
      </c>
      <c r="I87" s="7">
        <f ca="1">-MIN(I86, I81/(1-Inputs!$B$193))</f>
        <v>0</v>
      </c>
      <c r="J87" s="7">
        <f ca="1">-MIN(J86, J81/(1-Inputs!$B$193))</f>
        <v>0</v>
      </c>
      <c r="K87" s="7">
        <f ca="1">-MIN(K86, K81/(1-Inputs!$B$193))</f>
        <v>0</v>
      </c>
      <c r="L87" s="7">
        <f ca="1">-MIN(L86, L81/(1-Inputs!$B$193))</f>
        <v>0</v>
      </c>
      <c r="M87" s="7">
        <f ca="1">-MIN(M86, M81/(1-Inputs!$B$193))</f>
        <v>0</v>
      </c>
      <c r="N87" s="7">
        <f ca="1">-MIN(N86, N81/(1-Inputs!$B$193))</f>
        <v>0</v>
      </c>
      <c r="O87" s="7">
        <f ca="1">-MIN(O86, O81/(1-Inputs!$B$193))</f>
        <v>0</v>
      </c>
      <c r="P87" s="7">
        <f ca="1">-MIN(P86, P81/(1-Inputs!$B$193))</f>
        <v>0</v>
      </c>
      <c r="Q87" s="7">
        <f ca="1">-MIN(Q86, Q81/(1-Inputs!$B$193))</f>
        <v>0</v>
      </c>
      <c r="R87" s="7">
        <f ca="1">-MIN(R86, R81/(1-Inputs!$B$193))</f>
        <v>0</v>
      </c>
      <c r="S87" s="7">
        <f ca="1">-MIN(S86, S81/(1-Inputs!$B$193))</f>
        <v>0</v>
      </c>
      <c r="T87" s="7">
        <f ca="1">-MIN(T86, T81/(1-Inputs!$B$193))</f>
        <v>0</v>
      </c>
      <c r="U87" s="7">
        <f ca="1">-MIN(U86, U81/(1-Inputs!$B$193))</f>
        <v>0</v>
      </c>
      <c r="V87" s="7">
        <f ca="1">-MIN(V86, V81/(1-Inputs!$B$193))</f>
        <v>0</v>
      </c>
      <c r="W87" s="7">
        <f ca="1">-MIN(W86, W81/(1-Inputs!$B$193))</f>
        <v>0</v>
      </c>
      <c r="X87" s="7">
        <f ca="1">-MIN(X86, X81/(1-Inputs!$B$193))</f>
        <v>0</v>
      </c>
      <c r="Y87" s="7">
        <f ca="1">-MIN(Y86, Y81/(1-Inputs!$B$193))</f>
        <v>0</v>
      </c>
      <c r="Z87" s="7">
        <f ca="1">-MIN(Z86, Z81/(1-Inputs!$B$193))</f>
        <v>0</v>
      </c>
      <c r="AA87" s="7">
        <f ca="1">-MIN(AA86, AA81/(1-Inputs!$B$193))</f>
        <v>0</v>
      </c>
      <c r="AB87" s="7">
        <f ca="1">-MIN(AB86, AB81/(1-Inputs!$B$193))</f>
        <v>0</v>
      </c>
      <c r="AC87" s="7">
        <f ca="1">-MIN(AC86, AC81/(1-Inputs!$B$193))</f>
        <v>0</v>
      </c>
      <c r="AD87" s="7">
        <f ca="1">-MIN(AD86, AD81/(1-Inputs!$B$193))</f>
        <v>0</v>
      </c>
      <c r="AE87" s="7">
        <f ca="1">-MIN(AE86, AE81/(1-Inputs!$B$193))</f>
        <v>0</v>
      </c>
      <c r="AF87" s="7">
        <f ca="1">-MIN(AF86, AF81/(1-Inputs!$B$193))</f>
        <v>0</v>
      </c>
      <c r="AG87" s="7">
        <f ca="1">-MIN(AG86, AG81/(1-Inputs!$B$193))</f>
        <v>0</v>
      </c>
      <c r="AH87" s="7">
        <f ca="1">-MIN(AH86, AH81/(1-Inputs!$B$193))</f>
        <v>0</v>
      </c>
      <c r="AI87" s="7">
        <f ca="1">-MIN(AI86, AI81/(1-Inputs!$B$193))</f>
        <v>0</v>
      </c>
      <c r="AJ87" s="7">
        <f ca="1">-MIN(AJ86, AJ81/(1-Inputs!$B$193))</f>
        <v>0</v>
      </c>
      <c r="AK87" s="7">
        <f ca="1">-MIN(AK86, AK81/(1-Inputs!$B$193))</f>
        <v>0</v>
      </c>
      <c r="AL87" s="7">
        <f ca="1">-MIN(AL86, AL81/(1-Inputs!$B$193))</f>
        <v>0</v>
      </c>
      <c r="AM87" s="7">
        <f ca="1">-MIN(AM86, AM81/(1-Inputs!$B$193))</f>
        <v>0</v>
      </c>
    </row>
    <row r="88" spans="1:39">
      <c r="A88" s="3" t="s">
        <v>24</v>
      </c>
      <c r="C88" s="7">
        <v>0</v>
      </c>
      <c r="D88" s="7">
        <f t="shared" ref="D88:G88" ca="1" si="50">SUM(D86:D87)*stinc</f>
        <v>2592.0000000000005</v>
      </c>
      <c r="E88" s="7">
        <f t="shared" ca="1" si="50"/>
        <v>2367.1481447368442</v>
      </c>
      <c r="F88" s="7">
        <f t="shared" ca="1" si="50"/>
        <v>0</v>
      </c>
      <c r="G88" s="7">
        <f t="shared" ca="1" si="50"/>
        <v>0</v>
      </c>
      <c r="H88" s="7">
        <f t="shared" ref="H88:I88" ca="1" si="51">SUM(H86:H87)*stinc</f>
        <v>0</v>
      </c>
      <c r="I88" s="7">
        <f t="shared" ca="1" si="51"/>
        <v>0</v>
      </c>
      <c r="J88" s="7">
        <f t="shared" ref="J88:AM88" ca="1" si="52">SUM(J86:J87)*stinc</f>
        <v>0</v>
      </c>
      <c r="K88" s="7">
        <f t="shared" ca="1" si="52"/>
        <v>0</v>
      </c>
      <c r="L88" s="7">
        <f t="shared" ca="1" si="52"/>
        <v>0</v>
      </c>
      <c r="M88" s="7">
        <f t="shared" ca="1" si="52"/>
        <v>0</v>
      </c>
      <c r="N88" s="7">
        <f t="shared" ca="1" si="52"/>
        <v>0</v>
      </c>
      <c r="O88" s="7">
        <f t="shared" ca="1" si="52"/>
        <v>0</v>
      </c>
      <c r="P88" s="7">
        <f t="shared" ca="1" si="52"/>
        <v>0</v>
      </c>
      <c r="Q88" s="7">
        <f t="shared" ca="1" si="52"/>
        <v>0</v>
      </c>
      <c r="R88" s="7">
        <f t="shared" ca="1" si="52"/>
        <v>0</v>
      </c>
      <c r="S88" s="7">
        <f t="shared" ca="1" si="52"/>
        <v>0</v>
      </c>
      <c r="T88" s="7">
        <f t="shared" ca="1" si="52"/>
        <v>0</v>
      </c>
      <c r="U88" s="7">
        <f t="shared" ca="1" si="52"/>
        <v>0</v>
      </c>
      <c r="V88" s="7">
        <f t="shared" ca="1" si="52"/>
        <v>0</v>
      </c>
      <c r="W88" s="7">
        <f t="shared" ca="1" si="52"/>
        <v>0</v>
      </c>
      <c r="X88" s="7">
        <f t="shared" ca="1" si="52"/>
        <v>0</v>
      </c>
      <c r="Y88" s="7">
        <f t="shared" ca="1" si="52"/>
        <v>0</v>
      </c>
      <c r="Z88" s="7">
        <f t="shared" ca="1" si="52"/>
        <v>0</v>
      </c>
      <c r="AA88" s="7">
        <f t="shared" ca="1" si="52"/>
        <v>0</v>
      </c>
      <c r="AB88" s="7">
        <f t="shared" ca="1" si="52"/>
        <v>0</v>
      </c>
      <c r="AC88" s="7">
        <f t="shared" ca="1" si="52"/>
        <v>0</v>
      </c>
      <c r="AD88" s="7">
        <f t="shared" ca="1" si="52"/>
        <v>0</v>
      </c>
      <c r="AE88" s="7">
        <f t="shared" ca="1" si="52"/>
        <v>0</v>
      </c>
      <c r="AF88" s="7">
        <f t="shared" ca="1" si="52"/>
        <v>0</v>
      </c>
      <c r="AG88" s="7">
        <f t="shared" ca="1" si="52"/>
        <v>0</v>
      </c>
      <c r="AH88" s="7">
        <f t="shared" ca="1" si="52"/>
        <v>0</v>
      </c>
      <c r="AI88" s="7">
        <f t="shared" ca="1" si="52"/>
        <v>0</v>
      </c>
      <c r="AJ88" s="7">
        <f t="shared" ca="1" si="52"/>
        <v>0</v>
      </c>
      <c r="AK88" s="7">
        <f t="shared" ca="1" si="52"/>
        <v>0</v>
      </c>
      <c r="AL88" s="7">
        <f t="shared" ca="1" si="52"/>
        <v>0</v>
      </c>
      <c r="AM88" s="7">
        <f t="shared" ca="1" si="52"/>
        <v>0</v>
      </c>
    </row>
    <row r="89" spans="1:39">
      <c r="A89" s="3" t="s">
        <v>25</v>
      </c>
      <c r="C89" s="7">
        <f ca="1">SUM(C86:C88)</f>
        <v>32400.000000000004</v>
      </c>
      <c r="D89" s="7">
        <f ca="1">SUM(D86:D88)</f>
        <v>34992.000000000007</v>
      </c>
      <c r="E89" s="7">
        <f t="shared" ref="E89:AM89" ca="1" si="53">SUM(E86:E88)</f>
        <v>31956.499953947394</v>
      </c>
      <c r="F89" s="7">
        <f t="shared" ca="1" si="53"/>
        <v>0</v>
      </c>
      <c r="G89" s="7">
        <f t="shared" ca="1" si="53"/>
        <v>0</v>
      </c>
      <c r="H89" s="7">
        <f t="shared" ca="1" si="53"/>
        <v>0</v>
      </c>
      <c r="I89" s="7">
        <f t="shared" ca="1" si="53"/>
        <v>0</v>
      </c>
      <c r="J89" s="7">
        <f t="shared" ca="1" si="53"/>
        <v>0</v>
      </c>
      <c r="K89" s="7">
        <f t="shared" ca="1" si="53"/>
        <v>0</v>
      </c>
      <c r="L89" s="7">
        <f t="shared" ca="1" si="53"/>
        <v>0</v>
      </c>
      <c r="M89" s="7">
        <f t="shared" ca="1" si="53"/>
        <v>0</v>
      </c>
      <c r="N89" s="7">
        <f t="shared" ca="1" si="53"/>
        <v>0</v>
      </c>
      <c r="O89" s="7">
        <f t="shared" ca="1" si="53"/>
        <v>0</v>
      </c>
      <c r="P89" s="7">
        <f t="shared" ca="1" si="53"/>
        <v>0</v>
      </c>
      <c r="Q89" s="7">
        <f t="shared" ca="1" si="53"/>
        <v>0</v>
      </c>
      <c r="R89" s="7">
        <f t="shared" ca="1" si="53"/>
        <v>0</v>
      </c>
      <c r="S89" s="7">
        <f t="shared" ca="1" si="53"/>
        <v>0</v>
      </c>
      <c r="T89" s="7">
        <f t="shared" ca="1" si="53"/>
        <v>0</v>
      </c>
      <c r="U89" s="7">
        <f t="shared" ca="1" si="53"/>
        <v>0</v>
      </c>
      <c r="V89" s="7">
        <f t="shared" ca="1" si="53"/>
        <v>0</v>
      </c>
      <c r="W89" s="7">
        <f t="shared" ca="1" si="53"/>
        <v>0</v>
      </c>
      <c r="X89" s="7">
        <f t="shared" ca="1" si="53"/>
        <v>0</v>
      </c>
      <c r="Y89" s="7">
        <f t="shared" ca="1" si="53"/>
        <v>0</v>
      </c>
      <c r="Z89" s="7">
        <f t="shared" ca="1" si="53"/>
        <v>0</v>
      </c>
      <c r="AA89" s="7">
        <f t="shared" ca="1" si="53"/>
        <v>0</v>
      </c>
      <c r="AB89" s="7">
        <f t="shared" ca="1" si="53"/>
        <v>0</v>
      </c>
      <c r="AC89" s="7">
        <f t="shared" ca="1" si="53"/>
        <v>0</v>
      </c>
      <c r="AD89" s="7">
        <f t="shared" ca="1" si="53"/>
        <v>0</v>
      </c>
      <c r="AE89" s="7">
        <f t="shared" ca="1" si="53"/>
        <v>0</v>
      </c>
      <c r="AF89" s="7">
        <f t="shared" ca="1" si="53"/>
        <v>0</v>
      </c>
      <c r="AG89" s="7">
        <f t="shared" ca="1" si="53"/>
        <v>0</v>
      </c>
      <c r="AH89" s="7">
        <f t="shared" ca="1" si="53"/>
        <v>0</v>
      </c>
      <c r="AI89" s="7">
        <f t="shared" ca="1" si="53"/>
        <v>0</v>
      </c>
      <c r="AJ89" s="7">
        <f t="shared" ca="1" si="53"/>
        <v>0</v>
      </c>
      <c r="AK89" s="7">
        <f t="shared" ca="1" si="53"/>
        <v>0</v>
      </c>
      <c r="AL89" s="7">
        <f t="shared" ca="1" si="53"/>
        <v>0</v>
      </c>
      <c r="AM89" s="7">
        <f t="shared" ca="1" si="53"/>
        <v>0</v>
      </c>
    </row>
    <row r="90" spans="1:39">
      <c r="A90" s="3" t="s">
        <v>26</v>
      </c>
      <c r="C90" s="7">
        <f ca="1">C87*Inputs!$B$193</f>
        <v>0</v>
      </c>
      <c r="D90" s="7">
        <f ca="1">D87*Inputs!$B$193</f>
        <v>0</v>
      </c>
      <c r="E90" s="7">
        <f ca="1">E87*Inputs!$B$193</f>
        <v>-270.13240953947275</v>
      </c>
      <c r="F90" s="7">
        <f ca="1">F87*Inputs!$B$193</f>
        <v>-1597.8249976973698</v>
      </c>
      <c r="G90" s="7">
        <f ca="1">G87*Inputs!$B$193</f>
        <v>0</v>
      </c>
      <c r="H90" s="7">
        <f ca="1">H87*Inputs!$B$193</f>
        <v>0</v>
      </c>
      <c r="I90" s="7">
        <f ca="1">I87*Inputs!$B$193</f>
        <v>0</v>
      </c>
      <c r="J90" s="7">
        <f ca="1">J87*Inputs!$B$193</f>
        <v>0</v>
      </c>
      <c r="K90" s="7">
        <f ca="1">K87*Inputs!$B$193</f>
        <v>0</v>
      </c>
      <c r="L90" s="7">
        <f ca="1">L87*Inputs!$B$193</f>
        <v>0</v>
      </c>
      <c r="M90" s="7">
        <f ca="1">M87*Inputs!$B$193</f>
        <v>0</v>
      </c>
      <c r="N90" s="7">
        <f ca="1">N87*Inputs!$B$193</f>
        <v>0</v>
      </c>
      <c r="O90" s="7">
        <f ca="1">O87*Inputs!$B$193</f>
        <v>0</v>
      </c>
      <c r="P90" s="7">
        <f ca="1">P87*Inputs!$B$193</f>
        <v>0</v>
      </c>
      <c r="Q90" s="7">
        <f ca="1">Q87*Inputs!$B$193</f>
        <v>0</v>
      </c>
      <c r="R90" s="7">
        <f ca="1">R87*Inputs!$B$193</f>
        <v>0</v>
      </c>
      <c r="S90" s="7">
        <f ca="1">S87*Inputs!$B$193</f>
        <v>0</v>
      </c>
      <c r="T90" s="7">
        <f ca="1">T87*Inputs!$B$193</f>
        <v>0</v>
      </c>
      <c r="U90" s="7">
        <f ca="1">U87*Inputs!$B$193</f>
        <v>0</v>
      </c>
      <c r="V90" s="7">
        <f ca="1">V87*Inputs!$B$193</f>
        <v>0</v>
      </c>
      <c r="W90" s="7">
        <f ca="1">W87*Inputs!$B$193</f>
        <v>0</v>
      </c>
      <c r="X90" s="7">
        <f ca="1">X87*Inputs!$B$193</f>
        <v>0</v>
      </c>
      <c r="Y90" s="7">
        <f ca="1">Y87*Inputs!$B$193</f>
        <v>0</v>
      </c>
      <c r="Z90" s="7">
        <f ca="1">Z87*Inputs!$B$193</f>
        <v>0</v>
      </c>
      <c r="AA90" s="7">
        <f ca="1">AA87*Inputs!$B$193</f>
        <v>0</v>
      </c>
      <c r="AB90" s="7">
        <f ca="1">AB87*Inputs!$B$193</f>
        <v>0</v>
      </c>
      <c r="AC90" s="7">
        <f ca="1">AC87*Inputs!$B$193</f>
        <v>0</v>
      </c>
      <c r="AD90" s="7">
        <f ca="1">AD87*Inputs!$B$193</f>
        <v>0</v>
      </c>
      <c r="AE90" s="7">
        <f ca="1">AE87*Inputs!$B$193</f>
        <v>0</v>
      </c>
      <c r="AF90" s="7">
        <f ca="1">AF87*Inputs!$B$193</f>
        <v>0</v>
      </c>
      <c r="AG90" s="7">
        <f ca="1">AG87*Inputs!$B$193</f>
        <v>0</v>
      </c>
      <c r="AH90" s="7">
        <f ca="1">AH87*Inputs!$B$193</f>
        <v>0</v>
      </c>
      <c r="AI90" s="7">
        <f ca="1">AI87*Inputs!$B$193</f>
        <v>0</v>
      </c>
      <c r="AJ90" s="7">
        <f ca="1">AJ87*Inputs!$B$193</f>
        <v>0</v>
      </c>
      <c r="AK90" s="7">
        <f ca="1">AK87*Inputs!$B$193</f>
        <v>0</v>
      </c>
      <c r="AL90" s="7">
        <f ca="1">AL87*Inputs!$B$193</f>
        <v>0</v>
      </c>
      <c r="AM90" s="7">
        <f ca="1">AM87*Inputs!$B$193</f>
        <v>0</v>
      </c>
    </row>
    <row r="91" spans="1:39">
      <c r="A91" s="3" t="s">
        <v>37</v>
      </c>
      <c r="C91" s="7">
        <f ca="1">-C87+C90</f>
        <v>0</v>
      </c>
      <c r="D91" s="7">
        <f t="shared" ref="D91:AM91" ca="1" si="54">-D87+D90</f>
        <v>0</v>
      </c>
      <c r="E91" s="7">
        <f t="shared" ca="1" si="54"/>
        <v>5132.515781249982</v>
      </c>
      <c r="F91" s="7">
        <f t="shared" ca="1" si="54"/>
        <v>30358.674956250023</v>
      </c>
      <c r="G91" s="7">
        <f t="shared" ca="1" si="54"/>
        <v>0</v>
      </c>
      <c r="H91" s="7">
        <f t="shared" ca="1" si="54"/>
        <v>0</v>
      </c>
      <c r="I91" s="7">
        <f t="shared" ca="1" si="54"/>
        <v>0</v>
      </c>
      <c r="J91" s="7">
        <f t="shared" ca="1" si="54"/>
        <v>0</v>
      </c>
      <c r="K91" s="7">
        <f t="shared" ca="1" si="54"/>
        <v>0</v>
      </c>
      <c r="L91" s="7">
        <f t="shared" ca="1" si="54"/>
        <v>0</v>
      </c>
      <c r="M91" s="7">
        <f t="shared" ca="1" si="54"/>
        <v>0</v>
      </c>
      <c r="N91" s="7">
        <f t="shared" ca="1" si="54"/>
        <v>0</v>
      </c>
      <c r="O91" s="7">
        <f t="shared" ca="1" si="54"/>
        <v>0</v>
      </c>
      <c r="P91" s="7">
        <f t="shared" ca="1" si="54"/>
        <v>0</v>
      </c>
      <c r="Q91" s="7">
        <f t="shared" ca="1" si="54"/>
        <v>0</v>
      </c>
      <c r="R91" s="7">
        <f t="shared" ca="1" si="54"/>
        <v>0</v>
      </c>
      <c r="S91" s="7">
        <f t="shared" ca="1" si="54"/>
        <v>0</v>
      </c>
      <c r="T91" s="7">
        <f t="shared" ca="1" si="54"/>
        <v>0</v>
      </c>
      <c r="U91" s="7">
        <f t="shared" ca="1" si="54"/>
        <v>0</v>
      </c>
      <c r="V91" s="7">
        <f t="shared" ca="1" si="54"/>
        <v>0</v>
      </c>
      <c r="W91" s="7">
        <f t="shared" ca="1" si="54"/>
        <v>0</v>
      </c>
      <c r="X91" s="7">
        <f t="shared" ca="1" si="54"/>
        <v>0</v>
      </c>
      <c r="Y91" s="7">
        <f t="shared" ca="1" si="54"/>
        <v>0</v>
      </c>
      <c r="Z91" s="7">
        <f t="shared" ca="1" si="54"/>
        <v>0</v>
      </c>
      <c r="AA91" s="7">
        <f t="shared" ca="1" si="54"/>
        <v>0</v>
      </c>
      <c r="AB91" s="7">
        <f t="shared" ca="1" si="54"/>
        <v>0</v>
      </c>
      <c r="AC91" s="7">
        <f t="shared" ca="1" si="54"/>
        <v>0</v>
      </c>
      <c r="AD91" s="7">
        <f t="shared" ca="1" si="54"/>
        <v>0</v>
      </c>
      <c r="AE91" s="7">
        <f t="shared" ca="1" si="54"/>
        <v>0</v>
      </c>
      <c r="AF91" s="7">
        <f t="shared" ca="1" si="54"/>
        <v>0</v>
      </c>
      <c r="AG91" s="7">
        <f t="shared" ca="1" si="54"/>
        <v>0</v>
      </c>
      <c r="AH91" s="7">
        <f t="shared" ca="1" si="54"/>
        <v>0</v>
      </c>
      <c r="AI91" s="7">
        <f t="shared" ca="1" si="54"/>
        <v>0</v>
      </c>
      <c r="AJ91" s="7">
        <f t="shared" ca="1" si="54"/>
        <v>0</v>
      </c>
      <c r="AK91" s="7">
        <f t="shared" ca="1" si="54"/>
        <v>0</v>
      </c>
      <c r="AL91" s="7">
        <f t="shared" ca="1" si="54"/>
        <v>0</v>
      </c>
      <c r="AM91" s="7">
        <f t="shared" ca="1" si="54"/>
        <v>0</v>
      </c>
    </row>
    <row r="92" spans="1:39">
      <c r="A92" s="4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</row>
    <row r="93" spans="1:39">
      <c r="A93" s="3" t="s">
        <v>77</v>
      </c>
      <c r="C93" s="7">
        <f ca="1">C80+SUM($C91:C91)</f>
        <v>37716.75</v>
      </c>
      <c r="D93" s="7">
        <f ca="1">D80+SUM($C91:D91)</f>
        <v>69048.493749999994</v>
      </c>
      <c r="E93" s="7">
        <f ca="1">E80+SUM($C91:E91)</f>
        <v>0</v>
      </c>
      <c r="F93" s="7">
        <f ca="1">F80+SUM($C91:F91)</f>
        <v>-13817.470483544239</v>
      </c>
      <c r="G93" s="7">
        <f ca="1">G80+SUM($C91:G91)</f>
        <v>-56990.720282606722</v>
      </c>
      <c r="H93" s="7">
        <f ca="1">H80+SUM($C91:H91)</f>
        <v>-88982.050350810896</v>
      </c>
      <c r="I93" s="7">
        <f ca="1">I80+SUM($C91:I91)</f>
        <v>-114731.09830120503</v>
      </c>
      <c r="J93" s="7">
        <f ca="1">J80+SUM($C91:J91)</f>
        <v>-157614.64171167277</v>
      </c>
      <c r="K93" s="7">
        <f ca="1">K80+SUM($C91:K91)</f>
        <v>-121111.92277674124</v>
      </c>
      <c r="L93" s="7">
        <f ca="1">L80+SUM($C91:L91)</f>
        <v>-177974.35614231401</v>
      </c>
      <c r="M93" s="7">
        <f ca="1">M80+SUM($C91:M91)</f>
        <v>-183645.88452095809</v>
      </c>
      <c r="N93" s="7">
        <f ca="1">N80+SUM($C91:N91)</f>
        <v>-189180.33846035437</v>
      </c>
      <c r="O93" s="7">
        <f ca="1">O80+SUM($C91:O91)</f>
        <v>-194565.92522006022</v>
      </c>
      <c r="P93" s="7">
        <f ca="1">P80+SUM($C91:P91)</f>
        <v>-199790.30626473812</v>
      </c>
      <c r="Q93" s="7">
        <f ca="1">Q80+SUM($C91:Q91)</f>
        <v>-204840.57608999175</v>
      </c>
      <c r="R93" s="7">
        <f ca="1">R80+SUM($C91:R91)</f>
        <v>-209703.24029296931</v>
      </c>
      <c r="S93" s="7">
        <f ca="1">S80+SUM($C91:S91)</f>
        <v>-196847.02653828196</v>
      </c>
      <c r="T93" s="7">
        <f ca="1">T80+SUM($C91:T91)</f>
        <v>-175728.33954772906</v>
      </c>
      <c r="U93" s="7">
        <f ca="1">U80+SUM($C91:U91)</f>
        <v>-153738.71949871597</v>
      </c>
      <c r="V93" s="7">
        <f ca="1">V80+SUM($C91:V91)</f>
        <v>-130846.10408827025</v>
      </c>
      <c r="W93" s="7">
        <f ca="1">W80+SUM($C91:W91)</f>
        <v>-107017.32078654986</v>
      </c>
      <c r="X93" s="7">
        <f ca="1">X80+SUM($C91:X91)</f>
        <v>-102373.0320366644</v>
      </c>
      <c r="Y93" s="7">
        <f ca="1">Y80+SUM($C91:Y91)</f>
        <v>-97226.624944402167</v>
      </c>
      <c r="Z93" s="7">
        <f ca="1">Z80+SUM($C91:Z91)</f>
        <v>-91553.966217494686</v>
      </c>
      <c r="AA93" s="7">
        <f ca="1">AA80+SUM($C91:AA91)</f>
        <v>-85329.971821355735</v>
      </c>
      <c r="AB93" s="7">
        <f ca="1">AB80+SUM($C91:AB91)</f>
        <v>-78528.572788222795</v>
      </c>
      <c r="AC93" s="7">
        <f ca="1">AC80+SUM($C91:AC91)</f>
        <v>-71122.679858858231</v>
      </c>
      <c r="AD93" s="7">
        <f ca="1">AD80+SUM($C91:AD91)</f>
        <v>-53345.146826745651</v>
      </c>
      <c r="AE93" s="7">
        <f ca="1">AE80+SUM($C91:AE91)</f>
        <v>-34662.258000174465</v>
      </c>
      <c r="AF93" s="7">
        <f ca="1">AF80+SUM($C91:AF91)</f>
        <v>-15037.5519602235</v>
      </c>
      <c r="AG93" s="7">
        <f ca="1">AG80+SUM($C91:AG91)</f>
        <v>5566.7590732231911</v>
      </c>
      <c r="AH93" s="7">
        <f ca="1">AH80+SUM($C91:AH91)</f>
        <v>27712.012500821671</v>
      </c>
      <c r="AI93" s="7">
        <f ca="1">AI80+SUM($C91:AI91)</f>
        <v>51483.482624640979</v>
      </c>
      <c r="AJ93" s="7">
        <f ca="1">AJ80+SUM($C91:AJ91)</f>
        <v>76964.397033751375</v>
      </c>
      <c r="AK93" s="7">
        <f ca="1">AK80+SUM($C91:AK91)</f>
        <v>104241.60103737112</v>
      </c>
      <c r="AL93" s="7">
        <f ca="1">AL80+SUM($C91:AL91)</f>
        <v>133405.70071541451</v>
      </c>
      <c r="AM93" s="7">
        <f ca="1">AM80+SUM($C91:AM91)</f>
        <v>164551.21128594576</v>
      </c>
    </row>
    <row r="94" spans="1:39">
      <c r="A94" s="3" t="s">
        <v>20</v>
      </c>
      <c r="C94" s="7">
        <f ca="1">IF(C93&lt;0,-C93,0)</f>
        <v>0</v>
      </c>
      <c r="D94" s="7">
        <f ca="1">IF(D93+SUM($C94:C94)&lt;0,-(D93+SUM($C94:C94)),0)</f>
        <v>0</v>
      </c>
      <c r="E94" s="7">
        <f ca="1">IF(E93+SUM($C94:D94)&lt;0,-(E93+SUM($C94:D94)),0)</f>
        <v>0</v>
      </c>
      <c r="F94" s="7">
        <f ca="1">IF(F93+SUM($C94:E94)&lt;0,-(F93+SUM($C94:E94)),0)</f>
        <v>13817.470483544239</v>
      </c>
      <c r="G94" s="7">
        <f ca="1">IF(G93+SUM($C94:F94)&lt;0,-(G93+SUM($C94:F94)),0)</f>
        <v>43173.249799062483</v>
      </c>
      <c r="H94" s="7">
        <f ca="1">IF(H93+SUM($C94:G94)&lt;0,-(H93+SUM($C94:G94)),0)</f>
        <v>31991.330068204174</v>
      </c>
      <c r="I94" s="7">
        <f ca="1">IF(I93+SUM($C94:H94)&lt;0,-(I93+SUM($C94:H94)),0)</f>
        <v>25749.047950394131</v>
      </c>
      <c r="J94" s="7">
        <f ca="1">IF(J93+SUM($C94:I94)&lt;0,-(J93+SUM($C94:I94)),0)</f>
        <v>42883.543410467741</v>
      </c>
      <c r="K94" s="7">
        <f ca="1">IF(K93+SUM($C94:J94)&lt;0,-(K93+SUM($C94:J94)),0)</f>
        <v>0</v>
      </c>
      <c r="L94" s="7">
        <f ca="1">IF(L93+SUM($C94:K94)&lt;0,-(L93+SUM($C94:K94)),0)</f>
        <v>20359.714430641237</v>
      </c>
      <c r="M94" s="7">
        <f ca="1">IF(M93+SUM($C94:L94)&lt;0,-(M93+SUM($C94:L94)),0)</f>
        <v>5671.528378644085</v>
      </c>
      <c r="N94" s="7">
        <f ca="1">IF(N93+SUM($C94:M94)&lt;0,-(N93+SUM($C94:M94)),0)</f>
        <v>5534.4539393962768</v>
      </c>
      <c r="O94" s="7">
        <f ca="1">IF(O93+SUM($C94:N94)&lt;0,-(O93+SUM($C94:N94)),0)</f>
        <v>5385.5867597058532</v>
      </c>
      <c r="P94" s="7">
        <f ca="1">IF(P93+SUM($C94:O94)&lt;0,-(P93+SUM($C94:O94)),0)</f>
        <v>5224.3810446778953</v>
      </c>
      <c r="Q94" s="7">
        <f ca="1">IF(Q93+SUM($C94:P94)&lt;0,-(Q93+SUM($C94:P94)),0)</f>
        <v>5050.2698252536356</v>
      </c>
      <c r="R94" s="7">
        <f ca="1">IF(R93+SUM($C94:Q94)&lt;0,-(R93+SUM($C94:Q94)),0)</f>
        <v>4862.6642029775539</v>
      </c>
      <c r="S94" s="7">
        <f ca="1">IF(S93+SUM($C94:R94)&lt;0,-(S93+SUM($C94:R94)),0)</f>
        <v>0</v>
      </c>
      <c r="T94" s="7">
        <f ca="1">IF(T93+SUM($C94:S94)&lt;0,-(T93+SUM($C94:S94)),0)</f>
        <v>0</v>
      </c>
      <c r="U94" s="7">
        <f ca="1">IF(U93+SUM($C94:T94)&lt;0,-(U93+SUM($C94:T94)),0)</f>
        <v>0</v>
      </c>
      <c r="V94" s="7">
        <f ca="1">IF(V93+SUM($C94:U94)&lt;0,-(V93+SUM($C94:U94)),0)</f>
        <v>0</v>
      </c>
      <c r="W94" s="7">
        <f ca="1">IF(W93+SUM($C94:V94)&lt;0,-(W93+SUM($C94:V94)),0)</f>
        <v>0</v>
      </c>
      <c r="X94" s="7">
        <f ca="1">IF(X93+SUM($C94:W94)&lt;0,-(X93+SUM($C94:W94)),0)</f>
        <v>0</v>
      </c>
      <c r="Y94" s="7">
        <f ca="1">IF(Y93+SUM($C94:X94)&lt;0,-(Y93+SUM($C94:X94)),0)</f>
        <v>0</v>
      </c>
      <c r="Z94" s="7">
        <f ca="1">IF(Z93+SUM($C94:Y94)&lt;0,-(Z93+SUM($C94:Y94)),0)</f>
        <v>0</v>
      </c>
      <c r="AA94" s="7">
        <f ca="1">IF(AA93+SUM($C94:Z94)&lt;0,-(AA93+SUM($C94:Z94)),0)</f>
        <v>0</v>
      </c>
      <c r="AB94" s="7">
        <f ca="1">IF(AB93+SUM($C94:AA94)&lt;0,-(AB93+SUM($C94:AA94)),0)</f>
        <v>0</v>
      </c>
      <c r="AC94" s="7">
        <f ca="1">IF(AC93+SUM($C94:AB94)&lt;0,-(AC93+SUM($C94:AB94)),0)</f>
        <v>0</v>
      </c>
      <c r="AD94" s="7">
        <f ca="1">IF(AD93+SUM($C94:AC94)&lt;0,-(AD93+SUM($C94:AC94)),0)</f>
        <v>0</v>
      </c>
      <c r="AE94" s="7">
        <f ca="1">IF(AE93+SUM($C94:AD94)&lt;0,-(AE93+SUM($C94:AD94)),0)</f>
        <v>0</v>
      </c>
      <c r="AF94" s="7">
        <f ca="1">IF(AF93+SUM($C94:AE94)&lt;0,-(AF93+SUM($C94:AE94)),0)</f>
        <v>0</v>
      </c>
      <c r="AG94" s="7">
        <f ca="1">IF(AG93+SUM($C94:AF94)&lt;0,-(AG93+SUM($C94:AF94)),0)</f>
        <v>0</v>
      </c>
      <c r="AH94" s="7">
        <f ca="1">IF(AH93+SUM($C94:AG94)&lt;0,-(AH93+SUM($C94:AG94)),0)</f>
        <v>0</v>
      </c>
      <c r="AI94" s="7">
        <f ca="1">IF(AI93+SUM($C94:AH94)&lt;0,-(AI93+SUM($C94:AH94)),0)</f>
        <v>0</v>
      </c>
      <c r="AJ94" s="7">
        <f ca="1">IF(AJ93+SUM($C94:AI94)&lt;0,-(AJ93+SUM($C94:AI94)),0)</f>
        <v>0</v>
      </c>
      <c r="AK94" s="7">
        <f ca="1">IF(AK93+SUM($C94:AJ94)&lt;0,-(AK93+SUM($C94:AJ94)),0)</f>
        <v>0</v>
      </c>
      <c r="AL94" s="7">
        <f ca="1">IF(AL93+SUM($C94:AK94)&lt;0,-(AL93+SUM($C94:AK94)),0)</f>
        <v>0</v>
      </c>
      <c r="AM94" s="7">
        <f ca="1">IF(AM93+SUM($C94:AL94)&lt;0,-(AM93+SUM($C94:AL94)),0)</f>
        <v>0</v>
      </c>
    </row>
    <row r="95" spans="1:39">
      <c r="A95" s="3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</row>
    <row r="96" spans="1:39">
      <c r="A96" s="24" t="str">
        <f>IF(Inputs!$B$197=6,IFERROR(_xlfn.XLOOKUP($B96,Inputs!$B$198:$B$202,Inputs!$A$198:$A$202,,0,1),""),IFERROR(_xlfn.XLOOKUP($B96,Inputs!$C$198:$C$202,Inputs!$A$198:$A$202,,0,1),""))</f>
        <v>Gudja</v>
      </c>
      <c r="B96" s="26">
        <v>1</v>
      </c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</row>
    <row r="97" spans="1:39">
      <c r="A97" s="3" t="s">
        <v>22</v>
      </c>
      <c r="C97" s="7">
        <f>IFERROR(VLOOKUP($A96,$A$60:$H$78,C$1+2,FALSE),0)</f>
        <v>82400</v>
      </c>
      <c r="D97" s="7">
        <f ca="1">C100</f>
        <v>82400</v>
      </c>
      <c r="E97" s="7">
        <f t="shared" ref="E97:AM97" ca="1" si="55">D100</f>
        <v>84872</v>
      </c>
      <c r="F97" s="7">
        <f t="shared" ca="1" si="55"/>
        <v>0</v>
      </c>
      <c r="G97" s="7">
        <f t="shared" ca="1" si="55"/>
        <v>0</v>
      </c>
      <c r="H97" s="7">
        <f t="shared" ca="1" si="55"/>
        <v>0</v>
      </c>
      <c r="I97" s="7">
        <f t="shared" ca="1" si="55"/>
        <v>0</v>
      </c>
      <c r="J97" s="7">
        <f t="shared" ca="1" si="55"/>
        <v>0</v>
      </c>
      <c r="K97" s="7">
        <f t="shared" ca="1" si="55"/>
        <v>0</v>
      </c>
      <c r="L97" s="7">
        <f t="shared" ca="1" si="55"/>
        <v>0</v>
      </c>
      <c r="M97" s="7">
        <f t="shared" ca="1" si="55"/>
        <v>0</v>
      </c>
      <c r="N97" s="7">
        <f t="shared" ca="1" si="55"/>
        <v>0</v>
      </c>
      <c r="O97" s="7">
        <f t="shared" ca="1" si="55"/>
        <v>0</v>
      </c>
      <c r="P97" s="7">
        <f t="shared" ca="1" si="55"/>
        <v>0</v>
      </c>
      <c r="Q97" s="7">
        <f t="shared" ca="1" si="55"/>
        <v>0</v>
      </c>
      <c r="R97" s="7">
        <f t="shared" ca="1" si="55"/>
        <v>0</v>
      </c>
      <c r="S97" s="7">
        <f t="shared" ca="1" si="55"/>
        <v>0</v>
      </c>
      <c r="T97" s="7">
        <f t="shared" ca="1" si="55"/>
        <v>0</v>
      </c>
      <c r="U97" s="7">
        <f t="shared" ca="1" si="55"/>
        <v>0</v>
      </c>
      <c r="V97" s="7">
        <f t="shared" ca="1" si="55"/>
        <v>0</v>
      </c>
      <c r="W97" s="7">
        <f t="shared" ca="1" si="55"/>
        <v>0</v>
      </c>
      <c r="X97" s="7">
        <f t="shared" ca="1" si="55"/>
        <v>0</v>
      </c>
      <c r="Y97" s="7">
        <f t="shared" ca="1" si="55"/>
        <v>0</v>
      </c>
      <c r="Z97" s="7">
        <f t="shared" ca="1" si="55"/>
        <v>0</v>
      </c>
      <c r="AA97" s="7">
        <f t="shared" ca="1" si="55"/>
        <v>0</v>
      </c>
      <c r="AB97" s="7">
        <f t="shared" ca="1" si="55"/>
        <v>0</v>
      </c>
      <c r="AC97" s="7">
        <f t="shared" ca="1" si="55"/>
        <v>0</v>
      </c>
      <c r="AD97" s="7">
        <f t="shared" ca="1" si="55"/>
        <v>0</v>
      </c>
      <c r="AE97" s="7">
        <f t="shared" ca="1" si="55"/>
        <v>0</v>
      </c>
      <c r="AF97" s="7">
        <f t="shared" ca="1" si="55"/>
        <v>0</v>
      </c>
      <c r="AG97" s="7">
        <f t="shared" ca="1" si="55"/>
        <v>0</v>
      </c>
      <c r="AH97" s="7">
        <f t="shared" ca="1" si="55"/>
        <v>0</v>
      </c>
      <c r="AI97" s="7">
        <f t="shared" ca="1" si="55"/>
        <v>0</v>
      </c>
      <c r="AJ97" s="7">
        <f t="shared" ca="1" si="55"/>
        <v>0</v>
      </c>
      <c r="AK97" s="7">
        <f t="shared" ca="1" si="55"/>
        <v>0</v>
      </c>
      <c r="AL97" s="7">
        <f t="shared" ca="1" si="55"/>
        <v>0</v>
      </c>
      <c r="AM97" s="7">
        <f t="shared" ca="1" si="55"/>
        <v>0</v>
      </c>
    </row>
    <row r="98" spans="1:39">
      <c r="A98" s="3" t="s">
        <v>23</v>
      </c>
      <c r="C98" s="7">
        <f ca="1">-IF(SUM(C94:D94)&gt;0,C97,0)</f>
        <v>0</v>
      </c>
      <c r="D98" s="7">
        <f ca="1">-IF(E94&gt;0,D97,0)</f>
        <v>0</v>
      </c>
      <c r="E98" s="7">
        <f ca="1">-IF(F94&gt;0,E97,0)</f>
        <v>-84872</v>
      </c>
      <c r="F98" s="7">
        <f ca="1">-IF(G94&gt;0,F97,0)</f>
        <v>0</v>
      </c>
      <c r="G98" s="7">
        <f t="shared" ref="G98:AM98" ca="1" si="56">-IF(H94&gt;0,G97,0)</f>
        <v>0</v>
      </c>
      <c r="H98" s="7">
        <f t="shared" ca="1" si="56"/>
        <v>0</v>
      </c>
      <c r="I98" s="7">
        <f t="shared" ca="1" si="56"/>
        <v>0</v>
      </c>
      <c r="J98" s="7">
        <f t="shared" ca="1" si="56"/>
        <v>0</v>
      </c>
      <c r="K98" s="7">
        <f t="shared" ca="1" si="56"/>
        <v>0</v>
      </c>
      <c r="L98" s="7">
        <f t="shared" ca="1" si="56"/>
        <v>0</v>
      </c>
      <c r="M98" s="7">
        <f t="shared" ca="1" si="56"/>
        <v>0</v>
      </c>
      <c r="N98" s="7">
        <f t="shared" ca="1" si="56"/>
        <v>0</v>
      </c>
      <c r="O98" s="7">
        <f t="shared" ca="1" si="56"/>
        <v>0</v>
      </c>
      <c r="P98" s="7">
        <f t="shared" ca="1" si="56"/>
        <v>0</v>
      </c>
      <c r="Q98" s="7">
        <f t="shared" ca="1" si="56"/>
        <v>0</v>
      </c>
      <c r="R98" s="7">
        <f t="shared" ca="1" si="56"/>
        <v>0</v>
      </c>
      <c r="S98" s="7">
        <f t="shared" ca="1" si="56"/>
        <v>0</v>
      </c>
      <c r="T98" s="7">
        <f t="shared" ca="1" si="56"/>
        <v>0</v>
      </c>
      <c r="U98" s="7">
        <f t="shared" ca="1" si="56"/>
        <v>0</v>
      </c>
      <c r="V98" s="7">
        <f t="shared" ca="1" si="56"/>
        <v>0</v>
      </c>
      <c r="W98" s="7">
        <f t="shared" ca="1" si="56"/>
        <v>0</v>
      </c>
      <c r="X98" s="7">
        <f t="shared" ca="1" si="56"/>
        <v>0</v>
      </c>
      <c r="Y98" s="7">
        <f t="shared" ca="1" si="56"/>
        <v>0</v>
      </c>
      <c r="Z98" s="7">
        <f t="shared" ca="1" si="56"/>
        <v>0</v>
      </c>
      <c r="AA98" s="7">
        <f t="shared" ca="1" si="56"/>
        <v>0</v>
      </c>
      <c r="AB98" s="7">
        <f t="shared" ca="1" si="56"/>
        <v>0</v>
      </c>
      <c r="AC98" s="7">
        <f t="shared" ca="1" si="56"/>
        <v>0</v>
      </c>
      <c r="AD98" s="7">
        <f t="shared" ca="1" si="56"/>
        <v>0</v>
      </c>
      <c r="AE98" s="7">
        <f t="shared" ca="1" si="56"/>
        <v>0</v>
      </c>
      <c r="AF98" s="7">
        <f t="shared" ca="1" si="56"/>
        <v>0</v>
      </c>
      <c r="AG98" s="7">
        <f t="shared" ca="1" si="56"/>
        <v>0</v>
      </c>
      <c r="AH98" s="7">
        <f t="shared" ca="1" si="56"/>
        <v>0</v>
      </c>
      <c r="AI98" s="7">
        <f t="shared" ca="1" si="56"/>
        <v>0</v>
      </c>
      <c r="AJ98" s="7">
        <f t="shared" ca="1" si="56"/>
        <v>0</v>
      </c>
      <c r="AK98" s="7">
        <f t="shared" ca="1" si="56"/>
        <v>0</v>
      </c>
      <c r="AL98" s="7">
        <f t="shared" ca="1" si="56"/>
        <v>0</v>
      </c>
      <c r="AM98" s="7">
        <f t="shared" si="56"/>
        <v>0</v>
      </c>
    </row>
    <row r="99" spans="1:39">
      <c r="A99" s="3" t="s">
        <v>24</v>
      </c>
      <c r="C99" s="7">
        <v>0</v>
      </c>
      <c r="D99" s="7">
        <f t="shared" ref="D99:G99" ca="1" si="57">SUM(D97:D98)*princ</f>
        <v>2472</v>
      </c>
      <c r="E99" s="7">
        <f t="shared" ca="1" si="57"/>
        <v>0</v>
      </c>
      <c r="F99" s="7">
        <f t="shared" ca="1" si="57"/>
        <v>0</v>
      </c>
      <c r="G99" s="7">
        <f t="shared" ca="1" si="57"/>
        <v>0</v>
      </c>
      <c r="H99" s="7">
        <f t="shared" ref="H99:I99" ca="1" si="58">SUM(H97:H98)*princ</f>
        <v>0</v>
      </c>
      <c r="I99" s="7">
        <f t="shared" ca="1" si="58"/>
        <v>0</v>
      </c>
      <c r="J99" s="7">
        <f t="shared" ref="J99:AM99" ca="1" si="59">SUM(J97:J98)*princ</f>
        <v>0</v>
      </c>
      <c r="K99" s="7">
        <f t="shared" ca="1" si="59"/>
        <v>0</v>
      </c>
      <c r="L99" s="7">
        <f t="shared" ca="1" si="59"/>
        <v>0</v>
      </c>
      <c r="M99" s="7">
        <f t="shared" ca="1" si="59"/>
        <v>0</v>
      </c>
      <c r="N99" s="7">
        <f t="shared" ca="1" si="59"/>
        <v>0</v>
      </c>
      <c r="O99" s="7">
        <f t="shared" ca="1" si="59"/>
        <v>0</v>
      </c>
      <c r="P99" s="7">
        <f t="shared" ca="1" si="59"/>
        <v>0</v>
      </c>
      <c r="Q99" s="7">
        <f t="shared" ca="1" si="59"/>
        <v>0</v>
      </c>
      <c r="R99" s="7">
        <f t="shared" ca="1" si="59"/>
        <v>0</v>
      </c>
      <c r="S99" s="7">
        <f t="shared" ca="1" si="59"/>
        <v>0</v>
      </c>
      <c r="T99" s="7">
        <f t="shared" ca="1" si="59"/>
        <v>0</v>
      </c>
      <c r="U99" s="7">
        <f t="shared" ca="1" si="59"/>
        <v>0</v>
      </c>
      <c r="V99" s="7">
        <f t="shared" ca="1" si="59"/>
        <v>0</v>
      </c>
      <c r="W99" s="7">
        <f t="shared" ca="1" si="59"/>
        <v>0</v>
      </c>
      <c r="X99" s="7">
        <f t="shared" ca="1" si="59"/>
        <v>0</v>
      </c>
      <c r="Y99" s="7">
        <f t="shared" ca="1" si="59"/>
        <v>0</v>
      </c>
      <c r="Z99" s="7">
        <f t="shared" ca="1" si="59"/>
        <v>0</v>
      </c>
      <c r="AA99" s="7">
        <f t="shared" ca="1" si="59"/>
        <v>0</v>
      </c>
      <c r="AB99" s="7">
        <f t="shared" ca="1" si="59"/>
        <v>0</v>
      </c>
      <c r="AC99" s="7">
        <f t="shared" ca="1" si="59"/>
        <v>0</v>
      </c>
      <c r="AD99" s="7">
        <f t="shared" ca="1" si="59"/>
        <v>0</v>
      </c>
      <c r="AE99" s="7">
        <f t="shared" ca="1" si="59"/>
        <v>0</v>
      </c>
      <c r="AF99" s="7">
        <f t="shared" ca="1" si="59"/>
        <v>0</v>
      </c>
      <c r="AG99" s="7">
        <f t="shared" ca="1" si="59"/>
        <v>0</v>
      </c>
      <c r="AH99" s="7">
        <f t="shared" ca="1" si="59"/>
        <v>0</v>
      </c>
      <c r="AI99" s="7">
        <f t="shared" ca="1" si="59"/>
        <v>0</v>
      </c>
      <c r="AJ99" s="7">
        <f t="shared" ca="1" si="59"/>
        <v>0</v>
      </c>
      <c r="AK99" s="7">
        <f t="shared" ca="1" si="59"/>
        <v>0</v>
      </c>
      <c r="AL99" s="7">
        <f t="shared" ca="1" si="59"/>
        <v>0</v>
      </c>
      <c r="AM99" s="7">
        <f t="shared" ca="1" si="59"/>
        <v>0</v>
      </c>
    </row>
    <row r="100" spans="1:39">
      <c r="A100" s="3" t="s">
        <v>25</v>
      </c>
      <c r="C100" s="7">
        <f ca="1">SUM(C97:C99)</f>
        <v>82400</v>
      </c>
      <c r="D100" s="7">
        <f t="shared" ref="D100:AM100" ca="1" si="60">SUM(D97:D99)</f>
        <v>84872</v>
      </c>
      <c r="E100" s="7">
        <f t="shared" ca="1" si="60"/>
        <v>0</v>
      </c>
      <c r="F100" s="7">
        <f t="shared" ca="1" si="60"/>
        <v>0</v>
      </c>
      <c r="G100" s="7">
        <f t="shared" ca="1" si="60"/>
        <v>0</v>
      </c>
      <c r="H100" s="7">
        <f t="shared" ca="1" si="60"/>
        <v>0</v>
      </c>
      <c r="I100" s="7">
        <f t="shared" ca="1" si="60"/>
        <v>0</v>
      </c>
      <c r="J100" s="7">
        <f t="shared" ca="1" si="60"/>
        <v>0</v>
      </c>
      <c r="K100" s="7">
        <f t="shared" ca="1" si="60"/>
        <v>0</v>
      </c>
      <c r="L100" s="7">
        <f t="shared" ca="1" si="60"/>
        <v>0</v>
      </c>
      <c r="M100" s="7">
        <f t="shared" ca="1" si="60"/>
        <v>0</v>
      </c>
      <c r="N100" s="7">
        <f t="shared" ca="1" si="60"/>
        <v>0</v>
      </c>
      <c r="O100" s="7">
        <f t="shared" ca="1" si="60"/>
        <v>0</v>
      </c>
      <c r="P100" s="7">
        <f t="shared" ca="1" si="60"/>
        <v>0</v>
      </c>
      <c r="Q100" s="7">
        <f t="shared" ca="1" si="60"/>
        <v>0</v>
      </c>
      <c r="R100" s="7">
        <f t="shared" ca="1" si="60"/>
        <v>0</v>
      </c>
      <c r="S100" s="7">
        <f t="shared" ca="1" si="60"/>
        <v>0</v>
      </c>
      <c r="T100" s="7">
        <f t="shared" ca="1" si="60"/>
        <v>0</v>
      </c>
      <c r="U100" s="7">
        <f t="shared" ca="1" si="60"/>
        <v>0</v>
      </c>
      <c r="V100" s="7">
        <f t="shared" ca="1" si="60"/>
        <v>0</v>
      </c>
      <c r="W100" s="7">
        <f t="shared" ca="1" si="60"/>
        <v>0</v>
      </c>
      <c r="X100" s="7">
        <f t="shared" ca="1" si="60"/>
        <v>0</v>
      </c>
      <c r="Y100" s="7">
        <f t="shared" ca="1" si="60"/>
        <v>0</v>
      </c>
      <c r="Z100" s="7">
        <f t="shared" ca="1" si="60"/>
        <v>0</v>
      </c>
      <c r="AA100" s="7">
        <f t="shared" ca="1" si="60"/>
        <v>0</v>
      </c>
      <c r="AB100" s="7">
        <f t="shared" ca="1" si="60"/>
        <v>0</v>
      </c>
      <c r="AC100" s="7">
        <f t="shared" ca="1" si="60"/>
        <v>0</v>
      </c>
      <c r="AD100" s="7">
        <f t="shared" ca="1" si="60"/>
        <v>0</v>
      </c>
      <c r="AE100" s="7">
        <f t="shared" ca="1" si="60"/>
        <v>0</v>
      </c>
      <c r="AF100" s="7">
        <f t="shared" ca="1" si="60"/>
        <v>0</v>
      </c>
      <c r="AG100" s="7">
        <f t="shared" ca="1" si="60"/>
        <v>0</v>
      </c>
      <c r="AH100" s="7">
        <f t="shared" ca="1" si="60"/>
        <v>0</v>
      </c>
      <c r="AI100" s="7">
        <f t="shared" ca="1" si="60"/>
        <v>0</v>
      </c>
      <c r="AJ100" s="7">
        <f t="shared" ca="1" si="60"/>
        <v>0</v>
      </c>
      <c r="AK100" s="7">
        <f t="shared" ca="1" si="60"/>
        <v>0</v>
      </c>
      <c r="AL100" s="7">
        <f t="shared" ca="1" si="60"/>
        <v>0</v>
      </c>
      <c r="AM100" s="7">
        <f t="shared" ca="1" si="60"/>
        <v>0</v>
      </c>
    </row>
    <row r="101" spans="1:39">
      <c r="A101" s="3" t="s">
        <v>26</v>
      </c>
      <c r="C101" s="7">
        <f ca="1">C98*Inputs!$B$195</f>
        <v>0</v>
      </c>
      <c r="D101" s="7">
        <f ca="1">D98*Inputs!$B$195</f>
        <v>0</v>
      </c>
      <c r="E101" s="7">
        <f ca="1">E98*Inputs!$B$195</f>
        <v>-12730.8</v>
      </c>
      <c r="F101" s="7">
        <f ca="1">F98*Inputs!$B$195</f>
        <v>0</v>
      </c>
      <c r="G101" s="7">
        <f ca="1">G98*Inputs!$B$195</f>
        <v>0</v>
      </c>
      <c r="H101" s="7">
        <f ca="1">H98*Inputs!$B$195</f>
        <v>0</v>
      </c>
      <c r="I101" s="7">
        <f ca="1">I98*Inputs!$B$195</f>
        <v>0</v>
      </c>
      <c r="J101" s="7">
        <f ca="1">J98*Inputs!$B$195</f>
        <v>0</v>
      </c>
      <c r="K101" s="7">
        <f ca="1">K98*Inputs!$B$195</f>
        <v>0</v>
      </c>
      <c r="L101" s="7">
        <f ca="1">L98*Inputs!$B$195</f>
        <v>0</v>
      </c>
      <c r="M101" s="7">
        <f ca="1">M98*Inputs!$B$195</f>
        <v>0</v>
      </c>
      <c r="N101" s="7">
        <f ca="1">N98*Inputs!$B$195</f>
        <v>0</v>
      </c>
      <c r="O101" s="7">
        <f ca="1">O98*Inputs!$B$195</f>
        <v>0</v>
      </c>
      <c r="P101" s="7">
        <f ca="1">P98*Inputs!$B$195</f>
        <v>0</v>
      </c>
      <c r="Q101" s="7">
        <f ca="1">Q98*Inputs!$B$195</f>
        <v>0</v>
      </c>
      <c r="R101" s="7">
        <f ca="1">R98*Inputs!$B$195</f>
        <v>0</v>
      </c>
      <c r="S101" s="7">
        <f ca="1">S98*Inputs!$B$195</f>
        <v>0</v>
      </c>
      <c r="T101" s="7">
        <f ca="1">T98*Inputs!$B$195</f>
        <v>0</v>
      </c>
      <c r="U101" s="7">
        <f ca="1">U98*Inputs!$B$195</f>
        <v>0</v>
      </c>
      <c r="V101" s="7">
        <f ca="1">V98*Inputs!$B$195</f>
        <v>0</v>
      </c>
      <c r="W101" s="7">
        <f ca="1">W98*Inputs!$B$195</f>
        <v>0</v>
      </c>
      <c r="X101" s="7">
        <f ca="1">X98*Inputs!$B$195</f>
        <v>0</v>
      </c>
      <c r="Y101" s="7">
        <f ca="1">Y98*Inputs!$B$195</f>
        <v>0</v>
      </c>
      <c r="Z101" s="7">
        <f ca="1">Z98*Inputs!$B$195</f>
        <v>0</v>
      </c>
      <c r="AA101" s="7">
        <f ca="1">AA98*Inputs!$B$195</f>
        <v>0</v>
      </c>
      <c r="AB101" s="7">
        <f ca="1">AB98*Inputs!$B$195</f>
        <v>0</v>
      </c>
      <c r="AC101" s="7">
        <f ca="1">AC98*Inputs!$B$195</f>
        <v>0</v>
      </c>
      <c r="AD101" s="7">
        <f ca="1">AD98*Inputs!$B$195</f>
        <v>0</v>
      </c>
      <c r="AE101" s="7">
        <f ca="1">AE98*Inputs!$B$195</f>
        <v>0</v>
      </c>
      <c r="AF101" s="7">
        <f ca="1">AF98*Inputs!$B$195</f>
        <v>0</v>
      </c>
      <c r="AG101" s="7">
        <f ca="1">AG98*Inputs!$B$195</f>
        <v>0</v>
      </c>
      <c r="AH101" s="7">
        <f ca="1">AH98*Inputs!$B$195</f>
        <v>0</v>
      </c>
      <c r="AI101" s="7">
        <f ca="1">AI98*Inputs!$B$195</f>
        <v>0</v>
      </c>
      <c r="AJ101" s="7">
        <f ca="1">AJ98*Inputs!$B$195</f>
        <v>0</v>
      </c>
      <c r="AK101" s="7">
        <f ca="1">AK98*Inputs!$B$195</f>
        <v>0</v>
      </c>
      <c r="AL101" s="7">
        <f ca="1">AL98*Inputs!$B$195</f>
        <v>0</v>
      </c>
      <c r="AM101" s="7">
        <f>AM98*Inputs!$B$195</f>
        <v>0</v>
      </c>
    </row>
    <row r="102" spans="1:39">
      <c r="A102" s="3" t="s">
        <v>31</v>
      </c>
      <c r="C102" s="7">
        <f t="shared" ref="C102:AM102" si="61">IFERROR(-IF(C97=0,VLOOKUP($A96,$8:$12,C$1+2,FALSE),0),0)</f>
        <v>0</v>
      </c>
      <c r="D102" s="7">
        <f t="shared" ca="1" si="61"/>
        <v>0</v>
      </c>
      <c r="E102" s="7">
        <f t="shared" ca="1" si="61"/>
        <v>0</v>
      </c>
      <c r="F102" s="7">
        <f t="shared" ca="1" si="61"/>
        <v>-5463.6350000000002</v>
      </c>
      <c r="G102" s="7">
        <f t="shared" ca="1" si="61"/>
        <v>-5627.5440500000004</v>
      </c>
      <c r="H102" s="7">
        <f t="shared" ca="1" si="61"/>
        <v>-5796.3703715000001</v>
      </c>
      <c r="I102" s="7">
        <f t="shared" ca="1" si="61"/>
        <v>-5970.2614826449999</v>
      </c>
      <c r="J102" s="7">
        <f t="shared" ca="1" si="61"/>
        <v>-6149.3693271243501</v>
      </c>
      <c r="K102" s="7">
        <f t="shared" ca="1" si="61"/>
        <v>-6333.8504069380806</v>
      </c>
      <c r="L102" s="7">
        <f t="shared" ca="1" si="61"/>
        <v>-6523.865919146223</v>
      </c>
      <c r="M102" s="7">
        <f t="shared" ca="1" si="61"/>
        <v>-6719.5818967206096</v>
      </c>
      <c r="N102" s="7">
        <f t="shared" ca="1" si="61"/>
        <v>-6921.1693536222283</v>
      </c>
      <c r="O102" s="7">
        <f t="shared" ca="1" si="61"/>
        <v>-7128.8044342308949</v>
      </c>
      <c r="P102" s="7">
        <f t="shared" ca="1" si="61"/>
        <v>-7342.6685672578224</v>
      </c>
      <c r="Q102" s="7">
        <f t="shared" ca="1" si="61"/>
        <v>-7562.9486242755574</v>
      </c>
      <c r="R102" s="7">
        <f t="shared" ca="1" si="61"/>
        <v>-7789.8370830038248</v>
      </c>
      <c r="S102" s="7">
        <f t="shared" ca="1" si="61"/>
        <v>-8023.53219549394</v>
      </c>
      <c r="T102" s="7">
        <f t="shared" ca="1" si="61"/>
        <v>-8264.2381613587586</v>
      </c>
      <c r="U102" s="7">
        <f t="shared" ca="1" si="61"/>
        <v>-8512.1653061995221</v>
      </c>
      <c r="V102" s="7">
        <f t="shared" ca="1" si="61"/>
        <v>-8767.5302653855088</v>
      </c>
      <c r="W102" s="7">
        <f t="shared" ca="1" si="61"/>
        <v>-9030.5561733470749</v>
      </c>
      <c r="X102" s="7">
        <f t="shared" ca="1" si="61"/>
        <v>-9301.4728585474877</v>
      </c>
      <c r="Y102" s="7">
        <f t="shared" ca="1" si="61"/>
        <v>-9580.5170443039133</v>
      </c>
      <c r="Z102" s="7">
        <f t="shared" ca="1" si="61"/>
        <v>-9867.9325556330314</v>
      </c>
      <c r="AA102" s="7">
        <f t="shared" ca="1" si="61"/>
        <v>-10163.970532302023</v>
      </c>
      <c r="AB102" s="7">
        <f t="shared" ca="1" si="61"/>
        <v>-10468.889648271084</v>
      </c>
      <c r="AC102" s="7">
        <f t="shared" ca="1" si="61"/>
        <v>-10782.956337719217</v>
      </c>
      <c r="AD102" s="7">
        <f t="shared" ca="1" si="61"/>
        <v>-11106.445027850794</v>
      </c>
      <c r="AE102" s="7">
        <f t="shared" ca="1" si="61"/>
        <v>-11439.638378686317</v>
      </c>
      <c r="AF102" s="7">
        <f t="shared" ca="1" si="61"/>
        <v>-11782.827530046907</v>
      </c>
      <c r="AG102" s="7">
        <f t="shared" ca="1" si="61"/>
        <v>-12136.312355948314</v>
      </c>
      <c r="AH102" s="7">
        <f t="shared" ca="1" si="61"/>
        <v>-12500.401726626764</v>
      </c>
      <c r="AI102" s="7">
        <f t="shared" ca="1" si="61"/>
        <v>-12875.413778425567</v>
      </c>
      <c r="AJ102" s="7">
        <f t="shared" ca="1" si="61"/>
        <v>-13261.676191778335</v>
      </c>
      <c r="AK102" s="7">
        <f t="shared" ca="1" si="61"/>
        <v>-13659.526477531686</v>
      </c>
      <c r="AL102" s="7">
        <f t="shared" ca="1" si="61"/>
        <v>-14069.312271857638</v>
      </c>
      <c r="AM102" s="7">
        <f t="shared" ca="1" si="61"/>
        <v>-14491.391640013368</v>
      </c>
    </row>
    <row r="103" spans="1:39">
      <c r="A103" s="3" t="s">
        <v>50</v>
      </c>
      <c r="C103" s="7">
        <f t="shared" ref="C103:AM103" si="62">IFERROR(IF(C97=0,VLOOKUP($A96,$40:$44,C$1+2,FALSE),0),0)</f>
        <v>0</v>
      </c>
      <c r="D103" s="7">
        <f t="shared" ca="1" si="62"/>
        <v>0</v>
      </c>
      <c r="E103" s="7">
        <f t="shared" ca="1" si="62"/>
        <v>0</v>
      </c>
      <c r="F103" s="7">
        <f t="shared" ca="1" si="62"/>
        <v>1076.8906249999998</v>
      </c>
      <c r="G103" s="7">
        <f t="shared" ca="1" si="62"/>
        <v>1103.8128906249997</v>
      </c>
      <c r="H103" s="7">
        <f t="shared" ca="1" si="62"/>
        <v>1131.4082128906246</v>
      </c>
      <c r="I103" s="7">
        <f t="shared" ca="1" si="62"/>
        <v>1159.6934182128903</v>
      </c>
      <c r="J103" s="7">
        <f t="shared" ca="1" si="62"/>
        <v>1188.6857536682126</v>
      </c>
      <c r="K103" s="7">
        <f t="shared" ca="1" si="62"/>
        <v>1218.4028975099177</v>
      </c>
      <c r="L103" s="7">
        <f t="shared" ca="1" si="62"/>
        <v>1248.8629699476655</v>
      </c>
      <c r="M103" s="7">
        <f t="shared" ca="1" si="62"/>
        <v>1280.084544196357</v>
      </c>
      <c r="N103" s="7">
        <f t="shared" ca="1" si="62"/>
        <v>1312.086657801266</v>
      </c>
      <c r="O103" s="7">
        <f t="shared" ca="1" si="62"/>
        <v>1344.8888242462974</v>
      </c>
      <c r="P103" s="7">
        <f t="shared" ca="1" si="62"/>
        <v>1378.5110448524549</v>
      </c>
      <c r="Q103" s="7">
        <f t="shared" ca="1" si="62"/>
        <v>1412.9738209737661</v>
      </c>
      <c r="R103" s="7">
        <f t="shared" ca="1" si="62"/>
        <v>1448.2981664981105</v>
      </c>
      <c r="S103" s="7">
        <f t="shared" ca="1" si="62"/>
        <v>1484.5056206605632</v>
      </c>
      <c r="T103" s="7">
        <f t="shared" ca="1" si="62"/>
        <v>1521.6182611770771</v>
      </c>
      <c r="U103" s="7">
        <f t="shared" ca="1" si="62"/>
        <v>1559.6587177065039</v>
      </c>
      <c r="V103" s="7">
        <f t="shared" ca="1" si="62"/>
        <v>1598.6501856491666</v>
      </c>
      <c r="W103" s="7">
        <f t="shared" ca="1" si="62"/>
        <v>1638.6164402903955</v>
      </c>
      <c r="X103" s="7">
        <f t="shared" ca="1" si="62"/>
        <v>1679.5818512976552</v>
      </c>
      <c r="Y103" s="7">
        <f t="shared" ca="1" si="62"/>
        <v>1721.5713975800966</v>
      </c>
      <c r="Z103" s="7">
        <f t="shared" ca="1" si="62"/>
        <v>1764.6106825195991</v>
      </c>
      <c r="AA103" s="7">
        <f t="shared" ca="1" si="62"/>
        <v>1808.725949582589</v>
      </c>
      <c r="AB103" s="7">
        <f t="shared" ca="1" si="62"/>
        <v>1853.9440983221534</v>
      </c>
      <c r="AC103" s="7">
        <f t="shared" ca="1" si="62"/>
        <v>1900.292700780207</v>
      </c>
      <c r="AD103" s="7">
        <f t="shared" ca="1" si="62"/>
        <v>1947.8000182997121</v>
      </c>
      <c r="AE103" s="7">
        <f t="shared" ca="1" si="62"/>
        <v>1996.4950187572049</v>
      </c>
      <c r="AF103" s="7">
        <f t="shared" ca="1" si="62"/>
        <v>2046.4073942261352</v>
      </c>
      <c r="AG103" s="7">
        <f t="shared" ca="1" si="62"/>
        <v>2097.5675790817882</v>
      </c>
      <c r="AH103" s="7">
        <f t="shared" ca="1" si="62"/>
        <v>2150.0067685588333</v>
      </c>
      <c r="AI103" s="7">
        <f t="shared" ca="1" si="62"/>
        <v>2203.7569377728037</v>
      </c>
      <c r="AJ103" s="7">
        <f t="shared" ca="1" si="62"/>
        <v>2258.8508612171236</v>
      </c>
      <c r="AK103" s="7">
        <f t="shared" ca="1" si="62"/>
        <v>2315.3221327475517</v>
      </c>
      <c r="AL103" s="7">
        <f t="shared" ca="1" si="62"/>
        <v>2373.20518606624</v>
      </c>
      <c r="AM103" s="7">
        <f t="shared" ca="1" si="62"/>
        <v>2432.5353157178965</v>
      </c>
    </row>
    <row r="104" spans="1:39">
      <c r="A104" s="3" t="s">
        <v>36</v>
      </c>
      <c r="B104" s="14" t="str">
        <f>A96</f>
        <v>Gudja</v>
      </c>
      <c r="C104" s="7">
        <f t="shared" ref="C104:AM104" ca="1" si="63">IF(AND(C97&gt;0,C100=0),VLOOKUP($A96,$72:$76,C$1+2,FALSE),0)</f>
        <v>0</v>
      </c>
      <c r="D104" s="7">
        <f t="shared" ca="1" si="63"/>
        <v>0</v>
      </c>
      <c r="E104" s="7">
        <f t="shared" ca="1" si="63"/>
        <v>-2003.5381319482622</v>
      </c>
      <c r="F104" s="7">
        <f t="shared" ca="1" si="63"/>
        <v>0</v>
      </c>
      <c r="G104" s="7">
        <f t="shared" ca="1" si="63"/>
        <v>0</v>
      </c>
      <c r="H104" s="7">
        <f t="shared" ca="1" si="63"/>
        <v>0</v>
      </c>
      <c r="I104" s="7">
        <f t="shared" ca="1" si="63"/>
        <v>0</v>
      </c>
      <c r="J104" s="7">
        <f t="shared" ca="1" si="63"/>
        <v>0</v>
      </c>
      <c r="K104" s="7">
        <f t="shared" ca="1" si="63"/>
        <v>0</v>
      </c>
      <c r="L104" s="7">
        <f t="shared" ca="1" si="63"/>
        <v>0</v>
      </c>
      <c r="M104" s="7">
        <f t="shared" ca="1" si="63"/>
        <v>0</v>
      </c>
      <c r="N104" s="7">
        <f t="shared" ca="1" si="63"/>
        <v>0</v>
      </c>
      <c r="O104" s="7">
        <f t="shared" ca="1" si="63"/>
        <v>0</v>
      </c>
      <c r="P104" s="7">
        <f t="shared" ca="1" si="63"/>
        <v>0</v>
      </c>
      <c r="Q104" s="7">
        <f t="shared" ca="1" si="63"/>
        <v>0</v>
      </c>
      <c r="R104" s="7">
        <f t="shared" ca="1" si="63"/>
        <v>0</v>
      </c>
      <c r="S104" s="7">
        <f t="shared" ca="1" si="63"/>
        <v>0</v>
      </c>
      <c r="T104" s="7">
        <f t="shared" ca="1" si="63"/>
        <v>0</v>
      </c>
      <c r="U104" s="7">
        <f t="shared" ca="1" si="63"/>
        <v>0</v>
      </c>
      <c r="V104" s="7">
        <f t="shared" ca="1" si="63"/>
        <v>0</v>
      </c>
      <c r="W104" s="7">
        <f t="shared" ca="1" si="63"/>
        <v>0</v>
      </c>
      <c r="X104" s="7">
        <f t="shared" ca="1" si="63"/>
        <v>0</v>
      </c>
      <c r="Y104" s="7">
        <f t="shared" ca="1" si="63"/>
        <v>0</v>
      </c>
      <c r="Z104" s="7">
        <f t="shared" ca="1" si="63"/>
        <v>0</v>
      </c>
      <c r="AA104" s="7">
        <f t="shared" ca="1" si="63"/>
        <v>0</v>
      </c>
      <c r="AB104" s="7">
        <f t="shared" ca="1" si="63"/>
        <v>0</v>
      </c>
      <c r="AC104" s="7">
        <f t="shared" ca="1" si="63"/>
        <v>0</v>
      </c>
      <c r="AD104" s="7">
        <f t="shared" ca="1" si="63"/>
        <v>0</v>
      </c>
      <c r="AE104" s="7">
        <f t="shared" ca="1" si="63"/>
        <v>0</v>
      </c>
      <c r="AF104" s="7">
        <f t="shared" ca="1" si="63"/>
        <v>0</v>
      </c>
      <c r="AG104" s="7">
        <f t="shared" ca="1" si="63"/>
        <v>0</v>
      </c>
      <c r="AH104" s="7">
        <f t="shared" ca="1" si="63"/>
        <v>0</v>
      </c>
      <c r="AI104" s="7">
        <f t="shared" ca="1" si="63"/>
        <v>0</v>
      </c>
      <c r="AJ104" s="7">
        <f t="shared" ca="1" si="63"/>
        <v>0</v>
      </c>
      <c r="AK104" s="7">
        <f t="shared" ca="1" si="63"/>
        <v>0</v>
      </c>
      <c r="AL104" s="7">
        <f t="shared" ca="1" si="63"/>
        <v>0</v>
      </c>
      <c r="AM104" s="7">
        <f t="shared" ca="1" si="63"/>
        <v>0</v>
      </c>
    </row>
    <row r="105" spans="1:39">
      <c r="A105" s="3" t="s">
        <v>37</v>
      </c>
      <c r="C105" s="7">
        <f ca="1">-C98+SUM(C101:C104)</f>
        <v>0</v>
      </c>
      <c r="D105" s="7">
        <f t="shared" ref="D105" ca="1" si="64">-D98+SUM(D101:D104)</f>
        <v>0</v>
      </c>
      <c r="E105" s="7">
        <f t="shared" ref="E105:AM105" ca="1" si="65">-E98+SUM(E101:E104)</f>
        <v>70137.661868051742</v>
      </c>
      <c r="F105" s="7">
        <f t="shared" ca="1" si="65"/>
        <v>-4386.7443750000002</v>
      </c>
      <c r="G105" s="7">
        <f t="shared" ca="1" si="65"/>
        <v>-4523.731159375001</v>
      </c>
      <c r="H105" s="7">
        <f t="shared" ca="1" si="65"/>
        <v>-4664.9621586093754</v>
      </c>
      <c r="I105" s="7">
        <f t="shared" ca="1" si="65"/>
        <v>-4810.5680644321092</v>
      </c>
      <c r="J105" s="7">
        <f t="shared" ca="1" si="65"/>
        <v>-4960.6835734561373</v>
      </c>
      <c r="K105" s="7">
        <f t="shared" ca="1" si="65"/>
        <v>-5115.4475094281624</v>
      </c>
      <c r="L105" s="7">
        <f t="shared" ca="1" si="65"/>
        <v>-5275.002949198557</v>
      </c>
      <c r="M105" s="7">
        <f t="shared" ca="1" si="65"/>
        <v>-5439.4973525242531</v>
      </c>
      <c r="N105" s="7">
        <f t="shared" ca="1" si="65"/>
        <v>-5609.0826958209618</v>
      </c>
      <c r="O105" s="7">
        <f t="shared" ca="1" si="65"/>
        <v>-5783.9156099845977</v>
      </c>
      <c r="P105" s="7">
        <f t="shared" ca="1" si="65"/>
        <v>-5964.1575224053677</v>
      </c>
      <c r="Q105" s="7">
        <f t="shared" ca="1" si="65"/>
        <v>-6149.9748033017913</v>
      </c>
      <c r="R105" s="7">
        <f t="shared" ca="1" si="65"/>
        <v>-6341.538916505714</v>
      </c>
      <c r="S105" s="7">
        <f t="shared" ca="1" si="65"/>
        <v>-6539.0265748333768</v>
      </c>
      <c r="T105" s="7">
        <f t="shared" ca="1" si="65"/>
        <v>-6742.6199001816813</v>
      </c>
      <c r="U105" s="7">
        <f t="shared" ca="1" si="65"/>
        <v>-6952.5065884930182</v>
      </c>
      <c r="V105" s="7">
        <f t="shared" ca="1" si="65"/>
        <v>-7168.8800797363419</v>
      </c>
      <c r="W105" s="7">
        <f t="shared" ca="1" si="65"/>
        <v>-7391.939733056679</v>
      </c>
      <c r="X105" s="7">
        <f t="shared" ca="1" si="65"/>
        <v>-7621.8910072498329</v>
      </c>
      <c r="Y105" s="7">
        <f t="shared" ca="1" si="65"/>
        <v>-7858.9456467238169</v>
      </c>
      <c r="Z105" s="7">
        <f t="shared" ca="1" si="65"/>
        <v>-8103.321873113432</v>
      </c>
      <c r="AA105" s="7">
        <f t="shared" ca="1" si="65"/>
        <v>-8355.2445827194333</v>
      </c>
      <c r="AB105" s="7">
        <f t="shared" ca="1" si="65"/>
        <v>-8614.9455499489304</v>
      </c>
      <c r="AC105" s="7">
        <f t="shared" ca="1" si="65"/>
        <v>-8882.6636369390108</v>
      </c>
      <c r="AD105" s="7">
        <f t="shared" ca="1" si="65"/>
        <v>-9158.6450095510809</v>
      </c>
      <c r="AE105" s="7">
        <f t="shared" ca="1" si="65"/>
        <v>-9443.1433599291122</v>
      </c>
      <c r="AF105" s="7">
        <f t="shared" ca="1" si="65"/>
        <v>-9736.420135820772</v>
      </c>
      <c r="AG105" s="7">
        <f t="shared" ca="1" si="65"/>
        <v>-10038.744776866526</v>
      </c>
      <c r="AH105" s="7">
        <f t="shared" ca="1" si="65"/>
        <v>-10350.394958067931</v>
      </c>
      <c r="AI105" s="7">
        <f t="shared" ca="1" si="65"/>
        <v>-10671.656840652764</v>
      </c>
      <c r="AJ105" s="7">
        <f t="shared" ca="1" si="65"/>
        <v>-11002.825330561212</v>
      </c>
      <c r="AK105" s="7">
        <f t="shared" ca="1" si="65"/>
        <v>-11344.204344784135</v>
      </c>
      <c r="AL105" s="7">
        <f t="shared" ca="1" si="65"/>
        <v>-11696.107085791398</v>
      </c>
      <c r="AM105" s="7">
        <f t="shared" ca="1" si="65"/>
        <v>-12058.856324295471</v>
      </c>
    </row>
    <row r="106" spans="1:39">
      <c r="A106" s="3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</row>
    <row r="107" spans="1:39">
      <c r="A107" s="3" t="s">
        <v>77</v>
      </c>
      <c r="C107" s="7">
        <f ca="1">C93+SUM($C105:C105)</f>
        <v>37716.75</v>
      </c>
      <c r="D107" s="7">
        <f ca="1">D93+SUM($C105:D105)</f>
        <v>69048.493749999994</v>
      </c>
      <c r="E107" s="7">
        <f ca="1">E93+SUM($C105:E105)</f>
        <v>70137.661868051742</v>
      </c>
      <c r="F107" s="7">
        <f ca="1">F93+SUM($C105:F105)</f>
        <v>51933.447009507508</v>
      </c>
      <c r="G107" s="7">
        <f ca="1">G93+SUM($C105:G105)</f>
        <v>4236.4660510700269</v>
      </c>
      <c r="H107" s="7">
        <f ca="1">H93+SUM($C105:H105)</f>
        <v>-32419.826175743525</v>
      </c>
      <c r="I107" s="7">
        <f ca="1">I93+SUM($C105:I105)</f>
        <v>-62979.442190569767</v>
      </c>
      <c r="J107" s="7">
        <f ca="1">J93+SUM($C105:J105)</f>
        <v>-110823.66917449364</v>
      </c>
      <c r="K107" s="7">
        <f ca="1">K93+SUM($C105:K105)</f>
        <v>-79436.397748990275</v>
      </c>
      <c r="L107" s="7">
        <f ca="1">L93+SUM($C105:L105)</f>
        <v>-141573.83406376161</v>
      </c>
      <c r="M107" s="7">
        <f ca="1">M93+SUM($C105:M105)</f>
        <v>-152684.85979492994</v>
      </c>
      <c r="N107" s="7">
        <f ca="1">N93+SUM($C105:N105)</f>
        <v>-163828.39643014717</v>
      </c>
      <c r="O107" s="7">
        <f ca="1">O93+SUM($C105:O105)</f>
        <v>-174997.89879983763</v>
      </c>
      <c r="P107" s="7">
        <f ca="1">P93+SUM($C105:P105)</f>
        <v>-186186.43736692087</v>
      </c>
      <c r="Q107" s="7">
        <f ca="1">Q93+SUM($C105:Q105)</f>
        <v>-197386.68199547631</v>
      </c>
      <c r="R107" s="7">
        <f ca="1">R93+SUM($C105:R105)</f>
        <v>-208590.88511495959</v>
      </c>
      <c r="S107" s="7">
        <f ca="1">S93+SUM($C105:S105)</f>
        <v>-202273.69793510562</v>
      </c>
      <c r="T107" s="7">
        <f ca="1">T93+SUM($C105:T105)</f>
        <v>-187897.63084473441</v>
      </c>
      <c r="U107" s="7">
        <f ca="1">U93+SUM($C105:U105)</f>
        <v>-172860.51738421433</v>
      </c>
      <c r="V107" s="7">
        <f ca="1">V93+SUM($C105:V105)</f>
        <v>-157136.78205350495</v>
      </c>
      <c r="W107" s="7">
        <f ca="1">W93+SUM($C105:W105)</f>
        <v>-140699.93848484123</v>
      </c>
      <c r="X107" s="7">
        <f ca="1">X93+SUM($C105:X105)</f>
        <v>-143677.5407422056</v>
      </c>
      <c r="Y107" s="7">
        <f ca="1">Y93+SUM($C105:Y105)</f>
        <v>-146390.07929666719</v>
      </c>
      <c r="Z107" s="7">
        <f ca="1">Z93+SUM($C105:Z105)</f>
        <v>-148820.74244287313</v>
      </c>
      <c r="AA107" s="7">
        <f ca="1">AA93+SUM($C105:AA105)</f>
        <v>-150951.99262945363</v>
      </c>
      <c r="AB107" s="7">
        <f ca="1">AB93+SUM($C105:AB105)</f>
        <v>-152765.53914626961</v>
      </c>
      <c r="AC107" s="7">
        <f ca="1">AC93+SUM($C105:AC105)</f>
        <v>-154242.30985384405</v>
      </c>
      <c r="AD107" s="7">
        <f ca="1">AD93+SUM($C105:AD105)</f>
        <v>-145623.42183128255</v>
      </c>
      <c r="AE107" s="7">
        <f ca="1">AE93+SUM($C105:AE105)</f>
        <v>-136383.67636464047</v>
      </c>
      <c r="AF107" s="7">
        <f ca="1">AF93+SUM($C105:AF105)</f>
        <v>-126495.3904605103</v>
      </c>
      <c r="AG107" s="7">
        <f ca="1">AG93+SUM($C105:AG105)</f>
        <v>-115929.82420393014</v>
      </c>
      <c r="AH107" s="7">
        <f ca="1">AH93+SUM($C105:AH105)</f>
        <v>-104134.96573439959</v>
      </c>
      <c r="AI107" s="7">
        <f ca="1">AI93+SUM($C105:AI105)</f>
        <v>-91035.152451233036</v>
      </c>
      <c r="AJ107" s="7">
        <f ca="1">AJ93+SUM($C105:AJ105)</f>
        <v>-76557.063372683842</v>
      </c>
      <c r="AK107" s="7">
        <f ca="1">AK93+SUM($C105:AK105)</f>
        <v>-60624.063713848242</v>
      </c>
      <c r="AL107" s="7">
        <f ca="1">AL93+SUM($C105:AL105)</f>
        <v>-43156.071121596236</v>
      </c>
      <c r="AM107" s="7">
        <f ca="1">AM93+SUM($C105:AM105)</f>
        <v>-24069.416875360475</v>
      </c>
    </row>
    <row r="108" spans="1:39">
      <c r="A108" s="3" t="s">
        <v>74</v>
      </c>
      <c r="C108" s="7">
        <f t="shared" ref="C108:AM108" ca="1" si="66">MAX(C107+buffer,0)-MAX(C$93+buffer,0)</f>
        <v>0</v>
      </c>
      <c r="D108" s="7">
        <f t="shared" ca="1" si="66"/>
        <v>0</v>
      </c>
      <c r="E108" s="7">
        <f t="shared" ca="1" si="66"/>
        <v>70137.661868051742</v>
      </c>
      <c r="F108" s="7">
        <f t="shared" ca="1" si="66"/>
        <v>65750.917493051747</v>
      </c>
      <c r="G108" s="7">
        <f t="shared" ca="1" si="66"/>
        <v>44236.466051070027</v>
      </c>
      <c r="H108" s="7">
        <f t="shared" ca="1" si="66"/>
        <v>7580.1738242564752</v>
      </c>
      <c r="I108" s="7">
        <f t="shared" ca="1" si="66"/>
        <v>0</v>
      </c>
      <c r="J108" s="7">
        <f t="shared" ca="1" si="66"/>
        <v>0</v>
      </c>
      <c r="K108" s="7">
        <f t="shared" ca="1" si="66"/>
        <v>0</v>
      </c>
      <c r="L108" s="7">
        <f t="shared" ca="1" si="66"/>
        <v>0</v>
      </c>
      <c r="M108" s="7">
        <f t="shared" ca="1" si="66"/>
        <v>0</v>
      </c>
      <c r="N108" s="7">
        <f t="shared" ca="1" si="66"/>
        <v>0</v>
      </c>
      <c r="O108" s="7">
        <f t="shared" ca="1" si="66"/>
        <v>0</v>
      </c>
      <c r="P108" s="7">
        <f t="shared" ca="1" si="66"/>
        <v>0</v>
      </c>
      <c r="Q108" s="7">
        <f t="shared" ca="1" si="66"/>
        <v>0</v>
      </c>
      <c r="R108" s="7">
        <f t="shared" ca="1" si="66"/>
        <v>0</v>
      </c>
      <c r="S108" s="7">
        <f t="shared" ca="1" si="66"/>
        <v>0</v>
      </c>
      <c r="T108" s="7">
        <f t="shared" ca="1" si="66"/>
        <v>0</v>
      </c>
      <c r="U108" s="7">
        <f t="shared" ca="1" si="66"/>
        <v>0</v>
      </c>
      <c r="V108" s="7">
        <f t="shared" ca="1" si="66"/>
        <v>0</v>
      </c>
      <c r="W108" s="7">
        <f t="shared" ca="1" si="66"/>
        <v>0</v>
      </c>
      <c r="X108" s="7">
        <f t="shared" ca="1" si="66"/>
        <v>0</v>
      </c>
      <c r="Y108" s="7">
        <f t="shared" ca="1" si="66"/>
        <v>0</v>
      </c>
      <c r="Z108" s="7">
        <f t="shared" ca="1" si="66"/>
        <v>0</v>
      </c>
      <c r="AA108" s="7">
        <f t="shared" ca="1" si="66"/>
        <v>0</v>
      </c>
      <c r="AB108" s="7">
        <f t="shared" ca="1" si="66"/>
        <v>0</v>
      </c>
      <c r="AC108" s="7">
        <f t="shared" ca="1" si="66"/>
        <v>0</v>
      </c>
      <c r="AD108" s="7">
        <f t="shared" ca="1" si="66"/>
        <v>0</v>
      </c>
      <c r="AE108" s="7">
        <f t="shared" ca="1" si="66"/>
        <v>-5337.7419998255355</v>
      </c>
      <c r="AF108" s="7">
        <f t="shared" ca="1" si="66"/>
        <v>-24962.4480397765</v>
      </c>
      <c r="AG108" s="7">
        <f t="shared" ca="1" si="66"/>
        <v>-45566.759073223191</v>
      </c>
      <c r="AH108" s="7">
        <f t="shared" ca="1" si="66"/>
        <v>-67712.012500821671</v>
      </c>
      <c r="AI108" s="7">
        <f t="shared" ca="1" si="66"/>
        <v>-91483.482624640979</v>
      </c>
      <c r="AJ108" s="7">
        <f t="shared" ca="1" si="66"/>
        <v>-116964.39703375137</v>
      </c>
      <c r="AK108" s="7">
        <f t="shared" ca="1" si="66"/>
        <v>-144241.60103737112</v>
      </c>
      <c r="AL108" s="7">
        <f t="shared" ca="1" si="66"/>
        <v>-173405.70071541451</v>
      </c>
      <c r="AM108" s="7">
        <f t="shared" ca="1" si="66"/>
        <v>-188620.62816130623</v>
      </c>
    </row>
    <row r="109" spans="1:39">
      <c r="A109" s="3" t="s">
        <v>75</v>
      </c>
      <c r="C109" s="7">
        <f ca="1">C108*Inputs!$B$181</f>
        <v>0</v>
      </c>
      <c r="D109" s="7">
        <f ca="1">D108*Inputs!$B$181</f>
        <v>0</v>
      </c>
      <c r="E109" s="7">
        <f ca="1">E108*Inputs!$B$181</f>
        <v>1753.4415467012936</v>
      </c>
      <c r="F109" s="7">
        <f ca="1">F108*Inputs!$B$181</f>
        <v>1643.7729373262937</v>
      </c>
      <c r="G109" s="7">
        <f ca="1">G108*Inputs!$B$181</f>
        <v>1105.9116512767507</v>
      </c>
      <c r="H109" s="7">
        <f ca="1">H108*Inputs!$B$181</f>
        <v>189.5043456064119</v>
      </c>
      <c r="I109" s="7">
        <f ca="1">I108*Inputs!$B$181</f>
        <v>0</v>
      </c>
      <c r="J109" s="7">
        <f ca="1">J108*Inputs!$B$181</f>
        <v>0</v>
      </c>
      <c r="K109" s="7">
        <f ca="1">K108*Inputs!$B$181</f>
        <v>0</v>
      </c>
      <c r="L109" s="7">
        <f ca="1">L108*Inputs!$B$181</f>
        <v>0</v>
      </c>
      <c r="M109" s="7">
        <f ca="1">M108*Inputs!$B$181</f>
        <v>0</v>
      </c>
      <c r="N109" s="7">
        <f ca="1">N108*Inputs!$B$181</f>
        <v>0</v>
      </c>
      <c r="O109" s="7">
        <f ca="1">O108*Inputs!$B$181</f>
        <v>0</v>
      </c>
      <c r="P109" s="7">
        <f ca="1">P108*Inputs!$B$181</f>
        <v>0</v>
      </c>
      <c r="Q109" s="7">
        <f ca="1">Q108*Inputs!$B$181</f>
        <v>0</v>
      </c>
      <c r="R109" s="7">
        <f ca="1">R108*Inputs!$B$181</f>
        <v>0</v>
      </c>
      <c r="S109" s="7">
        <f ca="1">S108*Inputs!$B$181</f>
        <v>0</v>
      </c>
      <c r="T109" s="7">
        <f ca="1">T108*Inputs!$B$181</f>
        <v>0</v>
      </c>
      <c r="U109" s="7">
        <f ca="1">U108*Inputs!$B$181</f>
        <v>0</v>
      </c>
      <c r="V109" s="7">
        <f ca="1">V108*Inputs!$B$181</f>
        <v>0</v>
      </c>
      <c r="W109" s="7">
        <f ca="1">W108*Inputs!$B$181</f>
        <v>0</v>
      </c>
      <c r="X109" s="7">
        <f ca="1">X108*Inputs!$B$181</f>
        <v>0</v>
      </c>
      <c r="Y109" s="7">
        <f ca="1">Y108*Inputs!$B$181</f>
        <v>0</v>
      </c>
      <c r="Z109" s="7">
        <f ca="1">Z108*Inputs!$B$181</f>
        <v>0</v>
      </c>
      <c r="AA109" s="7">
        <f ca="1">AA108*Inputs!$B$181</f>
        <v>0</v>
      </c>
      <c r="AB109" s="7">
        <f ca="1">AB108*Inputs!$B$181</f>
        <v>0</v>
      </c>
      <c r="AC109" s="7">
        <f ca="1">AC108*Inputs!$B$181</f>
        <v>0</v>
      </c>
      <c r="AD109" s="7">
        <f ca="1">AD108*Inputs!$B$181</f>
        <v>0</v>
      </c>
      <c r="AE109" s="7">
        <f ca="1">AE108*Inputs!$B$181</f>
        <v>-133.44354999563839</v>
      </c>
      <c r="AF109" s="7">
        <f ca="1">AF108*Inputs!$B$181</f>
        <v>-624.0612009944125</v>
      </c>
      <c r="AG109" s="7">
        <f ca="1">AG108*Inputs!$B$181</f>
        <v>-1139.1689768305798</v>
      </c>
      <c r="AH109" s="7">
        <f ca="1">AH108*Inputs!$B$181</f>
        <v>-1692.8003125205419</v>
      </c>
      <c r="AI109" s="7">
        <f ca="1">AI108*Inputs!$B$181</f>
        <v>-2287.0870656160246</v>
      </c>
      <c r="AJ109" s="7">
        <f ca="1">AJ108*Inputs!$B$181</f>
        <v>-2924.1099258437844</v>
      </c>
      <c r="AK109" s="7">
        <f ca="1">AK108*Inputs!$B$181</f>
        <v>-3606.0400259342782</v>
      </c>
      <c r="AL109" s="7">
        <f ca="1">AL108*Inputs!$B$181</f>
        <v>-4335.1425178853633</v>
      </c>
      <c r="AM109" s="7">
        <f ca="1">AM108*Inputs!$B$181</f>
        <v>-4715.5157040326558</v>
      </c>
    </row>
    <row r="110" spans="1:39">
      <c r="A110" s="3" t="s">
        <v>158</v>
      </c>
      <c r="C110" s="7">
        <f ca="1">C107+SUM($C109:C109)</f>
        <v>37716.75</v>
      </c>
      <c r="D110" s="7">
        <f ca="1">D107+SUM($C109:D109)</f>
        <v>69048.493749999994</v>
      </c>
      <c r="E110" s="7">
        <f ca="1">E107+SUM($C109:E109)</f>
        <v>71891.10341475303</v>
      </c>
      <c r="F110" s="7">
        <f ca="1">F107+SUM($C109:F109)</f>
        <v>55330.661493535095</v>
      </c>
      <c r="G110" s="7">
        <f ca="1">G107+SUM($C109:G109)</f>
        <v>8739.5921863743642</v>
      </c>
      <c r="H110" s="7">
        <f ca="1">H107+SUM($C109:H109)</f>
        <v>-27727.195694832775</v>
      </c>
      <c r="I110" s="7">
        <f ca="1">I107+SUM($C109:I109)</f>
        <v>-58286.811709659014</v>
      </c>
      <c r="J110" s="7">
        <f ca="1">J107+SUM($C109:J109)</f>
        <v>-106131.03869358289</v>
      </c>
      <c r="K110" s="7">
        <f ca="1">K107+SUM($C109:K109)</f>
        <v>-74743.767268079522</v>
      </c>
      <c r="L110" s="7">
        <f ca="1">L107+SUM($C109:L109)</f>
        <v>-136881.20358285087</v>
      </c>
      <c r="M110" s="7">
        <f ca="1">M107+SUM($C109:M109)</f>
        <v>-147992.22931401921</v>
      </c>
      <c r="N110" s="7">
        <f ca="1">N107+SUM($C109:N109)</f>
        <v>-159135.76594923643</v>
      </c>
      <c r="O110" s="7">
        <f ca="1">O107+SUM($C109:O109)</f>
        <v>-170305.26831892689</v>
      </c>
      <c r="P110" s="7">
        <f ca="1">P107+SUM($C109:P109)</f>
        <v>-181493.80688601013</v>
      </c>
      <c r="Q110" s="7">
        <f ca="1">Q107+SUM($C109:Q109)</f>
        <v>-192694.05151456557</v>
      </c>
      <c r="R110" s="7">
        <f ca="1">R107+SUM($C109:R109)</f>
        <v>-203898.25463404885</v>
      </c>
      <c r="S110" s="7">
        <f ca="1">S107+SUM($C109:S109)</f>
        <v>-197581.06745419488</v>
      </c>
      <c r="T110" s="7">
        <f ca="1">T107+SUM($C109:T109)</f>
        <v>-183205.00036382367</v>
      </c>
      <c r="U110" s="7">
        <f ca="1">U107+SUM($C109:U109)</f>
        <v>-168167.88690330359</v>
      </c>
      <c r="V110" s="7">
        <f ca="1">V107+SUM($C109:V109)</f>
        <v>-152444.15157259422</v>
      </c>
      <c r="W110" s="7">
        <f ca="1">W107+SUM($C109:W109)</f>
        <v>-136007.30800393049</v>
      </c>
      <c r="X110" s="7">
        <f ca="1">X107+SUM($C109:X109)</f>
        <v>-138984.91026129486</v>
      </c>
      <c r="Y110" s="7">
        <f ca="1">Y107+SUM($C109:Y109)</f>
        <v>-141697.44881575645</v>
      </c>
      <c r="Z110" s="7">
        <f ca="1">Z107+SUM($C109:Z109)</f>
        <v>-144128.11196196239</v>
      </c>
      <c r="AA110" s="7">
        <f ca="1">AA107+SUM($C109:AA109)</f>
        <v>-146259.36214854289</v>
      </c>
      <c r="AB110" s="7">
        <f ca="1">AB107+SUM($C109:AB109)</f>
        <v>-148072.90866535887</v>
      </c>
      <c r="AC110" s="7">
        <f ca="1">AC107+SUM($C109:AC109)</f>
        <v>-149549.67937293331</v>
      </c>
      <c r="AD110" s="7">
        <f ca="1">AD107+SUM($C109:AD109)</f>
        <v>-140930.79135037182</v>
      </c>
      <c r="AE110" s="7">
        <f ca="1">AE107+SUM($C109:AE109)</f>
        <v>-131824.48943372536</v>
      </c>
      <c r="AF110" s="7">
        <f ca="1">AF107+SUM($C109:AF109)</f>
        <v>-122560.2647305896</v>
      </c>
      <c r="AG110" s="7">
        <f ca="1">AG107+SUM($C109:AG109)</f>
        <v>-113133.86745084001</v>
      </c>
      <c r="AH110" s="7">
        <f ca="1">AH107+SUM($C109:AH109)</f>
        <v>-103031.80929383001</v>
      </c>
      <c r="AI110" s="7">
        <f ca="1">AI107+SUM($C109:AI109)</f>
        <v>-92219.083076279479</v>
      </c>
      <c r="AJ110" s="7">
        <f ca="1">AJ107+SUM($C109:AJ109)</f>
        <v>-80665.103923574075</v>
      </c>
      <c r="AK110" s="7">
        <f ca="1">AK107+SUM($C109:AK109)</f>
        <v>-68338.144290672746</v>
      </c>
      <c r="AL110" s="7">
        <f ca="1">AL107+SUM($C109:AL109)</f>
        <v>-55205.294216306109</v>
      </c>
      <c r="AM110" s="7">
        <f ca="1">AM107+SUM($C109:AM109)</f>
        <v>-40834.155674103007</v>
      </c>
    </row>
    <row r="111" spans="1:39">
      <c r="A111" s="3" t="s">
        <v>20</v>
      </c>
      <c r="C111" s="7">
        <f ca="1">IF(C110&lt;0,-C110,0)</f>
        <v>0</v>
      </c>
      <c r="D111" s="7">
        <f ca="1">IF(D110+SUM($C111:C111)&lt;0,-(D110+SUM($C111:C111)),0)</f>
        <v>0</v>
      </c>
      <c r="E111" s="7">
        <f ca="1">IF(E110+SUM($C111:D111)&lt;0,-(E110+SUM($C111:D111)),0)</f>
        <v>0</v>
      </c>
      <c r="F111" s="7">
        <f ca="1">IF(F110+SUM($C111:E111)&lt;0,-(F110+SUM($C111:E111)),0)</f>
        <v>0</v>
      </c>
      <c r="G111" s="7">
        <f ca="1">IF(G110+SUM($C111:F111)&lt;0,-(G110+SUM($C111:F111)),0)</f>
        <v>0</v>
      </c>
      <c r="H111" s="7">
        <f ca="1">IF(H110+SUM($C111:G111)&lt;0,-(H110+SUM($C111:G111)),0)</f>
        <v>27727.195694832775</v>
      </c>
      <c r="I111" s="7">
        <f ca="1">IF(I110+SUM($C111:H111)&lt;0,-(I110+SUM($C111:H111)),0)</f>
        <v>30559.616014826239</v>
      </c>
      <c r="J111" s="7">
        <f ca="1">IF(J110+SUM($C111:I111)&lt;0,-(J110+SUM($C111:I111)),0)</f>
        <v>47844.226983923872</v>
      </c>
      <c r="K111" s="7">
        <f ca="1">IF(K110+SUM($C111:J111)&lt;0,-(K110+SUM($C111:J111)),0)</f>
        <v>0</v>
      </c>
      <c r="L111" s="7">
        <f ca="1">IF(L110+SUM($C111:K111)&lt;0,-(L110+SUM($C111:K111)),0)</f>
        <v>30750.16488926798</v>
      </c>
      <c r="M111" s="7">
        <f ca="1">IF(M110+SUM($C111:L111)&lt;0,-(M110+SUM($C111:L111)),0)</f>
        <v>11111.025731168338</v>
      </c>
      <c r="N111" s="7">
        <f ca="1">IF(N110+SUM($C111:M111)&lt;0,-(N110+SUM($C111:M111)),0)</f>
        <v>11143.536635217228</v>
      </c>
      <c r="O111" s="7">
        <f ca="1">IF(O110+SUM($C111:N111)&lt;0,-(O110+SUM($C111:N111)),0)</f>
        <v>11169.502369690454</v>
      </c>
      <c r="P111" s="7">
        <f ca="1">IF(P110+SUM($C111:O111)&lt;0,-(P110+SUM($C111:O111)),0)</f>
        <v>11188.538567083247</v>
      </c>
      <c r="Q111" s="7">
        <f ca="1">IF(Q110+SUM($C111:P111)&lt;0,-(Q110+SUM($C111:P111)),0)</f>
        <v>11200.244628555432</v>
      </c>
      <c r="R111" s="7">
        <f ca="1">IF(R110+SUM($C111:Q111)&lt;0,-(R110+SUM($C111:Q111)),0)</f>
        <v>11204.203119483282</v>
      </c>
      <c r="S111" s="7">
        <f ca="1">IF(S110+SUM($C111:R111)&lt;0,-(S110+SUM($C111:R111)),0)</f>
        <v>0</v>
      </c>
      <c r="T111" s="7">
        <f ca="1">IF(T110+SUM($C111:S111)&lt;0,-(T110+SUM($C111:S111)),0)</f>
        <v>0</v>
      </c>
      <c r="U111" s="7">
        <f ca="1">IF(U110+SUM($C111:T111)&lt;0,-(U110+SUM($C111:T111)),0)</f>
        <v>0</v>
      </c>
      <c r="V111" s="7">
        <f ca="1">IF(V110+SUM($C111:U111)&lt;0,-(V110+SUM($C111:U111)),0)</f>
        <v>0</v>
      </c>
      <c r="W111" s="7">
        <f ca="1">IF(W110+SUM($C111:V111)&lt;0,-(W110+SUM($C111:V111)),0)</f>
        <v>0</v>
      </c>
      <c r="X111" s="7">
        <f ca="1">IF(X110+SUM($C111:W111)&lt;0,-(X110+SUM($C111:W111)),0)</f>
        <v>0</v>
      </c>
      <c r="Y111" s="7">
        <f ca="1">IF(Y110+SUM($C111:X111)&lt;0,-(Y110+SUM($C111:X111)),0)</f>
        <v>0</v>
      </c>
      <c r="Z111" s="7">
        <f ca="1">IF(Z110+SUM($C111:Y111)&lt;0,-(Z110+SUM($C111:Y111)),0)</f>
        <v>0</v>
      </c>
      <c r="AA111" s="7">
        <f ca="1">IF(AA110+SUM($C111:Z111)&lt;0,-(AA110+SUM($C111:Z111)),0)</f>
        <v>0</v>
      </c>
      <c r="AB111" s="7">
        <f ca="1">IF(AB110+SUM($C111:AA111)&lt;0,-(AB110+SUM($C111:AA111)),0)</f>
        <v>0</v>
      </c>
      <c r="AC111" s="7">
        <f ca="1">IF(AC110+SUM($C111:AB111)&lt;0,-(AC110+SUM($C111:AB111)),0)</f>
        <v>0</v>
      </c>
      <c r="AD111" s="7">
        <f ca="1">IF(AD110+SUM($C111:AC111)&lt;0,-(AD110+SUM($C111:AC111)),0)</f>
        <v>0</v>
      </c>
      <c r="AE111" s="7">
        <f ca="1">IF(AE110+SUM($C111:AD111)&lt;0,-(AE110+SUM($C111:AD111)),0)</f>
        <v>0</v>
      </c>
      <c r="AF111" s="7">
        <f ca="1">IF(AF110+SUM($C111:AE111)&lt;0,-(AF110+SUM($C111:AE111)),0)</f>
        <v>0</v>
      </c>
      <c r="AG111" s="7">
        <f ca="1">IF(AG110+SUM($C111:AF111)&lt;0,-(AG110+SUM($C111:AF111)),0)</f>
        <v>0</v>
      </c>
      <c r="AH111" s="7">
        <f ca="1">IF(AH110+SUM($C111:AG111)&lt;0,-(AH110+SUM($C111:AG111)),0)</f>
        <v>0</v>
      </c>
      <c r="AI111" s="7">
        <f ca="1">IF(AI110+SUM($C111:AH111)&lt;0,-(AI110+SUM($C111:AH111)),0)</f>
        <v>0</v>
      </c>
      <c r="AJ111" s="7">
        <f ca="1">IF(AJ110+SUM($C111:AI111)&lt;0,-(AJ110+SUM($C111:AI111)),0)</f>
        <v>0</v>
      </c>
      <c r="AK111" s="7">
        <f ca="1">IF(AK110+SUM($C111:AJ111)&lt;0,-(AK110+SUM($C111:AJ111)),0)</f>
        <v>0</v>
      </c>
      <c r="AL111" s="7">
        <f ca="1">IF(AL110+SUM($C111:AK111)&lt;0,-(AL110+SUM($C111:AK111)),0)</f>
        <v>0</v>
      </c>
      <c r="AM111" s="7">
        <f ca="1">IF(AM110+SUM($C111:AL111)&lt;0,-(AM110+SUM($C111:AL111)),0)</f>
        <v>0</v>
      </c>
    </row>
    <row r="112" spans="1:39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</row>
    <row r="113" spans="1:39">
      <c r="A113" s="24" t="str">
        <f>IF(Inputs!$B$197=6,IFERROR(_xlfn.XLOOKUP($B113,Inputs!$B$198:$B$202,Inputs!$A$198:$A$202,,0,1),""),IFERROR(_xlfn.XLOOKUP($B113,Inputs!$C$198:$C$202,Inputs!$A$198:$A$202,,0,1),""))</f>
        <v>Marsa</v>
      </c>
      <c r="B113" s="26">
        <v>2</v>
      </c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</row>
    <row r="114" spans="1:39">
      <c r="A114" s="3" t="s">
        <v>22</v>
      </c>
      <c r="C114" s="7">
        <f>IFERROR(VLOOKUP($A113,$A$60:$H$78,C$1+2,FALSE),0)</f>
        <v>123600</v>
      </c>
      <c r="D114" s="7">
        <f ca="1">C117</f>
        <v>123600</v>
      </c>
      <c r="E114" s="7">
        <f t="shared" ref="E114:AM114" ca="1" si="67">D117</f>
        <v>127308</v>
      </c>
      <c r="F114" s="7">
        <f t="shared" ca="1" si="67"/>
        <v>131127.24</v>
      </c>
      <c r="G114" s="7">
        <f t="shared" ca="1" si="67"/>
        <v>135061.05719999998</v>
      </c>
      <c r="H114" s="7">
        <f t="shared" ca="1" si="67"/>
        <v>0</v>
      </c>
      <c r="I114" s="7">
        <f t="shared" ca="1" si="67"/>
        <v>0</v>
      </c>
      <c r="J114" s="7">
        <f t="shared" ca="1" si="67"/>
        <v>0</v>
      </c>
      <c r="K114" s="7">
        <f t="shared" ca="1" si="67"/>
        <v>0</v>
      </c>
      <c r="L114" s="7">
        <f t="shared" ca="1" si="67"/>
        <v>0</v>
      </c>
      <c r="M114" s="7">
        <f t="shared" ca="1" si="67"/>
        <v>0</v>
      </c>
      <c r="N114" s="7">
        <f t="shared" ca="1" si="67"/>
        <v>0</v>
      </c>
      <c r="O114" s="7">
        <f t="shared" ca="1" si="67"/>
        <v>0</v>
      </c>
      <c r="P114" s="7">
        <f t="shared" ca="1" si="67"/>
        <v>0</v>
      </c>
      <c r="Q114" s="7">
        <f t="shared" ca="1" si="67"/>
        <v>0</v>
      </c>
      <c r="R114" s="7">
        <f t="shared" ca="1" si="67"/>
        <v>0</v>
      </c>
      <c r="S114" s="7">
        <f t="shared" ca="1" si="67"/>
        <v>0</v>
      </c>
      <c r="T114" s="7">
        <f t="shared" ca="1" si="67"/>
        <v>0</v>
      </c>
      <c r="U114" s="7">
        <f t="shared" ca="1" si="67"/>
        <v>0</v>
      </c>
      <c r="V114" s="7">
        <f t="shared" ca="1" si="67"/>
        <v>0</v>
      </c>
      <c r="W114" s="7">
        <f t="shared" ca="1" si="67"/>
        <v>0</v>
      </c>
      <c r="X114" s="7">
        <f t="shared" ca="1" si="67"/>
        <v>0</v>
      </c>
      <c r="Y114" s="7">
        <f t="shared" ca="1" si="67"/>
        <v>0</v>
      </c>
      <c r="Z114" s="7">
        <f t="shared" ca="1" si="67"/>
        <v>0</v>
      </c>
      <c r="AA114" s="7">
        <f t="shared" ca="1" si="67"/>
        <v>0</v>
      </c>
      <c r="AB114" s="7">
        <f t="shared" ca="1" si="67"/>
        <v>0</v>
      </c>
      <c r="AC114" s="7">
        <f t="shared" ca="1" si="67"/>
        <v>0</v>
      </c>
      <c r="AD114" s="7">
        <f t="shared" ca="1" si="67"/>
        <v>0</v>
      </c>
      <c r="AE114" s="7">
        <f t="shared" ca="1" si="67"/>
        <v>0</v>
      </c>
      <c r="AF114" s="7">
        <f t="shared" ca="1" si="67"/>
        <v>0</v>
      </c>
      <c r="AG114" s="7">
        <f t="shared" ca="1" si="67"/>
        <v>0</v>
      </c>
      <c r="AH114" s="7">
        <f t="shared" ca="1" si="67"/>
        <v>0</v>
      </c>
      <c r="AI114" s="7">
        <f t="shared" ca="1" si="67"/>
        <v>0</v>
      </c>
      <c r="AJ114" s="7">
        <f t="shared" ca="1" si="67"/>
        <v>0</v>
      </c>
      <c r="AK114" s="7">
        <f t="shared" ca="1" si="67"/>
        <v>0</v>
      </c>
      <c r="AL114" s="7">
        <f t="shared" ca="1" si="67"/>
        <v>0</v>
      </c>
      <c r="AM114" s="7">
        <f t="shared" ca="1" si="67"/>
        <v>0</v>
      </c>
    </row>
    <row r="115" spans="1:39">
      <c r="A115" s="3" t="s">
        <v>23</v>
      </c>
      <c r="C115" s="7">
        <f ca="1">-IF(SUM(C111:D111)&gt;0,C114,0)</f>
        <v>0</v>
      </c>
      <c r="D115" s="7">
        <f ca="1">-IF(E111&gt;0,D114,0)</f>
        <v>0</v>
      </c>
      <c r="E115" s="7">
        <f ca="1">-IF(F111&gt;0,E114,0)</f>
        <v>0</v>
      </c>
      <c r="F115" s="7">
        <f ca="1">-IF(G111&gt;0,F114,0)</f>
        <v>0</v>
      </c>
      <c r="G115" s="7">
        <f t="shared" ref="G115:AM115" ca="1" si="68">-IF(H111&gt;0,G114,0)</f>
        <v>-135061.05719999998</v>
      </c>
      <c r="H115" s="7">
        <f t="shared" ca="1" si="68"/>
        <v>0</v>
      </c>
      <c r="I115" s="7">
        <f t="shared" ca="1" si="68"/>
        <v>0</v>
      </c>
      <c r="J115" s="7">
        <f t="shared" ca="1" si="68"/>
        <v>0</v>
      </c>
      <c r="K115" s="7">
        <f t="shared" ca="1" si="68"/>
        <v>0</v>
      </c>
      <c r="L115" s="7">
        <f t="shared" ca="1" si="68"/>
        <v>0</v>
      </c>
      <c r="M115" s="7">
        <f t="shared" ca="1" si="68"/>
        <v>0</v>
      </c>
      <c r="N115" s="7">
        <f t="shared" ca="1" si="68"/>
        <v>0</v>
      </c>
      <c r="O115" s="7">
        <f t="shared" ca="1" si="68"/>
        <v>0</v>
      </c>
      <c r="P115" s="7">
        <f t="shared" ca="1" si="68"/>
        <v>0</v>
      </c>
      <c r="Q115" s="7">
        <f t="shared" ca="1" si="68"/>
        <v>0</v>
      </c>
      <c r="R115" s="7">
        <f t="shared" ca="1" si="68"/>
        <v>0</v>
      </c>
      <c r="S115" s="7">
        <f t="shared" ca="1" si="68"/>
        <v>0</v>
      </c>
      <c r="T115" s="7">
        <f t="shared" ca="1" si="68"/>
        <v>0</v>
      </c>
      <c r="U115" s="7">
        <f t="shared" ca="1" si="68"/>
        <v>0</v>
      </c>
      <c r="V115" s="7">
        <f t="shared" ca="1" si="68"/>
        <v>0</v>
      </c>
      <c r="W115" s="7">
        <f t="shared" ca="1" si="68"/>
        <v>0</v>
      </c>
      <c r="X115" s="7">
        <f t="shared" ca="1" si="68"/>
        <v>0</v>
      </c>
      <c r="Y115" s="7">
        <f t="shared" ca="1" si="68"/>
        <v>0</v>
      </c>
      <c r="Z115" s="7">
        <f t="shared" ca="1" si="68"/>
        <v>0</v>
      </c>
      <c r="AA115" s="7">
        <f t="shared" ca="1" si="68"/>
        <v>0</v>
      </c>
      <c r="AB115" s="7">
        <f t="shared" ca="1" si="68"/>
        <v>0</v>
      </c>
      <c r="AC115" s="7">
        <f t="shared" ca="1" si="68"/>
        <v>0</v>
      </c>
      <c r="AD115" s="7">
        <f t="shared" ca="1" si="68"/>
        <v>0</v>
      </c>
      <c r="AE115" s="7">
        <f t="shared" ca="1" si="68"/>
        <v>0</v>
      </c>
      <c r="AF115" s="7">
        <f t="shared" ca="1" si="68"/>
        <v>0</v>
      </c>
      <c r="AG115" s="7">
        <f t="shared" ca="1" si="68"/>
        <v>0</v>
      </c>
      <c r="AH115" s="7">
        <f t="shared" ca="1" si="68"/>
        <v>0</v>
      </c>
      <c r="AI115" s="7">
        <f t="shared" ca="1" si="68"/>
        <v>0</v>
      </c>
      <c r="AJ115" s="7">
        <f t="shared" ca="1" si="68"/>
        <v>0</v>
      </c>
      <c r="AK115" s="7">
        <f t="shared" ca="1" si="68"/>
        <v>0</v>
      </c>
      <c r="AL115" s="7">
        <f t="shared" ca="1" si="68"/>
        <v>0</v>
      </c>
      <c r="AM115" s="7">
        <f t="shared" si="68"/>
        <v>0</v>
      </c>
    </row>
    <row r="116" spans="1:39">
      <c r="A116" s="3" t="s">
        <v>24</v>
      </c>
      <c r="C116" s="7">
        <v>0</v>
      </c>
      <c r="D116" s="7">
        <f t="shared" ref="D116:G116" ca="1" si="69">SUM(D114:D115)*princ</f>
        <v>3708</v>
      </c>
      <c r="E116" s="7">
        <f t="shared" ca="1" si="69"/>
        <v>3819.24</v>
      </c>
      <c r="F116" s="7">
        <f t="shared" ca="1" si="69"/>
        <v>3933.8171999999995</v>
      </c>
      <c r="G116" s="7">
        <f t="shared" ca="1" si="69"/>
        <v>0</v>
      </c>
      <c r="H116" s="7">
        <f t="shared" ref="H116:I116" ca="1" si="70">SUM(H114:H115)*princ</f>
        <v>0</v>
      </c>
      <c r="I116" s="7">
        <f t="shared" ca="1" si="70"/>
        <v>0</v>
      </c>
      <c r="J116" s="7">
        <f t="shared" ref="J116:AM116" ca="1" si="71">SUM(J114:J115)*princ</f>
        <v>0</v>
      </c>
      <c r="K116" s="7">
        <f t="shared" ca="1" si="71"/>
        <v>0</v>
      </c>
      <c r="L116" s="7">
        <f t="shared" ca="1" si="71"/>
        <v>0</v>
      </c>
      <c r="M116" s="7">
        <f t="shared" ca="1" si="71"/>
        <v>0</v>
      </c>
      <c r="N116" s="7">
        <f t="shared" ca="1" si="71"/>
        <v>0</v>
      </c>
      <c r="O116" s="7">
        <f t="shared" ca="1" si="71"/>
        <v>0</v>
      </c>
      <c r="P116" s="7">
        <f t="shared" ca="1" si="71"/>
        <v>0</v>
      </c>
      <c r="Q116" s="7">
        <f t="shared" ca="1" si="71"/>
        <v>0</v>
      </c>
      <c r="R116" s="7">
        <f t="shared" ca="1" si="71"/>
        <v>0</v>
      </c>
      <c r="S116" s="7">
        <f t="shared" ca="1" si="71"/>
        <v>0</v>
      </c>
      <c r="T116" s="7">
        <f t="shared" ca="1" si="71"/>
        <v>0</v>
      </c>
      <c r="U116" s="7">
        <f t="shared" ca="1" si="71"/>
        <v>0</v>
      </c>
      <c r="V116" s="7">
        <f t="shared" ca="1" si="71"/>
        <v>0</v>
      </c>
      <c r="W116" s="7">
        <f t="shared" ca="1" si="71"/>
        <v>0</v>
      </c>
      <c r="X116" s="7">
        <f t="shared" ca="1" si="71"/>
        <v>0</v>
      </c>
      <c r="Y116" s="7">
        <f t="shared" ca="1" si="71"/>
        <v>0</v>
      </c>
      <c r="Z116" s="7">
        <f t="shared" ca="1" si="71"/>
        <v>0</v>
      </c>
      <c r="AA116" s="7">
        <f t="shared" ca="1" si="71"/>
        <v>0</v>
      </c>
      <c r="AB116" s="7">
        <f t="shared" ca="1" si="71"/>
        <v>0</v>
      </c>
      <c r="AC116" s="7">
        <f t="shared" ca="1" si="71"/>
        <v>0</v>
      </c>
      <c r="AD116" s="7">
        <f t="shared" ca="1" si="71"/>
        <v>0</v>
      </c>
      <c r="AE116" s="7">
        <f t="shared" ca="1" si="71"/>
        <v>0</v>
      </c>
      <c r="AF116" s="7">
        <f t="shared" ca="1" si="71"/>
        <v>0</v>
      </c>
      <c r="AG116" s="7">
        <f t="shared" ca="1" si="71"/>
        <v>0</v>
      </c>
      <c r="AH116" s="7">
        <f t="shared" ca="1" si="71"/>
        <v>0</v>
      </c>
      <c r="AI116" s="7">
        <f t="shared" ca="1" si="71"/>
        <v>0</v>
      </c>
      <c r="AJ116" s="7">
        <f t="shared" ca="1" si="71"/>
        <v>0</v>
      </c>
      <c r="AK116" s="7">
        <f t="shared" ca="1" si="71"/>
        <v>0</v>
      </c>
      <c r="AL116" s="7">
        <f t="shared" ca="1" si="71"/>
        <v>0</v>
      </c>
      <c r="AM116" s="7">
        <f t="shared" ca="1" si="71"/>
        <v>0</v>
      </c>
    </row>
    <row r="117" spans="1:39">
      <c r="A117" s="3" t="s">
        <v>25</v>
      </c>
      <c r="C117" s="7">
        <f ca="1">SUM(C114:C116)</f>
        <v>123600</v>
      </c>
      <c r="D117" s="7">
        <f t="shared" ref="D117:AM117" ca="1" si="72">SUM(D114:D116)</f>
        <v>127308</v>
      </c>
      <c r="E117" s="7">
        <f t="shared" ca="1" si="72"/>
        <v>131127.24</v>
      </c>
      <c r="F117" s="7">
        <f t="shared" ca="1" si="72"/>
        <v>135061.05719999998</v>
      </c>
      <c r="G117" s="7">
        <f t="shared" ca="1" si="72"/>
        <v>0</v>
      </c>
      <c r="H117" s="7">
        <f t="shared" ca="1" si="72"/>
        <v>0</v>
      </c>
      <c r="I117" s="7">
        <f t="shared" ca="1" si="72"/>
        <v>0</v>
      </c>
      <c r="J117" s="7">
        <f t="shared" ca="1" si="72"/>
        <v>0</v>
      </c>
      <c r="K117" s="7">
        <f t="shared" ca="1" si="72"/>
        <v>0</v>
      </c>
      <c r="L117" s="7">
        <f t="shared" ca="1" si="72"/>
        <v>0</v>
      </c>
      <c r="M117" s="7">
        <f t="shared" ca="1" si="72"/>
        <v>0</v>
      </c>
      <c r="N117" s="7">
        <f t="shared" ca="1" si="72"/>
        <v>0</v>
      </c>
      <c r="O117" s="7">
        <f t="shared" ca="1" si="72"/>
        <v>0</v>
      </c>
      <c r="P117" s="7">
        <f t="shared" ca="1" si="72"/>
        <v>0</v>
      </c>
      <c r="Q117" s="7">
        <f t="shared" ca="1" si="72"/>
        <v>0</v>
      </c>
      <c r="R117" s="7">
        <f t="shared" ca="1" si="72"/>
        <v>0</v>
      </c>
      <c r="S117" s="7">
        <f t="shared" ca="1" si="72"/>
        <v>0</v>
      </c>
      <c r="T117" s="7">
        <f t="shared" ca="1" si="72"/>
        <v>0</v>
      </c>
      <c r="U117" s="7">
        <f t="shared" ca="1" si="72"/>
        <v>0</v>
      </c>
      <c r="V117" s="7">
        <f t="shared" ca="1" si="72"/>
        <v>0</v>
      </c>
      <c r="W117" s="7">
        <f t="shared" ca="1" si="72"/>
        <v>0</v>
      </c>
      <c r="X117" s="7">
        <f t="shared" ca="1" si="72"/>
        <v>0</v>
      </c>
      <c r="Y117" s="7">
        <f t="shared" ca="1" si="72"/>
        <v>0</v>
      </c>
      <c r="Z117" s="7">
        <f t="shared" ca="1" si="72"/>
        <v>0</v>
      </c>
      <c r="AA117" s="7">
        <f t="shared" ca="1" si="72"/>
        <v>0</v>
      </c>
      <c r="AB117" s="7">
        <f t="shared" ca="1" si="72"/>
        <v>0</v>
      </c>
      <c r="AC117" s="7">
        <f t="shared" ca="1" si="72"/>
        <v>0</v>
      </c>
      <c r="AD117" s="7">
        <f t="shared" ca="1" si="72"/>
        <v>0</v>
      </c>
      <c r="AE117" s="7">
        <f t="shared" ca="1" si="72"/>
        <v>0</v>
      </c>
      <c r="AF117" s="7">
        <f t="shared" ca="1" si="72"/>
        <v>0</v>
      </c>
      <c r="AG117" s="7">
        <f t="shared" ca="1" si="72"/>
        <v>0</v>
      </c>
      <c r="AH117" s="7">
        <f t="shared" ca="1" si="72"/>
        <v>0</v>
      </c>
      <c r="AI117" s="7">
        <f t="shared" ca="1" si="72"/>
        <v>0</v>
      </c>
      <c r="AJ117" s="7">
        <f t="shared" ca="1" si="72"/>
        <v>0</v>
      </c>
      <c r="AK117" s="7">
        <f t="shared" ca="1" si="72"/>
        <v>0</v>
      </c>
      <c r="AL117" s="7">
        <f t="shared" ca="1" si="72"/>
        <v>0</v>
      </c>
      <c r="AM117" s="7">
        <f t="shared" ca="1" si="72"/>
        <v>0</v>
      </c>
    </row>
    <row r="118" spans="1:39">
      <c r="A118" s="3" t="s">
        <v>26</v>
      </c>
      <c r="C118" s="7">
        <f ca="1">C115*Inputs!$B$195</f>
        <v>0</v>
      </c>
      <c r="D118" s="7">
        <f ca="1">D115*Inputs!$B$195</f>
        <v>0</v>
      </c>
      <c r="E118" s="7">
        <f ca="1">E115*Inputs!$B$195</f>
        <v>0</v>
      </c>
      <c r="F118" s="7">
        <f ca="1">F115*Inputs!$B$195</f>
        <v>0</v>
      </c>
      <c r="G118" s="7">
        <f ca="1">G115*Inputs!$B$195</f>
        <v>-20259.158579999996</v>
      </c>
      <c r="H118" s="7">
        <f ca="1">H115*Inputs!$B$195</f>
        <v>0</v>
      </c>
      <c r="I118" s="7">
        <f ca="1">I115*Inputs!$B$195</f>
        <v>0</v>
      </c>
      <c r="J118" s="7">
        <f ca="1">J115*Inputs!$B$195</f>
        <v>0</v>
      </c>
      <c r="K118" s="7">
        <f ca="1">K115*Inputs!$B$195</f>
        <v>0</v>
      </c>
      <c r="L118" s="7">
        <f ca="1">L115*Inputs!$B$195</f>
        <v>0</v>
      </c>
      <c r="M118" s="7">
        <f ca="1">M115*Inputs!$B$195</f>
        <v>0</v>
      </c>
      <c r="N118" s="7">
        <f ca="1">N115*Inputs!$B$195</f>
        <v>0</v>
      </c>
      <c r="O118" s="7">
        <f ca="1">O115*Inputs!$B$195</f>
        <v>0</v>
      </c>
      <c r="P118" s="7">
        <f ca="1">P115*Inputs!$B$195</f>
        <v>0</v>
      </c>
      <c r="Q118" s="7">
        <f ca="1">Q115*Inputs!$B$195</f>
        <v>0</v>
      </c>
      <c r="R118" s="7">
        <f ca="1">R115*Inputs!$B$195</f>
        <v>0</v>
      </c>
      <c r="S118" s="7">
        <f ca="1">S115*Inputs!$B$195</f>
        <v>0</v>
      </c>
      <c r="T118" s="7">
        <f ca="1">T115*Inputs!$B$195</f>
        <v>0</v>
      </c>
      <c r="U118" s="7">
        <f ca="1">U115*Inputs!$B$195</f>
        <v>0</v>
      </c>
      <c r="V118" s="7">
        <f ca="1">V115*Inputs!$B$195</f>
        <v>0</v>
      </c>
      <c r="W118" s="7">
        <f ca="1">W115*Inputs!$B$195</f>
        <v>0</v>
      </c>
      <c r="X118" s="7">
        <f ca="1">X115*Inputs!$B$195</f>
        <v>0</v>
      </c>
      <c r="Y118" s="7">
        <f ca="1">Y115*Inputs!$B$195</f>
        <v>0</v>
      </c>
      <c r="Z118" s="7">
        <f ca="1">Z115*Inputs!$B$195</f>
        <v>0</v>
      </c>
      <c r="AA118" s="7">
        <f ca="1">AA115*Inputs!$B$195</f>
        <v>0</v>
      </c>
      <c r="AB118" s="7">
        <f ca="1">AB115*Inputs!$B$195</f>
        <v>0</v>
      </c>
      <c r="AC118" s="7">
        <f ca="1">AC115*Inputs!$B$195</f>
        <v>0</v>
      </c>
      <c r="AD118" s="7">
        <f ca="1">AD115*Inputs!$B$195</f>
        <v>0</v>
      </c>
      <c r="AE118" s="7">
        <f ca="1">AE115*Inputs!$B$195</f>
        <v>0</v>
      </c>
      <c r="AF118" s="7">
        <f ca="1">AF115*Inputs!$B$195</f>
        <v>0</v>
      </c>
      <c r="AG118" s="7">
        <f ca="1">AG115*Inputs!$B$195</f>
        <v>0</v>
      </c>
      <c r="AH118" s="7">
        <f ca="1">AH115*Inputs!$B$195</f>
        <v>0</v>
      </c>
      <c r="AI118" s="7">
        <f ca="1">AI115*Inputs!$B$195</f>
        <v>0</v>
      </c>
      <c r="AJ118" s="7">
        <f ca="1">AJ115*Inputs!$B$195</f>
        <v>0</v>
      </c>
      <c r="AK118" s="7">
        <f ca="1">AK115*Inputs!$B$195</f>
        <v>0</v>
      </c>
      <c r="AL118" s="7">
        <f ca="1">AL115*Inputs!$B$195</f>
        <v>0</v>
      </c>
      <c r="AM118" s="7">
        <f>AM115*Inputs!$B$195</f>
        <v>0</v>
      </c>
    </row>
    <row r="119" spans="1:39">
      <c r="A119" s="3" t="s">
        <v>31</v>
      </c>
      <c r="C119" s="7">
        <f t="shared" ref="C119:AM119" si="73">IFERROR(-IF(C114=0,VLOOKUP($A113,$8:$12,C$1+2,FALSE),0),0)</f>
        <v>0</v>
      </c>
      <c r="D119" s="7">
        <f t="shared" ca="1" si="73"/>
        <v>0</v>
      </c>
      <c r="E119" s="7">
        <f t="shared" ca="1" si="73"/>
        <v>0</v>
      </c>
      <c r="F119" s="7">
        <f t="shared" ca="1" si="73"/>
        <v>0</v>
      </c>
      <c r="G119" s="7">
        <f t="shared" ca="1" si="73"/>
        <v>0</v>
      </c>
      <c r="H119" s="7">
        <f t="shared" ca="1" si="73"/>
        <v>-7535.2814829500003</v>
      </c>
      <c r="I119" s="7">
        <f t="shared" ca="1" si="73"/>
        <v>-7761.3399274385001</v>
      </c>
      <c r="J119" s="7">
        <f t="shared" ca="1" si="73"/>
        <v>-7994.1801252616551</v>
      </c>
      <c r="K119" s="7">
        <f t="shared" ca="1" si="73"/>
        <v>-8234.005529019505</v>
      </c>
      <c r="L119" s="7">
        <f t="shared" ca="1" si="73"/>
        <v>-8481.0256948900897</v>
      </c>
      <c r="M119" s="7">
        <f t="shared" ca="1" si="73"/>
        <v>-8735.4564657367919</v>
      </c>
      <c r="N119" s="7">
        <f t="shared" ca="1" si="73"/>
        <v>-8997.5201597088962</v>
      </c>
      <c r="O119" s="7">
        <f t="shared" ca="1" si="73"/>
        <v>-9267.4457645001639</v>
      </c>
      <c r="P119" s="7">
        <f t="shared" ca="1" si="73"/>
        <v>-9545.4691374351696</v>
      </c>
      <c r="Q119" s="7">
        <f t="shared" ca="1" si="73"/>
        <v>-9831.8332115582252</v>
      </c>
      <c r="R119" s="7">
        <f t="shared" ca="1" si="73"/>
        <v>-10126.788207904972</v>
      </c>
      <c r="S119" s="7">
        <f t="shared" ca="1" si="73"/>
        <v>-10430.591854142122</v>
      </c>
      <c r="T119" s="7">
        <f t="shared" ca="1" si="73"/>
        <v>-10743.509609766386</v>
      </c>
      <c r="U119" s="7">
        <f t="shared" ca="1" si="73"/>
        <v>-11065.814898059378</v>
      </c>
      <c r="V119" s="7">
        <f t="shared" ca="1" si="73"/>
        <v>-11397.78934500116</v>
      </c>
      <c r="W119" s="7">
        <f t="shared" ca="1" si="73"/>
        <v>-11739.723025351195</v>
      </c>
      <c r="X119" s="7">
        <f t="shared" ca="1" si="73"/>
        <v>-12091.914716111731</v>
      </c>
      <c r="Y119" s="7">
        <f t="shared" ca="1" si="73"/>
        <v>-12454.672157595083</v>
      </c>
      <c r="Z119" s="7">
        <f t="shared" ca="1" si="73"/>
        <v>-12828.312322322936</v>
      </c>
      <c r="AA119" s="7">
        <f t="shared" ca="1" si="73"/>
        <v>-13213.161691992624</v>
      </c>
      <c r="AB119" s="7">
        <f t="shared" ca="1" si="73"/>
        <v>-13609.556542752403</v>
      </c>
      <c r="AC119" s="7">
        <f t="shared" ca="1" si="73"/>
        <v>-14017.843239034975</v>
      </c>
      <c r="AD119" s="7">
        <f t="shared" ca="1" si="73"/>
        <v>-14438.378536206024</v>
      </c>
      <c r="AE119" s="7">
        <f t="shared" ca="1" si="73"/>
        <v>-14871.529892292205</v>
      </c>
      <c r="AF119" s="7">
        <f t="shared" ca="1" si="73"/>
        <v>-15317.675789060972</v>
      </c>
      <c r="AG119" s="7">
        <f t="shared" ca="1" si="73"/>
        <v>-15777.206062732801</v>
      </c>
      <c r="AH119" s="7">
        <f t="shared" ca="1" si="73"/>
        <v>-16250.522244614785</v>
      </c>
      <c r="AI119" s="7">
        <f t="shared" ca="1" si="73"/>
        <v>-16738.03791195323</v>
      </c>
      <c r="AJ119" s="7">
        <f t="shared" ca="1" si="73"/>
        <v>-17240.179049311828</v>
      </c>
      <c r="AK119" s="7">
        <f t="shared" ca="1" si="73"/>
        <v>-17757.384420791182</v>
      </c>
      <c r="AL119" s="7">
        <f t="shared" ca="1" si="73"/>
        <v>-18290.105953414917</v>
      </c>
      <c r="AM119" s="7">
        <f t="shared" ca="1" si="73"/>
        <v>-18838.809132017366</v>
      </c>
    </row>
    <row r="120" spans="1:39">
      <c r="A120" s="3" t="s">
        <v>50</v>
      </c>
      <c r="C120" s="7">
        <f t="shared" ref="C120:AM120" si="74">IFERROR(IF(C114=0,VLOOKUP($A113,$40:$44,C$1+2,FALSE),0),0)</f>
        <v>0</v>
      </c>
      <c r="D120" s="7">
        <f t="shared" ca="1" si="74"/>
        <v>0</v>
      </c>
      <c r="E120" s="7">
        <f t="shared" ca="1" si="74"/>
        <v>0</v>
      </c>
      <c r="F120" s="7">
        <f t="shared" ca="1" si="74"/>
        <v>0</v>
      </c>
      <c r="G120" s="7">
        <f t="shared" ca="1" si="74"/>
        <v>0</v>
      </c>
      <c r="H120" s="7">
        <f t="shared" ca="1" si="74"/>
        <v>905.12657031249978</v>
      </c>
      <c r="I120" s="7">
        <f t="shared" ca="1" si="74"/>
        <v>927.75473457031217</v>
      </c>
      <c r="J120" s="7">
        <f t="shared" ca="1" si="74"/>
        <v>950.94860293456998</v>
      </c>
      <c r="K120" s="7">
        <f t="shared" ca="1" si="74"/>
        <v>974.72231800793418</v>
      </c>
      <c r="L120" s="7">
        <f t="shared" ca="1" si="74"/>
        <v>999.09037595813231</v>
      </c>
      <c r="M120" s="7">
        <f t="shared" ca="1" si="74"/>
        <v>1024.0676353570857</v>
      </c>
      <c r="N120" s="7">
        <f t="shared" ca="1" si="74"/>
        <v>1049.6693262410129</v>
      </c>
      <c r="O120" s="7">
        <f t="shared" ca="1" si="74"/>
        <v>1075.9110593970381</v>
      </c>
      <c r="P120" s="7">
        <f t="shared" ca="1" si="74"/>
        <v>1102.8088358819639</v>
      </c>
      <c r="Q120" s="7">
        <f t="shared" ca="1" si="74"/>
        <v>1130.3790567790129</v>
      </c>
      <c r="R120" s="7">
        <f t="shared" ca="1" si="74"/>
        <v>1158.6385331984884</v>
      </c>
      <c r="S120" s="7">
        <f t="shared" ca="1" si="74"/>
        <v>1187.6044965284505</v>
      </c>
      <c r="T120" s="7">
        <f t="shared" ca="1" si="74"/>
        <v>1217.2946089416616</v>
      </c>
      <c r="U120" s="7">
        <f t="shared" ca="1" si="74"/>
        <v>1247.7269741652033</v>
      </c>
      <c r="V120" s="7">
        <f t="shared" ca="1" si="74"/>
        <v>1278.9201485193332</v>
      </c>
      <c r="W120" s="7">
        <f t="shared" ca="1" si="74"/>
        <v>1310.8931522323164</v>
      </c>
      <c r="X120" s="7">
        <f t="shared" ca="1" si="74"/>
        <v>1343.6654810381242</v>
      </c>
      <c r="Y120" s="7">
        <f t="shared" ca="1" si="74"/>
        <v>1377.2571180640773</v>
      </c>
      <c r="Z120" s="7">
        <f t="shared" ca="1" si="74"/>
        <v>1411.6885460156793</v>
      </c>
      <c r="AA120" s="7">
        <f t="shared" ca="1" si="74"/>
        <v>1446.9807596660712</v>
      </c>
      <c r="AB120" s="7">
        <f t="shared" ca="1" si="74"/>
        <v>1483.1552786577226</v>
      </c>
      <c r="AC120" s="7">
        <f t="shared" ca="1" si="74"/>
        <v>1520.2341606241657</v>
      </c>
      <c r="AD120" s="7">
        <f t="shared" ca="1" si="74"/>
        <v>1558.2400146397697</v>
      </c>
      <c r="AE120" s="7">
        <f t="shared" ca="1" si="74"/>
        <v>1597.1960150057639</v>
      </c>
      <c r="AF120" s="7">
        <f t="shared" ca="1" si="74"/>
        <v>1637.1259153809081</v>
      </c>
      <c r="AG120" s="7">
        <f t="shared" ca="1" si="74"/>
        <v>1678.0540632654304</v>
      </c>
      <c r="AH120" s="7">
        <f t="shared" ca="1" si="74"/>
        <v>1720.0054148470667</v>
      </c>
      <c r="AI120" s="7">
        <f t="shared" ca="1" si="74"/>
        <v>1763.0055502182429</v>
      </c>
      <c r="AJ120" s="7">
        <f t="shared" ca="1" si="74"/>
        <v>1807.0806889736989</v>
      </c>
      <c r="AK120" s="7">
        <f t="shared" ca="1" si="74"/>
        <v>1852.2577061980414</v>
      </c>
      <c r="AL120" s="7">
        <f t="shared" ca="1" si="74"/>
        <v>1898.5641488529923</v>
      </c>
      <c r="AM120" s="7">
        <f t="shared" ca="1" si="74"/>
        <v>1946.0282525743171</v>
      </c>
    </row>
    <row r="121" spans="1:39">
      <c r="A121" s="3" t="s">
        <v>36</v>
      </c>
      <c r="B121" s="14" t="str">
        <f>A113</f>
        <v>Marsa</v>
      </c>
      <c r="C121" s="7">
        <f t="shared" ref="C121:AM121" ca="1" si="75">IF(AND(C114&gt;0,C117=0),VLOOKUP($A113,$72:$76,C$1+2,FALSE),0)</f>
        <v>0</v>
      </c>
      <c r="D121" s="7">
        <f t="shared" ca="1" si="75"/>
        <v>0</v>
      </c>
      <c r="E121" s="7">
        <f t="shared" ca="1" si="75"/>
        <v>0</v>
      </c>
      <c r="F121" s="7">
        <f t="shared" ca="1" si="75"/>
        <v>0</v>
      </c>
      <c r="G121" s="7">
        <f t="shared" ca="1" si="75"/>
        <v>-3305.6327128793955</v>
      </c>
      <c r="H121" s="7">
        <f t="shared" ca="1" si="75"/>
        <v>0</v>
      </c>
      <c r="I121" s="7">
        <f t="shared" ca="1" si="75"/>
        <v>0</v>
      </c>
      <c r="J121" s="7">
        <f t="shared" ca="1" si="75"/>
        <v>0</v>
      </c>
      <c r="K121" s="7">
        <f t="shared" ca="1" si="75"/>
        <v>0</v>
      </c>
      <c r="L121" s="7">
        <f t="shared" ca="1" si="75"/>
        <v>0</v>
      </c>
      <c r="M121" s="7">
        <f t="shared" ca="1" si="75"/>
        <v>0</v>
      </c>
      <c r="N121" s="7">
        <f t="shared" ca="1" si="75"/>
        <v>0</v>
      </c>
      <c r="O121" s="7">
        <f t="shared" ca="1" si="75"/>
        <v>0</v>
      </c>
      <c r="P121" s="7">
        <f t="shared" ca="1" si="75"/>
        <v>0</v>
      </c>
      <c r="Q121" s="7">
        <f t="shared" ca="1" si="75"/>
        <v>0</v>
      </c>
      <c r="R121" s="7">
        <f t="shared" ca="1" si="75"/>
        <v>0</v>
      </c>
      <c r="S121" s="7">
        <f t="shared" ca="1" si="75"/>
        <v>0</v>
      </c>
      <c r="T121" s="7">
        <f t="shared" ca="1" si="75"/>
        <v>0</v>
      </c>
      <c r="U121" s="7">
        <f t="shared" ca="1" si="75"/>
        <v>0</v>
      </c>
      <c r="V121" s="7">
        <f t="shared" ca="1" si="75"/>
        <v>0</v>
      </c>
      <c r="W121" s="7">
        <f t="shared" ca="1" si="75"/>
        <v>0</v>
      </c>
      <c r="X121" s="7">
        <f t="shared" ca="1" si="75"/>
        <v>0</v>
      </c>
      <c r="Y121" s="7">
        <f t="shared" ca="1" si="75"/>
        <v>0</v>
      </c>
      <c r="Z121" s="7">
        <f t="shared" ca="1" si="75"/>
        <v>0</v>
      </c>
      <c r="AA121" s="7">
        <f t="shared" ca="1" si="75"/>
        <v>0</v>
      </c>
      <c r="AB121" s="7">
        <f t="shared" ca="1" si="75"/>
        <v>0</v>
      </c>
      <c r="AC121" s="7">
        <f t="shared" ca="1" si="75"/>
        <v>0</v>
      </c>
      <c r="AD121" s="7">
        <f t="shared" ca="1" si="75"/>
        <v>0</v>
      </c>
      <c r="AE121" s="7">
        <f t="shared" ca="1" si="75"/>
        <v>0</v>
      </c>
      <c r="AF121" s="7">
        <f t="shared" ca="1" si="75"/>
        <v>0</v>
      </c>
      <c r="AG121" s="7">
        <f t="shared" ca="1" si="75"/>
        <v>0</v>
      </c>
      <c r="AH121" s="7">
        <f t="shared" ca="1" si="75"/>
        <v>0</v>
      </c>
      <c r="AI121" s="7">
        <f t="shared" ca="1" si="75"/>
        <v>0</v>
      </c>
      <c r="AJ121" s="7">
        <f t="shared" ca="1" si="75"/>
        <v>0</v>
      </c>
      <c r="AK121" s="7">
        <f t="shared" ca="1" si="75"/>
        <v>0</v>
      </c>
      <c r="AL121" s="7">
        <f t="shared" ca="1" si="75"/>
        <v>0</v>
      </c>
      <c r="AM121" s="7">
        <f t="shared" ca="1" si="75"/>
        <v>0</v>
      </c>
    </row>
    <row r="122" spans="1:39">
      <c r="A122" s="3" t="s">
        <v>37</v>
      </c>
      <c r="C122" s="7">
        <f ca="1">-C115+SUM(C118:C121)</f>
        <v>0</v>
      </c>
      <c r="D122" s="7">
        <f t="shared" ref="D122" ca="1" si="76">-D115+SUM(D118:D121)</f>
        <v>0</v>
      </c>
      <c r="E122" s="7">
        <f t="shared" ref="E122:AM122" ca="1" si="77">-E115+SUM(E118:E121)</f>
        <v>0</v>
      </c>
      <c r="F122" s="7">
        <f t="shared" ca="1" si="77"/>
        <v>0</v>
      </c>
      <c r="G122" s="7">
        <f t="shared" ca="1" si="77"/>
        <v>111496.26590712059</v>
      </c>
      <c r="H122" s="7">
        <f t="shared" ca="1" si="77"/>
        <v>-6630.1549126375003</v>
      </c>
      <c r="I122" s="7">
        <f t="shared" ca="1" si="77"/>
        <v>-6833.5851928681877</v>
      </c>
      <c r="J122" s="7">
        <f t="shared" ca="1" si="77"/>
        <v>-7043.2315223270853</v>
      </c>
      <c r="K122" s="7">
        <f t="shared" ca="1" si="77"/>
        <v>-7259.2832110115705</v>
      </c>
      <c r="L122" s="7">
        <f t="shared" ca="1" si="77"/>
        <v>-7481.9353189319572</v>
      </c>
      <c r="M122" s="7">
        <f t="shared" ca="1" si="77"/>
        <v>-7711.3888303797066</v>
      </c>
      <c r="N122" s="7">
        <f t="shared" ca="1" si="77"/>
        <v>-7947.8508334678836</v>
      </c>
      <c r="O122" s="7">
        <f t="shared" ca="1" si="77"/>
        <v>-8191.5347051031258</v>
      </c>
      <c r="P122" s="7">
        <f t="shared" ca="1" si="77"/>
        <v>-8442.6603015532055</v>
      </c>
      <c r="Q122" s="7">
        <f t="shared" ca="1" si="77"/>
        <v>-8701.4541547792123</v>
      </c>
      <c r="R122" s="7">
        <f t="shared" ca="1" si="77"/>
        <v>-8968.1496747064848</v>
      </c>
      <c r="S122" s="7">
        <f t="shared" ca="1" si="77"/>
        <v>-9242.9873576136706</v>
      </c>
      <c r="T122" s="7">
        <f t="shared" ca="1" si="77"/>
        <v>-9526.2150008247245</v>
      </c>
      <c r="U122" s="7">
        <f t="shared" ca="1" si="77"/>
        <v>-9818.0879238941743</v>
      </c>
      <c r="V122" s="7">
        <f t="shared" ca="1" si="77"/>
        <v>-10118.869196481826</v>
      </c>
      <c r="W122" s="7">
        <f t="shared" ca="1" si="77"/>
        <v>-10428.829873118879</v>
      </c>
      <c r="X122" s="7">
        <f t="shared" ca="1" si="77"/>
        <v>-10748.249235073607</v>
      </c>
      <c r="Y122" s="7">
        <f t="shared" ca="1" si="77"/>
        <v>-11077.415039531006</v>
      </c>
      <c r="Z122" s="7">
        <f t="shared" ca="1" si="77"/>
        <v>-11416.623776307257</v>
      </c>
      <c r="AA122" s="7">
        <f t="shared" ca="1" si="77"/>
        <v>-11766.180932326552</v>
      </c>
      <c r="AB122" s="7">
        <f t="shared" ca="1" si="77"/>
        <v>-12126.40126409468</v>
      </c>
      <c r="AC122" s="7">
        <f t="shared" ca="1" si="77"/>
        <v>-12497.609078410809</v>
      </c>
      <c r="AD122" s="7">
        <f t="shared" ca="1" si="77"/>
        <v>-12880.138521566254</v>
      </c>
      <c r="AE122" s="7">
        <f t="shared" ca="1" si="77"/>
        <v>-13274.333877286441</v>
      </c>
      <c r="AF122" s="7">
        <f t="shared" ca="1" si="77"/>
        <v>-13680.549873680064</v>
      </c>
      <c r="AG122" s="7">
        <f t="shared" ca="1" si="77"/>
        <v>-14099.151999467371</v>
      </c>
      <c r="AH122" s="7">
        <f t="shared" ca="1" si="77"/>
        <v>-14530.516829767719</v>
      </c>
      <c r="AI122" s="7">
        <f t="shared" ca="1" si="77"/>
        <v>-14975.032361734988</v>
      </c>
      <c r="AJ122" s="7">
        <f t="shared" ca="1" si="77"/>
        <v>-15433.098360338128</v>
      </c>
      <c r="AK122" s="7">
        <f t="shared" ca="1" si="77"/>
        <v>-15905.126714593142</v>
      </c>
      <c r="AL122" s="7">
        <f t="shared" ca="1" si="77"/>
        <v>-16391.541804561926</v>
      </c>
      <c r="AM122" s="7">
        <f t="shared" ca="1" si="77"/>
        <v>-16892.780879443049</v>
      </c>
    </row>
    <row r="123" spans="1:39">
      <c r="A123" s="3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</row>
    <row r="124" spans="1:39">
      <c r="A124" s="3" t="s">
        <v>77</v>
      </c>
      <c r="C124" s="7">
        <f ca="1">C110+SUM($C122:C122)</f>
        <v>37716.75</v>
      </c>
      <c r="D124" s="7">
        <f ca="1">D110+SUM($C122:D122)</f>
        <v>69048.493749999994</v>
      </c>
      <c r="E124" s="7">
        <f ca="1">E110+SUM($C122:E122)</f>
        <v>71891.10341475303</v>
      </c>
      <c r="F124" s="7">
        <f ca="1">F110+SUM($C122:F122)</f>
        <v>55330.661493535095</v>
      </c>
      <c r="G124" s="7">
        <f ca="1">G110+SUM($C122:G122)</f>
        <v>120235.85809349496</v>
      </c>
      <c r="H124" s="7">
        <f ca="1">H110+SUM($C122:H122)</f>
        <v>77138.915299650311</v>
      </c>
      <c r="I124" s="7">
        <f ca="1">I110+SUM($C122:I122)</f>
        <v>39745.714091955873</v>
      </c>
      <c r="J124" s="7">
        <f ca="1">J110+SUM($C122:J122)</f>
        <v>-15141.744414295084</v>
      </c>
      <c r="K124" s="7">
        <f ca="1">K110+SUM($C122:K122)</f>
        <v>8986.2438001967093</v>
      </c>
      <c r="L124" s="7">
        <f ca="1">L110+SUM($C122:L122)</f>
        <v>-60633.127833506587</v>
      </c>
      <c r="M124" s="7">
        <f ca="1">M110+SUM($C122:M122)</f>
        <v>-79455.542395054625</v>
      </c>
      <c r="N124" s="7">
        <f ca="1">N110+SUM($C122:N122)</f>
        <v>-98546.92986373973</v>
      </c>
      <c r="O124" s="7">
        <f ca="1">O110+SUM($C122:O122)</f>
        <v>-117907.96693853333</v>
      </c>
      <c r="P124" s="7">
        <f ca="1">P110+SUM($C122:P122)</f>
        <v>-137539.16580716977</v>
      </c>
      <c r="Q124" s="7">
        <f ca="1">Q110+SUM($C122:Q122)</f>
        <v>-157440.86459050441</v>
      </c>
      <c r="R124" s="7">
        <f ca="1">R110+SUM($C122:R122)</f>
        <v>-177613.21738469417</v>
      </c>
      <c r="S124" s="7">
        <f ca="1">S110+SUM($C122:S122)</f>
        <v>-180539.0175624539</v>
      </c>
      <c r="T124" s="7">
        <f ca="1">T110+SUM($C122:T122)</f>
        <v>-175689.16547290739</v>
      </c>
      <c r="U124" s="7">
        <f ca="1">U110+SUM($C122:U122)</f>
        <v>-170470.13993628148</v>
      </c>
      <c r="V124" s="7">
        <f ca="1">V110+SUM($C122:V122)</f>
        <v>-164865.27380205394</v>
      </c>
      <c r="W124" s="7">
        <f ca="1">W110+SUM($C122:W122)</f>
        <v>-158857.26010650909</v>
      </c>
      <c r="X124" s="7">
        <f ca="1">X110+SUM($C122:X122)</f>
        <v>-172583.11159894709</v>
      </c>
      <c r="Y124" s="7">
        <f ca="1">Y110+SUM($C122:Y122)</f>
        <v>-186373.06519293966</v>
      </c>
      <c r="Z124" s="7">
        <f ca="1">Z110+SUM($C122:Z122)</f>
        <v>-200220.35211545287</v>
      </c>
      <c r="AA124" s="7">
        <f ca="1">AA110+SUM($C122:AA122)</f>
        <v>-214117.78323435993</v>
      </c>
      <c r="AB124" s="7">
        <f ca="1">AB110+SUM($C122:AB122)</f>
        <v>-228057.73101527058</v>
      </c>
      <c r="AC124" s="7">
        <f ca="1">AC110+SUM($C122:AC122)</f>
        <v>-242032.11080125583</v>
      </c>
      <c r="AD124" s="7">
        <f ca="1">AD110+SUM($C122:AD122)</f>
        <v>-246293.36130026059</v>
      </c>
      <c r="AE124" s="7">
        <f ca="1">AE110+SUM($C122:AE122)</f>
        <v>-250461.39326090057</v>
      </c>
      <c r="AF124" s="7">
        <f ca="1">AF110+SUM($C122:AF122)</f>
        <v>-254877.71843144484</v>
      </c>
      <c r="AG124" s="7">
        <f ca="1">AG110+SUM($C122:AG122)</f>
        <v>-259550.47315116265</v>
      </c>
      <c r="AH124" s="7">
        <f ca="1">AH110+SUM($C122:AH122)</f>
        <v>-263978.93182392034</v>
      </c>
      <c r="AI124" s="7">
        <f ca="1">AI110+SUM($C122:AI122)</f>
        <v>-268141.23796810483</v>
      </c>
      <c r="AJ124" s="7">
        <f ca="1">AJ110+SUM($C122:AJ122)</f>
        <v>-272020.35717573756</v>
      </c>
      <c r="AK124" s="7">
        <f ca="1">AK110+SUM($C122:AK122)</f>
        <v>-275598.52425742935</v>
      </c>
      <c r="AL124" s="7">
        <f ca="1">AL110+SUM($C122:AL122)</f>
        <v>-278857.21598762466</v>
      </c>
      <c r="AM124" s="7">
        <f ca="1">AM110+SUM($C122:AM122)</f>
        <v>-281378.85832486459</v>
      </c>
    </row>
    <row r="125" spans="1:39">
      <c r="A125" s="3" t="s">
        <v>74</v>
      </c>
      <c r="C125" s="7">
        <f t="shared" ref="C125:AM125" ca="1" si="78">MAX(C124+buffer,0)-MAX(C110+buffer,0)</f>
        <v>0</v>
      </c>
      <c r="D125" s="7">
        <f t="shared" ca="1" si="78"/>
        <v>0</v>
      </c>
      <c r="E125" s="7">
        <f t="shared" ca="1" si="78"/>
        <v>0</v>
      </c>
      <c r="F125" s="7">
        <f t="shared" ca="1" si="78"/>
        <v>0</v>
      </c>
      <c r="G125" s="7">
        <f t="shared" ca="1" si="78"/>
        <v>111496.2659071206</v>
      </c>
      <c r="H125" s="7">
        <f t="shared" ca="1" si="78"/>
        <v>104866.11099448308</v>
      </c>
      <c r="I125" s="7">
        <f t="shared" ca="1" si="78"/>
        <v>79745.714091955873</v>
      </c>
      <c r="J125" s="7">
        <f t="shared" ca="1" si="78"/>
        <v>24858.255585704916</v>
      </c>
      <c r="K125" s="7">
        <f t="shared" ca="1" si="78"/>
        <v>48986.243800196709</v>
      </c>
      <c r="L125" s="7">
        <f t="shared" ca="1" si="78"/>
        <v>0</v>
      </c>
      <c r="M125" s="7">
        <f t="shared" ca="1" si="78"/>
        <v>0</v>
      </c>
      <c r="N125" s="7">
        <f t="shared" ca="1" si="78"/>
        <v>0</v>
      </c>
      <c r="O125" s="7">
        <f t="shared" ca="1" si="78"/>
        <v>0</v>
      </c>
      <c r="P125" s="7">
        <f t="shared" ca="1" si="78"/>
        <v>0</v>
      </c>
      <c r="Q125" s="7">
        <f t="shared" ca="1" si="78"/>
        <v>0</v>
      </c>
      <c r="R125" s="7">
        <f t="shared" ca="1" si="78"/>
        <v>0</v>
      </c>
      <c r="S125" s="7">
        <f t="shared" ca="1" si="78"/>
        <v>0</v>
      </c>
      <c r="T125" s="7">
        <f t="shared" ca="1" si="78"/>
        <v>0</v>
      </c>
      <c r="U125" s="7">
        <f t="shared" ca="1" si="78"/>
        <v>0</v>
      </c>
      <c r="V125" s="7">
        <f t="shared" ca="1" si="78"/>
        <v>0</v>
      </c>
      <c r="W125" s="7">
        <f t="shared" ca="1" si="78"/>
        <v>0</v>
      </c>
      <c r="X125" s="7">
        <f t="shared" ca="1" si="78"/>
        <v>0</v>
      </c>
      <c r="Y125" s="7">
        <f t="shared" ca="1" si="78"/>
        <v>0</v>
      </c>
      <c r="Z125" s="7">
        <f t="shared" ca="1" si="78"/>
        <v>0</v>
      </c>
      <c r="AA125" s="7">
        <f t="shared" ca="1" si="78"/>
        <v>0</v>
      </c>
      <c r="AB125" s="7">
        <f t="shared" ca="1" si="78"/>
        <v>0</v>
      </c>
      <c r="AC125" s="7">
        <f t="shared" ca="1" si="78"/>
        <v>0</v>
      </c>
      <c r="AD125" s="7">
        <f t="shared" ca="1" si="78"/>
        <v>0</v>
      </c>
      <c r="AE125" s="7">
        <f t="shared" ca="1" si="78"/>
        <v>0</v>
      </c>
      <c r="AF125" s="7">
        <f t="shared" ca="1" si="78"/>
        <v>0</v>
      </c>
      <c r="AG125" s="7">
        <f t="shared" ca="1" si="78"/>
        <v>0</v>
      </c>
      <c r="AH125" s="7">
        <f t="shared" ca="1" si="78"/>
        <v>0</v>
      </c>
      <c r="AI125" s="7">
        <f t="shared" ca="1" si="78"/>
        <v>0</v>
      </c>
      <c r="AJ125" s="7">
        <f t="shared" ca="1" si="78"/>
        <v>0</v>
      </c>
      <c r="AK125" s="7">
        <f t="shared" ca="1" si="78"/>
        <v>0</v>
      </c>
      <c r="AL125" s="7">
        <f t="shared" ca="1" si="78"/>
        <v>0</v>
      </c>
      <c r="AM125" s="7">
        <f t="shared" ca="1" si="78"/>
        <v>0</v>
      </c>
    </row>
    <row r="126" spans="1:39">
      <c r="A126" s="3" t="s">
        <v>75</v>
      </c>
      <c r="C126" s="7">
        <f ca="1">C125*Inputs!$B$181</f>
        <v>0</v>
      </c>
      <c r="D126" s="7">
        <f ca="1">D125*Inputs!$B$181</f>
        <v>0</v>
      </c>
      <c r="E126" s="7">
        <f ca="1">E125*Inputs!$B$181</f>
        <v>0</v>
      </c>
      <c r="F126" s="7">
        <f ca="1">F125*Inputs!$B$181</f>
        <v>0</v>
      </c>
      <c r="G126" s="7">
        <f ca="1">G125*Inputs!$B$181</f>
        <v>2787.4066476780154</v>
      </c>
      <c r="H126" s="7">
        <f ca="1">H125*Inputs!$B$181</f>
        <v>2621.6527748620774</v>
      </c>
      <c r="I126" s="7">
        <f ca="1">I125*Inputs!$B$181</f>
        <v>1993.642852298897</v>
      </c>
      <c r="J126" s="7">
        <f ca="1">J125*Inputs!$B$181</f>
        <v>621.45638964262298</v>
      </c>
      <c r="K126" s="7">
        <f ca="1">K125*Inputs!$B$181</f>
        <v>1224.6560950049177</v>
      </c>
      <c r="L126" s="7">
        <f ca="1">L125*Inputs!$B$181</f>
        <v>0</v>
      </c>
      <c r="M126" s="7">
        <f ca="1">M125*Inputs!$B$181</f>
        <v>0</v>
      </c>
      <c r="N126" s="7">
        <f ca="1">N125*Inputs!$B$181</f>
        <v>0</v>
      </c>
      <c r="O126" s="7">
        <f ca="1">O125*Inputs!$B$181</f>
        <v>0</v>
      </c>
      <c r="P126" s="7">
        <f ca="1">P125*Inputs!$B$181</f>
        <v>0</v>
      </c>
      <c r="Q126" s="7">
        <f ca="1">Q125*Inputs!$B$181</f>
        <v>0</v>
      </c>
      <c r="R126" s="7">
        <f ca="1">R125*Inputs!$B$181</f>
        <v>0</v>
      </c>
      <c r="S126" s="7">
        <f ca="1">S125*Inputs!$B$181</f>
        <v>0</v>
      </c>
      <c r="T126" s="7">
        <f ca="1">T125*Inputs!$B$181</f>
        <v>0</v>
      </c>
      <c r="U126" s="7">
        <f ca="1">U125*Inputs!$B$181</f>
        <v>0</v>
      </c>
      <c r="V126" s="7">
        <f ca="1">V125*Inputs!$B$181</f>
        <v>0</v>
      </c>
      <c r="W126" s="7">
        <f ca="1">W125*Inputs!$B$181</f>
        <v>0</v>
      </c>
      <c r="X126" s="7">
        <f ca="1">X125*Inputs!$B$181</f>
        <v>0</v>
      </c>
      <c r="Y126" s="7">
        <f ca="1">Y125*Inputs!$B$181</f>
        <v>0</v>
      </c>
      <c r="Z126" s="7">
        <f ca="1">Z125*Inputs!$B$181</f>
        <v>0</v>
      </c>
      <c r="AA126" s="7">
        <f ca="1">AA125*Inputs!$B$181</f>
        <v>0</v>
      </c>
      <c r="AB126" s="7">
        <f ca="1">AB125*Inputs!$B$181</f>
        <v>0</v>
      </c>
      <c r="AC126" s="7">
        <f ca="1">AC125*Inputs!$B$181</f>
        <v>0</v>
      </c>
      <c r="AD126" s="7">
        <f ca="1">AD125*Inputs!$B$181</f>
        <v>0</v>
      </c>
      <c r="AE126" s="7">
        <f ca="1">AE125*Inputs!$B$181</f>
        <v>0</v>
      </c>
      <c r="AF126" s="7">
        <f ca="1">AF125*Inputs!$B$181</f>
        <v>0</v>
      </c>
      <c r="AG126" s="7">
        <f ca="1">AG125*Inputs!$B$181</f>
        <v>0</v>
      </c>
      <c r="AH126" s="7">
        <f ca="1">AH125*Inputs!$B$181</f>
        <v>0</v>
      </c>
      <c r="AI126" s="7">
        <f ca="1">AI125*Inputs!$B$181</f>
        <v>0</v>
      </c>
      <c r="AJ126" s="7">
        <f ca="1">AJ125*Inputs!$B$181</f>
        <v>0</v>
      </c>
      <c r="AK126" s="7">
        <f ca="1">AK125*Inputs!$B$181</f>
        <v>0</v>
      </c>
      <c r="AL126" s="7">
        <f ca="1">AL125*Inputs!$B$181</f>
        <v>0</v>
      </c>
      <c r="AM126" s="7">
        <f ca="1">AM125*Inputs!$B$181</f>
        <v>0</v>
      </c>
    </row>
    <row r="127" spans="1:39">
      <c r="A127" s="3" t="s">
        <v>158</v>
      </c>
      <c r="C127" s="7">
        <f ca="1">C124+SUM($C126:C126)</f>
        <v>37716.75</v>
      </c>
      <c r="D127" s="7">
        <f ca="1">D124+SUM($C126:D126)</f>
        <v>69048.493749999994</v>
      </c>
      <c r="E127" s="7">
        <f ca="1">E124+SUM($C126:E126)</f>
        <v>71891.10341475303</v>
      </c>
      <c r="F127" s="7">
        <f ca="1">F124+SUM($C126:F126)</f>
        <v>55330.661493535095</v>
      </c>
      <c r="G127" s="7">
        <f ca="1">G124+SUM($C126:G126)</f>
        <v>123023.26474117297</v>
      </c>
      <c r="H127" s="7">
        <f ca="1">H124+SUM($C126:H126)</f>
        <v>82547.974722190411</v>
      </c>
      <c r="I127" s="7">
        <f ca="1">I124+SUM($C126:I126)</f>
        <v>47148.41636679486</v>
      </c>
      <c r="J127" s="7">
        <f ca="1">J124+SUM($C126:J126)</f>
        <v>-7117.5857498134719</v>
      </c>
      <c r="K127" s="7">
        <f ca="1">K124+SUM($C126:K126)</f>
        <v>18235.058559683239</v>
      </c>
      <c r="L127" s="7">
        <f ca="1">L124+SUM($C126:L126)</f>
        <v>-51384.313074020058</v>
      </c>
      <c r="M127" s="7">
        <f ca="1">M124+SUM($C126:M126)</f>
        <v>-70206.727635568095</v>
      </c>
      <c r="N127" s="7">
        <f ca="1">N124+SUM($C126:N126)</f>
        <v>-89298.1151042532</v>
      </c>
      <c r="O127" s="7">
        <f ca="1">O124+SUM($C126:O126)</f>
        <v>-108659.1521790468</v>
      </c>
      <c r="P127" s="7">
        <f ca="1">P124+SUM($C126:P126)</f>
        <v>-128290.35104768325</v>
      </c>
      <c r="Q127" s="7">
        <f ca="1">Q124+SUM($C126:Q126)</f>
        <v>-148192.04983101788</v>
      </c>
      <c r="R127" s="7">
        <f ca="1">R124+SUM($C126:R126)</f>
        <v>-168364.40262520764</v>
      </c>
      <c r="S127" s="7">
        <f ca="1">S124+SUM($C126:S126)</f>
        <v>-171290.20280296737</v>
      </c>
      <c r="T127" s="7">
        <f ca="1">T124+SUM($C126:T126)</f>
        <v>-166440.35071342086</v>
      </c>
      <c r="U127" s="7">
        <f ca="1">U124+SUM($C126:U126)</f>
        <v>-161221.32517679496</v>
      </c>
      <c r="V127" s="7">
        <f ca="1">V124+SUM($C126:V126)</f>
        <v>-155616.45904256741</v>
      </c>
      <c r="W127" s="7">
        <f ca="1">W124+SUM($C126:W126)</f>
        <v>-149608.44534702256</v>
      </c>
      <c r="X127" s="7">
        <f ca="1">X124+SUM($C126:X126)</f>
        <v>-163334.29683946056</v>
      </c>
      <c r="Y127" s="7">
        <f ca="1">Y124+SUM($C126:Y126)</f>
        <v>-177124.25043345313</v>
      </c>
      <c r="Z127" s="7">
        <f ca="1">Z124+SUM($C126:Z126)</f>
        <v>-190971.53735596634</v>
      </c>
      <c r="AA127" s="7">
        <f ca="1">AA124+SUM($C126:AA126)</f>
        <v>-204868.9684748734</v>
      </c>
      <c r="AB127" s="7">
        <f ca="1">AB124+SUM($C126:AB126)</f>
        <v>-218808.91625578405</v>
      </c>
      <c r="AC127" s="7">
        <f ca="1">AC124+SUM($C126:AC126)</f>
        <v>-232783.2960417693</v>
      </c>
      <c r="AD127" s="7">
        <f ca="1">AD124+SUM($C126:AD126)</f>
        <v>-237044.54654077406</v>
      </c>
      <c r="AE127" s="7">
        <f ca="1">AE124+SUM($C126:AE126)</f>
        <v>-241212.57850141404</v>
      </c>
      <c r="AF127" s="7">
        <f ca="1">AF124+SUM($C126:AF126)</f>
        <v>-245628.90367195831</v>
      </c>
      <c r="AG127" s="7">
        <f ca="1">AG124+SUM($C126:AG126)</f>
        <v>-250301.65839167612</v>
      </c>
      <c r="AH127" s="7">
        <f ca="1">AH124+SUM($C126:AH126)</f>
        <v>-254730.11706443381</v>
      </c>
      <c r="AI127" s="7">
        <f ca="1">AI124+SUM($C126:AI126)</f>
        <v>-258892.4232086183</v>
      </c>
      <c r="AJ127" s="7">
        <f ca="1">AJ124+SUM($C126:AJ126)</f>
        <v>-262771.54241625103</v>
      </c>
      <c r="AK127" s="7">
        <f ca="1">AK124+SUM($C126:AK126)</f>
        <v>-266349.70949794282</v>
      </c>
      <c r="AL127" s="7">
        <f ca="1">AL124+SUM($C126:AL126)</f>
        <v>-269608.40122813813</v>
      </c>
      <c r="AM127" s="7">
        <f ca="1">AM124+SUM($C126:AM126)</f>
        <v>-272130.04356537806</v>
      </c>
    </row>
    <row r="128" spans="1:39">
      <c r="A128" s="3" t="s">
        <v>20</v>
      </c>
      <c r="C128" s="7">
        <f ca="1">IF(C127&lt;0,-C127,0)</f>
        <v>0</v>
      </c>
      <c r="D128" s="7">
        <f ca="1">IF(D127+SUM($C128:C128)&lt;0,-(D127+SUM($C128:C128)),0)</f>
        <v>0</v>
      </c>
      <c r="E128" s="7">
        <f ca="1">IF(E127+SUM($C128:D128)&lt;0,-(E127+SUM($C128:D128)),0)</f>
        <v>0</v>
      </c>
      <c r="F128" s="7">
        <f ca="1">IF(F127+SUM($C128:E128)&lt;0,-(F127+SUM($C128:E128)),0)</f>
        <v>0</v>
      </c>
      <c r="G128" s="7">
        <f ca="1">IF(G127+SUM($C128:F128)&lt;0,-(G127+SUM($C128:F128)),0)</f>
        <v>0</v>
      </c>
      <c r="H128" s="7">
        <f ca="1">IF(H127+SUM($C128:G128)&lt;0,-(H127+SUM($C128:G128)),0)</f>
        <v>0</v>
      </c>
      <c r="I128" s="7">
        <f ca="1">IF(I127+SUM($C128:H128)&lt;0,-(I127+SUM($C128:H128)),0)</f>
        <v>0</v>
      </c>
      <c r="J128" s="7">
        <f ca="1">IF(J127+SUM($C128:I128)&lt;0,-(J127+SUM($C128:I128)),0)</f>
        <v>7117.5857498134719</v>
      </c>
      <c r="K128" s="7">
        <f ca="1">IF(K127+SUM($C128:J128)&lt;0,-(K127+SUM($C128:J128)),0)</f>
        <v>0</v>
      </c>
      <c r="L128" s="7">
        <f ca="1">IF(L127+SUM($C128:K128)&lt;0,-(L127+SUM($C128:K128)),0)</f>
        <v>44266.727324206586</v>
      </c>
      <c r="M128" s="7">
        <f ca="1">IF(M127+SUM($C128:L128)&lt;0,-(M127+SUM($C128:L128)),0)</f>
        <v>18822.414561548037</v>
      </c>
      <c r="N128" s="7">
        <f ca="1">IF(N127+SUM($C128:M128)&lt;0,-(N127+SUM($C128:M128)),0)</f>
        <v>19091.387468685105</v>
      </c>
      <c r="O128" s="7">
        <f ca="1">IF(O127+SUM($C128:N128)&lt;0,-(O127+SUM($C128:N128)),0)</f>
        <v>19361.037074793596</v>
      </c>
      <c r="P128" s="7">
        <f ca="1">IF(P127+SUM($C128:O128)&lt;0,-(P127+SUM($C128:O128)),0)</f>
        <v>19631.198868636449</v>
      </c>
      <c r="Q128" s="7">
        <f ca="1">IF(Q127+SUM($C128:P128)&lt;0,-(Q127+SUM($C128:P128)),0)</f>
        <v>19901.698783334636</v>
      </c>
      <c r="R128" s="7">
        <f ca="1">IF(R127+SUM($C128:Q128)&lt;0,-(R127+SUM($C128:Q128)),0)</f>
        <v>20172.352794189763</v>
      </c>
      <c r="S128" s="7">
        <f ca="1">IF(S127+SUM($C128:R128)&lt;0,-(S127+SUM($C128:R128)),0)</f>
        <v>2925.8001777597237</v>
      </c>
      <c r="T128" s="7">
        <f ca="1">IF(T127+SUM($C128:S128)&lt;0,-(T127+SUM($C128:S128)),0)</f>
        <v>0</v>
      </c>
      <c r="U128" s="7">
        <f ca="1">IF(U127+SUM($C128:T128)&lt;0,-(U127+SUM($C128:T128)),0)</f>
        <v>0</v>
      </c>
      <c r="V128" s="7">
        <f ca="1">IF(V127+SUM($C128:U128)&lt;0,-(V127+SUM($C128:U128)),0)</f>
        <v>0</v>
      </c>
      <c r="W128" s="7">
        <f ca="1">IF(W127+SUM($C128:V128)&lt;0,-(W127+SUM($C128:V128)),0)</f>
        <v>0</v>
      </c>
      <c r="X128" s="7">
        <f ca="1">IF(X127+SUM($C128:W128)&lt;0,-(X127+SUM($C128:W128)),0)</f>
        <v>0</v>
      </c>
      <c r="Y128" s="7">
        <f ca="1">IF(Y127+SUM($C128:X128)&lt;0,-(Y127+SUM($C128:X128)),0)</f>
        <v>5834.0476304857584</v>
      </c>
      <c r="Z128" s="7">
        <f ca="1">IF(Z127+SUM($C128:Y128)&lt;0,-(Z127+SUM($C128:Y128)),0)</f>
        <v>13847.286922513216</v>
      </c>
      <c r="AA128" s="7">
        <f ca="1">IF(AA127+SUM($C128:Z128)&lt;0,-(AA127+SUM($C128:Z128)),0)</f>
        <v>13897.431118907058</v>
      </c>
      <c r="AB128" s="7">
        <f ca="1">IF(AB127+SUM($C128:AA128)&lt;0,-(AB127+SUM($C128:AA128)),0)</f>
        <v>13939.947780910647</v>
      </c>
      <c r="AC128" s="7">
        <f ca="1">IF(AC127+SUM($C128:AB128)&lt;0,-(AC127+SUM($C128:AB128)),0)</f>
        <v>13974.379785985249</v>
      </c>
      <c r="AD128" s="7">
        <f ca="1">IF(AD127+SUM($C128:AC128)&lt;0,-(AD127+SUM($C128:AC128)),0)</f>
        <v>4261.2504990047601</v>
      </c>
      <c r="AE128" s="7">
        <f ca="1">IF(AE127+SUM($C128:AD128)&lt;0,-(AE127+SUM($C128:AD128)),0)</f>
        <v>4168.0319606399862</v>
      </c>
      <c r="AF128" s="7">
        <f ca="1">IF(AF127+SUM($C128:AE128)&lt;0,-(AF127+SUM($C128:AE128)),0)</f>
        <v>4416.3251705442672</v>
      </c>
      <c r="AG128" s="7">
        <f ca="1">IF(AG127+SUM($C128:AF128)&lt;0,-(AG127+SUM($C128:AF128)),0)</f>
        <v>4672.7547197178064</v>
      </c>
      <c r="AH128" s="7">
        <f ca="1">IF(AH127+SUM($C128:AG128)&lt;0,-(AH127+SUM($C128:AG128)),0)</f>
        <v>4428.4586727576971</v>
      </c>
      <c r="AI128" s="7">
        <f ca="1">IF(AI127+SUM($C128:AH128)&lt;0,-(AI127+SUM($C128:AH128)),0)</f>
        <v>4162.3061441844911</v>
      </c>
      <c r="AJ128" s="7">
        <f ca="1">IF(AJ127+SUM($C128:AI128)&lt;0,-(AJ127+SUM($C128:AI128)),0)</f>
        <v>3879.1192076327279</v>
      </c>
      <c r="AK128" s="7">
        <f ca="1">IF(AK127+SUM($C128:AJ128)&lt;0,-(AK127+SUM($C128:AJ128)),0)</f>
        <v>3578.1670816917904</v>
      </c>
      <c r="AL128" s="7">
        <f ca="1">IF(AL127+SUM($C128:AK128)&lt;0,-(AL127+SUM($C128:AK128)),0)</f>
        <v>3258.6917301953072</v>
      </c>
      <c r="AM128" s="7">
        <f ca="1">IF(AM127+SUM($C128:AL128)&lt;0,-(AM127+SUM($C128:AL128)),0)</f>
        <v>2521.6423372399295</v>
      </c>
    </row>
    <row r="129" spans="1:39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</row>
    <row r="130" spans="1:39">
      <c r="A130" s="24" t="str">
        <f>IF(Inputs!$B$197=6,IFERROR(_xlfn.XLOOKUP($B130,Inputs!$B$198:$B$202,Inputs!$A$198:$A$202,,0,1),""),IFERROR(_xlfn.XLOOKUP($B130,Inputs!$C$198:$C$202,Inputs!$A$198:$A$202,,0,1),""))</f>
        <v>Gzira</v>
      </c>
      <c r="B130" s="26">
        <v>3</v>
      </c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</row>
    <row r="131" spans="1:39">
      <c r="A131" s="3" t="s">
        <v>22</v>
      </c>
      <c r="C131" s="7">
        <f>IFERROR(VLOOKUP($A130,$A$60:$H$78,C$1+2,FALSE),0)</f>
        <v>154500</v>
      </c>
      <c r="D131" s="7">
        <f ca="1">C134</f>
        <v>154500</v>
      </c>
      <c r="E131" s="7">
        <f t="shared" ref="E131:AM131" ca="1" si="79">D134</f>
        <v>159135</v>
      </c>
      <c r="F131" s="7">
        <f t="shared" ca="1" si="79"/>
        <v>163909.04999999999</v>
      </c>
      <c r="G131" s="7">
        <f t="shared" ca="1" si="79"/>
        <v>168826.32149999999</v>
      </c>
      <c r="H131" s="7">
        <f t="shared" ca="1" si="79"/>
        <v>173891.111145</v>
      </c>
      <c r="I131" s="7">
        <f t="shared" ca="1" si="79"/>
        <v>179107.84447934999</v>
      </c>
      <c r="J131" s="7">
        <f t="shared" ca="1" si="79"/>
        <v>0</v>
      </c>
      <c r="K131" s="7">
        <f t="shared" ca="1" si="79"/>
        <v>0</v>
      </c>
      <c r="L131" s="7">
        <f t="shared" ca="1" si="79"/>
        <v>0</v>
      </c>
      <c r="M131" s="7">
        <f t="shared" ca="1" si="79"/>
        <v>0</v>
      </c>
      <c r="N131" s="7">
        <f t="shared" ca="1" si="79"/>
        <v>0</v>
      </c>
      <c r="O131" s="7">
        <f t="shared" ca="1" si="79"/>
        <v>0</v>
      </c>
      <c r="P131" s="7">
        <f t="shared" ca="1" si="79"/>
        <v>0</v>
      </c>
      <c r="Q131" s="7">
        <f t="shared" ca="1" si="79"/>
        <v>0</v>
      </c>
      <c r="R131" s="7">
        <f t="shared" ca="1" si="79"/>
        <v>0</v>
      </c>
      <c r="S131" s="7">
        <f t="shared" ca="1" si="79"/>
        <v>0</v>
      </c>
      <c r="T131" s="7">
        <f t="shared" ca="1" si="79"/>
        <v>0</v>
      </c>
      <c r="U131" s="7">
        <f t="shared" ca="1" si="79"/>
        <v>0</v>
      </c>
      <c r="V131" s="7">
        <f t="shared" ca="1" si="79"/>
        <v>0</v>
      </c>
      <c r="W131" s="7">
        <f t="shared" ca="1" si="79"/>
        <v>0</v>
      </c>
      <c r="X131" s="7">
        <f t="shared" ca="1" si="79"/>
        <v>0</v>
      </c>
      <c r="Y131" s="7">
        <f t="shared" ca="1" si="79"/>
        <v>0</v>
      </c>
      <c r="Z131" s="7">
        <f t="shared" ca="1" si="79"/>
        <v>0</v>
      </c>
      <c r="AA131" s="7">
        <f t="shared" ca="1" si="79"/>
        <v>0</v>
      </c>
      <c r="AB131" s="7">
        <f t="shared" ca="1" si="79"/>
        <v>0</v>
      </c>
      <c r="AC131" s="7">
        <f t="shared" ca="1" si="79"/>
        <v>0</v>
      </c>
      <c r="AD131" s="7">
        <f t="shared" ca="1" si="79"/>
        <v>0</v>
      </c>
      <c r="AE131" s="7">
        <f t="shared" ca="1" si="79"/>
        <v>0</v>
      </c>
      <c r="AF131" s="7">
        <f t="shared" ca="1" si="79"/>
        <v>0</v>
      </c>
      <c r="AG131" s="7">
        <f t="shared" ca="1" si="79"/>
        <v>0</v>
      </c>
      <c r="AH131" s="7">
        <f t="shared" ca="1" si="79"/>
        <v>0</v>
      </c>
      <c r="AI131" s="7">
        <f t="shared" ca="1" si="79"/>
        <v>0</v>
      </c>
      <c r="AJ131" s="7">
        <f t="shared" ca="1" si="79"/>
        <v>0</v>
      </c>
      <c r="AK131" s="7">
        <f t="shared" ca="1" si="79"/>
        <v>0</v>
      </c>
      <c r="AL131" s="7">
        <f t="shared" ca="1" si="79"/>
        <v>0</v>
      </c>
      <c r="AM131" s="7">
        <f t="shared" ca="1" si="79"/>
        <v>0</v>
      </c>
    </row>
    <row r="132" spans="1:39">
      <c r="A132" s="3" t="s">
        <v>23</v>
      </c>
      <c r="C132" s="7">
        <f ca="1">-IF(SUM(C128:D128)&gt;0,C131,0)</f>
        <v>0</v>
      </c>
      <c r="D132" s="7">
        <f ca="1">-IF(E128&gt;0,D131,0)</f>
        <v>0</v>
      </c>
      <c r="E132" s="7">
        <f ca="1">-IF(F128&gt;0,E131,0)</f>
        <v>0</v>
      </c>
      <c r="F132" s="7">
        <f ca="1">-IF(G128&gt;0,F131,0)</f>
        <v>0</v>
      </c>
      <c r="G132" s="7">
        <f t="shared" ref="G132:AM132" ca="1" si="80">-IF(H128&gt;0,G131,0)</f>
        <v>0</v>
      </c>
      <c r="H132" s="7">
        <f t="shared" ca="1" si="80"/>
        <v>0</v>
      </c>
      <c r="I132" s="7">
        <f t="shared" ca="1" si="80"/>
        <v>-179107.84447934999</v>
      </c>
      <c r="J132" s="7">
        <f t="shared" ca="1" si="80"/>
        <v>0</v>
      </c>
      <c r="K132" s="7">
        <f t="shared" ca="1" si="80"/>
        <v>0</v>
      </c>
      <c r="L132" s="7">
        <f t="shared" ca="1" si="80"/>
        <v>0</v>
      </c>
      <c r="M132" s="7">
        <f t="shared" ca="1" si="80"/>
        <v>0</v>
      </c>
      <c r="N132" s="7">
        <f t="shared" ca="1" si="80"/>
        <v>0</v>
      </c>
      <c r="O132" s="7">
        <f t="shared" ca="1" si="80"/>
        <v>0</v>
      </c>
      <c r="P132" s="7">
        <f t="shared" ca="1" si="80"/>
        <v>0</v>
      </c>
      <c r="Q132" s="7">
        <f t="shared" ca="1" si="80"/>
        <v>0</v>
      </c>
      <c r="R132" s="7">
        <f t="shared" ca="1" si="80"/>
        <v>0</v>
      </c>
      <c r="S132" s="7">
        <f t="shared" ca="1" si="80"/>
        <v>0</v>
      </c>
      <c r="T132" s="7">
        <f t="shared" ca="1" si="80"/>
        <v>0</v>
      </c>
      <c r="U132" s="7">
        <f t="shared" ca="1" si="80"/>
        <v>0</v>
      </c>
      <c r="V132" s="7">
        <f t="shared" ca="1" si="80"/>
        <v>0</v>
      </c>
      <c r="W132" s="7">
        <f t="shared" ca="1" si="80"/>
        <v>0</v>
      </c>
      <c r="X132" s="7">
        <f t="shared" ca="1" si="80"/>
        <v>0</v>
      </c>
      <c r="Y132" s="7">
        <f t="shared" ca="1" si="80"/>
        <v>0</v>
      </c>
      <c r="Z132" s="7">
        <f t="shared" ca="1" si="80"/>
        <v>0</v>
      </c>
      <c r="AA132" s="7">
        <f t="shared" ca="1" si="80"/>
        <v>0</v>
      </c>
      <c r="AB132" s="7">
        <f t="shared" ca="1" si="80"/>
        <v>0</v>
      </c>
      <c r="AC132" s="7">
        <f t="shared" ca="1" si="80"/>
        <v>0</v>
      </c>
      <c r="AD132" s="7">
        <f t="shared" ca="1" si="80"/>
        <v>0</v>
      </c>
      <c r="AE132" s="7">
        <f t="shared" ca="1" si="80"/>
        <v>0</v>
      </c>
      <c r="AF132" s="7">
        <f t="shared" ca="1" si="80"/>
        <v>0</v>
      </c>
      <c r="AG132" s="7">
        <f t="shared" ca="1" si="80"/>
        <v>0</v>
      </c>
      <c r="AH132" s="7">
        <f t="shared" ca="1" si="80"/>
        <v>0</v>
      </c>
      <c r="AI132" s="7">
        <f t="shared" ca="1" si="80"/>
        <v>0</v>
      </c>
      <c r="AJ132" s="7">
        <f t="shared" ca="1" si="80"/>
        <v>0</v>
      </c>
      <c r="AK132" s="7">
        <f t="shared" ca="1" si="80"/>
        <v>0</v>
      </c>
      <c r="AL132" s="7">
        <f t="shared" ca="1" si="80"/>
        <v>0</v>
      </c>
      <c r="AM132" s="7">
        <f t="shared" si="80"/>
        <v>0</v>
      </c>
    </row>
    <row r="133" spans="1:39">
      <c r="A133" s="3" t="s">
        <v>24</v>
      </c>
      <c r="C133" s="7">
        <v>0</v>
      </c>
      <c r="D133" s="7">
        <f t="shared" ref="D133:G133" ca="1" si="81">SUM(D131:D132)*princ</f>
        <v>4635</v>
      </c>
      <c r="E133" s="7">
        <f t="shared" ca="1" si="81"/>
        <v>4774.05</v>
      </c>
      <c r="F133" s="7">
        <f t="shared" ca="1" si="81"/>
        <v>4917.2714999999998</v>
      </c>
      <c r="G133" s="7">
        <f t="shared" ca="1" si="81"/>
        <v>5064.7896449999998</v>
      </c>
      <c r="H133" s="7">
        <f t="shared" ref="H133:I133" ca="1" si="82">SUM(H131:H132)*princ</f>
        <v>5216.7333343499995</v>
      </c>
      <c r="I133" s="7">
        <f t="shared" ca="1" si="82"/>
        <v>0</v>
      </c>
      <c r="J133" s="7">
        <f t="shared" ref="J133:AM133" ca="1" si="83">SUM(J131:J132)*princ</f>
        <v>0</v>
      </c>
      <c r="K133" s="7">
        <f t="shared" ca="1" si="83"/>
        <v>0</v>
      </c>
      <c r="L133" s="7">
        <f t="shared" ca="1" si="83"/>
        <v>0</v>
      </c>
      <c r="M133" s="7">
        <f t="shared" ca="1" si="83"/>
        <v>0</v>
      </c>
      <c r="N133" s="7">
        <f t="shared" ca="1" si="83"/>
        <v>0</v>
      </c>
      <c r="O133" s="7">
        <f t="shared" ca="1" si="83"/>
        <v>0</v>
      </c>
      <c r="P133" s="7">
        <f t="shared" ca="1" si="83"/>
        <v>0</v>
      </c>
      <c r="Q133" s="7">
        <f t="shared" ca="1" si="83"/>
        <v>0</v>
      </c>
      <c r="R133" s="7">
        <f t="shared" ca="1" si="83"/>
        <v>0</v>
      </c>
      <c r="S133" s="7">
        <f t="shared" ca="1" si="83"/>
        <v>0</v>
      </c>
      <c r="T133" s="7">
        <f t="shared" ca="1" si="83"/>
        <v>0</v>
      </c>
      <c r="U133" s="7">
        <f t="shared" ca="1" si="83"/>
        <v>0</v>
      </c>
      <c r="V133" s="7">
        <f t="shared" ca="1" si="83"/>
        <v>0</v>
      </c>
      <c r="W133" s="7">
        <f t="shared" ca="1" si="83"/>
        <v>0</v>
      </c>
      <c r="X133" s="7">
        <f t="shared" ca="1" si="83"/>
        <v>0</v>
      </c>
      <c r="Y133" s="7">
        <f t="shared" ca="1" si="83"/>
        <v>0</v>
      </c>
      <c r="Z133" s="7">
        <f t="shared" ca="1" si="83"/>
        <v>0</v>
      </c>
      <c r="AA133" s="7">
        <f t="shared" ca="1" si="83"/>
        <v>0</v>
      </c>
      <c r="AB133" s="7">
        <f t="shared" ca="1" si="83"/>
        <v>0</v>
      </c>
      <c r="AC133" s="7">
        <f t="shared" ca="1" si="83"/>
        <v>0</v>
      </c>
      <c r="AD133" s="7">
        <f t="shared" ca="1" si="83"/>
        <v>0</v>
      </c>
      <c r="AE133" s="7">
        <f t="shared" ca="1" si="83"/>
        <v>0</v>
      </c>
      <c r="AF133" s="7">
        <f t="shared" ca="1" si="83"/>
        <v>0</v>
      </c>
      <c r="AG133" s="7">
        <f t="shared" ca="1" si="83"/>
        <v>0</v>
      </c>
      <c r="AH133" s="7">
        <f t="shared" ca="1" si="83"/>
        <v>0</v>
      </c>
      <c r="AI133" s="7">
        <f t="shared" ca="1" si="83"/>
        <v>0</v>
      </c>
      <c r="AJ133" s="7">
        <f t="shared" ca="1" si="83"/>
        <v>0</v>
      </c>
      <c r="AK133" s="7">
        <f t="shared" ca="1" si="83"/>
        <v>0</v>
      </c>
      <c r="AL133" s="7">
        <f t="shared" ca="1" si="83"/>
        <v>0</v>
      </c>
      <c r="AM133" s="7">
        <f t="shared" ca="1" si="83"/>
        <v>0</v>
      </c>
    </row>
    <row r="134" spans="1:39">
      <c r="A134" s="3" t="s">
        <v>25</v>
      </c>
      <c r="C134" s="7">
        <f ca="1">SUM(C131:C133)</f>
        <v>154500</v>
      </c>
      <c r="D134" s="7">
        <f t="shared" ref="D134:AM134" ca="1" si="84">SUM(D131:D133)</f>
        <v>159135</v>
      </c>
      <c r="E134" s="7">
        <f t="shared" ca="1" si="84"/>
        <v>163909.04999999999</v>
      </c>
      <c r="F134" s="7">
        <f t="shared" ca="1" si="84"/>
        <v>168826.32149999999</v>
      </c>
      <c r="G134" s="7">
        <f t="shared" ca="1" si="84"/>
        <v>173891.111145</v>
      </c>
      <c r="H134" s="7">
        <f t="shared" ca="1" si="84"/>
        <v>179107.84447934999</v>
      </c>
      <c r="I134" s="7">
        <f t="shared" ca="1" si="84"/>
        <v>0</v>
      </c>
      <c r="J134" s="7">
        <f t="shared" ca="1" si="84"/>
        <v>0</v>
      </c>
      <c r="K134" s="7">
        <f t="shared" ca="1" si="84"/>
        <v>0</v>
      </c>
      <c r="L134" s="7">
        <f t="shared" ca="1" si="84"/>
        <v>0</v>
      </c>
      <c r="M134" s="7">
        <f t="shared" ca="1" si="84"/>
        <v>0</v>
      </c>
      <c r="N134" s="7">
        <f t="shared" ca="1" si="84"/>
        <v>0</v>
      </c>
      <c r="O134" s="7">
        <f t="shared" ca="1" si="84"/>
        <v>0</v>
      </c>
      <c r="P134" s="7">
        <f t="shared" ca="1" si="84"/>
        <v>0</v>
      </c>
      <c r="Q134" s="7">
        <f t="shared" ca="1" si="84"/>
        <v>0</v>
      </c>
      <c r="R134" s="7">
        <f t="shared" ca="1" si="84"/>
        <v>0</v>
      </c>
      <c r="S134" s="7">
        <f t="shared" ca="1" si="84"/>
        <v>0</v>
      </c>
      <c r="T134" s="7">
        <f t="shared" ca="1" si="84"/>
        <v>0</v>
      </c>
      <c r="U134" s="7">
        <f t="shared" ca="1" si="84"/>
        <v>0</v>
      </c>
      <c r="V134" s="7">
        <f t="shared" ca="1" si="84"/>
        <v>0</v>
      </c>
      <c r="W134" s="7">
        <f t="shared" ca="1" si="84"/>
        <v>0</v>
      </c>
      <c r="X134" s="7">
        <f t="shared" ca="1" si="84"/>
        <v>0</v>
      </c>
      <c r="Y134" s="7">
        <f t="shared" ca="1" si="84"/>
        <v>0</v>
      </c>
      <c r="Z134" s="7">
        <f t="shared" ca="1" si="84"/>
        <v>0</v>
      </c>
      <c r="AA134" s="7">
        <f t="shared" ca="1" si="84"/>
        <v>0</v>
      </c>
      <c r="AB134" s="7">
        <f t="shared" ca="1" si="84"/>
        <v>0</v>
      </c>
      <c r="AC134" s="7">
        <f t="shared" ca="1" si="84"/>
        <v>0</v>
      </c>
      <c r="AD134" s="7">
        <f t="shared" ca="1" si="84"/>
        <v>0</v>
      </c>
      <c r="AE134" s="7">
        <f t="shared" ca="1" si="84"/>
        <v>0</v>
      </c>
      <c r="AF134" s="7">
        <f t="shared" ca="1" si="84"/>
        <v>0</v>
      </c>
      <c r="AG134" s="7">
        <f t="shared" ca="1" si="84"/>
        <v>0</v>
      </c>
      <c r="AH134" s="7">
        <f t="shared" ca="1" si="84"/>
        <v>0</v>
      </c>
      <c r="AI134" s="7">
        <f t="shared" ca="1" si="84"/>
        <v>0</v>
      </c>
      <c r="AJ134" s="7">
        <f t="shared" ca="1" si="84"/>
        <v>0</v>
      </c>
      <c r="AK134" s="7">
        <f t="shared" ca="1" si="84"/>
        <v>0</v>
      </c>
      <c r="AL134" s="7">
        <f t="shared" ca="1" si="84"/>
        <v>0</v>
      </c>
      <c r="AM134" s="7">
        <f t="shared" ca="1" si="84"/>
        <v>0</v>
      </c>
    </row>
    <row r="135" spans="1:39">
      <c r="A135" s="3" t="s">
        <v>26</v>
      </c>
      <c r="C135" s="7">
        <f ca="1">C132*Inputs!$B$195</f>
        <v>0</v>
      </c>
      <c r="D135" s="7">
        <f ca="1">D132*Inputs!$B$195</f>
        <v>0</v>
      </c>
      <c r="E135" s="7">
        <f ca="1">E132*Inputs!$B$195</f>
        <v>0</v>
      </c>
      <c r="F135" s="7">
        <f ca="1">F132*Inputs!$B$195</f>
        <v>0</v>
      </c>
      <c r="G135" s="7">
        <f ca="1">G132*Inputs!$B$195</f>
        <v>0</v>
      </c>
      <c r="H135" s="7">
        <f ca="1">H132*Inputs!$B$195</f>
        <v>0</v>
      </c>
      <c r="I135" s="7">
        <f ca="1">I132*Inputs!$B$195</f>
        <v>-26866.1766719025</v>
      </c>
      <c r="J135" s="7">
        <f ca="1">J132*Inputs!$B$195</f>
        <v>0</v>
      </c>
      <c r="K135" s="7">
        <f ca="1">K132*Inputs!$B$195</f>
        <v>0</v>
      </c>
      <c r="L135" s="7">
        <f ca="1">L132*Inputs!$B$195</f>
        <v>0</v>
      </c>
      <c r="M135" s="7">
        <f ca="1">M132*Inputs!$B$195</f>
        <v>0</v>
      </c>
      <c r="N135" s="7">
        <f ca="1">N132*Inputs!$B$195</f>
        <v>0</v>
      </c>
      <c r="O135" s="7">
        <f ca="1">O132*Inputs!$B$195</f>
        <v>0</v>
      </c>
      <c r="P135" s="7">
        <f ca="1">P132*Inputs!$B$195</f>
        <v>0</v>
      </c>
      <c r="Q135" s="7">
        <f ca="1">Q132*Inputs!$B$195</f>
        <v>0</v>
      </c>
      <c r="R135" s="7">
        <f ca="1">R132*Inputs!$B$195</f>
        <v>0</v>
      </c>
      <c r="S135" s="7">
        <f ca="1">S132*Inputs!$B$195</f>
        <v>0</v>
      </c>
      <c r="T135" s="7">
        <f ca="1">T132*Inputs!$B$195</f>
        <v>0</v>
      </c>
      <c r="U135" s="7">
        <f ca="1">U132*Inputs!$B$195</f>
        <v>0</v>
      </c>
      <c r="V135" s="7">
        <f ca="1">V132*Inputs!$B$195</f>
        <v>0</v>
      </c>
      <c r="W135" s="7">
        <f ca="1">W132*Inputs!$B$195</f>
        <v>0</v>
      </c>
      <c r="X135" s="7">
        <f ca="1">X132*Inputs!$B$195</f>
        <v>0</v>
      </c>
      <c r="Y135" s="7">
        <f ca="1">Y132*Inputs!$B$195</f>
        <v>0</v>
      </c>
      <c r="Z135" s="7">
        <f ca="1">Z132*Inputs!$B$195</f>
        <v>0</v>
      </c>
      <c r="AA135" s="7">
        <f ca="1">AA132*Inputs!$B$195</f>
        <v>0</v>
      </c>
      <c r="AB135" s="7">
        <f ca="1">AB132*Inputs!$B$195</f>
        <v>0</v>
      </c>
      <c r="AC135" s="7">
        <f ca="1">AC132*Inputs!$B$195</f>
        <v>0</v>
      </c>
      <c r="AD135" s="7">
        <f ca="1">AD132*Inputs!$B$195</f>
        <v>0</v>
      </c>
      <c r="AE135" s="7">
        <f ca="1">AE132*Inputs!$B$195</f>
        <v>0</v>
      </c>
      <c r="AF135" s="7">
        <f ca="1">AF132*Inputs!$B$195</f>
        <v>0</v>
      </c>
      <c r="AG135" s="7">
        <f ca="1">AG132*Inputs!$B$195</f>
        <v>0</v>
      </c>
      <c r="AH135" s="7">
        <f ca="1">AH132*Inputs!$B$195</f>
        <v>0</v>
      </c>
      <c r="AI135" s="7">
        <f ca="1">AI132*Inputs!$B$195</f>
        <v>0</v>
      </c>
      <c r="AJ135" s="7">
        <f ca="1">AJ132*Inputs!$B$195</f>
        <v>0</v>
      </c>
      <c r="AK135" s="7">
        <f ca="1">AK132*Inputs!$B$195</f>
        <v>0</v>
      </c>
      <c r="AL135" s="7">
        <f ca="1">AL132*Inputs!$B$195</f>
        <v>0</v>
      </c>
      <c r="AM135" s="7">
        <f>AM132*Inputs!$B$195</f>
        <v>0</v>
      </c>
    </row>
    <row r="136" spans="1:39">
      <c r="A136" s="3" t="s">
        <v>31</v>
      </c>
      <c r="C136" s="7">
        <f t="shared" ref="C136:AM136" si="85">IFERROR(-IF(C131=0,VLOOKUP($A130,$8:$12,C$1+2,FALSE),0),0)</f>
        <v>0</v>
      </c>
      <c r="D136" s="7">
        <f t="shared" ca="1" si="85"/>
        <v>0</v>
      </c>
      <c r="E136" s="7">
        <f t="shared" ca="1" si="85"/>
        <v>0</v>
      </c>
      <c r="F136" s="7">
        <f t="shared" ca="1" si="85"/>
        <v>0</v>
      </c>
      <c r="G136" s="7">
        <f t="shared" ca="1" si="85"/>
        <v>0</v>
      </c>
      <c r="H136" s="7">
        <f t="shared" ca="1" si="85"/>
        <v>0</v>
      </c>
      <c r="I136" s="7">
        <f t="shared" ca="1" si="85"/>
        <v>0</v>
      </c>
      <c r="J136" s="7">
        <f t="shared" ca="1" si="85"/>
        <v>-12298.7386542487</v>
      </c>
      <c r="K136" s="7">
        <f t="shared" ca="1" si="85"/>
        <v>-12667.700813876161</v>
      </c>
      <c r="L136" s="7">
        <f t="shared" ca="1" si="85"/>
        <v>-13047.731838292446</v>
      </c>
      <c r="M136" s="7">
        <f t="shared" ca="1" si="85"/>
        <v>-13439.163793441219</v>
      </c>
      <c r="N136" s="7">
        <f t="shared" ca="1" si="85"/>
        <v>-13842.338707244457</v>
      </c>
      <c r="O136" s="7">
        <f t="shared" ca="1" si="85"/>
        <v>-14257.60886846179</v>
      </c>
      <c r="P136" s="7">
        <f t="shared" ca="1" si="85"/>
        <v>-14685.337134515645</v>
      </c>
      <c r="Q136" s="7">
        <f t="shared" ca="1" si="85"/>
        <v>-15125.897248551115</v>
      </c>
      <c r="R136" s="7">
        <f t="shared" ca="1" si="85"/>
        <v>-15579.67416600765</v>
      </c>
      <c r="S136" s="7">
        <f t="shared" ca="1" si="85"/>
        <v>-16047.06439098788</v>
      </c>
      <c r="T136" s="7">
        <f t="shared" ca="1" si="85"/>
        <v>-16528.476322717517</v>
      </c>
      <c r="U136" s="7">
        <f t="shared" ca="1" si="85"/>
        <v>-17024.330612399044</v>
      </c>
      <c r="V136" s="7">
        <f t="shared" ca="1" si="85"/>
        <v>-17535.060530771018</v>
      </c>
      <c r="W136" s="7">
        <f t="shared" ca="1" si="85"/>
        <v>-18061.11234669415</v>
      </c>
      <c r="X136" s="7">
        <f t="shared" ca="1" si="85"/>
        <v>-18602.945717094975</v>
      </c>
      <c r="Y136" s="7">
        <f t="shared" ca="1" si="85"/>
        <v>-19161.034088607827</v>
      </c>
      <c r="Z136" s="7">
        <f t="shared" ca="1" si="85"/>
        <v>-19735.865111266063</v>
      </c>
      <c r="AA136" s="7">
        <f t="shared" ca="1" si="85"/>
        <v>-20327.941064604045</v>
      </c>
      <c r="AB136" s="7">
        <f t="shared" ca="1" si="85"/>
        <v>-20937.779296542169</v>
      </c>
      <c r="AC136" s="7">
        <f t="shared" ca="1" si="85"/>
        <v>-21565.912675438434</v>
      </c>
      <c r="AD136" s="7">
        <f t="shared" ca="1" si="85"/>
        <v>-22212.890055701588</v>
      </c>
      <c r="AE136" s="7">
        <f t="shared" ca="1" si="85"/>
        <v>-22879.276757372634</v>
      </c>
      <c r="AF136" s="7">
        <f t="shared" ca="1" si="85"/>
        <v>-23565.655060093814</v>
      </c>
      <c r="AG136" s="7">
        <f t="shared" ca="1" si="85"/>
        <v>-24272.624711896628</v>
      </c>
      <c r="AH136" s="7">
        <f t="shared" ca="1" si="85"/>
        <v>-25000.803453253528</v>
      </c>
      <c r="AI136" s="7">
        <f t="shared" ca="1" si="85"/>
        <v>-25750.827556851134</v>
      </c>
      <c r="AJ136" s="7">
        <f t="shared" ca="1" si="85"/>
        <v>-26523.35238355667</v>
      </c>
      <c r="AK136" s="7">
        <f t="shared" ca="1" si="85"/>
        <v>-27319.052955063373</v>
      </c>
      <c r="AL136" s="7">
        <f t="shared" ca="1" si="85"/>
        <v>-28138.624543715276</v>
      </c>
      <c r="AM136" s="7">
        <f t="shared" ca="1" si="85"/>
        <v>-28982.783280026735</v>
      </c>
    </row>
    <row r="137" spans="1:39">
      <c r="A137" s="3" t="s">
        <v>50</v>
      </c>
      <c r="C137" s="7">
        <f t="shared" ref="C137:AM137" si="86">IFERROR(IF(C131=0,VLOOKUP($A130,$40:$44,C$1+2,FALSE),0),0)</f>
        <v>0</v>
      </c>
      <c r="D137" s="7">
        <f t="shared" ca="1" si="86"/>
        <v>0</v>
      </c>
      <c r="E137" s="7">
        <f t="shared" ca="1" si="86"/>
        <v>0</v>
      </c>
      <c r="F137" s="7">
        <f t="shared" ca="1" si="86"/>
        <v>0</v>
      </c>
      <c r="G137" s="7">
        <f t="shared" ca="1" si="86"/>
        <v>0</v>
      </c>
      <c r="H137" s="7">
        <f t="shared" ca="1" si="86"/>
        <v>0</v>
      </c>
      <c r="I137" s="7">
        <f t="shared" ca="1" si="86"/>
        <v>0</v>
      </c>
      <c r="J137" s="7">
        <f t="shared" ca="1" si="86"/>
        <v>2377.3715073364251</v>
      </c>
      <c r="K137" s="7">
        <f t="shared" ca="1" si="86"/>
        <v>2436.8057950198354</v>
      </c>
      <c r="L137" s="7">
        <f t="shared" ca="1" si="86"/>
        <v>2497.7259398953311</v>
      </c>
      <c r="M137" s="7">
        <f t="shared" ca="1" si="86"/>
        <v>2560.169088392714</v>
      </c>
      <c r="N137" s="7">
        <f t="shared" ca="1" si="86"/>
        <v>2624.1733156025321</v>
      </c>
      <c r="O137" s="7">
        <f t="shared" ca="1" si="86"/>
        <v>2689.7776484925948</v>
      </c>
      <c r="P137" s="7">
        <f t="shared" ca="1" si="86"/>
        <v>2757.0220897049098</v>
      </c>
      <c r="Q137" s="7">
        <f t="shared" ca="1" si="86"/>
        <v>2825.9476419475322</v>
      </c>
      <c r="R137" s="7">
        <f t="shared" ca="1" si="86"/>
        <v>2896.596332996221</v>
      </c>
      <c r="S137" s="7">
        <f t="shared" ca="1" si="86"/>
        <v>2969.0112413211264</v>
      </c>
      <c r="T137" s="7">
        <f t="shared" ca="1" si="86"/>
        <v>3043.2365223541542</v>
      </c>
      <c r="U137" s="7">
        <f t="shared" ca="1" si="86"/>
        <v>3119.3174354130078</v>
      </c>
      <c r="V137" s="7">
        <f t="shared" ca="1" si="86"/>
        <v>3197.3003712983332</v>
      </c>
      <c r="W137" s="7">
        <f t="shared" ca="1" si="86"/>
        <v>3277.2328805807911</v>
      </c>
      <c r="X137" s="7">
        <f t="shared" ca="1" si="86"/>
        <v>3359.1637025953105</v>
      </c>
      <c r="Y137" s="7">
        <f t="shared" ca="1" si="86"/>
        <v>3443.1427951601931</v>
      </c>
      <c r="Z137" s="7">
        <f t="shared" ca="1" si="86"/>
        <v>3529.2213650391982</v>
      </c>
      <c r="AA137" s="7">
        <f t="shared" ca="1" si="86"/>
        <v>3617.451899165178</v>
      </c>
      <c r="AB137" s="7">
        <f t="shared" ca="1" si="86"/>
        <v>3707.8881966443068</v>
      </c>
      <c r="AC137" s="7">
        <f t="shared" ca="1" si="86"/>
        <v>3800.5854015604141</v>
      </c>
      <c r="AD137" s="7">
        <f t="shared" ca="1" si="86"/>
        <v>3895.6000365994241</v>
      </c>
      <c r="AE137" s="7">
        <f t="shared" ca="1" si="86"/>
        <v>3992.9900375144098</v>
      </c>
      <c r="AF137" s="7">
        <f t="shared" ca="1" si="86"/>
        <v>4092.8147884522705</v>
      </c>
      <c r="AG137" s="7">
        <f t="shared" ca="1" si="86"/>
        <v>4195.1351581635763</v>
      </c>
      <c r="AH137" s="7">
        <f t="shared" ca="1" si="86"/>
        <v>4300.0135371176666</v>
      </c>
      <c r="AI137" s="7">
        <f t="shared" ca="1" si="86"/>
        <v>4407.5138755456073</v>
      </c>
      <c r="AJ137" s="7">
        <f t="shared" ca="1" si="86"/>
        <v>4517.7017224342471</v>
      </c>
      <c r="AK137" s="7">
        <f t="shared" ca="1" si="86"/>
        <v>4630.6442654951034</v>
      </c>
      <c r="AL137" s="7">
        <f t="shared" ca="1" si="86"/>
        <v>4746.41037213248</v>
      </c>
      <c r="AM137" s="7">
        <f t="shared" ca="1" si="86"/>
        <v>4865.0706314357931</v>
      </c>
    </row>
    <row r="138" spans="1:39">
      <c r="A138" s="3" t="s">
        <v>36</v>
      </c>
      <c r="B138" s="14" t="str">
        <f>A130</f>
        <v>Gzira</v>
      </c>
      <c r="C138" s="7">
        <f t="shared" ref="C138:AM138" ca="1" si="87">IF(AND(C131&gt;0,C134=0),VLOOKUP($A130,$72:$76,C$1+2,FALSE),0)</f>
        <v>0</v>
      </c>
      <c r="D138" s="7">
        <f t="shared" ca="1" si="87"/>
        <v>0</v>
      </c>
      <c r="E138" s="7">
        <f t="shared" ca="1" si="87"/>
        <v>0</v>
      </c>
      <c r="F138" s="7">
        <f t="shared" ca="1" si="87"/>
        <v>0</v>
      </c>
      <c r="G138" s="7">
        <f t="shared" ca="1" si="87"/>
        <v>0</v>
      </c>
      <c r="H138" s="7">
        <f t="shared" ca="1" si="87"/>
        <v>0</v>
      </c>
      <c r="I138" s="7">
        <f t="shared" ca="1" si="87"/>
        <v>0</v>
      </c>
      <c r="J138" s="7">
        <f t="shared" ca="1" si="87"/>
        <v>0</v>
      </c>
      <c r="K138" s="7">
        <f t="shared" ca="1" si="87"/>
        <v>0</v>
      </c>
      <c r="L138" s="7">
        <f t="shared" ca="1" si="87"/>
        <v>0</v>
      </c>
      <c r="M138" s="7">
        <f t="shared" ca="1" si="87"/>
        <v>0</v>
      </c>
      <c r="N138" s="7">
        <f t="shared" ca="1" si="87"/>
        <v>0</v>
      </c>
      <c r="O138" s="7">
        <f t="shared" ca="1" si="87"/>
        <v>0</v>
      </c>
      <c r="P138" s="7">
        <f t="shared" ca="1" si="87"/>
        <v>0</v>
      </c>
      <c r="Q138" s="7">
        <f t="shared" ca="1" si="87"/>
        <v>0</v>
      </c>
      <c r="R138" s="7">
        <f t="shared" ca="1" si="87"/>
        <v>0</v>
      </c>
      <c r="S138" s="7">
        <f t="shared" ca="1" si="87"/>
        <v>0</v>
      </c>
      <c r="T138" s="7">
        <f t="shared" ca="1" si="87"/>
        <v>0</v>
      </c>
      <c r="U138" s="7">
        <f t="shared" ca="1" si="87"/>
        <v>0</v>
      </c>
      <c r="V138" s="7">
        <f t="shared" ca="1" si="87"/>
        <v>0</v>
      </c>
      <c r="W138" s="7">
        <f t="shared" ca="1" si="87"/>
        <v>0</v>
      </c>
      <c r="X138" s="7">
        <f t="shared" ca="1" si="87"/>
        <v>0</v>
      </c>
      <c r="Y138" s="7">
        <f t="shared" ca="1" si="87"/>
        <v>0</v>
      </c>
      <c r="Z138" s="7">
        <f t="shared" ca="1" si="87"/>
        <v>0</v>
      </c>
      <c r="AA138" s="7">
        <f t="shared" ca="1" si="87"/>
        <v>0</v>
      </c>
      <c r="AB138" s="7">
        <f t="shared" ca="1" si="87"/>
        <v>0</v>
      </c>
      <c r="AC138" s="7">
        <f t="shared" ca="1" si="87"/>
        <v>0</v>
      </c>
      <c r="AD138" s="7">
        <f t="shared" ca="1" si="87"/>
        <v>0</v>
      </c>
      <c r="AE138" s="7">
        <f t="shared" ca="1" si="87"/>
        <v>0</v>
      </c>
      <c r="AF138" s="7">
        <f t="shared" ca="1" si="87"/>
        <v>0</v>
      </c>
      <c r="AG138" s="7">
        <f t="shared" ca="1" si="87"/>
        <v>0</v>
      </c>
      <c r="AH138" s="7">
        <f t="shared" ca="1" si="87"/>
        <v>0</v>
      </c>
      <c r="AI138" s="7">
        <f t="shared" ca="1" si="87"/>
        <v>0</v>
      </c>
      <c r="AJ138" s="7">
        <f t="shared" ca="1" si="87"/>
        <v>0</v>
      </c>
      <c r="AK138" s="7">
        <f t="shared" ca="1" si="87"/>
        <v>0</v>
      </c>
      <c r="AL138" s="7">
        <f t="shared" ca="1" si="87"/>
        <v>0</v>
      </c>
      <c r="AM138" s="7">
        <f t="shared" ca="1" si="87"/>
        <v>0</v>
      </c>
    </row>
    <row r="139" spans="1:39">
      <c r="A139" s="3" t="s">
        <v>37</v>
      </c>
      <c r="C139" s="7">
        <f ca="1">-C132+SUM(C135:C138)</f>
        <v>0</v>
      </c>
      <c r="D139" s="7">
        <f t="shared" ref="D139" ca="1" si="88">-D132+SUM(D135:D138)</f>
        <v>0</v>
      </c>
      <c r="E139" s="7">
        <f t="shared" ref="E139:AM139" ca="1" si="89">-E132+SUM(E135:E138)</f>
        <v>0</v>
      </c>
      <c r="F139" s="7">
        <f t="shared" ca="1" si="89"/>
        <v>0</v>
      </c>
      <c r="G139" s="7">
        <f t="shared" ca="1" si="89"/>
        <v>0</v>
      </c>
      <c r="H139" s="7">
        <f t="shared" ca="1" si="89"/>
        <v>0</v>
      </c>
      <c r="I139" s="7">
        <f t="shared" ca="1" si="89"/>
        <v>152241.66780744749</v>
      </c>
      <c r="J139" s="7">
        <f t="shared" ca="1" si="89"/>
        <v>-9921.3671469122746</v>
      </c>
      <c r="K139" s="7">
        <f t="shared" ca="1" si="89"/>
        <v>-10230.895018856325</v>
      </c>
      <c r="L139" s="7">
        <f t="shared" ca="1" si="89"/>
        <v>-10550.005898397114</v>
      </c>
      <c r="M139" s="7">
        <f t="shared" ca="1" si="89"/>
        <v>-10878.994705048506</v>
      </c>
      <c r="N139" s="7">
        <f t="shared" ca="1" si="89"/>
        <v>-11218.165391641924</v>
      </c>
      <c r="O139" s="7">
        <f t="shared" ca="1" si="89"/>
        <v>-11567.831219969195</v>
      </c>
      <c r="P139" s="7">
        <f t="shared" ca="1" si="89"/>
        <v>-11928.315044810735</v>
      </c>
      <c r="Q139" s="7">
        <f t="shared" ca="1" si="89"/>
        <v>-12299.949606603583</v>
      </c>
      <c r="R139" s="7">
        <f t="shared" ca="1" si="89"/>
        <v>-12683.077833011428</v>
      </c>
      <c r="S139" s="7">
        <f t="shared" ca="1" si="89"/>
        <v>-13078.053149666754</v>
      </c>
      <c r="T139" s="7">
        <f t="shared" ca="1" si="89"/>
        <v>-13485.239800363363</v>
      </c>
      <c r="U139" s="7">
        <f t="shared" ca="1" si="89"/>
        <v>-13905.013176986036</v>
      </c>
      <c r="V139" s="7">
        <f t="shared" ca="1" si="89"/>
        <v>-14337.760159472684</v>
      </c>
      <c r="W139" s="7">
        <f t="shared" ca="1" si="89"/>
        <v>-14783.879466113358</v>
      </c>
      <c r="X139" s="7">
        <f t="shared" ca="1" si="89"/>
        <v>-15243.782014499666</v>
      </c>
      <c r="Y139" s="7">
        <f t="shared" ca="1" si="89"/>
        <v>-15717.891293447634</v>
      </c>
      <c r="Z139" s="7">
        <f t="shared" ca="1" si="89"/>
        <v>-16206.643746226864</v>
      </c>
      <c r="AA139" s="7">
        <f t="shared" ca="1" si="89"/>
        <v>-16710.489165438867</v>
      </c>
      <c r="AB139" s="7">
        <f t="shared" ca="1" si="89"/>
        <v>-17229.891099897861</v>
      </c>
      <c r="AC139" s="7">
        <f t="shared" ca="1" si="89"/>
        <v>-17765.327273878022</v>
      </c>
      <c r="AD139" s="7">
        <f t="shared" ca="1" si="89"/>
        <v>-18317.290019102162</v>
      </c>
      <c r="AE139" s="7">
        <f t="shared" ca="1" si="89"/>
        <v>-18886.286719858224</v>
      </c>
      <c r="AF139" s="7">
        <f t="shared" ca="1" si="89"/>
        <v>-19472.840271641544</v>
      </c>
      <c r="AG139" s="7">
        <f t="shared" ca="1" si="89"/>
        <v>-20077.489553733052</v>
      </c>
      <c r="AH139" s="7">
        <f t="shared" ca="1" si="89"/>
        <v>-20700.789916135862</v>
      </c>
      <c r="AI139" s="7">
        <f t="shared" ca="1" si="89"/>
        <v>-21343.313681305528</v>
      </c>
      <c r="AJ139" s="7">
        <f t="shared" ca="1" si="89"/>
        <v>-22005.650661122425</v>
      </c>
      <c r="AK139" s="7">
        <f t="shared" ca="1" si="89"/>
        <v>-22688.40868956827</v>
      </c>
      <c r="AL139" s="7">
        <f t="shared" ca="1" si="89"/>
        <v>-23392.214171582797</v>
      </c>
      <c r="AM139" s="7">
        <f t="shared" ca="1" si="89"/>
        <v>-24117.712648590943</v>
      </c>
    </row>
    <row r="140" spans="1:39">
      <c r="A140" s="3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</row>
    <row r="141" spans="1:39">
      <c r="A141" s="3" t="s">
        <v>77</v>
      </c>
      <c r="C141" s="7">
        <f ca="1">C127+SUM($C139:C139)</f>
        <v>37716.75</v>
      </c>
      <c r="D141" s="7">
        <f ca="1">D127+SUM($C139:D139)</f>
        <v>69048.493749999994</v>
      </c>
      <c r="E141" s="7">
        <f ca="1">E127+SUM($C139:E139)</f>
        <v>71891.10341475303</v>
      </c>
      <c r="F141" s="7">
        <f ca="1">F127+SUM($C139:F139)</f>
        <v>55330.661493535095</v>
      </c>
      <c r="G141" s="7">
        <f ca="1">G127+SUM($C139:G139)</f>
        <v>123023.26474117297</v>
      </c>
      <c r="H141" s="7">
        <f ca="1">H127+SUM($C139:H139)</f>
        <v>82547.974722190411</v>
      </c>
      <c r="I141" s="7">
        <f ca="1">I127+SUM($C139:I139)</f>
        <v>199390.08417424234</v>
      </c>
      <c r="J141" s="7">
        <f ca="1">J127+SUM($C139:J139)</f>
        <v>135202.71491072176</v>
      </c>
      <c r="K141" s="7">
        <f ca="1">K127+SUM($C139:K139)</f>
        <v>150324.46420136213</v>
      </c>
      <c r="L141" s="7">
        <f ca="1">L127+SUM($C139:L139)</f>
        <v>70155.086669261727</v>
      </c>
      <c r="M141" s="7">
        <f ca="1">M127+SUM($C139:M139)</f>
        <v>40453.677402665184</v>
      </c>
      <c r="N141" s="7">
        <f ca="1">N127+SUM($C139:N139)</f>
        <v>10144.124542338162</v>
      </c>
      <c r="O141" s="7">
        <f ca="1">O127+SUM($C139:O139)</f>
        <v>-20784.743752424634</v>
      </c>
      <c r="P141" s="7">
        <f ca="1">P127+SUM($C139:P139)</f>
        <v>-52344.257665871817</v>
      </c>
      <c r="Q141" s="7">
        <f ca="1">Q127+SUM($C139:Q139)</f>
        <v>-84545.906055810032</v>
      </c>
      <c r="R141" s="7">
        <f ca="1">R127+SUM($C139:R139)</f>
        <v>-117401.33668301122</v>
      </c>
      <c r="S141" s="7">
        <f ca="1">S127+SUM($C139:S139)</f>
        <v>-133405.19001043768</v>
      </c>
      <c r="T141" s="7">
        <f ca="1">T127+SUM($C139:T139)</f>
        <v>-142040.57772125455</v>
      </c>
      <c r="U141" s="7">
        <f ca="1">U127+SUM($C139:U139)</f>
        <v>-150726.56536161469</v>
      </c>
      <c r="V141" s="7">
        <f ca="1">V127+SUM($C139:V139)</f>
        <v>-159459.45938685982</v>
      </c>
      <c r="W141" s="7">
        <f ca="1">W127+SUM($C139:W139)</f>
        <v>-168235.32515742833</v>
      </c>
      <c r="X141" s="7">
        <f ca="1">X127+SUM($C139:X139)</f>
        <v>-197204.95866436599</v>
      </c>
      <c r="Y141" s="7">
        <f ca="1">Y127+SUM($C139:Y139)</f>
        <v>-226712.8035518062</v>
      </c>
      <c r="Z141" s="7">
        <f ca="1">Z127+SUM($C139:Z139)</f>
        <v>-256766.73422054626</v>
      </c>
      <c r="AA141" s="7">
        <f ca="1">AA127+SUM($C139:AA139)</f>
        <v>-287374.65450489218</v>
      </c>
      <c r="AB141" s="7">
        <f ca="1">AB127+SUM($C139:AB139)</f>
        <v>-318544.49338570074</v>
      </c>
      <c r="AC141" s="7">
        <f ca="1">AC127+SUM($C139:AC139)</f>
        <v>-350284.200445564</v>
      </c>
      <c r="AD141" s="7">
        <f ca="1">AD127+SUM($C139:AD139)</f>
        <v>-372862.74096367089</v>
      </c>
      <c r="AE141" s="7">
        <f ca="1">AE127+SUM($C139:AE139)</f>
        <v>-395917.05964416912</v>
      </c>
      <c r="AF141" s="7">
        <f ca="1">AF127+SUM($C139:AF139)</f>
        <v>-419806.22508635494</v>
      </c>
      <c r="AG141" s="7">
        <f ca="1">AG127+SUM($C139:AG139)</f>
        <v>-444556.46935980581</v>
      </c>
      <c r="AH141" s="7">
        <f ca="1">AH127+SUM($C139:AH139)</f>
        <v>-469685.71794869937</v>
      </c>
      <c r="AI141" s="7">
        <f ca="1">AI127+SUM($C139:AI139)</f>
        <v>-495191.33777418942</v>
      </c>
      <c r="AJ141" s="7">
        <f ca="1">AJ127+SUM($C139:AJ139)</f>
        <v>-521076.10764294455</v>
      </c>
      <c r="AK141" s="7">
        <f ca="1">AK127+SUM($C139:AK139)</f>
        <v>-547342.68341420463</v>
      </c>
      <c r="AL141" s="7">
        <f ca="1">AL127+SUM($C139:AL139)</f>
        <v>-573993.58931598277</v>
      </c>
      <c r="AM141" s="7">
        <f ca="1">AM127+SUM($C139:AM139)</f>
        <v>-600632.94430181361</v>
      </c>
    </row>
    <row r="142" spans="1:39">
      <c r="A142" s="3" t="s">
        <v>74</v>
      </c>
      <c r="C142" s="7">
        <f t="shared" ref="C142:AM142" ca="1" si="90">MAX(C141+buffer,0)-MAX(C127+buffer,0)</f>
        <v>0</v>
      </c>
      <c r="D142" s="7">
        <f t="shared" ca="1" si="90"/>
        <v>0</v>
      </c>
      <c r="E142" s="7">
        <f t="shared" ca="1" si="90"/>
        <v>0</v>
      </c>
      <c r="F142" s="7">
        <f t="shared" ca="1" si="90"/>
        <v>0</v>
      </c>
      <c r="G142" s="7">
        <f t="shared" ca="1" si="90"/>
        <v>0</v>
      </c>
      <c r="H142" s="7">
        <f t="shared" ca="1" si="90"/>
        <v>0</v>
      </c>
      <c r="I142" s="7">
        <f t="shared" ca="1" si="90"/>
        <v>152241.66780744749</v>
      </c>
      <c r="J142" s="7">
        <f t="shared" ca="1" si="90"/>
        <v>142320.30066053523</v>
      </c>
      <c r="K142" s="7">
        <f t="shared" ca="1" si="90"/>
        <v>132089.4056416789</v>
      </c>
      <c r="L142" s="7">
        <f t="shared" ca="1" si="90"/>
        <v>110155.08666926173</v>
      </c>
      <c r="M142" s="7">
        <f t="shared" ca="1" si="90"/>
        <v>80453.677402665184</v>
      </c>
      <c r="N142" s="7">
        <f t="shared" ca="1" si="90"/>
        <v>50144.124542338162</v>
      </c>
      <c r="O142" s="7">
        <f t="shared" ca="1" si="90"/>
        <v>19215.256247575366</v>
      </c>
      <c r="P142" s="7">
        <f t="shared" ca="1" si="90"/>
        <v>0</v>
      </c>
      <c r="Q142" s="7">
        <f t="shared" ca="1" si="90"/>
        <v>0</v>
      </c>
      <c r="R142" s="7">
        <f t="shared" ca="1" si="90"/>
        <v>0</v>
      </c>
      <c r="S142" s="7">
        <f t="shared" ca="1" si="90"/>
        <v>0</v>
      </c>
      <c r="T142" s="7">
        <f t="shared" ca="1" si="90"/>
        <v>0</v>
      </c>
      <c r="U142" s="7">
        <f t="shared" ca="1" si="90"/>
        <v>0</v>
      </c>
      <c r="V142" s="7">
        <f t="shared" ca="1" si="90"/>
        <v>0</v>
      </c>
      <c r="W142" s="7">
        <f t="shared" ca="1" si="90"/>
        <v>0</v>
      </c>
      <c r="X142" s="7">
        <f t="shared" ca="1" si="90"/>
        <v>0</v>
      </c>
      <c r="Y142" s="7">
        <f t="shared" ca="1" si="90"/>
        <v>0</v>
      </c>
      <c r="Z142" s="7">
        <f t="shared" ca="1" si="90"/>
        <v>0</v>
      </c>
      <c r="AA142" s="7">
        <f t="shared" ca="1" si="90"/>
        <v>0</v>
      </c>
      <c r="AB142" s="7">
        <f t="shared" ca="1" si="90"/>
        <v>0</v>
      </c>
      <c r="AC142" s="7">
        <f t="shared" ca="1" si="90"/>
        <v>0</v>
      </c>
      <c r="AD142" s="7">
        <f t="shared" ca="1" si="90"/>
        <v>0</v>
      </c>
      <c r="AE142" s="7">
        <f t="shared" ca="1" si="90"/>
        <v>0</v>
      </c>
      <c r="AF142" s="7">
        <f t="shared" ca="1" si="90"/>
        <v>0</v>
      </c>
      <c r="AG142" s="7">
        <f t="shared" ca="1" si="90"/>
        <v>0</v>
      </c>
      <c r="AH142" s="7">
        <f t="shared" ca="1" si="90"/>
        <v>0</v>
      </c>
      <c r="AI142" s="7">
        <f t="shared" ca="1" si="90"/>
        <v>0</v>
      </c>
      <c r="AJ142" s="7">
        <f t="shared" ca="1" si="90"/>
        <v>0</v>
      </c>
      <c r="AK142" s="7">
        <f t="shared" ca="1" si="90"/>
        <v>0</v>
      </c>
      <c r="AL142" s="7">
        <f t="shared" ca="1" si="90"/>
        <v>0</v>
      </c>
      <c r="AM142" s="7">
        <f t="shared" ca="1" si="90"/>
        <v>0</v>
      </c>
    </row>
    <row r="143" spans="1:39">
      <c r="A143" s="3" t="s">
        <v>75</v>
      </c>
      <c r="C143" s="7">
        <f ca="1">C142*Inputs!$B$181</f>
        <v>0</v>
      </c>
      <c r="D143" s="7">
        <f ca="1">D142*Inputs!$B$181</f>
        <v>0</v>
      </c>
      <c r="E143" s="7">
        <f ca="1">E142*Inputs!$B$181</f>
        <v>0</v>
      </c>
      <c r="F143" s="7">
        <f ca="1">F142*Inputs!$B$181</f>
        <v>0</v>
      </c>
      <c r="G143" s="7">
        <f ca="1">G142*Inputs!$B$181</f>
        <v>0</v>
      </c>
      <c r="H143" s="7">
        <f ca="1">H142*Inputs!$B$181</f>
        <v>0</v>
      </c>
      <c r="I143" s="7">
        <f ca="1">I142*Inputs!$B$181</f>
        <v>3806.0416951861876</v>
      </c>
      <c r="J143" s="7">
        <f ca="1">J142*Inputs!$B$181</f>
        <v>3558.0075165133808</v>
      </c>
      <c r="K143" s="7">
        <f ca="1">K142*Inputs!$B$181</f>
        <v>3302.2351410419724</v>
      </c>
      <c r="L143" s="7">
        <f ca="1">L142*Inputs!$B$181</f>
        <v>2753.8771667315432</v>
      </c>
      <c r="M143" s="7">
        <f ca="1">M142*Inputs!$B$181</f>
        <v>2011.3419350666297</v>
      </c>
      <c r="N143" s="7">
        <f ca="1">N142*Inputs!$B$181</f>
        <v>1253.6031135584542</v>
      </c>
      <c r="O143" s="7">
        <f ca="1">O142*Inputs!$B$181</f>
        <v>480.38140618938417</v>
      </c>
      <c r="P143" s="7">
        <f ca="1">P142*Inputs!$B$181</f>
        <v>0</v>
      </c>
      <c r="Q143" s="7">
        <f ca="1">Q142*Inputs!$B$181</f>
        <v>0</v>
      </c>
      <c r="R143" s="7">
        <f ca="1">R142*Inputs!$B$181</f>
        <v>0</v>
      </c>
      <c r="S143" s="7">
        <f ca="1">S142*Inputs!$B$181</f>
        <v>0</v>
      </c>
      <c r="T143" s="7">
        <f ca="1">T142*Inputs!$B$181</f>
        <v>0</v>
      </c>
      <c r="U143" s="7">
        <f ca="1">U142*Inputs!$B$181</f>
        <v>0</v>
      </c>
      <c r="V143" s="7">
        <f ca="1">V142*Inputs!$B$181</f>
        <v>0</v>
      </c>
      <c r="W143" s="7">
        <f ca="1">W142*Inputs!$B$181</f>
        <v>0</v>
      </c>
      <c r="X143" s="7">
        <f ca="1">X142*Inputs!$B$181</f>
        <v>0</v>
      </c>
      <c r="Y143" s="7">
        <f ca="1">Y142*Inputs!$B$181</f>
        <v>0</v>
      </c>
      <c r="Z143" s="7">
        <f ca="1">Z142*Inputs!$B$181</f>
        <v>0</v>
      </c>
      <c r="AA143" s="7">
        <f ca="1">AA142*Inputs!$B$181</f>
        <v>0</v>
      </c>
      <c r="AB143" s="7">
        <f ca="1">AB142*Inputs!$B$181</f>
        <v>0</v>
      </c>
      <c r="AC143" s="7">
        <f ca="1">AC142*Inputs!$B$181</f>
        <v>0</v>
      </c>
      <c r="AD143" s="7">
        <f ca="1">AD142*Inputs!$B$181</f>
        <v>0</v>
      </c>
      <c r="AE143" s="7">
        <f ca="1">AE142*Inputs!$B$181</f>
        <v>0</v>
      </c>
      <c r="AF143" s="7">
        <f ca="1">AF142*Inputs!$B$181</f>
        <v>0</v>
      </c>
      <c r="AG143" s="7">
        <f ca="1">AG142*Inputs!$B$181</f>
        <v>0</v>
      </c>
      <c r="AH143" s="7">
        <f ca="1">AH142*Inputs!$B$181</f>
        <v>0</v>
      </c>
      <c r="AI143" s="7">
        <f ca="1">AI142*Inputs!$B$181</f>
        <v>0</v>
      </c>
      <c r="AJ143" s="7">
        <f ca="1">AJ142*Inputs!$B$181</f>
        <v>0</v>
      </c>
      <c r="AK143" s="7">
        <f ca="1">AK142*Inputs!$B$181</f>
        <v>0</v>
      </c>
      <c r="AL143" s="7">
        <f ca="1">AL142*Inputs!$B$181</f>
        <v>0</v>
      </c>
      <c r="AM143" s="7">
        <f ca="1">AM142*Inputs!$B$181</f>
        <v>0</v>
      </c>
    </row>
    <row r="144" spans="1:39">
      <c r="A144" s="3" t="s">
        <v>158</v>
      </c>
      <c r="C144" s="7">
        <f ca="1">C141+SUM($C143:C143)</f>
        <v>37716.75</v>
      </c>
      <c r="D144" s="7">
        <f ca="1">D141+SUM($C143:D143)</f>
        <v>69048.493749999994</v>
      </c>
      <c r="E144" s="7">
        <f ca="1">E141+SUM($C143:E143)</f>
        <v>71891.10341475303</v>
      </c>
      <c r="F144" s="7">
        <f ca="1">F141+SUM($C143:F143)</f>
        <v>55330.661493535095</v>
      </c>
      <c r="G144" s="7">
        <f ca="1">G141+SUM($C143:G143)</f>
        <v>123023.26474117297</v>
      </c>
      <c r="H144" s="7">
        <f ca="1">H141+SUM($C143:H143)</f>
        <v>82547.974722190411</v>
      </c>
      <c r="I144" s="7">
        <f ca="1">I141+SUM($C143:I143)</f>
        <v>203196.12586942854</v>
      </c>
      <c r="J144" s="7">
        <f ca="1">J141+SUM($C143:J143)</f>
        <v>142566.76412242133</v>
      </c>
      <c r="K144" s="7">
        <f ca="1">K141+SUM($C143:K143)</f>
        <v>160990.74855410369</v>
      </c>
      <c r="L144" s="7">
        <f ca="1">L141+SUM($C143:L143)</f>
        <v>83575.248188734811</v>
      </c>
      <c r="M144" s="7">
        <f ca="1">M141+SUM($C143:M143)</f>
        <v>55885.180857204898</v>
      </c>
      <c r="N144" s="7">
        <f ca="1">N141+SUM($C143:N143)</f>
        <v>26829.231110436329</v>
      </c>
      <c r="O144" s="7">
        <f ca="1">O141+SUM($C143:O143)</f>
        <v>-3619.2557781370851</v>
      </c>
      <c r="P144" s="7">
        <f ca="1">P141+SUM($C143:P143)</f>
        <v>-35178.769691584268</v>
      </c>
      <c r="Q144" s="7">
        <f ca="1">Q141+SUM($C143:Q143)</f>
        <v>-67380.418081522483</v>
      </c>
      <c r="R144" s="7">
        <f ca="1">R141+SUM($C143:R143)</f>
        <v>-100235.84870872367</v>
      </c>
      <c r="S144" s="7">
        <f ca="1">S141+SUM($C143:S143)</f>
        <v>-116239.70203615013</v>
      </c>
      <c r="T144" s="7">
        <f ca="1">T141+SUM($C143:T143)</f>
        <v>-124875.089746967</v>
      </c>
      <c r="U144" s="7">
        <f ca="1">U141+SUM($C143:U143)</f>
        <v>-133561.07738732715</v>
      </c>
      <c r="V144" s="7">
        <f ca="1">V141+SUM($C143:V143)</f>
        <v>-142293.97141257225</v>
      </c>
      <c r="W144" s="7">
        <f ca="1">W141+SUM($C143:W143)</f>
        <v>-151069.8371831408</v>
      </c>
      <c r="X144" s="7">
        <f ca="1">X141+SUM($C143:X143)</f>
        <v>-180039.47069007845</v>
      </c>
      <c r="Y144" s="7">
        <f ca="1">Y141+SUM($C143:Y143)</f>
        <v>-209547.31557751866</v>
      </c>
      <c r="Z144" s="7">
        <f ca="1">Z141+SUM($C143:Z143)</f>
        <v>-239601.24624625873</v>
      </c>
      <c r="AA144" s="7">
        <f ca="1">AA141+SUM($C143:AA143)</f>
        <v>-270209.16653060465</v>
      </c>
      <c r="AB144" s="7">
        <f ca="1">AB141+SUM($C143:AB143)</f>
        <v>-301379.00541141321</v>
      </c>
      <c r="AC144" s="7">
        <f ca="1">AC141+SUM($C143:AC143)</f>
        <v>-333118.71247127646</v>
      </c>
      <c r="AD144" s="7">
        <f ca="1">AD141+SUM($C143:AD143)</f>
        <v>-355697.25298938336</v>
      </c>
      <c r="AE144" s="7">
        <f ca="1">AE141+SUM($C143:AE143)</f>
        <v>-378751.57166988158</v>
      </c>
      <c r="AF144" s="7">
        <f ca="1">AF141+SUM($C143:AF143)</f>
        <v>-402640.73711206741</v>
      </c>
      <c r="AG144" s="7">
        <f ca="1">AG141+SUM($C143:AG143)</f>
        <v>-427390.98138551827</v>
      </c>
      <c r="AH144" s="7">
        <f ca="1">AH141+SUM($C143:AH143)</f>
        <v>-452520.22997441184</v>
      </c>
      <c r="AI144" s="7">
        <f ca="1">AI141+SUM($C143:AI143)</f>
        <v>-478025.84979990189</v>
      </c>
      <c r="AJ144" s="7">
        <f ca="1">AJ141+SUM($C143:AJ143)</f>
        <v>-503910.61966865702</v>
      </c>
      <c r="AK144" s="7">
        <f ca="1">AK141+SUM($C143:AK143)</f>
        <v>-530177.19543991704</v>
      </c>
      <c r="AL144" s="7">
        <f ca="1">AL141+SUM($C143:AL143)</f>
        <v>-556828.10134169518</v>
      </c>
      <c r="AM144" s="7">
        <f ca="1">AM141+SUM($C143:AM143)</f>
        <v>-583467.45632752602</v>
      </c>
    </row>
    <row r="145" spans="1:39">
      <c r="A145" s="3" t="s">
        <v>20</v>
      </c>
      <c r="C145" s="7">
        <f ca="1">IF(C144&lt;0,-C144,0)</f>
        <v>0</v>
      </c>
      <c r="D145" s="7">
        <f ca="1">IF(D144+SUM($C145:C145)&lt;0,-(D144+SUM($C145:C145)),0)</f>
        <v>0</v>
      </c>
      <c r="E145" s="7">
        <f ca="1">IF(E144+SUM($C145:D145)&lt;0,-(E144+SUM($C145:D145)),0)</f>
        <v>0</v>
      </c>
      <c r="F145" s="7">
        <f ca="1">IF(F144+SUM($C145:E145)&lt;0,-(F144+SUM($C145:E145)),0)</f>
        <v>0</v>
      </c>
      <c r="G145" s="7">
        <f ca="1">IF(G144+SUM($C145:F145)&lt;0,-(G144+SUM($C145:F145)),0)</f>
        <v>0</v>
      </c>
      <c r="H145" s="7">
        <f ca="1">IF(H144+SUM($C145:G145)&lt;0,-(H144+SUM($C145:G145)),0)</f>
        <v>0</v>
      </c>
      <c r="I145" s="7">
        <f ca="1">IF(I144+SUM($C145:H145)&lt;0,-(I144+SUM($C145:H145)),0)</f>
        <v>0</v>
      </c>
      <c r="J145" s="7">
        <f ca="1">IF(J144+SUM($C145:I145)&lt;0,-(J144+SUM($C145:I145)),0)</f>
        <v>0</v>
      </c>
      <c r="K145" s="7">
        <f ca="1">IF(K144+SUM($C145:J145)&lt;0,-(K144+SUM($C145:J145)),0)</f>
        <v>0</v>
      </c>
      <c r="L145" s="7">
        <f ca="1">IF(L144+SUM($C145:K145)&lt;0,-(L144+SUM($C145:K145)),0)</f>
        <v>0</v>
      </c>
      <c r="M145" s="7">
        <f ca="1">IF(M144+SUM($C145:L145)&lt;0,-(M144+SUM($C145:L145)),0)</f>
        <v>0</v>
      </c>
      <c r="N145" s="7">
        <f ca="1">IF(N144+SUM($C145:M145)&lt;0,-(N144+SUM($C145:M145)),0)</f>
        <v>0</v>
      </c>
      <c r="O145" s="7">
        <f ca="1">IF(O144+SUM($C145:N145)&lt;0,-(O144+SUM($C145:N145)),0)</f>
        <v>3619.2557781370851</v>
      </c>
      <c r="P145" s="7">
        <f ca="1">IF(P144+SUM($C145:O145)&lt;0,-(P144+SUM($C145:O145)),0)</f>
        <v>31559.513913447183</v>
      </c>
      <c r="Q145" s="7">
        <f ca="1">IF(Q144+SUM($C145:P145)&lt;0,-(Q144+SUM($C145:P145)),0)</f>
        <v>32201.648389938215</v>
      </c>
      <c r="R145" s="7">
        <f ca="1">IF(R144+SUM($C145:Q145)&lt;0,-(R144+SUM($C145:Q145)),0)</f>
        <v>32855.430627201189</v>
      </c>
      <c r="S145" s="7">
        <f ca="1">IF(S144+SUM($C145:R145)&lt;0,-(S144+SUM($C145:R145)),0)</f>
        <v>16003.853327426463</v>
      </c>
      <c r="T145" s="7">
        <f ca="1">IF(T144+SUM($C145:S145)&lt;0,-(T144+SUM($C145:S145)),0)</f>
        <v>8635.3877108168672</v>
      </c>
      <c r="U145" s="7">
        <f ca="1">IF(U144+SUM($C145:T145)&lt;0,-(U144+SUM($C145:T145)),0)</f>
        <v>8685.987640360152</v>
      </c>
      <c r="V145" s="7">
        <f ca="1">IF(V144+SUM($C145:U145)&lt;0,-(V144+SUM($C145:U145)),0)</f>
        <v>8732.8940252450993</v>
      </c>
      <c r="W145" s="7">
        <f ca="1">IF(W144+SUM($C145:V145)&lt;0,-(W144+SUM($C145:V145)),0)</f>
        <v>8775.8657705685473</v>
      </c>
      <c r="X145" s="7">
        <f ca="1">IF(X144+SUM($C145:W145)&lt;0,-(X144+SUM($C145:W145)),0)</f>
        <v>28969.633506937651</v>
      </c>
      <c r="Y145" s="7">
        <f ca="1">IF(Y144+SUM($C145:X145)&lt;0,-(Y144+SUM($C145:X145)),0)</f>
        <v>29507.844887440209</v>
      </c>
      <c r="Z145" s="7">
        <f ca="1">IF(Z144+SUM($C145:Y145)&lt;0,-(Z144+SUM($C145:Y145)),0)</f>
        <v>30053.930668740068</v>
      </c>
      <c r="AA145" s="7">
        <f ca="1">IF(AA144+SUM($C145:Z145)&lt;0,-(AA144+SUM($C145:Z145)),0)</f>
        <v>30607.920284345921</v>
      </c>
      <c r="AB145" s="7">
        <f ca="1">IF(AB144+SUM($C145:AA145)&lt;0,-(AB144+SUM($C145:AA145)),0)</f>
        <v>31169.838880808558</v>
      </c>
      <c r="AC145" s="7">
        <f ca="1">IF(AC144+SUM($C145:AB145)&lt;0,-(AC144+SUM($C145:AB145)),0)</f>
        <v>31739.707059863256</v>
      </c>
      <c r="AD145" s="7">
        <f ca="1">IF(AD144+SUM($C145:AC145)&lt;0,-(AD144+SUM($C145:AC145)),0)</f>
        <v>22578.540518106893</v>
      </c>
      <c r="AE145" s="7">
        <f ca="1">IF(AE144+SUM($C145:AD145)&lt;0,-(AE144+SUM($C145:AD145)),0)</f>
        <v>23054.318680498225</v>
      </c>
      <c r="AF145" s="7">
        <f ca="1">IF(AF144+SUM($C145:AE145)&lt;0,-(AF144+SUM($C145:AE145)),0)</f>
        <v>23889.165442185826</v>
      </c>
      <c r="AG145" s="7">
        <f ca="1">IF(AG144+SUM($C145:AF145)&lt;0,-(AG144+SUM($C145:AF145)),0)</f>
        <v>24750.244273450866</v>
      </c>
      <c r="AH145" s="7">
        <f ca="1">IF(AH144+SUM($C145:AG145)&lt;0,-(AH144+SUM($C145:AG145)),0)</f>
        <v>25129.248588893563</v>
      </c>
      <c r="AI145" s="7">
        <f ca="1">IF(AI144+SUM($C145:AH145)&lt;0,-(AI144+SUM($C145:AH145)),0)</f>
        <v>25505.619825490052</v>
      </c>
      <c r="AJ145" s="7">
        <f ca="1">IF(AJ144+SUM($C145:AI145)&lt;0,-(AJ144+SUM($C145:AI145)),0)</f>
        <v>25884.769868755131</v>
      </c>
      <c r="AK145" s="7">
        <f ca="1">IF(AK144+SUM($C145:AJ145)&lt;0,-(AK144+SUM($C145:AJ145)),0)</f>
        <v>26266.575771260017</v>
      </c>
      <c r="AL145" s="7">
        <f ca="1">IF(AL144+SUM($C145:AK145)&lt;0,-(AL144+SUM($C145:AK145)),0)</f>
        <v>26650.90590177814</v>
      </c>
      <c r="AM145" s="7">
        <f ca="1">IF(AM144+SUM($C145:AL145)&lt;0,-(AM144+SUM($C145:AL145)),0)</f>
        <v>26639.35498583084</v>
      </c>
    </row>
    <row r="146" spans="1:39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 spans="1:39">
      <c r="A147" s="24" t="str">
        <f>IF(Inputs!$B$197=6,IFERROR(_xlfn.XLOOKUP($B147,Inputs!$B$198:$B$202,Inputs!$A$198:$A$202,,0,1),""),IFERROR(_xlfn.XLOOKUP($B147,Inputs!$C$198:$C$202,Inputs!$A$198:$A$202,,0,1),""))</f>
        <v>Qormi</v>
      </c>
      <c r="B147" s="26">
        <v>4</v>
      </c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</row>
    <row r="148" spans="1:39">
      <c r="A148" s="3" t="s">
        <v>22</v>
      </c>
      <c r="C148" s="7">
        <f>IFERROR(VLOOKUP($A147,$A$60:$H$78,C$1+2,FALSE),0)</f>
        <v>226600</v>
      </c>
      <c r="D148" s="7">
        <f ca="1">C151</f>
        <v>226600</v>
      </c>
      <c r="E148" s="7">
        <f t="shared" ref="E148:AM148" ca="1" si="91">D151</f>
        <v>233398</v>
      </c>
      <c r="F148" s="7">
        <f t="shared" ca="1" si="91"/>
        <v>240399.94</v>
      </c>
      <c r="G148" s="7">
        <f t="shared" ca="1" si="91"/>
        <v>247611.9382</v>
      </c>
      <c r="H148" s="7">
        <f t="shared" ca="1" si="91"/>
        <v>255040.29634600002</v>
      </c>
      <c r="I148" s="7">
        <f t="shared" ca="1" si="91"/>
        <v>262691.50523638004</v>
      </c>
      <c r="J148" s="7">
        <f t="shared" ca="1" si="91"/>
        <v>270572.25039347145</v>
      </c>
      <c r="K148" s="7">
        <f t="shared" ca="1" si="91"/>
        <v>278689.41790527559</v>
      </c>
      <c r="L148" s="7">
        <f t="shared" ca="1" si="91"/>
        <v>287050.10044243385</v>
      </c>
      <c r="M148" s="7">
        <f t="shared" ca="1" si="91"/>
        <v>295661.60345570685</v>
      </c>
      <c r="N148" s="7">
        <f t="shared" ca="1" si="91"/>
        <v>304531.45155937807</v>
      </c>
      <c r="O148" s="7">
        <f t="shared" ca="1" si="91"/>
        <v>0</v>
      </c>
      <c r="P148" s="7">
        <f t="shared" ca="1" si="91"/>
        <v>0</v>
      </c>
      <c r="Q148" s="7">
        <f t="shared" ca="1" si="91"/>
        <v>0</v>
      </c>
      <c r="R148" s="7">
        <f t="shared" ca="1" si="91"/>
        <v>0</v>
      </c>
      <c r="S148" s="7">
        <f t="shared" ca="1" si="91"/>
        <v>0</v>
      </c>
      <c r="T148" s="7">
        <f t="shared" ca="1" si="91"/>
        <v>0</v>
      </c>
      <c r="U148" s="7">
        <f t="shared" ca="1" si="91"/>
        <v>0</v>
      </c>
      <c r="V148" s="7">
        <f t="shared" ca="1" si="91"/>
        <v>0</v>
      </c>
      <c r="W148" s="7">
        <f t="shared" ca="1" si="91"/>
        <v>0</v>
      </c>
      <c r="X148" s="7">
        <f t="shared" ca="1" si="91"/>
        <v>0</v>
      </c>
      <c r="Y148" s="7">
        <f t="shared" ca="1" si="91"/>
        <v>0</v>
      </c>
      <c r="Z148" s="7">
        <f t="shared" ca="1" si="91"/>
        <v>0</v>
      </c>
      <c r="AA148" s="7">
        <f t="shared" ca="1" si="91"/>
        <v>0</v>
      </c>
      <c r="AB148" s="7">
        <f t="shared" ca="1" si="91"/>
        <v>0</v>
      </c>
      <c r="AC148" s="7">
        <f t="shared" ca="1" si="91"/>
        <v>0</v>
      </c>
      <c r="AD148" s="7">
        <f t="shared" ca="1" si="91"/>
        <v>0</v>
      </c>
      <c r="AE148" s="7">
        <f t="shared" ca="1" si="91"/>
        <v>0</v>
      </c>
      <c r="AF148" s="7">
        <f t="shared" ca="1" si="91"/>
        <v>0</v>
      </c>
      <c r="AG148" s="7">
        <f t="shared" ca="1" si="91"/>
        <v>0</v>
      </c>
      <c r="AH148" s="7">
        <f t="shared" ca="1" si="91"/>
        <v>0</v>
      </c>
      <c r="AI148" s="7">
        <f t="shared" ca="1" si="91"/>
        <v>0</v>
      </c>
      <c r="AJ148" s="7">
        <f t="shared" ca="1" si="91"/>
        <v>0</v>
      </c>
      <c r="AK148" s="7">
        <f t="shared" ca="1" si="91"/>
        <v>0</v>
      </c>
      <c r="AL148" s="7">
        <f t="shared" ca="1" si="91"/>
        <v>0</v>
      </c>
      <c r="AM148" s="7">
        <f t="shared" ca="1" si="91"/>
        <v>0</v>
      </c>
    </row>
    <row r="149" spans="1:39">
      <c r="A149" s="3" t="s">
        <v>23</v>
      </c>
      <c r="C149" s="7">
        <f ca="1">-IF(SUM(C145:D145)&gt;0,C148,0)</f>
        <v>0</v>
      </c>
      <c r="D149" s="7">
        <f ca="1">-IF(E145&gt;0,D148,0)</f>
        <v>0</v>
      </c>
      <c r="E149" s="7">
        <f ca="1">-IF(F145&gt;0,E148,0)</f>
        <v>0</v>
      </c>
      <c r="F149" s="7">
        <f ca="1">-IF(G145&gt;0,F148,0)</f>
        <v>0</v>
      </c>
      <c r="G149" s="7">
        <f t="shared" ref="G149:AM149" ca="1" si="92">-IF(H145&gt;0,G148,0)</f>
        <v>0</v>
      </c>
      <c r="H149" s="7">
        <f t="shared" ca="1" si="92"/>
        <v>0</v>
      </c>
      <c r="I149" s="7">
        <f t="shared" ca="1" si="92"/>
        <v>0</v>
      </c>
      <c r="J149" s="7">
        <f t="shared" ca="1" si="92"/>
        <v>0</v>
      </c>
      <c r="K149" s="7">
        <f t="shared" ca="1" si="92"/>
        <v>0</v>
      </c>
      <c r="L149" s="7">
        <f t="shared" ca="1" si="92"/>
        <v>0</v>
      </c>
      <c r="M149" s="7">
        <f t="shared" ca="1" si="92"/>
        <v>0</v>
      </c>
      <c r="N149" s="7">
        <f t="shared" ca="1" si="92"/>
        <v>-304531.45155937807</v>
      </c>
      <c r="O149" s="7">
        <f t="shared" ca="1" si="92"/>
        <v>0</v>
      </c>
      <c r="P149" s="7">
        <f t="shared" ca="1" si="92"/>
        <v>0</v>
      </c>
      <c r="Q149" s="7">
        <f t="shared" ca="1" si="92"/>
        <v>0</v>
      </c>
      <c r="R149" s="7">
        <f t="shared" ca="1" si="92"/>
        <v>0</v>
      </c>
      <c r="S149" s="7">
        <f t="shared" ca="1" si="92"/>
        <v>0</v>
      </c>
      <c r="T149" s="7">
        <f t="shared" ca="1" si="92"/>
        <v>0</v>
      </c>
      <c r="U149" s="7">
        <f t="shared" ca="1" si="92"/>
        <v>0</v>
      </c>
      <c r="V149" s="7">
        <f t="shared" ca="1" si="92"/>
        <v>0</v>
      </c>
      <c r="W149" s="7">
        <f t="shared" ca="1" si="92"/>
        <v>0</v>
      </c>
      <c r="X149" s="7">
        <f t="shared" ca="1" si="92"/>
        <v>0</v>
      </c>
      <c r="Y149" s="7">
        <f t="shared" ca="1" si="92"/>
        <v>0</v>
      </c>
      <c r="Z149" s="7">
        <f t="shared" ca="1" si="92"/>
        <v>0</v>
      </c>
      <c r="AA149" s="7">
        <f t="shared" ca="1" si="92"/>
        <v>0</v>
      </c>
      <c r="AB149" s="7">
        <f t="shared" ca="1" si="92"/>
        <v>0</v>
      </c>
      <c r="AC149" s="7">
        <f t="shared" ca="1" si="92"/>
        <v>0</v>
      </c>
      <c r="AD149" s="7">
        <f t="shared" ca="1" si="92"/>
        <v>0</v>
      </c>
      <c r="AE149" s="7">
        <f t="shared" ca="1" si="92"/>
        <v>0</v>
      </c>
      <c r="AF149" s="7">
        <f t="shared" ca="1" si="92"/>
        <v>0</v>
      </c>
      <c r="AG149" s="7">
        <f t="shared" ca="1" si="92"/>
        <v>0</v>
      </c>
      <c r="AH149" s="7">
        <f t="shared" ca="1" si="92"/>
        <v>0</v>
      </c>
      <c r="AI149" s="7">
        <f t="shared" ca="1" si="92"/>
        <v>0</v>
      </c>
      <c r="AJ149" s="7">
        <f t="shared" ca="1" si="92"/>
        <v>0</v>
      </c>
      <c r="AK149" s="7">
        <f t="shared" ca="1" si="92"/>
        <v>0</v>
      </c>
      <c r="AL149" s="7">
        <f t="shared" ca="1" si="92"/>
        <v>0</v>
      </c>
      <c r="AM149" s="7">
        <f t="shared" si="92"/>
        <v>0</v>
      </c>
    </row>
    <row r="150" spans="1:39">
      <c r="A150" s="3" t="s">
        <v>24</v>
      </c>
      <c r="C150" s="7">
        <v>0</v>
      </c>
      <c r="D150" s="7">
        <f t="shared" ref="D150:G150" ca="1" si="93">SUM(D148:D149)*princ</f>
        <v>6798</v>
      </c>
      <c r="E150" s="7">
        <f t="shared" ca="1" si="93"/>
        <v>7001.94</v>
      </c>
      <c r="F150" s="7">
        <f t="shared" ca="1" si="93"/>
        <v>7211.9982</v>
      </c>
      <c r="G150" s="7">
        <f t="shared" ca="1" si="93"/>
        <v>7428.3581459999996</v>
      </c>
      <c r="H150" s="7">
        <f t="shared" ref="H150:I150" ca="1" si="94">SUM(H148:H149)*princ</f>
        <v>7651.2088903800004</v>
      </c>
      <c r="I150" s="7">
        <f t="shared" ca="1" si="94"/>
        <v>7880.7451570914009</v>
      </c>
      <c r="J150" s="7">
        <f t="shared" ref="J150:AM150" ca="1" si="95">SUM(J148:J149)*princ</f>
        <v>8117.167511804143</v>
      </c>
      <c r="K150" s="7">
        <f t="shared" ca="1" si="95"/>
        <v>8360.6825371582672</v>
      </c>
      <c r="L150" s="7">
        <f t="shared" ca="1" si="95"/>
        <v>8611.5030132730153</v>
      </c>
      <c r="M150" s="7">
        <f t="shared" ca="1" si="95"/>
        <v>8869.8481036712055</v>
      </c>
      <c r="N150" s="7">
        <f t="shared" ca="1" si="95"/>
        <v>0</v>
      </c>
      <c r="O150" s="7">
        <f t="shared" ca="1" si="95"/>
        <v>0</v>
      </c>
      <c r="P150" s="7">
        <f t="shared" ca="1" si="95"/>
        <v>0</v>
      </c>
      <c r="Q150" s="7">
        <f t="shared" ca="1" si="95"/>
        <v>0</v>
      </c>
      <c r="R150" s="7">
        <f t="shared" ca="1" si="95"/>
        <v>0</v>
      </c>
      <c r="S150" s="7">
        <f t="shared" ca="1" si="95"/>
        <v>0</v>
      </c>
      <c r="T150" s="7">
        <f t="shared" ca="1" si="95"/>
        <v>0</v>
      </c>
      <c r="U150" s="7">
        <f t="shared" ca="1" si="95"/>
        <v>0</v>
      </c>
      <c r="V150" s="7">
        <f t="shared" ca="1" si="95"/>
        <v>0</v>
      </c>
      <c r="W150" s="7">
        <f t="shared" ca="1" si="95"/>
        <v>0</v>
      </c>
      <c r="X150" s="7">
        <f t="shared" ca="1" si="95"/>
        <v>0</v>
      </c>
      <c r="Y150" s="7">
        <f t="shared" ca="1" si="95"/>
        <v>0</v>
      </c>
      <c r="Z150" s="7">
        <f t="shared" ca="1" si="95"/>
        <v>0</v>
      </c>
      <c r="AA150" s="7">
        <f t="shared" ca="1" si="95"/>
        <v>0</v>
      </c>
      <c r="AB150" s="7">
        <f t="shared" ca="1" si="95"/>
        <v>0</v>
      </c>
      <c r="AC150" s="7">
        <f t="shared" ca="1" si="95"/>
        <v>0</v>
      </c>
      <c r="AD150" s="7">
        <f t="shared" ca="1" si="95"/>
        <v>0</v>
      </c>
      <c r="AE150" s="7">
        <f t="shared" ca="1" si="95"/>
        <v>0</v>
      </c>
      <c r="AF150" s="7">
        <f t="shared" ca="1" si="95"/>
        <v>0</v>
      </c>
      <c r="AG150" s="7">
        <f t="shared" ca="1" si="95"/>
        <v>0</v>
      </c>
      <c r="AH150" s="7">
        <f t="shared" ca="1" si="95"/>
        <v>0</v>
      </c>
      <c r="AI150" s="7">
        <f t="shared" ca="1" si="95"/>
        <v>0</v>
      </c>
      <c r="AJ150" s="7">
        <f t="shared" ca="1" si="95"/>
        <v>0</v>
      </c>
      <c r="AK150" s="7">
        <f t="shared" ca="1" si="95"/>
        <v>0</v>
      </c>
      <c r="AL150" s="7">
        <f t="shared" ca="1" si="95"/>
        <v>0</v>
      </c>
      <c r="AM150" s="7">
        <f t="shared" ca="1" si="95"/>
        <v>0</v>
      </c>
    </row>
    <row r="151" spans="1:39">
      <c r="A151" s="3" t="s">
        <v>25</v>
      </c>
      <c r="C151" s="7">
        <f ca="1">SUM(C148:C150)</f>
        <v>226600</v>
      </c>
      <c r="D151" s="7">
        <f t="shared" ref="D151:AM151" ca="1" si="96">SUM(D148:D150)</f>
        <v>233398</v>
      </c>
      <c r="E151" s="7">
        <f t="shared" ca="1" si="96"/>
        <v>240399.94</v>
      </c>
      <c r="F151" s="7">
        <f t="shared" ca="1" si="96"/>
        <v>247611.9382</v>
      </c>
      <c r="G151" s="7">
        <f t="shared" ca="1" si="96"/>
        <v>255040.29634600002</v>
      </c>
      <c r="H151" s="7">
        <f t="shared" ca="1" si="96"/>
        <v>262691.50523638004</v>
      </c>
      <c r="I151" s="7">
        <f t="shared" ca="1" si="96"/>
        <v>270572.25039347145</v>
      </c>
      <c r="J151" s="7">
        <f t="shared" ca="1" si="96"/>
        <v>278689.41790527559</v>
      </c>
      <c r="K151" s="7">
        <f t="shared" ca="1" si="96"/>
        <v>287050.10044243385</v>
      </c>
      <c r="L151" s="7">
        <f t="shared" ca="1" si="96"/>
        <v>295661.60345570685</v>
      </c>
      <c r="M151" s="7">
        <f t="shared" ca="1" si="96"/>
        <v>304531.45155937807</v>
      </c>
      <c r="N151" s="7">
        <f t="shared" ca="1" si="96"/>
        <v>0</v>
      </c>
      <c r="O151" s="7">
        <f t="shared" ca="1" si="96"/>
        <v>0</v>
      </c>
      <c r="P151" s="7">
        <f t="shared" ca="1" si="96"/>
        <v>0</v>
      </c>
      <c r="Q151" s="7">
        <f t="shared" ca="1" si="96"/>
        <v>0</v>
      </c>
      <c r="R151" s="7">
        <f t="shared" ca="1" si="96"/>
        <v>0</v>
      </c>
      <c r="S151" s="7">
        <f t="shared" ca="1" si="96"/>
        <v>0</v>
      </c>
      <c r="T151" s="7">
        <f t="shared" ca="1" si="96"/>
        <v>0</v>
      </c>
      <c r="U151" s="7">
        <f t="shared" ca="1" si="96"/>
        <v>0</v>
      </c>
      <c r="V151" s="7">
        <f t="shared" ca="1" si="96"/>
        <v>0</v>
      </c>
      <c r="W151" s="7">
        <f t="shared" ca="1" si="96"/>
        <v>0</v>
      </c>
      <c r="X151" s="7">
        <f t="shared" ca="1" si="96"/>
        <v>0</v>
      </c>
      <c r="Y151" s="7">
        <f t="shared" ca="1" si="96"/>
        <v>0</v>
      </c>
      <c r="Z151" s="7">
        <f t="shared" ca="1" si="96"/>
        <v>0</v>
      </c>
      <c r="AA151" s="7">
        <f t="shared" ca="1" si="96"/>
        <v>0</v>
      </c>
      <c r="AB151" s="7">
        <f t="shared" ca="1" si="96"/>
        <v>0</v>
      </c>
      <c r="AC151" s="7">
        <f t="shared" ca="1" si="96"/>
        <v>0</v>
      </c>
      <c r="AD151" s="7">
        <f t="shared" ca="1" si="96"/>
        <v>0</v>
      </c>
      <c r="AE151" s="7">
        <f t="shared" ca="1" si="96"/>
        <v>0</v>
      </c>
      <c r="AF151" s="7">
        <f t="shared" ca="1" si="96"/>
        <v>0</v>
      </c>
      <c r="AG151" s="7">
        <f t="shared" ca="1" si="96"/>
        <v>0</v>
      </c>
      <c r="AH151" s="7">
        <f t="shared" ca="1" si="96"/>
        <v>0</v>
      </c>
      <c r="AI151" s="7">
        <f t="shared" ca="1" si="96"/>
        <v>0</v>
      </c>
      <c r="AJ151" s="7">
        <f t="shared" ca="1" si="96"/>
        <v>0</v>
      </c>
      <c r="AK151" s="7">
        <f t="shared" ca="1" si="96"/>
        <v>0</v>
      </c>
      <c r="AL151" s="7">
        <f t="shared" ca="1" si="96"/>
        <v>0</v>
      </c>
      <c r="AM151" s="7">
        <f t="shared" ca="1" si="96"/>
        <v>0</v>
      </c>
    </row>
    <row r="152" spans="1:39">
      <c r="A152" s="3" t="s">
        <v>26</v>
      </c>
      <c r="C152" s="7">
        <f ca="1">C149*Inputs!$B$195</f>
        <v>0</v>
      </c>
      <c r="D152" s="7">
        <f ca="1">D149*Inputs!$B$195</f>
        <v>0</v>
      </c>
      <c r="E152" s="7">
        <f ca="1">E149*Inputs!$B$195</f>
        <v>0</v>
      </c>
      <c r="F152" s="7">
        <f ca="1">F149*Inputs!$B$195</f>
        <v>0</v>
      </c>
      <c r="G152" s="7">
        <f ca="1">G149*Inputs!$B$195</f>
        <v>0</v>
      </c>
      <c r="H152" s="7">
        <f ca="1">H149*Inputs!$B$195</f>
        <v>0</v>
      </c>
      <c r="I152" s="7">
        <f ca="1">I149*Inputs!$B$195</f>
        <v>0</v>
      </c>
      <c r="J152" s="7">
        <f ca="1">J149*Inputs!$B$195</f>
        <v>0</v>
      </c>
      <c r="K152" s="7">
        <f ca="1">K149*Inputs!$B$195</f>
        <v>0</v>
      </c>
      <c r="L152" s="7">
        <f ca="1">L149*Inputs!$B$195</f>
        <v>0</v>
      </c>
      <c r="M152" s="7">
        <f ca="1">M149*Inputs!$B$195</f>
        <v>0</v>
      </c>
      <c r="N152" s="7">
        <f ca="1">N149*Inputs!$B$195</f>
        <v>-45679.717733906706</v>
      </c>
      <c r="O152" s="7">
        <f ca="1">O149*Inputs!$B$195</f>
        <v>0</v>
      </c>
      <c r="P152" s="7">
        <f ca="1">P149*Inputs!$B$195</f>
        <v>0</v>
      </c>
      <c r="Q152" s="7">
        <f ca="1">Q149*Inputs!$B$195</f>
        <v>0</v>
      </c>
      <c r="R152" s="7">
        <f ca="1">R149*Inputs!$B$195</f>
        <v>0</v>
      </c>
      <c r="S152" s="7">
        <f ca="1">S149*Inputs!$B$195</f>
        <v>0</v>
      </c>
      <c r="T152" s="7">
        <f ca="1">T149*Inputs!$B$195</f>
        <v>0</v>
      </c>
      <c r="U152" s="7">
        <f ca="1">U149*Inputs!$B$195</f>
        <v>0</v>
      </c>
      <c r="V152" s="7">
        <f ca="1">V149*Inputs!$B$195</f>
        <v>0</v>
      </c>
      <c r="W152" s="7">
        <f ca="1">W149*Inputs!$B$195</f>
        <v>0</v>
      </c>
      <c r="X152" s="7">
        <f ca="1">X149*Inputs!$B$195</f>
        <v>0</v>
      </c>
      <c r="Y152" s="7">
        <f ca="1">Y149*Inputs!$B$195</f>
        <v>0</v>
      </c>
      <c r="Z152" s="7">
        <f ca="1">Z149*Inputs!$B$195</f>
        <v>0</v>
      </c>
      <c r="AA152" s="7">
        <f ca="1">AA149*Inputs!$B$195</f>
        <v>0</v>
      </c>
      <c r="AB152" s="7">
        <f ca="1">AB149*Inputs!$B$195</f>
        <v>0</v>
      </c>
      <c r="AC152" s="7">
        <f ca="1">AC149*Inputs!$B$195</f>
        <v>0</v>
      </c>
      <c r="AD152" s="7">
        <f ca="1">AD149*Inputs!$B$195</f>
        <v>0</v>
      </c>
      <c r="AE152" s="7">
        <f ca="1">AE149*Inputs!$B$195</f>
        <v>0</v>
      </c>
      <c r="AF152" s="7">
        <f ca="1">AF149*Inputs!$B$195</f>
        <v>0</v>
      </c>
      <c r="AG152" s="7">
        <f ca="1">AG149*Inputs!$B$195</f>
        <v>0</v>
      </c>
      <c r="AH152" s="7">
        <f ca="1">AH149*Inputs!$B$195</f>
        <v>0</v>
      </c>
      <c r="AI152" s="7">
        <f ca="1">AI149*Inputs!$B$195</f>
        <v>0</v>
      </c>
      <c r="AJ152" s="7">
        <f ca="1">AJ149*Inputs!$B$195</f>
        <v>0</v>
      </c>
      <c r="AK152" s="7">
        <f ca="1">AK149*Inputs!$B$195</f>
        <v>0</v>
      </c>
      <c r="AL152" s="7">
        <f ca="1">AL149*Inputs!$B$195</f>
        <v>0</v>
      </c>
      <c r="AM152" s="7">
        <f>AM149*Inputs!$B$195</f>
        <v>0</v>
      </c>
    </row>
    <row r="153" spans="1:39">
      <c r="A153" s="3" t="s">
        <v>31</v>
      </c>
      <c r="C153" s="7">
        <f t="shared" ref="C153:AM153" si="97">IFERROR(-IF(C148=0,VLOOKUP($A147,$8:$12,C$1+2,FALSE),0),0)</f>
        <v>0</v>
      </c>
      <c r="D153" s="7">
        <f t="shared" ca="1" si="97"/>
        <v>0</v>
      </c>
      <c r="E153" s="7">
        <f t="shared" ca="1" si="97"/>
        <v>0</v>
      </c>
      <c r="F153" s="7">
        <f t="shared" ca="1" si="97"/>
        <v>0</v>
      </c>
      <c r="G153" s="7">
        <f t="shared" ca="1" si="97"/>
        <v>0</v>
      </c>
      <c r="H153" s="7">
        <f t="shared" ca="1" si="97"/>
        <v>0</v>
      </c>
      <c r="I153" s="7">
        <f t="shared" ca="1" si="97"/>
        <v>0</v>
      </c>
      <c r="J153" s="7">
        <f t="shared" ca="1" si="97"/>
        <v>0</v>
      </c>
      <c r="K153" s="7">
        <f t="shared" ca="1" si="97"/>
        <v>0</v>
      </c>
      <c r="L153" s="7">
        <f t="shared" ca="1" si="97"/>
        <v>0</v>
      </c>
      <c r="M153" s="7">
        <f t="shared" ca="1" si="97"/>
        <v>0</v>
      </c>
      <c r="N153" s="7">
        <f t="shared" ca="1" si="97"/>
        <v>0</v>
      </c>
      <c r="O153" s="7">
        <f t="shared" ca="1" si="97"/>
        <v>-11406.087094769433</v>
      </c>
      <c r="P153" s="7">
        <f t="shared" ca="1" si="97"/>
        <v>-11748.269707612517</v>
      </c>
      <c r="Q153" s="7">
        <f t="shared" ca="1" si="97"/>
        <v>-12100.717798840893</v>
      </c>
      <c r="R153" s="7">
        <f t="shared" ca="1" si="97"/>
        <v>-12463.739332806121</v>
      </c>
      <c r="S153" s="7">
        <f t="shared" ca="1" si="97"/>
        <v>-12837.651512790304</v>
      </c>
      <c r="T153" s="7">
        <f t="shared" ca="1" si="97"/>
        <v>-13222.781058174014</v>
      </c>
      <c r="U153" s="7">
        <f t="shared" ca="1" si="97"/>
        <v>-13619.464489919235</v>
      </c>
      <c r="V153" s="7">
        <f t="shared" ca="1" si="97"/>
        <v>-14028.048424616813</v>
      </c>
      <c r="W153" s="7">
        <f t="shared" ca="1" si="97"/>
        <v>-14448.889877355317</v>
      </c>
      <c r="X153" s="7">
        <f t="shared" ca="1" si="97"/>
        <v>-14882.356573675977</v>
      </c>
      <c r="Y153" s="7">
        <f t="shared" ca="1" si="97"/>
        <v>-15328.827270886257</v>
      </c>
      <c r="Z153" s="7">
        <f t="shared" ca="1" si="97"/>
        <v>-15788.692089012846</v>
      </c>
      <c r="AA153" s="7">
        <f t="shared" ca="1" si="97"/>
        <v>-16262.352851683232</v>
      </c>
      <c r="AB153" s="7">
        <f t="shared" ca="1" si="97"/>
        <v>-16750.22343723373</v>
      </c>
      <c r="AC153" s="7">
        <f t="shared" ca="1" si="97"/>
        <v>-17252.730140350741</v>
      </c>
      <c r="AD153" s="7">
        <f t="shared" ca="1" si="97"/>
        <v>-17770.312044561262</v>
      </c>
      <c r="AE153" s="7">
        <f t="shared" ca="1" si="97"/>
        <v>-18303.421405898102</v>
      </c>
      <c r="AF153" s="7">
        <f t="shared" ca="1" si="97"/>
        <v>-18852.524048075044</v>
      </c>
      <c r="AG153" s="7">
        <f t="shared" ca="1" si="97"/>
        <v>-19418.099769517295</v>
      </c>
      <c r="AH153" s="7">
        <f t="shared" ca="1" si="97"/>
        <v>-20000.642762602816</v>
      </c>
      <c r="AI153" s="7">
        <f t="shared" ca="1" si="97"/>
        <v>-20600.662045480902</v>
      </c>
      <c r="AJ153" s="7">
        <f t="shared" ca="1" si="97"/>
        <v>-21218.68190684533</v>
      </c>
      <c r="AK153" s="7">
        <f t="shared" ca="1" si="97"/>
        <v>-21855.24236405069</v>
      </c>
      <c r="AL153" s="7">
        <f t="shared" ca="1" si="97"/>
        <v>-22510.899634972211</v>
      </c>
      <c r="AM153" s="7">
        <f t="shared" ca="1" si="97"/>
        <v>-23186.226624021379</v>
      </c>
    </row>
    <row r="154" spans="1:39">
      <c r="A154" s="3" t="s">
        <v>50</v>
      </c>
      <c r="C154" s="7">
        <f t="shared" ref="C154:AM154" si="98">IFERROR(IF(C148=0,VLOOKUP($A147,$40:$44,C$1+2,FALSE),0),0)</f>
        <v>0</v>
      </c>
      <c r="D154" s="7">
        <f t="shared" ca="1" si="98"/>
        <v>0</v>
      </c>
      <c r="E154" s="7">
        <f t="shared" ca="1" si="98"/>
        <v>0</v>
      </c>
      <c r="F154" s="7">
        <f t="shared" ca="1" si="98"/>
        <v>0</v>
      </c>
      <c r="G154" s="7">
        <f t="shared" ca="1" si="98"/>
        <v>0</v>
      </c>
      <c r="H154" s="7">
        <f t="shared" ca="1" si="98"/>
        <v>0</v>
      </c>
      <c r="I154" s="7">
        <f t="shared" ca="1" si="98"/>
        <v>0</v>
      </c>
      <c r="J154" s="7">
        <f t="shared" ca="1" si="98"/>
        <v>0</v>
      </c>
      <c r="K154" s="7">
        <f t="shared" ca="1" si="98"/>
        <v>0</v>
      </c>
      <c r="L154" s="7">
        <f t="shared" ca="1" si="98"/>
        <v>0</v>
      </c>
      <c r="M154" s="7">
        <f t="shared" ca="1" si="98"/>
        <v>0</v>
      </c>
      <c r="N154" s="7">
        <f t="shared" ca="1" si="98"/>
        <v>0</v>
      </c>
      <c r="O154" s="7">
        <f t="shared" ca="1" si="98"/>
        <v>1613.8665890955569</v>
      </c>
      <c r="P154" s="7">
        <f t="shared" ca="1" si="98"/>
        <v>1654.2132538229459</v>
      </c>
      <c r="Q154" s="7">
        <f t="shared" ca="1" si="98"/>
        <v>1695.5685851685193</v>
      </c>
      <c r="R154" s="7">
        <f t="shared" ca="1" si="98"/>
        <v>1737.9577997977326</v>
      </c>
      <c r="S154" s="7">
        <f t="shared" ca="1" si="98"/>
        <v>1781.4067447926757</v>
      </c>
      <c r="T154" s="7">
        <f t="shared" ca="1" si="98"/>
        <v>1825.9419134124923</v>
      </c>
      <c r="U154" s="7">
        <f t="shared" ca="1" si="98"/>
        <v>1871.5904612478048</v>
      </c>
      <c r="V154" s="7">
        <f t="shared" ca="1" si="98"/>
        <v>1918.380222779</v>
      </c>
      <c r="W154" s="7">
        <f t="shared" ca="1" si="98"/>
        <v>1966.3397283484746</v>
      </c>
      <c r="X154" s="7">
        <f t="shared" ca="1" si="98"/>
        <v>2015.4982215571863</v>
      </c>
      <c r="Y154" s="7">
        <f t="shared" ca="1" si="98"/>
        <v>2065.8856770961161</v>
      </c>
      <c r="Z154" s="7">
        <f t="shared" ca="1" si="98"/>
        <v>2117.5328190235191</v>
      </c>
      <c r="AA154" s="7">
        <f t="shared" ca="1" si="98"/>
        <v>2170.4711394991068</v>
      </c>
      <c r="AB154" s="7">
        <f t="shared" ca="1" si="98"/>
        <v>2224.7329179865842</v>
      </c>
      <c r="AC154" s="7">
        <f t="shared" ca="1" si="98"/>
        <v>2280.3512409362484</v>
      </c>
      <c r="AD154" s="7">
        <f t="shared" ca="1" si="98"/>
        <v>2337.3600219596547</v>
      </c>
      <c r="AE154" s="7">
        <f t="shared" ca="1" si="98"/>
        <v>2395.7940225086459</v>
      </c>
      <c r="AF154" s="7">
        <f t="shared" ca="1" si="98"/>
        <v>2455.6888730713622</v>
      </c>
      <c r="AG154" s="7">
        <f t="shared" ca="1" si="98"/>
        <v>2517.0810948981457</v>
      </c>
      <c r="AH154" s="7">
        <f t="shared" ca="1" si="98"/>
        <v>2580.0081222705999</v>
      </c>
      <c r="AI154" s="7">
        <f t="shared" ca="1" si="98"/>
        <v>2644.5083253273642</v>
      </c>
      <c r="AJ154" s="7">
        <f t="shared" ca="1" si="98"/>
        <v>2710.6210334605485</v>
      </c>
      <c r="AK154" s="7">
        <f t="shared" ca="1" si="98"/>
        <v>2778.3865592970619</v>
      </c>
      <c r="AL154" s="7">
        <f t="shared" ca="1" si="98"/>
        <v>2847.8462232794882</v>
      </c>
      <c r="AM154" s="7">
        <f t="shared" ca="1" si="98"/>
        <v>2919.0423788614758</v>
      </c>
    </row>
    <row r="155" spans="1:39">
      <c r="A155" s="3" t="s">
        <v>36</v>
      </c>
      <c r="B155" s="14" t="str">
        <f>A147</f>
        <v>Qormi</v>
      </c>
      <c r="C155" s="7">
        <f t="shared" ref="C155:AM155" ca="1" si="99">IF(AND(C148&gt;0,C151=0),VLOOKUP($A147,$72:$76,C$1+2,FALSE),0)</f>
        <v>0</v>
      </c>
      <c r="D155" s="7">
        <f t="shared" ca="1" si="99"/>
        <v>0</v>
      </c>
      <c r="E155" s="7">
        <f t="shared" ca="1" si="99"/>
        <v>0</v>
      </c>
      <c r="F155" s="7">
        <f t="shared" ca="1" si="99"/>
        <v>0</v>
      </c>
      <c r="G155" s="7">
        <f t="shared" ca="1" si="99"/>
        <v>0</v>
      </c>
      <c r="H155" s="7">
        <f t="shared" ca="1" si="99"/>
        <v>0</v>
      </c>
      <c r="I155" s="7">
        <f t="shared" ca="1" si="99"/>
        <v>0</v>
      </c>
      <c r="J155" s="7">
        <f t="shared" ca="1" si="99"/>
        <v>0</v>
      </c>
      <c r="K155" s="7">
        <f t="shared" ca="1" si="99"/>
        <v>0</v>
      </c>
      <c r="L155" s="7">
        <f t="shared" ca="1" si="99"/>
        <v>0</v>
      </c>
      <c r="M155" s="7">
        <f t="shared" ca="1" si="99"/>
        <v>0</v>
      </c>
      <c r="N155" s="7">
        <f t="shared" ca="1" si="99"/>
        <v>0</v>
      </c>
      <c r="O155" s="7">
        <f t="shared" ca="1" si="99"/>
        <v>0</v>
      </c>
      <c r="P155" s="7">
        <f t="shared" ca="1" si="99"/>
        <v>0</v>
      </c>
      <c r="Q155" s="7">
        <f t="shared" ca="1" si="99"/>
        <v>0</v>
      </c>
      <c r="R155" s="7">
        <f t="shared" ca="1" si="99"/>
        <v>0</v>
      </c>
      <c r="S155" s="7">
        <f t="shared" ca="1" si="99"/>
        <v>0</v>
      </c>
      <c r="T155" s="7">
        <f t="shared" ca="1" si="99"/>
        <v>0</v>
      </c>
      <c r="U155" s="7">
        <f t="shared" ca="1" si="99"/>
        <v>0</v>
      </c>
      <c r="V155" s="7">
        <f t="shared" ca="1" si="99"/>
        <v>0</v>
      </c>
      <c r="W155" s="7">
        <f t="shared" ca="1" si="99"/>
        <v>0</v>
      </c>
      <c r="X155" s="7">
        <f t="shared" ca="1" si="99"/>
        <v>0</v>
      </c>
      <c r="Y155" s="7">
        <f t="shared" ca="1" si="99"/>
        <v>0</v>
      </c>
      <c r="Z155" s="7">
        <f t="shared" ca="1" si="99"/>
        <v>0</v>
      </c>
      <c r="AA155" s="7">
        <f t="shared" ca="1" si="99"/>
        <v>0</v>
      </c>
      <c r="AB155" s="7">
        <f t="shared" ca="1" si="99"/>
        <v>0</v>
      </c>
      <c r="AC155" s="7">
        <f t="shared" ca="1" si="99"/>
        <v>0</v>
      </c>
      <c r="AD155" s="7">
        <f t="shared" ca="1" si="99"/>
        <v>0</v>
      </c>
      <c r="AE155" s="7">
        <f t="shared" ca="1" si="99"/>
        <v>0</v>
      </c>
      <c r="AF155" s="7">
        <f t="shared" ca="1" si="99"/>
        <v>0</v>
      </c>
      <c r="AG155" s="7">
        <f t="shared" ca="1" si="99"/>
        <v>0</v>
      </c>
      <c r="AH155" s="7">
        <f t="shared" ca="1" si="99"/>
        <v>0</v>
      </c>
      <c r="AI155" s="7">
        <f t="shared" ca="1" si="99"/>
        <v>0</v>
      </c>
      <c r="AJ155" s="7">
        <f t="shared" ca="1" si="99"/>
        <v>0</v>
      </c>
      <c r="AK155" s="7">
        <f t="shared" ca="1" si="99"/>
        <v>0</v>
      </c>
      <c r="AL155" s="7">
        <f t="shared" ca="1" si="99"/>
        <v>0</v>
      </c>
      <c r="AM155" s="7">
        <f t="shared" ca="1" si="99"/>
        <v>0</v>
      </c>
    </row>
    <row r="156" spans="1:39">
      <c r="A156" s="3" t="s">
        <v>37</v>
      </c>
      <c r="C156" s="7">
        <f ca="1">-C149+SUM(C152:C155)</f>
        <v>0</v>
      </c>
      <c r="D156" s="7">
        <f t="shared" ref="D156" ca="1" si="100">-D149+SUM(D152:D155)</f>
        <v>0</v>
      </c>
      <c r="E156" s="7">
        <f t="shared" ref="E156:AM156" ca="1" si="101">-E149+SUM(E152:E155)</f>
        <v>0</v>
      </c>
      <c r="F156" s="7">
        <f t="shared" ca="1" si="101"/>
        <v>0</v>
      </c>
      <c r="G156" s="7">
        <f t="shared" ca="1" si="101"/>
        <v>0</v>
      </c>
      <c r="H156" s="7">
        <f t="shared" ca="1" si="101"/>
        <v>0</v>
      </c>
      <c r="I156" s="7">
        <f t="shared" ca="1" si="101"/>
        <v>0</v>
      </c>
      <c r="J156" s="7">
        <f t="shared" ca="1" si="101"/>
        <v>0</v>
      </c>
      <c r="K156" s="7">
        <f t="shared" ca="1" si="101"/>
        <v>0</v>
      </c>
      <c r="L156" s="7">
        <f t="shared" ca="1" si="101"/>
        <v>0</v>
      </c>
      <c r="M156" s="7">
        <f t="shared" ca="1" si="101"/>
        <v>0</v>
      </c>
      <c r="N156" s="7">
        <f t="shared" ca="1" si="101"/>
        <v>258851.73382547137</v>
      </c>
      <c r="O156" s="7">
        <f t="shared" ca="1" si="101"/>
        <v>-9792.2205056738767</v>
      </c>
      <c r="P156" s="7">
        <f t="shared" ca="1" si="101"/>
        <v>-10094.056453789572</v>
      </c>
      <c r="Q156" s="7">
        <f t="shared" ca="1" si="101"/>
        <v>-10405.149213672374</v>
      </c>
      <c r="R156" s="7">
        <f t="shared" ca="1" si="101"/>
        <v>-10725.781533008389</v>
      </c>
      <c r="S156" s="7">
        <f t="shared" ca="1" si="101"/>
        <v>-11056.244767997629</v>
      </c>
      <c r="T156" s="7">
        <f t="shared" ca="1" si="101"/>
        <v>-11396.839144761521</v>
      </c>
      <c r="U156" s="7">
        <f t="shared" ca="1" si="101"/>
        <v>-11747.874028671431</v>
      </c>
      <c r="V156" s="7">
        <f t="shared" ca="1" si="101"/>
        <v>-12109.668201837812</v>
      </c>
      <c r="W156" s="7">
        <f t="shared" ca="1" si="101"/>
        <v>-12482.550149006842</v>
      </c>
      <c r="X156" s="7">
        <f t="shared" ca="1" si="101"/>
        <v>-12866.85835211879</v>
      </c>
      <c r="Y156" s="7">
        <f t="shared" ca="1" si="101"/>
        <v>-13262.941593790141</v>
      </c>
      <c r="Z156" s="7">
        <f t="shared" ca="1" si="101"/>
        <v>-13671.159269989326</v>
      </c>
      <c r="AA156" s="7">
        <f t="shared" ca="1" si="101"/>
        <v>-14091.881712184126</v>
      </c>
      <c r="AB156" s="7">
        <f t="shared" ca="1" si="101"/>
        <v>-14525.490519247145</v>
      </c>
      <c r="AC156" s="7">
        <f t="shared" ca="1" si="101"/>
        <v>-14972.378899414492</v>
      </c>
      <c r="AD156" s="7">
        <f t="shared" ca="1" si="101"/>
        <v>-15432.952022601607</v>
      </c>
      <c r="AE156" s="7">
        <f t="shared" ca="1" si="101"/>
        <v>-15907.627383389456</v>
      </c>
      <c r="AF156" s="7">
        <f t="shared" ca="1" si="101"/>
        <v>-16396.835175003682</v>
      </c>
      <c r="AG156" s="7">
        <f t="shared" ca="1" si="101"/>
        <v>-16901.01867461915</v>
      </c>
      <c r="AH156" s="7">
        <f t="shared" ca="1" si="101"/>
        <v>-17420.634640332217</v>
      </c>
      <c r="AI156" s="7">
        <f t="shared" ca="1" si="101"/>
        <v>-17956.153720153539</v>
      </c>
      <c r="AJ156" s="7">
        <f t="shared" ca="1" si="101"/>
        <v>-18508.06087338478</v>
      </c>
      <c r="AK156" s="7">
        <f t="shared" ca="1" si="101"/>
        <v>-19076.855804753628</v>
      </c>
      <c r="AL156" s="7">
        <f t="shared" ca="1" si="101"/>
        <v>-19663.053411692723</v>
      </c>
      <c r="AM156" s="7">
        <f t="shared" ca="1" si="101"/>
        <v>-20267.184245159904</v>
      </c>
    </row>
    <row r="157" spans="1:39">
      <c r="A157" s="3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</row>
    <row r="158" spans="1:39">
      <c r="A158" s="3" t="s">
        <v>77</v>
      </c>
      <c r="C158" s="7">
        <f ca="1">C144+SUM($C156:C156)</f>
        <v>37716.75</v>
      </c>
      <c r="D158" s="7">
        <f ca="1">D144+SUM($C156:D156)</f>
        <v>69048.493749999994</v>
      </c>
      <c r="E158" s="7">
        <f ca="1">E144+SUM($C156:E156)</f>
        <v>71891.10341475303</v>
      </c>
      <c r="F158" s="7">
        <f ca="1">F144+SUM($C156:F156)</f>
        <v>55330.661493535095</v>
      </c>
      <c r="G158" s="7">
        <f ca="1">G144+SUM($C156:G156)</f>
        <v>123023.26474117297</v>
      </c>
      <c r="H158" s="7">
        <f ca="1">H144+SUM($C156:H156)</f>
        <v>82547.974722190411</v>
      </c>
      <c r="I158" s="7">
        <f ca="1">I144+SUM($C156:I156)</f>
        <v>203196.12586942854</v>
      </c>
      <c r="J158" s="7">
        <f ca="1">J144+SUM($C156:J156)</f>
        <v>142566.76412242133</v>
      </c>
      <c r="K158" s="7">
        <f ca="1">K144+SUM($C156:K156)</f>
        <v>160990.74855410369</v>
      </c>
      <c r="L158" s="7">
        <f ca="1">L144+SUM($C156:L156)</f>
        <v>83575.248188734811</v>
      </c>
      <c r="M158" s="7">
        <f ca="1">M144+SUM($C156:M156)</f>
        <v>55885.180857204898</v>
      </c>
      <c r="N158" s="7">
        <f ca="1">N144+SUM($C156:N156)</f>
        <v>285680.96493590769</v>
      </c>
      <c r="O158" s="7">
        <f ca="1">O144+SUM($C156:O156)</f>
        <v>245440.25754166039</v>
      </c>
      <c r="P158" s="7">
        <f ca="1">P144+SUM($C156:P156)</f>
        <v>203786.68717442366</v>
      </c>
      <c r="Q158" s="7">
        <f ca="1">Q144+SUM($C156:Q156)</f>
        <v>161179.88957081304</v>
      </c>
      <c r="R158" s="7">
        <f ca="1">R144+SUM($C156:R156)</f>
        <v>117598.67741060347</v>
      </c>
      <c r="S158" s="7">
        <f ca="1">S144+SUM($C156:S156)</f>
        <v>90538.579315179391</v>
      </c>
      <c r="T158" s="7">
        <f ca="1">T144+SUM($C156:T156)</f>
        <v>70506.352459600996</v>
      </c>
      <c r="U158" s="7">
        <f ca="1">U144+SUM($C156:U156)</f>
        <v>50072.490790569398</v>
      </c>
      <c r="V158" s="7">
        <f ca="1">V144+SUM($C156:V156)</f>
        <v>29229.928563486494</v>
      </c>
      <c r="W158" s="7">
        <f ca="1">W144+SUM($C156:W156)</f>
        <v>7971.5126439111191</v>
      </c>
      <c r="X158" s="7">
        <f ca="1">X144+SUM($C156:X156)</f>
        <v>-33864.979215145315</v>
      </c>
      <c r="Y158" s="7">
        <f ca="1">Y144+SUM($C156:Y156)</f>
        <v>-76635.76569637566</v>
      </c>
      <c r="Z158" s="7">
        <f ca="1">Z144+SUM($C156:Z156)</f>
        <v>-120360.85563510505</v>
      </c>
      <c r="AA158" s="7">
        <f ca="1">AA144+SUM($C156:AA156)</f>
        <v>-165060.65763163508</v>
      </c>
      <c r="AB158" s="7">
        <f ca="1">AB144+SUM($C156:AB156)</f>
        <v>-210755.98703169081</v>
      </c>
      <c r="AC158" s="7">
        <f ca="1">AC144+SUM($C156:AC156)</f>
        <v>-257468.07299096856</v>
      </c>
      <c r="AD158" s="7">
        <f ca="1">AD144+SUM($C156:AD156)</f>
        <v>-295479.56553167704</v>
      </c>
      <c r="AE158" s="7">
        <f ca="1">AE144+SUM($C156:AE156)</f>
        <v>-334441.51159556472</v>
      </c>
      <c r="AF158" s="7">
        <f ca="1">AF144+SUM($C156:AF156)</f>
        <v>-374727.51221275423</v>
      </c>
      <c r="AG158" s="7">
        <f ca="1">AG144+SUM($C156:AG156)</f>
        <v>-416378.77516082424</v>
      </c>
      <c r="AH158" s="7">
        <f ca="1">AH144+SUM($C156:AH156)</f>
        <v>-458928.65839005006</v>
      </c>
      <c r="AI158" s="7">
        <f ca="1">AI144+SUM($C156:AI156)</f>
        <v>-502390.4319356936</v>
      </c>
      <c r="AJ158" s="7">
        <f ca="1">AJ144+SUM($C156:AJ156)</f>
        <v>-546783.26267783355</v>
      </c>
      <c r="AK158" s="7">
        <f ca="1">AK144+SUM($C156:AK156)</f>
        <v>-592126.69425384724</v>
      </c>
      <c r="AL158" s="7">
        <f ca="1">AL144+SUM($C156:AL156)</f>
        <v>-638440.65356731811</v>
      </c>
      <c r="AM158" s="7">
        <f ca="1">AM144+SUM($C156:AM156)</f>
        <v>-685347.1927983088</v>
      </c>
    </row>
    <row r="159" spans="1:39">
      <c r="A159" s="3" t="s">
        <v>74</v>
      </c>
      <c r="C159" s="7">
        <f t="shared" ref="C159:AM159" ca="1" si="102">MAX(C158+buffer,0)-MAX(C144+buffer,0)</f>
        <v>0</v>
      </c>
      <c r="D159" s="7">
        <f t="shared" ca="1" si="102"/>
        <v>0</v>
      </c>
      <c r="E159" s="7">
        <f t="shared" ca="1" si="102"/>
        <v>0</v>
      </c>
      <c r="F159" s="7">
        <f t="shared" ca="1" si="102"/>
        <v>0</v>
      </c>
      <c r="G159" s="7">
        <f t="shared" ca="1" si="102"/>
        <v>0</v>
      </c>
      <c r="H159" s="7">
        <f t="shared" ca="1" si="102"/>
        <v>0</v>
      </c>
      <c r="I159" s="7">
        <f t="shared" ca="1" si="102"/>
        <v>0</v>
      </c>
      <c r="J159" s="7">
        <f t="shared" ca="1" si="102"/>
        <v>0</v>
      </c>
      <c r="K159" s="7">
        <f t="shared" ca="1" si="102"/>
        <v>0</v>
      </c>
      <c r="L159" s="7">
        <f t="shared" ca="1" si="102"/>
        <v>0</v>
      </c>
      <c r="M159" s="7">
        <f t="shared" ca="1" si="102"/>
        <v>0</v>
      </c>
      <c r="N159" s="7">
        <f t="shared" ca="1" si="102"/>
        <v>258851.73382547137</v>
      </c>
      <c r="O159" s="7">
        <f t="shared" ca="1" si="102"/>
        <v>249059.51331979746</v>
      </c>
      <c r="P159" s="7">
        <f t="shared" ca="1" si="102"/>
        <v>238965.45686600794</v>
      </c>
      <c r="Q159" s="7">
        <f t="shared" ca="1" si="102"/>
        <v>201179.88957081304</v>
      </c>
      <c r="R159" s="7">
        <f t="shared" ca="1" si="102"/>
        <v>157598.67741060347</v>
      </c>
      <c r="S159" s="7">
        <f t="shared" ca="1" si="102"/>
        <v>130538.57931517939</v>
      </c>
      <c r="T159" s="7">
        <f t="shared" ca="1" si="102"/>
        <v>110506.352459601</v>
      </c>
      <c r="U159" s="7">
        <f t="shared" ca="1" si="102"/>
        <v>90072.490790569398</v>
      </c>
      <c r="V159" s="7">
        <f t="shared" ca="1" si="102"/>
        <v>69229.928563486494</v>
      </c>
      <c r="W159" s="7">
        <f t="shared" ca="1" si="102"/>
        <v>47971.512643911119</v>
      </c>
      <c r="X159" s="7">
        <f t="shared" ca="1" si="102"/>
        <v>6135.0207848546852</v>
      </c>
      <c r="Y159" s="7">
        <f t="shared" ca="1" si="102"/>
        <v>0</v>
      </c>
      <c r="Z159" s="7">
        <f t="shared" ca="1" si="102"/>
        <v>0</v>
      </c>
      <c r="AA159" s="7">
        <f t="shared" ca="1" si="102"/>
        <v>0</v>
      </c>
      <c r="AB159" s="7">
        <f t="shared" ca="1" si="102"/>
        <v>0</v>
      </c>
      <c r="AC159" s="7">
        <f t="shared" ca="1" si="102"/>
        <v>0</v>
      </c>
      <c r="AD159" s="7">
        <f t="shared" ca="1" si="102"/>
        <v>0</v>
      </c>
      <c r="AE159" s="7">
        <f t="shared" ca="1" si="102"/>
        <v>0</v>
      </c>
      <c r="AF159" s="7">
        <f t="shared" ca="1" si="102"/>
        <v>0</v>
      </c>
      <c r="AG159" s="7">
        <f t="shared" ca="1" si="102"/>
        <v>0</v>
      </c>
      <c r="AH159" s="7">
        <f t="shared" ca="1" si="102"/>
        <v>0</v>
      </c>
      <c r="AI159" s="7">
        <f t="shared" ca="1" si="102"/>
        <v>0</v>
      </c>
      <c r="AJ159" s="7">
        <f t="shared" ca="1" si="102"/>
        <v>0</v>
      </c>
      <c r="AK159" s="7">
        <f t="shared" ca="1" si="102"/>
        <v>0</v>
      </c>
      <c r="AL159" s="7">
        <f t="shared" ca="1" si="102"/>
        <v>0</v>
      </c>
      <c r="AM159" s="7">
        <f t="shared" ca="1" si="102"/>
        <v>0</v>
      </c>
    </row>
    <row r="160" spans="1:39">
      <c r="A160" s="3" t="s">
        <v>75</v>
      </c>
      <c r="C160" s="7">
        <f ca="1">C159*Inputs!$B$181</f>
        <v>0</v>
      </c>
      <c r="D160" s="7">
        <f ca="1">D159*Inputs!$B$181</f>
        <v>0</v>
      </c>
      <c r="E160" s="7">
        <f ca="1">E159*Inputs!$B$181</f>
        <v>0</v>
      </c>
      <c r="F160" s="7">
        <f ca="1">F159*Inputs!$B$181</f>
        <v>0</v>
      </c>
      <c r="G160" s="7">
        <f ca="1">G159*Inputs!$B$181</f>
        <v>0</v>
      </c>
      <c r="H160" s="7">
        <f ca="1">H159*Inputs!$B$181</f>
        <v>0</v>
      </c>
      <c r="I160" s="7">
        <f ca="1">I159*Inputs!$B$181</f>
        <v>0</v>
      </c>
      <c r="J160" s="7">
        <f ca="1">J159*Inputs!$B$181</f>
        <v>0</v>
      </c>
      <c r="K160" s="7">
        <f ca="1">K159*Inputs!$B$181</f>
        <v>0</v>
      </c>
      <c r="L160" s="7">
        <f ca="1">L159*Inputs!$B$181</f>
        <v>0</v>
      </c>
      <c r="M160" s="7">
        <f ca="1">M159*Inputs!$B$181</f>
        <v>0</v>
      </c>
      <c r="N160" s="7">
        <f ca="1">N159*Inputs!$B$181</f>
        <v>6471.2933456367846</v>
      </c>
      <c r="O160" s="7">
        <f ca="1">O159*Inputs!$B$181</f>
        <v>6226.487832994937</v>
      </c>
      <c r="P160" s="7">
        <f ca="1">P159*Inputs!$B$181</f>
        <v>5974.1364216501988</v>
      </c>
      <c r="Q160" s="7">
        <f ca="1">Q159*Inputs!$B$181</f>
        <v>5029.4972392703266</v>
      </c>
      <c r="R160" s="7">
        <f ca="1">R159*Inputs!$B$181</f>
        <v>3939.9669352650872</v>
      </c>
      <c r="S160" s="7">
        <f ca="1">S159*Inputs!$B$181</f>
        <v>3263.4644828794849</v>
      </c>
      <c r="T160" s="7">
        <f ca="1">T159*Inputs!$B$181</f>
        <v>2762.6588114900251</v>
      </c>
      <c r="U160" s="7">
        <f ca="1">U159*Inputs!$B$181</f>
        <v>2251.8122697642352</v>
      </c>
      <c r="V160" s="7">
        <f ca="1">V159*Inputs!$B$181</f>
        <v>1730.7482140871625</v>
      </c>
      <c r="W160" s="7">
        <f ca="1">W159*Inputs!$B$181</f>
        <v>1199.287816097778</v>
      </c>
      <c r="X160" s="7">
        <f ca="1">X159*Inputs!$B$181</f>
        <v>153.37551962136715</v>
      </c>
      <c r="Y160" s="7">
        <f ca="1">Y159*Inputs!$B$181</f>
        <v>0</v>
      </c>
      <c r="Z160" s="7">
        <f ca="1">Z159*Inputs!$B$181</f>
        <v>0</v>
      </c>
      <c r="AA160" s="7">
        <f ca="1">AA159*Inputs!$B$181</f>
        <v>0</v>
      </c>
      <c r="AB160" s="7">
        <f ca="1">AB159*Inputs!$B$181</f>
        <v>0</v>
      </c>
      <c r="AC160" s="7">
        <f ca="1">AC159*Inputs!$B$181</f>
        <v>0</v>
      </c>
      <c r="AD160" s="7">
        <f ca="1">AD159*Inputs!$B$181</f>
        <v>0</v>
      </c>
      <c r="AE160" s="7">
        <f ca="1">AE159*Inputs!$B$181</f>
        <v>0</v>
      </c>
      <c r="AF160" s="7">
        <f ca="1">AF159*Inputs!$B$181</f>
        <v>0</v>
      </c>
      <c r="AG160" s="7">
        <f ca="1">AG159*Inputs!$B$181</f>
        <v>0</v>
      </c>
      <c r="AH160" s="7">
        <f ca="1">AH159*Inputs!$B$181</f>
        <v>0</v>
      </c>
      <c r="AI160" s="7">
        <f ca="1">AI159*Inputs!$B$181</f>
        <v>0</v>
      </c>
      <c r="AJ160" s="7">
        <f ca="1">AJ159*Inputs!$B$181</f>
        <v>0</v>
      </c>
      <c r="AK160" s="7">
        <f ca="1">AK159*Inputs!$B$181</f>
        <v>0</v>
      </c>
      <c r="AL160" s="7">
        <f ca="1">AL159*Inputs!$B$181</f>
        <v>0</v>
      </c>
      <c r="AM160" s="7">
        <f ca="1">AM159*Inputs!$B$181</f>
        <v>0</v>
      </c>
    </row>
    <row r="161" spans="1:39">
      <c r="A161" s="3" t="s">
        <v>158</v>
      </c>
      <c r="C161" s="7">
        <f ca="1">C158+SUM($C160:C160)</f>
        <v>37716.75</v>
      </c>
      <c r="D161" s="7">
        <f ca="1">D158+SUM($C160:D160)</f>
        <v>69048.493749999994</v>
      </c>
      <c r="E161" s="7">
        <f ca="1">E158+SUM($C160:E160)</f>
        <v>71891.10341475303</v>
      </c>
      <c r="F161" s="7">
        <f ca="1">F158+SUM($C160:F160)</f>
        <v>55330.661493535095</v>
      </c>
      <c r="G161" s="7">
        <f ca="1">G158+SUM($C160:G160)</f>
        <v>123023.26474117297</v>
      </c>
      <c r="H161" s="7">
        <f ca="1">H158+SUM($C160:H160)</f>
        <v>82547.974722190411</v>
      </c>
      <c r="I161" s="7">
        <f ca="1">I158+SUM($C160:I160)</f>
        <v>203196.12586942854</v>
      </c>
      <c r="J161" s="7">
        <f ca="1">J158+SUM($C160:J160)</f>
        <v>142566.76412242133</v>
      </c>
      <c r="K161" s="7">
        <f ca="1">K158+SUM($C160:K160)</f>
        <v>160990.74855410369</v>
      </c>
      <c r="L161" s="7">
        <f ca="1">L158+SUM($C160:L160)</f>
        <v>83575.248188734811</v>
      </c>
      <c r="M161" s="7">
        <f ca="1">M158+SUM($C160:M160)</f>
        <v>55885.180857204898</v>
      </c>
      <c r="N161" s="7">
        <f ca="1">N158+SUM($C160:N160)</f>
        <v>292152.25828154449</v>
      </c>
      <c r="O161" s="7">
        <f ca="1">O158+SUM($C160:O160)</f>
        <v>258138.03872029213</v>
      </c>
      <c r="P161" s="7">
        <f ca="1">P158+SUM($C160:P160)</f>
        <v>222458.60477470557</v>
      </c>
      <c r="Q161" s="7">
        <f ca="1">Q158+SUM($C160:Q160)</f>
        <v>184881.30441036529</v>
      </c>
      <c r="R161" s="7">
        <f ca="1">R158+SUM($C160:R160)</f>
        <v>145240.0591854208</v>
      </c>
      <c r="S161" s="7">
        <f ca="1">S158+SUM($C160:S160)</f>
        <v>121443.42557287621</v>
      </c>
      <c r="T161" s="7">
        <f ca="1">T158+SUM($C160:T160)</f>
        <v>104173.85752878783</v>
      </c>
      <c r="U161" s="7">
        <f ca="1">U158+SUM($C160:U160)</f>
        <v>85991.808129520476</v>
      </c>
      <c r="V161" s="7">
        <f ca="1">V158+SUM($C160:V160)</f>
        <v>66879.994116524729</v>
      </c>
      <c r="W161" s="7">
        <f ca="1">W158+SUM($C160:W160)</f>
        <v>46820.86601304714</v>
      </c>
      <c r="X161" s="7">
        <f ca="1">X158+SUM($C160:X160)</f>
        <v>5137.7496736120738</v>
      </c>
      <c r="Y161" s="7">
        <f ca="1">Y158+SUM($C160:Y160)</f>
        <v>-37633.036807618271</v>
      </c>
      <c r="Z161" s="7">
        <f ca="1">Z158+SUM($C160:Z160)</f>
        <v>-81358.126746347669</v>
      </c>
      <c r="AA161" s="7">
        <f ca="1">AA158+SUM($C160:AA160)</f>
        <v>-126057.9287428777</v>
      </c>
      <c r="AB161" s="7">
        <f ca="1">AB158+SUM($C160:AB160)</f>
        <v>-171753.25814293342</v>
      </c>
      <c r="AC161" s="7">
        <f ca="1">AC158+SUM($C160:AC160)</f>
        <v>-218465.34410221118</v>
      </c>
      <c r="AD161" s="7">
        <f ca="1">AD158+SUM($C160:AD160)</f>
        <v>-256476.83664291966</v>
      </c>
      <c r="AE161" s="7">
        <f ca="1">AE158+SUM($C160:AE160)</f>
        <v>-295438.78270680731</v>
      </c>
      <c r="AF161" s="7">
        <f ca="1">AF158+SUM($C160:AF160)</f>
        <v>-335724.78332399682</v>
      </c>
      <c r="AG161" s="7">
        <f ca="1">AG158+SUM($C160:AG160)</f>
        <v>-377376.04627206683</v>
      </c>
      <c r="AH161" s="7">
        <f ca="1">AH158+SUM($C160:AH160)</f>
        <v>-419925.92950129264</v>
      </c>
      <c r="AI161" s="7">
        <f ca="1">AI158+SUM($C160:AI160)</f>
        <v>-463387.70304693619</v>
      </c>
      <c r="AJ161" s="7">
        <f ca="1">AJ158+SUM($C160:AJ160)</f>
        <v>-507780.53378907614</v>
      </c>
      <c r="AK161" s="7">
        <f ca="1">AK158+SUM($C160:AK160)</f>
        <v>-553123.96536508983</v>
      </c>
      <c r="AL161" s="7">
        <f ca="1">AL158+SUM($C160:AL160)</f>
        <v>-599437.9246785607</v>
      </c>
      <c r="AM161" s="7">
        <f ca="1">AM158+SUM($C160:AM160)</f>
        <v>-646344.46390955138</v>
      </c>
    </row>
    <row r="162" spans="1:39">
      <c r="A162" s="3" t="s">
        <v>20</v>
      </c>
      <c r="C162" s="7">
        <f ca="1">IF(C161&lt;0,-C161,0)</f>
        <v>0</v>
      </c>
      <c r="D162" s="7">
        <f ca="1">IF(D161+SUM($C162:C162)&lt;0,-(D161+SUM($C162:C162)),0)</f>
        <v>0</v>
      </c>
      <c r="E162" s="7">
        <f ca="1">IF(E161+SUM($C162:D162)&lt;0,-(E161+SUM($C162:D162)),0)</f>
        <v>0</v>
      </c>
      <c r="F162" s="7">
        <f ca="1">IF(F161+SUM($C162:E162)&lt;0,-(F161+SUM($C162:E162)),0)</f>
        <v>0</v>
      </c>
      <c r="G162" s="7">
        <f ca="1">IF(G161+SUM($C162:F162)&lt;0,-(G161+SUM($C162:F162)),0)</f>
        <v>0</v>
      </c>
      <c r="H162" s="7">
        <f ca="1">IF(H161+SUM($C162:G162)&lt;0,-(H161+SUM($C162:G162)),0)</f>
        <v>0</v>
      </c>
      <c r="I162" s="7">
        <f ca="1">IF(I161+SUM($C162:H162)&lt;0,-(I161+SUM($C162:H162)),0)</f>
        <v>0</v>
      </c>
      <c r="J162" s="7">
        <f ca="1">IF(J161+SUM($C162:I162)&lt;0,-(J161+SUM($C162:I162)),0)</f>
        <v>0</v>
      </c>
      <c r="K162" s="7">
        <f ca="1">IF(K161+SUM($C162:J162)&lt;0,-(K161+SUM($C162:J162)),0)</f>
        <v>0</v>
      </c>
      <c r="L162" s="7">
        <f ca="1">IF(L161+SUM($C162:K162)&lt;0,-(L161+SUM($C162:K162)),0)</f>
        <v>0</v>
      </c>
      <c r="M162" s="7">
        <f ca="1">IF(M161+SUM($C162:L162)&lt;0,-(M161+SUM($C162:L162)),0)</f>
        <v>0</v>
      </c>
      <c r="N162" s="7">
        <f ca="1">IF(N161+SUM($C162:M162)&lt;0,-(N161+SUM($C162:M162)),0)</f>
        <v>0</v>
      </c>
      <c r="O162" s="7">
        <f ca="1">IF(O161+SUM($C162:N162)&lt;0,-(O161+SUM($C162:N162)),0)</f>
        <v>0</v>
      </c>
      <c r="P162" s="7">
        <f ca="1">IF(P161+SUM($C162:O162)&lt;0,-(P161+SUM($C162:O162)),0)</f>
        <v>0</v>
      </c>
      <c r="Q162" s="7">
        <f ca="1">IF(Q161+SUM($C162:P162)&lt;0,-(Q161+SUM($C162:P162)),0)</f>
        <v>0</v>
      </c>
      <c r="R162" s="7">
        <f ca="1">IF(R161+SUM($C162:Q162)&lt;0,-(R161+SUM($C162:Q162)),0)</f>
        <v>0</v>
      </c>
      <c r="S162" s="7">
        <f ca="1">IF(S161+SUM($C162:R162)&lt;0,-(S161+SUM($C162:R162)),0)</f>
        <v>0</v>
      </c>
      <c r="T162" s="7">
        <f ca="1">IF(T161+SUM($C162:S162)&lt;0,-(T161+SUM($C162:S162)),0)</f>
        <v>0</v>
      </c>
      <c r="U162" s="7">
        <f ca="1">IF(U161+SUM($C162:T162)&lt;0,-(U161+SUM($C162:T162)),0)</f>
        <v>0</v>
      </c>
      <c r="V162" s="7">
        <f ca="1">IF(V161+SUM($C162:U162)&lt;0,-(V161+SUM($C162:U162)),0)</f>
        <v>0</v>
      </c>
      <c r="W162" s="7">
        <f ca="1">IF(W161+SUM($C162:V162)&lt;0,-(W161+SUM($C162:V162)),0)</f>
        <v>0</v>
      </c>
      <c r="X162" s="7">
        <f ca="1">IF(X161+SUM($C162:W162)&lt;0,-(X161+SUM($C162:W162)),0)</f>
        <v>0</v>
      </c>
      <c r="Y162" s="7">
        <f ca="1">IF(Y161+SUM($C162:X162)&lt;0,-(Y161+SUM($C162:X162)),0)</f>
        <v>37633.036807618271</v>
      </c>
      <c r="Z162" s="7">
        <f ca="1">IF(Z161+SUM($C162:Y162)&lt;0,-(Z161+SUM($C162:Y162)),0)</f>
        <v>43725.089938729398</v>
      </c>
      <c r="AA162" s="7">
        <f ca="1">IF(AA161+SUM($C162:Z162)&lt;0,-(AA161+SUM($C162:Z162)),0)</f>
        <v>44699.801996530034</v>
      </c>
      <c r="AB162" s="7">
        <f ca="1">IF(AB161+SUM($C162:AA162)&lt;0,-(AB161+SUM($C162:AA162)),0)</f>
        <v>45695.329400055722</v>
      </c>
      <c r="AC162" s="7">
        <f ca="1">IF(AC161+SUM($C162:AB162)&lt;0,-(AC161+SUM($C162:AB162)),0)</f>
        <v>46712.085959277756</v>
      </c>
      <c r="AD162" s="7">
        <f ca="1">IF(AD161+SUM($C162:AC162)&lt;0,-(AD161+SUM($C162:AC162)),0)</f>
        <v>38011.492540708481</v>
      </c>
      <c r="AE162" s="7">
        <f ca="1">IF(AE161+SUM($C162:AD162)&lt;0,-(AE161+SUM($C162:AD162)),0)</f>
        <v>38961.946063887648</v>
      </c>
      <c r="AF162" s="7">
        <f ca="1">IF(AF161+SUM($C162:AE162)&lt;0,-(AF161+SUM($C162:AE162)),0)</f>
        <v>40286.000617189507</v>
      </c>
      <c r="AG162" s="7">
        <f ca="1">IF(AG161+SUM($C162:AF162)&lt;0,-(AG161+SUM($C162:AF162)),0)</f>
        <v>41651.262948070012</v>
      </c>
      <c r="AH162" s="7">
        <f ca="1">IF(AH161+SUM($C162:AG162)&lt;0,-(AH161+SUM($C162:AG162)),0)</f>
        <v>42549.883229225816</v>
      </c>
      <c r="AI162" s="7">
        <f ca="1">IF(AI161+SUM($C162:AH162)&lt;0,-(AI161+SUM($C162:AH162)),0)</f>
        <v>43461.773545643548</v>
      </c>
      <c r="AJ162" s="7">
        <f ca="1">IF(AJ161+SUM($C162:AI162)&lt;0,-(AJ161+SUM($C162:AI162)),0)</f>
        <v>44392.830742139951</v>
      </c>
      <c r="AK162" s="7">
        <f ca="1">IF(AK161+SUM($C162:AJ162)&lt;0,-(AK161+SUM($C162:AJ162)),0)</f>
        <v>45343.431576013681</v>
      </c>
      <c r="AL162" s="7">
        <f ca="1">IF(AL161+SUM($C162:AK162)&lt;0,-(AL161+SUM($C162:AK162)),0)</f>
        <v>46313.95931347087</v>
      </c>
      <c r="AM162" s="7">
        <f ca="1">IF(AM161+SUM($C162:AL162)&lt;0,-(AM161+SUM($C162:AL162)),0)</f>
        <v>46906.539230990689</v>
      </c>
    </row>
    <row r="163" spans="1:39"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</row>
    <row r="164" spans="1:39">
      <c r="A164" s="24" t="str">
        <f>IF(Inputs!$B$197=6,IFERROR(_xlfn.XLOOKUP($B164,Inputs!$B$198:$B$202,Inputs!$A$198:$A$202,,0,1),""),IFERROR(_xlfn.XLOOKUP($B164,Inputs!$C$198:$C$202,Inputs!$A$198:$A$202,,0,1),""))</f>
        <v>Sliema</v>
      </c>
      <c r="B164" s="26">
        <v>5</v>
      </c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</row>
    <row r="165" spans="1:39">
      <c r="A165" s="3" t="s">
        <v>22</v>
      </c>
      <c r="C165" s="7">
        <f>IFERROR(VLOOKUP($A164,$A$60:$H$78,C$1+2,FALSE),0)</f>
        <v>309000</v>
      </c>
      <c r="D165" s="7">
        <f ca="1">C168</f>
        <v>309000</v>
      </c>
      <c r="E165" s="7">
        <f t="shared" ref="E165:AM165" ca="1" si="103">D168</f>
        <v>318270</v>
      </c>
      <c r="F165" s="7">
        <f t="shared" ca="1" si="103"/>
        <v>327818.09999999998</v>
      </c>
      <c r="G165" s="7">
        <f t="shared" ca="1" si="103"/>
        <v>337652.64299999998</v>
      </c>
      <c r="H165" s="7">
        <f t="shared" ca="1" si="103"/>
        <v>347782.22229000001</v>
      </c>
      <c r="I165" s="7">
        <f t="shared" ca="1" si="103"/>
        <v>358215.68895869999</v>
      </c>
      <c r="J165" s="7">
        <f t="shared" ca="1" si="103"/>
        <v>368962.15962746099</v>
      </c>
      <c r="K165" s="7">
        <f t="shared" ca="1" si="103"/>
        <v>380031.02441628481</v>
      </c>
      <c r="L165" s="7">
        <f t="shared" ca="1" si="103"/>
        <v>391431.95514877333</v>
      </c>
      <c r="M165" s="7">
        <f t="shared" ca="1" si="103"/>
        <v>403174.9138032365</v>
      </c>
      <c r="N165" s="7">
        <f t="shared" ca="1" si="103"/>
        <v>415270.16121733357</v>
      </c>
      <c r="O165" s="7">
        <f t="shared" ca="1" si="103"/>
        <v>427728.26605385356</v>
      </c>
      <c r="P165" s="7">
        <f t="shared" ca="1" si="103"/>
        <v>440560.11403546919</v>
      </c>
      <c r="Q165" s="7">
        <f t="shared" ca="1" si="103"/>
        <v>453776.91745653324</v>
      </c>
      <c r="R165" s="7">
        <f t="shared" ca="1" si="103"/>
        <v>467390.22498022922</v>
      </c>
      <c r="S165" s="7">
        <f t="shared" ca="1" si="103"/>
        <v>481411.9317296361</v>
      </c>
      <c r="T165" s="7">
        <f t="shared" ca="1" si="103"/>
        <v>495854.2896815252</v>
      </c>
      <c r="U165" s="7">
        <f t="shared" ca="1" si="103"/>
        <v>510729.91837197094</v>
      </c>
      <c r="V165" s="7">
        <f t="shared" ca="1" si="103"/>
        <v>526051.81592313002</v>
      </c>
      <c r="W165" s="7">
        <f t="shared" ca="1" si="103"/>
        <v>541833.37040082389</v>
      </c>
      <c r="X165" s="7">
        <f t="shared" ca="1" si="103"/>
        <v>558088.37151284865</v>
      </c>
      <c r="Y165" s="7">
        <f t="shared" ca="1" si="103"/>
        <v>0</v>
      </c>
      <c r="Z165" s="7">
        <f t="shared" ca="1" si="103"/>
        <v>0</v>
      </c>
      <c r="AA165" s="7">
        <f t="shared" ca="1" si="103"/>
        <v>0</v>
      </c>
      <c r="AB165" s="7">
        <f t="shared" ca="1" si="103"/>
        <v>0</v>
      </c>
      <c r="AC165" s="7">
        <f t="shared" ca="1" si="103"/>
        <v>0</v>
      </c>
      <c r="AD165" s="7">
        <f t="shared" ca="1" si="103"/>
        <v>0</v>
      </c>
      <c r="AE165" s="7">
        <f t="shared" ca="1" si="103"/>
        <v>0</v>
      </c>
      <c r="AF165" s="7">
        <f t="shared" ca="1" si="103"/>
        <v>0</v>
      </c>
      <c r="AG165" s="7">
        <f t="shared" ca="1" si="103"/>
        <v>0</v>
      </c>
      <c r="AH165" s="7">
        <f t="shared" ca="1" si="103"/>
        <v>0</v>
      </c>
      <c r="AI165" s="7">
        <f t="shared" ca="1" si="103"/>
        <v>0</v>
      </c>
      <c r="AJ165" s="7">
        <f t="shared" ca="1" si="103"/>
        <v>0</v>
      </c>
      <c r="AK165" s="7">
        <f t="shared" ca="1" si="103"/>
        <v>0</v>
      </c>
      <c r="AL165" s="7">
        <f t="shared" ca="1" si="103"/>
        <v>0</v>
      </c>
      <c r="AM165" s="7">
        <f t="shared" ca="1" si="103"/>
        <v>0</v>
      </c>
    </row>
    <row r="166" spans="1:39">
      <c r="A166" s="3" t="s">
        <v>23</v>
      </c>
      <c r="C166" s="7">
        <f ca="1">-IF(SUM(C162:D162)&gt;0,C165,0)</f>
        <v>0</v>
      </c>
      <c r="D166" s="7">
        <f ca="1">-IF(E162&gt;0,D165,0)</f>
        <v>0</v>
      </c>
      <c r="E166" s="7">
        <f ca="1">-IF(F162&gt;0,E165,0)</f>
        <v>0</v>
      </c>
      <c r="F166" s="7">
        <f ca="1">-IF(G162&gt;0,F165,0)</f>
        <v>0</v>
      </c>
      <c r="G166" s="7">
        <f t="shared" ref="G166:AM166" ca="1" si="104">-IF(H162&gt;0,G165,0)</f>
        <v>0</v>
      </c>
      <c r="H166" s="7">
        <f t="shared" ca="1" si="104"/>
        <v>0</v>
      </c>
      <c r="I166" s="7">
        <f t="shared" ca="1" si="104"/>
        <v>0</v>
      </c>
      <c r="J166" s="7">
        <f t="shared" ca="1" si="104"/>
        <v>0</v>
      </c>
      <c r="K166" s="7">
        <f t="shared" ca="1" si="104"/>
        <v>0</v>
      </c>
      <c r="L166" s="7">
        <f t="shared" ca="1" si="104"/>
        <v>0</v>
      </c>
      <c r="M166" s="7">
        <f t="shared" ca="1" si="104"/>
        <v>0</v>
      </c>
      <c r="N166" s="7">
        <f t="shared" ca="1" si="104"/>
        <v>0</v>
      </c>
      <c r="O166" s="7">
        <f t="shared" ca="1" si="104"/>
        <v>0</v>
      </c>
      <c r="P166" s="7">
        <f t="shared" ca="1" si="104"/>
        <v>0</v>
      </c>
      <c r="Q166" s="7">
        <f t="shared" ca="1" si="104"/>
        <v>0</v>
      </c>
      <c r="R166" s="7">
        <f t="shared" ca="1" si="104"/>
        <v>0</v>
      </c>
      <c r="S166" s="7">
        <f t="shared" ca="1" si="104"/>
        <v>0</v>
      </c>
      <c r="T166" s="7">
        <f t="shared" ca="1" si="104"/>
        <v>0</v>
      </c>
      <c r="U166" s="7">
        <f t="shared" ca="1" si="104"/>
        <v>0</v>
      </c>
      <c r="V166" s="7">
        <f t="shared" ca="1" si="104"/>
        <v>0</v>
      </c>
      <c r="W166" s="7">
        <f t="shared" ca="1" si="104"/>
        <v>0</v>
      </c>
      <c r="X166" s="7">
        <f t="shared" ca="1" si="104"/>
        <v>-558088.37151284865</v>
      </c>
      <c r="Y166" s="7">
        <f t="shared" ca="1" si="104"/>
        <v>0</v>
      </c>
      <c r="Z166" s="7">
        <f t="shared" ca="1" si="104"/>
        <v>0</v>
      </c>
      <c r="AA166" s="7">
        <f t="shared" ca="1" si="104"/>
        <v>0</v>
      </c>
      <c r="AB166" s="7">
        <f t="shared" ca="1" si="104"/>
        <v>0</v>
      </c>
      <c r="AC166" s="7">
        <f t="shared" ca="1" si="104"/>
        <v>0</v>
      </c>
      <c r="AD166" s="7">
        <f t="shared" ca="1" si="104"/>
        <v>0</v>
      </c>
      <c r="AE166" s="7">
        <f t="shared" ca="1" si="104"/>
        <v>0</v>
      </c>
      <c r="AF166" s="7">
        <f t="shared" ca="1" si="104"/>
        <v>0</v>
      </c>
      <c r="AG166" s="7">
        <f t="shared" ca="1" si="104"/>
        <v>0</v>
      </c>
      <c r="AH166" s="7">
        <f t="shared" ca="1" si="104"/>
        <v>0</v>
      </c>
      <c r="AI166" s="7">
        <f t="shared" ca="1" si="104"/>
        <v>0</v>
      </c>
      <c r="AJ166" s="7">
        <f t="shared" ca="1" si="104"/>
        <v>0</v>
      </c>
      <c r="AK166" s="7">
        <f t="shared" ca="1" si="104"/>
        <v>0</v>
      </c>
      <c r="AL166" s="7">
        <f t="shared" ca="1" si="104"/>
        <v>0</v>
      </c>
      <c r="AM166" s="7">
        <f t="shared" si="104"/>
        <v>0</v>
      </c>
    </row>
    <row r="167" spans="1:39">
      <c r="A167" s="3" t="s">
        <v>24</v>
      </c>
      <c r="C167" s="7">
        <v>0</v>
      </c>
      <c r="D167" s="7">
        <f t="shared" ref="D167:G167" ca="1" si="105">SUM(D165:D166)*princ</f>
        <v>9270</v>
      </c>
      <c r="E167" s="7">
        <f t="shared" ca="1" si="105"/>
        <v>9548.1</v>
      </c>
      <c r="F167" s="7">
        <f t="shared" ca="1" si="105"/>
        <v>9834.5429999999997</v>
      </c>
      <c r="G167" s="7">
        <f t="shared" ca="1" si="105"/>
        <v>10129.57929</v>
      </c>
      <c r="H167" s="7">
        <f t="shared" ref="H167:I167" ca="1" si="106">SUM(H165:H166)*princ</f>
        <v>10433.466668699999</v>
      </c>
      <c r="I167" s="7">
        <f t="shared" ca="1" si="106"/>
        <v>10746.470668761</v>
      </c>
      <c r="J167" s="7">
        <f t="shared" ref="J167:AM167" ca="1" si="107">SUM(J165:J166)*princ</f>
        <v>11068.86478882383</v>
      </c>
      <c r="K167" s="7">
        <f t="shared" ca="1" si="107"/>
        <v>11400.930732488543</v>
      </c>
      <c r="L167" s="7">
        <f t="shared" ca="1" si="107"/>
        <v>11742.9586544632</v>
      </c>
      <c r="M167" s="7">
        <f t="shared" ca="1" si="107"/>
        <v>12095.247414097095</v>
      </c>
      <c r="N167" s="7">
        <f t="shared" ca="1" si="107"/>
        <v>12458.104836520008</v>
      </c>
      <c r="O167" s="7">
        <f t="shared" ca="1" si="107"/>
        <v>12831.847981615607</v>
      </c>
      <c r="P167" s="7">
        <f t="shared" ca="1" si="107"/>
        <v>13216.803421064074</v>
      </c>
      <c r="Q167" s="7">
        <f t="shared" ca="1" si="107"/>
        <v>13613.307523695996</v>
      </c>
      <c r="R167" s="7">
        <f t="shared" ca="1" si="107"/>
        <v>14021.706749406876</v>
      </c>
      <c r="S167" s="7">
        <f t="shared" ca="1" si="107"/>
        <v>14442.357951889082</v>
      </c>
      <c r="T167" s="7">
        <f t="shared" ca="1" si="107"/>
        <v>14875.628690445756</v>
      </c>
      <c r="U167" s="7">
        <f t="shared" ca="1" si="107"/>
        <v>15321.897551159127</v>
      </c>
      <c r="V167" s="7">
        <f t="shared" ca="1" si="107"/>
        <v>15781.5544776939</v>
      </c>
      <c r="W167" s="7">
        <f t="shared" ca="1" si="107"/>
        <v>16255.001112024716</v>
      </c>
      <c r="X167" s="7">
        <f t="shared" ca="1" si="107"/>
        <v>0</v>
      </c>
      <c r="Y167" s="7">
        <f t="shared" ca="1" si="107"/>
        <v>0</v>
      </c>
      <c r="Z167" s="7">
        <f t="shared" ca="1" si="107"/>
        <v>0</v>
      </c>
      <c r="AA167" s="7">
        <f t="shared" ca="1" si="107"/>
        <v>0</v>
      </c>
      <c r="AB167" s="7">
        <f t="shared" ca="1" si="107"/>
        <v>0</v>
      </c>
      <c r="AC167" s="7">
        <f t="shared" ca="1" si="107"/>
        <v>0</v>
      </c>
      <c r="AD167" s="7">
        <f t="shared" ca="1" si="107"/>
        <v>0</v>
      </c>
      <c r="AE167" s="7">
        <f t="shared" ca="1" si="107"/>
        <v>0</v>
      </c>
      <c r="AF167" s="7">
        <f t="shared" ca="1" si="107"/>
        <v>0</v>
      </c>
      <c r="AG167" s="7">
        <f t="shared" ca="1" si="107"/>
        <v>0</v>
      </c>
      <c r="AH167" s="7">
        <f t="shared" ca="1" si="107"/>
        <v>0</v>
      </c>
      <c r="AI167" s="7">
        <f t="shared" ca="1" si="107"/>
        <v>0</v>
      </c>
      <c r="AJ167" s="7">
        <f t="shared" ca="1" si="107"/>
        <v>0</v>
      </c>
      <c r="AK167" s="7">
        <f t="shared" ca="1" si="107"/>
        <v>0</v>
      </c>
      <c r="AL167" s="7">
        <f t="shared" ca="1" si="107"/>
        <v>0</v>
      </c>
      <c r="AM167" s="7">
        <f t="shared" ca="1" si="107"/>
        <v>0</v>
      </c>
    </row>
    <row r="168" spans="1:39">
      <c r="A168" s="3" t="s">
        <v>25</v>
      </c>
      <c r="C168" s="7">
        <f ca="1">SUM(C165:C167)</f>
        <v>309000</v>
      </c>
      <c r="D168" s="7">
        <f t="shared" ref="D168:AM168" ca="1" si="108">SUM(D165:D167)</f>
        <v>318270</v>
      </c>
      <c r="E168" s="7">
        <f t="shared" ca="1" si="108"/>
        <v>327818.09999999998</v>
      </c>
      <c r="F168" s="7">
        <f t="shared" ca="1" si="108"/>
        <v>337652.64299999998</v>
      </c>
      <c r="G168" s="7">
        <f t="shared" ca="1" si="108"/>
        <v>347782.22229000001</v>
      </c>
      <c r="H168" s="7">
        <f t="shared" ca="1" si="108"/>
        <v>358215.68895869999</v>
      </c>
      <c r="I168" s="7">
        <f t="shared" ca="1" si="108"/>
        <v>368962.15962746099</v>
      </c>
      <c r="J168" s="7">
        <f t="shared" ca="1" si="108"/>
        <v>380031.02441628481</v>
      </c>
      <c r="K168" s="7">
        <f t="shared" ca="1" si="108"/>
        <v>391431.95514877333</v>
      </c>
      <c r="L168" s="7">
        <f t="shared" ca="1" si="108"/>
        <v>403174.9138032365</v>
      </c>
      <c r="M168" s="7">
        <f t="shared" ca="1" si="108"/>
        <v>415270.16121733357</v>
      </c>
      <c r="N168" s="7">
        <f t="shared" ca="1" si="108"/>
        <v>427728.26605385356</v>
      </c>
      <c r="O168" s="7">
        <f t="shared" ca="1" si="108"/>
        <v>440560.11403546919</v>
      </c>
      <c r="P168" s="7">
        <f t="shared" ca="1" si="108"/>
        <v>453776.91745653324</v>
      </c>
      <c r="Q168" s="7">
        <f t="shared" ca="1" si="108"/>
        <v>467390.22498022922</v>
      </c>
      <c r="R168" s="7">
        <f t="shared" ca="1" si="108"/>
        <v>481411.9317296361</v>
      </c>
      <c r="S168" s="7">
        <f t="shared" ca="1" si="108"/>
        <v>495854.2896815252</v>
      </c>
      <c r="T168" s="7">
        <f t="shared" ca="1" si="108"/>
        <v>510729.91837197094</v>
      </c>
      <c r="U168" s="7">
        <f t="shared" ca="1" si="108"/>
        <v>526051.81592313002</v>
      </c>
      <c r="V168" s="7">
        <f t="shared" ca="1" si="108"/>
        <v>541833.37040082389</v>
      </c>
      <c r="W168" s="7">
        <f t="shared" ca="1" si="108"/>
        <v>558088.37151284865</v>
      </c>
      <c r="X168" s="7">
        <f t="shared" ca="1" si="108"/>
        <v>0</v>
      </c>
      <c r="Y168" s="7">
        <f t="shared" ca="1" si="108"/>
        <v>0</v>
      </c>
      <c r="Z168" s="7">
        <f t="shared" ca="1" si="108"/>
        <v>0</v>
      </c>
      <c r="AA168" s="7">
        <f t="shared" ca="1" si="108"/>
        <v>0</v>
      </c>
      <c r="AB168" s="7">
        <f t="shared" ca="1" si="108"/>
        <v>0</v>
      </c>
      <c r="AC168" s="7">
        <f t="shared" ca="1" si="108"/>
        <v>0</v>
      </c>
      <c r="AD168" s="7">
        <f t="shared" ca="1" si="108"/>
        <v>0</v>
      </c>
      <c r="AE168" s="7">
        <f t="shared" ca="1" si="108"/>
        <v>0</v>
      </c>
      <c r="AF168" s="7">
        <f t="shared" ca="1" si="108"/>
        <v>0</v>
      </c>
      <c r="AG168" s="7">
        <f t="shared" ca="1" si="108"/>
        <v>0</v>
      </c>
      <c r="AH168" s="7">
        <f t="shared" ca="1" si="108"/>
        <v>0</v>
      </c>
      <c r="AI168" s="7">
        <f t="shared" ca="1" si="108"/>
        <v>0</v>
      </c>
      <c r="AJ168" s="7">
        <f t="shared" ca="1" si="108"/>
        <v>0</v>
      </c>
      <c r="AK168" s="7">
        <f t="shared" ca="1" si="108"/>
        <v>0</v>
      </c>
      <c r="AL168" s="7">
        <f t="shared" ca="1" si="108"/>
        <v>0</v>
      </c>
      <c r="AM168" s="7">
        <f t="shared" ca="1" si="108"/>
        <v>0</v>
      </c>
    </row>
    <row r="169" spans="1:39">
      <c r="A169" s="3" t="s">
        <v>26</v>
      </c>
      <c r="C169" s="7">
        <f ca="1">C166*Inputs!$B$195</f>
        <v>0</v>
      </c>
      <c r="D169" s="7">
        <f ca="1">D166*Inputs!$B$195</f>
        <v>0</v>
      </c>
      <c r="E169" s="7">
        <f ca="1">E166*Inputs!$B$195</f>
        <v>0</v>
      </c>
      <c r="F169" s="7">
        <f ca="1">F166*Inputs!$B$195</f>
        <v>0</v>
      </c>
      <c r="G169" s="7">
        <f ca="1">G166*Inputs!$B$195</f>
        <v>0</v>
      </c>
      <c r="H169" s="7">
        <f ca="1">H166*Inputs!$B$195</f>
        <v>0</v>
      </c>
      <c r="I169" s="7">
        <f ca="1">I166*Inputs!$B$195</f>
        <v>0</v>
      </c>
      <c r="J169" s="7">
        <f ca="1">J166*Inputs!$B$195</f>
        <v>0</v>
      </c>
      <c r="K169" s="7">
        <f ca="1">K166*Inputs!$B$195</f>
        <v>0</v>
      </c>
      <c r="L169" s="7">
        <f ca="1">L166*Inputs!$B$195</f>
        <v>0</v>
      </c>
      <c r="M169" s="7">
        <f ca="1">M166*Inputs!$B$195</f>
        <v>0</v>
      </c>
      <c r="N169" s="7">
        <f ca="1">N166*Inputs!$B$195</f>
        <v>0</v>
      </c>
      <c r="O169" s="7">
        <f ca="1">O166*Inputs!$B$195</f>
        <v>0</v>
      </c>
      <c r="P169" s="7">
        <f ca="1">P166*Inputs!$B$195</f>
        <v>0</v>
      </c>
      <c r="Q169" s="7">
        <f ca="1">Q166*Inputs!$B$195</f>
        <v>0</v>
      </c>
      <c r="R169" s="7">
        <f ca="1">R166*Inputs!$B$195</f>
        <v>0</v>
      </c>
      <c r="S169" s="7">
        <f ca="1">S166*Inputs!$B$195</f>
        <v>0</v>
      </c>
      <c r="T169" s="7">
        <f ca="1">T166*Inputs!$B$195</f>
        <v>0</v>
      </c>
      <c r="U169" s="7">
        <f ca="1">U166*Inputs!$B$195</f>
        <v>0</v>
      </c>
      <c r="V169" s="7">
        <f ca="1">V166*Inputs!$B$195</f>
        <v>0</v>
      </c>
      <c r="W169" s="7">
        <f ca="1">W166*Inputs!$B$195</f>
        <v>0</v>
      </c>
      <c r="X169" s="7">
        <f ca="1">X166*Inputs!$B$195</f>
        <v>-83713.255726927295</v>
      </c>
      <c r="Y169" s="7">
        <f ca="1">Y166*Inputs!$B$195</f>
        <v>0</v>
      </c>
      <c r="Z169" s="7">
        <f ca="1">Z166*Inputs!$B$195</f>
        <v>0</v>
      </c>
      <c r="AA169" s="7">
        <f ca="1">AA166*Inputs!$B$195</f>
        <v>0</v>
      </c>
      <c r="AB169" s="7">
        <f ca="1">AB166*Inputs!$B$195</f>
        <v>0</v>
      </c>
      <c r="AC169" s="7">
        <f ca="1">AC166*Inputs!$B$195</f>
        <v>0</v>
      </c>
      <c r="AD169" s="7">
        <f ca="1">AD166*Inputs!$B$195</f>
        <v>0</v>
      </c>
      <c r="AE169" s="7">
        <f ca="1">AE166*Inputs!$B$195</f>
        <v>0</v>
      </c>
      <c r="AF169" s="7">
        <f ca="1">AF166*Inputs!$B$195</f>
        <v>0</v>
      </c>
      <c r="AG169" s="7">
        <f ca="1">AG166*Inputs!$B$195</f>
        <v>0</v>
      </c>
      <c r="AH169" s="7">
        <f ca="1">AH166*Inputs!$B$195</f>
        <v>0</v>
      </c>
      <c r="AI169" s="7">
        <f ca="1">AI166*Inputs!$B$195</f>
        <v>0</v>
      </c>
      <c r="AJ169" s="7">
        <f ca="1">AJ166*Inputs!$B$195</f>
        <v>0</v>
      </c>
      <c r="AK169" s="7">
        <f ca="1">AK166*Inputs!$B$195</f>
        <v>0</v>
      </c>
      <c r="AL169" s="7">
        <f ca="1">AL166*Inputs!$B$195</f>
        <v>0</v>
      </c>
      <c r="AM169" s="7">
        <f>AM166*Inputs!$B$195</f>
        <v>0</v>
      </c>
    </row>
    <row r="170" spans="1:39">
      <c r="A170" s="3" t="s">
        <v>31</v>
      </c>
      <c r="C170" s="7">
        <f t="shared" ref="C170:AM170" si="109">IFERROR(-IF(C165=0,VLOOKUP($A164,$8:$12,C$1+2,FALSE),0),0)</f>
        <v>0</v>
      </c>
      <c r="D170" s="7">
        <f t="shared" ca="1" si="109"/>
        <v>0</v>
      </c>
      <c r="E170" s="7">
        <f t="shared" ca="1" si="109"/>
        <v>0</v>
      </c>
      <c r="F170" s="7">
        <f t="shared" ca="1" si="109"/>
        <v>0</v>
      </c>
      <c r="G170" s="7">
        <f t="shared" ca="1" si="109"/>
        <v>0</v>
      </c>
      <c r="H170" s="7">
        <f t="shared" ca="1" si="109"/>
        <v>0</v>
      </c>
      <c r="I170" s="7">
        <f t="shared" ca="1" si="109"/>
        <v>0</v>
      </c>
      <c r="J170" s="7">
        <f t="shared" ca="1" si="109"/>
        <v>0</v>
      </c>
      <c r="K170" s="7">
        <f t="shared" ca="1" si="109"/>
        <v>0</v>
      </c>
      <c r="L170" s="7">
        <f t="shared" ca="1" si="109"/>
        <v>0</v>
      </c>
      <c r="M170" s="7">
        <f t="shared" ca="1" si="109"/>
        <v>0</v>
      </c>
      <c r="N170" s="7">
        <f t="shared" ca="1" si="109"/>
        <v>0</v>
      </c>
      <c r="O170" s="7">
        <f t="shared" ca="1" si="109"/>
        <v>0</v>
      </c>
      <c r="P170" s="7">
        <f t="shared" ca="1" si="109"/>
        <v>0</v>
      </c>
      <c r="Q170" s="7">
        <f t="shared" ca="1" si="109"/>
        <v>0</v>
      </c>
      <c r="R170" s="7">
        <f t="shared" ca="1" si="109"/>
        <v>0</v>
      </c>
      <c r="S170" s="7">
        <f t="shared" ca="1" si="109"/>
        <v>0</v>
      </c>
      <c r="T170" s="7">
        <f t="shared" ca="1" si="109"/>
        <v>0</v>
      </c>
      <c r="U170" s="7">
        <f t="shared" ca="1" si="109"/>
        <v>0</v>
      </c>
      <c r="V170" s="7">
        <f t="shared" ca="1" si="109"/>
        <v>0</v>
      </c>
      <c r="W170" s="7">
        <f t="shared" ca="1" si="109"/>
        <v>0</v>
      </c>
      <c r="X170" s="7">
        <f t="shared" ca="1" si="109"/>
        <v>0</v>
      </c>
      <c r="Y170" s="7">
        <f t="shared" ca="1" si="109"/>
        <v>-22993.240906329389</v>
      </c>
      <c r="Z170" s="7">
        <f t="shared" ca="1" si="109"/>
        <v>-23683.038133519272</v>
      </c>
      <c r="AA170" s="7">
        <f t="shared" ca="1" si="109"/>
        <v>-24393.529277524853</v>
      </c>
      <c r="AB170" s="7">
        <f t="shared" ca="1" si="109"/>
        <v>-25125.3351558506</v>
      </c>
      <c r="AC170" s="7">
        <f t="shared" ca="1" si="109"/>
        <v>-25879.09521052612</v>
      </c>
      <c r="AD170" s="7">
        <f t="shared" ca="1" si="109"/>
        <v>-26655.468066841906</v>
      </c>
      <c r="AE170" s="7">
        <f t="shared" ca="1" si="109"/>
        <v>-27455.132108847163</v>
      </c>
      <c r="AF170" s="7">
        <f t="shared" ca="1" si="109"/>
        <v>-28278.78607211258</v>
      </c>
      <c r="AG170" s="7">
        <f t="shared" ca="1" si="109"/>
        <v>-29127.14965427596</v>
      </c>
      <c r="AH170" s="7">
        <f t="shared" ca="1" si="109"/>
        <v>-30000.964143904239</v>
      </c>
      <c r="AI170" s="7">
        <f t="shared" ca="1" si="109"/>
        <v>-30900.993068221367</v>
      </c>
      <c r="AJ170" s="7">
        <f t="shared" ca="1" si="109"/>
        <v>-31828.022860268007</v>
      </c>
      <c r="AK170" s="7">
        <f t="shared" ca="1" si="109"/>
        <v>-32782.863546076049</v>
      </c>
      <c r="AL170" s="7">
        <f t="shared" ca="1" si="109"/>
        <v>-33766.349452458329</v>
      </c>
      <c r="AM170" s="7">
        <f t="shared" ca="1" si="109"/>
        <v>-34779.339936032084</v>
      </c>
    </row>
    <row r="171" spans="1:39">
      <c r="A171" s="3" t="s">
        <v>50</v>
      </c>
      <c r="C171" s="7">
        <f t="shared" ref="C171:AM171" si="110">IFERROR(IF(C165=0,VLOOKUP($A164,$40:$44,C$1+2,FALSE),0),0)</f>
        <v>0</v>
      </c>
      <c r="D171" s="7">
        <f t="shared" ca="1" si="110"/>
        <v>0</v>
      </c>
      <c r="E171" s="7">
        <f t="shared" ca="1" si="110"/>
        <v>0</v>
      </c>
      <c r="F171" s="7">
        <f t="shared" ca="1" si="110"/>
        <v>0</v>
      </c>
      <c r="G171" s="7">
        <f t="shared" ca="1" si="110"/>
        <v>0</v>
      </c>
      <c r="H171" s="7">
        <f t="shared" ca="1" si="110"/>
        <v>0</v>
      </c>
      <c r="I171" s="7">
        <f t="shared" ca="1" si="110"/>
        <v>0</v>
      </c>
      <c r="J171" s="7">
        <f t="shared" ca="1" si="110"/>
        <v>0</v>
      </c>
      <c r="K171" s="7">
        <f t="shared" ca="1" si="110"/>
        <v>0</v>
      </c>
      <c r="L171" s="7">
        <f t="shared" ca="1" si="110"/>
        <v>0</v>
      </c>
      <c r="M171" s="7">
        <f t="shared" ca="1" si="110"/>
        <v>0</v>
      </c>
      <c r="N171" s="7">
        <f t="shared" ca="1" si="110"/>
        <v>0</v>
      </c>
      <c r="O171" s="7">
        <f t="shared" ca="1" si="110"/>
        <v>0</v>
      </c>
      <c r="P171" s="7">
        <f t="shared" ca="1" si="110"/>
        <v>0</v>
      </c>
      <c r="Q171" s="7">
        <f t="shared" ca="1" si="110"/>
        <v>0</v>
      </c>
      <c r="R171" s="7">
        <f t="shared" ca="1" si="110"/>
        <v>0</v>
      </c>
      <c r="S171" s="7">
        <f t="shared" ca="1" si="110"/>
        <v>0</v>
      </c>
      <c r="T171" s="7">
        <f t="shared" ca="1" si="110"/>
        <v>0</v>
      </c>
      <c r="U171" s="7">
        <f t="shared" ca="1" si="110"/>
        <v>0</v>
      </c>
      <c r="V171" s="7">
        <f t="shared" ca="1" si="110"/>
        <v>0</v>
      </c>
      <c r="W171" s="7">
        <f t="shared" ca="1" si="110"/>
        <v>0</v>
      </c>
      <c r="X171" s="7">
        <f t="shared" ca="1" si="110"/>
        <v>0</v>
      </c>
      <c r="Y171" s="7">
        <f t="shared" ca="1" si="110"/>
        <v>8607.8569879004826</v>
      </c>
      <c r="Z171" s="7">
        <f t="shared" ca="1" si="110"/>
        <v>8823.0534125979957</v>
      </c>
      <c r="AA171" s="7">
        <f t="shared" ca="1" si="110"/>
        <v>9043.6297479129444</v>
      </c>
      <c r="AB171" s="7">
        <f t="shared" ca="1" si="110"/>
        <v>9269.7204916107676</v>
      </c>
      <c r="AC171" s="7">
        <f t="shared" ca="1" si="110"/>
        <v>9501.4635039010354</v>
      </c>
      <c r="AD171" s="7">
        <f t="shared" ca="1" si="110"/>
        <v>9739.0000914985612</v>
      </c>
      <c r="AE171" s="7">
        <f t="shared" ca="1" si="110"/>
        <v>9982.4750937860244</v>
      </c>
      <c r="AF171" s="7">
        <f t="shared" ca="1" si="110"/>
        <v>10232.036971130676</v>
      </c>
      <c r="AG171" s="7">
        <f t="shared" ca="1" si="110"/>
        <v>10487.83789540894</v>
      </c>
      <c r="AH171" s="7">
        <f t="shared" ca="1" si="110"/>
        <v>10750.033842794166</v>
      </c>
      <c r="AI171" s="7">
        <f t="shared" ca="1" si="110"/>
        <v>11018.784688864018</v>
      </c>
      <c r="AJ171" s="7">
        <f t="shared" ca="1" si="110"/>
        <v>11294.254306085619</v>
      </c>
      <c r="AK171" s="7">
        <f t="shared" ca="1" si="110"/>
        <v>11576.610663737758</v>
      </c>
      <c r="AL171" s="7">
        <f t="shared" ca="1" si="110"/>
        <v>11866.025930331201</v>
      </c>
      <c r="AM171" s="7">
        <f t="shared" ca="1" si="110"/>
        <v>12162.676578589482</v>
      </c>
    </row>
    <row r="172" spans="1:39">
      <c r="A172" s="3" t="s">
        <v>36</v>
      </c>
      <c r="B172" s="14" t="str">
        <f>A164</f>
        <v>Sliema</v>
      </c>
      <c r="C172" s="7">
        <f t="shared" ref="C172:AM172" ca="1" si="111">IF(AND(C165&gt;0,C168=0),VLOOKUP($A164,$72:$76,C$1+2,FALSE),0)</f>
        <v>0</v>
      </c>
      <c r="D172" s="7">
        <f t="shared" ca="1" si="111"/>
        <v>0</v>
      </c>
      <c r="E172" s="7">
        <f t="shared" ca="1" si="111"/>
        <v>0</v>
      </c>
      <c r="F172" s="7">
        <f t="shared" ca="1" si="111"/>
        <v>0</v>
      </c>
      <c r="G172" s="7">
        <f t="shared" ca="1" si="111"/>
        <v>0</v>
      </c>
      <c r="H172" s="7">
        <f t="shared" ca="1" si="111"/>
        <v>0</v>
      </c>
      <c r="I172" s="7">
        <f t="shared" ca="1" si="111"/>
        <v>0</v>
      </c>
      <c r="J172" s="7">
        <f t="shared" ca="1" si="111"/>
        <v>0</v>
      </c>
      <c r="K172" s="7">
        <f t="shared" ca="1" si="111"/>
        <v>0</v>
      </c>
      <c r="L172" s="7">
        <f t="shared" ca="1" si="111"/>
        <v>0</v>
      </c>
      <c r="M172" s="7">
        <f t="shared" ca="1" si="111"/>
        <v>0</v>
      </c>
      <c r="N172" s="7">
        <f t="shared" ca="1" si="111"/>
        <v>0</v>
      </c>
      <c r="O172" s="7">
        <f t="shared" ca="1" si="111"/>
        <v>0</v>
      </c>
      <c r="P172" s="7">
        <f t="shared" ca="1" si="111"/>
        <v>0</v>
      </c>
      <c r="Q172" s="7">
        <f t="shared" ca="1" si="111"/>
        <v>0</v>
      </c>
      <c r="R172" s="7">
        <f t="shared" ca="1" si="111"/>
        <v>0</v>
      </c>
      <c r="S172" s="7">
        <f t="shared" ca="1" si="111"/>
        <v>0</v>
      </c>
      <c r="T172" s="7">
        <f t="shared" ca="1" si="111"/>
        <v>0</v>
      </c>
      <c r="U172" s="7">
        <f t="shared" ca="1" si="111"/>
        <v>0</v>
      </c>
      <c r="V172" s="7">
        <f t="shared" ca="1" si="111"/>
        <v>0</v>
      </c>
      <c r="W172" s="7">
        <f t="shared" ca="1" si="111"/>
        <v>0</v>
      </c>
      <c r="X172" s="7">
        <f t="shared" ca="1" si="111"/>
        <v>0</v>
      </c>
      <c r="Y172" s="7">
        <f t="shared" ca="1" si="111"/>
        <v>0</v>
      </c>
      <c r="Z172" s="7">
        <f t="shared" ca="1" si="111"/>
        <v>0</v>
      </c>
      <c r="AA172" s="7">
        <f t="shared" ca="1" si="111"/>
        <v>0</v>
      </c>
      <c r="AB172" s="7">
        <f t="shared" ca="1" si="111"/>
        <v>0</v>
      </c>
      <c r="AC172" s="7">
        <f t="shared" ca="1" si="111"/>
        <v>0</v>
      </c>
      <c r="AD172" s="7">
        <f t="shared" ca="1" si="111"/>
        <v>0</v>
      </c>
      <c r="AE172" s="7">
        <f t="shared" ca="1" si="111"/>
        <v>0</v>
      </c>
      <c r="AF172" s="7">
        <f t="shared" ca="1" si="111"/>
        <v>0</v>
      </c>
      <c r="AG172" s="7">
        <f t="shared" ca="1" si="111"/>
        <v>0</v>
      </c>
      <c r="AH172" s="7">
        <f t="shared" ca="1" si="111"/>
        <v>0</v>
      </c>
      <c r="AI172" s="7">
        <f t="shared" ca="1" si="111"/>
        <v>0</v>
      </c>
      <c r="AJ172" s="7">
        <f t="shared" ca="1" si="111"/>
        <v>0</v>
      </c>
      <c r="AK172" s="7">
        <f t="shared" ca="1" si="111"/>
        <v>0</v>
      </c>
      <c r="AL172" s="7">
        <f t="shared" ca="1" si="111"/>
        <v>0</v>
      </c>
      <c r="AM172" s="7">
        <f t="shared" ca="1" si="111"/>
        <v>0</v>
      </c>
    </row>
    <row r="173" spans="1:39">
      <c r="A173" s="3" t="s">
        <v>37</v>
      </c>
      <c r="C173" s="7">
        <f ca="1">-C166+SUM(C169:C172)</f>
        <v>0</v>
      </c>
      <c r="D173" s="7">
        <f t="shared" ref="D173" ca="1" si="112">-D166+SUM(D169:D172)</f>
        <v>0</v>
      </c>
      <c r="E173" s="7">
        <f t="shared" ref="E173:AM173" ca="1" si="113">-E166+SUM(E169:E172)</f>
        <v>0</v>
      </c>
      <c r="F173" s="7">
        <f t="shared" ca="1" si="113"/>
        <v>0</v>
      </c>
      <c r="G173" s="7">
        <f t="shared" ca="1" si="113"/>
        <v>0</v>
      </c>
      <c r="H173" s="7">
        <f t="shared" ca="1" si="113"/>
        <v>0</v>
      </c>
      <c r="I173" s="7">
        <f t="shared" ca="1" si="113"/>
        <v>0</v>
      </c>
      <c r="J173" s="7">
        <f t="shared" ca="1" si="113"/>
        <v>0</v>
      </c>
      <c r="K173" s="7">
        <f t="shared" ca="1" si="113"/>
        <v>0</v>
      </c>
      <c r="L173" s="7">
        <f t="shared" ca="1" si="113"/>
        <v>0</v>
      </c>
      <c r="M173" s="7">
        <f t="shared" ca="1" si="113"/>
        <v>0</v>
      </c>
      <c r="N173" s="7">
        <f t="shared" ca="1" si="113"/>
        <v>0</v>
      </c>
      <c r="O173" s="7">
        <f t="shared" ca="1" si="113"/>
        <v>0</v>
      </c>
      <c r="P173" s="7">
        <f t="shared" ca="1" si="113"/>
        <v>0</v>
      </c>
      <c r="Q173" s="7">
        <f t="shared" ca="1" si="113"/>
        <v>0</v>
      </c>
      <c r="R173" s="7">
        <f t="shared" ca="1" si="113"/>
        <v>0</v>
      </c>
      <c r="S173" s="7">
        <f t="shared" ca="1" si="113"/>
        <v>0</v>
      </c>
      <c r="T173" s="7">
        <f t="shared" ca="1" si="113"/>
        <v>0</v>
      </c>
      <c r="U173" s="7">
        <f t="shared" ca="1" si="113"/>
        <v>0</v>
      </c>
      <c r="V173" s="7">
        <f t="shared" ca="1" si="113"/>
        <v>0</v>
      </c>
      <c r="W173" s="7">
        <f t="shared" ca="1" si="113"/>
        <v>0</v>
      </c>
      <c r="X173" s="7">
        <f t="shared" ca="1" si="113"/>
        <v>474375.11578592134</v>
      </c>
      <c r="Y173" s="7">
        <f t="shared" ca="1" si="113"/>
        <v>-14385.383918428906</v>
      </c>
      <c r="Z173" s="7">
        <f t="shared" ca="1" si="113"/>
        <v>-14859.984720921277</v>
      </c>
      <c r="AA173" s="7">
        <f t="shared" ca="1" si="113"/>
        <v>-15349.899529611908</v>
      </c>
      <c r="AB173" s="7">
        <f t="shared" ca="1" si="113"/>
        <v>-15855.614664239833</v>
      </c>
      <c r="AC173" s="7">
        <f t="shared" ca="1" si="113"/>
        <v>-16377.631706625085</v>
      </c>
      <c r="AD173" s="7">
        <f t="shared" ca="1" si="113"/>
        <v>-16916.467975343345</v>
      </c>
      <c r="AE173" s="7">
        <f t="shared" ca="1" si="113"/>
        <v>-17472.657015061137</v>
      </c>
      <c r="AF173" s="7">
        <f t="shared" ca="1" si="113"/>
        <v>-18046.749100981906</v>
      </c>
      <c r="AG173" s="7">
        <f t="shared" ca="1" si="113"/>
        <v>-18639.311758867021</v>
      </c>
      <c r="AH173" s="7">
        <f t="shared" ca="1" si="113"/>
        <v>-19250.930301110071</v>
      </c>
      <c r="AI173" s="7">
        <f t="shared" ca="1" si="113"/>
        <v>-19882.208379357347</v>
      </c>
      <c r="AJ173" s="7">
        <f t="shared" ca="1" si="113"/>
        <v>-20533.768554182388</v>
      </c>
      <c r="AK173" s="7">
        <f t="shared" ca="1" si="113"/>
        <v>-21206.252882338289</v>
      </c>
      <c r="AL173" s="7">
        <f t="shared" ca="1" si="113"/>
        <v>-21900.323522127128</v>
      </c>
      <c r="AM173" s="7">
        <f t="shared" ca="1" si="113"/>
        <v>-22616.663357442601</v>
      </c>
    </row>
    <row r="174" spans="1:39">
      <c r="A174" s="3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</row>
    <row r="175" spans="1:39">
      <c r="A175" s="3" t="s">
        <v>77</v>
      </c>
      <c r="C175" s="7">
        <f ca="1">C161+SUM($C173:C173)</f>
        <v>37716.75</v>
      </c>
      <c r="D175" s="7">
        <f ca="1">D161+SUM($C173:D173)</f>
        <v>69048.493749999994</v>
      </c>
      <c r="E175" s="7">
        <f ca="1">E161+SUM($C173:E173)</f>
        <v>71891.10341475303</v>
      </c>
      <c r="F175" s="7">
        <f ca="1">F161+SUM($C173:F173)</f>
        <v>55330.661493535095</v>
      </c>
      <c r="G175" s="7">
        <f ca="1">G161+SUM($C173:G173)</f>
        <v>123023.26474117297</v>
      </c>
      <c r="H175" s="7">
        <f ca="1">H161+SUM($C173:H173)</f>
        <v>82547.974722190411</v>
      </c>
      <c r="I175" s="7">
        <f ca="1">I161+SUM($C173:I173)</f>
        <v>203196.12586942854</v>
      </c>
      <c r="J175" s="7">
        <f ca="1">J161+SUM($C173:J173)</f>
        <v>142566.76412242133</v>
      </c>
      <c r="K175" s="7">
        <f ca="1">K161+SUM($C173:K173)</f>
        <v>160990.74855410369</v>
      </c>
      <c r="L175" s="7">
        <f ca="1">L161+SUM($C173:L173)</f>
        <v>83575.248188734811</v>
      </c>
      <c r="M175" s="7">
        <f ca="1">M161+SUM($C173:M173)</f>
        <v>55885.180857204898</v>
      </c>
      <c r="N175" s="7">
        <f ca="1">N161+SUM($C173:N173)</f>
        <v>292152.25828154449</v>
      </c>
      <c r="O175" s="7">
        <f ca="1">O161+SUM($C173:O173)</f>
        <v>258138.03872029213</v>
      </c>
      <c r="P175" s="7">
        <f ca="1">P161+SUM($C173:P173)</f>
        <v>222458.60477470557</v>
      </c>
      <c r="Q175" s="7">
        <f ca="1">Q161+SUM($C173:Q173)</f>
        <v>184881.30441036529</v>
      </c>
      <c r="R175" s="7">
        <f ca="1">R161+SUM($C173:R173)</f>
        <v>145240.0591854208</v>
      </c>
      <c r="S175" s="7">
        <f ca="1">S161+SUM($C173:S173)</f>
        <v>121443.42557287621</v>
      </c>
      <c r="T175" s="7">
        <f ca="1">T161+SUM($C173:T173)</f>
        <v>104173.85752878783</v>
      </c>
      <c r="U175" s="7">
        <f ca="1">U161+SUM($C173:U173)</f>
        <v>85991.808129520476</v>
      </c>
      <c r="V175" s="7">
        <f ca="1">V161+SUM($C173:V173)</f>
        <v>66879.994116524729</v>
      </c>
      <c r="W175" s="7">
        <f ca="1">W161+SUM($C173:W173)</f>
        <v>46820.86601304714</v>
      </c>
      <c r="X175" s="7">
        <f ca="1">X161+SUM($C173:X173)</f>
        <v>479512.86545953341</v>
      </c>
      <c r="Y175" s="7">
        <f ca="1">Y161+SUM($C173:Y173)</f>
        <v>422356.69505987415</v>
      </c>
      <c r="Z175" s="7">
        <f ca="1">Z161+SUM($C173:Z173)</f>
        <v>363771.62040022353</v>
      </c>
      <c r="AA175" s="7">
        <f ca="1">AA161+SUM($C173:AA173)</f>
        <v>303721.91887408157</v>
      </c>
      <c r="AB175" s="7">
        <f ca="1">AB161+SUM($C173:AB173)</f>
        <v>242170.97480978601</v>
      </c>
      <c r="AC175" s="7">
        <f ca="1">AC161+SUM($C173:AC173)</f>
        <v>179081.25714388315</v>
      </c>
      <c r="AD175" s="7">
        <f ca="1">AD161+SUM($C173:AD173)</f>
        <v>124153.29662783133</v>
      </c>
      <c r="AE175" s="7">
        <f ca="1">AE161+SUM($C173:AE173)</f>
        <v>67718.693548882555</v>
      </c>
      <c r="AF175" s="7">
        <f ca="1">AF161+SUM($C173:AF173)</f>
        <v>9385.9438307111268</v>
      </c>
      <c r="AG175" s="7">
        <f ca="1">AG161+SUM($C173:AG173)</f>
        <v>-50904.630876225885</v>
      </c>
      <c r="AH175" s="7">
        <f ca="1">AH161+SUM($C173:AH173)</f>
        <v>-112705.44440656179</v>
      </c>
      <c r="AI175" s="7">
        <f ca="1">AI161+SUM($C173:AI173)</f>
        <v>-176049.42633156269</v>
      </c>
      <c r="AJ175" s="7">
        <f ca="1">AJ161+SUM($C173:AJ173)</f>
        <v>-240976.02562788501</v>
      </c>
      <c r="AK175" s="7">
        <f ca="1">AK161+SUM($C173:AK173)</f>
        <v>-307525.710086237</v>
      </c>
      <c r="AL175" s="7">
        <f ca="1">AL161+SUM($C173:AL173)</f>
        <v>-375739.99292183499</v>
      </c>
      <c r="AM175" s="7">
        <f ca="1">AM161+SUM($C173:AM173)</f>
        <v>-445263.19551026827</v>
      </c>
    </row>
    <row r="176" spans="1:39">
      <c r="A176" s="3" t="s">
        <v>74</v>
      </c>
      <c r="C176" s="7">
        <f t="shared" ref="C176:AM176" ca="1" si="114">MAX(C175+buffer,0)-MAX(C161+buffer,0)</f>
        <v>0</v>
      </c>
      <c r="D176" s="7">
        <f t="shared" ca="1" si="114"/>
        <v>0</v>
      </c>
      <c r="E176" s="7">
        <f t="shared" ca="1" si="114"/>
        <v>0</v>
      </c>
      <c r="F176" s="7">
        <f t="shared" ca="1" si="114"/>
        <v>0</v>
      </c>
      <c r="G176" s="7">
        <f t="shared" ca="1" si="114"/>
        <v>0</v>
      </c>
      <c r="H176" s="7">
        <f t="shared" ca="1" si="114"/>
        <v>0</v>
      </c>
      <c r="I176" s="7">
        <f t="shared" ca="1" si="114"/>
        <v>0</v>
      </c>
      <c r="J176" s="7">
        <f t="shared" ca="1" si="114"/>
        <v>0</v>
      </c>
      <c r="K176" s="7">
        <f t="shared" ca="1" si="114"/>
        <v>0</v>
      </c>
      <c r="L176" s="7">
        <f t="shared" ca="1" si="114"/>
        <v>0</v>
      </c>
      <c r="M176" s="7">
        <f t="shared" ca="1" si="114"/>
        <v>0</v>
      </c>
      <c r="N176" s="7">
        <f t="shared" ca="1" si="114"/>
        <v>0</v>
      </c>
      <c r="O176" s="7">
        <f t="shared" ca="1" si="114"/>
        <v>0</v>
      </c>
      <c r="P176" s="7">
        <f t="shared" ca="1" si="114"/>
        <v>0</v>
      </c>
      <c r="Q176" s="7">
        <f t="shared" ca="1" si="114"/>
        <v>0</v>
      </c>
      <c r="R176" s="7">
        <f t="shared" ca="1" si="114"/>
        <v>0</v>
      </c>
      <c r="S176" s="7">
        <f t="shared" ca="1" si="114"/>
        <v>0</v>
      </c>
      <c r="T176" s="7">
        <f t="shared" ca="1" si="114"/>
        <v>0</v>
      </c>
      <c r="U176" s="7">
        <f t="shared" ca="1" si="114"/>
        <v>0</v>
      </c>
      <c r="V176" s="7">
        <f t="shared" ca="1" si="114"/>
        <v>0</v>
      </c>
      <c r="W176" s="7">
        <f t="shared" ca="1" si="114"/>
        <v>0</v>
      </c>
      <c r="X176" s="7">
        <f t="shared" ca="1" si="114"/>
        <v>474375.11578592134</v>
      </c>
      <c r="Y176" s="7">
        <f t="shared" ca="1" si="114"/>
        <v>459989.73186749243</v>
      </c>
      <c r="Z176" s="7">
        <f t="shared" ca="1" si="114"/>
        <v>403771.62040022353</v>
      </c>
      <c r="AA176" s="7">
        <f t="shared" ca="1" si="114"/>
        <v>343721.91887408157</v>
      </c>
      <c r="AB176" s="7">
        <f t="shared" ca="1" si="114"/>
        <v>282170.97480978601</v>
      </c>
      <c r="AC176" s="7">
        <f t="shared" ca="1" si="114"/>
        <v>219081.25714388315</v>
      </c>
      <c r="AD176" s="7">
        <f t="shared" ca="1" si="114"/>
        <v>164153.29662783133</v>
      </c>
      <c r="AE176" s="7">
        <f t="shared" ca="1" si="114"/>
        <v>107718.69354888255</v>
      </c>
      <c r="AF176" s="7">
        <f t="shared" ca="1" si="114"/>
        <v>49385.943830711127</v>
      </c>
      <c r="AG176" s="7">
        <f t="shared" ca="1" si="114"/>
        <v>0</v>
      </c>
      <c r="AH176" s="7">
        <f t="shared" ca="1" si="114"/>
        <v>0</v>
      </c>
      <c r="AI176" s="7">
        <f t="shared" ca="1" si="114"/>
        <v>0</v>
      </c>
      <c r="AJ176" s="7">
        <f t="shared" ca="1" si="114"/>
        <v>0</v>
      </c>
      <c r="AK176" s="7">
        <f t="shared" ca="1" si="114"/>
        <v>0</v>
      </c>
      <c r="AL176" s="7">
        <f t="shared" ca="1" si="114"/>
        <v>0</v>
      </c>
      <c r="AM176" s="7">
        <f t="shared" ca="1" si="114"/>
        <v>0</v>
      </c>
    </row>
    <row r="177" spans="1:39">
      <c r="A177" s="3" t="s">
        <v>75</v>
      </c>
      <c r="C177" s="7">
        <f ca="1">C176*Inputs!$B$181</f>
        <v>0</v>
      </c>
      <c r="D177" s="7">
        <f ca="1">D176*Inputs!$B$181</f>
        <v>0</v>
      </c>
      <c r="E177" s="7">
        <f ca="1">E176*Inputs!$B$181</f>
        <v>0</v>
      </c>
      <c r="F177" s="7">
        <f ca="1">F176*Inputs!$B$181</f>
        <v>0</v>
      </c>
      <c r="G177" s="7">
        <f ca="1">G176*Inputs!$B$181</f>
        <v>0</v>
      </c>
      <c r="H177" s="7">
        <f ca="1">H176*Inputs!$B$181</f>
        <v>0</v>
      </c>
      <c r="I177" s="7">
        <f ca="1">I176*Inputs!$B$181</f>
        <v>0</v>
      </c>
      <c r="J177" s="7">
        <f ca="1">J176*Inputs!$B$181</f>
        <v>0</v>
      </c>
      <c r="K177" s="7">
        <f ca="1">K176*Inputs!$B$181</f>
        <v>0</v>
      </c>
      <c r="L177" s="7">
        <f ca="1">L176*Inputs!$B$181</f>
        <v>0</v>
      </c>
      <c r="M177" s="7">
        <f ca="1">M176*Inputs!$B$181</f>
        <v>0</v>
      </c>
      <c r="N177" s="7">
        <f ca="1">N176*Inputs!$B$181</f>
        <v>0</v>
      </c>
      <c r="O177" s="7">
        <f ca="1">O176*Inputs!$B$181</f>
        <v>0</v>
      </c>
      <c r="P177" s="7">
        <f ca="1">P176*Inputs!$B$181</f>
        <v>0</v>
      </c>
      <c r="Q177" s="7">
        <f ca="1">Q176*Inputs!$B$181</f>
        <v>0</v>
      </c>
      <c r="R177" s="7">
        <f ca="1">R176*Inputs!$B$181</f>
        <v>0</v>
      </c>
      <c r="S177" s="7">
        <f ca="1">S176*Inputs!$B$181</f>
        <v>0</v>
      </c>
      <c r="T177" s="7">
        <f ca="1">T176*Inputs!$B$181</f>
        <v>0</v>
      </c>
      <c r="U177" s="7">
        <f ca="1">U176*Inputs!$B$181</f>
        <v>0</v>
      </c>
      <c r="V177" s="7">
        <f ca="1">V176*Inputs!$B$181</f>
        <v>0</v>
      </c>
      <c r="W177" s="7">
        <f ca="1">W176*Inputs!$B$181</f>
        <v>0</v>
      </c>
      <c r="X177" s="7">
        <f ca="1">X176*Inputs!$B$181</f>
        <v>11859.377894648034</v>
      </c>
      <c r="Y177" s="7">
        <f ca="1">Y176*Inputs!$B$181</f>
        <v>11499.743296687311</v>
      </c>
      <c r="Z177" s="7">
        <f ca="1">Z176*Inputs!$B$181</f>
        <v>10094.290510005589</v>
      </c>
      <c r="AA177" s="7">
        <f ca="1">AA176*Inputs!$B$181</f>
        <v>8593.0479718520401</v>
      </c>
      <c r="AB177" s="7">
        <f ca="1">AB176*Inputs!$B$181</f>
        <v>7054.2743702446505</v>
      </c>
      <c r="AC177" s="7">
        <f ca="1">AC176*Inputs!$B$181</f>
        <v>5477.031428597079</v>
      </c>
      <c r="AD177" s="7">
        <f ca="1">AD176*Inputs!$B$181</f>
        <v>4103.8324156957833</v>
      </c>
      <c r="AE177" s="7">
        <f ca="1">AE176*Inputs!$B$181</f>
        <v>2692.9673387220641</v>
      </c>
      <c r="AF177" s="7">
        <f ca="1">AF176*Inputs!$B$181</f>
        <v>1234.6485957677783</v>
      </c>
      <c r="AG177" s="7">
        <f ca="1">AG176*Inputs!$B$181</f>
        <v>0</v>
      </c>
      <c r="AH177" s="7">
        <f ca="1">AH176*Inputs!$B$181</f>
        <v>0</v>
      </c>
      <c r="AI177" s="7">
        <f ca="1">AI176*Inputs!$B$181</f>
        <v>0</v>
      </c>
      <c r="AJ177" s="7">
        <f ca="1">AJ176*Inputs!$B$181</f>
        <v>0</v>
      </c>
      <c r="AK177" s="7">
        <f ca="1">AK176*Inputs!$B$181</f>
        <v>0</v>
      </c>
      <c r="AL177" s="7">
        <f ca="1">AL176*Inputs!$B$181</f>
        <v>0</v>
      </c>
      <c r="AM177" s="7">
        <f ca="1">AM176*Inputs!$B$181</f>
        <v>0</v>
      </c>
    </row>
    <row r="178" spans="1:39">
      <c r="A178" s="3" t="s">
        <v>158</v>
      </c>
      <c r="C178" s="7">
        <f ca="1">C175+SUM($C177:C177)</f>
        <v>37716.75</v>
      </c>
      <c r="D178" s="7">
        <f ca="1">D175+SUM($C177:D177)</f>
        <v>69048.493749999994</v>
      </c>
      <c r="E178" s="7">
        <f ca="1">E175+SUM($C177:E177)</f>
        <v>71891.10341475303</v>
      </c>
      <c r="F178" s="7">
        <f ca="1">F175+SUM($C177:F177)</f>
        <v>55330.661493535095</v>
      </c>
      <c r="G178" s="7">
        <f ca="1">G175+SUM($C177:G177)</f>
        <v>123023.26474117297</v>
      </c>
      <c r="H178" s="7">
        <f ca="1">H175+SUM($C177:H177)</f>
        <v>82547.974722190411</v>
      </c>
      <c r="I178" s="7">
        <f ca="1">I175+SUM($C177:I177)</f>
        <v>203196.12586942854</v>
      </c>
      <c r="J178" s="7">
        <f ca="1">J175+SUM($C177:J177)</f>
        <v>142566.76412242133</v>
      </c>
      <c r="K178" s="7">
        <f ca="1">K175+SUM($C177:K177)</f>
        <v>160990.74855410369</v>
      </c>
      <c r="L178" s="7">
        <f ca="1">L175+SUM($C177:L177)</f>
        <v>83575.248188734811</v>
      </c>
      <c r="M178" s="7">
        <f ca="1">M175+SUM($C177:M177)</f>
        <v>55885.180857204898</v>
      </c>
      <c r="N178" s="7">
        <f ca="1">N175+SUM($C177:N177)</f>
        <v>292152.25828154449</v>
      </c>
      <c r="O178" s="7">
        <f ca="1">O175+SUM($C177:O177)</f>
        <v>258138.03872029213</v>
      </c>
      <c r="P178" s="7">
        <f ca="1">P175+SUM($C177:P177)</f>
        <v>222458.60477470557</v>
      </c>
      <c r="Q178" s="7">
        <f ca="1">Q175+SUM($C177:Q177)</f>
        <v>184881.30441036529</v>
      </c>
      <c r="R178" s="7">
        <f ca="1">R175+SUM($C177:R177)</f>
        <v>145240.0591854208</v>
      </c>
      <c r="S178" s="7">
        <f ca="1">S175+SUM($C177:S177)</f>
        <v>121443.42557287621</v>
      </c>
      <c r="T178" s="7">
        <f ca="1">T175+SUM($C177:T177)</f>
        <v>104173.85752878783</v>
      </c>
      <c r="U178" s="7">
        <f ca="1">U175+SUM($C177:U177)</f>
        <v>85991.808129520476</v>
      </c>
      <c r="V178" s="7">
        <f ca="1">V175+SUM($C177:V177)</f>
        <v>66879.994116524729</v>
      </c>
      <c r="W178" s="7">
        <f ca="1">W175+SUM($C177:W177)</f>
        <v>46820.86601304714</v>
      </c>
      <c r="X178" s="7">
        <f ca="1">X175+SUM($C177:X177)</f>
        <v>491372.24335418147</v>
      </c>
      <c r="Y178" s="7">
        <f ca="1">Y175+SUM($C177:Y177)</f>
        <v>445715.81625120947</v>
      </c>
      <c r="Z178" s="7">
        <f ca="1">Z175+SUM($C177:Z177)</f>
        <v>397225.03210156446</v>
      </c>
      <c r="AA178" s="7">
        <f ca="1">AA175+SUM($C177:AA177)</f>
        <v>345768.37854727457</v>
      </c>
      <c r="AB178" s="7">
        <f ca="1">AB175+SUM($C177:AB177)</f>
        <v>291271.70885322365</v>
      </c>
      <c r="AC178" s="7">
        <f ca="1">AC175+SUM($C177:AC177)</f>
        <v>233659.02261591787</v>
      </c>
      <c r="AD178" s="7">
        <f ca="1">AD175+SUM($C177:AD177)</f>
        <v>182834.89451556181</v>
      </c>
      <c r="AE178" s="7">
        <f ca="1">AE175+SUM($C177:AE177)</f>
        <v>129093.25877533511</v>
      </c>
      <c r="AF178" s="7">
        <f ca="1">AF175+SUM($C177:AF177)</f>
        <v>71995.157652931463</v>
      </c>
      <c r="AG178" s="7">
        <f ca="1">AG175+SUM($C177:AG177)</f>
        <v>11704.582945994451</v>
      </c>
      <c r="AH178" s="7">
        <f ca="1">AH175+SUM($C177:AH177)</f>
        <v>-50096.230584341451</v>
      </c>
      <c r="AI178" s="7">
        <f ca="1">AI175+SUM($C177:AI177)</f>
        <v>-113440.21250934235</v>
      </c>
      <c r="AJ178" s="7">
        <f ca="1">AJ175+SUM($C177:AJ177)</f>
        <v>-178366.81180566468</v>
      </c>
      <c r="AK178" s="7">
        <f ca="1">AK175+SUM($C177:AK177)</f>
        <v>-244916.49626401666</v>
      </c>
      <c r="AL178" s="7">
        <f ca="1">AL175+SUM($C177:AL177)</f>
        <v>-313130.77909961465</v>
      </c>
      <c r="AM178" s="7">
        <f ca="1">AM175+SUM($C177:AM177)</f>
        <v>-382653.98168804793</v>
      </c>
    </row>
    <row r="179" spans="1:39">
      <c r="A179" s="3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</row>
    <row r="180" spans="1:39">
      <c r="A180" s="3" t="s">
        <v>156</v>
      </c>
      <c r="C180" s="7">
        <f t="shared" ref="C180:AM180" ca="1" si="115">C178+buffer</f>
        <v>77716.75</v>
      </c>
      <c r="D180" s="7">
        <f t="shared" ca="1" si="115"/>
        <v>109048.49374999999</v>
      </c>
      <c r="E180" s="7">
        <f t="shared" ca="1" si="115"/>
        <v>111891.10341475303</v>
      </c>
      <c r="F180" s="7">
        <f t="shared" ca="1" si="115"/>
        <v>95330.661493535095</v>
      </c>
      <c r="G180" s="7">
        <f t="shared" ca="1" si="115"/>
        <v>163023.26474117296</v>
      </c>
      <c r="H180" s="7">
        <f t="shared" ca="1" si="115"/>
        <v>122547.97472219041</v>
      </c>
      <c r="I180" s="7">
        <f t="shared" ca="1" si="115"/>
        <v>243196.12586942854</v>
      </c>
      <c r="J180" s="7">
        <f t="shared" ca="1" si="115"/>
        <v>182566.76412242133</v>
      </c>
      <c r="K180" s="7">
        <f t="shared" ca="1" si="115"/>
        <v>200990.74855410369</v>
      </c>
      <c r="L180" s="7">
        <f t="shared" ca="1" si="115"/>
        <v>123575.24818873481</v>
      </c>
      <c r="M180" s="7">
        <f t="shared" ca="1" si="115"/>
        <v>95885.18085720489</v>
      </c>
      <c r="N180" s="7">
        <f t="shared" ca="1" si="115"/>
        <v>332152.25828154449</v>
      </c>
      <c r="O180" s="7">
        <f t="shared" ca="1" si="115"/>
        <v>298138.03872029216</v>
      </c>
      <c r="P180" s="7">
        <f t="shared" ca="1" si="115"/>
        <v>262458.6047747056</v>
      </c>
      <c r="Q180" s="7">
        <f t="shared" ca="1" si="115"/>
        <v>224881.30441036529</v>
      </c>
      <c r="R180" s="7">
        <f t="shared" ca="1" si="115"/>
        <v>185240.0591854208</v>
      </c>
      <c r="S180" s="7">
        <f t="shared" ca="1" si="115"/>
        <v>161443.42557287621</v>
      </c>
      <c r="T180" s="7">
        <f t="shared" ca="1" si="115"/>
        <v>144173.85752878783</v>
      </c>
      <c r="U180" s="7">
        <f t="shared" ca="1" si="115"/>
        <v>125991.80812952048</v>
      </c>
      <c r="V180" s="7">
        <f t="shared" ca="1" si="115"/>
        <v>106879.99411652473</v>
      </c>
      <c r="W180" s="7">
        <f t="shared" ca="1" si="115"/>
        <v>86820.86601304714</v>
      </c>
      <c r="X180" s="7">
        <f t="shared" ca="1" si="115"/>
        <v>531372.24335418153</v>
      </c>
      <c r="Y180" s="7">
        <f t="shared" ca="1" si="115"/>
        <v>485715.81625120947</v>
      </c>
      <c r="Z180" s="7">
        <f t="shared" ca="1" si="115"/>
        <v>437225.03210156446</v>
      </c>
      <c r="AA180" s="7">
        <f t="shared" ca="1" si="115"/>
        <v>385768.37854727457</v>
      </c>
      <c r="AB180" s="7">
        <f t="shared" ca="1" si="115"/>
        <v>331271.70885322365</v>
      </c>
      <c r="AC180" s="7">
        <f t="shared" ca="1" si="115"/>
        <v>273659.02261591784</v>
      </c>
      <c r="AD180" s="7">
        <f t="shared" ca="1" si="115"/>
        <v>222834.89451556181</v>
      </c>
      <c r="AE180" s="7">
        <f t="shared" ca="1" si="115"/>
        <v>169093.2587753351</v>
      </c>
      <c r="AF180" s="7">
        <f t="shared" ca="1" si="115"/>
        <v>111995.15765293146</v>
      </c>
      <c r="AG180" s="7">
        <f t="shared" ca="1" si="115"/>
        <v>51704.582945994451</v>
      </c>
      <c r="AH180" s="7">
        <f t="shared" ca="1" si="115"/>
        <v>-10096.230584341451</v>
      </c>
      <c r="AI180" s="7">
        <f t="shared" ca="1" si="115"/>
        <v>-73440.212509342353</v>
      </c>
      <c r="AJ180" s="7">
        <f t="shared" ca="1" si="115"/>
        <v>-138366.81180566468</v>
      </c>
      <c r="AK180" s="7">
        <f t="shared" ca="1" si="115"/>
        <v>-204916.49626401666</v>
      </c>
      <c r="AL180" s="7">
        <f t="shared" ca="1" si="115"/>
        <v>-273130.77909961465</v>
      </c>
      <c r="AM180" s="7">
        <f t="shared" ca="1" si="115"/>
        <v>-342653.98168804793</v>
      </c>
    </row>
    <row r="181" spans="1:39">
      <c r="A181" s="4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</row>
    <row r="182" spans="1:39">
      <c r="A182" s="29" t="s">
        <v>62</v>
      </c>
      <c r="B182" s="26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</row>
    <row r="183" spans="1:39">
      <c r="A183" s="3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</row>
    <row r="184" spans="1:39">
      <c r="A184" s="18" t="s">
        <v>65</v>
      </c>
      <c r="B184" s="19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</row>
    <row r="185" spans="1:39">
      <c r="A185" s="22" t="str">
        <f>B$104</f>
        <v>Gudja</v>
      </c>
      <c r="B185" s="19"/>
      <c r="C185" s="20">
        <f ca="1">SUM($C98:C98)</f>
        <v>0</v>
      </c>
      <c r="D185" s="20">
        <f ca="1">SUM($C98:D98)</f>
        <v>0</v>
      </c>
      <c r="E185" s="20">
        <f ca="1">SUM($C98:E98)</f>
        <v>-84872</v>
      </c>
      <c r="F185" s="20">
        <f ca="1">SUM($C98:F98)</f>
        <v>-84872</v>
      </c>
      <c r="G185" s="20">
        <f ca="1">SUM($C98:G98)</f>
        <v>-84872</v>
      </c>
      <c r="H185" s="20">
        <f ca="1">SUM($C98:H98)</f>
        <v>-84872</v>
      </c>
      <c r="I185" s="20">
        <f ca="1">SUM($C98:I98)</f>
        <v>-84872</v>
      </c>
      <c r="J185" s="20">
        <f ca="1">SUM($C98:J98)</f>
        <v>-84872</v>
      </c>
      <c r="K185" s="20">
        <f ca="1">SUM($C98:K98)</f>
        <v>-84872</v>
      </c>
      <c r="L185" s="20">
        <f ca="1">SUM($C98:L98)</f>
        <v>-84872</v>
      </c>
      <c r="M185" s="20">
        <f ca="1">SUM($C98:M98)</f>
        <v>-84872</v>
      </c>
      <c r="N185" s="20">
        <f ca="1">SUM($C98:N98)</f>
        <v>-84872</v>
      </c>
      <c r="O185" s="20">
        <f ca="1">SUM($C98:O98)</f>
        <v>-84872</v>
      </c>
      <c r="P185" s="20">
        <f ca="1">SUM($C98:P98)</f>
        <v>-84872</v>
      </c>
      <c r="Q185" s="20">
        <f ca="1">SUM($C98:Q98)</f>
        <v>-84872</v>
      </c>
      <c r="R185" s="20">
        <f ca="1">SUM($C98:R98)</f>
        <v>-84872</v>
      </c>
      <c r="S185" s="20">
        <f ca="1">SUM($C98:S98)</f>
        <v>-84872</v>
      </c>
      <c r="T185" s="20">
        <f ca="1">SUM($C98:T98)</f>
        <v>-84872</v>
      </c>
      <c r="U185" s="20">
        <f ca="1">SUM($C98:U98)</f>
        <v>-84872</v>
      </c>
      <c r="V185" s="20">
        <f ca="1">SUM($C98:V98)</f>
        <v>-84872</v>
      </c>
      <c r="W185" s="20">
        <f ca="1">SUM($C98:W98)</f>
        <v>-84872</v>
      </c>
      <c r="X185" s="20">
        <f ca="1">SUM($C98:X98)</f>
        <v>-84872</v>
      </c>
      <c r="Y185" s="20">
        <f ca="1">SUM($C98:Y98)</f>
        <v>-84872</v>
      </c>
      <c r="Z185" s="20">
        <f ca="1">SUM($C98:Z98)</f>
        <v>-84872</v>
      </c>
      <c r="AA185" s="20">
        <f ca="1">SUM($C98:AA98)</f>
        <v>-84872</v>
      </c>
      <c r="AB185" s="20">
        <f ca="1">SUM($C98:AB98)</f>
        <v>-84872</v>
      </c>
      <c r="AC185" s="20">
        <f ca="1">SUM($C98:AC98)</f>
        <v>-84872</v>
      </c>
      <c r="AD185" s="20">
        <f ca="1">SUM($C98:AD98)</f>
        <v>-84872</v>
      </c>
      <c r="AE185" s="20">
        <f ca="1">SUM($C98:AE98)</f>
        <v>-84872</v>
      </c>
      <c r="AF185" s="20">
        <f ca="1">SUM($C98:AF98)</f>
        <v>-84872</v>
      </c>
      <c r="AG185" s="20">
        <f ca="1">SUM($C98:AG98)</f>
        <v>-84872</v>
      </c>
      <c r="AH185" s="20">
        <f ca="1">SUM($C98:AH98)</f>
        <v>-84872</v>
      </c>
      <c r="AI185" s="20">
        <f ca="1">SUM($C98:AI98)</f>
        <v>-84872</v>
      </c>
      <c r="AJ185" s="20">
        <f ca="1">SUM($C98:AJ98)</f>
        <v>-84872</v>
      </c>
      <c r="AK185" s="20">
        <f ca="1">SUM($C98:AK98)</f>
        <v>-84872</v>
      </c>
      <c r="AL185" s="20">
        <f ca="1">SUM($C98:AL98)</f>
        <v>-84872</v>
      </c>
      <c r="AM185" s="20">
        <f ca="1">SUM($C98:AM98)</f>
        <v>-84872</v>
      </c>
    </row>
    <row r="186" spans="1:39">
      <c r="A186" s="22" t="str">
        <f>B$121</f>
        <v>Marsa</v>
      </c>
      <c r="B186" s="19"/>
      <c r="C186" s="20">
        <f ca="1">SUM($C115:C115)</f>
        <v>0</v>
      </c>
      <c r="D186" s="20">
        <f ca="1">SUM($C115:D115)</f>
        <v>0</v>
      </c>
      <c r="E186" s="20">
        <f ca="1">SUM($C115:E115)</f>
        <v>0</v>
      </c>
      <c r="F186" s="20">
        <f ca="1">SUM($C115:F115)</f>
        <v>0</v>
      </c>
      <c r="G186" s="20">
        <f ca="1">SUM($C115:G115)</f>
        <v>-135061.05719999998</v>
      </c>
      <c r="H186" s="20">
        <f ca="1">SUM($C115:H115)</f>
        <v>-135061.05719999998</v>
      </c>
      <c r="I186" s="20">
        <f ca="1">SUM($C115:I115)</f>
        <v>-135061.05719999998</v>
      </c>
      <c r="J186" s="20">
        <f ca="1">SUM($C115:J115)</f>
        <v>-135061.05719999998</v>
      </c>
      <c r="K186" s="20">
        <f ca="1">SUM($C115:K115)</f>
        <v>-135061.05719999998</v>
      </c>
      <c r="L186" s="20">
        <f ca="1">SUM($C115:L115)</f>
        <v>-135061.05719999998</v>
      </c>
      <c r="M186" s="20">
        <f ca="1">SUM($C115:M115)</f>
        <v>-135061.05719999998</v>
      </c>
      <c r="N186" s="20">
        <f ca="1">SUM($C115:N115)</f>
        <v>-135061.05719999998</v>
      </c>
      <c r="O186" s="20">
        <f ca="1">SUM($C115:O115)</f>
        <v>-135061.05719999998</v>
      </c>
      <c r="P186" s="20">
        <f ca="1">SUM($C115:P115)</f>
        <v>-135061.05719999998</v>
      </c>
      <c r="Q186" s="20">
        <f ca="1">SUM($C115:Q115)</f>
        <v>-135061.05719999998</v>
      </c>
      <c r="R186" s="20">
        <f ca="1">SUM($C115:R115)</f>
        <v>-135061.05719999998</v>
      </c>
      <c r="S186" s="20">
        <f ca="1">SUM($C115:S115)</f>
        <v>-135061.05719999998</v>
      </c>
      <c r="T186" s="20">
        <f ca="1">SUM($C115:T115)</f>
        <v>-135061.05719999998</v>
      </c>
      <c r="U186" s="20">
        <f ca="1">SUM($C115:U115)</f>
        <v>-135061.05719999998</v>
      </c>
      <c r="V186" s="20">
        <f ca="1">SUM($C115:V115)</f>
        <v>-135061.05719999998</v>
      </c>
      <c r="W186" s="20">
        <f ca="1">SUM($C115:W115)</f>
        <v>-135061.05719999998</v>
      </c>
      <c r="X186" s="20">
        <f ca="1">SUM($C115:X115)</f>
        <v>-135061.05719999998</v>
      </c>
      <c r="Y186" s="20">
        <f ca="1">SUM($C115:Y115)</f>
        <v>-135061.05719999998</v>
      </c>
      <c r="Z186" s="20">
        <f ca="1">SUM($C115:Z115)</f>
        <v>-135061.05719999998</v>
      </c>
      <c r="AA186" s="20">
        <f ca="1">SUM($C115:AA115)</f>
        <v>-135061.05719999998</v>
      </c>
      <c r="AB186" s="20">
        <f ca="1">SUM($C115:AB115)</f>
        <v>-135061.05719999998</v>
      </c>
      <c r="AC186" s="20">
        <f ca="1">SUM($C115:AC115)</f>
        <v>-135061.05719999998</v>
      </c>
      <c r="AD186" s="20">
        <f ca="1">SUM($C115:AD115)</f>
        <v>-135061.05719999998</v>
      </c>
      <c r="AE186" s="20">
        <f ca="1">SUM($C115:AE115)</f>
        <v>-135061.05719999998</v>
      </c>
      <c r="AF186" s="20">
        <f ca="1">SUM($C115:AF115)</f>
        <v>-135061.05719999998</v>
      </c>
      <c r="AG186" s="20">
        <f ca="1">SUM($C115:AG115)</f>
        <v>-135061.05719999998</v>
      </c>
      <c r="AH186" s="20">
        <f ca="1">SUM($C115:AH115)</f>
        <v>-135061.05719999998</v>
      </c>
      <c r="AI186" s="20">
        <f ca="1">SUM($C115:AI115)</f>
        <v>-135061.05719999998</v>
      </c>
      <c r="AJ186" s="20">
        <f ca="1">SUM($C115:AJ115)</f>
        <v>-135061.05719999998</v>
      </c>
      <c r="AK186" s="20">
        <f ca="1">SUM($C115:AK115)</f>
        <v>-135061.05719999998</v>
      </c>
      <c r="AL186" s="20">
        <f ca="1">SUM($C115:AL115)</f>
        <v>-135061.05719999998</v>
      </c>
      <c r="AM186" s="20">
        <f ca="1">SUM($C115:AM115)</f>
        <v>-135061.05719999998</v>
      </c>
    </row>
    <row r="187" spans="1:39">
      <c r="A187" s="22" t="str">
        <f>B$138</f>
        <v>Gzira</v>
      </c>
      <c r="B187" s="19"/>
      <c r="C187" s="20">
        <f ca="1">SUM($C132:C132)</f>
        <v>0</v>
      </c>
      <c r="D187" s="20">
        <f ca="1">SUM($C132:D132)</f>
        <v>0</v>
      </c>
      <c r="E187" s="20">
        <f ca="1">SUM($C132:E132)</f>
        <v>0</v>
      </c>
      <c r="F187" s="20">
        <f ca="1">SUM($C132:F132)</f>
        <v>0</v>
      </c>
      <c r="G187" s="20">
        <f ca="1">SUM($C132:G132)</f>
        <v>0</v>
      </c>
      <c r="H187" s="20">
        <f ca="1">SUM($C132:H132)</f>
        <v>0</v>
      </c>
      <c r="I187" s="20">
        <f ca="1">SUM($C132:I132)</f>
        <v>-179107.84447934999</v>
      </c>
      <c r="J187" s="20">
        <f ca="1">SUM($C132:J132)</f>
        <v>-179107.84447934999</v>
      </c>
      <c r="K187" s="20">
        <f ca="1">SUM($C132:K132)</f>
        <v>-179107.84447934999</v>
      </c>
      <c r="L187" s="20">
        <f ca="1">SUM($C132:L132)</f>
        <v>-179107.84447934999</v>
      </c>
      <c r="M187" s="20">
        <f ca="1">SUM($C132:M132)</f>
        <v>-179107.84447934999</v>
      </c>
      <c r="N187" s="20">
        <f ca="1">SUM($C132:N132)</f>
        <v>-179107.84447934999</v>
      </c>
      <c r="O187" s="20">
        <f ca="1">SUM($C132:O132)</f>
        <v>-179107.84447934999</v>
      </c>
      <c r="P187" s="20">
        <f ca="1">SUM($C132:P132)</f>
        <v>-179107.84447934999</v>
      </c>
      <c r="Q187" s="20">
        <f ca="1">SUM($C132:Q132)</f>
        <v>-179107.84447934999</v>
      </c>
      <c r="R187" s="20">
        <f ca="1">SUM($C132:R132)</f>
        <v>-179107.84447934999</v>
      </c>
      <c r="S187" s="20">
        <f ca="1">SUM($C132:S132)</f>
        <v>-179107.84447934999</v>
      </c>
      <c r="T187" s="20">
        <f ca="1">SUM($C132:T132)</f>
        <v>-179107.84447934999</v>
      </c>
      <c r="U187" s="20">
        <f ca="1">SUM($C132:U132)</f>
        <v>-179107.84447934999</v>
      </c>
      <c r="V187" s="20">
        <f ca="1">SUM($C132:V132)</f>
        <v>-179107.84447934999</v>
      </c>
      <c r="W187" s="20">
        <f ca="1">SUM($C132:W132)</f>
        <v>-179107.84447934999</v>
      </c>
      <c r="X187" s="20">
        <f ca="1">SUM($C132:X132)</f>
        <v>-179107.84447934999</v>
      </c>
      <c r="Y187" s="20">
        <f ca="1">SUM($C132:Y132)</f>
        <v>-179107.84447934999</v>
      </c>
      <c r="Z187" s="20">
        <f ca="1">SUM($C132:Z132)</f>
        <v>-179107.84447934999</v>
      </c>
      <c r="AA187" s="20">
        <f ca="1">SUM($C132:AA132)</f>
        <v>-179107.84447934999</v>
      </c>
      <c r="AB187" s="20">
        <f ca="1">SUM($C132:AB132)</f>
        <v>-179107.84447934999</v>
      </c>
      <c r="AC187" s="20">
        <f ca="1">SUM($C132:AC132)</f>
        <v>-179107.84447934999</v>
      </c>
      <c r="AD187" s="20">
        <f ca="1">SUM($C132:AD132)</f>
        <v>-179107.84447934999</v>
      </c>
      <c r="AE187" s="20">
        <f ca="1">SUM($C132:AE132)</f>
        <v>-179107.84447934999</v>
      </c>
      <c r="AF187" s="20">
        <f ca="1">SUM($C132:AF132)</f>
        <v>-179107.84447934999</v>
      </c>
      <c r="AG187" s="20">
        <f ca="1">SUM($C132:AG132)</f>
        <v>-179107.84447934999</v>
      </c>
      <c r="AH187" s="20">
        <f ca="1">SUM($C132:AH132)</f>
        <v>-179107.84447934999</v>
      </c>
      <c r="AI187" s="20">
        <f ca="1">SUM($C132:AI132)</f>
        <v>-179107.84447934999</v>
      </c>
      <c r="AJ187" s="20">
        <f ca="1">SUM($C132:AJ132)</f>
        <v>-179107.84447934999</v>
      </c>
      <c r="AK187" s="20">
        <f ca="1">SUM($C132:AK132)</f>
        <v>-179107.84447934999</v>
      </c>
      <c r="AL187" s="20">
        <f ca="1">SUM($C132:AL132)</f>
        <v>-179107.84447934999</v>
      </c>
      <c r="AM187" s="20">
        <f ca="1">SUM($C132:AM132)</f>
        <v>-179107.84447934999</v>
      </c>
    </row>
    <row r="188" spans="1:39">
      <c r="A188" s="22" t="str">
        <f>B$155</f>
        <v>Qormi</v>
      </c>
      <c r="B188" s="19"/>
      <c r="C188" s="20">
        <f ca="1">SUM($C149:C149)</f>
        <v>0</v>
      </c>
      <c r="D188" s="20">
        <f ca="1">SUM($C149:D149)</f>
        <v>0</v>
      </c>
      <c r="E188" s="20">
        <f ca="1">SUM($C149:E149)</f>
        <v>0</v>
      </c>
      <c r="F188" s="20">
        <f ca="1">SUM($C149:F149)</f>
        <v>0</v>
      </c>
      <c r="G188" s="20">
        <f ca="1">SUM($C149:G149)</f>
        <v>0</v>
      </c>
      <c r="H188" s="20">
        <f ca="1">SUM($C149:H149)</f>
        <v>0</v>
      </c>
      <c r="I188" s="20">
        <f ca="1">SUM($C149:I149)</f>
        <v>0</v>
      </c>
      <c r="J188" s="20">
        <f ca="1">SUM($C149:J149)</f>
        <v>0</v>
      </c>
      <c r="K188" s="20">
        <f ca="1">SUM($C149:K149)</f>
        <v>0</v>
      </c>
      <c r="L188" s="20">
        <f ca="1">SUM($C149:L149)</f>
        <v>0</v>
      </c>
      <c r="M188" s="20">
        <f ca="1">SUM($C149:M149)</f>
        <v>0</v>
      </c>
      <c r="N188" s="20">
        <f ca="1">SUM($C149:N149)</f>
        <v>-304531.45155937807</v>
      </c>
      <c r="O188" s="20">
        <f ca="1">SUM($C149:O149)</f>
        <v>-304531.45155937807</v>
      </c>
      <c r="P188" s="20">
        <f ca="1">SUM($C149:P149)</f>
        <v>-304531.45155937807</v>
      </c>
      <c r="Q188" s="20">
        <f ca="1">SUM($C149:Q149)</f>
        <v>-304531.45155937807</v>
      </c>
      <c r="R188" s="20">
        <f ca="1">SUM($C149:R149)</f>
        <v>-304531.45155937807</v>
      </c>
      <c r="S188" s="20">
        <f ca="1">SUM($C149:S149)</f>
        <v>-304531.45155937807</v>
      </c>
      <c r="T188" s="20">
        <f ca="1">SUM($C149:T149)</f>
        <v>-304531.45155937807</v>
      </c>
      <c r="U188" s="20">
        <f ca="1">SUM($C149:U149)</f>
        <v>-304531.45155937807</v>
      </c>
      <c r="V188" s="20">
        <f ca="1">SUM($C149:V149)</f>
        <v>-304531.45155937807</v>
      </c>
      <c r="W188" s="20">
        <f ca="1">SUM($C149:W149)</f>
        <v>-304531.45155937807</v>
      </c>
      <c r="X188" s="20">
        <f ca="1">SUM($C149:X149)</f>
        <v>-304531.45155937807</v>
      </c>
      <c r="Y188" s="20">
        <f ca="1">SUM($C149:Y149)</f>
        <v>-304531.45155937807</v>
      </c>
      <c r="Z188" s="20">
        <f ca="1">SUM($C149:Z149)</f>
        <v>-304531.45155937807</v>
      </c>
      <c r="AA188" s="20">
        <f ca="1">SUM($C149:AA149)</f>
        <v>-304531.45155937807</v>
      </c>
      <c r="AB188" s="20">
        <f ca="1">SUM($C149:AB149)</f>
        <v>-304531.45155937807</v>
      </c>
      <c r="AC188" s="20">
        <f ca="1">SUM($C149:AC149)</f>
        <v>-304531.45155937807</v>
      </c>
      <c r="AD188" s="20">
        <f ca="1">SUM($C149:AD149)</f>
        <v>-304531.45155937807</v>
      </c>
      <c r="AE188" s="20">
        <f ca="1">SUM($C149:AE149)</f>
        <v>-304531.45155937807</v>
      </c>
      <c r="AF188" s="20">
        <f ca="1">SUM($C149:AF149)</f>
        <v>-304531.45155937807</v>
      </c>
      <c r="AG188" s="20">
        <f ca="1">SUM($C149:AG149)</f>
        <v>-304531.45155937807</v>
      </c>
      <c r="AH188" s="20">
        <f ca="1">SUM($C149:AH149)</f>
        <v>-304531.45155937807</v>
      </c>
      <c r="AI188" s="20">
        <f ca="1">SUM($C149:AI149)</f>
        <v>-304531.45155937807</v>
      </c>
      <c r="AJ188" s="20">
        <f ca="1">SUM($C149:AJ149)</f>
        <v>-304531.45155937807</v>
      </c>
      <c r="AK188" s="20">
        <f ca="1">SUM($C149:AK149)</f>
        <v>-304531.45155937807</v>
      </c>
      <c r="AL188" s="20">
        <f ca="1">SUM($C149:AL149)</f>
        <v>-304531.45155937807</v>
      </c>
      <c r="AM188" s="20">
        <f ca="1">SUM($C149:AM149)</f>
        <v>-304531.45155937807</v>
      </c>
    </row>
    <row r="189" spans="1:39">
      <c r="A189" s="22" t="str">
        <f>B$172</f>
        <v>Sliema</v>
      </c>
      <c r="B189" s="19"/>
      <c r="C189" s="20">
        <f ca="1">SUM($C166:C166)</f>
        <v>0</v>
      </c>
      <c r="D189" s="20">
        <f ca="1">SUM($C166:D166)</f>
        <v>0</v>
      </c>
      <c r="E189" s="20">
        <f ca="1">SUM($C166:E166)</f>
        <v>0</v>
      </c>
      <c r="F189" s="20">
        <f ca="1">SUM($C166:F166)</f>
        <v>0</v>
      </c>
      <c r="G189" s="20">
        <f ca="1">SUM($C166:G166)</f>
        <v>0</v>
      </c>
      <c r="H189" s="20">
        <f ca="1">SUM($C166:H166)</f>
        <v>0</v>
      </c>
      <c r="I189" s="20">
        <f ca="1">SUM($C166:I166)</f>
        <v>0</v>
      </c>
      <c r="J189" s="20">
        <f ca="1">SUM($C166:J166)</f>
        <v>0</v>
      </c>
      <c r="K189" s="20">
        <f ca="1">SUM($C166:K166)</f>
        <v>0</v>
      </c>
      <c r="L189" s="20">
        <f ca="1">SUM($C166:L166)</f>
        <v>0</v>
      </c>
      <c r="M189" s="20">
        <f ca="1">SUM($C166:M166)</f>
        <v>0</v>
      </c>
      <c r="N189" s="20">
        <f ca="1">SUM($C166:N166)</f>
        <v>0</v>
      </c>
      <c r="O189" s="20">
        <f ca="1">SUM($C166:O166)</f>
        <v>0</v>
      </c>
      <c r="P189" s="20">
        <f ca="1">SUM($C166:P166)</f>
        <v>0</v>
      </c>
      <c r="Q189" s="20">
        <f ca="1">SUM($C166:Q166)</f>
        <v>0</v>
      </c>
      <c r="R189" s="20">
        <f ca="1">SUM($C166:R166)</f>
        <v>0</v>
      </c>
      <c r="S189" s="20">
        <f ca="1">SUM($C166:S166)</f>
        <v>0</v>
      </c>
      <c r="T189" s="20">
        <f ca="1">SUM($C166:T166)</f>
        <v>0</v>
      </c>
      <c r="U189" s="20">
        <f ca="1">SUM($C166:U166)</f>
        <v>0</v>
      </c>
      <c r="V189" s="20">
        <f ca="1">SUM($C166:V166)</f>
        <v>0</v>
      </c>
      <c r="W189" s="20">
        <f ca="1">SUM($C166:W166)</f>
        <v>0</v>
      </c>
      <c r="X189" s="20">
        <f ca="1">SUM($C166:X166)</f>
        <v>-558088.37151284865</v>
      </c>
      <c r="Y189" s="20">
        <f ca="1">SUM($C166:Y166)</f>
        <v>-558088.37151284865</v>
      </c>
      <c r="Z189" s="20">
        <f ca="1">SUM($C166:Z166)</f>
        <v>-558088.37151284865</v>
      </c>
      <c r="AA189" s="20">
        <f ca="1">SUM($C166:AA166)</f>
        <v>-558088.37151284865</v>
      </c>
      <c r="AB189" s="20">
        <f ca="1">SUM($C166:AB166)</f>
        <v>-558088.37151284865</v>
      </c>
      <c r="AC189" s="20">
        <f ca="1">SUM($C166:AC166)</f>
        <v>-558088.37151284865</v>
      </c>
      <c r="AD189" s="20">
        <f ca="1">SUM($C166:AD166)</f>
        <v>-558088.37151284865</v>
      </c>
      <c r="AE189" s="20">
        <f ca="1">SUM($C166:AE166)</f>
        <v>-558088.37151284865</v>
      </c>
      <c r="AF189" s="20">
        <f ca="1">SUM($C166:AF166)</f>
        <v>-558088.37151284865</v>
      </c>
      <c r="AG189" s="20">
        <f ca="1">SUM($C166:AG166)</f>
        <v>-558088.37151284865</v>
      </c>
      <c r="AH189" s="20">
        <f ca="1">SUM($C166:AH166)</f>
        <v>-558088.37151284865</v>
      </c>
      <c r="AI189" s="20">
        <f ca="1">SUM($C166:AI166)</f>
        <v>-558088.37151284865</v>
      </c>
      <c r="AJ189" s="20">
        <f ca="1">SUM($C166:AJ166)</f>
        <v>-558088.37151284865</v>
      </c>
      <c r="AK189" s="20">
        <f ca="1">SUM($C166:AK166)</f>
        <v>-558088.37151284865</v>
      </c>
      <c r="AL189" s="20">
        <f ca="1">SUM($C166:AL166)</f>
        <v>-558088.37151284865</v>
      </c>
      <c r="AM189" s="20">
        <f ca="1">SUM($C166:AM166)</f>
        <v>-558088.37151284865</v>
      </c>
    </row>
    <row r="190" spans="1:39">
      <c r="A190" s="21"/>
      <c r="B190" s="19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</row>
    <row r="191" spans="1:39">
      <c r="A191" s="18" t="s">
        <v>66</v>
      </c>
      <c r="B191" s="19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</row>
    <row r="192" spans="1:39">
      <c r="A192" s="22" t="str">
        <f>$A64</f>
        <v>Sliema</v>
      </c>
      <c r="B192" s="19"/>
      <c r="C192" s="20">
        <f ca="1">IFERROR(IF(VLOOKUP($A192,$184:$189,C$1+2,FALSE)=0,C64,0),C64)</f>
        <v>309000</v>
      </c>
      <c r="D192" s="20">
        <f t="shared" ref="D192:AM196" ca="1" si="116">IFERROR(IF(VLOOKUP($A192,$184:$189,D$1+2,FALSE)=0,D64,0),D64)</f>
        <v>318270</v>
      </c>
      <c r="E192" s="20">
        <f t="shared" ca="1" si="116"/>
        <v>327818.10000000003</v>
      </c>
      <c r="F192" s="20">
        <f t="shared" ca="1" si="116"/>
        <v>337652.64300000004</v>
      </c>
      <c r="G192" s="20">
        <f t="shared" ca="1" si="116"/>
        <v>347782.22229000006</v>
      </c>
      <c r="H192" s="20">
        <f t="shared" ca="1" si="116"/>
        <v>358215.68895870005</v>
      </c>
      <c r="I192" s="20">
        <f t="shared" ca="1" si="116"/>
        <v>368962.15962746105</v>
      </c>
      <c r="J192" s="20">
        <f t="shared" ca="1" si="116"/>
        <v>380031.02441628487</v>
      </c>
      <c r="K192" s="20">
        <f t="shared" ca="1" si="116"/>
        <v>391431.95514877344</v>
      </c>
      <c r="L192" s="20">
        <f t="shared" ca="1" si="116"/>
        <v>403174.91380323668</v>
      </c>
      <c r="M192" s="20">
        <f t="shared" ca="1" si="116"/>
        <v>415270.16121733381</v>
      </c>
      <c r="N192" s="20">
        <f t="shared" ca="1" si="116"/>
        <v>427728.26605385385</v>
      </c>
      <c r="O192" s="20">
        <f t="shared" ca="1" si="116"/>
        <v>440560.11403546948</v>
      </c>
      <c r="P192" s="20">
        <f t="shared" ca="1" si="116"/>
        <v>453776.91745653359</v>
      </c>
      <c r="Q192" s="20">
        <f t="shared" ca="1" si="116"/>
        <v>467390.22498022963</v>
      </c>
      <c r="R192" s="20">
        <f t="shared" ca="1" si="116"/>
        <v>481411.9317296365</v>
      </c>
      <c r="S192" s="20">
        <f t="shared" ca="1" si="116"/>
        <v>495854.28968152561</v>
      </c>
      <c r="T192" s="20">
        <f t="shared" ca="1" si="116"/>
        <v>510729.91837197141</v>
      </c>
      <c r="U192" s="20">
        <f t="shared" ca="1" si="116"/>
        <v>526051.81592313061</v>
      </c>
      <c r="V192" s="20">
        <f t="shared" ca="1" si="116"/>
        <v>541833.37040082458</v>
      </c>
      <c r="W192" s="20">
        <f t="shared" ca="1" si="116"/>
        <v>558088.37151284935</v>
      </c>
      <c r="X192" s="20">
        <f t="shared" ca="1" si="116"/>
        <v>0</v>
      </c>
      <c r="Y192" s="20">
        <f t="shared" ca="1" si="116"/>
        <v>0</v>
      </c>
      <c r="Z192" s="20">
        <f t="shared" ca="1" si="116"/>
        <v>0</v>
      </c>
      <c r="AA192" s="20">
        <f t="shared" ca="1" si="116"/>
        <v>0</v>
      </c>
      <c r="AB192" s="20">
        <f t="shared" ca="1" si="116"/>
        <v>0</v>
      </c>
      <c r="AC192" s="20">
        <f t="shared" ca="1" si="116"/>
        <v>0</v>
      </c>
      <c r="AD192" s="20">
        <f t="shared" ca="1" si="116"/>
        <v>0</v>
      </c>
      <c r="AE192" s="20">
        <f t="shared" ca="1" si="116"/>
        <v>0</v>
      </c>
      <c r="AF192" s="20">
        <f t="shared" ca="1" si="116"/>
        <v>0</v>
      </c>
      <c r="AG192" s="20">
        <f t="shared" ca="1" si="116"/>
        <v>0</v>
      </c>
      <c r="AH192" s="20">
        <f t="shared" ca="1" si="116"/>
        <v>0</v>
      </c>
      <c r="AI192" s="20">
        <f t="shared" ca="1" si="116"/>
        <v>0</v>
      </c>
      <c r="AJ192" s="20">
        <f t="shared" ca="1" si="116"/>
        <v>0</v>
      </c>
      <c r="AK192" s="20">
        <f t="shared" ca="1" si="116"/>
        <v>0</v>
      </c>
      <c r="AL192" s="20">
        <f t="shared" ca="1" si="116"/>
        <v>0</v>
      </c>
      <c r="AM192" s="20">
        <f t="shared" ca="1" si="116"/>
        <v>0</v>
      </c>
    </row>
    <row r="193" spans="1:39">
      <c r="A193" s="22" t="str">
        <f>$A65</f>
        <v>Gzira</v>
      </c>
      <c r="B193" s="19"/>
      <c r="C193" s="20">
        <f t="shared" ref="C193:D196" ca="1" si="117">IFERROR(IF(VLOOKUP($A193,$184:$189,C$1+2,FALSE)=0,C65,0),C65)</f>
        <v>154500</v>
      </c>
      <c r="D193" s="20">
        <f t="shared" ca="1" si="117"/>
        <v>159135</v>
      </c>
      <c r="E193" s="20">
        <f t="shared" ca="1" si="116"/>
        <v>163909.05000000002</v>
      </c>
      <c r="F193" s="20">
        <f t="shared" ca="1" si="116"/>
        <v>168826.32150000002</v>
      </c>
      <c r="G193" s="20">
        <f t="shared" ca="1" si="116"/>
        <v>173891.11114500003</v>
      </c>
      <c r="H193" s="20">
        <f t="shared" ca="1" si="116"/>
        <v>179107.84447935002</v>
      </c>
      <c r="I193" s="20">
        <f t="shared" ca="1" si="116"/>
        <v>0</v>
      </c>
      <c r="J193" s="20">
        <f t="shared" ca="1" si="116"/>
        <v>0</v>
      </c>
      <c r="K193" s="20">
        <f t="shared" ca="1" si="116"/>
        <v>0</v>
      </c>
      <c r="L193" s="20">
        <f t="shared" ca="1" si="116"/>
        <v>0</v>
      </c>
      <c r="M193" s="20">
        <f t="shared" ca="1" si="116"/>
        <v>0</v>
      </c>
      <c r="N193" s="20">
        <f t="shared" ca="1" si="116"/>
        <v>0</v>
      </c>
      <c r="O193" s="20">
        <f t="shared" ca="1" si="116"/>
        <v>0</v>
      </c>
      <c r="P193" s="20">
        <f t="shared" ca="1" si="116"/>
        <v>0</v>
      </c>
      <c r="Q193" s="20">
        <f t="shared" ca="1" si="116"/>
        <v>0</v>
      </c>
      <c r="R193" s="20">
        <f t="shared" ca="1" si="116"/>
        <v>0</v>
      </c>
      <c r="S193" s="20">
        <f t="shared" ca="1" si="116"/>
        <v>0</v>
      </c>
      <c r="T193" s="20">
        <f t="shared" ca="1" si="116"/>
        <v>0</v>
      </c>
      <c r="U193" s="20">
        <f t="shared" ca="1" si="116"/>
        <v>0</v>
      </c>
      <c r="V193" s="20">
        <f t="shared" ca="1" si="116"/>
        <v>0</v>
      </c>
      <c r="W193" s="20">
        <f t="shared" ca="1" si="116"/>
        <v>0</v>
      </c>
      <c r="X193" s="20">
        <f t="shared" ca="1" si="116"/>
        <v>0</v>
      </c>
      <c r="Y193" s="20">
        <f t="shared" ca="1" si="116"/>
        <v>0</v>
      </c>
      <c r="Z193" s="20">
        <f t="shared" ca="1" si="116"/>
        <v>0</v>
      </c>
      <c r="AA193" s="20">
        <f t="shared" ca="1" si="116"/>
        <v>0</v>
      </c>
      <c r="AB193" s="20">
        <f t="shared" ca="1" si="116"/>
        <v>0</v>
      </c>
      <c r="AC193" s="20">
        <f t="shared" ca="1" si="116"/>
        <v>0</v>
      </c>
      <c r="AD193" s="20">
        <f t="shared" ca="1" si="116"/>
        <v>0</v>
      </c>
      <c r="AE193" s="20">
        <f t="shared" ca="1" si="116"/>
        <v>0</v>
      </c>
      <c r="AF193" s="20">
        <f t="shared" ca="1" si="116"/>
        <v>0</v>
      </c>
      <c r="AG193" s="20">
        <f t="shared" ca="1" si="116"/>
        <v>0</v>
      </c>
      <c r="AH193" s="20">
        <f t="shared" ca="1" si="116"/>
        <v>0</v>
      </c>
      <c r="AI193" s="20">
        <f t="shared" ca="1" si="116"/>
        <v>0</v>
      </c>
      <c r="AJ193" s="20">
        <f t="shared" ca="1" si="116"/>
        <v>0</v>
      </c>
      <c r="AK193" s="20">
        <f t="shared" ca="1" si="116"/>
        <v>0</v>
      </c>
      <c r="AL193" s="20">
        <f t="shared" ca="1" si="116"/>
        <v>0</v>
      </c>
      <c r="AM193" s="20">
        <f t="shared" ca="1" si="116"/>
        <v>0</v>
      </c>
    </row>
    <row r="194" spans="1:39">
      <c r="A194" s="22" t="str">
        <f t="shared" ref="A194:A196" si="118">$A66</f>
        <v>Qormi</v>
      </c>
      <c r="B194" s="19"/>
      <c r="C194" s="20">
        <f t="shared" ca="1" si="117"/>
        <v>226600</v>
      </c>
      <c r="D194" s="20">
        <f t="shared" ca="1" si="117"/>
        <v>233398</v>
      </c>
      <c r="E194" s="20">
        <f t="shared" ca="1" si="116"/>
        <v>240399.94</v>
      </c>
      <c r="F194" s="20">
        <f t="shared" ca="1" si="116"/>
        <v>247611.9382</v>
      </c>
      <c r="G194" s="20">
        <f t="shared" ca="1" si="116"/>
        <v>255040.29634600002</v>
      </c>
      <c r="H194" s="20">
        <f t="shared" ca="1" si="116"/>
        <v>262691.50523638004</v>
      </c>
      <c r="I194" s="20">
        <f t="shared" ca="1" si="116"/>
        <v>270572.25039347145</v>
      </c>
      <c r="J194" s="20">
        <f t="shared" ca="1" si="116"/>
        <v>278689.41790527559</v>
      </c>
      <c r="K194" s="20">
        <f t="shared" ca="1" si="116"/>
        <v>287050.10044243385</v>
      </c>
      <c r="L194" s="20">
        <f t="shared" ca="1" si="116"/>
        <v>295661.60345570685</v>
      </c>
      <c r="M194" s="20">
        <f t="shared" ca="1" si="116"/>
        <v>304531.45155937807</v>
      </c>
      <c r="N194" s="20">
        <f t="shared" ca="1" si="116"/>
        <v>0</v>
      </c>
      <c r="O194" s="20">
        <f t="shared" ca="1" si="116"/>
        <v>0</v>
      </c>
      <c r="P194" s="20">
        <f t="shared" ca="1" si="116"/>
        <v>0</v>
      </c>
      <c r="Q194" s="20">
        <f t="shared" ca="1" si="116"/>
        <v>0</v>
      </c>
      <c r="R194" s="20">
        <f t="shared" ca="1" si="116"/>
        <v>0</v>
      </c>
      <c r="S194" s="20">
        <f t="shared" ca="1" si="116"/>
        <v>0</v>
      </c>
      <c r="T194" s="20">
        <f t="shared" ca="1" si="116"/>
        <v>0</v>
      </c>
      <c r="U194" s="20">
        <f t="shared" ca="1" si="116"/>
        <v>0</v>
      </c>
      <c r="V194" s="20">
        <f t="shared" ca="1" si="116"/>
        <v>0</v>
      </c>
      <c r="W194" s="20">
        <f t="shared" ca="1" si="116"/>
        <v>0</v>
      </c>
      <c r="X194" s="20">
        <f t="shared" ca="1" si="116"/>
        <v>0</v>
      </c>
      <c r="Y194" s="20">
        <f t="shared" ca="1" si="116"/>
        <v>0</v>
      </c>
      <c r="Z194" s="20">
        <f t="shared" ca="1" si="116"/>
        <v>0</v>
      </c>
      <c r="AA194" s="20">
        <f t="shared" ca="1" si="116"/>
        <v>0</v>
      </c>
      <c r="AB194" s="20">
        <f t="shared" ca="1" si="116"/>
        <v>0</v>
      </c>
      <c r="AC194" s="20">
        <f t="shared" ca="1" si="116"/>
        <v>0</v>
      </c>
      <c r="AD194" s="20">
        <f t="shared" ca="1" si="116"/>
        <v>0</v>
      </c>
      <c r="AE194" s="20">
        <f t="shared" ca="1" si="116"/>
        <v>0</v>
      </c>
      <c r="AF194" s="20">
        <f t="shared" ca="1" si="116"/>
        <v>0</v>
      </c>
      <c r="AG194" s="20">
        <f t="shared" ca="1" si="116"/>
        <v>0</v>
      </c>
      <c r="AH194" s="20">
        <f t="shared" ca="1" si="116"/>
        <v>0</v>
      </c>
      <c r="AI194" s="20">
        <f t="shared" ca="1" si="116"/>
        <v>0</v>
      </c>
      <c r="AJ194" s="20">
        <f t="shared" ca="1" si="116"/>
        <v>0</v>
      </c>
      <c r="AK194" s="20">
        <f t="shared" ca="1" si="116"/>
        <v>0</v>
      </c>
      <c r="AL194" s="20">
        <f t="shared" ca="1" si="116"/>
        <v>0</v>
      </c>
      <c r="AM194" s="20">
        <f t="shared" ca="1" si="116"/>
        <v>0</v>
      </c>
    </row>
    <row r="195" spans="1:39">
      <c r="A195" s="22" t="str">
        <f t="shared" si="118"/>
        <v>Gudja</v>
      </c>
      <c r="B195" s="19"/>
      <c r="C195" s="20">
        <f t="shared" ca="1" si="117"/>
        <v>82400</v>
      </c>
      <c r="D195" s="20">
        <f t="shared" ca="1" si="117"/>
        <v>84872</v>
      </c>
      <c r="E195" s="20">
        <f t="shared" ca="1" si="116"/>
        <v>0</v>
      </c>
      <c r="F195" s="20">
        <f t="shared" ca="1" si="116"/>
        <v>0</v>
      </c>
      <c r="G195" s="20">
        <f t="shared" ca="1" si="116"/>
        <v>0</v>
      </c>
      <c r="H195" s="20">
        <f t="shared" ca="1" si="116"/>
        <v>0</v>
      </c>
      <c r="I195" s="20">
        <f t="shared" ca="1" si="116"/>
        <v>0</v>
      </c>
      <c r="J195" s="20">
        <f t="shared" ca="1" si="116"/>
        <v>0</v>
      </c>
      <c r="K195" s="20">
        <f t="shared" ca="1" si="116"/>
        <v>0</v>
      </c>
      <c r="L195" s="20">
        <f t="shared" ca="1" si="116"/>
        <v>0</v>
      </c>
      <c r="M195" s="20">
        <f t="shared" ca="1" si="116"/>
        <v>0</v>
      </c>
      <c r="N195" s="20">
        <f t="shared" ca="1" si="116"/>
        <v>0</v>
      </c>
      <c r="O195" s="20">
        <f t="shared" ca="1" si="116"/>
        <v>0</v>
      </c>
      <c r="P195" s="20">
        <f t="shared" ca="1" si="116"/>
        <v>0</v>
      </c>
      <c r="Q195" s="20">
        <f t="shared" ca="1" si="116"/>
        <v>0</v>
      </c>
      <c r="R195" s="20">
        <f t="shared" ca="1" si="116"/>
        <v>0</v>
      </c>
      <c r="S195" s="20">
        <f t="shared" ca="1" si="116"/>
        <v>0</v>
      </c>
      <c r="T195" s="20">
        <f t="shared" ca="1" si="116"/>
        <v>0</v>
      </c>
      <c r="U195" s="20">
        <f t="shared" ca="1" si="116"/>
        <v>0</v>
      </c>
      <c r="V195" s="20">
        <f t="shared" ca="1" si="116"/>
        <v>0</v>
      </c>
      <c r="W195" s="20">
        <f t="shared" ca="1" si="116"/>
        <v>0</v>
      </c>
      <c r="X195" s="20">
        <f t="shared" ca="1" si="116"/>
        <v>0</v>
      </c>
      <c r="Y195" s="20">
        <f t="shared" ca="1" si="116"/>
        <v>0</v>
      </c>
      <c r="Z195" s="20">
        <f t="shared" ca="1" si="116"/>
        <v>0</v>
      </c>
      <c r="AA195" s="20">
        <f t="shared" ca="1" si="116"/>
        <v>0</v>
      </c>
      <c r="AB195" s="20">
        <f t="shared" ca="1" si="116"/>
        <v>0</v>
      </c>
      <c r="AC195" s="20">
        <f t="shared" ca="1" si="116"/>
        <v>0</v>
      </c>
      <c r="AD195" s="20">
        <f t="shared" ca="1" si="116"/>
        <v>0</v>
      </c>
      <c r="AE195" s="20">
        <f t="shared" ca="1" si="116"/>
        <v>0</v>
      </c>
      <c r="AF195" s="20">
        <f t="shared" ca="1" si="116"/>
        <v>0</v>
      </c>
      <c r="AG195" s="20">
        <f t="shared" ca="1" si="116"/>
        <v>0</v>
      </c>
      <c r="AH195" s="20">
        <f t="shared" ca="1" si="116"/>
        <v>0</v>
      </c>
      <c r="AI195" s="20">
        <f t="shared" ca="1" si="116"/>
        <v>0</v>
      </c>
      <c r="AJ195" s="20">
        <f t="shared" ca="1" si="116"/>
        <v>0</v>
      </c>
      <c r="AK195" s="20">
        <f t="shared" ca="1" si="116"/>
        <v>0</v>
      </c>
      <c r="AL195" s="20">
        <f t="shared" ca="1" si="116"/>
        <v>0</v>
      </c>
      <c r="AM195" s="20">
        <f t="shared" ca="1" si="116"/>
        <v>0</v>
      </c>
    </row>
    <row r="196" spans="1:39">
      <c r="A196" s="22" t="str">
        <f t="shared" si="118"/>
        <v>Marsa</v>
      </c>
      <c r="B196" s="19"/>
      <c r="C196" s="20">
        <f t="shared" ca="1" si="117"/>
        <v>123600</v>
      </c>
      <c r="D196" s="20">
        <f t="shared" ca="1" si="117"/>
        <v>127308</v>
      </c>
      <c r="E196" s="20">
        <f t="shared" ca="1" si="116"/>
        <v>131127.24</v>
      </c>
      <c r="F196" s="20">
        <f t="shared" ca="1" si="116"/>
        <v>135061.05719999998</v>
      </c>
      <c r="G196" s="20">
        <f t="shared" ca="1" si="116"/>
        <v>0</v>
      </c>
      <c r="H196" s="20">
        <f t="shared" ca="1" si="116"/>
        <v>0</v>
      </c>
      <c r="I196" s="20">
        <f t="shared" ca="1" si="116"/>
        <v>0</v>
      </c>
      <c r="J196" s="20">
        <f t="shared" ca="1" si="116"/>
        <v>0</v>
      </c>
      <c r="K196" s="20">
        <f t="shared" ca="1" si="116"/>
        <v>0</v>
      </c>
      <c r="L196" s="20">
        <f t="shared" ca="1" si="116"/>
        <v>0</v>
      </c>
      <c r="M196" s="20">
        <f t="shared" ca="1" si="116"/>
        <v>0</v>
      </c>
      <c r="N196" s="20">
        <f t="shared" ca="1" si="116"/>
        <v>0</v>
      </c>
      <c r="O196" s="20">
        <f t="shared" ca="1" si="116"/>
        <v>0</v>
      </c>
      <c r="P196" s="20">
        <f t="shared" ca="1" si="116"/>
        <v>0</v>
      </c>
      <c r="Q196" s="20">
        <f t="shared" ca="1" si="116"/>
        <v>0</v>
      </c>
      <c r="R196" s="20">
        <f t="shared" ca="1" si="116"/>
        <v>0</v>
      </c>
      <c r="S196" s="20">
        <f t="shared" ca="1" si="116"/>
        <v>0</v>
      </c>
      <c r="T196" s="20">
        <f t="shared" ca="1" si="116"/>
        <v>0</v>
      </c>
      <c r="U196" s="20">
        <f t="shared" ca="1" si="116"/>
        <v>0</v>
      </c>
      <c r="V196" s="20">
        <f t="shared" ca="1" si="116"/>
        <v>0</v>
      </c>
      <c r="W196" s="20">
        <f t="shared" ca="1" si="116"/>
        <v>0</v>
      </c>
      <c r="X196" s="20">
        <f t="shared" ca="1" si="116"/>
        <v>0</v>
      </c>
      <c r="Y196" s="20">
        <f t="shared" ca="1" si="116"/>
        <v>0</v>
      </c>
      <c r="Z196" s="20">
        <f t="shared" ca="1" si="116"/>
        <v>0</v>
      </c>
      <c r="AA196" s="20">
        <f t="shared" ca="1" si="116"/>
        <v>0</v>
      </c>
      <c r="AB196" s="20">
        <f t="shared" ca="1" si="116"/>
        <v>0</v>
      </c>
      <c r="AC196" s="20">
        <f t="shared" ca="1" si="116"/>
        <v>0</v>
      </c>
      <c r="AD196" s="20">
        <f t="shared" ca="1" si="116"/>
        <v>0</v>
      </c>
      <c r="AE196" s="20">
        <f t="shared" ca="1" si="116"/>
        <v>0</v>
      </c>
      <c r="AF196" s="20">
        <f t="shared" ca="1" si="116"/>
        <v>0</v>
      </c>
      <c r="AG196" s="20">
        <f t="shared" ca="1" si="116"/>
        <v>0</v>
      </c>
      <c r="AH196" s="20">
        <f t="shared" ca="1" si="116"/>
        <v>0</v>
      </c>
      <c r="AI196" s="20">
        <f t="shared" ca="1" si="116"/>
        <v>0</v>
      </c>
      <c r="AJ196" s="20">
        <f t="shared" ca="1" si="116"/>
        <v>0</v>
      </c>
      <c r="AK196" s="20">
        <f t="shared" ca="1" si="116"/>
        <v>0</v>
      </c>
      <c r="AL196" s="20">
        <f t="shared" ca="1" si="116"/>
        <v>0</v>
      </c>
      <c r="AM196" s="20">
        <f t="shared" ca="1" si="116"/>
        <v>0</v>
      </c>
    </row>
    <row r="197" spans="1:39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</row>
    <row r="198" spans="1:39">
      <c r="A198" s="18" t="s">
        <v>63</v>
      </c>
      <c r="B198" s="19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</row>
    <row r="199" spans="1:39">
      <c r="A199" s="22" t="str">
        <f>B$104</f>
        <v>Gudja</v>
      </c>
      <c r="B199" s="19"/>
      <c r="C199" s="20">
        <f ca="1">SUM($C104:C104)</f>
        <v>0</v>
      </c>
      <c r="D199" s="20">
        <f ca="1">SUM($C104:D104)</f>
        <v>0</v>
      </c>
      <c r="E199" s="20">
        <f ca="1">SUM($C104:E104)</f>
        <v>-2003.5381319482622</v>
      </c>
      <c r="F199" s="20">
        <f ca="1">SUM($C104:F104)</f>
        <v>-2003.5381319482622</v>
      </c>
      <c r="G199" s="20">
        <f ca="1">SUM($C104:G104)</f>
        <v>-2003.5381319482622</v>
      </c>
      <c r="H199" s="20">
        <f ca="1">SUM($C104:H104)</f>
        <v>-2003.5381319482622</v>
      </c>
      <c r="I199" s="20">
        <f ca="1">SUM($C104:I104)</f>
        <v>-2003.5381319482622</v>
      </c>
      <c r="J199" s="20">
        <f ca="1">SUM($C104:J104)</f>
        <v>-2003.5381319482622</v>
      </c>
      <c r="K199" s="20">
        <f ca="1">SUM($C104:K104)</f>
        <v>-2003.5381319482622</v>
      </c>
      <c r="L199" s="20">
        <f ca="1">SUM($C104:L104)</f>
        <v>-2003.5381319482622</v>
      </c>
      <c r="M199" s="20">
        <f ca="1">SUM($C104:M104)</f>
        <v>-2003.5381319482622</v>
      </c>
      <c r="N199" s="20">
        <f ca="1">SUM($C104:N104)</f>
        <v>-2003.5381319482622</v>
      </c>
      <c r="O199" s="20">
        <f ca="1">SUM($C104:O104)</f>
        <v>-2003.5381319482622</v>
      </c>
      <c r="P199" s="20">
        <f ca="1">SUM($C104:P104)</f>
        <v>-2003.5381319482622</v>
      </c>
      <c r="Q199" s="20">
        <f ca="1">SUM($C104:Q104)</f>
        <v>-2003.5381319482622</v>
      </c>
      <c r="R199" s="20">
        <f ca="1">SUM($C104:R104)</f>
        <v>-2003.5381319482622</v>
      </c>
      <c r="S199" s="20">
        <f ca="1">SUM($C104:S104)</f>
        <v>-2003.5381319482622</v>
      </c>
      <c r="T199" s="20">
        <f ca="1">SUM($C104:T104)</f>
        <v>-2003.5381319482622</v>
      </c>
      <c r="U199" s="20">
        <f ca="1">SUM($C104:U104)</f>
        <v>-2003.5381319482622</v>
      </c>
      <c r="V199" s="20">
        <f ca="1">SUM($C104:V104)</f>
        <v>-2003.5381319482622</v>
      </c>
      <c r="W199" s="20">
        <f ca="1">SUM($C104:W104)</f>
        <v>-2003.5381319482622</v>
      </c>
      <c r="X199" s="20">
        <f ca="1">SUM($C104:X104)</f>
        <v>-2003.5381319482622</v>
      </c>
      <c r="Y199" s="20">
        <f ca="1">SUM($C104:Y104)</f>
        <v>-2003.5381319482622</v>
      </c>
      <c r="Z199" s="20">
        <f ca="1">SUM($C104:Z104)</f>
        <v>-2003.5381319482622</v>
      </c>
      <c r="AA199" s="20">
        <f ca="1">SUM($C104:AA104)</f>
        <v>-2003.5381319482622</v>
      </c>
      <c r="AB199" s="20">
        <f ca="1">SUM($C104:AB104)</f>
        <v>-2003.5381319482622</v>
      </c>
      <c r="AC199" s="20">
        <f ca="1">SUM($C104:AC104)</f>
        <v>-2003.5381319482622</v>
      </c>
      <c r="AD199" s="20">
        <f ca="1">SUM($C104:AD104)</f>
        <v>-2003.5381319482622</v>
      </c>
      <c r="AE199" s="20">
        <f ca="1">SUM($C104:AE104)</f>
        <v>-2003.5381319482622</v>
      </c>
      <c r="AF199" s="20">
        <f ca="1">SUM($C104:AF104)</f>
        <v>-2003.5381319482622</v>
      </c>
      <c r="AG199" s="20">
        <f ca="1">SUM($C104:AG104)</f>
        <v>-2003.5381319482622</v>
      </c>
      <c r="AH199" s="20">
        <f ca="1">SUM($C104:AH104)</f>
        <v>-2003.5381319482622</v>
      </c>
      <c r="AI199" s="20">
        <f ca="1">SUM($C104:AI104)</f>
        <v>-2003.5381319482622</v>
      </c>
      <c r="AJ199" s="20">
        <f ca="1">SUM($C104:AJ104)</f>
        <v>-2003.5381319482622</v>
      </c>
      <c r="AK199" s="20">
        <f ca="1">SUM($C104:AK104)</f>
        <v>-2003.5381319482622</v>
      </c>
      <c r="AL199" s="20">
        <f ca="1">SUM($C104:AL104)</f>
        <v>-2003.5381319482622</v>
      </c>
      <c r="AM199" s="20">
        <f ca="1">SUM($C104:AM104)</f>
        <v>-2003.5381319482622</v>
      </c>
    </row>
    <row r="200" spans="1:39">
      <c r="A200" s="22" t="str">
        <f>B$121</f>
        <v>Marsa</v>
      </c>
      <c r="B200" s="19"/>
      <c r="C200" s="20">
        <f ca="1">SUM($C121:C121)</f>
        <v>0</v>
      </c>
      <c r="D200" s="20">
        <f ca="1">SUM($C121:D121)</f>
        <v>0</v>
      </c>
      <c r="E200" s="20">
        <f ca="1">SUM($C121:E121)</f>
        <v>0</v>
      </c>
      <c r="F200" s="20">
        <f ca="1">SUM($C121:F121)</f>
        <v>0</v>
      </c>
      <c r="G200" s="20">
        <f ca="1">SUM($C121:G121)</f>
        <v>-3305.6327128793955</v>
      </c>
      <c r="H200" s="20">
        <f ca="1">SUM($C121:H121)</f>
        <v>-3305.6327128793955</v>
      </c>
      <c r="I200" s="20">
        <f ca="1">SUM($C121:I121)</f>
        <v>-3305.6327128793955</v>
      </c>
      <c r="J200" s="20">
        <f ca="1">SUM($C121:J121)</f>
        <v>-3305.6327128793955</v>
      </c>
      <c r="K200" s="20">
        <f ca="1">SUM($C121:K121)</f>
        <v>-3305.6327128793955</v>
      </c>
      <c r="L200" s="20">
        <f ca="1">SUM($C121:L121)</f>
        <v>-3305.6327128793955</v>
      </c>
      <c r="M200" s="20">
        <f ca="1">SUM($C121:M121)</f>
        <v>-3305.6327128793955</v>
      </c>
      <c r="N200" s="20">
        <f ca="1">SUM($C121:N121)</f>
        <v>-3305.6327128793955</v>
      </c>
      <c r="O200" s="20">
        <f ca="1">SUM($C121:O121)</f>
        <v>-3305.6327128793955</v>
      </c>
      <c r="P200" s="20">
        <f ca="1">SUM($C121:P121)</f>
        <v>-3305.6327128793955</v>
      </c>
      <c r="Q200" s="20">
        <f ca="1">SUM($C121:Q121)</f>
        <v>-3305.6327128793955</v>
      </c>
      <c r="R200" s="20">
        <f ca="1">SUM($C121:R121)</f>
        <v>-3305.6327128793955</v>
      </c>
      <c r="S200" s="20">
        <f ca="1">SUM($C121:S121)</f>
        <v>-3305.6327128793955</v>
      </c>
      <c r="T200" s="20">
        <f ca="1">SUM($C121:T121)</f>
        <v>-3305.6327128793955</v>
      </c>
      <c r="U200" s="20">
        <f ca="1">SUM($C121:U121)</f>
        <v>-3305.6327128793955</v>
      </c>
      <c r="V200" s="20">
        <f ca="1">SUM($C121:V121)</f>
        <v>-3305.6327128793955</v>
      </c>
      <c r="W200" s="20">
        <f ca="1">SUM($C121:W121)</f>
        <v>-3305.6327128793955</v>
      </c>
      <c r="X200" s="20">
        <f ca="1">SUM($C121:X121)</f>
        <v>-3305.6327128793955</v>
      </c>
      <c r="Y200" s="20">
        <f ca="1">SUM($C121:Y121)</f>
        <v>-3305.6327128793955</v>
      </c>
      <c r="Z200" s="20">
        <f ca="1">SUM($C121:Z121)</f>
        <v>-3305.6327128793955</v>
      </c>
      <c r="AA200" s="20">
        <f ca="1">SUM($C121:AA121)</f>
        <v>-3305.6327128793955</v>
      </c>
      <c r="AB200" s="20">
        <f ca="1">SUM($C121:AB121)</f>
        <v>-3305.6327128793955</v>
      </c>
      <c r="AC200" s="20">
        <f ca="1">SUM($C121:AC121)</f>
        <v>-3305.6327128793955</v>
      </c>
      <c r="AD200" s="20">
        <f ca="1">SUM($C121:AD121)</f>
        <v>-3305.6327128793955</v>
      </c>
      <c r="AE200" s="20">
        <f ca="1">SUM($C121:AE121)</f>
        <v>-3305.6327128793955</v>
      </c>
      <c r="AF200" s="20">
        <f ca="1">SUM($C121:AF121)</f>
        <v>-3305.6327128793955</v>
      </c>
      <c r="AG200" s="20">
        <f ca="1">SUM($C121:AG121)</f>
        <v>-3305.6327128793955</v>
      </c>
      <c r="AH200" s="20">
        <f ca="1">SUM($C121:AH121)</f>
        <v>-3305.6327128793955</v>
      </c>
      <c r="AI200" s="20">
        <f ca="1">SUM($C121:AI121)</f>
        <v>-3305.6327128793955</v>
      </c>
      <c r="AJ200" s="20">
        <f ca="1">SUM($C121:AJ121)</f>
        <v>-3305.6327128793955</v>
      </c>
      <c r="AK200" s="20">
        <f ca="1">SUM($C121:AK121)</f>
        <v>-3305.6327128793955</v>
      </c>
      <c r="AL200" s="20">
        <f ca="1">SUM($C121:AL121)</f>
        <v>-3305.6327128793955</v>
      </c>
      <c r="AM200" s="20">
        <f ca="1">SUM($C121:AM121)</f>
        <v>-3305.6327128793955</v>
      </c>
    </row>
    <row r="201" spans="1:39">
      <c r="A201" s="22" t="str">
        <f>B$138</f>
        <v>Gzira</v>
      </c>
      <c r="B201" s="19"/>
      <c r="C201" s="20">
        <f ca="1">SUM($C138:C138)</f>
        <v>0</v>
      </c>
      <c r="D201" s="20">
        <f ca="1">SUM($C138:D138)</f>
        <v>0</v>
      </c>
      <c r="E201" s="20">
        <f ca="1">SUM($C138:E138)</f>
        <v>0</v>
      </c>
      <c r="F201" s="20">
        <f ca="1">SUM($C138:F138)</f>
        <v>0</v>
      </c>
      <c r="G201" s="20">
        <f ca="1">SUM($C138:G138)</f>
        <v>0</v>
      </c>
      <c r="H201" s="20">
        <f ca="1">SUM($C138:H138)</f>
        <v>0</v>
      </c>
      <c r="I201" s="20">
        <f ca="1">SUM($C138:I138)</f>
        <v>0</v>
      </c>
      <c r="J201" s="20">
        <f ca="1">SUM($C138:J138)</f>
        <v>0</v>
      </c>
      <c r="K201" s="20">
        <f ca="1">SUM($C138:K138)</f>
        <v>0</v>
      </c>
      <c r="L201" s="20">
        <f ca="1">SUM($C138:L138)</f>
        <v>0</v>
      </c>
      <c r="M201" s="20">
        <f ca="1">SUM($C138:M138)</f>
        <v>0</v>
      </c>
      <c r="N201" s="20">
        <f ca="1">SUM($C138:N138)</f>
        <v>0</v>
      </c>
      <c r="O201" s="20">
        <f ca="1">SUM($C138:O138)</f>
        <v>0</v>
      </c>
      <c r="P201" s="20">
        <f ca="1">SUM($C138:P138)</f>
        <v>0</v>
      </c>
      <c r="Q201" s="20">
        <f ca="1">SUM($C138:Q138)</f>
        <v>0</v>
      </c>
      <c r="R201" s="20">
        <f ca="1">SUM($C138:R138)</f>
        <v>0</v>
      </c>
      <c r="S201" s="20">
        <f ca="1">SUM($C138:S138)</f>
        <v>0</v>
      </c>
      <c r="T201" s="20">
        <f ca="1">SUM($C138:T138)</f>
        <v>0</v>
      </c>
      <c r="U201" s="20">
        <f ca="1">SUM($C138:U138)</f>
        <v>0</v>
      </c>
      <c r="V201" s="20">
        <f ca="1">SUM($C138:V138)</f>
        <v>0</v>
      </c>
      <c r="W201" s="20">
        <f ca="1">SUM($C138:W138)</f>
        <v>0</v>
      </c>
      <c r="X201" s="20">
        <f ca="1">SUM($C138:X138)</f>
        <v>0</v>
      </c>
      <c r="Y201" s="20">
        <f ca="1">SUM($C138:Y138)</f>
        <v>0</v>
      </c>
      <c r="Z201" s="20">
        <f ca="1">SUM($C138:Z138)</f>
        <v>0</v>
      </c>
      <c r="AA201" s="20">
        <f ca="1">SUM($C138:AA138)</f>
        <v>0</v>
      </c>
      <c r="AB201" s="20">
        <f ca="1">SUM($C138:AB138)</f>
        <v>0</v>
      </c>
      <c r="AC201" s="20">
        <f ca="1">SUM($C138:AC138)</f>
        <v>0</v>
      </c>
      <c r="AD201" s="20">
        <f ca="1">SUM($C138:AD138)</f>
        <v>0</v>
      </c>
      <c r="AE201" s="20">
        <f ca="1">SUM($C138:AE138)</f>
        <v>0</v>
      </c>
      <c r="AF201" s="20">
        <f ca="1">SUM($C138:AF138)</f>
        <v>0</v>
      </c>
      <c r="AG201" s="20">
        <f ca="1">SUM($C138:AG138)</f>
        <v>0</v>
      </c>
      <c r="AH201" s="20">
        <f ca="1">SUM($C138:AH138)</f>
        <v>0</v>
      </c>
      <c r="AI201" s="20">
        <f ca="1">SUM($C138:AI138)</f>
        <v>0</v>
      </c>
      <c r="AJ201" s="20">
        <f ca="1">SUM($C138:AJ138)</f>
        <v>0</v>
      </c>
      <c r="AK201" s="20">
        <f ca="1">SUM($C138:AK138)</f>
        <v>0</v>
      </c>
      <c r="AL201" s="20">
        <f ca="1">SUM($C138:AL138)</f>
        <v>0</v>
      </c>
      <c r="AM201" s="20">
        <f ca="1">SUM($C138:AM138)</f>
        <v>0</v>
      </c>
    </row>
    <row r="202" spans="1:39">
      <c r="A202" s="22" t="str">
        <f>B$155</f>
        <v>Qormi</v>
      </c>
      <c r="B202" s="19"/>
      <c r="C202" s="20">
        <f ca="1">SUM($C155:C155)</f>
        <v>0</v>
      </c>
      <c r="D202" s="20">
        <f ca="1">SUM($C155:D155)</f>
        <v>0</v>
      </c>
      <c r="E202" s="20">
        <f ca="1">SUM($C155:E155)</f>
        <v>0</v>
      </c>
      <c r="F202" s="20">
        <f ca="1">SUM($C155:F155)</f>
        <v>0</v>
      </c>
      <c r="G202" s="20">
        <f ca="1">SUM($C155:G155)</f>
        <v>0</v>
      </c>
      <c r="H202" s="20">
        <f ca="1">SUM($C155:H155)</f>
        <v>0</v>
      </c>
      <c r="I202" s="20">
        <f ca="1">SUM($C155:I155)</f>
        <v>0</v>
      </c>
      <c r="J202" s="20">
        <f ca="1">SUM($C155:J155)</f>
        <v>0</v>
      </c>
      <c r="K202" s="20">
        <f ca="1">SUM($C155:K155)</f>
        <v>0</v>
      </c>
      <c r="L202" s="20">
        <f ca="1">SUM($C155:L155)</f>
        <v>0</v>
      </c>
      <c r="M202" s="20">
        <f ca="1">SUM($C155:M155)</f>
        <v>0</v>
      </c>
      <c r="N202" s="20">
        <f ca="1">SUM($C155:N155)</f>
        <v>0</v>
      </c>
      <c r="O202" s="20">
        <f ca="1">SUM($C155:O155)</f>
        <v>0</v>
      </c>
      <c r="P202" s="20">
        <f ca="1">SUM($C155:P155)</f>
        <v>0</v>
      </c>
      <c r="Q202" s="20">
        <f ca="1">SUM($C155:Q155)</f>
        <v>0</v>
      </c>
      <c r="R202" s="20">
        <f ca="1">SUM($C155:R155)</f>
        <v>0</v>
      </c>
      <c r="S202" s="20">
        <f ca="1">SUM($C155:S155)</f>
        <v>0</v>
      </c>
      <c r="T202" s="20">
        <f ca="1">SUM($C155:T155)</f>
        <v>0</v>
      </c>
      <c r="U202" s="20">
        <f ca="1">SUM($C155:U155)</f>
        <v>0</v>
      </c>
      <c r="V202" s="20">
        <f ca="1">SUM($C155:V155)</f>
        <v>0</v>
      </c>
      <c r="W202" s="20">
        <f ca="1">SUM($C155:W155)</f>
        <v>0</v>
      </c>
      <c r="X202" s="20">
        <f ca="1">SUM($C155:X155)</f>
        <v>0</v>
      </c>
      <c r="Y202" s="20">
        <f ca="1">SUM($C155:Y155)</f>
        <v>0</v>
      </c>
      <c r="Z202" s="20">
        <f ca="1">SUM($C155:Z155)</f>
        <v>0</v>
      </c>
      <c r="AA202" s="20">
        <f ca="1">SUM($C155:AA155)</f>
        <v>0</v>
      </c>
      <c r="AB202" s="20">
        <f ca="1">SUM($C155:AB155)</f>
        <v>0</v>
      </c>
      <c r="AC202" s="20">
        <f ca="1">SUM($C155:AC155)</f>
        <v>0</v>
      </c>
      <c r="AD202" s="20">
        <f ca="1">SUM($C155:AD155)</f>
        <v>0</v>
      </c>
      <c r="AE202" s="20">
        <f ca="1">SUM($C155:AE155)</f>
        <v>0</v>
      </c>
      <c r="AF202" s="20">
        <f ca="1">SUM($C155:AF155)</f>
        <v>0</v>
      </c>
      <c r="AG202" s="20">
        <f ca="1">SUM($C155:AG155)</f>
        <v>0</v>
      </c>
      <c r="AH202" s="20">
        <f ca="1">SUM($C155:AH155)</f>
        <v>0</v>
      </c>
      <c r="AI202" s="20">
        <f ca="1">SUM($C155:AI155)</f>
        <v>0</v>
      </c>
      <c r="AJ202" s="20">
        <f ca="1">SUM($C155:AJ155)</f>
        <v>0</v>
      </c>
      <c r="AK202" s="20">
        <f ca="1">SUM($C155:AK155)</f>
        <v>0</v>
      </c>
      <c r="AL202" s="20">
        <f ca="1">SUM($C155:AL155)</f>
        <v>0</v>
      </c>
      <c r="AM202" s="20">
        <f ca="1">SUM($C155:AM155)</f>
        <v>0</v>
      </c>
    </row>
    <row r="203" spans="1:39">
      <c r="A203" s="22" t="str">
        <f>B$172</f>
        <v>Sliema</v>
      </c>
      <c r="B203" s="19"/>
      <c r="C203" s="20">
        <f ca="1">SUM($C172:C172)</f>
        <v>0</v>
      </c>
      <c r="D203" s="20">
        <f ca="1">SUM($C172:D172)</f>
        <v>0</v>
      </c>
      <c r="E203" s="20">
        <f ca="1">SUM($C172:E172)</f>
        <v>0</v>
      </c>
      <c r="F203" s="20">
        <f ca="1">SUM($C172:F172)</f>
        <v>0</v>
      </c>
      <c r="G203" s="20">
        <f ca="1">SUM($C172:G172)</f>
        <v>0</v>
      </c>
      <c r="H203" s="20">
        <f ca="1">SUM($C172:H172)</f>
        <v>0</v>
      </c>
      <c r="I203" s="20">
        <f ca="1">SUM($C172:I172)</f>
        <v>0</v>
      </c>
      <c r="J203" s="20">
        <f ca="1">SUM($C172:J172)</f>
        <v>0</v>
      </c>
      <c r="K203" s="20">
        <f ca="1">SUM($C172:K172)</f>
        <v>0</v>
      </c>
      <c r="L203" s="20">
        <f ca="1">SUM($C172:L172)</f>
        <v>0</v>
      </c>
      <c r="M203" s="20">
        <f ca="1">SUM($C172:M172)</f>
        <v>0</v>
      </c>
      <c r="N203" s="20">
        <f ca="1">SUM($C172:N172)</f>
        <v>0</v>
      </c>
      <c r="O203" s="20">
        <f ca="1">SUM($C172:O172)</f>
        <v>0</v>
      </c>
      <c r="P203" s="20">
        <f ca="1">SUM($C172:P172)</f>
        <v>0</v>
      </c>
      <c r="Q203" s="20">
        <f ca="1">SUM($C172:Q172)</f>
        <v>0</v>
      </c>
      <c r="R203" s="20">
        <f ca="1">SUM($C172:R172)</f>
        <v>0</v>
      </c>
      <c r="S203" s="20">
        <f ca="1">SUM($C172:S172)</f>
        <v>0</v>
      </c>
      <c r="T203" s="20">
        <f ca="1">SUM($C172:T172)</f>
        <v>0</v>
      </c>
      <c r="U203" s="20">
        <f ca="1">SUM($C172:U172)</f>
        <v>0</v>
      </c>
      <c r="V203" s="20">
        <f ca="1">SUM($C172:V172)</f>
        <v>0</v>
      </c>
      <c r="W203" s="20">
        <f ca="1">SUM($C172:W172)</f>
        <v>0</v>
      </c>
      <c r="X203" s="20">
        <f ca="1">SUM($C172:X172)</f>
        <v>0</v>
      </c>
      <c r="Y203" s="20">
        <f ca="1">SUM($C172:Y172)</f>
        <v>0</v>
      </c>
      <c r="Z203" s="20">
        <f ca="1">SUM($C172:Z172)</f>
        <v>0</v>
      </c>
      <c r="AA203" s="20">
        <f ca="1">SUM($C172:AA172)</f>
        <v>0</v>
      </c>
      <c r="AB203" s="20">
        <f ca="1">SUM($C172:AB172)</f>
        <v>0</v>
      </c>
      <c r="AC203" s="20">
        <f ca="1">SUM($C172:AC172)</f>
        <v>0</v>
      </c>
      <c r="AD203" s="20">
        <f ca="1">SUM($C172:AD172)</f>
        <v>0</v>
      </c>
      <c r="AE203" s="20">
        <f ca="1">SUM($C172:AE172)</f>
        <v>0</v>
      </c>
      <c r="AF203" s="20">
        <f ca="1">SUM($C172:AF172)</f>
        <v>0</v>
      </c>
      <c r="AG203" s="20">
        <f ca="1">SUM($C172:AG172)</f>
        <v>0</v>
      </c>
      <c r="AH203" s="20">
        <f ca="1">SUM($C172:AH172)</f>
        <v>0</v>
      </c>
      <c r="AI203" s="20">
        <f ca="1">SUM($C172:AI172)</f>
        <v>0</v>
      </c>
      <c r="AJ203" s="20">
        <f ca="1">SUM($C172:AJ172)</f>
        <v>0</v>
      </c>
      <c r="AK203" s="20">
        <f ca="1">SUM($C172:AK172)</f>
        <v>0</v>
      </c>
      <c r="AL203" s="20">
        <f ca="1">SUM($C172:AL172)</f>
        <v>0</v>
      </c>
      <c r="AM203" s="20">
        <f ca="1">SUM($C172:AM172)</f>
        <v>0</v>
      </c>
    </row>
    <row r="204" spans="1:39">
      <c r="A204" s="21"/>
      <c r="B204" s="19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</row>
    <row r="205" spans="1:39">
      <c r="A205" s="3" t="s">
        <v>51</v>
      </c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</row>
    <row r="206" spans="1:39">
      <c r="A206" s="16" t="str">
        <f>$A64</f>
        <v>Sliema</v>
      </c>
      <c r="C206" s="7">
        <f ca="1">IFERROR(IF(VLOOKUP($A206,$198:$203,C$1+2,FALSE)=0,C72,0),C72)</f>
        <v>-45437.606462973985</v>
      </c>
      <c r="D206" s="7">
        <f t="shared" ref="D206:AM206" ca="1" si="119">IFERROR(IF(VLOOKUP($A206,$198:$203,D$1+2,FALSE)=0,D72,0),D72)</f>
        <v>-40736.443360703342</v>
      </c>
      <c r="E206" s="7">
        <f t="shared" ca="1" si="119"/>
        <v>-35892.289884070618</v>
      </c>
      <c r="F206" s="7">
        <f t="shared" ca="1" si="119"/>
        <v>-30900.796844010245</v>
      </c>
      <c r="G206" s="7">
        <f t="shared" ca="1" si="119"/>
        <v>-25757.48276670936</v>
      </c>
      <c r="H206" s="7">
        <f t="shared" ca="1" si="119"/>
        <v>-20457.729870040646</v>
      </c>
      <c r="I206" s="7">
        <f t="shared" ca="1" si="119"/>
        <v>-14996.779917614593</v>
      </c>
      <c r="J206" s="7">
        <f t="shared" ca="1" si="119"/>
        <v>-9369.7299467287376</v>
      </c>
      <c r="K206" s="7">
        <f t="shared" ca="1" si="119"/>
        <v>-3571.5278663783029</v>
      </c>
      <c r="L206" s="7">
        <f t="shared" ca="1" si="119"/>
        <v>0</v>
      </c>
      <c r="M206" s="7">
        <f t="shared" ca="1" si="119"/>
        <v>0</v>
      </c>
      <c r="N206" s="7">
        <f t="shared" ca="1" si="119"/>
        <v>0</v>
      </c>
      <c r="O206" s="7">
        <f t="shared" ca="1" si="119"/>
        <v>0</v>
      </c>
      <c r="P206" s="7">
        <f t="shared" ca="1" si="119"/>
        <v>0</v>
      </c>
      <c r="Q206" s="7">
        <f t="shared" ca="1" si="119"/>
        <v>0</v>
      </c>
      <c r="R206" s="7">
        <f t="shared" ca="1" si="119"/>
        <v>0</v>
      </c>
      <c r="S206" s="7">
        <f t="shared" ca="1" si="119"/>
        <v>0</v>
      </c>
      <c r="T206" s="7">
        <f t="shared" ca="1" si="119"/>
        <v>0</v>
      </c>
      <c r="U206" s="7">
        <f t="shared" ca="1" si="119"/>
        <v>0</v>
      </c>
      <c r="V206" s="7">
        <f t="shared" ca="1" si="119"/>
        <v>0</v>
      </c>
      <c r="W206" s="7">
        <f t="shared" ca="1" si="119"/>
        <v>0</v>
      </c>
      <c r="X206" s="7">
        <f t="shared" ca="1" si="119"/>
        <v>0</v>
      </c>
      <c r="Y206" s="7">
        <f t="shared" ca="1" si="119"/>
        <v>0</v>
      </c>
      <c r="Z206" s="7">
        <f t="shared" ca="1" si="119"/>
        <v>0</v>
      </c>
      <c r="AA206" s="7">
        <f t="shared" ca="1" si="119"/>
        <v>0</v>
      </c>
      <c r="AB206" s="7">
        <f t="shared" ca="1" si="119"/>
        <v>0</v>
      </c>
      <c r="AC206" s="7">
        <f t="shared" ca="1" si="119"/>
        <v>0</v>
      </c>
      <c r="AD206" s="7">
        <f t="shared" ca="1" si="119"/>
        <v>0</v>
      </c>
      <c r="AE206" s="7">
        <f t="shared" ca="1" si="119"/>
        <v>0</v>
      </c>
      <c r="AF206" s="7">
        <f t="shared" ca="1" si="119"/>
        <v>0</v>
      </c>
      <c r="AG206" s="7">
        <f t="shared" ca="1" si="119"/>
        <v>0</v>
      </c>
      <c r="AH206" s="7">
        <f t="shared" ca="1" si="119"/>
        <v>0</v>
      </c>
      <c r="AI206" s="7">
        <f t="shared" ca="1" si="119"/>
        <v>0</v>
      </c>
      <c r="AJ206" s="7">
        <f t="shared" ca="1" si="119"/>
        <v>0</v>
      </c>
      <c r="AK206" s="7">
        <f t="shared" ca="1" si="119"/>
        <v>0</v>
      </c>
      <c r="AL206" s="7">
        <f t="shared" ca="1" si="119"/>
        <v>0</v>
      </c>
      <c r="AM206" s="7">
        <f t="shared" ca="1" si="119"/>
        <v>0</v>
      </c>
    </row>
    <row r="207" spans="1:39">
      <c r="A207" s="16" t="str">
        <f t="shared" ref="A207:A210" si="120">$A65</f>
        <v>Gzira</v>
      </c>
      <c r="C207" s="7">
        <f t="shared" ref="C207:AM210" ca="1" si="121">IFERROR(IF(VLOOKUP($A207,$198:$203,C$1+2,FALSE)=0,C73,0),C73)</f>
        <v>-6249.4443415125261</v>
      </c>
      <c r="D207" s="7">
        <f t="shared" ca="1" si="121"/>
        <v>-3953.4626671330816</v>
      </c>
      <c r="E207" s="7">
        <f t="shared" ca="1" si="121"/>
        <v>-1611.1380819997976</v>
      </c>
      <c r="F207" s="7">
        <f t="shared" ca="1" si="121"/>
        <v>0</v>
      </c>
      <c r="G207" s="7">
        <f t="shared" ca="1" si="121"/>
        <v>0</v>
      </c>
      <c r="H207" s="7">
        <f t="shared" ca="1" si="121"/>
        <v>0</v>
      </c>
      <c r="I207" s="7">
        <f t="shared" ca="1" si="121"/>
        <v>0</v>
      </c>
      <c r="J207" s="7">
        <f t="shared" ca="1" si="121"/>
        <v>0</v>
      </c>
      <c r="K207" s="7">
        <f t="shared" ca="1" si="121"/>
        <v>0</v>
      </c>
      <c r="L207" s="7">
        <f t="shared" ca="1" si="121"/>
        <v>0</v>
      </c>
      <c r="M207" s="7">
        <f t="shared" ca="1" si="121"/>
        <v>0</v>
      </c>
      <c r="N207" s="7">
        <f t="shared" ca="1" si="121"/>
        <v>0</v>
      </c>
      <c r="O207" s="7">
        <f t="shared" ca="1" si="121"/>
        <v>0</v>
      </c>
      <c r="P207" s="7">
        <f t="shared" ca="1" si="121"/>
        <v>0</v>
      </c>
      <c r="Q207" s="7">
        <f t="shared" ca="1" si="121"/>
        <v>0</v>
      </c>
      <c r="R207" s="7">
        <f t="shared" ca="1" si="121"/>
        <v>0</v>
      </c>
      <c r="S207" s="7">
        <f t="shared" ca="1" si="121"/>
        <v>0</v>
      </c>
      <c r="T207" s="7">
        <f t="shared" ca="1" si="121"/>
        <v>0</v>
      </c>
      <c r="U207" s="7">
        <f t="shared" ca="1" si="121"/>
        <v>0</v>
      </c>
      <c r="V207" s="7">
        <f t="shared" ca="1" si="121"/>
        <v>0</v>
      </c>
      <c r="W207" s="7">
        <f t="shared" ca="1" si="121"/>
        <v>0</v>
      </c>
      <c r="X207" s="7">
        <f t="shared" ca="1" si="121"/>
        <v>0</v>
      </c>
      <c r="Y207" s="7">
        <f t="shared" ca="1" si="121"/>
        <v>0</v>
      </c>
      <c r="Z207" s="7">
        <f t="shared" ca="1" si="121"/>
        <v>0</v>
      </c>
      <c r="AA207" s="7">
        <f t="shared" ca="1" si="121"/>
        <v>0</v>
      </c>
      <c r="AB207" s="7">
        <f t="shared" ca="1" si="121"/>
        <v>0</v>
      </c>
      <c r="AC207" s="7">
        <f t="shared" ca="1" si="121"/>
        <v>0</v>
      </c>
      <c r="AD207" s="7">
        <f t="shared" ca="1" si="121"/>
        <v>0</v>
      </c>
      <c r="AE207" s="7">
        <f t="shared" ca="1" si="121"/>
        <v>0</v>
      </c>
      <c r="AF207" s="7">
        <f t="shared" ca="1" si="121"/>
        <v>0</v>
      </c>
      <c r="AG207" s="7">
        <f t="shared" ca="1" si="121"/>
        <v>0</v>
      </c>
      <c r="AH207" s="7">
        <f t="shared" ca="1" si="121"/>
        <v>0</v>
      </c>
      <c r="AI207" s="7">
        <f t="shared" ca="1" si="121"/>
        <v>0</v>
      </c>
      <c r="AJ207" s="7">
        <f t="shared" ca="1" si="121"/>
        <v>0</v>
      </c>
      <c r="AK207" s="7">
        <f t="shared" ca="1" si="121"/>
        <v>0</v>
      </c>
      <c r="AL207" s="7">
        <f t="shared" ca="1" si="121"/>
        <v>0</v>
      </c>
      <c r="AM207" s="7">
        <f t="shared" ca="1" si="121"/>
        <v>0</v>
      </c>
    </row>
    <row r="208" spans="1:39">
      <c r="A208" s="16" t="str">
        <f t="shared" si="120"/>
        <v>Qormi</v>
      </c>
      <c r="C208" s="7">
        <f t="shared" ca="1" si="121"/>
        <v>-12697.714595321995</v>
      </c>
      <c r="D208" s="7">
        <f t="shared" ca="1" si="121"/>
        <v>-10277.63989987525</v>
      </c>
      <c r="E208" s="7">
        <f t="shared" ca="1" si="121"/>
        <v>-7733.7495899939004</v>
      </c>
      <c r="F208" s="7">
        <f t="shared" ca="1" si="121"/>
        <v>-5059.7090238560577</v>
      </c>
      <c r="G208" s="7">
        <f t="shared" ca="1" si="121"/>
        <v>-2248.8594673418665</v>
      </c>
      <c r="H208" s="7">
        <f t="shared" ca="1" si="121"/>
        <v>0</v>
      </c>
      <c r="I208" s="7">
        <f t="shared" ca="1" si="121"/>
        <v>0</v>
      </c>
      <c r="J208" s="7">
        <f t="shared" ca="1" si="121"/>
        <v>0</v>
      </c>
      <c r="K208" s="7">
        <f t="shared" ca="1" si="121"/>
        <v>0</v>
      </c>
      <c r="L208" s="7">
        <f t="shared" ca="1" si="121"/>
        <v>0</v>
      </c>
      <c r="M208" s="7">
        <f t="shared" ca="1" si="121"/>
        <v>0</v>
      </c>
      <c r="N208" s="7">
        <f t="shared" ca="1" si="121"/>
        <v>0</v>
      </c>
      <c r="O208" s="7">
        <f t="shared" ca="1" si="121"/>
        <v>0</v>
      </c>
      <c r="P208" s="7">
        <f t="shared" ca="1" si="121"/>
        <v>0</v>
      </c>
      <c r="Q208" s="7">
        <f t="shared" ca="1" si="121"/>
        <v>0</v>
      </c>
      <c r="R208" s="7">
        <f t="shared" ca="1" si="121"/>
        <v>0</v>
      </c>
      <c r="S208" s="7">
        <f t="shared" ca="1" si="121"/>
        <v>0</v>
      </c>
      <c r="T208" s="7">
        <f t="shared" ca="1" si="121"/>
        <v>0</v>
      </c>
      <c r="U208" s="7">
        <f t="shared" ca="1" si="121"/>
        <v>0</v>
      </c>
      <c r="V208" s="7">
        <f t="shared" ca="1" si="121"/>
        <v>0</v>
      </c>
      <c r="W208" s="7">
        <f t="shared" ca="1" si="121"/>
        <v>0</v>
      </c>
      <c r="X208" s="7">
        <f t="shared" ca="1" si="121"/>
        <v>0</v>
      </c>
      <c r="Y208" s="7">
        <f t="shared" ca="1" si="121"/>
        <v>0</v>
      </c>
      <c r="Z208" s="7">
        <f t="shared" ca="1" si="121"/>
        <v>0</v>
      </c>
      <c r="AA208" s="7">
        <f t="shared" ca="1" si="121"/>
        <v>0</v>
      </c>
      <c r="AB208" s="7">
        <f t="shared" ca="1" si="121"/>
        <v>0</v>
      </c>
      <c r="AC208" s="7">
        <f t="shared" ca="1" si="121"/>
        <v>0</v>
      </c>
      <c r="AD208" s="7">
        <f t="shared" ca="1" si="121"/>
        <v>0</v>
      </c>
      <c r="AE208" s="7">
        <f t="shared" ca="1" si="121"/>
        <v>0</v>
      </c>
      <c r="AF208" s="7">
        <f t="shared" ca="1" si="121"/>
        <v>0</v>
      </c>
      <c r="AG208" s="7">
        <f t="shared" ca="1" si="121"/>
        <v>0</v>
      </c>
      <c r="AH208" s="7">
        <f t="shared" ca="1" si="121"/>
        <v>0</v>
      </c>
      <c r="AI208" s="7">
        <f t="shared" ca="1" si="121"/>
        <v>0</v>
      </c>
      <c r="AJ208" s="7">
        <f t="shared" ca="1" si="121"/>
        <v>0</v>
      </c>
      <c r="AK208" s="7">
        <f t="shared" ca="1" si="121"/>
        <v>0</v>
      </c>
      <c r="AL208" s="7">
        <f t="shared" ca="1" si="121"/>
        <v>0</v>
      </c>
      <c r="AM208" s="7">
        <f t="shared" ca="1" si="121"/>
        <v>0</v>
      </c>
    </row>
    <row r="209" spans="1:39">
      <c r="A209" s="16" t="str">
        <f t="shared" si="120"/>
        <v>Gudja</v>
      </c>
      <c r="C209" s="7">
        <f t="shared" ca="1" si="121"/>
        <v>-3805.6137118773331</v>
      </c>
      <c r="D209" s="7">
        <f t="shared" ca="1" si="121"/>
        <v>-2913.5784999121538</v>
      </c>
      <c r="E209" s="7">
        <f t="shared" ca="1" si="121"/>
        <v>0</v>
      </c>
      <c r="F209" s="7">
        <f t="shared" ca="1" si="121"/>
        <v>0</v>
      </c>
      <c r="G209" s="7">
        <f t="shared" ca="1" si="121"/>
        <v>0</v>
      </c>
      <c r="H209" s="7">
        <f t="shared" ca="1" si="121"/>
        <v>0</v>
      </c>
      <c r="I209" s="7">
        <f t="shared" ca="1" si="121"/>
        <v>0</v>
      </c>
      <c r="J209" s="7">
        <f t="shared" ca="1" si="121"/>
        <v>0</v>
      </c>
      <c r="K209" s="7">
        <f t="shared" ca="1" si="121"/>
        <v>0</v>
      </c>
      <c r="L209" s="7">
        <f t="shared" ca="1" si="121"/>
        <v>0</v>
      </c>
      <c r="M209" s="7">
        <f t="shared" ca="1" si="121"/>
        <v>0</v>
      </c>
      <c r="N209" s="7">
        <f t="shared" ca="1" si="121"/>
        <v>0</v>
      </c>
      <c r="O209" s="7">
        <f t="shared" ca="1" si="121"/>
        <v>0</v>
      </c>
      <c r="P209" s="7">
        <f t="shared" ca="1" si="121"/>
        <v>0</v>
      </c>
      <c r="Q209" s="7">
        <f t="shared" ca="1" si="121"/>
        <v>0</v>
      </c>
      <c r="R209" s="7">
        <f t="shared" ca="1" si="121"/>
        <v>0</v>
      </c>
      <c r="S209" s="7">
        <f t="shared" ca="1" si="121"/>
        <v>0</v>
      </c>
      <c r="T209" s="7">
        <f t="shared" ca="1" si="121"/>
        <v>0</v>
      </c>
      <c r="U209" s="7">
        <f t="shared" ca="1" si="121"/>
        <v>0</v>
      </c>
      <c r="V209" s="7">
        <f t="shared" ca="1" si="121"/>
        <v>0</v>
      </c>
      <c r="W209" s="7">
        <f t="shared" ca="1" si="121"/>
        <v>0</v>
      </c>
      <c r="X209" s="7">
        <f t="shared" ca="1" si="121"/>
        <v>0</v>
      </c>
      <c r="Y209" s="7">
        <f t="shared" ca="1" si="121"/>
        <v>0</v>
      </c>
      <c r="Z209" s="7">
        <f t="shared" ca="1" si="121"/>
        <v>0</v>
      </c>
      <c r="AA209" s="7">
        <f t="shared" ca="1" si="121"/>
        <v>0</v>
      </c>
      <c r="AB209" s="7">
        <f t="shared" ca="1" si="121"/>
        <v>0</v>
      </c>
      <c r="AC209" s="7">
        <f t="shared" ca="1" si="121"/>
        <v>0</v>
      </c>
      <c r="AD209" s="7">
        <f t="shared" ca="1" si="121"/>
        <v>0</v>
      </c>
      <c r="AE209" s="7">
        <f t="shared" ca="1" si="121"/>
        <v>0</v>
      </c>
      <c r="AF209" s="7">
        <f t="shared" ca="1" si="121"/>
        <v>0</v>
      </c>
      <c r="AG209" s="7">
        <f t="shared" ca="1" si="121"/>
        <v>0</v>
      </c>
      <c r="AH209" s="7">
        <f t="shared" ca="1" si="121"/>
        <v>0</v>
      </c>
      <c r="AI209" s="7">
        <f t="shared" ca="1" si="121"/>
        <v>0</v>
      </c>
      <c r="AJ209" s="7">
        <f t="shared" ca="1" si="121"/>
        <v>0</v>
      </c>
      <c r="AK209" s="7">
        <f t="shared" ca="1" si="121"/>
        <v>0</v>
      </c>
      <c r="AL209" s="7">
        <f t="shared" ca="1" si="121"/>
        <v>0</v>
      </c>
      <c r="AM209" s="7">
        <f t="shared" ca="1" si="121"/>
        <v>0</v>
      </c>
    </row>
    <row r="210" spans="1:39">
      <c r="A210" s="16" t="str">
        <f t="shared" si="120"/>
        <v>Marsa</v>
      </c>
      <c r="C210" s="7">
        <f t="shared" ca="1" si="121"/>
        <v>-8353.7156417959159</v>
      </c>
      <c r="D210" s="7">
        <f t="shared" ca="1" si="121"/>
        <v>-7147.835964976146</v>
      </c>
      <c r="E210" s="7">
        <f t="shared" ca="1" si="121"/>
        <v>-5905.2783038633406</v>
      </c>
      <c r="F210" s="7">
        <f t="shared" ca="1" si="121"/>
        <v>-4624.9270624675901</v>
      </c>
      <c r="G210" s="7">
        <f t="shared" ca="1" si="121"/>
        <v>0</v>
      </c>
      <c r="H210" s="7">
        <f t="shared" ca="1" si="121"/>
        <v>0</v>
      </c>
      <c r="I210" s="7">
        <f t="shared" ca="1" si="121"/>
        <v>0</v>
      </c>
      <c r="J210" s="7">
        <f t="shared" ca="1" si="121"/>
        <v>0</v>
      </c>
      <c r="K210" s="7">
        <f t="shared" ca="1" si="121"/>
        <v>0</v>
      </c>
      <c r="L210" s="7">
        <f t="shared" ca="1" si="121"/>
        <v>0</v>
      </c>
      <c r="M210" s="7">
        <f t="shared" ca="1" si="121"/>
        <v>0</v>
      </c>
      <c r="N210" s="7">
        <f t="shared" ca="1" si="121"/>
        <v>0</v>
      </c>
      <c r="O210" s="7">
        <f t="shared" ca="1" si="121"/>
        <v>0</v>
      </c>
      <c r="P210" s="7">
        <f t="shared" ca="1" si="121"/>
        <v>0</v>
      </c>
      <c r="Q210" s="7">
        <f t="shared" ca="1" si="121"/>
        <v>0</v>
      </c>
      <c r="R210" s="7">
        <f t="shared" ca="1" si="121"/>
        <v>0</v>
      </c>
      <c r="S210" s="7">
        <f t="shared" ca="1" si="121"/>
        <v>0</v>
      </c>
      <c r="T210" s="7">
        <f t="shared" ca="1" si="121"/>
        <v>0</v>
      </c>
      <c r="U210" s="7">
        <f t="shared" ca="1" si="121"/>
        <v>0</v>
      </c>
      <c r="V210" s="7">
        <f t="shared" ca="1" si="121"/>
        <v>0</v>
      </c>
      <c r="W210" s="7">
        <f t="shared" ca="1" si="121"/>
        <v>0</v>
      </c>
      <c r="X210" s="7">
        <f t="shared" ca="1" si="121"/>
        <v>0</v>
      </c>
      <c r="Y210" s="7">
        <f t="shared" ca="1" si="121"/>
        <v>0</v>
      </c>
      <c r="Z210" s="7">
        <f t="shared" ca="1" si="121"/>
        <v>0</v>
      </c>
      <c r="AA210" s="7">
        <f t="shared" ca="1" si="121"/>
        <v>0</v>
      </c>
      <c r="AB210" s="7">
        <f t="shared" ca="1" si="121"/>
        <v>0</v>
      </c>
      <c r="AC210" s="7">
        <f t="shared" ca="1" si="121"/>
        <v>0</v>
      </c>
      <c r="AD210" s="7">
        <f t="shared" ca="1" si="121"/>
        <v>0</v>
      </c>
      <c r="AE210" s="7">
        <f t="shared" ca="1" si="121"/>
        <v>0</v>
      </c>
      <c r="AF210" s="7">
        <f t="shared" ca="1" si="121"/>
        <v>0</v>
      </c>
      <c r="AG210" s="7">
        <f t="shared" ca="1" si="121"/>
        <v>0</v>
      </c>
      <c r="AH210" s="7">
        <f t="shared" ca="1" si="121"/>
        <v>0</v>
      </c>
      <c r="AI210" s="7">
        <f t="shared" ca="1" si="121"/>
        <v>0</v>
      </c>
      <c r="AJ210" s="7">
        <f t="shared" ca="1" si="121"/>
        <v>0</v>
      </c>
      <c r="AK210" s="7">
        <f t="shared" ca="1" si="121"/>
        <v>0</v>
      </c>
      <c r="AL210" s="7">
        <f t="shared" ca="1" si="121"/>
        <v>0</v>
      </c>
      <c r="AM210" s="7">
        <f t="shared" ca="1" si="121"/>
        <v>0</v>
      </c>
    </row>
    <row r="211" spans="1:39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</row>
    <row r="212" spans="1:39">
      <c r="A212" s="3" t="s">
        <v>64</v>
      </c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</row>
    <row r="213" spans="1:39">
      <c r="A213" s="16" t="str">
        <f t="shared" ref="A213:A228" si="122">A61</f>
        <v>Cash</v>
      </c>
      <c r="C213" s="7">
        <f ca="1">C180</f>
        <v>77716.75</v>
      </c>
      <c r="D213" s="7">
        <f t="shared" ref="D213:AM213" ca="1" si="123">D180</f>
        <v>109048.49374999999</v>
      </c>
      <c r="E213" s="7">
        <f t="shared" ca="1" si="123"/>
        <v>111891.10341475303</v>
      </c>
      <c r="F213" s="7">
        <f t="shared" ca="1" si="123"/>
        <v>95330.661493535095</v>
      </c>
      <c r="G213" s="7">
        <f t="shared" ca="1" si="123"/>
        <v>163023.26474117296</v>
      </c>
      <c r="H213" s="7">
        <f t="shared" ca="1" si="123"/>
        <v>122547.97472219041</v>
      </c>
      <c r="I213" s="7">
        <f t="shared" ca="1" si="123"/>
        <v>243196.12586942854</v>
      </c>
      <c r="J213" s="7">
        <f t="shared" ca="1" si="123"/>
        <v>182566.76412242133</v>
      </c>
      <c r="K213" s="7">
        <f t="shared" ca="1" si="123"/>
        <v>200990.74855410369</v>
      </c>
      <c r="L213" s="7">
        <f t="shared" ca="1" si="123"/>
        <v>123575.24818873481</v>
      </c>
      <c r="M213" s="7">
        <f t="shared" ca="1" si="123"/>
        <v>95885.18085720489</v>
      </c>
      <c r="N213" s="7">
        <f t="shared" ca="1" si="123"/>
        <v>332152.25828154449</v>
      </c>
      <c r="O213" s="7">
        <f t="shared" ca="1" si="123"/>
        <v>298138.03872029216</v>
      </c>
      <c r="P213" s="7">
        <f t="shared" ca="1" si="123"/>
        <v>262458.6047747056</v>
      </c>
      <c r="Q213" s="7">
        <f t="shared" ca="1" si="123"/>
        <v>224881.30441036529</v>
      </c>
      <c r="R213" s="7">
        <f t="shared" ca="1" si="123"/>
        <v>185240.0591854208</v>
      </c>
      <c r="S213" s="7">
        <f t="shared" ca="1" si="123"/>
        <v>161443.42557287621</v>
      </c>
      <c r="T213" s="7">
        <f t="shared" ca="1" si="123"/>
        <v>144173.85752878783</v>
      </c>
      <c r="U213" s="7">
        <f t="shared" ca="1" si="123"/>
        <v>125991.80812952048</v>
      </c>
      <c r="V213" s="7">
        <f t="shared" ca="1" si="123"/>
        <v>106879.99411652473</v>
      </c>
      <c r="W213" s="7">
        <f t="shared" ca="1" si="123"/>
        <v>86820.86601304714</v>
      </c>
      <c r="X213" s="7">
        <f t="shared" ca="1" si="123"/>
        <v>531372.24335418153</v>
      </c>
      <c r="Y213" s="7">
        <f t="shared" ca="1" si="123"/>
        <v>485715.81625120947</v>
      </c>
      <c r="Z213" s="7">
        <f t="shared" ca="1" si="123"/>
        <v>437225.03210156446</v>
      </c>
      <c r="AA213" s="7">
        <f t="shared" ca="1" si="123"/>
        <v>385768.37854727457</v>
      </c>
      <c r="AB213" s="7">
        <f t="shared" ca="1" si="123"/>
        <v>331271.70885322365</v>
      </c>
      <c r="AC213" s="7">
        <f t="shared" ca="1" si="123"/>
        <v>273659.02261591784</v>
      </c>
      <c r="AD213" s="7">
        <f t="shared" ca="1" si="123"/>
        <v>222834.89451556181</v>
      </c>
      <c r="AE213" s="7">
        <f t="shared" ca="1" si="123"/>
        <v>169093.2587753351</v>
      </c>
      <c r="AF213" s="7">
        <f t="shared" ca="1" si="123"/>
        <v>111995.15765293146</v>
      </c>
      <c r="AG213" s="7">
        <f t="shared" ca="1" si="123"/>
        <v>51704.582945994451</v>
      </c>
      <c r="AH213" s="7">
        <f t="shared" ca="1" si="123"/>
        <v>-10096.230584341451</v>
      </c>
      <c r="AI213" s="7">
        <f t="shared" ca="1" si="123"/>
        <v>-73440.212509342353</v>
      </c>
      <c r="AJ213" s="7">
        <f t="shared" ca="1" si="123"/>
        <v>-138366.81180566468</v>
      </c>
      <c r="AK213" s="7">
        <f t="shared" ca="1" si="123"/>
        <v>-204916.49626401666</v>
      </c>
      <c r="AL213" s="7">
        <f t="shared" ca="1" si="123"/>
        <v>-273130.77909961465</v>
      </c>
      <c r="AM213" s="7">
        <f t="shared" ca="1" si="123"/>
        <v>-342653.98168804793</v>
      </c>
    </row>
    <row r="214" spans="1:39">
      <c r="A214" s="16" t="str">
        <f t="shared" si="122"/>
        <v>Home</v>
      </c>
      <c r="C214" s="7">
        <f t="shared" ref="C214:AM214" si="124">C62</f>
        <v>618000</v>
      </c>
      <c r="D214" s="7">
        <f t="shared" si="124"/>
        <v>636540</v>
      </c>
      <c r="E214" s="7">
        <f t="shared" si="124"/>
        <v>655636.20000000007</v>
      </c>
      <c r="F214" s="7">
        <f t="shared" si="124"/>
        <v>675305.28600000008</v>
      </c>
      <c r="G214" s="7">
        <f t="shared" si="124"/>
        <v>695564.44458000013</v>
      </c>
      <c r="H214" s="7">
        <f t="shared" si="124"/>
        <v>716431.3779174001</v>
      </c>
      <c r="I214" s="7">
        <f t="shared" si="124"/>
        <v>737924.3192549221</v>
      </c>
      <c r="J214" s="7">
        <f t="shared" si="124"/>
        <v>760062.04883256974</v>
      </c>
      <c r="K214" s="7">
        <f t="shared" si="124"/>
        <v>782863.91029754688</v>
      </c>
      <c r="L214" s="7">
        <f t="shared" si="124"/>
        <v>806349.82760647335</v>
      </c>
      <c r="M214" s="7">
        <f t="shared" si="124"/>
        <v>830540.32243466761</v>
      </c>
      <c r="N214" s="7">
        <f t="shared" si="124"/>
        <v>855456.5321077077</v>
      </c>
      <c r="O214" s="7">
        <f t="shared" si="124"/>
        <v>881120.22807093896</v>
      </c>
      <c r="P214" s="7">
        <f t="shared" si="124"/>
        <v>907553.83491306717</v>
      </c>
      <c r="Q214" s="7">
        <f t="shared" si="124"/>
        <v>934780.44996045926</v>
      </c>
      <c r="R214" s="7">
        <f t="shared" si="124"/>
        <v>962823.86345927301</v>
      </c>
      <c r="S214" s="7">
        <f t="shared" si="124"/>
        <v>991708.57936305122</v>
      </c>
      <c r="T214" s="7">
        <f t="shared" si="124"/>
        <v>1021459.8367439428</v>
      </c>
      <c r="U214" s="7">
        <f t="shared" si="124"/>
        <v>1052103.6318462612</v>
      </c>
      <c r="V214" s="7">
        <f t="shared" si="124"/>
        <v>1083666.7408016492</v>
      </c>
      <c r="W214" s="7">
        <f t="shared" si="124"/>
        <v>1116176.7430256987</v>
      </c>
      <c r="X214" s="7">
        <f t="shared" si="124"/>
        <v>1149662.0453164696</v>
      </c>
      <c r="Y214" s="7">
        <f t="shared" si="124"/>
        <v>1184151.9066759637</v>
      </c>
      <c r="Z214" s="7">
        <f t="shared" si="124"/>
        <v>1219676.4638762425</v>
      </c>
      <c r="AA214" s="7">
        <f t="shared" si="124"/>
        <v>1256266.7577925299</v>
      </c>
      <c r="AB214" s="7">
        <f t="shared" si="124"/>
        <v>1293954.7605263058</v>
      </c>
      <c r="AC214" s="7">
        <f t="shared" si="124"/>
        <v>1332773.403342095</v>
      </c>
      <c r="AD214" s="7">
        <f t="shared" si="124"/>
        <v>1372756.6054423579</v>
      </c>
      <c r="AE214" s="7">
        <f t="shared" si="124"/>
        <v>1413939.3036056287</v>
      </c>
      <c r="AF214" s="7">
        <f t="shared" si="124"/>
        <v>1456357.4827137976</v>
      </c>
      <c r="AG214" s="7">
        <f t="shared" si="124"/>
        <v>1500048.2071952117</v>
      </c>
      <c r="AH214" s="7">
        <f t="shared" si="124"/>
        <v>1545049.653411068</v>
      </c>
      <c r="AI214" s="7">
        <f t="shared" si="124"/>
        <v>1591401.1430134</v>
      </c>
      <c r="AJ214" s="7">
        <f t="shared" si="124"/>
        <v>1639143.177303802</v>
      </c>
      <c r="AK214" s="7">
        <f t="shared" si="124"/>
        <v>1688317.4726229161</v>
      </c>
      <c r="AL214" s="7">
        <f t="shared" si="124"/>
        <v>1738966.9968016036</v>
      </c>
      <c r="AM214" s="7">
        <f t="shared" si="124"/>
        <v>1791136.0067056518</v>
      </c>
    </row>
    <row r="215" spans="1:39">
      <c r="A215" s="16" t="str">
        <f t="shared" si="122"/>
        <v>Other property</v>
      </c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</row>
    <row r="216" spans="1:39">
      <c r="A216" s="17" t="str">
        <f t="shared" si="122"/>
        <v>Sliema</v>
      </c>
      <c r="C216" s="7">
        <f t="shared" ref="C216:AM220" ca="1" si="125">C192</f>
        <v>309000</v>
      </c>
      <c r="D216" s="7">
        <f t="shared" ca="1" si="125"/>
        <v>318270</v>
      </c>
      <c r="E216" s="7">
        <f t="shared" ca="1" si="125"/>
        <v>327818.10000000003</v>
      </c>
      <c r="F216" s="7">
        <f t="shared" ca="1" si="125"/>
        <v>337652.64300000004</v>
      </c>
      <c r="G216" s="7">
        <f t="shared" ca="1" si="125"/>
        <v>347782.22229000006</v>
      </c>
      <c r="H216" s="7">
        <f t="shared" ca="1" si="125"/>
        <v>358215.68895870005</v>
      </c>
      <c r="I216" s="7">
        <f t="shared" ca="1" si="125"/>
        <v>368962.15962746105</v>
      </c>
      <c r="J216" s="7">
        <f t="shared" ca="1" si="125"/>
        <v>380031.02441628487</v>
      </c>
      <c r="K216" s="7">
        <f t="shared" ca="1" si="125"/>
        <v>391431.95514877344</v>
      </c>
      <c r="L216" s="7">
        <f t="shared" ca="1" si="125"/>
        <v>403174.91380323668</v>
      </c>
      <c r="M216" s="7">
        <f t="shared" ca="1" si="125"/>
        <v>415270.16121733381</v>
      </c>
      <c r="N216" s="7">
        <f t="shared" ca="1" si="125"/>
        <v>427728.26605385385</v>
      </c>
      <c r="O216" s="7">
        <f t="shared" ca="1" si="125"/>
        <v>440560.11403546948</v>
      </c>
      <c r="P216" s="7">
        <f t="shared" ca="1" si="125"/>
        <v>453776.91745653359</v>
      </c>
      <c r="Q216" s="7">
        <f t="shared" ca="1" si="125"/>
        <v>467390.22498022963</v>
      </c>
      <c r="R216" s="7">
        <f t="shared" ca="1" si="125"/>
        <v>481411.9317296365</v>
      </c>
      <c r="S216" s="7">
        <f t="shared" ca="1" si="125"/>
        <v>495854.28968152561</v>
      </c>
      <c r="T216" s="7">
        <f t="shared" ca="1" si="125"/>
        <v>510729.91837197141</v>
      </c>
      <c r="U216" s="7">
        <f t="shared" ca="1" si="125"/>
        <v>526051.81592313061</v>
      </c>
      <c r="V216" s="7">
        <f t="shared" ca="1" si="125"/>
        <v>541833.37040082458</v>
      </c>
      <c r="W216" s="7">
        <f t="shared" ca="1" si="125"/>
        <v>558088.37151284935</v>
      </c>
      <c r="X216" s="7">
        <f t="shared" ca="1" si="125"/>
        <v>0</v>
      </c>
      <c r="Y216" s="7">
        <f t="shared" ca="1" si="125"/>
        <v>0</v>
      </c>
      <c r="Z216" s="7">
        <f t="shared" ca="1" si="125"/>
        <v>0</v>
      </c>
      <c r="AA216" s="7">
        <f t="shared" ca="1" si="125"/>
        <v>0</v>
      </c>
      <c r="AB216" s="7">
        <f t="shared" ca="1" si="125"/>
        <v>0</v>
      </c>
      <c r="AC216" s="7">
        <f t="shared" ca="1" si="125"/>
        <v>0</v>
      </c>
      <c r="AD216" s="7">
        <f t="shared" ca="1" si="125"/>
        <v>0</v>
      </c>
      <c r="AE216" s="7">
        <f t="shared" ca="1" si="125"/>
        <v>0</v>
      </c>
      <c r="AF216" s="7">
        <f t="shared" ca="1" si="125"/>
        <v>0</v>
      </c>
      <c r="AG216" s="7">
        <f t="shared" ca="1" si="125"/>
        <v>0</v>
      </c>
      <c r="AH216" s="7">
        <f t="shared" ca="1" si="125"/>
        <v>0</v>
      </c>
      <c r="AI216" s="7">
        <f t="shared" ca="1" si="125"/>
        <v>0</v>
      </c>
      <c r="AJ216" s="7">
        <f t="shared" ca="1" si="125"/>
        <v>0</v>
      </c>
      <c r="AK216" s="7">
        <f t="shared" ca="1" si="125"/>
        <v>0</v>
      </c>
      <c r="AL216" s="7">
        <f t="shared" ca="1" si="125"/>
        <v>0</v>
      </c>
      <c r="AM216" s="7">
        <f t="shared" ca="1" si="125"/>
        <v>0</v>
      </c>
    </row>
    <row r="217" spans="1:39">
      <c r="A217" s="17" t="str">
        <f t="shared" si="122"/>
        <v>Gzira</v>
      </c>
      <c r="C217" s="7">
        <f t="shared" ca="1" si="125"/>
        <v>154500</v>
      </c>
      <c r="D217" s="7">
        <f t="shared" ca="1" si="125"/>
        <v>159135</v>
      </c>
      <c r="E217" s="7">
        <f t="shared" ca="1" si="125"/>
        <v>163909.05000000002</v>
      </c>
      <c r="F217" s="7">
        <f t="shared" ca="1" si="125"/>
        <v>168826.32150000002</v>
      </c>
      <c r="G217" s="7">
        <f t="shared" ca="1" si="125"/>
        <v>173891.11114500003</v>
      </c>
      <c r="H217" s="7">
        <f t="shared" ca="1" si="125"/>
        <v>179107.84447935002</v>
      </c>
      <c r="I217" s="7">
        <f t="shared" ca="1" si="125"/>
        <v>0</v>
      </c>
      <c r="J217" s="7">
        <f t="shared" ca="1" si="125"/>
        <v>0</v>
      </c>
      <c r="K217" s="7">
        <f t="shared" ca="1" si="125"/>
        <v>0</v>
      </c>
      <c r="L217" s="7">
        <f t="shared" ca="1" si="125"/>
        <v>0</v>
      </c>
      <c r="M217" s="7">
        <f t="shared" ca="1" si="125"/>
        <v>0</v>
      </c>
      <c r="N217" s="7">
        <f t="shared" ca="1" si="125"/>
        <v>0</v>
      </c>
      <c r="O217" s="7">
        <f t="shared" ca="1" si="125"/>
        <v>0</v>
      </c>
      <c r="P217" s="7">
        <f t="shared" ca="1" si="125"/>
        <v>0</v>
      </c>
      <c r="Q217" s="7">
        <f t="shared" ca="1" si="125"/>
        <v>0</v>
      </c>
      <c r="R217" s="7">
        <f t="shared" ca="1" si="125"/>
        <v>0</v>
      </c>
      <c r="S217" s="7">
        <f t="shared" ca="1" si="125"/>
        <v>0</v>
      </c>
      <c r="T217" s="7">
        <f t="shared" ca="1" si="125"/>
        <v>0</v>
      </c>
      <c r="U217" s="7">
        <f t="shared" ca="1" si="125"/>
        <v>0</v>
      </c>
      <c r="V217" s="7">
        <f t="shared" ca="1" si="125"/>
        <v>0</v>
      </c>
      <c r="W217" s="7">
        <f t="shared" ca="1" si="125"/>
        <v>0</v>
      </c>
      <c r="X217" s="7">
        <f t="shared" ca="1" si="125"/>
        <v>0</v>
      </c>
      <c r="Y217" s="7">
        <f t="shared" ca="1" si="125"/>
        <v>0</v>
      </c>
      <c r="Z217" s="7">
        <f t="shared" ca="1" si="125"/>
        <v>0</v>
      </c>
      <c r="AA217" s="7">
        <f t="shared" ca="1" si="125"/>
        <v>0</v>
      </c>
      <c r="AB217" s="7">
        <f t="shared" ca="1" si="125"/>
        <v>0</v>
      </c>
      <c r="AC217" s="7">
        <f t="shared" ca="1" si="125"/>
        <v>0</v>
      </c>
      <c r="AD217" s="7">
        <f t="shared" ca="1" si="125"/>
        <v>0</v>
      </c>
      <c r="AE217" s="7">
        <f t="shared" ca="1" si="125"/>
        <v>0</v>
      </c>
      <c r="AF217" s="7">
        <f t="shared" ca="1" si="125"/>
        <v>0</v>
      </c>
      <c r="AG217" s="7">
        <f t="shared" ca="1" si="125"/>
        <v>0</v>
      </c>
      <c r="AH217" s="7">
        <f t="shared" ca="1" si="125"/>
        <v>0</v>
      </c>
      <c r="AI217" s="7">
        <f t="shared" ca="1" si="125"/>
        <v>0</v>
      </c>
      <c r="AJ217" s="7">
        <f t="shared" ca="1" si="125"/>
        <v>0</v>
      </c>
      <c r="AK217" s="7">
        <f t="shared" ca="1" si="125"/>
        <v>0</v>
      </c>
      <c r="AL217" s="7">
        <f t="shared" ca="1" si="125"/>
        <v>0</v>
      </c>
      <c r="AM217" s="7">
        <f t="shared" ca="1" si="125"/>
        <v>0</v>
      </c>
    </row>
    <row r="218" spans="1:39">
      <c r="A218" s="17" t="str">
        <f t="shared" si="122"/>
        <v>Qormi</v>
      </c>
      <c r="C218" s="7">
        <f t="shared" ca="1" si="125"/>
        <v>226600</v>
      </c>
      <c r="D218" s="7">
        <f t="shared" ca="1" si="125"/>
        <v>233398</v>
      </c>
      <c r="E218" s="7">
        <f t="shared" ca="1" si="125"/>
        <v>240399.94</v>
      </c>
      <c r="F218" s="7">
        <f t="shared" ca="1" si="125"/>
        <v>247611.9382</v>
      </c>
      <c r="G218" s="7">
        <f t="shared" ca="1" si="125"/>
        <v>255040.29634600002</v>
      </c>
      <c r="H218" s="7">
        <f t="shared" ca="1" si="125"/>
        <v>262691.50523638004</v>
      </c>
      <c r="I218" s="7">
        <f t="shared" ca="1" si="125"/>
        <v>270572.25039347145</v>
      </c>
      <c r="J218" s="7">
        <f t="shared" ca="1" si="125"/>
        <v>278689.41790527559</v>
      </c>
      <c r="K218" s="7">
        <f t="shared" ca="1" si="125"/>
        <v>287050.10044243385</v>
      </c>
      <c r="L218" s="7">
        <f t="shared" ca="1" si="125"/>
        <v>295661.60345570685</v>
      </c>
      <c r="M218" s="7">
        <f t="shared" ca="1" si="125"/>
        <v>304531.45155937807</v>
      </c>
      <c r="N218" s="7">
        <f t="shared" ca="1" si="125"/>
        <v>0</v>
      </c>
      <c r="O218" s="7">
        <f t="shared" ca="1" si="125"/>
        <v>0</v>
      </c>
      <c r="P218" s="7">
        <f t="shared" ca="1" si="125"/>
        <v>0</v>
      </c>
      <c r="Q218" s="7">
        <f t="shared" ca="1" si="125"/>
        <v>0</v>
      </c>
      <c r="R218" s="7">
        <f t="shared" ca="1" si="125"/>
        <v>0</v>
      </c>
      <c r="S218" s="7">
        <f t="shared" ca="1" si="125"/>
        <v>0</v>
      </c>
      <c r="T218" s="7">
        <f t="shared" ca="1" si="125"/>
        <v>0</v>
      </c>
      <c r="U218" s="7">
        <f t="shared" ca="1" si="125"/>
        <v>0</v>
      </c>
      <c r="V218" s="7">
        <f t="shared" ca="1" si="125"/>
        <v>0</v>
      </c>
      <c r="W218" s="7">
        <f t="shared" ca="1" si="125"/>
        <v>0</v>
      </c>
      <c r="X218" s="7">
        <f t="shared" ca="1" si="125"/>
        <v>0</v>
      </c>
      <c r="Y218" s="7">
        <f t="shared" ca="1" si="125"/>
        <v>0</v>
      </c>
      <c r="Z218" s="7">
        <f t="shared" ca="1" si="125"/>
        <v>0</v>
      </c>
      <c r="AA218" s="7">
        <f t="shared" ca="1" si="125"/>
        <v>0</v>
      </c>
      <c r="AB218" s="7">
        <f t="shared" ca="1" si="125"/>
        <v>0</v>
      </c>
      <c r="AC218" s="7">
        <f t="shared" ca="1" si="125"/>
        <v>0</v>
      </c>
      <c r="AD218" s="7">
        <f t="shared" ca="1" si="125"/>
        <v>0</v>
      </c>
      <c r="AE218" s="7">
        <f t="shared" ca="1" si="125"/>
        <v>0</v>
      </c>
      <c r="AF218" s="7">
        <f t="shared" ca="1" si="125"/>
        <v>0</v>
      </c>
      <c r="AG218" s="7">
        <f t="shared" ca="1" si="125"/>
        <v>0</v>
      </c>
      <c r="AH218" s="7">
        <f t="shared" ca="1" si="125"/>
        <v>0</v>
      </c>
      <c r="AI218" s="7">
        <f t="shared" ca="1" si="125"/>
        <v>0</v>
      </c>
      <c r="AJ218" s="7">
        <f t="shared" ca="1" si="125"/>
        <v>0</v>
      </c>
      <c r="AK218" s="7">
        <f t="shared" ca="1" si="125"/>
        <v>0</v>
      </c>
      <c r="AL218" s="7">
        <f t="shared" ca="1" si="125"/>
        <v>0</v>
      </c>
      <c r="AM218" s="7">
        <f t="shared" ca="1" si="125"/>
        <v>0</v>
      </c>
    </row>
    <row r="219" spans="1:39">
      <c r="A219" s="17" t="str">
        <f t="shared" si="122"/>
        <v>Gudja</v>
      </c>
      <c r="C219" s="7">
        <f t="shared" ca="1" si="125"/>
        <v>82400</v>
      </c>
      <c r="D219" s="7">
        <f t="shared" ca="1" si="125"/>
        <v>84872</v>
      </c>
      <c r="E219" s="7">
        <f t="shared" ca="1" si="125"/>
        <v>0</v>
      </c>
      <c r="F219" s="7">
        <f t="shared" ca="1" si="125"/>
        <v>0</v>
      </c>
      <c r="G219" s="7">
        <f t="shared" ca="1" si="125"/>
        <v>0</v>
      </c>
      <c r="H219" s="7">
        <f t="shared" ca="1" si="125"/>
        <v>0</v>
      </c>
      <c r="I219" s="7">
        <f t="shared" ca="1" si="125"/>
        <v>0</v>
      </c>
      <c r="J219" s="7">
        <f t="shared" ca="1" si="125"/>
        <v>0</v>
      </c>
      <c r="K219" s="7">
        <f t="shared" ca="1" si="125"/>
        <v>0</v>
      </c>
      <c r="L219" s="7">
        <f t="shared" ca="1" si="125"/>
        <v>0</v>
      </c>
      <c r="M219" s="7">
        <f t="shared" ca="1" si="125"/>
        <v>0</v>
      </c>
      <c r="N219" s="7">
        <f t="shared" ca="1" si="125"/>
        <v>0</v>
      </c>
      <c r="O219" s="7">
        <f t="shared" ca="1" si="125"/>
        <v>0</v>
      </c>
      <c r="P219" s="7">
        <f t="shared" ca="1" si="125"/>
        <v>0</v>
      </c>
      <c r="Q219" s="7">
        <f t="shared" ca="1" si="125"/>
        <v>0</v>
      </c>
      <c r="R219" s="7">
        <f t="shared" ca="1" si="125"/>
        <v>0</v>
      </c>
      <c r="S219" s="7">
        <f t="shared" ca="1" si="125"/>
        <v>0</v>
      </c>
      <c r="T219" s="7">
        <f t="shared" ca="1" si="125"/>
        <v>0</v>
      </c>
      <c r="U219" s="7">
        <f t="shared" ca="1" si="125"/>
        <v>0</v>
      </c>
      <c r="V219" s="7">
        <f t="shared" ca="1" si="125"/>
        <v>0</v>
      </c>
      <c r="W219" s="7">
        <f t="shared" ca="1" si="125"/>
        <v>0</v>
      </c>
      <c r="X219" s="7">
        <f t="shared" ca="1" si="125"/>
        <v>0</v>
      </c>
      <c r="Y219" s="7">
        <f t="shared" ca="1" si="125"/>
        <v>0</v>
      </c>
      <c r="Z219" s="7">
        <f t="shared" ca="1" si="125"/>
        <v>0</v>
      </c>
      <c r="AA219" s="7">
        <f t="shared" ca="1" si="125"/>
        <v>0</v>
      </c>
      <c r="AB219" s="7">
        <f t="shared" ca="1" si="125"/>
        <v>0</v>
      </c>
      <c r="AC219" s="7">
        <f t="shared" ca="1" si="125"/>
        <v>0</v>
      </c>
      <c r="AD219" s="7">
        <f t="shared" ca="1" si="125"/>
        <v>0</v>
      </c>
      <c r="AE219" s="7">
        <f t="shared" ca="1" si="125"/>
        <v>0</v>
      </c>
      <c r="AF219" s="7">
        <f t="shared" ca="1" si="125"/>
        <v>0</v>
      </c>
      <c r="AG219" s="7">
        <f t="shared" ca="1" si="125"/>
        <v>0</v>
      </c>
      <c r="AH219" s="7">
        <f t="shared" ca="1" si="125"/>
        <v>0</v>
      </c>
      <c r="AI219" s="7">
        <f t="shared" ca="1" si="125"/>
        <v>0</v>
      </c>
      <c r="AJ219" s="7">
        <f t="shared" ca="1" si="125"/>
        <v>0</v>
      </c>
      <c r="AK219" s="7">
        <f t="shared" ca="1" si="125"/>
        <v>0</v>
      </c>
      <c r="AL219" s="7">
        <f t="shared" ca="1" si="125"/>
        <v>0</v>
      </c>
      <c r="AM219" s="7">
        <f t="shared" ca="1" si="125"/>
        <v>0</v>
      </c>
    </row>
    <row r="220" spans="1:39">
      <c r="A220" s="17" t="str">
        <f t="shared" si="122"/>
        <v>Marsa</v>
      </c>
      <c r="C220" s="7">
        <f t="shared" ca="1" si="125"/>
        <v>123600</v>
      </c>
      <c r="D220" s="7">
        <f t="shared" ca="1" si="125"/>
        <v>127308</v>
      </c>
      <c r="E220" s="7">
        <f t="shared" ca="1" si="125"/>
        <v>131127.24</v>
      </c>
      <c r="F220" s="7">
        <f t="shared" ca="1" si="125"/>
        <v>135061.05719999998</v>
      </c>
      <c r="G220" s="7">
        <f t="shared" ca="1" si="125"/>
        <v>0</v>
      </c>
      <c r="H220" s="7">
        <f t="shared" ca="1" si="125"/>
        <v>0</v>
      </c>
      <c r="I220" s="7">
        <f t="shared" ca="1" si="125"/>
        <v>0</v>
      </c>
      <c r="J220" s="7">
        <f t="shared" ca="1" si="125"/>
        <v>0</v>
      </c>
      <c r="K220" s="7">
        <f t="shared" ca="1" si="125"/>
        <v>0</v>
      </c>
      <c r="L220" s="7">
        <f t="shared" ca="1" si="125"/>
        <v>0</v>
      </c>
      <c r="M220" s="7">
        <f t="shared" ca="1" si="125"/>
        <v>0</v>
      </c>
      <c r="N220" s="7">
        <f t="shared" ca="1" si="125"/>
        <v>0</v>
      </c>
      <c r="O220" s="7">
        <f t="shared" ca="1" si="125"/>
        <v>0</v>
      </c>
      <c r="P220" s="7">
        <f t="shared" ca="1" si="125"/>
        <v>0</v>
      </c>
      <c r="Q220" s="7">
        <f t="shared" ca="1" si="125"/>
        <v>0</v>
      </c>
      <c r="R220" s="7">
        <f t="shared" ca="1" si="125"/>
        <v>0</v>
      </c>
      <c r="S220" s="7">
        <f t="shared" ca="1" si="125"/>
        <v>0</v>
      </c>
      <c r="T220" s="7">
        <f t="shared" ca="1" si="125"/>
        <v>0</v>
      </c>
      <c r="U220" s="7">
        <f t="shared" ca="1" si="125"/>
        <v>0</v>
      </c>
      <c r="V220" s="7">
        <f t="shared" ca="1" si="125"/>
        <v>0</v>
      </c>
      <c r="W220" s="7">
        <f t="shared" ca="1" si="125"/>
        <v>0</v>
      </c>
      <c r="X220" s="7">
        <f t="shared" ca="1" si="125"/>
        <v>0</v>
      </c>
      <c r="Y220" s="7">
        <f t="shared" ca="1" si="125"/>
        <v>0</v>
      </c>
      <c r="Z220" s="7">
        <f t="shared" ca="1" si="125"/>
        <v>0</v>
      </c>
      <c r="AA220" s="7">
        <f t="shared" ca="1" si="125"/>
        <v>0</v>
      </c>
      <c r="AB220" s="7">
        <f t="shared" ca="1" si="125"/>
        <v>0</v>
      </c>
      <c r="AC220" s="7">
        <f t="shared" ca="1" si="125"/>
        <v>0</v>
      </c>
      <c r="AD220" s="7">
        <f t="shared" ca="1" si="125"/>
        <v>0</v>
      </c>
      <c r="AE220" s="7">
        <f t="shared" ca="1" si="125"/>
        <v>0</v>
      </c>
      <c r="AF220" s="7">
        <f t="shared" ca="1" si="125"/>
        <v>0</v>
      </c>
      <c r="AG220" s="7">
        <f t="shared" ca="1" si="125"/>
        <v>0</v>
      </c>
      <c r="AH220" s="7">
        <f t="shared" ca="1" si="125"/>
        <v>0</v>
      </c>
      <c r="AI220" s="7">
        <f t="shared" ca="1" si="125"/>
        <v>0</v>
      </c>
      <c r="AJ220" s="7">
        <f t="shared" ca="1" si="125"/>
        <v>0</v>
      </c>
      <c r="AK220" s="7">
        <f t="shared" ca="1" si="125"/>
        <v>0</v>
      </c>
      <c r="AL220" s="7">
        <f t="shared" ca="1" si="125"/>
        <v>0</v>
      </c>
      <c r="AM220" s="7">
        <f t="shared" ca="1" si="125"/>
        <v>0</v>
      </c>
    </row>
    <row r="221" spans="1:39">
      <c r="A221" s="16" t="str">
        <f t="shared" si="122"/>
        <v>Stock market equity investments</v>
      </c>
      <c r="C221" s="7">
        <f t="shared" ref="C221:AM221" ca="1" si="126">C89</f>
        <v>32400.000000000004</v>
      </c>
      <c r="D221" s="7">
        <f t="shared" ca="1" si="126"/>
        <v>34992.000000000007</v>
      </c>
      <c r="E221" s="7">
        <f t="shared" ca="1" si="126"/>
        <v>31956.499953947394</v>
      </c>
      <c r="F221" s="7">
        <f t="shared" ca="1" si="126"/>
        <v>0</v>
      </c>
      <c r="G221" s="7">
        <f t="shared" ca="1" si="126"/>
        <v>0</v>
      </c>
      <c r="H221" s="7">
        <f t="shared" ca="1" si="126"/>
        <v>0</v>
      </c>
      <c r="I221" s="7">
        <f t="shared" ca="1" si="126"/>
        <v>0</v>
      </c>
      <c r="J221" s="7">
        <f t="shared" ca="1" si="126"/>
        <v>0</v>
      </c>
      <c r="K221" s="7">
        <f t="shared" ca="1" si="126"/>
        <v>0</v>
      </c>
      <c r="L221" s="7">
        <f t="shared" ca="1" si="126"/>
        <v>0</v>
      </c>
      <c r="M221" s="7">
        <f t="shared" ca="1" si="126"/>
        <v>0</v>
      </c>
      <c r="N221" s="7">
        <f t="shared" ca="1" si="126"/>
        <v>0</v>
      </c>
      <c r="O221" s="7">
        <f t="shared" ca="1" si="126"/>
        <v>0</v>
      </c>
      <c r="P221" s="7">
        <f t="shared" ca="1" si="126"/>
        <v>0</v>
      </c>
      <c r="Q221" s="7">
        <f t="shared" ca="1" si="126"/>
        <v>0</v>
      </c>
      <c r="R221" s="7">
        <f t="shared" ca="1" si="126"/>
        <v>0</v>
      </c>
      <c r="S221" s="7">
        <f t="shared" ca="1" si="126"/>
        <v>0</v>
      </c>
      <c r="T221" s="7">
        <f t="shared" ca="1" si="126"/>
        <v>0</v>
      </c>
      <c r="U221" s="7">
        <f t="shared" ca="1" si="126"/>
        <v>0</v>
      </c>
      <c r="V221" s="7">
        <f t="shared" ca="1" si="126"/>
        <v>0</v>
      </c>
      <c r="W221" s="7">
        <f t="shared" ca="1" si="126"/>
        <v>0</v>
      </c>
      <c r="X221" s="7">
        <f t="shared" ca="1" si="126"/>
        <v>0</v>
      </c>
      <c r="Y221" s="7">
        <f t="shared" ca="1" si="126"/>
        <v>0</v>
      </c>
      <c r="Z221" s="7">
        <f t="shared" ca="1" si="126"/>
        <v>0</v>
      </c>
      <c r="AA221" s="7">
        <f t="shared" ca="1" si="126"/>
        <v>0</v>
      </c>
      <c r="AB221" s="7">
        <f t="shared" ca="1" si="126"/>
        <v>0</v>
      </c>
      <c r="AC221" s="7">
        <f t="shared" ca="1" si="126"/>
        <v>0</v>
      </c>
      <c r="AD221" s="7">
        <f t="shared" ca="1" si="126"/>
        <v>0</v>
      </c>
      <c r="AE221" s="7">
        <f t="shared" ca="1" si="126"/>
        <v>0</v>
      </c>
      <c r="AF221" s="7">
        <f t="shared" ca="1" si="126"/>
        <v>0</v>
      </c>
      <c r="AG221" s="7">
        <f t="shared" ca="1" si="126"/>
        <v>0</v>
      </c>
      <c r="AH221" s="7">
        <f t="shared" ca="1" si="126"/>
        <v>0</v>
      </c>
      <c r="AI221" s="7">
        <f t="shared" ca="1" si="126"/>
        <v>0</v>
      </c>
      <c r="AJ221" s="7">
        <f t="shared" ca="1" si="126"/>
        <v>0</v>
      </c>
      <c r="AK221" s="7">
        <f t="shared" ca="1" si="126"/>
        <v>0</v>
      </c>
      <c r="AL221" s="7">
        <f t="shared" ca="1" si="126"/>
        <v>0</v>
      </c>
      <c r="AM221" s="7">
        <f t="shared" ca="1" si="126"/>
        <v>0</v>
      </c>
    </row>
    <row r="222" spans="1:39">
      <c r="A222" s="16" t="str">
        <f t="shared" si="122"/>
        <v>Home loan</v>
      </c>
      <c r="C222" s="7">
        <f t="shared" ref="C222:AM222" si="127">C70</f>
        <v>-41787.691633353177</v>
      </c>
      <c r="D222" s="7">
        <f t="shared" si="127"/>
        <v>-33325.598049266016</v>
      </c>
      <c r="E222" s="7">
        <f t="shared" si="127"/>
        <v>-24606.12179132711</v>
      </c>
      <c r="F222" s="7">
        <f t="shared" si="127"/>
        <v>-15621.434319218446</v>
      </c>
      <c r="G222" s="7">
        <f t="shared" si="127"/>
        <v>-6363.4689800768465</v>
      </c>
      <c r="H222" s="7">
        <f t="shared" si="127"/>
        <v>0</v>
      </c>
      <c r="I222" s="7">
        <f t="shared" si="127"/>
        <v>0</v>
      </c>
      <c r="J222" s="7">
        <f t="shared" si="127"/>
        <v>0</v>
      </c>
      <c r="K222" s="7">
        <f t="shared" si="127"/>
        <v>0</v>
      </c>
      <c r="L222" s="7">
        <f t="shared" si="127"/>
        <v>0</v>
      </c>
      <c r="M222" s="7">
        <f t="shared" si="127"/>
        <v>0</v>
      </c>
      <c r="N222" s="7">
        <f t="shared" si="127"/>
        <v>0</v>
      </c>
      <c r="O222" s="7">
        <f t="shared" si="127"/>
        <v>0</v>
      </c>
      <c r="P222" s="7">
        <f t="shared" si="127"/>
        <v>0</v>
      </c>
      <c r="Q222" s="7">
        <f t="shared" si="127"/>
        <v>0</v>
      </c>
      <c r="R222" s="7">
        <f t="shared" si="127"/>
        <v>0</v>
      </c>
      <c r="S222" s="7">
        <f t="shared" si="127"/>
        <v>0</v>
      </c>
      <c r="T222" s="7">
        <f t="shared" si="127"/>
        <v>0</v>
      </c>
      <c r="U222" s="7">
        <f t="shared" si="127"/>
        <v>0</v>
      </c>
      <c r="V222" s="7">
        <f t="shared" si="127"/>
        <v>0</v>
      </c>
      <c r="W222" s="7">
        <f t="shared" si="127"/>
        <v>0</v>
      </c>
      <c r="X222" s="7">
        <f t="shared" si="127"/>
        <v>0</v>
      </c>
      <c r="Y222" s="7">
        <f t="shared" si="127"/>
        <v>0</v>
      </c>
      <c r="Z222" s="7">
        <f t="shared" si="127"/>
        <v>0</v>
      </c>
      <c r="AA222" s="7">
        <f t="shared" si="127"/>
        <v>0</v>
      </c>
      <c r="AB222" s="7">
        <f t="shared" si="127"/>
        <v>0</v>
      </c>
      <c r="AC222" s="7">
        <f t="shared" si="127"/>
        <v>0</v>
      </c>
      <c r="AD222" s="7">
        <f t="shared" si="127"/>
        <v>0</v>
      </c>
      <c r="AE222" s="7">
        <f t="shared" si="127"/>
        <v>0</v>
      </c>
      <c r="AF222" s="7">
        <f t="shared" si="127"/>
        <v>0</v>
      </c>
      <c r="AG222" s="7">
        <f t="shared" si="127"/>
        <v>0</v>
      </c>
      <c r="AH222" s="7">
        <f t="shared" si="127"/>
        <v>0</v>
      </c>
      <c r="AI222" s="7">
        <f t="shared" si="127"/>
        <v>0</v>
      </c>
      <c r="AJ222" s="7">
        <f t="shared" si="127"/>
        <v>0</v>
      </c>
      <c r="AK222" s="7">
        <f t="shared" si="127"/>
        <v>0</v>
      </c>
      <c r="AL222" s="7">
        <f t="shared" si="127"/>
        <v>0</v>
      </c>
      <c r="AM222" s="7">
        <f t="shared" si="127"/>
        <v>0</v>
      </c>
    </row>
    <row r="223" spans="1:39">
      <c r="A223" s="16" t="str">
        <f t="shared" si="122"/>
        <v>Other property loans</v>
      </c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</row>
    <row r="224" spans="1:39">
      <c r="A224" s="17" t="str">
        <f t="shared" si="122"/>
        <v>Sliema</v>
      </c>
      <c r="C224" s="7">
        <f ca="1">C206</f>
        <v>-45437.606462973985</v>
      </c>
      <c r="D224" s="7">
        <f t="shared" ref="D224:AM226" ca="1" si="128">D206</f>
        <v>-40736.443360703342</v>
      </c>
      <c r="E224" s="7">
        <f t="shared" ca="1" si="128"/>
        <v>-35892.289884070618</v>
      </c>
      <c r="F224" s="7">
        <f t="shared" ca="1" si="128"/>
        <v>-30900.796844010245</v>
      </c>
      <c r="G224" s="7">
        <f t="shared" ca="1" si="128"/>
        <v>-25757.48276670936</v>
      </c>
      <c r="H224" s="7">
        <f t="shared" ca="1" si="128"/>
        <v>-20457.729870040646</v>
      </c>
      <c r="I224" s="7">
        <f t="shared" ca="1" si="128"/>
        <v>-14996.779917614593</v>
      </c>
      <c r="J224" s="7">
        <f t="shared" ca="1" si="128"/>
        <v>-9369.7299467287376</v>
      </c>
      <c r="K224" s="7">
        <f t="shared" ca="1" si="128"/>
        <v>-3571.5278663783029</v>
      </c>
      <c r="L224" s="7">
        <f t="shared" ca="1" si="128"/>
        <v>0</v>
      </c>
      <c r="M224" s="7">
        <f t="shared" ca="1" si="128"/>
        <v>0</v>
      </c>
      <c r="N224" s="7">
        <f t="shared" ca="1" si="128"/>
        <v>0</v>
      </c>
      <c r="O224" s="7">
        <f t="shared" ca="1" si="128"/>
        <v>0</v>
      </c>
      <c r="P224" s="7">
        <f t="shared" ca="1" si="128"/>
        <v>0</v>
      </c>
      <c r="Q224" s="7">
        <f t="shared" ca="1" si="128"/>
        <v>0</v>
      </c>
      <c r="R224" s="7">
        <f t="shared" ca="1" si="128"/>
        <v>0</v>
      </c>
      <c r="S224" s="7">
        <f t="shared" ca="1" si="128"/>
        <v>0</v>
      </c>
      <c r="T224" s="7">
        <f t="shared" ca="1" si="128"/>
        <v>0</v>
      </c>
      <c r="U224" s="7">
        <f t="shared" ca="1" si="128"/>
        <v>0</v>
      </c>
      <c r="V224" s="7">
        <f t="shared" ca="1" si="128"/>
        <v>0</v>
      </c>
      <c r="W224" s="7">
        <f t="shared" ca="1" si="128"/>
        <v>0</v>
      </c>
      <c r="X224" s="7">
        <f t="shared" ca="1" si="128"/>
        <v>0</v>
      </c>
      <c r="Y224" s="7">
        <f t="shared" ca="1" si="128"/>
        <v>0</v>
      </c>
      <c r="Z224" s="7">
        <f t="shared" ca="1" si="128"/>
        <v>0</v>
      </c>
      <c r="AA224" s="7">
        <f t="shared" ca="1" si="128"/>
        <v>0</v>
      </c>
      <c r="AB224" s="7">
        <f t="shared" ca="1" si="128"/>
        <v>0</v>
      </c>
      <c r="AC224" s="7">
        <f t="shared" ca="1" si="128"/>
        <v>0</v>
      </c>
      <c r="AD224" s="7">
        <f t="shared" ca="1" si="128"/>
        <v>0</v>
      </c>
      <c r="AE224" s="7">
        <f t="shared" ca="1" si="128"/>
        <v>0</v>
      </c>
      <c r="AF224" s="7">
        <f t="shared" ca="1" si="128"/>
        <v>0</v>
      </c>
      <c r="AG224" s="7">
        <f t="shared" ca="1" si="128"/>
        <v>0</v>
      </c>
      <c r="AH224" s="7">
        <f t="shared" ca="1" si="128"/>
        <v>0</v>
      </c>
      <c r="AI224" s="7">
        <f t="shared" ca="1" si="128"/>
        <v>0</v>
      </c>
      <c r="AJ224" s="7">
        <f t="shared" ca="1" si="128"/>
        <v>0</v>
      </c>
      <c r="AK224" s="7">
        <f t="shared" ca="1" si="128"/>
        <v>0</v>
      </c>
      <c r="AL224" s="7">
        <f t="shared" ca="1" si="128"/>
        <v>0</v>
      </c>
      <c r="AM224" s="7">
        <f t="shared" ca="1" si="128"/>
        <v>0</v>
      </c>
    </row>
    <row r="225" spans="1:39">
      <c r="A225" s="17" t="str">
        <f t="shared" si="122"/>
        <v>Gzira</v>
      </c>
      <c r="C225" s="7">
        <f ca="1">C207</f>
        <v>-6249.4443415125261</v>
      </c>
      <c r="D225" s="7">
        <f t="shared" ca="1" si="128"/>
        <v>-3953.4626671330816</v>
      </c>
      <c r="E225" s="7">
        <f t="shared" ca="1" si="128"/>
        <v>-1611.1380819997976</v>
      </c>
      <c r="F225" s="7">
        <f t="shared" ca="1" si="128"/>
        <v>0</v>
      </c>
      <c r="G225" s="7">
        <f t="shared" ca="1" si="128"/>
        <v>0</v>
      </c>
      <c r="H225" s="7">
        <f t="shared" ca="1" si="128"/>
        <v>0</v>
      </c>
      <c r="I225" s="7">
        <f t="shared" ca="1" si="128"/>
        <v>0</v>
      </c>
      <c r="J225" s="7">
        <f t="shared" ca="1" si="128"/>
        <v>0</v>
      </c>
      <c r="K225" s="7">
        <f t="shared" ca="1" si="128"/>
        <v>0</v>
      </c>
      <c r="L225" s="7">
        <f t="shared" ca="1" si="128"/>
        <v>0</v>
      </c>
      <c r="M225" s="7">
        <f t="shared" ca="1" si="128"/>
        <v>0</v>
      </c>
      <c r="N225" s="7">
        <f t="shared" ca="1" si="128"/>
        <v>0</v>
      </c>
      <c r="O225" s="7">
        <f t="shared" ca="1" si="128"/>
        <v>0</v>
      </c>
      <c r="P225" s="7">
        <f t="shared" ca="1" si="128"/>
        <v>0</v>
      </c>
      <c r="Q225" s="7">
        <f t="shared" ca="1" si="128"/>
        <v>0</v>
      </c>
      <c r="R225" s="7">
        <f t="shared" ca="1" si="128"/>
        <v>0</v>
      </c>
      <c r="S225" s="7">
        <f t="shared" ca="1" si="128"/>
        <v>0</v>
      </c>
      <c r="T225" s="7">
        <f t="shared" ca="1" si="128"/>
        <v>0</v>
      </c>
      <c r="U225" s="7">
        <f t="shared" ca="1" si="128"/>
        <v>0</v>
      </c>
      <c r="V225" s="7">
        <f t="shared" ca="1" si="128"/>
        <v>0</v>
      </c>
      <c r="W225" s="7">
        <f t="shared" ca="1" si="128"/>
        <v>0</v>
      </c>
      <c r="X225" s="7">
        <f t="shared" ca="1" si="128"/>
        <v>0</v>
      </c>
      <c r="Y225" s="7">
        <f t="shared" ca="1" si="128"/>
        <v>0</v>
      </c>
      <c r="Z225" s="7">
        <f t="shared" ca="1" si="128"/>
        <v>0</v>
      </c>
      <c r="AA225" s="7">
        <f t="shared" ca="1" si="128"/>
        <v>0</v>
      </c>
      <c r="AB225" s="7">
        <f t="shared" ca="1" si="128"/>
        <v>0</v>
      </c>
      <c r="AC225" s="7">
        <f t="shared" ca="1" si="128"/>
        <v>0</v>
      </c>
      <c r="AD225" s="7">
        <f t="shared" ca="1" si="128"/>
        <v>0</v>
      </c>
      <c r="AE225" s="7">
        <f t="shared" ca="1" si="128"/>
        <v>0</v>
      </c>
      <c r="AF225" s="7">
        <f t="shared" ca="1" si="128"/>
        <v>0</v>
      </c>
      <c r="AG225" s="7">
        <f t="shared" ca="1" si="128"/>
        <v>0</v>
      </c>
      <c r="AH225" s="7">
        <f t="shared" ca="1" si="128"/>
        <v>0</v>
      </c>
      <c r="AI225" s="7">
        <f t="shared" ca="1" si="128"/>
        <v>0</v>
      </c>
      <c r="AJ225" s="7">
        <f t="shared" ca="1" si="128"/>
        <v>0</v>
      </c>
      <c r="AK225" s="7">
        <f t="shared" ca="1" si="128"/>
        <v>0</v>
      </c>
      <c r="AL225" s="7">
        <f t="shared" ca="1" si="128"/>
        <v>0</v>
      </c>
      <c r="AM225" s="7">
        <f t="shared" ca="1" si="128"/>
        <v>0</v>
      </c>
    </row>
    <row r="226" spans="1:39">
      <c r="A226" s="17" t="str">
        <f t="shared" si="122"/>
        <v>Qormi</v>
      </c>
      <c r="C226" s="7">
        <f ca="1">C208</f>
        <v>-12697.714595321995</v>
      </c>
      <c r="D226" s="7">
        <f t="shared" ca="1" si="128"/>
        <v>-10277.63989987525</v>
      </c>
      <c r="E226" s="7">
        <f t="shared" ca="1" si="128"/>
        <v>-7733.7495899939004</v>
      </c>
      <c r="F226" s="7">
        <f t="shared" ca="1" si="128"/>
        <v>-5059.7090238560577</v>
      </c>
      <c r="G226" s="7">
        <f t="shared" ca="1" si="128"/>
        <v>-2248.8594673418665</v>
      </c>
      <c r="H226" s="7">
        <f t="shared" ca="1" si="128"/>
        <v>0</v>
      </c>
      <c r="I226" s="7">
        <f t="shared" ca="1" si="128"/>
        <v>0</v>
      </c>
      <c r="J226" s="7">
        <f t="shared" ca="1" si="128"/>
        <v>0</v>
      </c>
      <c r="K226" s="7">
        <f t="shared" ca="1" si="128"/>
        <v>0</v>
      </c>
      <c r="L226" s="7">
        <f t="shared" ca="1" si="128"/>
        <v>0</v>
      </c>
      <c r="M226" s="7">
        <f t="shared" ca="1" si="128"/>
        <v>0</v>
      </c>
      <c r="N226" s="7">
        <f t="shared" ca="1" si="128"/>
        <v>0</v>
      </c>
      <c r="O226" s="7">
        <f t="shared" ca="1" si="128"/>
        <v>0</v>
      </c>
      <c r="P226" s="7">
        <f t="shared" ca="1" si="128"/>
        <v>0</v>
      </c>
      <c r="Q226" s="7">
        <f t="shared" ca="1" si="128"/>
        <v>0</v>
      </c>
      <c r="R226" s="7">
        <f t="shared" ca="1" si="128"/>
        <v>0</v>
      </c>
      <c r="S226" s="7">
        <f t="shared" ca="1" si="128"/>
        <v>0</v>
      </c>
      <c r="T226" s="7">
        <f t="shared" ca="1" si="128"/>
        <v>0</v>
      </c>
      <c r="U226" s="7">
        <f t="shared" ca="1" si="128"/>
        <v>0</v>
      </c>
      <c r="V226" s="7">
        <f t="shared" ca="1" si="128"/>
        <v>0</v>
      </c>
      <c r="W226" s="7">
        <f t="shared" ca="1" si="128"/>
        <v>0</v>
      </c>
      <c r="X226" s="7">
        <f t="shared" ca="1" si="128"/>
        <v>0</v>
      </c>
      <c r="Y226" s="7">
        <f t="shared" ca="1" si="128"/>
        <v>0</v>
      </c>
      <c r="Z226" s="7">
        <f t="shared" ca="1" si="128"/>
        <v>0</v>
      </c>
      <c r="AA226" s="7">
        <f t="shared" ca="1" si="128"/>
        <v>0</v>
      </c>
      <c r="AB226" s="7">
        <f t="shared" ca="1" si="128"/>
        <v>0</v>
      </c>
      <c r="AC226" s="7">
        <f t="shared" ca="1" si="128"/>
        <v>0</v>
      </c>
      <c r="AD226" s="7">
        <f t="shared" ca="1" si="128"/>
        <v>0</v>
      </c>
      <c r="AE226" s="7">
        <f t="shared" ca="1" si="128"/>
        <v>0</v>
      </c>
      <c r="AF226" s="7">
        <f t="shared" ca="1" si="128"/>
        <v>0</v>
      </c>
      <c r="AG226" s="7">
        <f t="shared" ca="1" si="128"/>
        <v>0</v>
      </c>
      <c r="AH226" s="7">
        <f t="shared" ca="1" si="128"/>
        <v>0</v>
      </c>
      <c r="AI226" s="7">
        <f t="shared" ca="1" si="128"/>
        <v>0</v>
      </c>
      <c r="AJ226" s="7">
        <f t="shared" ca="1" si="128"/>
        <v>0</v>
      </c>
      <c r="AK226" s="7">
        <f t="shared" ca="1" si="128"/>
        <v>0</v>
      </c>
      <c r="AL226" s="7">
        <f t="shared" ca="1" si="128"/>
        <v>0</v>
      </c>
      <c r="AM226" s="7">
        <f t="shared" ca="1" si="128"/>
        <v>0</v>
      </c>
    </row>
    <row r="227" spans="1:39">
      <c r="A227" s="17" t="str">
        <f t="shared" si="122"/>
        <v>Gudja</v>
      </c>
      <c r="C227" s="7">
        <f t="shared" ref="C227:AM228" ca="1" si="129">C209</f>
        <v>-3805.6137118773331</v>
      </c>
      <c r="D227" s="7">
        <f t="shared" ca="1" si="129"/>
        <v>-2913.5784999121538</v>
      </c>
      <c r="E227" s="7">
        <f t="shared" ca="1" si="129"/>
        <v>0</v>
      </c>
      <c r="F227" s="7">
        <f t="shared" ca="1" si="129"/>
        <v>0</v>
      </c>
      <c r="G227" s="7">
        <f t="shared" ca="1" si="129"/>
        <v>0</v>
      </c>
      <c r="H227" s="7">
        <f t="shared" ca="1" si="129"/>
        <v>0</v>
      </c>
      <c r="I227" s="7">
        <f t="shared" ca="1" si="129"/>
        <v>0</v>
      </c>
      <c r="J227" s="7">
        <f t="shared" ca="1" si="129"/>
        <v>0</v>
      </c>
      <c r="K227" s="7">
        <f t="shared" ca="1" si="129"/>
        <v>0</v>
      </c>
      <c r="L227" s="7">
        <f t="shared" ca="1" si="129"/>
        <v>0</v>
      </c>
      <c r="M227" s="7">
        <f t="shared" ca="1" si="129"/>
        <v>0</v>
      </c>
      <c r="N227" s="7">
        <f t="shared" ca="1" si="129"/>
        <v>0</v>
      </c>
      <c r="O227" s="7">
        <f t="shared" ca="1" si="129"/>
        <v>0</v>
      </c>
      <c r="P227" s="7">
        <f t="shared" ca="1" si="129"/>
        <v>0</v>
      </c>
      <c r="Q227" s="7">
        <f t="shared" ca="1" si="129"/>
        <v>0</v>
      </c>
      <c r="R227" s="7">
        <f t="shared" ca="1" si="129"/>
        <v>0</v>
      </c>
      <c r="S227" s="7">
        <f t="shared" ca="1" si="129"/>
        <v>0</v>
      </c>
      <c r="T227" s="7">
        <f t="shared" ca="1" si="129"/>
        <v>0</v>
      </c>
      <c r="U227" s="7">
        <f t="shared" ca="1" si="129"/>
        <v>0</v>
      </c>
      <c r="V227" s="7">
        <f t="shared" ca="1" si="129"/>
        <v>0</v>
      </c>
      <c r="W227" s="7">
        <f t="shared" ca="1" si="129"/>
        <v>0</v>
      </c>
      <c r="X227" s="7">
        <f t="shared" ca="1" si="129"/>
        <v>0</v>
      </c>
      <c r="Y227" s="7">
        <f t="shared" ca="1" si="129"/>
        <v>0</v>
      </c>
      <c r="Z227" s="7">
        <f t="shared" ca="1" si="129"/>
        <v>0</v>
      </c>
      <c r="AA227" s="7">
        <f t="shared" ca="1" si="129"/>
        <v>0</v>
      </c>
      <c r="AB227" s="7">
        <f t="shared" ca="1" si="129"/>
        <v>0</v>
      </c>
      <c r="AC227" s="7">
        <f t="shared" ca="1" si="129"/>
        <v>0</v>
      </c>
      <c r="AD227" s="7">
        <f t="shared" ca="1" si="129"/>
        <v>0</v>
      </c>
      <c r="AE227" s="7">
        <f t="shared" ca="1" si="129"/>
        <v>0</v>
      </c>
      <c r="AF227" s="7">
        <f t="shared" ca="1" si="129"/>
        <v>0</v>
      </c>
      <c r="AG227" s="7">
        <f t="shared" ca="1" si="129"/>
        <v>0</v>
      </c>
      <c r="AH227" s="7">
        <f t="shared" ca="1" si="129"/>
        <v>0</v>
      </c>
      <c r="AI227" s="7">
        <f t="shared" ca="1" si="129"/>
        <v>0</v>
      </c>
      <c r="AJ227" s="7">
        <f t="shared" ca="1" si="129"/>
        <v>0</v>
      </c>
      <c r="AK227" s="7">
        <f t="shared" ca="1" si="129"/>
        <v>0</v>
      </c>
      <c r="AL227" s="7">
        <f t="shared" ca="1" si="129"/>
        <v>0</v>
      </c>
      <c r="AM227" s="7">
        <f t="shared" ca="1" si="129"/>
        <v>0</v>
      </c>
    </row>
    <row r="228" spans="1:39">
      <c r="A228" s="17" t="str">
        <f t="shared" si="122"/>
        <v>Marsa</v>
      </c>
      <c r="C228" s="7">
        <f t="shared" ca="1" si="129"/>
        <v>-8353.7156417959159</v>
      </c>
      <c r="D228" s="7">
        <f t="shared" ca="1" si="129"/>
        <v>-7147.835964976146</v>
      </c>
      <c r="E228" s="7">
        <f t="shared" ca="1" si="129"/>
        <v>-5905.2783038633406</v>
      </c>
      <c r="F228" s="7">
        <f t="shared" ca="1" si="129"/>
        <v>-4624.9270624675901</v>
      </c>
      <c r="G228" s="7">
        <f t="shared" ca="1" si="129"/>
        <v>0</v>
      </c>
      <c r="H228" s="7">
        <f t="shared" ca="1" si="129"/>
        <v>0</v>
      </c>
      <c r="I228" s="7">
        <f t="shared" ca="1" si="129"/>
        <v>0</v>
      </c>
      <c r="J228" s="7">
        <f t="shared" ca="1" si="129"/>
        <v>0</v>
      </c>
      <c r="K228" s="7">
        <f t="shared" ca="1" si="129"/>
        <v>0</v>
      </c>
      <c r="L228" s="7">
        <f t="shared" ca="1" si="129"/>
        <v>0</v>
      </c>
      <c r="M228" s="7">
        <f t="shared" ca="1" si="129"/>
        <v>0</v>
      </c>
      <c r="N228" s="7">
        <f t="shared" ca="1" si="129"/>
        <v>0</v>
      </c>
      <c r="O228" s="7">
        <f t="shared" ca="1" si="129"/>
        <v>0</v>
      </c>
      <c r="P228" s="7">
        <f t="shared" ca="1" si="129"/>
        <v>0</v>
      </c>
      <c r="Q228" s="7">
        <f t="shared" ca="1" si="129"/>
        <v>0</v>
      </c>
      <c r="R228" s="7">
        <f t="shared" ca="1" si="129"/>
        <v>0</v>
      </c>
      <c r="S228" s="7">
        <f t="shared" ca="1" si="129"/>
        <v>0</v>
      </c>
      <c r="T228" s="7">
        <f t="shared" ca="1" si="129"/>
        <v>0</v>
      </c>
      <c r="U228" s="7">
        <f t="shared" ca="1" si="129"/>
        <v>0</v>
      </c>
      <c r="V228" s="7">
        <f t="shared" ca="1" si="129"/>
        <v>0</v>
      </c>
      <c r="W228" s="7">
        <f t="shared" ca="1" si="129"/>
        <v>0</v>
      </c>
      <c r="X228" s="7">
        <f t="shared" ca="1" si="129"/>
        <v>0</v>
      </c>
      <c r="Y228" s="7">
        <f t="shared" ca="1" si="129"/>
        <v>0</v>
      </c>
      <c r="Z228" s="7">
        <f t="shared" ca="1" si="129"/>
        <v>0</v>
      </c>
      <c r="AA228" s="7">
        <f t="shared" ca="1" si="129"/>
        <v>0</v>
      </c>
      <c r="AB228" s="7">
        <f t="shared" ca="1" si="129"/>
        <v>0</v>
      </c>
      <c r="AC228" s="7">
        <f t="shared" ca="1" si="129"/>
        <v>0</v>
      </c>
      <c r="AD228" s="7">
        <f t="shared" ca="1" si="129"/>
        <v>0</v>
      </c>
      <c r="AE228" s="7">
        <f t="shared" ca="1" si="129"/>
        <v>0</v>
      </c>
      <c r="AF228" s="7">
        <f t="shared" ca="1" si="129"/>
        <v>0</v>
      </c>
      <c r="AG228" s="7">
        <f t="shared" ca="1" si="129"/>
        <v>0</v>
      </c>
      <c r="AH228" s="7">
        <f t="shared" ca="1" si="129"/>
        <v>0</v>
      </c>
      <c r="AI228" s="7">
        <f t="shared" ca="1" si="129"/>
        <v>0</v>
      </c>
      <c r="AJ228" s="7">
        <f t="shared" ca="1" si="129"/>
        <v>0</v>
      </c>
      <c r="AK228" s="7">
        <f t="shared" ca="1" si="129"/>
        <v>0</v>
      </c>
      <c r="AL228" s="7">
        <f t="shared" ca="1" si="129"/>
        <v>0</v>
      </c>
      <c r="AM228" s="7">
        <f t="shared" ca="1" si="129"/>
        <v>0</v>
      </c>
    </row>
    <row r="229" spans="1:39">
      <c r="A229" s="16" t="str">
        <f>A77</f>
        <v>Other loan</v>
      </c>
      <c r="C229" s="7">
        <f t="shared" ref="C229:AM229" si="130">C77</f>
        <v>-3629.9331288130147</v>
      </c>
      <c r="D229" s="7">
        <f t="shared" si="130"/>
        <v>-3237.0413427676731</v>
      </c>
      <c r="E229" s="7">
        <f t="shared" si="130"/>
        <v>-2819.9168510595237</v>
      </c>
      <c r="F229" s="7">
        <f t="shared" si="130"/>
        <v>-2377.0650334277229</v>
      </c>
      <c r="G229" s="7">
        <f t="shared" si="130"/>
        <v>-1906.8990847041773</v>
      </c>
      <c r="H229" s="7">
        <f t="shared" si="130"/>
        <v>-1407.7343290501685</v>
      </c>
      <c r="I229" s="7">
        <f t="shared" si="130"/>
        <v>-877.78218350754105</v>
      </c>
      <c r="J229" s="7">
        <f t="shared" si="130"/>
        <v>-315.14374923495234</v>
      </c>
      <c r="K229" s="7">
        <f t="shared" si="130"/>
        <v>0</v>
      </c>
      <c r="L229" s="7">
        <f t="shared" si="130"/>
        <v>0</v>
      </c>
      <c r="M229" s="7">
        <f t="shared" si="130"/>
        <v>0</v>
      </c>
      <c r="N229" s="7">
        <f t="shared" si="130"/>
        <v>0</v>
      </c>
      <c r="O229" s="7">
        <f t="shared" si="130"/>
        <v>0</v>
      </c>
      <c r="P229" s="7">
        <f t="shared" si="130"/>
        <v>0</v>
      </c>
      <c r="Q229" s="7">
        <f t="shared" si="130"/>
        <v>0</v>
      </c>
      <c r="R229" s="7">
        <f t="shared" si="130"/>
        <v>0</v>
      </c>
      <c r="S229" s="7">
        <f t="shared" si="130"/>
        <v>0</v>
      </c>
      <c r="T229" s="7">
        <f t="shared" si="130"/>
        <v>0</v>
      </c>
      <c r="U229" s="7">
        <f t="shared" si="130"/>
        <v>0</v>
      </c>
      <c r="V229" s="7">
        <f t="shared" si="130"/>
        <v>0</v>
      </c>
      <c r="W229" s="7">
        <f t="shared" si="130"/>
        <v>0</v>
      </c>
      <c r="X229" s="7">
        <f t="shared" si="130"/>
        <v>0</v>
      </c>
      <c r="Y229" s="7">
        <f t="shared" si="130"/>
        <v>0</v>
      </c>
      <c r="Z229" s="7">
        <f t="shared" si="130"/>
        <v>0</v>
      </c>
      <c r="AA229" s="7">
        <f t="shared" si="130"/>
        <v>0</v>
      </c>
      <c r="AB229" s="7">
        <f t="shared" si="130"/>
        <v>0</v>
      </c>
      <c r="AC229" s="7">
        <f t="shared" si="130"/>
        <v>0</v>
      </c>
      <c r="AD229" s="7">
        <f t="shared" si="130"/>
        <v>0</v>
      </c>
      <c r="AE229" s="7">
        <f t="shared" si="130"/>
        <v>0</v>
      </c>
      <c r="AF229" s="7">
        <f t="shared" si="130"/>
        <v>0</v>
      </c>
      <c r="AG229" s="7">
        <f t="shared" si="130"/>
        <v>0</v>
      </c>
      <c r="AH229" s="7">
        <f t="shared" si="130"/>
        <v>0</v>
      </c>
      <c r="AI229" s="7">
        <f t="shared" si="130"/>
        <v>0</v>
      </c>
      <c r="AJ229" s="7">
        <f t="shared" si="130"/>
        <v>0</v>
      </c>
      <c r="AK229" s="7">
        <f t="shared" si="130"/>
        <v>0</v>
      </c>
      <c r="AL229" s="7">
        <f t="shared" si="130"/>
        <v>0</v>
      </c>
      <c r="AM229" s="7">
        <f t="shared" si="130"/>
        <v>0</v>
      </c>
    </row>
    <row r="230" spans="1:39">
      <c r="A230" s="4"/>
      <c r="C230" s="9">
        <f ca="1">SUM(C212:C229)</f>
        <v>1502255.030484352</v>
      </c>
      <c r="D230" s="9">
        <f t="shared" ref="D230:AM230" ca="1" si="131">SUM(D212:D229)</f>
        <v>1601971.8939653663</v>
      </c>
      <c r="E230" s="9">
        <f t="shared" ca="1" si="131"/>
        <v>1584169.6388663864</v>
      </c>
      <c r="F230" s="9">
        <f t="shared" ca="1" si="131"/>
        <v>1601203.9751105551</v>
      </c>
      <c r="G230" s="9">
        <f t="shared" ca="1" si="131"/>
        <v>1599024.628803341</v>
      </c>
      <c r="H230" s="9">
        <f t="shared" ca="1" si="131"/>
        <v>1617128.9271149298</v>
      </c>
      <c r="I230" s="9">
        <f t="shared" ca="1" si="131"/>
        <v>1604780.2930441611</v>
      </c>
      <c r="J230" s="9">
        <f t="shared" ca="1" si="131"/>
        <v>1591664.3815805877</v>
      </c>
      <c r="K230" s="9">
        <f t="shared" ca="1" si="131"/>
        <v>1658765.1865764798</v>
      </c>
      <c r="L230" s="9">
        <f t="shared" ca="1" si="131"/>
        <v>1628761.5930541516</v>
      </c>
      <c r="M230" s="9">
        <f t="shared" ca="1" si="131"/>
        <v>1646227.1160685844</v>
      </c>
      <c r="N230" s="9">
        <f t="shared" ca="1" si="131"/>
        <v>1615337.0564431059</v>
      </c>
      <c r="O230" s="9">
        <f t="shared" ca="1" si="131"/>
        <v>1619818.3808267005</v>
      </c>
      <c r="P230" s="9">
        <f t="shared" ca="1" si="131"/>
        <v>1623789.3571443062</v>
      </c>
      <c r="Q230" s="9">
        <f t="shared" ca="1" si="131"/>
        <v>1627051.9793510539</v>
      </c>
      <c r="R230" s="9">
        <f t="shared" ca="1" si="131"/>
        <v>1629475.8543743305</v>
      </c>
      <c r="S230" s="9">
        <f t="shared" ca="1" si="131"/>
        <v>1649006.2946174531</v>
      </c>
      <c r="T230" s="9">
        <f t="shared" ca="1" si="131"/>
        <v>1676363.6126447022</v>
      </c>
      <c r="U230" s="9">
        <f t="shared" ca="1" si="131"/>
        <v>1704147.2558989122</v>
      </c>
      <c r="V230" s="9">
        <f t="shared" ca="1" si="131"/>
        <v>1732380.1053189985</v>
      </c>
      <c r="W230" s="9">
        <f t="shared" ca="1" si="131"/>
        <v>1761085.9805515951</v>
      </c>
      <c r="X230" s="9">
        <f t="shared" ca="1" si="131"/>
        <v>1681034.2886706511</v>
      </c>
      <c r="Y230" s="9">
        <f t="shared" ca="1" si="131"/>
        <v>1669867.7229271731</v>
      </c>
      <c r="Z230" s="9">
        <f t="shared" ca="1" si="131"/>
        <v>1656901.4959778069</v>
      </c>
      <c r="AA230" s="9">
        <f t="shared" ca="1" si="131"/>
        <v>1642035.1363398044</v>
      </c>
      <c r="AB230" s="9">
        <f t="shared" ca="1" si="131"/>
        <v>1625226.4693795294</v>
      </c>
      <c r="AC230" s="9">
        <f t="shared" ca="1" si="131"/>
        <v>1606432.4259580127</v>
      </c>
      <c r="AD230" s="9">
        <f t="shared" ca="1" si="131"/>
        <v>1595591.4999579198</v>
      </c>
      <c r="AE230" s="9">
        <f t="shared" ca="1" si="131"/>
        <v>1583032.5623809637</v>
      </c>
      <c r="AF230" s="9">
        <f t="shared" ca="1" si="131"/>
        <v>1568352.6403667291</v>
      </c>
      <c r="AG230" s="9">
        <f t="shared" ca="1" si="131"/>
        <v>1551752.7901412062</v>
      </c>
      <c r="AH230" s="9">
        <f t="shared" ca="1" si="131"/>
        <v>1534953.4228267265</v>
      </c>
      <c r="AI230" s="9">
        <f t="shared" ca="1" si="131"/>
        <v>1517960.9305040576</v>
      </c>
      <c r="AJ230" s="9">
        <f t="shared" ca="1" si="131"/>
        <v>1500776.3654981372</v>
      </c>
      <c r="AK230" s="9">
        <f t="shared" ca="1" si="131"/>
        <v>1483400.9763588994</v>
      </c>
      <c r="AL230" s="9">
        <f t="shared" ca="1" si="131"/>
        <v>1465836.217701989</v>
      </c>
      <c r="AM230" s="9">
        <f t="shared" ca="1" si="131"/>
        <v>1448482.0250176038</v>
      </c>
    </row>
    <row r="231" spans="1:39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</row>
    <row r="232" spans="1:39" ht="19">
      <c r="A232" s="25" t="s">
        <v>78</v>
      </c>
      <c r="B232" s="26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</row>
    <row r="233" spans="1:39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</row>
    <row r="234" spans="1:39">
      <c r="A234" s="15" t="s">
        <v>67</v>
      </c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</row>
    <row r="235" spans="1:39">
      <c r="A235" s="3" t="s">
        <v>9</v>
      </c>
      <c r="C235" s="7">
        <f t="shared" ref="C235:AM235" ca="1" si="132">C61</f>
        <v>77716.75</v>
      </c>
      <c r="D235" s="7">
        <f t="shared" ca="1" si="132"/>
        <v>109048.49374999999</v>
      </c>
      <c r="E235" s="7">
        <f t="shared" ca="1" si="132"/>
        <v>34867.484218750018</v>
      </c>
      <c r="F235" s="7">
        <f t="shared" ca="1" si="132"/>
        <v>-9308.6612210442399</v>
      </c>
      <c r="G235" s="7">
        <f t="shared" ca="1" si="132"/>
        <v>-52481.911020106716</v>
      </c>
      <c r="H235" s="7">
        <f t="shared" ca="1" si="132"/>
        <v>-84473.241088310897</v>
      </c>
      <c r="I235" s="7">
        <f t="shared" ca="1" si="132"/>
        <v>-110222.28903870503</v>
      </c>
      <c r="J235" s="7">
        <f t="shared" ca="1" si="132"/>
        <v>-153105.83244917277</v>
      </c>
      <c r="K235" s="7">
        <f t="shared" ca="1" si="132"/>
        <v>-116603.11351424125</v>
      </c>
      <c r="L235" s="7">
        <f t="shared" ca="1" si="132"/>
        <v>-173465.54687981401</v>
      </c>
      <c r="M235" s="7">
        <f t="shared" ca="1" si="132"/>
        <v>-179137.07525845809</v>
      </c>
      <c r="N235" s="7">
        <f t="shared" ca="1" si="132"/>
        <v>-184671.52919785437</v>
      </c>
      <c r="O235" s="7">
        <f t="shared" ca="1" si="132"/>
        <v>-190057.11595756022</v>
      </c>
      <c r="P235" s="7">
        <f t="shared" ca="1" si="132"/>
        <v>-195281.49700223812</v>
      </c>
      <c r="Q235" s="7">
        <f t="shared" ca="1" si="132"/>
        <v>-200331.76682749175</v>
      </c>
      <c r="R235" s="7">
        <f t="shared" ca="1" si="132"/>
        <v>-205194.43103046931</v>
      </c>
      <c r="S235" s="7">
        <f t="shared" ca="1" si="132"/>
        <v>-192338.21727578196</v>
      </c>
      <c r="T235" s="7">
        <f t="shared" ca="1" si="132"/>
        <v>-171219.53028522906</v>
      </c>
      <c r="U235" s="7">
        <f t="shared" ca="1" si="132"/>
        <v>-149229.91023621598</v>
      </c>
      <c r="V235" s="7">
        <f t="shared" ca="1" si="132"/>
        <v>-126337.29482577024</v>
      </c>
      <c r="W235" s="7">
        <f t="shared" ca="1" si="132"/>
        <v>-102508.51152404986</v>
      </c>
      <c r="X235" s="7">
        <f t="shared" ca="1" si="132"/>
        <v>-97864.222774164416</v>
      </c>
      <c r="Y235" s="7">
        <f t="shared" ca="1" si="132"/>
        <v>-92717.815681902153</v>
      </c>
      <c r="Z235" s="7">
        <f t="shared" ca="1" si="132"/>
        <v>-87045.156954994687</v>
      </c>
      <c r="AA235" s="7">
        <f t="shared" ca="1" si="132"/>
        <v>-80821.162558855736</v>
      </c>
      <c r="AB235" s="7">
        <f t="shared" ca="1" si="132"/>
        <v>-74019.763525722796</v>
      </c>
      <c r="AC235" s="7">
        <f t="shared" ca="1" si="132"/>
        <v>-66613.870596358232</v>
      </c>
      <c r="AD235" s="7">
        <f t="shared" ca="1" si="132"/>
        <v>-48836.337564245652</v>
      </c>
      <c r="AE235" s="7">
        <f t="shared" ca="1" si="132"/>
        <v>-30153.448737674466</v>
      </c>
      <c r="AF235" s="7">
        <f t="shared" ca="1" si="132"/>
        <v>-10528.742697723501</v>
      </c>
      <c r="AG235" s="7">
        <f t="shared" ca="1" si="132"/>
        <v>10075.56833572319</v>
      </c>
      <c r="AH235" s="7">
        <f t="shared" ca="1" si="132"/>
        <v>32220.82176332167</v>
      </c>
      <c r="AI235" s="7">
        <f t="shared" ca="1" si="132"/>
        <v>55992.291887140978</v>
      </c>
      <c r="AJ235" s="7">
        <f t="shared" ca="1" si="132"/>
        <v>81473.206296251374</v>
      </c>
      <c r="AK235" s="7">
        <f t="shared" ca="1" si="132"/>
        <v>108750.41029987112</v>
      </c>
      <c r="AL235" s="7">
        <f t="shared" ca="1" si="132"/>
        <v>137914.50997791451</v>
      </c>
      <c r="AM235" s="7">
        <f t="shared" ca="1" si="132"/>
        <v>169060.02054844575</v>
      </c>
    </row>
    <row r="236" spans="1:39">
      <c r="A236" s="3" t="s">
        <v>28</v>
      </c>
      <c r="C236" s="7">
        <f t="shared" ref="C236:AM236" ca="1" si="133">C78</f>
        <v>1502255.030484352</v>
      </c>
      <c r="D236" s="7">
        <f t="shared" ca="1" si="133"/>
        <v>1601971.8939653663</v>
      </c>
      <c r="E236" s="7">
        <f t="shared" ca="1" si="133"/>
        <v>1598395.5015844877</v>
      </c>
      <c r="F236" s="7">
        <f t="shared" ca="1" si="133"/>
        <v>1626344.8968104629</v>
      </c>
      <c r="G236" s="7">
        <f t="shared" ca="1" si="133"/>
        <v>1656020.496590497</v>
      </c>
      <c r="H236" s="7">
        <f t="shared" ca="1" si="133"/>
        <v>1694578.1895353505</v>
      </c>
      <c r="I236" s="7">
        <f t="shared" ca="1" si="133"/>
        <v>1732687.0184040503</v>
      </c>
      <c r="J236" s="7">
        <f t="shared" ca="1" si="133"/>
        <v>1754889.2198031158</v>
      </c>
      <c r="K236" s="7">
        <f t="shared" ca="1" si="133"/>
        <v>1857812.0776615031</v>
      </c>
      <c r="L236" s="7">
        <f t="shared" ca="1" si="133"/>
        <v>1866859.2806742294</v>
      </c>
      <c r="M236" s="7">
        <f t="shared" ca="1" si="133"/>
        <v>1925635.8846181156</v>
      </c>
      <c r="N236" s="7">
        <f t="shared" ca="1" si="133"/>
        <v>1986742.0779705991</v>
      </c>
      <c r="O236" s="7">
        <f t="shared" ca="1" si="133"/>
        <v>2050276.1546011751</v>
      </c>
      <c r="P236" s="7">
        <f t="shared" ca="1" si="133"/>
        <v>2116341.2072625058</v>
      </c>
      <c r="Q236" s="7">
        <f t="shared" ca="1" si="133"/>
        <v>2185045.4090015809</v>
      </c>
      <c r="R236" s="7">
        <f t="shared" ca="1" si="133"/>
        <v>2256502.3137447741</v>
      </c>
      <c r="S236" s="7">
        <f t="shared" ca="1" si="133"/>
        <v>2348348.3438077196</v>
      </c>
      <c r="T236" s="7">
        <f t="shared" ca="1" si="133"/>
        <v>2451237.6547129788</v>
      </c>
      <c r="U236" s="7">
        <f t="shared" ca="1" si="133"/>
        <v>2557895.0195607156</v>
      </c>
      <c r="V236" s="7">
        <f t="shared" ca="1" si="133"/>
        <v>2668474.9344537491</v>
      </c>
      <c r="W236" s="7">
        <f t="shared" ca="1" si="133"/>
        <v>2783139.5203496297</v>
      </c>
      <c r="X236" s="7">
        <f t="shared" ca="1" si="133"/>
        <v>2881904.000628761</v>
      </c>
      <c r="Y236" s="7">
        <f t="shared" ca="1" si="133"/>
        <v>2984598.2650419902</v>
      </c>
      <c r="Z236" s="7">
        <f t="shared" ca="1" si="133"/>
        <v>3091397.6016590032</v>
      </c>
      <c r="AA236" s="7">
        <f t="shared" ca="1" si="133"/>
        <v>3202486.6499194223</v>
      </c>
      <c r="AB236" s="7">
        <f t="shared" ca="1" si="133"/>
        <v>3318059.9961212324</v>
      </c>
      <c r="AC236" s="7">
        <f t="shared" ca="1" si="133"/>
        <v>3438322.8116578809</v>
      </c>
      <c r="AD236" s="7">
        <f t="shared" ca="1" si="133"/>
        <v>3573230.5373609271</v>
      </c>
      <c r="AE236" s="7">
        <f t="shared" ca="1" si="133"/>
        <v>3713516.0920148226</v>
      </c>
      <c r="AF236" s="7">
        <f t="shared" ca="1" si="133"/>
        <v>3859426.796623284</v>
      </c>
      <c r="AG236" s="7">
        <f t="shared" ca="1" si="133"/>
        <v>4011223.7591699711</v>
      </c>
      <c r="AH236" s="7">
        <f t="shared" ca="1" si="133"/>
        <v>4169704.9624828966</v>
      </c>
      <c r="AI236" s="7">
        <f t="shared" ca="1" si="133"/>
        <v>4335206.5813214257</v>
      </c>
      <c r="AJ236" s="7">
        <f t="shared" ca="1" si="133"/>
        <v>4508077.9988661371</v>
      </c>
      <c r="AK236" s="7">
        <f t="shared" ca="1" si="133"/>
        <v>4688688.5470556328</v>
      </c>
      <c r="AL236" s="7">
        <f t="shared" ca="1" si="133"/>
        <v>4877428.8072778294</v>
      </c>
      <c r="AM236" s="7">
        <f t="shared" ca="1" si="133"/>
        <v>5074712.0045241583</v>
      </c>
    </row>
    <row r="237" spans="1:39">
      <c r="A237" s="3"/>
      <c r="C237" s="10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</row>
    <row r="238" spans="1:39">
      <c r="A238" s="15" t="s">
        <v>68</v>
      </c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</row>
    <row r="239" spans="1:39">
      <c r="A239" s="3" t="s">
        <v>9</v>
      </c>
      <c r="C239" s="7">
        <f t="shared" ref="C239:AM239" ca="1" si="134">C213</f>
        <v>77716.75</v>
      </c>
      <c r="D239" s="7">
        <f t="shared" ca="1" si="134"/>
        <v>109048.49374999999</v>
      </c>
      <c r="E239" s="7">
        <f t="shared" ca="1" si="134"/>
        <v>111891.10341475303</v>
      </c>
      <c r="F239" s="7">
        <f t="shared" ca="1" si="134"/>
        <v>95330.661493535095</v>
      </c>
      <c r="G239" s="7">
        <f t="shared" ca="1" si="134"/>
        <v>163023.26474117296</v>
      </c>
      <c r="H239" s="7">
        <f t="shared" ca="1" si="134"/>
        <v>122547.97472219041</v>
      </c>
      <c r="I239" s="7">
        <f t="shared" ca="1" si="134"/>
        <v>243196.12586942854</v>
      </c>
      <c r="J239" s="7">
        <f t="shared" ca="1" si="134"/>
        <v>182566.76412242133</v>
      </c>
      <c r="K239" s="7">
        <f t="shared" ca="1" si="134"/>
        <v>200990.74855410369</v>
      </c>
      <c r="L239" s="7">
        <f t="shared" ca="1" si="134"/>
        <v>123575.24818873481</v>
      </c>
      <c r="M239" s="7">
        <f t="shared" ca="1" si="134"/>
        <v>95885.18085720489</v>
      </c>
      <c r="N239" s="7">
        <f t="shared" ca="1" si="134"/>
        <v>332152.25828154449</v>
      </c>
      <c r="O239" s="7">
        <f t="shared" ca="1" si="134"/>
        <v>298138.03872029216</v>
      </c>
      <c r="P239" s="7">
        <f t="shared" ca="1" si="134"/>
        <v>262458.6047747056</v>
      </c>
      <c r="Q239" s="7">
        <f t="shared" ca="1" si="134"/>
        <v>224881.30441036529</v>
      </c>
      <c r="R239" s="7">
        <f t="shared" ca="1" si="134"/>
        <v>185240.0591854208</v>
      </c>
      <c r="S239" s="7">
        <f t="shared" ca="1" si="134"/>
        <v>161443.42557287621</v>
      </c>
      <c r="T239" s="7">
        <f t="shared" ca="1" si="134"/>
        <v>144173.85752878783</v>
      </c>
      <c r="U239" s="7">
        <f t="shared" ca="1" si="134"/>
        <v>125991.80812952048</v>
      </c>
      <c r="V239" s="7">
        <f t="shared" ca="1" si="134"/>
        <v>106879.99411652473</v>
      </c>
      <c r="W239" s="7">
        <f t="shared" ca="1" si="134"/>
        <v>86820.86601304714</v>
      </c>
      <c r="X239" s="7">
        <f t="shared" ca="1" si="134"/>
        <v>531372.24335418153</v>
      </c>
      <c r="Y239" s="7">
        <f t="shared" ca="1" si="134"/>
        <v>485715.81625120947</v>
      </c>
      <c r="Z239" s="7">
        <f t="shared" ca="1" si="134"/>
        <v>437225.03210156446</v>
      </c>
      <c r="AA239" s="7">
        <f t="shared" ca="1" si="134"/>
        <v>385768.37854727457</v>
      </c>
      <c r="AB239" s="7">
        <f t="shared" ca="1" si="134"/>
        <v>331271.70885322365</v>
      </c>
      <c r="AC239" s="7">
        <f t="shared" ca="1" si="134"/>
        <v>273659.02261591784</v>
      </c>
      <c r="AD239" s="7">
        <f t="shared" ca="1" si="134"/>
        <v>222834.89451556181</v>
      </c>
      <c r="AE239" s="7">
        <f t="shared" ca="1" si="134"/>
        <v>169093.2587753351</v>
      </c>
      <c r="AF239" s="7">
        <f t="shared" ca="1" si="134"/>
        <v>111995.15765293146</v>
      </c>
      <c r="AG239" s="7">
        <f t="shared" ca="1" si="134"/>
        <v>51704.582945994451</v>
      </c>
      <c r="AH239" s="7">
        <f t="shared" ca="1" si="134"/>
        <v>-10096.230584341451</v>
      </c>
      <c r="AI239" s="7">
        <f t="shared" ca="1" si="134"/>
        <v>-73440.212509342353</v>
      </c>
      <c r="AJ239" s="7">
        <f t="shared" ca="1" si="134"/>
        <v>-138366.81180566468</v>
      </c>
      <c r="AK239" s="7">
        <f t="shared" ca="1" si="134"/>
        <v>-204916.49626401666</v>
      </c>
      <c r="AL239" s="7">
        <f t="shared" ca="1" si="134"/>
        <v>-273130.77909961465</v>
      </c>
      <c r="AM239" s="7">
        <f t="shared" ca="1" si="134"/>
        <v>-342653.98168804793</v>
      </c>
    </row>
    <row r="240" spans="1:39">
      <c r="A240" s="3" t="s">
        <v>28</v>
      </c>
      <c r="C240" s="7">
        <f t="shared" ref="C240:AM240" ca="1" si="135">C230</f>
        <v>1502255.030484352</v>
      </c>
      <c r="D240" s="7">
        <f t="shared" ca="1" si="135"/>
        <v>1601971.8939653663</v>
      </c>
      <c r="E240" s="7">
        <f t="shared" ca="1" si="135"/>
        <v>1584169.6388663864</v>
      </c>
      <c r="F240" s="7">
        <f t="shared" ca="1" si="135"/>
        <v>1601203.9751105551</v>
      </c>
      <c r="G240" s="7">
        <f t="shared" ca="1" si="135"/>
        <v>1599024.628803341</v>
      </c>
      <c r="H240" s="7">
        <f t="shared" ca="1" si="135"/>
        <v>1617128.9271149298</v>
      </c>
      <c r="I240" s="7">
        <f t="shared" ca="1" si="135"/>
        <v>1604780.2930441611</v>
      </c>
      <c r="J240" s="7">
        <f t="shared" ca="1" si="135"/>
        <v>1591664.3815805877</v>
      </c>
      <c r="K240" s="7">
        <f t="shared" ca="1" si="135"/>
        <v>1658765.1865764798</v>
      </c>
      <c r="L240" s="7">
        <f t="shared" ca="1" si="135"/>
        <v>1628761.5930541516</v>
      </c>
      <c r="M240" s="7">
        <f t="shared" ca="1" si="135"/>
        <v>1646227.1160685844</v>
      </c>
      <c r="N240" s="7">
        <f t="shared" ca="1" si="135"/>
        <v>1615337.0564431059</v>
      </c>
      <c r="O240" s="7">
        <f t="shared" ca="1" si="135"/>
        <v>1619818.3808267005</v>
      </c>
      <c r="P240" s="7">
        <f t="shared" ca="1" si="135"/>
        <v>1623789.3571443062</v>
      </c>
      <c r="Q240" s="7">
        <f t="shared" ca="1" si="135"/>
        <v>1627051.9793510539</v>
      </c>
      <c r="R240" s="7">
        <f t="shared" ca="1" si="135"/>
        <v>1629475.8543743305</v>
      </c>
      <c r="S240" s="7">
        <f t="shared" ca="1" si="135"/>
        <v>1649006.2946174531</v>
      </c>
      <c r="T240" s="7">
        <f t="shared" ca="1" si="135"/>
        <v>1676363.6126447022</v>
      </c>
      <c r="U240" s="7">
        <f t="shared" ca="1" si="135"/>
        <v>1704147.2558989122</v>
      </c>
      <c r="V240" s="7">
        <f t="shared" ca="1" si="135"/>
        <v>1732380.1053189985</v>
      </c>
      <c r="W240" s="7">
        <f t="shared" ca="1" si="135"/>
        <v>1761085.9805515951</v>
      </c>
      <c r="X240" s="7">
        <f t="shared" ca="1" si="135"/>
        <v>1681034.2886706511</v>
      </c>
      <c r="Y240" s="7">
        <f t="shared" ca="1" si="135"/>
        <v>1669867.7229271731</v>
      </c>
      <c r="Z240" s="7">
        <f t="shared" ca="1" si="135"/>
        <v>1656901.4959778069</v>
      </c>
      <c r="AA240" s="7">
        <f t="shared" ca="1" si="135"/>
        <v>1642035.1363398044</v>
      </c>
      <c r="AB240" s="7">
        <f t="shared" ca="1" si="135"/>
        <v>1625226.4693795294</v>
      </c>
      <c r="AC240" s="7">
        <f t="shared" ca="1" si="135"/>
        <v>1606432.4259580127</v>
      </c>
      <c r="AD240" s="7">
        <f t="shared" ca="1" si="135"/>
        <v>1595591.4999579198</v>
      </c>
      <c r="AE240" s="7">
        <f t="shared" ca="1" si="135"/>
        <v>1583032.5623809637</v>
      </c>
      <c r="AF240" s="7">
        <f t="shared" ca="1" si="135"/>
        <v>1568352.6403667291</v>
      </c>
      <c r="AG240" s="7">
        <f t="shared" ca="1" si="135"/>
        <v>1551752.7901412062</v>
      </c>
      <c r="AH240" s="7">
        <f t="shared" ca="1" si="135"/>
        <v>1534953.4228267265</v>
      </c>
      <c r="AI240" s="7">
        <f t="shared" ca="1" si="135"/>
        <v>1517960.9305040576</v>
      </c>
      <c r="AJ240" s="7">
        <f t="shared" ca="1" si="135"/>
        <v>1500776.3654981372</v>
      </c>
      <c r="AK240" s="7">
        <f t="shared" ca="1" si="135"/>
        <v>1483400.9763588994</v>
      </c>
      <c r="AL240" s="7">
        <f t="shared" ca="1" si="135"/>
        <v>1465836.217701989</v>
      </c>
      <c r="AM240" s="7">
        <f t="shared" ca="1" si="135"/>
        <v>1448482.0250176038</v>
      </c>
    </row>
    <row r="241" spans="1:39">
      <c r="A241" s="3"/>
      <c r="C241" s="7"/>
      <c r="D241" s="7"/>
      <c r="E241" s="23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</row>
    <row r="242" spans="1:39">
      <c r="A242" s="15" t="s">
        <v>69</v>
      </c>
      <c r="B242" s="2" t="s">
        <v>1</v>
      </c>
      <c r="C242" s="7">
        <f t="shared" ref="C242:AM242" si="136">C3</f>
        <v>49</v>
      </c>
      <c r="D242" s="7">
        <f t="shared" si="136"/>
        <v>50</v>
      </c>
      <c r="E242" s="7">
        <f t="shared" si="136"/>
        <v>51</v>
      </c>
      <c r="F242" s="7">
        <f t="shared" si="136"/>
        <v>52</v>
      </c>
      <c r="G242" s="7">
        <f t="shared" si="136"/>
        <v>53</v>
      </c>
      <c r="H242" s="7">
        <f t="shared" si="136"/>
        <v>54</v>
      </c>
      <c r="I242" s="7">
        <f t="shared" si="136"/>
        <v>55</v>
      </c>
      <c r="J242" s="7">
        <f t="shared" si="136"/>
        <v>56</v>
      </c>
      <c r="K242" s="7">
        <f t="shared" si="136"/>
        <v>57</v>
      </c>
      <c r="L242" s="7">
        <f t="shared" si="136"/>
        <v>58</v>
      </c>
      <c r="M242" s="7">
        <f t="shared" si="136"/>
        <v>59</v>
      </c>
      <c r="N242" s="7">
        <f t="shared" si="136"/>
        <v>60</v>
      </c>
      <c r="O242" s="7">
        <f t="shared" si="136"/>
        <v>61</v>
      </c>
      <c r="P242" s="7">
        <f t="shared" si="136"/>
        <v>62</v>
      </c>
      <c r="Q242" s="7">
        <f t="shared" si="136"/>
        <v>63</v>
      </c>
      <c r="R242" s="7">
        <f t="shared" si="136"/>
        <v>64</v>
      </c>
      <c r="S242" s="7">
        <f t="shared" si="136"/>
        <v>65</v>
      </c>
      <c r="T242" s="7">
        <f t="shared" si="136"/>
        <v>66</v>
      </c>
      <c r="U242" s="7">
        <f t="shared" si="136"/>
        <v>67</v>
      </c>
      <c r="V242" s="7">
        <f t="shared" si="136"/>
        <v>68</v>
      </c>
      <c r="W242" s="7">
        <f t="shared" si="136"/>
        <v>69</v>
      </c>
      <c r="X242" s="7">
        <f t="shared" si="136"/>
        <v>70</v>
      </c>
      <c r="Y242" s="7">
        <f t="shared" si="136"/>
        <v>71</v>
      </c>
      <c r="Z242" s="7">
        <f t="shared" si="136"/>
        <v>72</v>
      </c>
      <c r="AA242" s="7">
        <f t="shared" si="136"/>
        <v>73</v>
      </c>
      <c r="AB242" s="7">
        <f t="shared" si="136"/>
        <v>74</v>
      </c>
      <c r="AC242" s="7">
        <f t="shared" si="136"/>
        <v>75</v>
      </c>
      <c r="AD242" s="7">
        <f t="shared" si="136"/>
        <v>76</v>
      </c>
      <c r="AE242" s="7">
        <f t="shared" si="136"/>
        <v>77</v>
      </c>
      <c r="AF242" s="7">
        <f t="shared" si="136"/>
        <v>78</v>
      </c>
      <c r="AG242" s="7">
        <f t="shared" si="136"/>
        <v>79</v>
      </c>
      <c r="AH242" s="7">
        <f t="shared" si="136"/>
        <v>80</v>
      </c>
      <c r="AI242" s="7">
        <f t="shared" si="136"/>
        <v>81</v>
      </c>
      <c r="AJ242" s="7">
        <f t="shared" si="136"/>
        <v>82</v>
      </c>
      <c r="AK242" s="7">
        <f t="shared" si="136"/>
        <v>83</v>
      </c>
      <c r="AL242" s="7">
        <f t="shared" si="136"/>
        <v>84</v>
      </c>
      <c r="AM242" s="7">
        <f t="shared" si="136"/>
        <v>85</v>
      </c>
    </row>
    <row r="243" spans="1:39">
      <c r="A243" s="3" t="s">
        <v>67</v>
      </c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</row>
    <row r="244" spans="1:39">
      <c r="A244" s="3" t="s">
        <v>9</v>
      </c>
      <c r="C244" s="7">
        <f t="shared" ref="C244:AM245" ca="1" si="137">C235</f>
        <v>77716.75</v>
      </c>
      <c r="D244" s="7">
        <f t="shared" ca="1" si="137"/>
        <v>109048.49374999999</v>
      </c>
      <c r="E244" s="7">
        <f t="shared" ca="1" si="137"/>
        <v>34867.484218750018</v>
      </c>
      <c r="F244" s="7">
        <f t="shared" ca="1" si="137"/>
        <v>-9308.6612210442399</v>
      </c>
      <c r="G244" s="7">
        <f t="shared" ca="1" si="137"/>
        <v>-52481.911020106716</v>
      </c>
      <c r="H244" s="7">
        <f t="shared" ca="1" si="137"/>
        <v>-84473.241088310897</v>
      </c>
      <c r="I244" s="7">
        <f t="shared" ca="1" si="137"/>
        <v>-110222.28903870503</v>
      </c>
      <c r="J244" s="7">
        <f t="shared" ca="1" si="137"/>
        <v>-153105.83244917277</v>
      </c>
      <c r="K244" s="7">
        <f t="shared" ca="1" si="137"/>
        <v>-116603.11351424125</v>
      </c>
      <c r="L244" s="7">
        <f t="shared" ca="1" si="137"/>
        <v>-173465.54687981401</v>
      </c>
      <c r="M244" s="7">
        <f t="shared" ca="1" si="137"/>
        <v>-179137.07525845809</v>
      </c>
      <c r="N244" s="7">
        <f t="shared" ca="1" si="137"/>
        <v>-184671.52919785437</v>
      </c>
      <c r="O244" s="7">
        <f t="shared" ca="1" si="137"/>
        <v>-190057.11595756022</v>
      </c>
      <c r="P244" s="7">
        <f t="shared" ca="1" si="137"/>
        <v>-195281.49700223812</v>
      </c>
      <c r="Q244" s="7">
        <f t="shared" ca="1" si="137"/>
        <v>-200331.76682749175</v>
      </c>
      <c r="R244" s="7">
        <f t="shared" ca="1" si="137"/>
        <v>-205194.43103046931</v>
      </c>
      <c r="S244" s="7">
        <f t="shared" ca="1" si="137"/>
        <v>-192338.21727578196</v>
      </c>
      <c r="T244" s="7">
        <f t="shared" ca="1" si="137"/>
        <v>-171219.53028522906</v>
      </c>
      <c r="U244" s="7">
        <f t="shared" ca="1" si="137"/>
        <v>-149229.91023621598</v>
      </c>
      <c r="V244" s="7">
        <f t="shared" ca="1" si="137"/>
        <v>-126337.29482577024</v>
      </c>
      <c r="W244" s="7">
        <f t="shared" ca="1" si="137"/>
        <v>-102508.51152404986</v>
      </c>
      <c r="X244" s="7">
        <f t="shared" ca="1" si="137"/>
        <v>-97864.222774164416</v>
      </c>
      <c r="Y244" s="7">
        <f t="shared" ca="1" si="137"/>
        <v>-92717.815681902153</v>
      </c>
      <c r="Z244" s="7">
        <f t="shared" ca="1" si="137"/>
        <v>-87045.156954994687</v>
      </c>
      <c r="AA244" s="7">
        <f t="shared" ca="1" si="137"/>
        <v>-80821.162558855736</v>
      </c>
      <c r="AB244" s="7">
        <f t="shared" ca="1" si="137"/>
        <v>-74019.763525722796</v>
      </c>
      <c r="AC244" s="7">
        <f t="shared" ca="1" si="137"/>
        <v>-66613.870596358232</v>
      </c>
      <c r="AD244" s="7">
        <f t="shared" ca="1" si="137"/>
        <v>-48836.337564245652</v>
      </c>
      <c r="AE244" s="7">
        <f t="shared" ca="1" si="137"/>
        <v>-30153.448737674466</v>
      </c>
      <c r="AF244" s="7">
        <f t="shared" ca="1" si="137"/>
        <v>-10528.742697723501</v>
      </c>
      <c r="AG244" s="7">
        <f t="shared" ca="1" si="137"/>
        <v>10075.56833572319</v>
      </c>
      <c r="AH244" s="7">
        <f t="shared" ca="1" si="137"/>
        <v>32220.82176332167</v>
      </c>
      <c r="AI244" s="7">
        <f t="shared" ca="1" si="137"/>
        <v>55992.291887140978</v>
      </c>
      <c r="AJ244" s="7">
        <f t="shared" ca="1" si="137"/>
        <v>81473.206296251374</v>
      </c>
      <c r="AK244" s="7">
        <f t="shared" ca="1" si="137"/>
        <v>108750.41029987112</v>
      </c>
      <c r="AL244" s="7">
        <f t="shared" ca="1" si="137"/>
        <v>137914.50997791451</v>
      </c>
      <c r="AM244" s="7">
        <f t="shared" ca="1" si="137"/>
        <v>169060.02054844575</v>
      </c>
    </row>
    <row r="245" spans="1:39">
      <c r="A245" s="3" t="s">
        <v>28</v>
      </c>
      <c r="C245" s="7">
        <f t="shared" ca="1" si="137"/>
        <v>1502255.030484352</v>
      </c>
      <c r="D245" s="7">
        <f t="shared" ca="1" si="137"/>
        <v>1601971.8939653663</v>
      </c>
      <c r="E245" s="7">
        <f t="shared" ca="1" si="137"/>
        <v>1598395.5015844877</v>
      </c>
      <c r="F245" s="7">
        <f t="shared" ca="1" si="137"/>
        <v>1626344.8968104629</v>
      </c>
      <c r="G245" s="7">
        <f t="shared" ca="1" si="137"/>
        <v>1656020.496590497</v>
      </c>
      <c r="H245" s="7">
        <f t="shared" ca="1" si="137"/>
        <v>1694578.1895353505</v>
      </c>
      <c r="I245" s="7">
        <f t="shared" ca="1" si="137"/>
        <v>1732687.0184040503</v>
      </c>
      <c r="J245" s="7">
        <f t="shared" ca="1" si="137"/>
        <v>1754889.2198031158</v>
      </c>
      <c r="K245" s="7">
        <f t="shared" ca="1" si="137"/>
        <v>1857812.0776615031</v>
      </c>
      <c r="L245" s="7">
        <f t="shared" ca="1" si="137"/>
        <v>1866859.2806742294</v>
      </c>
      <c r="M245" s="7">
        <f t="shared" ca="1" si="137"/>
        <v>1925635.8846181156</v>
      </c>
      <c r="N245" s="7">
        <f t="shared" ca="1" si="137"/>
        <v>1986742.0779705991</v>
      </c>
      <c r="O245" s="7">
        <f t="shared" ca="1" si="137"/>
        <v>2050276.1546011751</v>
      </c>
      <c r="P245" s="7">
        <f t="shared" ca="1" si="137"/>
        <v>2116341.2072625058</v>
      </c>
      <c r="Q245" s="7">
        <f t="shared" ca="1" si="137"/>
        <v>2185045.4090015809</v>
      </c>
      <c r="R245" s="7">
        <f t="shared" ca="1" si="137"/>
        <v>2256502.3137447741</v>
      </c>
      <c r="S245" s="7">
        <f t="shared" ca="1" si="137"/>
        <v>2348348.3438077196</v>
      </c>
      <c r="T245" s="7">
        <f t="shared" ca="1" si="137"/>
        <v>2451237.6547129788</v>
      </c>
      <c r="U245" s="7">
        <f t="shared" ca="1" si="137"/>
        <v>2557895.0195607156</v>
      </c>
      <c r="V245" s="7">
        <f t="shared" ca="1" si="137"/>
        <v>2668474.9344537491</v>
      </c>
      <c r="W245" s="7">
        <f t="shared" ca="1" si="137"/>
        <v>2783139.5203496297</v>
      </c>
      <c r="X245" s="7">
        <f t="shared" ca="1" si="137"/>
        <v>2881904.000628761</v>
      </c>
      <c r="Y245" s="7">
        <f t="shared" ca="1" si="137"/>
        <v>2984598.2650419902</v>
      </c>
      <c r="Z245" s="7">
        <f t="shared" ca="1" si="137"/>
        <v>3091397.6016590032</v>
      </c>
      <c r="AA245" s="7">
        <f t="shared" ca="1" si="137"/>
        <v>3202486.6499194223</v>
      </c>
      <c r="AB245" s="7">
        <f t="shared" ca="1" si="137"/>
        <v>3318059.9961212324</v>
      </c>
      <c r="AC245" s="7">
        <f t="shared" ca="1" si="137"/>
        <v>3438322.8116578809</v>
      </c>
      <c r="AD245" s="7">
        <f t="shared" ca="1" si="137"/>
        <v>3573230.5373609271</v>
      </c>
      <c r="AE245" s="7">
        <f t="shared" ca="1" si="137"/>
        <v>3713516.0920148226</v>
      </c>
      <c r="AF245" s="7">
        <f t="shared" ca="1" si="137"/>
        <v>3859426.796623284</v>
      </c>
      <c r="AG245" s="7">
        <f t="shared" ca="1" si="137"/>
        <v>4011223.7591699711</v>
      </c>
      <c r="AH245" s="7">
        <f t="shared" ca="1" si="137"/>
        <v>4169704.9624828966</v>
      </c>
      <c r="AI245" s="7">
        <f t="shared" ca="1" si="137"/>
        <v>4335206.5813214257</v>
      </c>
      <c r="AJ245" s="7">
        <f t="shared" ca="1" si="137"/>
        <v>4508077.9988661371</v>
      </c>
      <c r="AK245" s="7">
        <f t="shared" ca="1" si="137"/>
        <v>4688688.5470556328</v>
      </c>
      <c r="AL245" s="7">
        <f t="shared" ca="1" si="137"/>
        <v>4877428.8072778294</v>
      </c>
      <c r="AM245" s="7">
        <f t="shared" ca="1" si="137"/>
        <v>5074712.0045241583</v>
      </c>
    </row>
    <row r="246" spans="1:39">
      <c r="A246" s="3" t="s">
        <v>68</v>
      </c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</row>
    <row r="247" spans="1:39">
      <c r="A247" s="16" t="s">
        <v>9</v>
      </c>
      <c r="C247" s="7">
        <f ca="1">C239</f>
        <v>77716.75</v>
      </c>
      <c r="D247" s="7">
        <f t="shared" ref="D247:AM248" ca="1" si="138">D239</f>
        <v>109048.49374999999</v>
      </c>
      <c r="E247" s="7">
        <f t="shared" ca="1" si="138"/>
        <v>111891.10341475303</v>
      </c>
      <c r="F247" s="7">
        <f t="shared" ca="1" si="138"/>
        <v>95330.661493535095</v>
      </c>
      <c r="G247" s="7">
        <f t="shared" ca="1" si="138"/>
        <v>163023.26474117296</v>
      </c>
      <c r="H247" s="7">
        <f t="shared" ca="1" si="138"/>
        <v>122547.97472219041</v>
      </c>
      <c r="I247" s="7">
        <f t="shared" ca="1" si="138"/>
        <v>243196.12586942854</v>
      </c>
      <c r="J247" s="7">
        <f t="shared" ca="1" si="138"/>
        <v>182566.76412242133</v>
      </c>
      <c r="K247" s="7">
        <f t="shared" ca="1" si="138"/>
        <v>200990.74855410369</v>
      </c>
      <c r="L247" s="7">
        <f t="shared" ca="1" si="138"/>
        <v>123575.24818873481</v>
      </c>
      <c r="M247" s="7">
        <f t="shared" ca="1" si="138"/>
        <v>95885.18085720489</v>
      </c>
      <c r="N247" s="7">
        <f t="shared" ca="1" si="138"/>
        <v>332152.25828154449</v>
      </c>
      <c r="O247" s="7">
        <f t="shared" ca="1" si="138"/>
        <v>298138.03872029216</v>
      </c>
      <c r="P247" s="7">
        <f t="shared" ca="1" si="138"/>
        <v>262458.6047747056</v>
      </c>
      <c r="Q247" s="7">
        <f t="shared" ca="1" si="138"/>
        <v>224881.30441036529</v>
      </c>
      <c r="R247" s="7">
        <f t="shared" ca="1" si="138"/>
        <v>185240.0591854208</v>
      </c>
      <c r="S247" s="7">
        <f t="shared" ca="1" si="138"/>
        <v>161443.42557287621</v>
      </c>
      <c r="T247" s="7">
        <f t="shared" ca="1" si="138"/>
        <v>144173.85752878783</v>
      </c>
      <c r="U247" s="7">
        <f t="shared" ca="1" si="138"/>
        <v>125991.80812952048</v>
      </c>
      <c r="V247" s="7">
        <f t="shared" ca="1" si="138"/>
        <v>106879.99411652473</v>
      </c>
      <c r="W247" s="7">
        <f t="shared" ca="1" si="138"/>
        <v>86820.86601304714</v>
      </c>
      <c r="X247" s="7">
        <f t="shared" ca="1" si="138"/>
        <v>531372.24335418153</v>
      </c>
      <c r="Y247" s="7">
        <f t="shared" ca="1" si="138"/>
        <v>485715.81625120947</v>
      </c>
      <c r="Z247" s="7">
        <f t="shared" ca="1" si="138"/>
        <v>437225.03210156446</v>
      </c>
      <c r="AA247" s="7">
        <f t="shared" ca="1" si="138"/>
        <v>385768.37854727457</v>
      </c>
      <c r="AB247" s="7">
        <f t="shared" ca="1" si="138"/>
        <v>331271.70885322365</v>
      </c>
      <c r="AC247" s="7">
        <f t="shared" ca="1" si="138"/>
        <v>273659.02261591784</v>
      </c>
      <c r="AD247" s="7">
        <f t="shared" ca="1" si="138"/>
        <v>222834.89451556181</v>
      </c>
      <c r="AE247" s="7">
        <f t="shared" ca="1" si="138"/>
        <v>169093.2587753351</v>
      </c>
      <c r="AF247" s="7">
        <f t="shared" ca="1" si="138"/>
        <v>111995.15765293146</v>
      </c>
      <c r="AG247" s="7">
        <f t="shared" ca="1" si="138"/>
        <v>51704.582945994451</v>
      </c>
      <c r="AH247" s="7">
        <f t="shared" ca="1" si="138"/>
        <v>-10096.230584341451</v>
      </c>
      <c r="AI247" s="7">
        <f t="shared" ca="1" si="138"/>
        <v>-73440.212509342353</v>
      </c>
      <c r="AJ247" s="7">
        <f t="shared" ca="1" si="138"/>
        <v>-138366.81180566468</v>
      </c>
      <c r="AK247" s="7">
        <f t="shared" ca="1" si="138"/>
        <v>-204916.49626401666</v>
      </c>
      <c r="AL247" s="7">
        <f t="shared" ca="1" si="138"/>
        <v>-273130.77909961465</v>
      </c>
      <c r="AM247" s="7">
        <f t="shared" ca="1" si="138"/>
        <v>-342653.98168804793</v>
      </c>
    </row>
    <row r="248" spans="1:39">
      <c r="A248" s="16" t="s">
        <v>28</v>
      </c>
      <c r="C248" s="7">
        <f ca="1">C240</f>
        <v>1502255.030484352</v>
      </c>
      <c r="D248" s="7">
        <f t="shared" ca="1" si="138"/>
        <v>1601971.8939653663</v>
      </c>
      <c r="E248" s="7">
        <f t="shared" ca="1" si="138"/>
        <v>1584169.6388663864</v>
      </c>
      <c r="F248" s="7">
        <f t="shared" ca="1" si="138"/>
        <v>1601203.9751105551</v>
      </c>
      <c r="G248" s="7">
        <f t="shared" ca="1" si="138"/>
        <v>1599024.628803341</v>
      </c>
      <c r="H248" s="7">
        <f t="shared" ca="1" si="138"/>
        <v>1617128.9271149298</v>
      </c>
      <c r="I248" s="7">
        <f t="shared" ca="1" si="138"/>
        <v>1604780.2930441611</v>
      </c>
      <c r="J248" s="7">
        <f t="shared" ca="1" si="138"/>
        <v>1591664.3815805877</v>
      </c>
      <c r="K248" s="7">
        <f t="shared" ca="1" si="138"/>
        <v>1658765.1865764798</v>
      </c>
      <c r="L248" s="7">
        <f t="shared" ca="1" si="138"/>
        <v>1628761.5930541516</v>
      </c>
      <c r="M248" s="7">
        <f t="shared" ca="1" si="138"/>
        <v>1646227.1160685844</v>
      </c>
      <c r="N248" s="7">
        <f t="shared" ca="1" si="138"/>
        <v>1615337.0564431059</v>
      </c>
      <c r="O248" s="7">
        <f t="shared" ca="1" si="138"/>
        <v>1619818.3808267005</v>
      </c>
      <c r="P248" s="7">
        <f t="shared" ca="1" si="138"/>
        <v>1623789.3571443062</v>
      </c>
      <c r="Q248" s="7">
        <f t="shared" ca="1" si="138"/>
        <v>1627051.9793510539</v>
      </c>
      <c r="R248" s="7">
        <f t="shared" ca="1" si="138"/>
        <v>1629475.8543743305</v>
      </c>
      <c r="S248" s="7">
        <f t="shared" ca="1" si="138"/>
        <v>1649006.2946174531</v>
      </c>
      <c r="T248" s="7">
        <f t="shared" ca="1" si="138"/>
        <v>1676363.6126447022</v>
      </c>
      <c r="U248" s="7">
        <f t="shared" ca="1" si="138"/>
        <v>1704147.2558989122</v>
      </c>
      <c r="V248" s="7">
        <f t="shared" ca="1" si="138"/>
        <v>1732380.1053189985</v>
      </c>
      <c r="W248" s="7">
        <f t="shared" ca="1" si="138"/>
        <v>1761085.9805515951</v>
      </c>
      <c r="X248" s="7">
        <f t="shared" ca="1" si="138"/>
        <v>1681034.2886706511</v>
      </c>
      <c r="Y248" s="7">
        <f t="shared" ca="1" si="138"/>
        <v>1669867.7229271731</v>
      </c>
      <c r="Z248" s="7">
        <f t="shared" ca="1" si="138"/>
        <v>1656901.4959778069</v>
      </c>
      <c r="AA248" s="7">
        <f t="shared" ca="1" si="138"/>
        <v>1642035.1363398044</v>
      </c>
      <c r="AB248" s="7">
        <f t="shared" ca="1" si="138"/>
        <v>1625226.4693795294</v>
      </c>
      <c r="AC248" s="7">
        <f t="shared" ca="1" si="138"/>
        <v>1606432.4259580127</v>
      </c>
      <c r="AD248" s="7">
        <f t="shared" ca="1" si="138"/>
        <v>1595591.4999579198</v>
      </c>
      <c r="AE248" s="7">
        <f t="shared" ca="1" si="138"/>
        <v>1583032.5623809637</v>
      </c>
      <c r="AF248" s="7">
        <f t="shared" ca="1" si="138"/>
        <v>1568352.6403667291</v>
      </c>
      <c r="AG248" s="7">
        <f t="shared" ca="1" si="138"/>
        <v>1551752.7901412062</v>
      </c>
      <c r="AH248" s="7">
        <f t="shared" ca="1" si="138"/>
        <v>1534953.4228267265</v>
      </c>
      <c r="AI248" s="7">
        <f t="shared" ca="1" si="138"/>
        <v>1517960.9305040576</v>
      </c>
      <c r="AJ248" s="7">
        <f t="shared" ca="1" si="138"/>
        <v>1500776.3654981372</v>
      </c>
      <c r="AK248" s="7">
        <f t="shared" ca="1" si="138"/>
        <v>1483400.9763588994</v>
      </c>
      <c r="AL248" s="7">
        <f t="shared" ca="1" si="138"/>
        <v>1465836.217701989</v>
      </c>
      <c r="AM248" s="7">
        <f t="shared" ca="1" si="138"/>
        <v>1448482.0250176038</v>
      </c>
    </row>
    <row r="249" spans="1:39">
      <c r="A249" s="4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</row>
    <row r="250" spans="1:39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</row>
    <row r="251" spans="1:39"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</row>
    <row r="252" spans="1:39"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</row>
    <row r="253" spans="1:39"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</row>
    <row r="254" spans="1:39"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</row>
    <row r="255" spans="1:39"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</row>
    <row r="256" spans="1:39"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</row>
    <row r="257" spans="3:39"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</row>
    <row r="258" spans="3:39"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</row>
    <row r="259" spans="3:39"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</row>
    <row r="260" spans="3:39"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</row>
    <row r="261" spans="3:39"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</row>
    <row r="262" spans="3:39"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</row>
    <row r="263" spans="3:39"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</row>
    <row r="264" spans="3:39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</row>
    <row r="265" spans="3:39"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</row>
    <row r="266" spans="3:39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</row>
    <row r="267" spans="3:39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</row>
    <row r="268" spans="3:39"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</row>
    <row r="269" spans="3:39"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</row>
    <row r="270" spans="3:39"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</row>
    <row r="271" spans="3:39"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</row>
    <row r="272" spans="3:39"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</row>
    <row r="273" spans="3:39"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</row>
    <row r="274" spans="3:39"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</row>
    <row r="275" spans="3:39"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</row>
    <row r="276" spans="3:39"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</row>
    <row r="277" spans="3:39"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</row>
    <row r="278" spans="3:39"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</row>
    <row r="279" spans="3:39"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</row>
    <row r="280" spans="3:39"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</row>
    <row r="281" spans="3:39"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</row>
    <row r="282" spans="3:39"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 spans="3:39"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3:39"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 spans="3:39"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</row>
    <row r="286" spans="3:39"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</row>
    <row r="287" spans="3:39"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</row>
    <row r="288" spans="3:39"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</row>
    <row r="289" spans="3:39"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</row>
    <row r="290" spans="3:39"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</row>
    <row r="291" spans="3:39"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</row>
    <row r="292" spans="3:39"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</row>
    <row r="293" spans="3:39"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</row>
    <row r="294" spans="3:39"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</row>
    <row r="295" spans="3:39"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</row>
    <row r="296" spans="3:39"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</row>
    <row r="297" spans="3:39"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</row>
    <row r="298" spans="3:39"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</row>
    <row r="299" spans="3:39"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</row>
    <row r="300" spans="3:39"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</row>
    <row r="301" spans="3:39"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</row>
    <row r="302" spans="3:39"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</row>
    <row r="303" spans="3:39"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</row>
    <row r="304" spans="3:39"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</row>
    <row r="305" spans="3:39"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</row>
    <row r="306" spans="3:39"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</row>
    <row r="307" spans="3:39"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</row>
    <row r="308" spans="3:39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</row>
    <row r="309" spans="3:39"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</row>
    <row r="310" spans="3:39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</row>
    <row r="311" spans="3:39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</row>
    <row r="312" spans="3:39"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</row>
    <row r="313" spans="3:39"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</row>
    <row r="314" spans="3:39"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</row>
    <row r="315" spans="3:39"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</row>
    <row r="316" spans="3:39"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</row>
    <row r="317" spans="3:39"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</row>
    <row r="318" spans="3:39"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</row>
    <row r="319" spans="3:39"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</row>
    <row r="320" spans="3:39"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</row>
    <row r="321" spans="3:39"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</row>
    <row r="322" spans="3:39"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</row>
    <row r="323" spans="3:39"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</row>
    <row r="324" spans="3:39"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</row>
    <row r="325" spans="3:39"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</row>
    <row r="326" spans="3:39"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</row>
    <row r="327" spans="3:39"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</row>
    <row r="328" spans="3:39"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</row>
    <row r="329" spans="3:39"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</row>
    <row r="330" spans="3:39"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</row>
    <row r="331" spans="3:39"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</row>
    <row r="332" spans="3:39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</row>
    <row r="333" spans="3:39"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</row>
    <row r="334" spans="3:39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</row>
    <row r="335" spans="3:39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</row>
    <row r="336" spans="3:39"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3:39"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</row>
    <row r="338" spans="3:39"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</row>
    <row r="339" spans="3:39"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</row>
    <row r="340" spans="3:39"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</row>
    <row r="341" spans="3:39"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</row>
    <row r="342" spans="3:39"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</row>
    <row r="343" spans="3:39"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</row>
    <row r="344" spans="3:39"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</row>
    <row r="345" spans="3:39"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</row>
    <row r="346" spans="3:39"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</row>
    <row r="347" spans="3:39"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</row>
    <row r="348" spans="3:39"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</row>
    <row r="349" spans="3:39"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</row>
    <row r="350" spans="3:39"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</row>
    <row r="351" spans="3:39"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</row>
    <row r="352" spans="3:39"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</row>
    <row r="353" spans="3:39"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</row>
    <row r="354" spans="3:39"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</row>
    <row r="355" spans="3:39"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</row>
    <row r="356" spans="3:39"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</row>
    <row r="357" spans="3:39"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</row>
    <row r="358" spans="3:39"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</row>
    <row r="359" spans="3:39"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</row>
    <row r="360" spans="3:39"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</row>
    <row r="361" spans="3:39"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</row>
    <row r="362" spans="3:39"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</row>
    <row r="363" spans="3:39"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</row>
    <row r="364" spans="3:39"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</row>
    <row r="365" spans="3:39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</row>
    <row r="366" spans="3:39"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</row>
    <row r="367" spans="3:39"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</row>
    <row r="368" spans="3:39"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</row>
    <row r="369" spans="3:39"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3:39"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</row>
    <row r="371" spans="3:39"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</row>
    <row r="372" spans="3:39"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3:39"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</row>
    <row r="374" spans="3:39"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</row>
    <row r="375" spans="3:39"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</row>
    <row r="376" spans="3:39"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</row>
    <row r="377" spans="3:39"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</row>
    <row r="378" spans="3:39"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</row>
    <row r="379" spans="3:39"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</row>
    <row r="380" spans="3:39"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</row>
    <row r="381" spans="3:39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 spans="3:39"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</row>
    <row r="383" spans="3:39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</row>
    <row r="384" spans="3:39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 spans="3:39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</row>
    <row r="386" spans="3:39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 spans="3:39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3:39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3:39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3:39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3:39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3:39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3:39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3:39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Inputs</vt:lpstr>
      <vt:lpstr>Output</vt:lpstr>
      <vt:lpstr>RetNorm_Engine</vt:lpstr>
      <vt:lpstr>RetEarly_Engine</vt:lpstr>
      <vt:lpstr>buffer</vt:lpstr>
      <vt:lpstr>EndAge</vt:lpstr>
      <vt:lpstr>inf</vt:lpstr>
      <vt:lpstr>princ</vt:lpstr>
      <vt:lpstr>RetAge</vt:lpstr>
      <vt:lpstr>rinc</vt:lpstr>
      <vt:lpstr>sincr</vt:lpstr>
      <vt:lpstr>stinc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Bonnici</dc:creator>
  <cp:lastModifiedBy>Kenneth Bonnici</cp:lastModifiedBy>
  <dcterms:created xsi:type="dcterms:W3CDTF">2026-01-26T20:28:02Z</dcterms:created>
  <dcterms:modified xsi:type="dcterms:W3CDTF">2026-03-27T07:29:08Z</dcterms:modified>
</cp:coreProperties>
</file>