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/Users/kennethbonnici/Projects/ETQ/specs/"/>
    </mc:Choice>
  </mc:AlternateContent>
  <xr:revisionPtr revIDLastSave="0" documentId="13_ncr:1_{C124CFD1-3006-8D47-B2BA-D7EDB2F42A73}" xr6:coauthVersionLast="47" xr6:coauthVersionMax="47" xr10:uidLastSave="{00000000-0000-0000-0000-000000000000}"/>
  <bookViews>
    <workbookView xWindow="38400" yWindow="600" windowWidth="38400" windowHeight="21000" activeTab="3" xr2:uid="{66CD462A-5593-B541-B64D-6AAD48C341ED}"/>
  </bookViews>
  <sheets>
    <sheet name="Inputs" sheetId="3" r:id="rId1"/>
    <sheet name="Output" sheetId="6" r:id="rId2"/>
    <sheet name="RetNorm_Engine" sheetId="4" r:id="rId3"/>
    <sheet name="RetEarly_Engine" sheetId="8" r:id="rId4"/>
  </sheets>
  <definedNames>
    <definedName name="AgeRange">RetNorm_Engine!$C$3:INDEX(RetNorm_Engine!$C$3:$XFD$3, COUNTA(RetNorm_Engine!$C$3:$XFD$3))</definedName>
    <definedName name="buffer">Inputs!$B$191</definedName>
    <definedName name="ChartCash_Early" localSheetId="3">RetEarly_Engine!$C$247:INDEX(RetEarly_Engine!$C$247:$XFD$247, COUNTA(RetEarly_Engine!$C$247:$XFD$247))</definedName>
    <definedName name="ChartCash_Norm">RetNorm_Engine!$C$247:INDEX(RetNorm_Engine!$C$247:$XFD$247, COUNTA(RetNorm_Engine!$C$247:$XFD$247))</definedName>
    <definedName name="ChartNW_Early" localSheetId="3">RetEarly_Engine!$C$248:INDEX(RetEarly_Engine!$C$248:$XFD$248, COUNTA(RetEarly_Engine!$C$248:$XFD$248))</definedName>
    <definedName name="ChartNW_Norm">RetNorm_Engine!$C$248:INDEX(RetNorm_Engine!$C$248:$XFD$248, COUNTA(RetNorm_Engine!$C$248:$XFD$248))</definedName>
    <definedName name="EndAge">Inputs!$B$166</definedName>
    <definedName name="inf">Inputs!$B$177</definedName>
    <definedName name="MthOff">Inputs!$B$206</definedName>
    <definedName name="MthRem">Inputs!$B$205</definedName>
    <definedName name="princ">Inputs!$B$179</definedName>
    <definedName name="ProRate">Inputs!$B$207</definedName>
    <definedName name="RetAge">Inputs!$B$19</definedName>
    <definedName name="rinc">Inputs!$B$187</definedName>
    <definedName name="sincr">Inputs!$B$185</definedName>
    <definedName name="stinc">Inputs!$B$183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M242" i="8" l="1"/>
  <c r="AL242" i="8"/>
  <c r="AK242" i="8"/>
  <c r="AJ242" i="8"/>
  <c r="AI242" i="8"/>
  <c r="AH242" i="8"/>
  <c r="AG242" i="8"/>
  <c r="AF242" i="8"/>
  <c r="AE242" i="8"/>
  <c r="AD242" i="8"/>
  <c r="AC242" i="8"/>
  <c r="AB242" i="8"/>
  <c r="AA242" i="8"/>
  <c r="Z242" i="8"/>
  <c r="Y242" i="8"/>
  <c r="X242" i="8"/>
  <c r="W242" i="8"/>
  <c r="V242" i="8"/>
  <c r="U242" i="8"/>
  <c r="T242" i="8"/>
  <c r="S242" i="8"/>
  <c r="R242" i="8"/>
  <c r="Q242" i="8"/>
  <c r="P242" i="8"/>
  <c r="O242" i="8"/>
  <c r="N242" i="8"/>
  <c r="M242" i="8"/>
  <c r="L242" i="8"/>
  <c r="K242" i="8"/>
  <c r="J242" i="8"/>
  <c r="I242" i="8"/>
  <c r="H242" i="8"/>
  <c r="G242" i="8"/>
  <c r="F242" i="8"/>
  <c r="E242" i="8"/>
  <c r="D242" i="8"/>
  <c r="C242" i="8"/>
  <c r="A229" i="8"/>
  <c r="A223" i="8"/>
  <c r="A222" i="8"/>
  <c r="A221" i="8"/>
  <c r="A215" i="8"/>
  <c r="A214" i="8"/>
  <c r="A213" i="8"/>
  <c r="B172" i="8"/>
  <c r="AM166" i="8"/>
  <c r="AM169" i="8" s="1"/>
  <c r="A164" i="8"/>
  <c r="AM149" i="8"/>
  <c r="A147" i="8"/>
  <c r="B155" i="8" s="1"/>
  <c r="AM132" i="8"/>
  <c r="AM135" i="8" s="1"/>
  <c r="A130" i="8"/>
  <c r="B138" i="8" s="1"/>
  <c r="AM115" i="8"/>
  <c r="A113" i="8"/>
  <c r="B121" i="8" s="1"/>
  <c r="B104" i="8"/>
  <c r="AM98" i="8"/>
  <c r="A96" i="8"/>
  <c r="A76" i="8"/>
  <c r="A228" i="8" s="1"/>
  <c r="A75" i="8"/>
  <c r="A227" i="8" s="1"/>
  <c r="A74" i="8"/>
  <c r="A226" i="8" s="1"/>
  <c r="A73" i="8"/>
  <c r="A225" i="8" s="1"/>
  <c r="A72" i="8"/>
  <c r="A224" i="8" s="1"/>
  <c r="A68" i="8"/>
  <c r="A67" i="8"/>
  <c r="A66" i="8"/>
  <c r="A65" i="8"/>
  <c r="A64" i="8"/>
  <c r="C57" i="8"/>
  <c r="A53" i="8"/>
  <c r="A52" i="8"/>
  <c r="A51" i="8"/>
  <c r="AJ49" i="8"/>
  <c r="AI49" i="8"/>
  <c r="AH49" i="8"/>
  <c r="AE49" i="8"/>
  <c r="AD49" i="8"/>
  <c r="AC49" i="8"/>
  <c r="AB49" i="8"/>
  <c r="AA49" i="8"/>
  <c r="Z49" i="8"/>
  <c r="Y49" i="8"/>
  <c r="X49" i="8"/>
  <c r="W49" i="8"/>
  <c r="V49" i="8"/>
  <c r="U49" i="8"/>
  <c r="T49" i="8"/>
  <c r="S49" i="8"/>
  <c r="R49" i="8"/>
  <c r="Q49" i="8"/>
  <c r="P49" i="8"/>
  <c r="O49" i="8"/>
  <c r="N49" i="8"/>
  <c r="M49" i="8"/>
  <c r="L49" i="8"/>
  <c r="K49" i="8"/>
  <c r="J49" i="8"/>
  <c r="I49" i="8"/>
  <c r="H49" i="8"/>
  <c r="G49" i="8"/>
  <c r="F49" i="8"/>
  <c r="E49" i="8"/>
  <c r="D49" i="8"/>
  <c r="C49" i="8"/>
  <c r="A49" i="8"/>
  <c r="AM48" i="8"/>
  <c r="AL48" i="8"/>
  <c r="AK48" i="8"/>
  <c r="AJ48" i="8"/>
  <c r="AI48" i="8"/>
  <c r="AH48" i="8"/>
  <c r="AG48" i="8"/>
  <c r="AF48" i="8"/>
  <c r="AE48" i="8"/>
  <c r="AC48" i="8"/>
  <c r="Y48" i="8"/>
  <c r="X48" i="8"/>
  <c r="W48" i="8"/>
  <c r="V48" i="8"/>
  <c r="T48" i="8"/>
  <c r="S48" i="8"/>
  <c r="R48" i="8"/>
  <c r="Q48" i="8"/>
  <c r="P48" i="8"/>
  <c r="O48" i="8"/>
  <c r="N48" i="8"/>
  <c r="M48" i="8"/>
  <c r="L48" i="8"/>
  <c r="K48" i="8"/>
  <c r="J48" i="8"/>
  <c r="I48" i="8"/>
  <c r="H48" i="8"/>
  <c r="G48" i="8"/>
  <c r="F48" i="8"/>
  <c r="E48" i="8"/>
  <c r="D48" i="8"/>
  <c r="C48" i="8"/>
  <c r="A48" i="8"/>
  <c r="AM47" i="8"/>
  <c r="AL47" i="8"/>
  <c r="AK47" i="8"/>
  <c r="AJ47" i="8"/>
  <c r="AI47" i="8"/>
  <c r="AH47" i="8"/>
  <c r="AG47" i="8"/>
  <c r="AF47" i="8"/>
  <c r="AE47" i="8"/>
  <c r="AD47" i="8"/>
  <c r="AC47" i="8"/>
  <c r="AB47" i="8"/>
  <c r="AA47" i="8"/>
  <c r="Z47" i="8"/>
  <c r="Y47" i="8"/>
  <c r="X47" i="8"/>
  <c r="W47" i="8"/>
  <c r="V47" i="8"/>
  <c r="U47" i="8"/>
  <c r="T47" i="8"/>
  <c r="S47" i="8"/>
  <c r="R47" i="8"/>
  <c r="O47" i="8"/>
  <c r="N47" i="8"/>
  <c r="M47" i="8"/>
  <c r="L47" i="8"/>
  <c r="K47" i="8"/>
  <c r="H47" i="8"/>
  <c r="G47" i="8"/>
  <c r="F47" i="8"/>
  <c r="A47" i="8"/>
  <c r="AM46" i="8"/>
  <c r="AM49" i="8" s="1"/>
  <c r="AL46" i="8"/>
  <c r="AL49" i="8" s="1"/>
  <c r="AK46" i="8"/>
  <c r="AK49" i="8" s="1"/>
  <c r="AJ46" i="8"/>
  <c r="AI46" i="8"/>
  <c r="AH46" i="8"/>
  <c r="AG46" i="8"/>
  <c r="AG49" i="8" s="1"/>
  <c r="AF46" i="8"/>
  <c r="AF49" i="8" s="1"/>
  <c r="AE46" i="8"/>
  <c r="AD46" i="8"/>
  <c r="AD48" i="8" s="1"/>
  <c r="AC46" i="8"/>
  <c r="AB46" i="8"/>
  <c r="AB48" i="8" s="1"/>
  <c r="AA46" i="8"/>
  <c r="AA48" i="8" s="1"/>
  <c r="Z46" i="8"/>
  <c r="Z48" i="8" s="1"/>
  <c r="Y46" i="8"/>
  <c r="X46" i="8"/>
  <c r="W46" i="8"/>
  <c r="V46" i="8"/>
  <c r="U46" i="8"/>
  <c r="U48" i="8" s="1"/>
  <c r="T46" i="8"/>
  <c r="S46" i="8"/>
  <c r="R46" i="8"/>
  <c r="Q46" i="8"/>
  <c r="Q47" i="8" s="1"/>
  <c r="P46" i="8"/>
  <c r="P47" i="8" s="1"/>
  <c r="O46" i="8"/>
  <c r="N46" i="8"/>
  <c r="M46" i="8"/>
  <c r="L46" i="8"/>
  <c r="K46" i="8"/>
  <c r="J46" i="8"/>
  <c r="J47" i="8" s="1"/>
  <c r="I46" i="8"/>
  <c r="I47" i="8" s="1"/>
  <c r="H46" i="8"/>
  <c r="G46" i="8"/>
  <c r="F46" i="8"/>
  <c r="E46" i="8"/>
  <c r="E47" i="8" s="1"/>
  <c r="D46" i="8"/>
  <c r="D47" i="8" s="1"/>
  <c r="AM44" i="8"/>
  <c r="AL44" i="8"/>
  <c r="AK44" i="8"/>
  <c r="AJ44" i="8"/>
  <c r="AI44" i="8"/>
  <c r="AH44" i="8"/>
  <c r="AG44" i="8"/>
  <c r="AF44" i="8"/>
  <c r="AE44" i="8"/>
  <c r="AD44" i="8"/>
  <c r="AC44" i="8"/>
  <c r="AB44" i="8"/>
  <c r="AA44" i="8"/>
  <c r="Z44" i="8"/>
  <c r="Y44" i="8"/>
  <c r="X44" i="8"/>
  <c r="W44" i="8"/>
  <c r="V44" i="8"/>
  <c r="U44" i="8"/>
  <c r="T44" i="8"/>
  <c r="S44" i="8"/>
  <c r="R44" i="8"/>
  <c r="Q44" i="8"/>
  <c r="P44" i="8"/>
  <c r="O44" i="8"/>
  <c r="N44" i="8"/>
  <c r="M44" i="8"/>
  <c r="L44" i="8"/>
  <c r="K44" i="8"/>
  <c r="J44" i="8"/>
  <c r="I44" i="8"/>
  <c r="H44" i="8"/>
  <c r="G44" i="8"/>
  <c r="F44" i="8"/>
  <c r="E44" i="8"/>
  <c r="D44" i="8"/>
  <c r="A44" i="8"/>
  <c r="AM43" i="8"/>
  <c r="AL43" i="8"/>
  <c r="AK43" i="8"/>
  <c r="AJ43" i="8"/>
  <c r="AI43" i="8"/>
  <c r="AH43" i="8"/>
  <c r="AG43" i="8"/>
  <c r="AF43" i="8"/>
  <c r="AE43" i="8"/>
  <c r="AD43" i="8"/>
  <c r="AC43" i="8"/>
  <c r="AB43" i="8"/>
  <c r="AA43" i="8"/>
  <c r="Z43" i="8"/>
  <c r="Y43" i="8"/>
  <c r="X43" i="8"/>
  <c r="W43" i="8"/>
  <c r="V43" i="8"/>
  <c r="U43" i="8"/>
  <c r="T43" i="8"/>
  <c r="S43" i="8"/>
  <c r="R43" i="8"/>
  <c r="Q43" i="8"/>
  <c r="P43" i="8"/>
  <c r="O43" i="8"/>
  <c r="N43" i="8"/>
  <c r="M43" i="8"/>
  <c r="L43" i="8"/>
  <c r="K43" i="8"/>
  <c r="J43" i="8"/>
  <c r="I43" i="8"/>
  <c r="H43" i="8"/>
  <c r="G43" i="8"/>
  <c r="F43" i="8"/>
  <c r="E43" i="8"/>
  <c r="D43" i="8"/>
  <c r="A43" i="8"/>
  <c r="AM42" i="8"/>
  <c r="AL42" i="8"/>
  <c r="AK42" i="8"/>
  <c r="AJ42" i="8"/>
  <c r="AI42" i="8"/>
  <c r="AH42" i="8"/>
  <c r="AG42" i="8"/>
  <c r="AF42" i="8"/>
  <c r="AE42" i="8"/>
  <c r="AD42" i="8"/>
  <c r="AC42" i="8"/>
  <c r="AB42" i="8"/>
  <c r="AA42" i="8"/>
  <c r="Z42" i="8"/>
  <c r="Y42" i="8"/>
  <c r="X42" i="8"/>
  <c r="W42" i="8"/>
  <c r="V42" i="8"/>
  <c r="U42" i="8"/>
  <c r="T42" i="8"/>
  <c r="S42" i="8"/>
  <c r="R42" i="8"/>
  <c r="Q42" i="8"/>
  <c r="P42" i="8"/>
  <c r="O42" i="8"/>
  <c r="N42" i="8"/>
  <c r="M42" i="8"/>
  <c r="L42" i="8"/>
  <c r="K42" i="8"/>
  <c r="J42" i="8"/>
  <c r="I42" i="8"/>
  <c r="H42" i="8"/>
  <c r="G42" i="8"/>
  <c r="F42" i="8"/>
  <c r="E42" i="8"/>
  <c r="D42" i="8"/>
  <c r="A42" i="8"/>
  <c r="AM41" i="8"/>
  <c r="AL41" i="8"/>
  <c r="AK41" i="8"/>
  <c r="AJ41" i="8"/>
  <c r="AI41" i="8"/>
  <c r="AH41" i="8"/>
  <c r="AG41" i="8"/>
  <c r="AF41" i="8"/>
  <c r="AE41" i="8"/>
  <c r="AD41" i="8"/>
  <c r="AC41" i="8"/>
  <c r="AB41" i="8"/>
  <c r="AA41" i="8"/>
  <c r="Z41" i="8"/>
  <c r="Y41" i="8"/>
  <c r="X41" i="8"/>
  <c r="W41" i="8"/>
  <c r="V41" i="8"/>
  <c r="U41" i="8"/>
  <c r="T41" i="8"/>
  <c r="S41" i="8"/>
  <c r="R41" i="8"/>
  <c r="Q41" i="8"/>
  <c r="P41" i="8"/>
  <c r="O41" i="8"/>
  <c r="N41" i="8"/>
  <c r="M41" i="8"/>
  <c r="L41" i="8"/>
  <c r="K41" i="8"/>
  <c r="J41" i="8"/>
  <c r="I41" i="8"/>
  <c r="H41" i="8"/>
  <c r="G41" i="8"/>
  <c r="F41" i="8"/>
  <c r="E41" i="8"/>
  <c r="D41" i="8"/>
  <c r="A41" i="8"/>
  <c r="AM40" i="8"/>
  <c r="AL40" i="8"/>
  <c r="AK40" i="8"/>
  <c r="AJ40" i="8"/>
  <c r="AI40" i="8"/>
  <c r="AH40" i="8"/>
  <c r="AG40" i="8"/>
  <c r="AF40" i="8"/>
  <c r="AE40" i="8"/>
  <c r="AD40" i="8"/>
  <c r="AC40" i="8"/>
  <c r="AB40" i="8"/>
  <c r="AA40" i="8"/>
  <c r="Z40" i="8"/>
  <c r="Y40" i="8"/>
  <c r="X40" i="8"/>
  <c r="W40" i="8"/>
  <c r="V40" i="8"/>
  <c r="U40" i="8"/>
  <c r="T40" i="8"/>
  <c r="S40" i="8"/>
  <c r="R40" i="8"/>
  <c r="Q40" i="8"/>
  <c r="P40" i="8"/>
  <c r="O40" i="8"/>
  <c r="N40" i="8"/>
  <c r="M40" i="8"/>
  <c r="L40" i="8"/>
  <c r="K40" i="8"/>
  <c r="J40" i="8"/>
  <c r="I40" i="8"/>
  <c r="H40" i="8"/>
  <c r="G40" i="8"/>
  <c r="F40" i="8"/>
  <c r="E40" i="8"/>
  <c r="D40" i="8"/>
  <c r="A40" i="8"/>
  <c r="AM38" i="8"/>
  <c r="AL38" i="8"/>
  <c r="AK38" i="8"/>
  <c r="AJ38" i="8"/>
  <c r="AI38" i="8"/>
  <c r="AH38" i="8"/>
  <c r="AG38" i="8"/>
  <c r="AF38" i="8"/>
  <c r="AE38" i="8"/>
  <c r="AD38" i="8"/>
  <c r="AC38" i="8"/>
  <c r="AB38" i="8"/>
  <c r="AA38" i="8"/>
  <c r="Z38" i="8"/>
  <c r="Y38" i="8"/>
  <c r="X38" i="8"/>
  <c r="W38" i="8"/>
  <c r="V38" i="8"/>
  <c r="U38" i="8"/>
  <c r="T38" i="8"/>
  <c r="S38" i="8"/>
  <c r="R38" i="8"/>
  <c r="Q38" i="8"/>
  <c r="P38" i="8"/>
  <c r="O38" i="8"/>
  <c r="N38" i="8"/>
  <c r="M38" i="8"/>
  <c r="L38" i="8"/>
  <c r="K38" i="8"/>
  <c r="J38" i="8"/>
  <c r="I38" i="8"/>
  <c r="H38" i="8"/>
  <c r="G38" i="8"/>
  <c r="F38" i="8"/>
  <c r="E38" i="8"/>
  <c r="D38" i="8"/>
  <c r="AM37" i="8"/>
  <c r="AL37" i="8"/>
  <c r="AK37" i="8"/>
  <c r="AJ37" i="8"/>
  <c r="AI37" i="8"/>
  <c r="AH37" i="8"/>
  <c r="AG37" i="8"/>
  <c r="AF37" i="8"/>
  <c r="AE37" i="8"/>
  <c r="AD37" i="8"/>
  <c r="AC37" i="8"/>
  <c r="AB37" i="8"/>
  <c r="AA37" i="8"/>
  <c r="Z37" i="8"/>
  <c r="Y37" i="8"/>
  <c r="X37" i="8"/>
  <c r="W37" i="8"/>
  <c r="V37" i="8"/>
  <c r="U37" i="8"/>
  <c r="T37" i="8"/>
  <c r="S37" i="8"/>
  <c r="R37" i="8"/>
  <c r="Q37" i="8"/>
  <c r="P37" i="8"/>
  <c r="O37" i="8"/>
  <c r="N37" i="8"/>
  <c r="M37" i="8"/>
  <c r="L37" i="8"/>
  <c r="K37" i="8"/>
  <c r="J37" i="8"/>
  <c r="I37" i="8"/>
  <c r="H37" i="8"/>
  <c r="G37" i="8"/>
  <c r="F37" i="8"/>
  <c r="E37" i="8"/>
  <c r="D37" i="8"/>
  <c r="A37" i="8"/>
  <c r="AM36" i="8"/>
  <c r="AL36" i="8"/>
  <c r="AK36" i="8"/>
  <c r="AJ36" i="8"/>
  <c r="AI36" i="8"/>
  <c r="AH36" i="8"/>
  <c r="AG36" i="8"/>
  <c r="AF36" i="8"/>
  <c r="AE36" i="8"/>
  <c r="AD36" i="8"/>
  <c r="AC36" i="8"/>
  <c r="AB36" i="8"/>
  <c r="AA36" i="8"/>
  <c r="Z36" i="8"/>
  <c r="Y36" i="8"/>
  <c r="X36" i="8"/>
  <c r="W36" i="8"/>
  <c r="V36" i="8"/>
  <c r="U36" i="8"/>
  <c r="T36" i="8"/>
  <c r="S36" i="8"/>
  <c r="R36" i="8"/>
  <c r="Q36" i="8"/>
  <c r="P36" i="8"/>
  <c r="O36" i="8"/>
  <c r="N36" i="8"/>
  <c r="M36" i="8"/>
  <c r="L36" i="8"/>
  <c r="K36" i="8"/>
  <c r="J36" i="8"/>
  <c r="I36" i="8"/>
  <c r="H36" i="8"/>
  <c r="G36" i="8"/>
  <c r="F36" i="8"/>
  <c r="E36" i="8"/>
  <c r="D36" i="8"/>
  <c r="A36" i="8"/>
  <c r="AM35" i="8"/>
  <c r="AL35" i="8"/>
  <c r="AK35" i="8"/>
  <c r="AJ35" i="8"/>
  <c r="AI35" i="8"/>
  <c r="AH35" i="8"/>
  <c r="AG35" i="8"/>
  <c r="AF35" i="8"/>
  <c r="AE35" i="8"/>
  <c r="AD35" i="8"/>
  <c r="AC35" i="8"/>
  <c r="AB35" i="8"/>
  <c r="AA35" i="8"/>
  <c r="Z35" i="8"/>
  <c r="Y35" i="8"/>
  <c r="X35" i="8"/>
  <c r="W35" i="8"/>
  <c r="V35" i="8"/>
  <c r="U35" i="8"/>
  <c r="T35" i="8"/>
  <c r="S35" i="8"/>
  <c r="R35" i="8"/>
  <c r="Q35" i="8"/>
  <c r="P35" i="8"/>
  <c r="O35" i="8"/>
  <c r="N35" i="8"/>
  <c r="M35" i="8"/>
  <c r="L35" i="8"/>
  <c r="K35" i="8"/>
  <c r="J35" i="8"/>
  <c r="I35" i="8"/>
  <c r="H35" i="8"/>
  <c r="G35" i="8"/>
  <c r="F35" i="8"/>
  <c r="E35" i="8"/>
  <c r="D35" i="8"/>
  <c r="A35" i="8"/>
  <c r="AM34" i="8"/>
  <c r="AL34" i="8"/>
  <c r="AK34" i="8"/>
  <c r="AJ34" i="8"/>
  <c r="AI34" i="8"/>
  <c r="AH34" i="8"/>
  <c r="AG34" i="8"/>
  <c r="AF34" i="8"/>
  <c r="AE34" i="8"/>
  <c r="AD34" i="8"/>
  <c r="AC34" i="8"/>
  <c r="AB34" i="8"/>
  <c r="AA34" i="8"/>
  <c r="Z34" i="8"/>
  <c r="Y34" i="8"/>
  <c r="X34" i="8"/>
  <c r="W34" i="8"/>
  <c r="V34" i="8"/>
  <c r="U34" i="8"/>
  <c r="T34" i="8"/>
  <c r="S34" i="8"/>
  <c r="R34" i="8"/>
  <c r="Q34" i="8"/>
  <c r="P34" i="8"/>
  <c r="O34" i="8"/>
  <c r="N34" i="8"/>
  <c r="M34" i="8"/>
  <c r="L34" i="8"/>
  <c r="K34" i="8"/>
  <c r="J34" i="8"/>
  <c r="I34" i="8"/>
  <c r="H34" i="8"/>
  <c r="G34" i="8"/>
  <c r="F34" i="8"/>
  <c r="E34" i="8"/>
  <c r="D34" i="8"/>
  <c r="A34" i="8"/>
  <c r="AM33" i="8"/>
  <c r="AL33" i="8"/>
  <c r="AK33" i="8"/>
  <c r="AJ33" i="8"/>
  <c r="AI33" i="8"/>
  <c r="AH33" i="8"/>
  <c r="AG33" i="8"/>
  <c r="AF33" i="8"/>
  <c r="AE33" i="8"/>
  <c r="AD33" i="8"/>
  <c r="AC33" i="8"/>
  <c r="AB33" i="8"/>
  <c r="AA33" i="8"/>
  <c r="Z33" i="8"/>
  <c r="Y33" i="8"/>
  <c r="X33" i="8"/>
  <c r="W33" i="8"/>
  <c r="V33" i="8"/>
  <c r="U33" i="8"/>
  <c r="T33" i="8"/>
  <c r="S33" i="8"/>
  <c r="R33" i="8"/>
  <c r="Q33" i="8"/>
  <c r="P33" i="8"/>
  <c r="O33" i="8"/>
  <c r="N33" i="8"/>
  <c r="M33" i="8"/>
  <c r="L33" i="8"/>
  <c r="K33" i="8"/>
  <c r="J33" i="8"/>
  <c r="I33" i="8"/>
  <c r="H33" i="8"/>
  <c r="G33" i="8"/>
  <c r="F33" i="8"/>
  <c r="E33" i="8"/>
  <c r="D33" i="8"/>
  <c r="A33" i="8"/>
  <c r="C30" i="8"/>
  <c r="A30" i="8"/>
  <c r="C29" i="8"/>
  <c r="A29" i="8"/>
  <c r="A28" i="8"/>
  <c r="C27" i="8"/>
  <c r="A27" i="8"/>
  <c r="C26" i="8"/>
  <c r="A26" i="8"/>
  <c r="C23" i="8"/>
  <c r="A19" i="8"/>
  <c r="A18" i="8"/>
  <c r="A17" i="8"/>
  <c r="AM15" i="8"/>
  <c r="AL15" i="8"/>
  <c r="AK15" i="8"/>
  <c r="AJ15" i="8"/>
  <c r="AI15" i="8"/>
  <c r="AH15" i="8"/>
  <c r="AG15" i="8"/>
  <c r="AF15" i="8"/>
  <c r="AE15" i="8"/>
  <c r="AD15" i="8"/>
  <c r="AC15" i="8"/>
  <c r="AB15" i="8"/>
  <c r="AA15" i="8"/>
  <c r="Z15" i="8"/>
  <c r="Y15" i="8"/>
  <c r="X15" i="8"/>
  <c r="W15" i="8"/>
  <c r="V15" i="8"/>
  <c r="U15" i="8"/>
  <c r="T15" i="8"/>
  <c r="S15" i="8"/>
  <c r="R15" i="8"/>
  <c r="Q15" i="8"/>
  <c r="P15" i="8"/>
  <c r="O15" i="8"/>
  <c r="N15" i="8"/>
  <c r="M15" i="8"/>
  <c r="L15" i="8"/>
  <c r="K15" i="8"/>
  <c r="J15" i="8"/>
  <c r="I15" i="8"/>
  <c r="H15" i="8"/>
  <c r="G15" i="8"/>
  <c r="F15" i="8"/>
  <c r="E15" i="8"/>
  <c r="D15" i="8"/>
  <c r="P14" i="8"/>
  <c r="O14" i="8"/>
  <c r="K14" i="8"/>
  <c r="J14" i="8"/>
  <c r="E14" i="8"/>
  <c r="D14" i="8"/>
  <c r="AM13" i="8"/>
  <c r="AL13" i="8"/>
  <c r="AK13" i="8"/>
  <c r="AJ13" i="8"/>
  <c r="AI13" i="8"/>
  <c r="AH13" i="8"/>
  <c r="AG13" i="8"/>
  <c r="AF13" i="8"/>
  <c r="AE13" i="8"/>
  <c r="AD13" i="8"/>
  <c r="AC13" i="8"/>
  <c r="AB13" i="8"/>
  <c r="AA13" i="8"/>
  <c r="Z13" i="8"/>
  <c r="Y13" i="8"/>
  <c r="X13" i="8"/>
  <c r="W13" i="8"/>
  <c r="V13" i="8"/>
  <c r="U13" i="8"/>
  <c r="T13" i="8"/>
  <c r="S13" i="8"/>
  <c r="S14" i="8" s="1"/>
  <c r="R13" i="8"/>
  <c r="R14" i="8" s="1"/>
  <c r="Q13" i="8"/>
  <c r="Q14" i="8" s="1"/>
  <c r="P13" i="8"/>
  <c r="O13" i="8"/>
  <c r="N13" i="8"/>
  <c r="N14" i="8" s="1"/>
  <c r="M13" i="8"/>
  <c r="M14" i="8" s="1"/>
  <c r="L13" i="8"/>
  <c r="L14" i="8" s="1"/>
  <c r="K13" i="8"/>
  <c r="J13" i="8"/>
  <c r="I13" i="8"/>
  <c r="I14" i="8" s="1"/>
  <c r="H13" i="8"/>
  <c r="H14" i="8" s="1"/>
  <c r="G13" i="8"/>
  <c r="G14" i="8" s="1"/>
  <c r="F13" i="8"/>
  <c r="F14" i="8" s="1"/>
  <c r="E13" i="8"/>
  <c r="D13" i="8"/>
  <c r="A12" i="8"/>
  <c r="A11" i="8"/>
  <c r="A10" i="8"/>
  <c r="A9" i="8"/>
  <c r="A8" i="8"/>
  <c r="AM6" i="8"/>
  <c r="AL6" i="8"/>
  <c r="AK6" i="8"/>
  <c r="AJ6" i="8"/>
  <c r="AI6" i="8"/>
  <c r="AH6" i="8"/>
  <c r="AG6" i="8"/>
  <c r="AF6" i="8"/>
  <c r="AE6" i="8"/>
  <c r="AD6" i="8"/>
  <c r="AC6" i="8"/>
  <c r="AB6" i="8"/>
  <c r="AA6" i="8"/>
  <c r="Z6" i="8"/>
  <c r="Y6" i="8"/>
  <c r="X6" i="8"/>
  <c r="W6" i="8"/>
  <c r="V6" i="8"/>
  <c r="U6" i="8"/>
  <c r="T6" i="8"/>
  <c r="S6" i="8"/>
  <c r="R6" i="8"/>
  <c r="Q6" i="8"/>
  <c r="P6" i="8"/>
  <c r="O6" i="8"/>
  <c r="N6" i="8"/>
  <c r="M6" i="8"/>
  <c r="L6" i="8"/>
  <c r="K6" i="8"/>
  <c r="J6" i="8"/>
  <c r="I6" i="8"/>
  <c r="H6" i="8"/>
  <c r="G6" i="8"/>
  <c r="F6" i="8"/>
  <c r="E6" i="8"/>
  <c r="D6" i="8"/>
  <c r="AM5" i="8"/>
  <c r="AL5" i="8"/>
  <c r="AK5" i="8"/>
  <c r="AJ5" i="8"/>
  <c r="AI5" i="8"/>
  <c r="AH5" i="8"/>
  <c r="AG5" i="8"/>
  <c r="AF5" i="8"/>
  <c r="AE5" i="8"/>
  <c r="AD5" i="8"/>
  <c r="AC5" i="8"/>
  <c r="AB5" i="8"/>
  <c r="AA5" i="8"/>
  <c r="Z5" i="8"/>
  <c r="Y5" i="8"/>
  <c r="X5" i="8"/>
  <c r="W5" i="8"/>
  <c r="V5" i="8"/>
  <c r="U5" i="8"/>
  <c r="T5" i="8"/>
  <c r="S5" i="8"/>
  <c r="R5" i="8"/>
  <c r="Q5" i="8"/>
  <c r="P5" i="8"/>
  <c r="O5" i="8"/>
  <c r="N5" i="8"/>
  <c r="M5" i="8"/>
  <c r="L5" i="8"/>
  <c r="K5" i="8"/>
  <c r="J5" i="8"/>
  <c r="I5" i="8"/>
  <c r="H5" i="8"/>
  <c r="G5" i="8"/>
  <c r="F5" i="8"/>
  <c r="E5" i="8"/>
  <c r="D5" i="8"/>
  <c r="B205" i="3"/>
  <c r="C24" i="8" s="1"/>
  <c r="A218" i="8" l="1"/>
  <c r="A208" i="8"/>
  <c r="A194" i="8"/>
  <c r="AM118" i="8"/>
  <c r="A217" i="8"/>
  <c r="A207" i="8"/>
  <c r="A193" i="8"/>
  <c r="C28" i="8"/>
  <c r="A199" i="8"/>
  <c r="A185" i="8"/>
  <c r="AM101" i="8"/>
  <c r="A186" i="8"/>
  <c r="A200" i="8"/>
  <c r="A187" i="8"/>
  <c r="A201" i="8"/>
  <c r="AM152" i="8"/>
  <c r="C31" i="8"/>
  <c r="A220" i="8"/>
  <c r="A196" i="8"/>
  <c r="A210" i="8"/>
  <c r="A202" i="8"/>
  <c r="A188" i="8"/>
  <c r="A203" i="8"/>
  <c r="A189" i="8"/>
  <c r="A219" i="8"/>
  <c r="A195" i="8"/>
  <c r="A209" i="8"/>
  <c r="A216" i="8"/>
  <c r="A206" i="8"/>
  <c r="A192" i="8"/>
  <c r="B206" i="3"/>
  <c r="C31" i="4"/>
  <c r="C30" i="4"/>
  <c r="C29" i="4"/>
  <c r="C28" i="4"/>
  <c r="C27" i="4"/>
  <c r="C26" i="4"/>
  <c r="C24" i="4"/>
  <c r="B207" i="3"/>
  <c r="C3" i="8"/>
  <c r="C2" i="8"/>
  <c r="C3" i="4"/>
  <c r="C2" i="4"/>
  <c r="A37" i="4"/>
  <c r="A36" i="4"/>
  <c r="AM166" i="4"/>
  <c r="A229" i="4"/>
  <c r="A223" i="4"/>
  <c r="A222" i="4"/>
  <c r="A221" i="4"/>
  <c r="A215" i="4"/>
  <c r="A214" i="4"/>
  <c r="A213" i="4"/>
  <c r="AM169" i="4"/>
  <c r="AM149" i="4"/>
  <c r="AM152" i="4" s="1"/>
  <c r="AM132" i="4"/>
  <c r="AM135" i="4" s="1"/>
  <c r="AM115" i="4"/>
  <c r="AM118" i="4" s="1"/>
  <c r="AM98" i="4"/>
  <c r="AM101" i="4" s="1"/>
  <c r="A76" i="4"/>
  <c r="A228" i="4" s="1"/>
  <c r="A75" i="4"/>
  <c r="A227" i="4" s="1"/>
  <c r="A74" i="4"/>
  <c r="A226" i="4" s="1"/>
  <c r="A73" i="4"/>
  <c r="A225" i="4" s="1"/>
  <c r="A72" i="4"/>
  <c r="A224" i="4" s="1"/>
  <c r="A68" i="4"/>
  <c r="A67" i="4"/>
  <c r="A66" i="4"/>
  <c r="A65" i="4"/>
  <c r="A193" i="4" s="1"/>
  <c r="A64" i="4"/>
  <c r="C57" i="4"/>
  <c r="A53" i="4"/>
  <c r="A52" i="4"/>
  <c r="A51" i="4"/>
  <c r="A49" i="4"/>
  <c r="A48" i="4"/>
  <c r="A47" i="4"/>
  <c r="D46" i="4"/>
  <c r="D44" i="4"/>
  <c r="A44" i="4"/>
  <c r="D43" i="4"/>
  <c r="A43" i="4"/>
  <c r="D42" i="4"/>
  <c r="A42" i="4"/>
  <c r="D41" i="4"/>
  <c r="A41" i="4"/>
  <c r="D40" i="4"/>
  <c r="A40" i="4"/>
  <c r="D38" i="4"/>
  <c r="A35" i="4"/>
  <c r="A34" i="4"/>
  <c r="A33" i="4"/>
  <c r="A30" i="4"/>
  <c r="A29" i="4"/>
  <c r="A28" i="4"/>
  <c r="A27" i="4"/>
  <c r="A26" i="4"/>
  <c r="C23" i="4"/>
  <c r="A19" i="4"/>
  <c r="A18" i="4"/>
  <c r="A17" i="4"/>
  <c r="A12" i="4"/>
  <c r="A11" i="4"/>
  <c r="A10" i="4"/>
  <c r="A9" i="4"/>
  <c r="A8" i="4"/>
  <c r="A202" i="3"/>
  <c r="A201" i="3"/>
  <c r="F202" i="3"/>
  <c r="F201" i="3"/>
  <c r="G120" i="3"/>
  <c r="A119" i="3"/>
  <c r="G115" i="3"/>
  <c r="A114" i="3"/>
  <c r="A90" i="3"/>
  <c r="A89" i="3"/>
  <c r="C62" i="8" l="1"/>
  <c r="C68" i="8"/>
  <c r="C33" i="8"/>
  <c r="C54" i="8" s="1"/>
  <c r="C20" i="8" s="1"/>
  <c r="C6" i="8"/>
  <c r="C64" i="8"/>
  <c r="C40" i="8"/>
  <c r="C13" i="8"/>
  <c r="C14" i="8" s="1"/>
  <c r="C5" i="8"/>
  <c r="C12" i="8"/>
  <c r="D12" i="8" s="1"/>
  <c r="E12" i="8" s="1"/>
  <c r="F12" i="8" s="1"/>
  <c r="G12" i="8" s="1"/>
  <c r="H12" i="8" s="1"/>
  <c r="I12" i="8" s="1"/>
  <c r="J12" i="8" s="1"/>
  <c r="K12" i="8" s="1"/>
  <c r="L12" i="8" s="1"/>
  <c r="M12" i="8" s="1"/>
  <c r="N12" i="8" s="1"/>
  <c r="O12" i="8" s="1"/>
  <c r="P12" i="8" s="1"/>
  <c r="Q12" i="8" s="1"/>
  <c r="R12" i="8" s="1"/>
  <c r="S12" i="8" s="1"/>
  <c r="T12" i="8" s="1"/>
  <c r="U12" i="8" s="1"/>
  <c r="V12" i="8" s="1"/>
  <c r="W12" i="8" s="1"/>
  <c r="X12" i="8" s="1"/>
  <c r="Y12" i="8" s="1"/>
  <c r="Z12" i="8" s="1"/>
  <c r="AA12" i="8" s="1"/>
  <c r="AB12" i="8" s="1"/>
  <c r="AC12" i="8" s="1"/>
  <c r="AD12" i="8" s="1"/>
  <c r="AE12" i="8" s="1"/>
  <c r="AF12" i="8" s="1"/>
  <c r="AG12" i="8" s="1"/>
  <c r="AH12" i="8" s="1"/>
  <c r="AI12" i="8" s="1"/>
  <c r="AJ12" i="8" s="1"/>
  <c r="AK12" i="8" s="1"/>
  <c r="AL12" i="8" s="1"/>
  <c r="AM12" i="8" s="1"/>
  <c r="C66" i="8"/>
  <c r="C43" i="8"/>
  <c r="C46" i="8"/>
  <c r="C47" i="8" s="1"/>
  <c r="C36" i="8"/>
  <c r="C34" i="8"/>
  <c r="C44" i="8"/>
  <c r="C10" i="8"/>
  <c r="D10" i="8" s="1"/>
  <c r="E10" i="8" s="1"/>
  <c r="F10" i="8" s="1"/>
  <c r="G10" i="8" s="1"/>
  <c r="H10" i="8" s="1"/>
  <c r="I10" i="8" s="1"/>
  <c r="J10" i="8" s="1"/>
  <c r="K10" i="8" s="1"/>
  <c r="L10" i="8" s="1"/>
  <c r="M10" i="8" s="1"/>
  <c r="N10" i="8" s="1"/>
  <c r="O10" i="8" s="1"/>
  <c r="P10" i="8" s="1"/>
  <c r="Q10" i="8" s="1"/>
  <c r="R10" i="8" s="1"/>
  <c r="S10" i="8" s="1"/>
  <c r="T10" i="8" s="1"/>
  <c r="U10" i="8" s="1"/>
  <c r="V10" i="8" s="1"/>
  <c r="W10" i="8" s="1"/>
  <c r="X10" i="8" s="1"/>
  <c r="Y10" i="8" s="1"/>
  <c r="Z10" i="8" s="1"/>
  <c r="AA10" i="8" s="1"/>
  <c r="AB10" i="8" s="1"/>
  <c r="AC10" i="8" s="1"/>
  <c r="AD10" i="8" s="1"/>
  <c r="AE10" i="8" s="1"/>
  <c r="AF10" i="8" s="1"/>
  <c r="AG10" i="8" s="1"/>
  <c r="AH10" i="8" s="1"/>
  <c r="AI10" i="8" s="1"/>
  <c r="AJ10" i="8" s="1"/>
  <c r="AK10" i="8" s="1"/>
  <c r="AL10" i="8" s="1"/>
  <c r="AM10" i="8" s="1"/>
  <c r="C35" i="8"/>
  <c r="C67" i="8"/>
  <c r="C65" i="8"/>
  <c r="C42" i="8"/>
  <c r="C69" i="8"/>
  <c r="C8" i="8"/>
  <c r="D8" i="8" s="1"/>
  <c r="C15" i="8"/>
  <c r="C9" i="8"/>
  <c r="D9" i="8" s="1"/>
  <c r="E9" i="8" s="1"/>
  <c r="F9" i="8" s="1"/>
  <c r="G9" i="8" s="1"/>
  <c r="H9" i="8" s="1"/>
  <c r="I9" i="8" s="1"/>
  <c r="J9" i="8" s="1"/>
  <c r="K9" i="8" s="1"/>
  <c r="L9" i="8" s="1"/>
  <c r="M9" i="8" s="1"/>
  <c r="N9" i="8" s="1"/>
  <c r="O9" i="8" s="1"/>
  <c r="P9" i="8" s="1"/>
  <c r="Q9" i="8" s="1"/>
  <c r="R9" i="8" s="1"/>
  <c r="S9" i="8" s="1"/>
  <c r="T9" i="8" s="1"/>
  <c r="U9" i="8" s="1"/>
  <c r="V9" i="8" s="1"/>
  <c r="W9" i="8" s="1"/>
  <c r="X9" i="8" s="1"/>
  <c r="Y9" i="8" s="1"/>
  <c r="Z9" i="8" s="1"/>
  <c r="AA9" i="8" s="1"/>
  <c r="AB9" i="8" s="1"/>
  <c r="AC9" i="8" s="1"/>
  <c r="AD9" i="8" s="1"/>
  <c r="AE9" i="8" s="1"/>
  <c r="AF9" i="8" s="1"/>
  <c r="AG9" i="8" s="1"/>
  <c r="AH9" i="8" s="1"/>
  <c r="AI9" i="8" s="1"/>
  <c r="AJ9" i="8" s="1"/>
  <c r="AK9" i="8" s="1"/>
  <c r="AL9" i="8" s="1"/>
  <c r="AM9" i="8" s="1"/>
  <c r="C11" i="8"/>
  <c r="D11" i="8" s="1"/>
  <c r="E11" i="8" s="1"/>
  <c r="F11" i="8" s="1"/>
  <c r="G11" i="8" s="1"/>
  <c r="H11" i="8" s="1"/>
  <c r="I11" i="8" s="1"/>
  <c r="J11" i="8" s="1"/>
  <c r="K11" i="8" s="1"/>
  <c r="L11" i="8" s="1"/>
  <c r="M11" i="8" s="1"/>
  <c r="N11" i="8" s="1"/>
  <c r="O11" i="8" s="1"/>
  <c r="P11" i="8" s="1"/>
  <c r="Q11" i="8" s="1"/>
  <c r="R11" i="8" s="1"/>
  <c r="S11" i="8" s="1"/>
  <c r="T11" i="8" s="1"/>
  <c r="U11" i="8" s="1"/>
  <c r="V11" i="8" s="1"/>
  <c r="W11" i="8" s="1"/>
  <c r="X11" i="8" s="1"/>
  <c r="Y11" i="8" s="1"/>
  <c r="Z11" i="8" s="1"/>
  <c r="AA11" i="8" s="1"/>
  <c r="AB11" i="8" s="1"/>
  <c r="AC11" i="8" s="1"/>
  <c r="AD11" i="8" s="1"/>
  <c r="AE11" i="8" s="1"/>
  <c r="AF11" i="8" s="1"/>
  <c r="AG11" i="8" s="1"/>
  <c r="AH11" i="8" s="1"/>
  <c r="AI11" i="8" s="1"/>
  <c r="AJ11" i="8" s="1"/>
  <c r="AK11" i="8" s="1"/>
  <c r="AL11" i="8" s="1"/>
  <c r="AM11" i="8" s="1"/>
  <c r="C38" i="8"/>
  <c r="C37" i="8"/>
  <c r="C41" i="8"/>
  <c r="AK77" i="8"/>
  <c r="AK229" i="8" s="1"/>
  <c r="AC77" i="8"/>
  <c r="AC229" i="8" s="1"/>
  <c r="Q77" i="8"/>
  <c r="Q229" i="8" s="1"/>
  <c r="E77" i="8"/>
  <c r="E229" i="8" s="1"/>
  <c r="AD76" i="8"/>
  <c r="R76" i="8"/>
  <c r="F76" i="8"/>
  <c r="AF75" i="8"/>
  <c r="T75" i="8"/>
  <c r="H75" i="8"/>
  <c r="AH74" i="8"/>
  <c r="V74" i="8"/>
  <c r="J74" i="8"/>
  <c r="AJ73" i="8"/>
  <c r="X73" i="8"/>
  <c r="L73" i="8"/>
  <c r="AL72" i="8"/>
  <c r="Z72" i="8"/>
  <c r="N72" i="8"/>
  <c r="AB70" i="8"/>
  <c r="AB222" i="8" s="1"/>
  <c r="P70" i="8"/>
  <c r="P222" i="8" s="1"/>
  <c r="D70" i="8"/>
  <c r="D222" i="8" s="1"/>
  <c r="AB77" i="8"/>
  <c r="AB229" i="8" s="1"/>
  <c r="P77" i="8"/>
  <c r="P229" i="8" s="1"/>
  <c r="D77" i="8"/>
  <c r="D229" i="8" s="1"/>
  <c r="AC76" i="8"/>
  <c r="Q76" i="8"/>
  <c r="E76" i="8"/>
  <c r="AE75" i="8"/>
  <c r="S75" i="8"/>
  <c r="G75" i="8"/>
  <c r="AG74" i="8"/>
  <c r="U74" i="8"/>
  <c r="I74" i="8"/>
  <c r="AI73" i="8"/>
  <c r="W73" i="8"/>
  <c r="K73" i="8"/>
  <c r="AK72" i="8"/>
  <c r="Y72" i="8"/>
  <c r="M72" i="8"/>
  <c r="AM70" i="8"/>
  <c r="AM222" i="8" s="1"/>
  <c r="AA70" i="8"/>
  <c r="AA222" i="8" s="1"/>
  <c r="O70" i="8"/>
  <c r="O222" i="8" s="1"/>
  <c r="C70" i="8"/>
  <c r="C222" i="8" s="1"/>
  <c r="AJ77" i="8"/>
  <c r="AJ229" i="8" s="1"/>
  <c r="V77" i="8"/>
  <c r="V229" i="8" s="1"/>
  <c r="H77" i="8"/>
  <c r="H229" i="8" s="1"/>
  <c r="AE76" i="8"/>
  <c r="O76" i="8"/>
  <c r="AM75" i="8"/>
  <c r="Y75" i="8"/>
  <c r="K75" i="8"/>
  <c r="AI74" i="8"/>
  <c r="S74" i="8"/>
  <c r="E74" i="8"/>
  <c r="AC73" i="8"/>
  <c r="O73" i="8"/>
  <c r="AM72" i="8"/>
  <c r="W72" i="8"/>
  <c r="I72" i="8"/>
  <c r="AH70" i="8"/>
  <c r="AH222" i="8" s="1"/>
  <c r="T70" i="8"/>
  <c r="T222" i="8" s="1"/>
  <c r="F70" i="8"/>
  <c r="F222" i="8" s="1"/>
  <c r="AI77" i="8"/>
  <c r="AI229" i="8" s="1"/>
  <c r="U77" i="8"/>
  <c r="U229" i="8" s="1"/>
  <c r="G77" i="8"/>
  <c r="G229" i="8" s="1"/>
  <c r="AB76" i="8"/>
  <c r="N76" i="8"/>
  <c r="AL75" i="8"/>
  <c r="X75" i="8"/>
  <c r="J75" i="8"/>
  <c r="AF74" i="8"/>
  <c r="R74" i="8"/>
  <c r="D74" i="8"/>
  <c r="AB73" i="8"/>
  <c r="N73" i="8"/>
  <c r="AJ72" i="8"/>
  <c r="V72" i="8"/>
  <c r="H72" i="8"/>
  <c r="AG70" i="8"/>
  <c r="AG222" i="8" s="1"/>
  <c r="S70" i="8"/>
  <c r="S222" i="8" s="1"/>
  <c r="E70" i="8"/>
  <c r="E222" i="8" s="1"/>
  <c r="AH77" i="8"/>
  <c r="AH229" i="8" s="1"/>
  <c r="T77" i="8"/>
  <c r="T229" i="8" s="1"/>
  <c r="F77" i="8"/>
  <c r="F229" i="8" s="1"/>
  <c r="AA76" i="8"/>
  <c r="AL77" i="8"/>
  <c r="AL229" i="8" s="1"/>
  <c r="O77" i="8"/>
  <c r="O229" i="8" s="1"/>
  <c r="AI76" i="8"/>
  <c r="P76" i="8"/>
  <c r="AJ75" i="8"/>
  <c r="R75" i="8"/>
  <c r="X74" i="8"/>
  <c r="F74" i="8"/>
  <c r="Z73" i="8"/>
  <c r="H73" i="8"/>
  <c r="AD72" i="8"/>
  <c r="L72" i="8"/>
  <c r="AI70" i="8"/>
  <c r="AI222" i="8" s="1"/>
  <c r="Q70" i="8"/>
  <c r="Q222" i="8" s="1"/>
  <c r="AC31" i="8"/>
  <c r="Q31" i="8"/>
  <c r="E31" i="8"/>
  <c r="AD30" i="8"/>
  <c r="R30" i="8"/>
  <c r="F30" i="8"/>
  <c r="AF29" i="8"/>
  <c r="T29" i="8"/>
  <c r="H29" i="8"/>
  <c r="AH28" i="8"/>
  <c r="V28" i="8"/>
  <c r="J28" i="8"/>
  <c r="AJ27" i="8"/>
  <c r="X27" i="8"/>
  <c r="L27" i="8"/>
  <c r="AL26" i="8"/>
  <c r="Z26" i="8"/>
  <c r="N26" i="8"/>
  <c r="AB24" i="8"/>
  <c r="P24" i="8"/>
  <c r="D24" i="8"/>
  <c r="AG77" i="8"/>
  <c r="AG229" i="8" s="1"/>
  <c r="N77" i="8"/>
  <c r="N229" i="8" s="1"/>
  <c r="AH76" i="8"/>
  <c r="M76" i="8"/>
  <c r="AI75" i="8"/>
  <c r="Q75" i="8"/>
  <c r="AM74" i="8"/>
  <c r="W74" i="8"/>
  <c r="C74" i="8"/>
  <c r="Y73" i="8"/>
  <c r="G73" i="8"/>
  <c r="AC72" i="8"/>
  <c r="K72" i="8"/>
  <c r="AF70" i="8"/>
  <c r="AF222" i="8" s="1"/>
  <c r="N70" i="8"/>
  <c r="N222" i="8" s="1"/>
  <c r="AB31" i="8"/>
  <c r="P31" i="8"/>
  <c r="D31" i="8"/>
  <c r="AC30" i="8"/>
  <c r="Q30" i="8"/>
  <c r="E30" i="8"/>
  <c r="AE29" i="8"/>
  <c r="S29" i="8"/>
  <c r="G29" i="8"/>
  <c r="AG28" i="8"/>
  <c r="U28" i="8"/>
  <c r="I28" i="8"/>
  <c r="AI27" i="8"/>
  <c r="W27" i="8"/>
  <c r="K27" i="8"/>
  <c r="AK26" i="8"/>
  <c r="Y26" i="8"/>
  <c r="M26" i="8"/>
  <c r="AM24" i="8"/>
  <c r="AA24" i="8"/>
  <c r="O24" i="8"/>
  <c r="N24" i="8"/>
  <c r="AF77" i="8"/>
  <c r="AF229" i="8" s="1"/>
  <c r="M77" i="8"/>
  <c r="M229" i="8" s="1"/>
  <c r="AG76" i="8"/>
  <c r="L76" i="8"/>
  <c r="AH75" i="8"/>
  <c r="P75" i="8"/>
  <c r="AL74" i="8"/>
  <c r="T74" i="8"/>
  <c r="V73" i="8"/>
  <c r="F73" i="8"/>
  <c r="AB72" i="8"/>
  <c r="J72" i="8"/>
  <c r="AE70" i="8"/>
  <c r="AE222" i="8" s="1"/>
  <c r="M70" i="8"/>
  <c r="M222" i="8" s="1"/>
  <c r="AM31" i="8"/>
  <c r="AA31" i="8"/>
  <c r="O31" i="8"/>
  <c r="AB30" i="8"/>
  <c r="P30" i="8"/>
  <c r="D30" i="8"/>
  <c r="AD29" i="8"/>
  <c r="R29" i="8"/>
  <c r="F29" i="8"/>
  <c r="AF28" i="8"/>
  <c r="T28" i="8"/>
  <c r="H28" i="8"/>
  <c r="AH27" i="8"/>
  <c r="V27" i="8"/>
  <c r="J27" i="8"/>
  <c r="AJ26" i="8"/>
  <c r="X26" i="8"/>
  <c r="L26" i="8"/>
  <c r="AL24" i="8"/>
  <c r="Z24" i="8"/>
  <c r="AE77" i="8"/>
  <c r="AE229" i="8" s="1"/>
  <c r="L77" i="8"/>
  <c r="L229" i="8" s="1"/>
  <c r="AF76" i="8"/>
  <c r="K76" i="8"/>
  <c r="AD77" i="8"/>
  <c r="AD229" i="8" s="1"/>
  <c r="K77" i="8"/>
  <c r="K229" i="8" s="1"/>
  <c r="Z76" i="8"/>
  <c r="AA77" i="8"/>
  <c r="AA229" i="8" s="1"/>
  <c r="J77" i="8"/>
  <c r="J229" i="8" s="1"/>
  <c r="Y76" i="8"/>
  <c r="Y77" i="8"/>
  <c r="Y229" i="8" s="1"/>
  <c r="C77" i="8"/>
  <c r="C229" i="8" s="1"/>
  <c r="W76" i="8"/>
  <c r="G76" i="8"/>
  <c r="AA75" i="8"/>
  <c r="I75" i="8"/>
  <c r="AC74" i="8"/>
  <c r="M74" i="8"/>
  <c r="AG73" i="8"/>
  <c r="Q73" i="8"/>
  <c r="AI72" i="8"/>
  <c r="S72" i="8"/>
  <c r="C72" i="8"/>
  <c r="X70" i="8"/>
  <c r="X222" i="8" s="1"/>
  <c r="H70" i="8"/>
  <c r="H222" i="8" s="1"/>
  <c r="AH31" i="8"/>
  <c r="V31" i="8"/>
  <c r="J31" i="8"/>
  <c r="AI30" i="8"/>
  <c r="W30" i="8"/>
  <c r="K30" i="8"/>
  <c r="AK29" i="8"/>
  <c r="Y29" i="8"/>
  <c r="M29" i="8"/>
  <c r="AM28" i="8"/>
  <c r="AA28" i="8"/>
  <c r="O28" i="8"/>
  <c r="AC27" i="8"/>
  <c r="Q27" i="8"/>
  <c r="E27" i="8"/>
  <c r="AE26" i="8"/>
  <c r="S26" i="8"/>
  <c r="W77" i="8"/>
  <c r="W229" i="8" s="1"/>
  <c r="S76" i="8"/>
  <c r="Z75" i="8"/>
  <c r="N74" i="8"/>
  <c r="AD73" i="8"/>
  <c r="C73" i="8"/>
  <c r="P72" i="8"/>
  <c r="Z70" i="8"/>
  <c r="Z222" i="8" s="1"/>
  <c r="AF31" i="8"/>
  <c r="M31" i="8"/>
  <c r="AG30" i="8"/>
  <c r="N30" i="8"/>
  <c r="AI29" i="8"/>
  <c r="P29" i="8"/>
  <c r="AK28" i="8"/>
  <c r="R28" i="8"/>
  <c r="AM27" i="8"/>
  <c r="T27" i="8"/>
  <c r="V26" i="8"/>
  <c r="F26" i="8"/>
  <c r="AD24" i="8"/>
  <c r="L24" i="8"/>
  <c r="J30" i="8"/>
  <c r="AC29" i="8"/>
  <c r="N28" i="8"/>
  <c r="AI26" i="8"/>
  <c r="I30" i="8"/>
  <c r="K29" i="8"/>
  <c r="AH26" i="8"/>
  <c r="S77" i="8"/>
  <c r="S229" i="8" s="1"/>
  <c r="J76" i="8"/>
  <c r="W75" i="8"/>
  <c r="AK74" i="8"/>
  <c r="L74" i="8"/>
  <c r="AA73" i="8"/>
  <c r="O72" i="8"/>
  <c r="Y70" i="8"/>
  <c r="Y222" i="8" s="1"/>
  <c r="AE31" i="8"/>
  <c r="L31" i="8"/>
  <c r="AF30" i="8"/>
  <c r="M30" i="8"/>
  <c r="AH29" i="8"/>
  <c r="O29" i="8"/>
  <c r="AJ28" i="8"/>
  <c r="Q28" i="8"/>
  <c r="AL27" i="8"/>
  <c r="S27" i="8"/>
  <c r="U26" i="8"/>
  <c r="E26" i="8"/>
  <c r="AC24" i="8"/>
  <c r="K24" i="8"/>
  <c r="AA30" i="8"/>
  <c r="AE28" i="8"/>
  <c r="P27" i="8"/>
  <c r="X24" i="8"/>
  <c r="Z30" i="8"/>
  <c r="AD28" i="8"/>
  <c r="AF27" i="8"/>
  <c r="W24" i="8"/>
  <c r="R77" i="8"/>
  <c r="R229" i="8" s="1"/>
  <c r="I76" i="8"/>
  <c r="V75" i="8"/>
  <c r="AJ74" i="8"/>
  <c r="K74" i="8"/>
  <c r="U73" i="8"/>
  <c r="AH72" i="8"/>
  <c r="G72" i="8"/>
  <c r="W70" i="8"/>
  <c r="W222" i="8" s="1"/>
  <c r="AD31" i="8"/>
  <c r="K31" i="8"/>
  <c r="AE30" i="8"/>
  <c r="L30" i="8"/>
  <c r="AG29" i="8"/>
  <c r="N29" i="8"/>
  <c r="AI28" i="8"/>
  <c r="P28" i="8"/>
  <c r="AK27" i="8"/>
  <c r="R27" i="8"/>
  <c r="AM26" i="8"/>
  <c r="T26" i="8"/>
  <c r="D26" i="8"/>
  <c r="Y24" i="8"/>
  <c r="J24" i="8"/>
  <c r="I31" i="8"/>
  <c r="L29" i="8"/>
  <c r="AG27" i="8"/>
  <c r="R26" i="8"/>
  <c r="I24" i="8"/>
  <c r="H31" i="8"/>
  <c r="AB29" i="8"/>
  <c r="M28" i="8"/>
  <c r="H24" i="8"/>
  <c r="I77" i="8"/>
  <c r="I229" i="8" s="1"/>
  <c r="H76" i="8"/>
  <c r="U75" i="8"/>
  <c r="AE74" i="8"/>
  <c r="H74" i="8"/>
  <c r="T73" i="8"/>
  <c r="AG72" i="8"/>
  <c r="F72" i="8"/>
  <c r="V70" i="8"/>
  <c r="V222" i="8" s="1"/>
  <c r="Z31" i="8"/>
  <c r="Y31" i="8"/>
  <c r="AM76" i="8"/>
  <c r="D76" i="8"/>
  <c r="O75" i="8"/>
  <c r="AD74" i="8"/>
  <c r="G74" i="8"/>
  <c r="S73" i="8"/>
  <c r="AF72" i="8"/>
  <c r="E72" i="8"/>
  <c r="U70" i="8"/>
  <c r="U222" i="8" s="1"/>
  <c r="AL76" i="8"/>
  <c r="C76" i="8"/>
  <c r="N75" i="8"/>
  <c r="AB74" i="8"/>
  <c r="R73" i="8"/>
  <c r="AE72" i="8"/>
  <c r="D72" i="8"/>
  <c r="R70" i="8"/>
  <c r="R222" i="8" s="1"/>
  <c r="AK76" i="8"/>
  <c r="M75" i="8"/>
  <c r="AA74" i="8"/>
  <c r="AM73" i="8"/>
  <c r="P73" i="8"/>
  <c r="AA72" i="8"/>
  <c r="L70" i="8"/>
  <c r="L222" i="8" s="1"/>
  <c r="AJ76" i="8"/>
  <c r="AK75" i="8"/>
  <c r="L75" i="8"/>
  <c r="Z74" i="8"/>
  <c r="AL73" i="8"/>
  <c r="M73" i="8"/>
  <c r="X72" i="8"/>
  <c r="AL70" i="8"/>
  <c r="AL222" i="8" s="1"/>
  <c r="K70" i="8"/>
  <c r="K222" i="8" s="1"/>
  <c r="AL31" i="8"/>
  <c r="U31" i="8"/>
  <c r="AM30" i="8"/>
  <c r="V30" i="8"/>
  <c r="X29" i="8"/>
  <c r="E29" i="8"/>
  <c r="Z28" i="8"/>
  <c r="G28" i="8"/>
  <c r="AB27" i="8"/>
  <c r="I27" i="8"/>
  <c r="AD26" i="8"/>
  <c r="K26" i="8"/>
  <c r="AI24" i="8"/>
  <c r="T24" i="8"/>
  <c r="E24" i="8"/>
  <c r="X76" i="8"/>
  <c r="AG75" i="8"/>
  <c r="F75" i="8"/>
  <c r="Y74" i="8"/>
  <c r="AK73" i="8"/>
  <c r="J73" i="8"/>
  <c r="U72" i="8"/>
  <c r="AK70" i="8"/>
  <c r="AK222" i="8" s="1"/>
  <c r="J70" i="8"/>
  <c r="J222" i="8" s="1"/>
  <c r="AK31" i="8"/>
  <c r="T31" i="8"/>
  <c r="AL30" i="8"/>
  <c r="U30" i="8"/>
  <c r="W29" i="8"/>
  <c r="D29" i="8"/>
  <c r="Y28" i="8"/>
  <c r="F28" i="8"/>
  <c r="AA27" i="8"/>
  <c r="AH73" i="8"/>
  <c r="AD70" i="8"/>
  <c r="AD222" i="8" s="1"/>
  <c r="X31" i="8"/>
  <c r="T30" i="8"/>
  <c r="V29" i="8"/>
  <c r="S28" i="8"/>
  <c r="N27" i="8"/>
  <c r="AA26" i="8"/>
  <c r="AJ24" i="8"/>
  <c r="F24" i="8"/>
  <c r="J26" i="8"/>
  <c r="C75" i="8"/>
  <c r="AE27" i="8"/>
  <c r="AL28" i="8"/>
  <c r="AC28" i="8"/>
  <c r="P74" i="8"/>
  <c r="AB28" i="8"/>
  <c r="Q24" i="8"/>
  <c r="T76" i="8"/>
  <c r="Z29" i="8"/>
  <c r="AD75" i="8"/>
  <c r="AF73" i="8"/>
  <c r="AC70" i="8"/>
  <c r="AC222" i="8" s="1"/>
  <c r="W31" i="8"/>
  <c r="S30" i="8"/>
  <c r="U29" i="8"/>
  <c r="L28" i="8"/>
  <c r="M27" i="8"/>
  <c r="W26" i="8"/>
  <c r="AH24" i="8"/>
  <c r="J29" i="8"/>
  <c r="G27" i="8"/>
  <c r="AF24" i="8"/>
  <c r="D27" i="8"/>
  <c r="I26" i="8"/>
  <c r="AK30" i="8"/>
  <c r="AM29" i="8"/>
  <c r="AD27" i="8"/>
  <c r="H26" i="8"/>
  <c r="AJ30" i="8"/>
  <c r="G26" i="8"/>
  <c r="AJ31" i="8"/>
  <c r="AH30" i="8"/>
  <c r="AJ29" i="8"/>
  <c r="AG31" i="8"/>
  <c r="AC75" i="8"/>
  <c r="AE73" i="8"/>
  <c r="I70" i="8"/>
  <c r="I222" i="8" s="1"/>
  <c r="S31" i="8"/>
  <c r="O30" i="8"/>
  <c r="Q29" i="8"/>
  <c r="K28" i="8"/>
  <c r="H27" i="8"/>
  <c r="Q26" i="8"/>
  <c r="AG24" i="8"/>
  <c r="H30" i="8"/>
  <c r="E28" i="8"/>
  <c r="F31" i="8"/>
  <c r="U24" i="8"/>
  <c r="Z77" i="8"/>
  <c r="Z229" i="8" s="1"/>
  <c r="S24" i="8"/>
  <c r="AL29" i="8"/>
  <c r="AG26" i="8"/>
  <c r="R24" i="8"/>
  <c r="Q72" i="8"/>
  <c r="AJ70" i="8"/>
  <c r="AJ222" i="8" s="1"/>
  <c r="W28" i="8"/>
  <c r="AB75" i="8"/>
  <c r="I73" i="8"/>
  <c r="G70" i="8"/>
  <c r="G222" i="8" s="1"/>
  <c r="R31" i="8"/>
  <c r="P26" i="8"/>
  <c r="X28" i="8"/>
  <c r="E75" i="8"/>
  <c r="E73" i="8"/>
  <c r="N31" i="8"/>
  <c r="G30" i="8"/>
  <c r="I29" i="8"/>
  <c r="D28" i="8"/>
  <c r="F27" i="8"/>
  <c r="O26" i="8"/>
  <c r="AE24" i="8"/>
  <c r="V24" i="8"/>
  <c r="AM77" i="8"/>
  <c r="AM229" i="8" s="1"/>
  <c r="T72" i="8"/>
  <c r="X77" i="8"/>
  <c r="X229" i="8" s="1"/>
  <c r="Q74" i="8"/>
  <c r="R72" i="8"/>
  <c r="Z27" i="8"/>
  <c r="V76" i="8"/>
  <c r="Y30" i="8"/>
  <c r="X30" i="8"/>
  <c r="G24" i="8"/>
  <c r="D75" i="8"/>
  <c r="D73" i="8"/>
  <c r="G31" i="8"/>
  <c r="Y27" i="8"/>
  <c r="U27" i="8"/>
  <c r="AK24" i="8"/>
  <c r="AF26" i="8"/>
  <c r="M24" i="8"/>
  <c r="AB26" i="8"/>
  <c r="U76" i="8"/>
  <c r="O74" i="8"/>
  <c r="AI31" i="8"/>
  <c r="AA29" i="8"/>
  <c r="AC26" i="8"/>
  <c r="O27" i="8"/>
  <c r="C51" i="8"/>
  <c r="C53" i="8"/>
  <c r="C18" i="8"/>
  <c r="C52" i="8"/>
  <c r="C19" i="8"/>
  <c r="C17" i="8"/>
  <c r="C72" i="4"/>
  <c r="AM72" i="4"/>
  <c r="AA72" i="4"/>
  <c r="O72" i="4"/>
  <c r="X72" i="4"/>
  <c r="W72" i="4"/>
  <c r="V72" i="4"/>
  <c r="U72" i="4"/>
  <c r="AL72" i="4"/>
  <c r="Z72" i="4"/>
  <c r="N72" i="4"/>
  <c r="AK72" i="4"/>
  <c r="Y72" i="4"/>
  <c r="M72" i="4"/>
  <c r="AJ72" i="4"/>
  <c r="L72" i="4"/>
  <c r="AI72" i="4"/>
  <c r="K72" i="4"/>
  <c r="AH72" i="4"/>
  <c r="J72" i="4"/>
  <c r="AG72" i="4"/>
  <c r="I72" i="4"/>
  <c r="AF72" i="4"/>
  <c r="T72" i="4"/>
  <c r="H72" i="4"/>
  <c r="AE72" i="4"/>
  <c r="S72" i="4"/>
  <c r="G72" i="4"/>
  <c r="AD72" i="4"/>
  <c r="R72" i="4"/>
  <c r="F72" i="4"/>
  <c r="AC72" i="4"/>
  <c r="Q72" i="4"/>
  <c r="E72" i="4"/>
  <c r="AB72" i="4"/>
  <c r="P72" i="4"/>
  <c r="D72" i="4"/>
  <c r="AM70" i="4"/>
  <c r="AA70" i="4"/>
  <c r="O70" i="4"/>
  <c r="X70" i="4"/>
  <c r="AI70" i="4"/>
  <c r="K70" i="4"/>
  <c r="V70" i="4"/>
  <c r="U70" i="4"/>
  <c r="D70" i="4"/>
  <c r="AL70" i="4"/>
  <c r="Z70" i="4"/>
  <c r="N70" i="4"/>
  <c r="AK70" i="4"/>
  <c r="Y70" i="4"/>
  <c r="M70" i="4"/>
  <c r="AJ70" i="4"/>
  <c r="L70" i="4"/>
  <c r="W70" i="4"/>
  <c r="AH70" i="4"/>
  <c r="J70" i="4"/>
  <c r="AG70" i="4"/>
  <c r="I70" i="4"/>
  <c r="AB70" i="4"/>
  <c r="AF70" i="4"/>
  <c r="T70" i="4"/>
  <c r="H70" i="4"/>
  <c r="AE70" i="4"/>
  <c r="S70" i="4"/>
  <c r="G70" i="4"/>
  <c r="AD70" i="4"/>
  <c r="R70" i="4"/>
  <c r="F70" i="4"/>
  <c r="AC70" i="4"/>
  <c r="Q70" i="4"/>
  <c r="E70" i="4"/>
  <c r="P70" i="4"/>
  <c r="AM77" i="4"/>
  <c r="AA77" i="4"/>
  <c r="O77" i="4"/>
  <c r="AM76" i="4"/>
  <c r="AA76" i="4"/>
  <c r="O76" i="4"/>
  <c r="AM75" i="4"/>
  <c r="AA75" i="4"/>
  <c r="O75" i="4"/>
  <c r="AM74" i="4"/>
  <c r="AA74" i="4"/>
  <c r="O74" i="4"/>
  <c r="AM73" i="4"/>
  <c r="AA73" i="4"/>
  <c r="O73" i="4"/>
  <c r="L77" i="4"/>
  <c r="AJ76" i="4"/>
  <c r="AJ75" i="4"/>
  <c r="X74" i="4"/>
  <c r="X73" i="4"/>
  <c r="K77" i="4"/>
  <c r="W76" i="4"/>
  <c r="K75" i="4"/>
  <c r="W73" i="4"/>
  <c r="V77" i="4"/>
  <c r="AH75" i="4"/>
  <c r="AH74" i="4"/>
  <c r="AH73" i="4"/>
  <c r="I77" i="4"/>
  <c r="AG76" i="4"/>
  <c r="AG75" i="4"/>
  <c r="I75" i="4"/>
  <c r="I74" i="4"/>
  <c r="I73" i="4"/>
  <c r="AL77" i="4"/>
  <c r="Z77" i="4"/>
  <c r="N77" i="4"/>
  <c r="AL76" i="4"/>
  <c r="Z76" i="4"/>
  <c r="N76" i="4"/>
  <c r="AL75" i="4"/>
  <c r="Z75" i="4"/>
  <c r="N75" i="4"/>
  <c r="AL74" i="4"/>
  <c r="Z74" i="4"/>
  <c r="N74" i="4"/>
  <c r="AL73" i="4"/>
  <c r="Z73" i="4"/>
  <c r="N73" i="4"/>
  <c r="AJ77" i="4"/>
  <c r="L76" i="4"/>
  <c r="L75" i="4"/>
  <c r="L74" i="4"/>
  <c r="L73" i="4"/>
  <c r="AI77" i="4"/>
  <c r="AH77" i="4"/>
  <c r="V76" i="4"/>
  <c r="V74" i="4"/>
  <c r="J73" i="4"/>
  <c r="AG77" i="4"/>
  <c r="I76" i="4"/>
  <c r="AG74" i="4"/>
  <c r="AG73" i="4"/>
  <c r="AK77" i="4"/>
  <c r="Y77" i="4"/>
  <c r="M77" i="4"/>
  <c r="AK76" i="4"/>
  <c r="Y76" i="4"/>
  <c r="M76" i="4"/>
  <c r="AK75" i="4"/>
  <c r="Y75" i="4"/>
  <c r="M75" i="4"/>
  <c r="AK74" i="4"/>
  <c r="Y74" i="4"/>
  <c r="M74" i="4"/>
  <c r="AK73" i="4"/>
  <c r="Y73" i="4"/>
  <c r="M73" i="4"/>
  <c r="X77" i="4"/>
  <c r="X76" i="4"/>
  <c r="X75" i="4"/>
  <c r="AJ74" i="4"/>
  <c r="AJ73" i="4"/>
  <c r="W77" i="4"/>
  <c r="AI76" i="4"/>
  <c r="K76" i="4"/>
  <c r="AI75" i="4"/>
  <c r="W75" i="4"/>
  <c r="AI74" i="4"/>
  <c r="W74" i="4"/>
  <c r="K74" i="4"/>
  <c r="AI73" i="4"/>
  <c r="K73" i="4"/>
  <c r="J77" i="4"/>
  <c r="AH76" i="4"/>
  <c r="J76" i="4"/>
  <c r="V75" i="4"/>
  <c r="J75" i="4"/>
  <c r="J74" i="4"/>
  <c r="V73" i="4"/>
  <c r="U77" i="4"/>
  <c r="U76" i="4"/>
  <c r="U75" i="4"/>
  <c r="U74" i="4"/>
  <c r="U73" i="4"/>
  <c r="AF77" i="4"/>
  <c r="T77" i="4"/>
  <c r="H77" i="4"/>
  <c r="AF76" i="4"/>
  <c r="T76" i="4"/>
  <c r="H76" i="4"/>
  <c r="AF75" i="4"/>
  <c r="T75" i="4"/>
  <c r="H75" i="4"/>
  <c r="AF74" i="4"/>
  <c r="T74" i="4"/>
  <c r="H74" i="4"/>
  <c r="AF73" i="4"/>
  <c r="T73" i="4"/>
  <c r="H73" i="4"/>
  <c r="AE77" i="4"/>
  <c r="S77" i="4"/>
  <c r="G77" i="4"/>
  <c r="AE76" i="4"/>
  <c r="S76" i="4"/>
  <c r="G76" i="4"/>
  <c r="AE75" i="4"/>
  <c r="S75" i="4"/>
  <c r="G75" i="4"/>
  <c r="AE74" i="4"/>
  <c r="S74" i="4"/>
  <c r="G74" i="4"/>
  <c r="AE73" i="4"/>
  <c r="S73" i="4"/>
  <c r="G73" i="4"/>
  <c r="AD77" i="4"/>
  <c r="R77" i="4"/>
  <c r="F77" i="4"/>
  <c r="AD76" i="4"/>
  <c r="R76" i="4"/>
  <c r="F76" i="4"/>
  <c r="AD75" i="4"/>
  <c r="R75" i="4"/>
  <c r="F75" i="4"/>
  <c r="AD74" i="4"/>
  <c r="R74" i="4"/>
  <c r="F74" i="4"/>
  <c r="AD73" i="4"/>
  <c r="R73" i="4"/>
  <c r="F73" i="4"/>
  <c r="AC77" i="4"/>
  <c r="Q77" i="4"/>
  <c r="E77" i="4"/>
  <c r="AC76" i="4"/>
  <c r="Q76" i="4"/>
  <c r="E76" i="4"/>
  <c r="AC75" i="4"/>
  <c r="Q75" i="4"/>
  <c r="E75" i="4"/>
  <c r="AC74" i="4"/>
  <c r="Q74" i="4"/>
  <c r="E74" i="4"/>
  <c r="AC73" i="4"/>
  <c r="Q73" i="4"/>
  <c r="E73" i="4"/>
  <c r="AB77" i="4"/>
  <c r="P77" i="4"/>
  <c r="D77" i="4"/>
  <c r="AB76" i="4"/>
  <c r="P76" i="4"/>
  <c r="D76" i="4"/>
  <c r="AB75" i="4"/>
  <c r="P75" i="4"/>
  <c r="D75" i="4"/>
  <c r="AB74" i="4"/>
  <c r="AB73" i="4"/>
  <c r="D73" i="4"/>
  <c r="P74" i="4"/>
  <c r="D74" i="4"/>
  <c r="P73" i="4"/>
  <c r="C76" i="4"/>
  <c r="C77" i="4"/>
  <c r="C229" i="4" s="1"/>
  <c r="C74" i="4"/>
  <c r="C75" i="4"/>
  <c r="AA31" i="4"/>
  <c r="AK27" i="4"/>
  <c r="AI26" i="4"/>
  <c r="AL30" i="4"/>
  <c r="Y30" i="4"/>
  <c r="AH30" i="4"/>
  <c r="P31" i="4"/>
  <c r="J30" i="4"/>
  <c r="C73" i="4"/>
  <c r="R27" i="4"/>
  <c r="Z30" i="4"/>
  <c r="N29" i="4"/>
  <c r="AB24" i="4"/>
  <c r="U29" i="4"/>
  <c r="J31" i="4"/>
  <c r="AH24" i="4"/>
  <c r="G27" i="4"/>
  <c r="Z26" i="4"/>
  <c r="AF24" i="4"/>
  <c r="D24" i="4"/>
  <c r="G31" i="4"/>
  <c r="P30" i="4"/>
  <c r="AI27" i="4"/>
  <c r="K27" i="4"/>
  <c r="AK31" i="4"/>
  <c r="G26" i="4"/>
  <c r="AL28" i="4"/>
  <c r="V30" i="4"/>
  <c r="M30" i="4"/>
  <c r="J26" i="4"/>
  <c r="Q26" i="4"/>
  <c r="D27" i="4"/>
  <c r="AL26" i="4"/>
  <c r="V26" i="4"/>
  <c r="M28" i="4"/>
  <c r="V24" i="4"/>
  <c r="G29" i="4"/>
  <c r="AC31" i="4"/>
  <c r="N24" i="4"/>
  <c r="Y26" i="4"/>
  <c r="D28" i="4"/>
  <c r="X31" i="4"/>
  <c r="AF31" i="4"/>
  <c r="I24" i="4"/>
  <c r="AD28" i="4"/>
  <c r="AA27" i="4"/>
  <c r="X27" i="4"/>
  <c r="T31" i="4"/>
  <c r="L30" i="4"/>
  <c r="H28" i="4"/>
  <c r="AB30" i="4"/>
  <c r="I29" i="4"/>
  <c r="E24" i="4"/>
  <c r="AM27" i="4"/>
  <c r="AJ30" i="4"/>
  <c r="O26" i="4"/>
  <c r="AJ24" i="4"/>
  <c r="H29" i="4"/>
  <c r="L24" i="4"/>
  <c r="D31" i="4"/>
  <c r="AB28" i="4"/>
  <c r="C70" i="4"/>
  <c r="C222" i="4" s="1"/>
  <c r="O30" i="4"/>
  <c r="AG29" i="4"/>
  <c r="AG28" i="4"/>
  <c r="F29" i="4"/>
  <c r="AM29" i="4"/>
  <c r="M26" i="4"/>
  <c r="F27" i="4"/>
  <c r="AJ27" i="4"/>
  <c r="AF30" i="4"/>
  <c r="AM24" i="4"/>
  <c r="X24" i="4"/>
  <c r="T28" i="4"/>
  <c r="W27" i="4"/>
  <c r="AE29" i="4"/>
  <c r="Q27" i="4"/>
  <c r="K31" i="4"/>
  <c r="T27" i="4"/>
  <c r="AD27" i="4"/>
  <c r="R26" i="4"/>
  <c r="AC28" i="4"/>
  <c r="R24" i="4"/>
  <c r="AC27" i="4"/>
  <c r="P29" i="4"/>
  <c r="AM31" i="4"/>
  <c r="O27" i="4"/>
  <c r="N26" i="4"/>
  <c r="W26" i="4"/>
  <c r="Y31" i="4"/>
  <c r="X29" i="4"/>
  <c r="U31" i="4"/>
  <c r="AE28" i="4"/>
  <c r="AI31" i="4"/>
  <c r="P27" i="4"/>
  <c r="P26" i="4"/>
  <c r="AM26" i="4"/>
  <c r="AL24" i="4"/>
  <c r="AI24" i="4"/>
  <c r="T30" i="4"/>
  <c r="M27" i="4"/>
  <c r="W24" i="4"/>
  <c r="T29" i="4"/>
  <c r="AD30" i="4"/>
  <c r="O31" i="4"/>
  <c r="N30" i="4"/>
  <c r="L27" i="4"/>
  <c r="J24" i="4"/>
  <c r="H31" i="4"/>
  <c r="Y27" i="4"/>
  <c r="K26" i="4"/>
  <c r="H30" i="4"/>
  <c r="R31" i="4"/>
  <c r="AC26" i="4"/>
  <c r="R30" i="4"/>
  <c r="AM30" i="4"/>
  <c r="AL29" i="4"/>
  <c r="X26" i="4"/>
  <c r="I31" i="4"/>
  <c r="M31" i="4"/>
  <c r="X28" i="4"/>
  <c r="AG30" i="4"/>
  <c r="AE27" i="4"/>
  <c r="P28" i="4"/>
  <c r="AD24" i="4"/>
  <c r="Q31" i="4"/>
  <c r="R29" i="4"/>
  <c r="G30" i="4"/>
  <c r="AA30" i="4"/>
  <c r="AA26" i="4"/>
  <c r="Z29" i="4"/>
  <c r="Z24" i="4"/>
  <c r="L26" i="4"/>
  <c r="K24" i="4"/>
  <c r="U30" i="4"/>
  <c r="AF29" i="4"/>
  <c r="AK30" i="4"/>
  <c r="AK26" i="4"/>
  <c r="AJ26" i="4"/>
  <c r="V31" i="4"/>
  <c r="I30" i="4"/>
  <c r="AF28" i="4"/>
  <c r="AE26" i="4"/>
  <c r="Q24" i="4"/>
  <c r="AD29" i="4"/>
  <c r="AG31" i="4"/>
  <c r="G28" i="4"/>
  <c r="R28" i="4"/>
  <c r="P24" i="4"/>
  <c r="AA29" i="4"/>
  <c r="AH29" i="4"/>
  <c r="AD26" i="4"/>
  <c r="W30" i="4"/>
  <c r="AJ29" i="4"/>
  <c r="H27" i="4"/>
  <c r="K30" i="4"/>
  <c r="H26" i="4"/>
  <c r="AE24" i="4"/>
  <c r="G24" i="4"/>
  <c r="AM28" i="4"/>
  <c r="AL31" i="4"/>
  <c r="AL27" i="4"/>
  <c r="L29" i="4"/>
  <c r="AI29" i="4"/>
  <c r="V28" i="4"/>
  <c r="I27" i="4"/>
  <c r="T26" i="4"/>
  <c r="M29" i="4"/>
  <c r="M24" i="4"/>
  <c r="W29" i="4"/>
  <c r="J28" i="4"/>
  <c r="AG26" i="4"/>
  <c r="H24" i="4"/>
  <c r="AC24" i="4"/>
  <c r="E30" i="4"/>
  <c r="AH31" i="4"/>
  <c r="S29" i="4"/>
  <c r="E29" i="4"/>
  <c r="Q30" i="4"/>
  <c r="F24" i="4"/>
  <c r="C69" i="4"/>
  <c r="D69" i="4" s="1"/>
  <c r="E69" i="4" s="1"/>
  <c r="F69" i="4" s="1"/>
  <c r="G69" i="4" s="1"/>
  <c r="H69" i="4" s="1"/>
  <c r="I69" i="4" s="1"/>
  <c r="J69" i="4" s="1"/>
  <c r="K69" i="4" s="1"/>
  <c r="L69" i="4" s="1"/>
  <c r="M69" i="4" s="1"/>
  <c r="N69" i="4" s="1"/>
  <c r="O69" i="4" s="1"/>
  <c r="P69" i="4" s="1"/>
  <c r="Q69" i="4" s="1"/>
  <c r="R69" i="4" s="1"/>
  <c r="S69" i="4" s="1"/>
  <c r="T69" i="4" s="1"/>
  <c r="U69" i="4" s="1"/>
  <c r="V69" i="4" s="1"/>
  <c r="W69" i="4" s="1"/>
  <c r="X69" i="4" s="1"/>
  <c r="Y69" i="4" s="1"/>
  <c r="Z69" i="4" s="1"/>
  <c r="AA69" i="4" s="1"/>
  <c r="AB69" i="4" s="1"/>
  <c r="AC69" i="4" s="1"/>
  <c r="AD69" i="4" s="1"/>
  <c r="AE69" i="4" s="1"/>
  <c r="AF69" i="4" s="1"/>
  <c r="AG69" i="4" s="1"/>
  <c r="AH69" i="4" s="1"/>
  <c r="AI69" i="4" s="1"/>
  <c r="AJ69" i="4" s="1"/>
  <c r="AK69" i="4" s="1"/>
  <c r="AL69" i="4" s="1"/>
  <c r="AM69" i="4" s="1"/>
  <c r="AA24" i="4"/>
  <c r="Z28" i="4"/>
  <c r="X30" i="4"/>
  <c r="W31" i="4"/>
  <c r="U28" i="4"/>
  <c r="AF27" i="4"/>
  <c r="AK29" i="4"/>
  <c r="AK24" i="4"/>
  <c r="AI30" i="4"/>
  <c r="V29" i="4"/>
  <c r="I28" i="4"/>
  <c r="AF26" i="4"/>
  <c r="AB29" i="4"/>
  <c r="F30" i="4"/>
  <c r="AB26" i="4"/>
  <c r="F28" i="4"/>
  <c r="S24" i="4"/>
  <c r="F31" i="4"/>
  <c r="O29" i="4"/>
  <c r="N28" i="4"/>
  <c r="AG27" i="4"/>
  <c r="Y24" i="4"/>
  <c r="U27" i="4"/>
  <c r="F26" i="4"/>
  <c r="AB31" i="4"/>
  <c r="AA28" i="4"/>
  <c r="Z27" i="4"/>
  <c r="K29" i="4"/>
  <c r="AH27" i="4"/>
  <c r="U26" i="4"/>
  <c r="T24" i="4"/>
  <c r="AK28" i="4"/>
  <c r="AJ31" i="4"/>
  <c r="AI28" i="4"/>
  <c r="V27" i="4"/>
  <c r="I26" i="4"/>
  <c r="S31" i="4"/>
  <c r="S30" i="4"/>
  <c r="E27" i="4"/>
  <c r="AC30" i="4"/>
  <c r="S27" i="4"/>
  <c r="E26" i="4"/>
  <c r="Q29" i="4"/>
  <c r="D29" i="4"/>
  <c r="O24" i="4"/>
  <c r="J29" i="4"/>
  <c r="Y29" i="4"/>
  <c r="AH28" i="4"/>
  <c r="AB27" i="4"/>
  <c r="AD31" i="4"/>
  <c r="E28" i="4"/>
  <c r="Z31" i="4"/>
  <c r="AJ28" i="4"/>
  <c r="O28" i="4"/>
  <c r="N31" i="4"/>
  <c r="N27" i="4"/>
  <c r="L28" i="4"/>
  <c r="W28" i="4"/>
  <c r="J27" i="4"/>
  <c r="AG24" i="4"/>
  <c r="AE31" i="4"/>
  <c r="Y28" i="4"/>
  <c r="L31" i="4"/>
  <c r="K28" i="4"/>
  <c r="AH26" i="4"/>
  <c r="U24" i="4"/>
  <c r="AE30" i="4"/>
  <c r="S28" i="4"/>
  <c r="E31" i="4"/>
  <c r="AC29" i="4"/>
  <c r="S26" i="4"/>
  <c r="D30" i="4"/>
  <c r="Q28" i="4"/>
  <c r="D26" i="4"/>
  <c r="C67" i="4"/>
  <c r="D67" i="4" s="1"/>
  <c r="E67" i="4" s="1"/>
  <c r="F67" i="4" s="1"/>
  <c r="G67" i="4" s="1"/>
  <c r="H67" i="4" s="1"/>
  <c r="I67" i="4" s="1"/>
  <c r="J67" i="4" s="1"/>
  <c r="K67" i="4" s="1"/>
  <c r="L67" i="4" s="1"/>
  <c r="M67" i="4" s="1"/>
  <c r="N67" i="4" s="1"/>
  <c r="O67" i="4" s="1"/>
  <c r="P67" i="4" s="1"/>
  <c r="Q67" i="4" s="1"/>
  <c r="R67" i="4" s="1"/>
  <c r="S67" i="4" s="1"/>
  <c r="T67" i="4" s="1"/>
  <c r="U67" i="4" s="1"/>
  <c r="V67" i="4" s="1"/>
  <c r="W67" i="4" s="1"/>
  <c r="X67" i="4" s="1"/>
  <c r="Y67" i="4" s="1"/>
  <c r="Z67" i="4" s="1"/>
  <c r="AA67" i="4" s="1"/>
  <c r="AB67" i="4" s="1"/>
  <c r="AC67" i="4" s="1"/>
  <c r="AD67" i="4" s="1"/>
  <c r="AE67" i="4" s="1"/>
  <c r="AF67" i="4" s="1"/>
  <c r="AG67" i="4" s="1"/>
  <c r="AH67" i="4" s="1"/>
  <c r="AI67" i="4" s="1"/>
  <c r="AJ67" i="4" s="1"/>
  <c r="AK67" i="4" s="1"/>
  <c r="AL67" i="4" s="1"/>
  <c r="AM67" i="4" s="1"/>
  <c r="C68" i="4"/>
  <c r="D68" i="4" s="1"/>
  <c r="E68" i="4" s="1"/>
  <c r="F68" i="4" s="1"/>
  <c r="G68" i="4" s="1"/>
  <c r="H68" i="4" s="1"/>
  <c r="I68" i="4" s="1"/>
  <c r="J68" i="4" s="1"/>
  <c r="K68" i="4" s="1"/>
  <c r="L68" i="4" s="1"/>
  <c r="M68" i="4" s="1"/>
  <c r="N68" i="4" s="1"/>
  <c r="O68" i="4" s="1"/>
  <c r="P68" i="4" s="1"/>
  <c r="Q68" i="4" s="1"/>
  <c r="R68" i="4" s="1"/>
  <c r="S68" i="4" s="1"/>
  <c r="T68" i="4" s="1"/>
  <c r="U68" i="4" s="1"/>
  <c r="V68" i="4" s="1"/>
  <c r="W68" i="4" s="1"/>
  <c r="X68" i="4" s="1"/>
  <c r="Y68" i="4" s="1"/>
  <c r="Z68" i="4" s="1"/>
  <c r="AA68" i="4" s="1"/>
  <c r="AB68" i="4" s="1"/>
  <c r="AC68" i="4" s="1"/>
  <c r="AD68" i="4" s="1"/>
  <c r="AE68" i="4" s="1"/>
  <c r="AF68" i="4" s="1"/>
  <c r="AG68" i="4" s="1"/>
  <c r="AH68" i="4" s="1"/>
  <c r="AI68" i="4" s="1"/>
  <c r="AJ68" i="4" s="1"/>
  <c r="AK68" i="4" s="1"/>
  <c r="AL68" i="4" s="1"/>
  <c r="AM68" i="4" s="1"/>
  <c r="C65" i="4"/>
  <c r="D65" i="4" s="1"/>
  <c r="E65" i="4" s="1"/>
  <c r="F65" i="4" s="1"/>
  <c r="G65" i="4" s="1"/>
  <c r="H65" i="4" s="1"/>
  <c r="I65" i="4" s="1"/>
  <c r="J65" i="4" s="1"/>
  <c r="K65" i="4" s="1"/>
  <c r="L65" i="4" s="1"/>
  <c r="M65" i="4" s="1"/>
  <c r="N65" i="4" s="1"/>
  <c r="O65" i="4" s="1"/>
  <c r="P65" i="4" s="1"/>
  <c r="Q65" i="4" s="1"/>
  <c r="R65" i="4" s="1"/>
  <c r="S65" i="4" s="1"/>
  <c r="T65" i="4" s="1"/>
  <c r="U65" i="4" s="1"/>
  <c r="V65" i="4" s="1"/>
  <c r="W65" i="4" s="1"/>
  <c r="X65" i="4" s="1"/>
  <c r="Y65" i="4" s="1"/>
  <c r="Z65" i="4" s="1"/>
  <c r="AA65" i="4" s="1"/>
  <c r="AB65" i="4" s="1"/>
  <c r="AC65" i="4" s="1"/>
  <c r="AD65" i="4" s="1"/>
  <c r="AE65" i="4" s="1"/>
  <c r="AF65" i="4" s="1"/>
  <c r="AG65" i="4" s="1"/>
  <c r="AH65" i="4" s="1"/>
  <c r="AI65" i="4" s="1"/>
  <c r="AJ65" i="4" s="1"/>
  <c r="AK65" i="4" s="1"/>
  <c r="AL65" i="4" s="1"/>
  <c r="AM65" i="4" s="1"/>
  <c r="C66" i="4"/>
  <c r="D66" i="4" s="1"/>
  <c r="E66" i="4" s="1"/>
  <c r="F66" i="4" s="1"/>
  <c r="G66" i="4" s="1"/>
  <c r="H66" i="4" s="1"/>
  <c r="I66" i="4" s="1"/>
  <c r="J66" i="4" s="1"/>
  <c r="K66" i="4" s="1"/>
  <c r="L66" i="4" s="1"/>
  <c r="M66" i="4" s="1"/>
  <c r="N66" i="4" s="1"/>
  <c r="O66" i="4" s="1"/>
  <c r="P66" i="4" s="1"/>
  <c r="Q66" i="4" s="1"/>
  <c r="R66" i="4" s="1"/>
  <c r="S66" i="4" s="1"/>
  <c r="T66" i="4" s="1"/>
  <c r="U66" i="4" s="1"/>
  <c r="V66" i="4" s="1"/>
  <c r="W66" i="4" s="1"/>
  <c r="X66" i="4" s="1"/>
  <c r="Y66" i="4" s="1"/>
  <c r="Z66" i="4" s="1"/>
  <c r="AA66" i="4" s="1"/>
  <c r="AB66" i="4" s="1"/>
  <c r="AC66" i="4" s="1"/>
  <c r="AD66" i="4" s="1"/>
  <c r="AE66" i="4" s="1"/>
  <c r="AF66" i="4" s="1"/>
  <c r="AG66" i="4" s="1"/>
  <c r="AH66" i="4" s="1"/>
  <c r="AI66" i="4" s="1"/>
  <c r="AJ66" i="4" s="1"/>
  <c r="AK66" i="4" s="1"/>
  <c r="AL66" i="4" s="1"/>
  <c r="AM66" i="4" s="1"/>
  <c r="C62" i="4"/>
  <c r="C214" i="4" s="1"/>
  <c r="C64" i="4"/>
  <c r="D64" i="4" s="1"/>
  <c r="E64" i="4" s="1"/>
  <c r="F64" i="4" s="1"/>
  <c r="G64" i="4" s="1"/>
  <c r="H64" i="4" s="1"/>
  <c r="I64" i="4" s="1"/>
  <c r="J64" i="4" s="1"/>
  <c r="K64" i="4" s="1"/>
  <c r="L64" i="4" s="1"/>
  <c r="M64" i="4" s="1"/>
  <c r="N64" i="4" s="1"/>
  <c r="O64" i="4" s="1"/>
  <c r="P64" i="4" s="1"/>
  <c r="Q64" i="4" s="1"/>
  <c r="R64" i="4" s="1"/>
  <c r="S64" i="4" s="1"/>
  <c r="T64" i="4" s="1"/>
  <c r="U64" i="4" s="1"/>
  <c r="V64" i="4" s="1"/>
  <c r="W64" i="4" s="1"/>
  <c r="X64" i="4" s="1"/>
  <c r="Y64" i="4" s="1"/>
  <c r="Z64" i="4" s="1"/>
  <c r="AA64" i="4" s="1"/>
  <c r="AB64" i="4" s="1"/>
  <c r="AC64" i="4" s="1"/>
  <c r="AD64" i="4" s="1"/>
  <c r="AE64" i="4" s="1"/>
  <c r="AF64" i="4" s="1"/>
  <c r="AG64" i="4" s="1"/>
  <c r="AH64" i="4" s="1"/>
  <c r="AI64" i="4" s="1"/>
  <c r="AJ64" i="4" s="1"/>
  <c r="AK64" i="4" s="1"/>
  <c r="AL64" i="4" s="1"/>
  <c r="AM64" i="4" s="1"/>
  <c r="C44" i="4"/>
  <c r="C46" i="4"/>
  <c r="C42" i="4"/>
  <c r="C43" i="4"/>
  <c r="C40" i="4"/>
  <c r="C41" i="4"/>
  <c r="C37" i="4"/>
  <c r="C38" i="4"/>
  <c r="C35" i="4"/>
  <c r="C36" i="4"/>
  <c r="C33" i="4"/>
  <c r="C34" i="4"/>
  <c r="C13" i="4"/>
  <c r="C14" i="4" s="1"/>
  <c r="C15" i="4"/>
  <c r="C11" i="4"/>
  <c r="D11" i="4" s="1"/>
  <c r="E11" i="4" s="1"/>
  <c r="F11" i="4" s="1"/>
  <c r="G11" i="4" s="1"/>
  <c r="H11" i="4" s="1"/>
  <c r="I11" i="4" s="1"/>
  <c r="J11" i="4" s="1"/>
  <c r="K11" i="4" s="1"/>
  <c r="L11" i="4" s="1"/>
  <c r="M11" i="4" s="1"/>
  <c r="N11" i="4" s="1"/>
  <c r="O11" i="4" s="1"/>
  <c r="P11" i="4" s="1"/>
  <c r="Q11" i="4" s="1"/>
  <c r="R11" i="4" s="1"/>
  <c r="S11" i="4" s="1"/>
  <c r="T11" i="4" s="1"/>
  <c r="U11" i="4" s="1"/>
  <c r="V11" i="4" s="1"/>
  <c r="W11" i="4" s="1"/>
  <c r="X11" i="4" s="1"/>
  <c r="Y11" i="4" s="1"/>
  <c r="Z11" i="4" s="1"/>
  <c r="AA11" i="4" s="1"/>
  <c r="AB11" i="4" s="1"/>
  <c r="AC11" i="4" s="1"/>
  <c r="AD11" i="4" s="1"/>
  <c r="AE11" i="4" s="1"/>
  <c r="AF11" i="4" s="1"/>
  <c r="AG11" i="4" s="1"/>
  <c r="AH11" i="4" s="1"/>
  <c r="AI11" i="4" s="1"/>
  <c r="AJ11" i="4" s="1"/>
  <c r="AK11" i="4" s="1"/>
  <c r="AL11" i="4" s="1"/>
  <c r="AM11" i="4" s="1"/>
  <c r="C12" i="4"/>
  <c r="D12" i="4" s="1"/>
  <c r="E12" i="4" s="1"/>
  <c r="F12" i="4" s="1"/>
  <c r="G12" i="4" s="1"/>
  <c r="H12" i="4" s="1"/>
  <c r="I12" i="4" s="1"/>
  <c r="J12" i="4" s="1"/>
  <c r="K12" i="4" s="1"/>
  <c r="L12" i="4" s="1"/>
  <c r="M12" i="4" s="1"/>
  <c r="N12" i="4" s="1"/>
  <c r="O12" i="4" s="1"/>
  <c r="P12" i="4" s="1"/>
  <c r="Q12" i="4" s="1"/>
  <c r="R12" i="4" s="1"/>
  <c r="S12" i="4" s="1"/>
  <c r="T12" i="4" s="1"/>
  <c r="U12" i="4" s="1"/>
  <c r="V12" i="4" s="1"/>
  <c r="W12" i="4" s="1"/>
  <c r="X12" i="4" s="1"/>
  <c r="Y12" i="4" s="1"/>
  <c r="Z12" i="4" s="1"/>
  <c r="AA12" i="4" s="1"/>
  <c r="AB12" i="4" s="1"/>
  <c r="AC12" i="4" s="1"/>
  <c r="AD12" i="4" s="1"/>
  <c r="AE12" i="4" s="1"/>
  <c r="AF12" i="4" s="1"/>
  <c r="AG12" i="4" s="1"/>
  <c r="AH12" i="4" s="1"/>
  <c r="AI12" i="4" s="1"/>
  <c r="AJ12" i="4" s="1"/>
  <c r="AK12" i="4" s="1"/>
  <c r="AL12" i="4" s="1"/>
  <c r="AM12" i="4" s="1"/>
  <c r="C8" i="4"/>
  <c r="D8" i="4" s="1"/>
  <c r="E8" i="4" s="1"/>
  <c r="F8" i="4" s="1"/>
  <c r="G8" i="4" s="1"/>
  <c r="C10" i="4"/>
  <c r="D10" i="4" s="1"/>
  <c r="E10" i="4" s="1"/>
  <c r="F10" i="4" s="1"/>
  <c r="G10" i="4" s="1"/>
  <c r="H10" i="4" s="1"/>
  <c r="I10" i="4" s="1"/>
  <c r="J10" i="4" s="1"/>
  <c r="K10" i="4" s="1"/>
  <c r="L10" i="4" s="1"/>
  <c r="M10" i="4" s="1"/>
  <c r="N10" i="4" s="1"/>
  <c r="O10" i="4" s="1"/>
  <c r="P10" i="4" s="1"/>
  <c r="Q10" i="4" s="1"/>
  <c r="R10" i="4" s="1"/>
  <c r="S10" i="4" s="1"/>
  <c r="T10" i="4" s="1"/>
  <c r="U10" i="4" s="1"/>
  <c r="V10" i="4" s="1"/>
  <c r="W10" i="4" s="1"/>
  <c r="X10" i="4" s="1"/>
  <c r="Y10" i="4" s="1"/>
  <c r="Z10" i="4" s="1"/>
  <c r="AA10" i="4" s="1"/>
  <c r="AB10" i="4" s="1"/>
  <c r="AC10" i="4" s="1"/>
  <c r="AD10" i="4" s="1"/>
  <c r="AE10" i="4" s="1"/>
  <c r="AF10" i="4" s="1"/>
  <c r="AG10" i="4" s="1"/>
  <c r="AH10" i="4" s="1"/>
  <c r="AI10" i="4" s="1"/>
  <c r="AJ10" i="4" s="1"/>
  <c r="AK10" i="4" s="1"/>
  <c r="AL10" i="4" s="1"/>
  <c r="AM10" i="4" s="1"/>
  <c r="C9" i="4"/>
  <c r="D9" i="4" s="1"/>
  <c r="E9" i="4" s="1"/>
  <c r="F9" i="4" s="1"/>
  <c r="G9" i="4" s="1"/>
  <c r="H9" i="4" s="1"/>
  <c r="I9" i="4" s="1"/>
  <c r="J9" i="4" s="1"/>
  <c r="K9" i="4" s="1"/>
  <c r="L9" i="4" s="1"/>
  <c r="M9" i="4" s="1"/>
  <c r="N9" i="4" s="1"/>
  <c r="O9" i="4" s="1"/>
  <c r="P9" i="4" s="1"/>
  <c r="Q9" i="4" s="1"/>
  <c r="R9" i="4" s="1"/>
  <c r="S9" i="4" s="1"/>
  <c r="T9" i="4" s="1"/>
  <c r="U9" i="4" s="1"/>
  <c r="V9" i="4" s="1"/>
  <c r="W9" i="4" s="1"/>
  <c r="X9" i="4" s="1"/>
  <c r="Y9" i="4" s="1"/>
  <c r="Z9" i="4" s="1"/>
  <c r="AA9" i="4" s="1"/>
  <c r="AB9" i="4" s="1"/>
  <c r="AC9" i="4" s="1"/>
  <c r="AD9" i="4" s="1"/>
  <c r="AE9" i="4" s="1"/>
  <c r="AF9" i="4" s="1"/>
  <c r="AG9" i="4" s="1"/>
  <c r="AH9" i="4" s="1"/>
  <c r="AI9" i="4" s="1"/>
  <c r="AJ9" i="4" s="1"/>
  <c r="AK9" i="4" s="1"/>
  <c r="AL9" i="4" s="1"/>
  <c r="AM9" i="4" s="1"/>
  <c r="C5" i="4"/>
  <c r="C6" i="4"/>
  <c r="G116" i="3"/>
  <c r="G121" i="3"/>
  <c r="A206" i="4"/>
  <c r="A216" i="4"/>
  <c r="A192" i="4"/>
  <c r="A210" i="4"/>
  <c r="A220" i="4"/>
  <c r="A196" i="4"/>
  <c r="A208" i="4"/>
  <c r="A194" i="4"/>
  <c r="A218" i="4"/>
  <c r="A217" i="4"/>
  <c r="A207" i="4"/>
  <c r="A209" i="4"/>
  <c r="A219" i="4"/>
  <c r="A195" i="4"/>
  <c r="E8" i="8" l="1"/>
  <c r="D66" i="8"/>
  <c r="E66" i="8" s="1"/>
  <c r="F66" i="8" s="1"/>
  <c r="G66" i="8" s="1"/>
  <c r="H66" i="8" s="1"/>
  <c r="I66" i="8" s="1"/>
  <c r="J66" i="8" s="1"/>
  <c r="K66" i="8" s="1"/>
  <c r="L66" i="8" s="1"/>
  <c r="M66" i="8" s="1"/>
  <c r="N66" i="8" s="1"/>
  <c r="O66" i="8" s="1"/>
  <c r="P66" i="8" s="1"/>
  <c r="Q66" i="8" s="1"/>
  <c r="R66" i="8" s="1"/>
  <c r="S66" i="8" s="1"/>
  <c r="T66" i="8" s="1"/>
  <c r="U66" i="8" s="1"/>
  <c r="V66" i="8" s="1"/>
  <c r="W66" i="8" s="1"/>
  <c r="X66" i="8" s="1"/>
  <c r="Y66" i="8" s="1"/>
  <c r="Z66" i="8" s="1"/>
  <c r="AA66" i="8" s="1"/>
  <c r="AB66" i="8" s="1"/>
  <c r="AC66" i="8" s="1"/>
  <c r="AD66" i="8" s="1"/>
  <c r="AE66" i="8" s="1"/>
  <c r="AF66" i="8" s="1"/>
  <c r="AG66" i="8" s="1"/>
  <c r="AH66" i="8" s="1"/>
  <c r="AI66" i="8" s="1"/>
  <c r="AJ66" i="8" s="1"/>
  <c r="AK66" i="8" s="1"/>
  <c r="AL66" i="8" s="1"/>
  <c r="AM66" i="8" s="1"/>
  <c r="C148" i="8"/>
  <c r="D69" i="8"/>
  <c r="E69" i="8" s="1"/>
  <c r="F69" i="8" s="1"/>
  <c r="G69" i="8" s="1"/>
  <c r="H69" i="8" s="1"/>
  <c r="I69" i="8" s="1"/>
  <c r="J69" i="8" s="1"/>
  <c r="K69" i="8" s="1"/>
  <c r="L69" i="8" s="1"/>
  <c r="M69" i="8" s="1"/>
  <c r="N69" i="8" s="1"/>
  <c r="O69" i="8" s="1"/>
  <c r="P69" i="8" s="1"/>
  <c r="Q69" i="8" s="1"/>
  <c r="R69" i="8" s="1"/>
  <c r="S69" i="8" s="1"/>
  <c r="T69" i="8" s="1"/>
  <c r="U69" i="8" s="1"/>
  <c r="V69" i="8" s="1"/>
  <c r="W69" i="8" s="1"/>
  <c r="X69" i="8" s="1"/>
  <c r="Y69" i="8" s="1"/>
  <c r="Z69" i="8" s="1"/>
  <c r="AA69" i="8" s="1"/>
  <c r="AB69" i="8" s="1"/>
  <c r="AC69" i="8" s="1"/>
  <c r="AD69" i="8" s="1"/>
  <c r="AE69" i="8" s="1"/>
  <c r="AF69" i="8" s="1"/>
  <c r="AG69" i="8" s="1"/>
  <c r="AH69" i="8" s="1"/>
  <c r="AI69" i="8" s="1"/>
  <c r="AJ69" i="8" s="1"/>
  <c r="AK69" i="8" s="1"/>
  <c r="AL69" i="8" s="1"/>
  <c r="AM69" i="8" s="1"/>
  <c r="C86" i="8"/>
  <c r="AM14" i="8"/>
  <c r="AA14" i="8"/>
  <c r="C21" i="8"/>
  <c r="C56" i="8" s="1"/>
  <c r="C58" i="8" s="1"/>
  <c r="AB14" i="8"/>
  <c r="X14" i="8"/>
  <c r="U14" i="8"/>
  <c r="AH14" i="8"/>
  <c r="AI14" i="8"/>
  <c r="V14" i="8"/>
  <c r="T14" i="8"/>
  <c r="AE14" i="8"/>
  <c r="Z14" i="8"/>
  <c r="W14" i="8"/>
  <c r="AD14" i="8"/>
  <c r="AK14" i="8"/>
  <c r="AC14" i="8"/>
  <c r="AF14" i="8"/>
  <c r="AL14" i="8"/>
  <c r="AJ14" i="8"/>
  <c r="AG14" i="8"/>
  <c r="Y14" i="8"/>
  <c r="D67" i="8"/>
  <c r="E67" i="8" s="1"/>
  <c r="F67" i="8" s="1"/>
  <c r="G67" i="8" s="1"/>
  <c r="H67" i="8" s="1"/>
  <c r="I67" i="8" s="1"/>
  <c r="J67" i="8" s="1"/>
  <c r="K67" i="8" s="1"/>
  <c r="L67" i="8" s="1"/>
  <c r="M67" i="8" s="1"/>
  <c r="N67" i="8" s="1"/>
  <c r="O67" i="8" s="1"/>
  <c r="P67" i="8" s="1"/>
  <c r="Q67" i="8" s="1"/>
  <c r="R67" i="8" s="1"/>
  <c r="S67" i="8" s="1"/>
  <c r="T67" i="8" s="1"/>
  <c r="U67" i="8" s="1"/>
  <c r="V67" i="8" s="1"/>
  <c r="W67" i="8" s="1"/>
  <c r="X67" i="8" s="1"/>
  <c r="Y67" i="8" s="1"/>
  <c r="Z67" i="8" s="1"/>
  <c r="AA67" i="8" s="1"/>
  <c r="AB67" i="8" s="1"/>
  <c r="AC67" i="8" s="1"/>
  <c r="AD67" i="8" s="1"/>
  <c r="AE67" i="8" s="1"/>
  <c r="AF67" i="8" s="1"/>
  <c r="AG67" i="8" s="1"/>
  <c r="AH67" i="8" s="1"/>
  <c r="AI67" i="8" s="1"/>
  <c r="AJ67" i="8" s="1"/>
  <c r="AK67" i="8" s="1"/>
  <c r="AL67" i="8" s="1"/>
  <c r="AM67" i="8" s="1"/>
  <c r="C97" i="8"/>
  <c r="D65" i="8"/>
  <c r="E65" i="8" s="1"/>
  <c r="F65" i="8" s="1"/>
  <c r="G65" i="8" s="1"/>
  <c r="H65" i="8" s="1"/>
  <c r="I65" i="8" s="1"/>
  <c r="J65" i="8" s="1"/>
  <c r="K65" i="8" s="1"/>
  <c r="L65" i="8" s="1"/>
  <c r="M65" i="8" s="1"/>
  <c r="N65" i="8" s="1"/>
  <c r="O65" i="8" s="1"/>
  <c r="P65" i="8" s="1"/>
  <c r="Q65" i="8" s="1"/>
  <c r="R65" i="8" s="1"/>
  <c r="S65" i="8" s="1"/>
  <c r="T65" i="8" s="1"/>
  <c r="U65" i="8" s="1"/>
  <c r="V65" i="8" s="1"/>
  <c r="W65" i="8" s="1"/>
  <c r="X65" i="8" s="1"/>
  <c r="Y65" i="8" s="1"/>
  <c r="Z65" i="8" s="1"/>
  <c r="AA65" i="8" s="1"/>
  <c r="AB65" i="8" s="1"/>
  <c r="AC65" i="8" s="1"/>
  <c r="AD65" i="8" s="1"/>
  <c r="AE65" i="8" s="1"/>
  <c r="AF65" i="8" s="1"/>
  <c r="AG65" i="8" s="1"/>
  <c r="AH65" i="8" s="1"/>
  <c r="AI65" i="8" s="1"/>
  <c r="AJ65" i="8" s="1"/>
  <c r="AK65" i="8" s="1"/>
  <c r="AL65" i="8" s="1"/>
  <c r="AM65" i="8" s="1"/>
  <c r="C131" i="8"/>
  <c r="D64" i="8"/>
  <c r="E64" i="8" s="1"/>
  <c r="F64" i="8" s="1"/>
  <c r="G64" i="8" s="1"/>
  <c r="H64" i="8" s="1"/>
  <c r="I64" i="8" s="1"/>
  <c r="J64" i="8" s="1"/>
  <c r="K64" i="8" s="1"/>
  <c r="L64" i="8" s="1"/>
  <c r="M64" i="8" s="1"/>
  <c r="N64" i="8" s="1"/>
  <c r="O64" i="8" s="1"/>
  <c r="P64" i="8" s="1"/>
  <c r="Q64" i="8" s="1"/>
  <c r="R64" i="8" s="1"/>
  <c r="S64" i="8" s="1"/>
  <c r="T64" i="8" s="1"/>
  <c r="U64" i="8" s="1"/>
  <c r="V64" i="8" s="1"/>
  <c r="W64" i="8" s="1"/>
  <c r="X64" i="8" s="1"/>
  <c r="Y64" i="8" s="1"/>
  <c r="Z64" i="8" s="1"/>
  <c r="AA64" i="8" s="1"/>
  <c r="AB64" i="8" s="1"/>
  <c r="AC64" i="8" s="1"/>
  <c r="AD64" i="8" s="1"/>
  <c r="AE64" i="8" s="1"/>
  <c r="AF64" i="8" s="1"/>
  <c r="AG64" i="8" s="1"/>
  <c r="AH64" i="8" s="1"/>
  <c r="AI64" i="8" s="1"/>
  <c r="AJ64" i="8" s="1"/>
  <c r="AK64" i="8" s="1"/>
  <c r="AL64" i="8" s="1"/>
  <c r="AM64" i="8" s="1"/>
  <c r="C165" i="8"/>
  <c r="D68" i="8"/>
  <c r="E68" i="8" s="1"/>
  <c r="F68" i="8" s="1"/>
  <c r="G68" i="8" s="1"/>
  <c r="H68" i="8" s="1"/>
  <c r="I68" i="8" s="1"/>
  <c r="J68" i="8" s="1"/>
  <c r="K68" i="8" s="1"/>
  <c r="L68" i="8" s="1"/>
  <c r="M68" i="8" s="1"/>
  <c r="N68" i="8" s="1"/>
  <c r="O68" i="8" s="1"/>
  <c r="P68" i="8" s="1"/>
  <c r="Q68" i="8" s="1"/>
  <c r="R68" i="8" s="1"/>
  <c r="S68" i="8" s="1"/>
  <c r="T68" i="8" s="1"/>
  <c r="U68" i="8" s="1"/>
  <c r="V68" i="8" s="1"/>
  <c r="W68" i="8" s="1"/>
  <c r="X68" i="8" s="1"/>
  <c r="Y68" i="8" s="1"/>
  <c r="Z68" i="8" s="1"/>
  <c r="AA68" i="8" s="1"/>
  <c r="AB68" i="8" s="1"/>
  <c r="AC68" i="8" s="1"/>
  <c r="AD68" i="8" s="1"/>
  <c r="AE68" i="8" s="1"/>
  <c r="AF68" i="8" s="1"/>
  <c r="AG68" i="8" s="1"/>
  <c r="AH68" i="8" s="1"/>
  <c r="AI68" i="8" s="1"/>
  <c r="AJ68" i="8" s="1"/>
  <c r="AK68" i="8" s="1"/>
  <c r="AL68" i="8" s="1"/>
  <c r="AM68" i="8" s="1"/>
  <c r="C114" i="8"/>
  <c r="D62" i="8"/>
  <c r="C214" i="8"/>
  <c r="C86" i="4"/>
  <c r="D62" i="4"/>
  <c r="E62" i="4" s="1"/>
  <c r="H8" i="4"/>
  <c r="V3" i="6"/>
  <c r="B3" i="4"/>
  <c r="AA3" i="6"/>
  <c r="AA2" i="6"/>
  <c r="A109" i="3"/>
  <c r="A104" i="3"/>
  <c r="A99" i="3"/>
  <c r="D214" i="8" l="1"/>
  <c r="E62" i="8"/>
  <c r="C61" i="8"/>
  <c r="D57" i="8"/>
  <c r="C153" i="8"/>
  <c r="C154" i="8"/>
  <c r="C120" i="8"/>
  <c r="C119" i="8"/>
  <c r="F8" i="8"/>
  <c r="C170" i="8"/>
  <c r="C171" i="8"/>
  <c r="C137" i="8"/>
  <c r="C136" i="8"/>
  <c r="C102" i="8"/>
  <c r="C103" i="8"/>
  <c r="D214" i="4"/>
  <c r="E214" i="4"/>
  <c r="F62" i="4"/>
  <c r="I8" i="4"/>
  <c r="F200" i="3"/>
  <c r="C200" i="3" s="1"/>
  <c r="F199" i="3"/>
  <c r="F198" i="3"/>
  <c r="A200" i="3"/>
  <c r="A199" i="3"/>
  <c r="A198" i="3"/>
  <c r="A88" i="3"/>
  <c r="A87" i="3"/>
  <c r="A86" i="3"/>
  <c r="G105" i="3"/>
  <c r="G110" i="3"/>
  <c r="G100" i="3"/>
  <c r="D1" i="8"/>
  <c r="G15" i="3"/>
  <c r="C235" i="8" l="1"/>
  <c r="C244" i="8" s="1"/>
  <c r="C80" i="8"/>
  <c r="C78" i="8"/>
  <c r="C236" i="8" s="1"/>
  <c r="C245" i="8" s="1"/>
  <c r="G8" i="8"/>
  <c r="E214" i="8"/>
  <c r="F62" i="8"/>
  <c r="C199" i="3"/>
  <c r="C198" i="3"/>
  <c r="C202" i="3"/>
  <c r="C201" i="3"/>
  <c r="C47" i="4"/>
  <c r="C49" i="4"/>
  <c r="C48" i="4"/>
  <c r="C53" i="4"/>
  <c r="C52" i="4"/>
  <c r="C17" i="4"/>
  <c r="C19" i="4"/>
  <c r="C51" i="4"/>
  <c r="C18" i="4"/>
  <c r="F214" i="4"/>
  <c r="G62" i="4"/>
  <c r="J8" i="4"/>
  <c r="G111" i="3"/>
  <c r="G106" i="3"/>
  <c r="G101" i="3"/>
  <c r="E1" i="8"/>
  <c r="D3" i="8"/>
  <c r="D2" i="8"/>
  <c r="D52" i="8" l="1"/>
  <c r="D53" i="8"/>
  <c r="D18" i="8"/>
  <c r="D51" i="8"/>
  <c r="D54" i="8" s="1"/>
  <c r="D19" i="8"/>
  <c r="D17" i="8"/>
  <c r="C81" i="8"/>
  <c r="C87" i="8" s="1"/>
  <c r="F214" i="8"/>
  <c r="G62" i="8"/>
  <c r="H8" i="8"/>
  <c r="A96" i="4"/>
  <c r="A147" i="4"/>
  <c r="A164" i="4"/>
  <c r="A130" i="4"/>
  <c r="A113" i="4"/>
  <c r="G214" i="4"/>
  <c r="H62" i="4"/>
  <c r="K8" i="4"/>
  <c r="F1" i="8"/>
  <c r="E3" i="8"/>
  <c r="E2" i="8"/>
  <c r="G125" i="3"/>
  <c r="D1" i="4"/>
  <c r="G214" i="8" l="1"/>
  <c r="H62" i="8"/>
  <c r="I8" i="8"/>
  <c r="D21" i="8"/>
  <c r="D56" i="8" s="1"/>
  <c r="D58" i="8" s="1"/>
  <c r="E52" i="8"/>
  <c r="E17" i="8"/>
  <c r="E51" i="8"/>
  <c r="E19" i="8"/>
  <c r="E53" i="8"/>
  <c r="E18" i="8"/>
  <c r="C91" i="8"/>
  <c r="C93" i="8" s="1"/>
  <c r="C90" i="8"/>
  <c r="C89" i="8"/>
  <c r="D20" i="8"/>
  <c r="C54" i="4"/>
  <c r="C20" i="4" s="1"/>
  <c r="C21" i="4" s="1"/>
  <c r="C56" i="4" s="1"/>
  <c r="C58" i="4" s="1"/>
  <c r="D57" i="4" s="1"/>
  <c r="B121" i="4"/>
  <c r="C114" i="4"/>
  <c r="B138" i="4"/>
  <c r="C131" i="4"/>
  <c r="B172" i="4"/>
  <c r="C165" i="4"/>
  <c r="B155" i="4"/>
  <c r="C148" i="4"/>
  <c r="B104" i="4"/>
  <c r="C97" i="4"/>
  <c r="E38" i="4"/>
  <c r="D222" i="4"/>
  <c r="E46" i="4"/>
  <c r="D229" i="4"/>
  <c r="E44" i="4"/>
  <c r="D37" i="4"/>
  <c r="D33" i="4"/>
  <c r="E43" i="4"/>
  <c r="D34" i="4"/>
  <c r="D36" i="4"/>
  <c r="E42" i="4"/>
  <c r="D35" i="4"/>
  <c r="E41" i="4"/>
  <c r="E40" i="4"/>
  <c r="L8" i="4"/>
  <c r="H214" i="4"/>
  <c r="I62" i="4"/>
  <c r="G1" i="8"/>
  <c r="C242" i="4"/>
  <c r="F3" i="8"/>
  <c r="F2" i="8"/>
  <c r="G126" i="3"/>
  <c r="G16" i="3"/>
  <c r="D2" i="4"/>
  <c r="E1" i="4"/>
  <c r="D3" i="4"/>
  <c r="D61" i="8" l="1"/>
  <c r="E57" i="8"/>
  <c r="C94" i="8"/>
  <c r="F52" i="8"/>
  <c r="F19" i="8"/>
  <c r="F17" i="8"/>
  <c r="F51" i="8"/>
  <c r="F18" i="8"/>
  <c r="F53" i="8"/>
  <c r="E54" i="8"/>
  <c r="J8" i="8"/>
  <c r="C221" i="8"/>
  <c r="D86" i="8"/>
  <c r="H214" i="8"/>
  <c r="I62" i="8"/>
  <c r="C61" i="4"/>
  <c r="C78" i="4" s="1"/>
  <c r="C119" i="4"/>
  <c r="C120" i="4"/>
  <c r="A200" i="4"/>
  <c r="A186" i="4"/>
  <c r="C102" i="4"/>
  <c r="C103" i="4"/>
  <c r="A185" i="4"/>
  <c r="A199" i="4"/>
  <c r="C154" i="4"/>
  <c r="C153" i="4"/>
  <c r="A188" i="4"/>
  <c r="A202" i="4"/>
  <c r="C170" i="4"/>
  <c r="C171" i="4"/>
  <c r="C137" i="4"/>
  <c r="C136" i="4"/>
  <c r="A189" i="4"/>
  <c r="A203" i="4"/>
  <c r="A201" i="4"/>
  <c r="A187" i="4"/>
  <c r="D49" i="4"/>
  <c r="D15" i="4"/>
  <c r="D13" i="4"/>
  <c r="D14" i="4" s="1"/>
  <c r="D5" i="4"/>
  <c r="D6" i="4"/>
  <c r="D48" i="4"/>
  <c r="D47" i="4"/>
  <c r="E222" i="4"/>
  <c r="F46" i="4"/>
  <c r="E229" i="4"/>
  <c r="F44" i="4"/>
  <c r="E36" i="4"/>
  <c r="E37" i="4"/>
  <c r="E35" i="4"/>
  <c r="F43" i="4"/>
  <c r="F38" i="4"/>
  <c r="F42" i="4"/>
  <c r="F41" i="4"/>
  <c r="F40" i="4"/>
  <c r="E33" i="4"/>
  <c r="E34" i="4"/>
  <c r="I214" i="4"/>
  <c r="J62" i="4"/>
  <c r="M8" i="4"/>
  <c r="D18" i="4"/>
  <c r="D52" i="4"/>
  <c r="D19" i="4"/>
  <c r="D53" i="4"/>
  <c r="D51" i="4"/>
  <c r="D17" i="4"/>
  <c r="H1" i="8"/>
  <c r="G2" i="8"/>
  <c r="G3" i="8"/>
  <c r="D242" i="4"/>
  <c r="E2" i="4"/>
  <c r="E3" i="4"/>
  <c r="F1" i="4"/>
  <c r="E20" i="8" l="1"/>
  <c r="E21" i="8" s="1"/>
  <c r="E56" i="8" s="1"/>
  <c r="E58" i="8" s="1"/>
  <c r="G19" i="8"/>
  <c r="G51" i="8"/>
  <c r="G54" i="8" s="1"/>
  <c r="G17" i="8"/>
  <c r="G52" i="8"/>
  <c r="G18" i="8"/>
  <c r="G53" i="8"/>
  <c r="F54" i="8"/>
  <c r="D235" i="8"/>
  <c r="D244" i="8" s="1"/>
  <c r="D78" i="8"/>
  <c r="D236" i="8" s="1"/>
  <c r="D245" i="8" s="1"/>
  <c r="D80" i="8"/>
  <c r="I214" i="8"/>
  <c r="J62" i="8"/>
  <c r="K8" i="8"/>
  <c r="C80" i="4"/>
  <c r="C81" i="4" s="1"/>
  <c r="C87" i="4" s="1"/>
  <c r="H3" i="8"/>
  <c r="F229" i="4"/>
  <c r="G44" i="4"/>
  <c r="F37" i="4"/>
  <c r="G43" i="4"/>
  <c r="F35" i="4"/>
  <c r="G41" i="4"/>
  <c r="G40" i="4"/>
  <c r="F36" i="4"/>
  <c r="G46" i="4"/>
  <c r="G38" i="4"/>
  <c r="G42" i="4"/>
  <c r="F34" i="4"/>
  <c r="F33" i="4"/>
  <c r="F222" i="4"/>
  <c r="E49" i="4"/>
  <c r="E48" i="4"/>
  <c r="E13" i="4"/>
  <c r="E14" i="4" s="1"/>
  <c r="E15" i="4"/>
  <c r="E6" i="4"/>
  <c r="E5" i="4"/>
  <c r="E47" i="4"/>
  <c r="D54" i="4"/>
  <c r="D20" i="4" s="1"/>
  <c r="D21" i="4" s="1"/>
  <c r="D56" i="4" s="1"/>
  <c r="D58" i="4" s="1"/>
  <c r="E52" i="4"/>
  <c r="E51" i="4"/>
  <c r="E19" i="4"/>
  <c r="E18" i="4"/>
  <c r="E53" i="4"/>
  <c r="E17" i="4"/>
  <c r="N8" i="4"/>
  <c r="J214" i="4"/>
  <c r="K62" i="4"/>
  <c r="H2" i="8"/>
  <c r="I1" i="8"/>
  <c r="E242" i="4"/>
  <c r="F2" i="4"/>
  <c r="G1" i="4"/>
  <c r="F3" i="4"/>
  <c r="H19" i="8" l="1"/>
  <c r="H53" i="8"/>
  <c r="H18" i="8"/>
  <c r="H17" i="8"/>
  <c r="H51" i="8"/>
  <c r="H52" i="8"/>
  <c r="E61" i="8"/>
  <c r="F57" i="8"/>
  <c r="F20" i="8" s="1"/>
  <c r="F21" i="8" s="1"/>
  <c r="F56" i="8" s="1"/>
  <c r="F58" i="8" s="1"/>
  <c r="L8" i="8"/>
  <c r="J214" i="8"/>
  <c r="K62" i="8"/>
  <c r="D81" i="8"/>
  <c r="D87" i="8" s="1"/>
  <c r="F48" i="4"/>
  <c r="F13" i="4"/>
  <c r="F14" i="4" s="1"/>
  <c r="F49" i="4"/>
  <c r="F15" i="4"/>
  <c r="F6" i="4"/>
  <c r="F5" i="4"/>
  <c r="F47" i="4"/>
  <c r="G36" i="4"/>
  <c r="H43" i="4"/>
  <c r="G37" i="4"/>
  <c r="H41" i="4"/>
  <c r="G35" i="4"/>
  <c r="H46" i="4"/>
  <c r="G222" i="4"/>
  <c r="G229" i="4"/>
  <c r="H38" i="4"/>
  <c r="G33" i="4"/>
  <c r="H40" i="4"/>
  <c r="H44" i="4"/>
  <c r="G34" i="4"/>
  <c r="H42" i="4"/>
  <c r="I3" i="8"/>
  <c r="C90" i="4"/>
  <c r="C91" i="4" s="1"/>
  <c r="C93" i="4" s="1"/>
  <c r="C94" i="4" s="1"/>
  <c r="C89" i="4"/>
  <c r="F17" i="4"/>
  <c r="F51" i="4"/>
  <c r="F52" i="4"/>
  <c r="F18" i="4"/>
  <c r="F19" i="4"/>
  <c r="F53" i="4"/>
  <c r="E54" i="4"/>
  <c r="O8" i="4"/>
  <c r="K214" i="4"/>
  <c r="L62" i="4"/>
  <c r="E57" i="4"/>
  <c r="D61" i="4"/>
  <c r="I2" i="8"/>
  <c r="J1" i="8"/>
  <c r="H1" i="4"/>
  <c r="F242" i="4"/>
  <c r="G2" i="4"/>
  <c r="G3" i="4"/>
  <c r="M8" i="8" l="1"/>
  <c r="F61" i="8"/>
  <c r="G57" i="8"/>
  <c r="G20" i="8" s="1"/>
  <c r="G21" i="8" s="1"/>
  <c r="G56" i="8" s="1"/>
  <c r="G58" i="8" s="1"/>
  <c r="D91" i="8"/>
  <c r="D93" i="8" s="1"/>
  <c r="D90" i="8"/>
  <c r="D88" i="8"/>
  <c r="D89" i="8"/>
  <c r="E235" i="8"/>
  <c r="E244" i="8" s="1"/>
  <c r="E78" i="8"/>
  <c r="E236" i="8" s="1"/>
  <c r="E245" i="8" s="1"/>
  <c r="E80" i="8"/>
  <c r="H54" i="8"/>
  <c r="I53" i="8"/>
  <c r="I18" i="8"/>
  <c r="I17" i="8"/>
  <c r="I51" i="8"/>
  <c r="I52" i="8"/>
  <c r="I19" i="8"/>
  <c r="K214" i="8"/>
  <c r="L62" i="8"/>
  <c r="H3" i="4"/>
  <c r="H242" i="4" s="1"/>
  <c r="G6" i="4"/>
  <c r="G13" i="4"/>
  <c r="G14" i="4" s="1"/>
  <c r="G5" i="4"/>
  <c r="G48" i="4"/>
  <c r="G49" i="4"/>
  <c r="G15" i="4"/>
  <c r="G47" i="4"/>
  <c r="J3" i="8"/>
  <c r="I43" i="4"/>
  <c r="H35" i="4"/>
  <c r="I42" i="4"/>
  <c r="H34" i="4"/>
  <c r="I41" i="4"/>
  <c r="I46" i="4"/>
  <c r="I38" i="4"/>
  <c r="H37" i="4"/>
  <c r="H33" i="4"/>
  <c r="I40" i="4"/>
  <c r="I44" i="4"/>
  <c r="H36" i="4"/>
  <c r="H229" i="4"/>
  <c r="H222" i="4"/>
  <c r="F54" i="4"/>
  <c r="L214" i="4"/>
  <c r="M62" i="4"/>
  <c r="C221" i="4"/>
  <c r="D86" i="4"/>
  <c r="D80" i="4"/>
  <c r="D78" i="4"/>
  <c r="E20" i="4"/>
  <c r="E21" i="4" s="1"/>
  <c r="E56" i="4" s="1"/>
  <c r="E58" i="4" s="1"/>
  <c r="P8" i="4"/>
  <c r="H2" i="4"/>
  <c r="G51" i="4"/>
  <c r="G19" i="4"/>
  <c r="G52" i="4"/>
  <c r="G18" i="4"/>
  <c r="G17" i="4"/>
  <c r="G53" i="4"/>
  <c r="J2" i="8"/>
  <c r="K1" i="8"/>
  <c r="I1" i="4"/>
  <c r="I3" i="4"/>
  <c r="G242" i="4"/>
  <c r="E81" i="8" l="1"/>
  <c r="D94" i="8"/>
  <c r="C98" i="8" s="1"/>
  <c r="I54" i="8"/>
  <c r="F235" i="8"/>
  <c r="F244" i="8" s="1"/>
  <c r="F80" i="8"/>
  <c r="F78" i="8"/>
  <c r="F236" i="8" s="1"/>
  <c r="F245" i="8" s="1"/>
  <c r="D221" i="8"/>
  <c r="E86" i="8"/>
  <c r="H57" i="8"/>
  <c r="H20" i="8" s="1"/>
  <c r="H21" i="8" s="1"/>
  <c r="H56" i="8" s="1"/>
  <c r="H58" i="8" s="1"/>
  <c r="G61" i="8"/>
  <c r="L214" i="8"/>
  <c r="M62" i="8"/>
  <c r="J53" i="8"/>
  <c r="J18" i="8"/>
  <c r="J17" i="8"/>
  <c r="J51" i="8"/>
  <c r="J54" i="8" s="1"/>
  <c r="J19" i="8"/>
  <c r="J52" i="8"/>
  <c r="N8" i="8"/>
  <c r="G54" i="4"/>
  <c r="K3" i="8"/>
  <c r="H47" i="4"/>
  <c r="H13" i="4"/>
  <c r="H14" i="4" s="1"/>
  <c r="H49" i="4"/>
  <c r="H5" i="4"/>
  <c r="H15" i="4"/>
  <c r="H48" i="4"/>
  <c r="H6" i="4"/>
  <c r="J42" i="4"/>
  <c r="J46" i="4"/>
  <c r="I35" i="4"/>
  <c r="J38" i="4"/>
  <c r="J44" i="4"/>
  <c r="I33" i="4"/>
  <c r="I229" i="4"/>
  <c r="I34" i="4"/>
  <c r="J43" i="4"/>
  <c r="I37" i="4"/>
  <c r="J40" i="4"/>
  <c r="J41" i="4"/>
  <c r="I36" i="4"/>
  <c r="I222" i="4"/>
  <c r="J3" i="4"/>
  <c r="I47" i="4"/>
  <c r="I49" i="4"/>
  <c r="I13" i="4"/>
  <c r="I14" i="4" s="1"/>
  <c r="I48" i="4"/>
  <c r="I15" i="4"/>
  <c r="I6" i="4"/>
  <c r="I5" i="4"/>
  <c r="I2" i="4"/>
  <c r="H53" i="4"/>
  <c r="H52" i="4"/>
  <c r="H18" i="4"/>
  <c r="H51" i="4"/>
  <c r="H17" i="4"/>
  <c r="H19" i="4"/>
  <c r="D81" i="4"/>
  <c r="D87" i="4" s="1"/>
  <c r="Q8" i="4"/>
  <c r="F57" i="4"/>
  <c r="F20" i="4" s="1"/>
  <c r="F21" i="4" s="1"/>
  <c r="F56" i="4" s="1"/>
  <c r="F58" i="4" s="1"/>
  <c r="E61" i="4"/>
  <c r="M214" i="4"/>
  <c r="N62" i="4"/>
  <c r="K2" i="8"/>
  <c r="J1" i="4"/>
  <c r="L1" i="8"/>
  <c r="I242" i="4"/>
  <c r="F81" i="8" l="1"/>
  <c r="O8" i="8"/>
  <c r="K53" i="8"/>
  <c r="K17" i="8"/>
  <c r="K52" i="8"/>
  <c r="K51" i="8"/>
  <c r="K54" i="8" s="1"/>
  <c r="K19" i="8"/>
  <c r="K18" i="8"/>
  <c r="C185" i="8"/>
  <c r="C195" i="8" s="1"/>
  <c r="C219" i="8" s="1"/>
  <c r="C101" i="8"/>
  <c r="C100" i="8"/>
  <c r="G235" i="8"/>
  <c r="G244" i="8" s="1"/>
  <c r="G80" i="8"/>
  <c r="G78" i="8"/>
  <c r="G236" i="8" s="1"/>
  <c r="G245" i="8" s="1"/>
  <c r="E88" i="8"/>
  <c r="E89" i="8" s="1"/>
  <c r="H61" i="8"/>
  <c r="I57" i="8"/>
  <c r="I20" i="8" s="1"/>
  <c r="I21" i="8" s="1"/>
  <c r="I56" i="8" s="1"/>
  <c r="I58" i="8" s="1"/>
  <c r="M214" i="8"/>
  <c r="N62" i="8"/>
  <c r="E87" i="8"/>
  <c r="L3" i="8"/>
  <c r="J49" i="4"/>
  <c r="J13" i="4"/>
  <c r="J14" i="4" s="1"/>
  <c r="J15" i="4"/>
  <c r="J48" i="4"/>
  <c r="J6" i="4"/>
  <c r="J5" i="4"/>
  <c r="J242" i="4"/>
  <c r="K3" i="4"/>
  <c r="K42" i="4"/>
  <c r="J34" i="4"/>
  <c r="K41" i="4"/>
  <c r="J33" i="4"/>
  <c r="J222" i="4"/>
  <c r="K46" i="4"/>
  <c r="K38" i="4"/>
  <c r="K44" i="4"/>
  <c r="K40" i="4"/>
  <c r="J35" i="4"/>
  <c r="J229" i="4"/>
  <c r="J36" i="4"/>
  <c r="J37" i="4"/>
  <c r="K43" i="4"/>
  <c r="J47" i="4"/>
  <c r="H54" i="4"/>
  <c r="D90" i="4"/>
  <c r="D91" i="4" s="1"/>
  <c r="D93" i="4" s="1"/>
  <c r="N214" i="4"/>
  <c r="O62" i="4"/>
  <c r="E78" i="4"/>
  <c r="E80" i="4"/>
  <c r="D88" i="4"/>
  <c r="D89" i="4" s="1"/>
  <c r="G57" i="4"/>
  <c r="G20" i="4" s="1"/>
  <c r="G21" i="4" s="1"/>
  <c r="G56" i="4" s="1"/>
  <c r="G58" i="4" s="1"/>
  <c r="F61" i="4"/>
  <c r="R8" i="4"/>
  <c r="J2" i="4"/>
  <c r="I18" i="4"/>
  <c r="I17" i="4"/>
  <c r="I53" i="4"/>
  <c r="I51" i="4"/>
  <c r="I52" i="4"/>
  <c r="I19" i="4"/>
  <c r="L2" i="8"/>
  <c r="M1" i="8"/>
  <c r="K1" i="4"/>
  <c r="E221" i="8" l="1"/>
  <c r="F86" i="8"/>
  <c r="I61" i="8"/>
  <c r="J57" i="8"/>
  <c r="J20" i="8" s="1"/>
  <c r="J21" i="8" s="1"/>
  <c r="J56" i="8" s="1"/>
  <c r="J58" i="8" s="1"/>
  <c r="H235" i="8"/>
  <c r="H244" i="8" s="1"/>
  <c r="H80" i="8"/>
  <c r="H78" i="8"/>
  <c r="H236" i="8" s="1"/>
  <c r="H245" i="8" s="1"/>
  <c r="L52" i="8"/>
  <c r="L53" i="8"/>
  <c r="L17" i="8"/>
  <c r="L51" i="8"/>
  <c r="L54" i="8" s="1"/>
  <c r="L19" i="8"/>
  <c r="L18" i="8"/>
  <c r="D97" i="8"/>
  <c r="C104" i="8"/>
  <c r="P8" i="8"/>
  <c r="N214" i="8"/>
  <c r="O62" i="8"/>
  <c r="G81" i="8"/>
  <c r="E91" i="8"/>
  <c r="E90" i="8"/>
  <c r="F87" i="8"/>
  <c r="K47" i="4"/>
  <c r="L41" i="4"/>
  <c r="K229" i="4"/>
  <c r="L44" i="4"/>
  <c r="K33" i="4"/>
  <c r="L43" i="4"/>
  <c r="L40" i="4"/>
  <c r="L42" i="4"/>
  <c r="L38" i="4"/>
  <c r="L46" i="4"/>
  <c r="K34" i="4"/>
  <c r="K35" i="4"/>
  <c r="K37" i="4"/>
  <c r="K222" i="4"/>
  <c r="K36" i="4"/>
  <c r="M3" i="8"/>
  <c r="K48" i="4"/>
  <c r="K6" i="4"/>
  <c r="K5" i="4"/>
  <c r="K15" i="4"/>
  <c r="K13" i="4"/>
  <c r="K14" i="4" s="1"/>
  <c r="K49" i="4"/>
  <c r="K242" i="4"/>
  <c r="L3" i="4"/>
  <c r="D94" i="4"/>
  <c r="C98" i="4" s="1"/>
  <c r="D221" i="4"/>
  <c r="E86" i="4"/>
  <c r="E81" i="4"/>
  <c r="H57" i="4"/>
  <c r="H20" i="4" s="1"/>
  <c r="H21" i="4" s="1"/>
  <c r="H56" i="4" s="1"/>
  <c r="H58" i="4" s="1"/>
  <c r="G61" i="4"/>
  <c r="I54" i="4"/>
  <c r="O214" i="4"/>
  <c r="P62" i="4"/>
  <c r="J52" i="4"/>
  <c r="J53" i="4"/>
  <c r="J51" i="4"/>
  <c r="J17" i="4"/>
  <c r="J19" i="4"/>
  <c r="J18" i="4"/>
  <c r="K2" i="4"/>
  <c r="S8" i="4"/>
  <c r="F78" i="4"/>
  <c r="F80" i="4"/>
  <c r="M2" i="8"/>
  <c r="N1" i="8"/>
  <c r="L1" i="4"/>
  <c r="O214" i="8" l="1"/>
  <c r="P62" i="8"/>
  <c r="Q8" i="8"/>
  <c r="D103" i="8"/>
  <c r="D102" i="8"/>
  <c r="I235" i="8"/>
  <c r="I244" i="8" s="1"/>
  <c r="I80" i="8"/>
  <c r="I78" i="8"/>
  <c r="I236" i="8" s="1"/>
  <c r="I245" i="8" s="1"/>
  <c r="E93" i="8"/>
  <c r="H81" i="8"/>
  <c r="F88" i="8"/>
  <c r="F89" i="8" s="1"/>
  <c r="C199" i="8"/>
  <c r="C209" i="8" s="1"/>
  <c r="C227" i="8" s="1"/>
  <c r="F90" i="8"/>
  <c r="F91" i="8" s="1"/>
  <c r="M52" i="8"/>
  <c r="M51" i="8"/>
  <c r="M19" i="8"/>
  <c r="M53" i="8"/>
  <c r="M18" i="8"/>
  <c r="M17" i="8"/>
  <c r="K57" i="8"/>
  <c r="K20" i="8" s="1"/>
  <c r="K21" i="8" s="1"/>
  <c r="K56" i="8" s="1"/>
  <c r="K58" i="8" s="1"/>
  <c r="J61" i="8"/>
  <c r="C105" i="8"/>
  <c r="E87" i="4"/>
  <c r="L48" i="4"/>
  <c r="L15" i="4"/>
  <c r="L5" i="4"/>
  <c r="L49" i="4"/>
  <c r="L13" i="4"/>
  <c r="L14" i="4" s="1"/>
  <c r="L6" i="4"/>
  <c r="L242" i="4"/>
  <c r="M3" i="4"/>
  <c r="M242" i="4" s="1"/>
  <c r="M41" i="4"/>
  <c r="L33" i="4"/>
  <c r="M40" i="4"/>
  <c r="M44" i="4"/>
  <c r="M43" i="4"/>
  <c r="L36" i="4"/>
  <c r="L37" i="4"/>
  <c r="M46" i="4"/>
  <c r="L34" i="4"/>
  <c r="L35" i="4"/>
  <c r="L229" i="4"/>
  <c r="M42" i="4"/>
  <c r="M38" i="4"/>
  <c r="L222" i="4"/>
  <c r="N3" i="8"/>
  <c r="L47" i="4"/>
  <c r="K18" i="4"/>
  <c r="K53" i="4"/>
  <c r="K17" i="4"/>
  <c r="K19" i="4"/>
  <c r="K52" i="4"/>
  <c r="K51" i="4"/>
  <c r="L2" i="4"/>
  <c r="F81" i="4"/>
  <c r="G80" i="4"/>
  <c r="G78" i="4"/>
  <c r="T8" i="4"/>
  <c r="J54" i="4"/>
  <c r="P214" i="4"/>
  <c r="Q62" i="4"/>
  <c r="H61" i="4"/>
  <c r="I57" i="4"/>
  <c r="I20" i="4" s="1"/>
  <c r="I21" i="4" s="1"/>
  <c r="I56" i="4" s="1"/>
  <c r="I58" i="4" s="1"/>
  <c r="C185" i="4"/>
  <c r="C195" i="4" s="1"/>
  <c r="C219" i="4" s="1"/>
  <c r="C101" i="4"/>
  <c r="C100" i="4"/>
  <c r="N2" i="8"/>
  <c r="O1" i="8"/>
  <c r="M1" i="4"/>
  <c r="C235" i="4"/>
  <c r="F221" i="8" l="1"/>
  <c r="G86" i="8"/>
  <c r="F93" i="8"/>
  <c r="L57" i="8"/>
  <c r="L20" i="8" s="1"/>
  <c r="L21" i="8" s="1"/>
  <c r="L56" i="8" s="1"/>
  <c r="L58" i="8" s="1"/>
  <c r="K61" i="8"/>
  <c r="C107" i="8"/>
  <c r="J235" i="8"/>
  <c r="J244" i="8" s="1"/>
  <c r="J80" i="8"/>
  <c r="J78" i="8"/>
  <c r="J236" i="8" s="1"/>
  <c r="J245" i="8" s="1"/>
  <c r="N51" i="8"/>
  <c r="N19" i="8"/>
  <c r="N52" i="8"/>
  <c r="N53" i="8"/>
  <c r="N17" i="8"/>
  <c r="N18" i="8"/>
  <c r="P214" i="8"/>
  <c r="Q62" i="8"/>
  <c r="E94" i="8"/>
  <c r="D98" i="8" s="1"/>
  <c r="R8" i="8"/>
  <c r="M54" i="8"/>
  <c r="I81" i="8"/>
  <c r="N3" i="4"/>
  <c r="O3" i="4" s="1"/>
  <c r="O3" i="8"/>
  <c r="M47" i="4"/>
  <c r="M48" i="4"/>
  <c r="M5" i="4"/>
  <c r="M49" i="4"/>
  <c r="M6" i="4"/>
  <c r="M15" i="4"/>
  <c r="M13" i="4"/>
  <c r="M14" i="4" s="1"/>
  <c r="N40" i="4"/>
  <c r="N43" i="4"/>
  <c r="M33" i="4"/>
  <c r="M36" i="4"/>
  <c r="M222" i="4"/>
  <c r="M34" i="4"/>
  <c r="N42" i="4"/>
  <c r="N46" i="4"/>
  <c r="M229" i="4"/>
  <c r="N41" i="4"/>
  <c r="N38" i="4"/>
  <c r="M37" i="4"/>
  <c r="N44" i="4"/>
  <c r="M35" i="4"/>
  <c r="K54" i="4"/>
  <c r="E88" i="4"/>
  <c r="E89" i="4" s="1"/>
  <c r="U8" i="4"/>
  <c r="G81" i="4"/>
  <c r="I61" i="4"/>
  <c r="J57" i="4"/>
  <c r="J20" i="4" s="1"/>
  <c r="J21" i="4" s="1"/>
  <c r="J56" i="4" s="1"/>
  <c r="J58" i="4" s="1"/>
  <c r="Q214" i="4"/>
  <c r="R62" i="4"/>
  <c r="E90" i="4"/>
  <c r="E91" i="4" s="1"/>
  <c r="L19" i="4"/>
  <c r="L51" i="4"/>
  <c r="L53" i="4"/>
  <c r="L17" i="4"/>
  <c r="L18" i="4"/>
  <c r="L52" i="4"/>
  <c r="M2" i="4"/>
  <c r="D97" i="4"/>
  <c r="C104" i="4"/>
  <c r="H80" i="4"/>
  <c r="H78" i="4"/>
  <c r="O2" i="8"/>
  <c r="P1" i="8"/>
  <c r="N1" i="4"/>
  <c r="C236" i="4"/>
  <c r="C245" i="4" s="1"/>
  <c r="C244" i="4"/>
  <c r="D235" i="4"/>
  <c r="D236" i="4"/>
  <c r="D245" i="4" s="1"/>
  <c r="K235" i="8" l="1"/>
  <c r="K244" i="8" s="1"/>
  <c r="K80" i="8"/>
  <c r="K78" i="8"/>
  <c r="K236" i="8" s="1"/>
  <c r="K245" i="8" s="1"/>
  <c r="Q214" i="8"/>
  <c r="R62" i="8"/>
  <c r="L61" i="8"/>
  <c r="M57" i="8"/>
  <c r="M20" i="8" s="1"/>
  <c r="M21" i="8" s="1"/>
  <c r="M56" i="8" s="1"/>
  <c r="M58" i="8" s="1"/>
  <c r="C108" i="8"/>
  <c r="C109" i="8" s="1"/>
  <c r="C110" i="8"/>
  <c r="D101" i="8"/>
  <c r="D185" i="8"/>
  <c r="D195" i="8" s="1"/>
  <c r="D219" i="8" s="1"/>
  <c r="D99" i="8"/>
  <c r="D100" i="8" s="1"/>
  <c r="N54" i="8"/>
  <c r="F94" i="8"/>
  <c r="E98" i="8" s="1"/>
  <c r="G88" i="8"/>
  <c r="G87" i="8"/>
  <c r="O51" i="8"/>
  <c r="O52" i="8"/>
  <c r="O18" i="8"/>
  <c r="O53" i="8"/>
  <c r="O19" i="8"/>
  <c r="O17" i="8"/>
  <c r="S8" i="8"/>
  <c r="J81" i="8"/>
  <c r="N47" i="4"/>
  <c r="N15" i="4"/>
  <c r="N6" i="4"/>
  <c r="N5" i="4"/>
  <c r="N48" i="4"/>
  <c r="N242" i="4"/>
  <c r="N13" i="4"/>
  <c r="N14" i="4" s="1"/>
  <c r="N49" i="4"/>
  <c r="O40" i="4"/>
  <c r="O38" i="4"/>
  <c r="O43" i="4"/>
  <c r="N36" i="4"/>
  <c r="N222" i="4"/>
  <c r="N35" i="4"/>
  <c r="N33" i="4"/>
  <c r="O46" i="4"/>
  <c r="O47" i="4" s="1"/>
  <c r="N229" i="4"/>
  <c r="O41" i="4"/>
  <c r="N34" i="4"/>
  <c r="N37" i="4"/>
  <c r="O42" i="4"/>
  <c r="O44" i="4"/>
  <c r="P3" i="8"/>
  <c r="O49" i="4"/>
  <c r="O48" i="4"/>
  <c r="O6" i="4"/>
  <c r="O15" i="4"/>
  <c r="O13" i="4"/>
  <c r="O14" i="4" s="1"/>
  <c r="O5" i="4"/>
  <c r="E93" i="4"/>
  <c r="E221" i="4"/>
  <c r="F86" i="4"/>
  <c r="F87" i="4" s="1"/>
  <c r="C199" i="4"/>
  <c r="C209" i="4" s="1"/>
  <c r="C227" i="4" s="1"/>
  <c r="D102" i="4"/>
  <c r="D103" i="4"/>
  <c r="R214" i="4"/>
  <c r="S62" i="4"/>
  <c r="I80" i="4"/>
  <c r="I78" i="4"/>
  <c r="J61" i="4"/>
  <c r="K57" i="4"/>
  <c r="K20" i="4" s="1"/>
  <c r="K21" i="4" s="1"/>
  <c r="K56" i="4" s="1"/>
  <c r="K58" i="4" s="1"/>
  <c r="V8" i="4"/>
  <c r="H81" i="4"/>
  <c r="M53" i="4"/>
  <c r="M52" i="4"/>
  <c r="M19" i="4"/>
  <c r="M17" i="4"/>
  <c r="M18" i="4"/>
  <c r="M51" i="4"/>
  <c r="N2" i="4"/>
  <c r="L54" i="4"/>
  <c r="C105" i="4"/>
  <c r="P2" i="8"/>
  <c r="O1" i="4"/>
  <c r="Q1" i="8"/>
  <c r="P3" i="4"/>
  <c r="O242" i="4"/>
  <c r="D244" i="4"/>
  <c r="E235" i="4"/>
  <c r="E244" i="4" s="1"/>
  <c r="E236" i="4"/>
  <c r="E245" i="4" s="1"/>
  <c r="E97" i="8" l="1"/>
  <c r="D104" i="8"/>
  <c r="P51" i="8"/>
  <c r="P18" i="8"/>
  <c r="P52" i="8"/>
  <c r="P53" i="8"/>
  <c r="P19" i="8"/>
  <c r="P17" i="8"/>
  <c r="O54" i="8"/>
  <c r="C111" i="8"/>
  <c r="G90" i="8"/>
  <c r="G91" i="8"/>
  <c r="M61" i="8"/>
  <c r="N57" i="8"/>
  <c r="N20" i="8" s="1"/>
  <c r="N21" i="8" s="1"/>
  <c r="N56" i="8" s="1"/>
  <c r="N58" i="8" s="1"/>
  <c r="G89" i="8"/>
  <c r="L235" i="8"/>
  <c r="L244" i="8" s="1"/>
  <c r="L78" i="8"/>
  <c r="L236" i="8" s="1"/>
  <c r="L245" i="8" s="1"/>
  <c r="L80" i="8"/>
  <c r="E101" i="8"/>
  <c r="E185" i="8"/>
  <c r="E195" i="8" s="1"/>
  <c r="E219" i="8" s="1"/>
  <c r="R214" i="8"/>
  <c r="S62" i="8"/>
  <c r="T8" i="8"/>
  <c r="K81" i="8"/>
  <c r="Q3" i="8"/>
  <c r="O222" i="4"/>
  <c r="P46" i="4"/>
  <c r="P47" i="4" s="1"/>
  <c r="P40" i="4"/>
  <c r="O229" i="4"/>
  <c r="O34" i="4"/>
  <c r="O35" i="4"/>
  <c r="P44" i="4"/>
  <c r="P41" i="4"/>
  <c r="O36" i="4"/>
  <c r="P38" i="4"/>
  <c r="O37" i="4"/>
  <c r="P42" i="4"/>
  <c r="O33" i="4"/>
  <c r="P43" i="4"/>
  <c r="P49" i="4"/>
  <c r="P48" i="4"/>
  <c r="P6" i="4"/>
  <c r="P15" i="4"/>
  <c r="P13" i="4"/>
  <c r="P14" i="4" s="1"/>
  <c r="P5" i="4"/>
  <c r="C107" i="4"/>
  <c r="W8" i="4"/>
  <c r="K61" i="4"/>
  <c r="L57" i="4"/>
  <c r="L20" i="4" s="1"/>
  <c r="L21" i="4" s="1"/>
  <c r="L56" i="4" s="1"/>
  <c r="L58" i="4" s="1"/>
  <c r="M54" i="4"/>
  <c r="J78" i="4"/>
  <c r="J80" i="4"/>
  <c r="N19" i="4"/>
  <c r="N53" i="4"/>
  <c r="N18" i="4"/>
  <c r="N52" i="4"/>
  <c r="N17" i="4"/>
  <c r="N51" i="4"/>
  <c r="O2" i="4"/>
  <c r="I81" i="4"/>
  <c r="S214" i="4"/>
  <c r="T62" i="4"/>
  <c r="E94" i="4"/>
  <c r="D98" i="4" s="1"/>
  <c r="Q2" i="8"/>
  <c r="R1" i="8"/>
  <c r="P1" i="4"/>
  <c r="P242" i="4"/>
  <c r="Q3" i="4"/>
  <c r="H235" i="4"/>
  <c r="H244" i="4" s="1"/>
  <c r="F235" i="4"/>
  <c r="F244" i="4" s="1"/>
  <c r="F236" i="4"/>
  <c r="F245" i="4" s="1"/>
  <c r="L81" i="8" l="1"/>
  <c r="P54" i="8"/>
  <c r="S214" i="8"/>
  <c r="T62" i="8"/>
  <c r="G221" i="8"/>
  <c r="H86" i="8"/>
  <c r="M235" i="8"/>
  <c r="M244" i="8" s="1"/>
  <c r="M78" i="8"/>
  <c r="M236" i="8" s="1"/>
  <c r="M245" i="8" s="1"/>
  <c r="M80" i="8"/>
  <c r="U8" i="8"/>
  <c r="G93" i="8"/>
  <c r="D199" i="8"/>
  <c r="D209" i="8" s="1"/>
  <c r="D227" i="8" s="1"/>
  <c r="D105" i="8"/>
  <c r="N61" i="8"/>
  <c r="O57" i="8"/>
  <c r="O20" i="8" s="1"/>
  <c r="O21" i="8" s="1"/>
  <c r="O56" i="8" s="1"/>
  <c r="O58" i="8" s="1"/>
  <c r="Q53" i="8"/>
  <c r="Q51" i="8"/>
  <c r="Q54" i="8" s="1"/>
  <c r="Q52" i="8"/>
  <c r="Q18" i="8"/>
  <c r="Q17" i="8"/>
  <c r="Q19" i="8"/>
  <c r="E103" i="8"/>
  <c r="E102" i="8"/>
  <c r="E99" i="8"/>
  <c r="E100" i="8" s="1"/>
  <c r="R3" i="8"/>
  <c r="Q49" i="4"/>
  <c r="Q15" i="4"/>
  <c r="Q6" i="4"/>
  <c r="Q13" i="4"/>
  <c r="Q14" i="4" s="1"/>
  <c r="Q5" i="4"/>
  <c r="Q48" i="4"/>
  <c r="Q38" i="4"/>
  <c r="P222" i="4"/>
  <c r="Q46" i="4"/>
  <c r="Q47" i="4" s="1"/>
  <c r="P229" i="4"/>
  <c r="Q44" i="4"/>
  <c r="P37" i="4"/>
  <c r="Q40" i="4"/>
  <c r="P34" i="4"/>
  <c r="Q42" i="4"/>
  <c r="Q41" i="4"/>
  <c r="P35" i="4"/>
  <c r="P33" i="4"/>
  <c r="Q43" i="4"/>
  <c r="P36" i="4"/>
  <c r="N54" i="4"/>
  <c r="F90" i="4"/>
  <c r="F91" i="4" s="1"/>
  <c r="F88" i="4"/>
  <c r="F89" i="4" s="1"/>
  <c r="X8" i="4"/>
  <c r="J81" i="4"/>
  <c r="K78" i="4"/>
  <c r="K80" i="4"/>
  <c r="D101" i="4"/>
  <c r="D185" i="4"/>
  <c r="D195" i="4" s="1"/>
  <c r="D219" i="4" s="1"/>
  <c r="D99" i="4"/>
  <c r="D100" i="4" s="1"/>
  <c r="T214" i="4"/>
  <c r="U62" i="4"/>
  <c r="M57" i="4"/>
  <c r="M20" i="4" s="1"/>
  <c r="M21" i="4" s="1"/>
  <c r="M56" i="4" s="1"/>
  <c r="M58" i="4" s="1"/>
  <c r="L61" i="4"/>
  <c r="O53" i="4"/>
  <c r="O52" i="4"/>
  <c r="O51" i="4"/>
  <c r="O17" i="4"/>
  <c r="O19" i="4"/>
  <c r="O18" i="4"/>
  <c r="P2" i="4"/>
  <c r="C108" i="4"/>
  <c r="C109" i="4" s="1"/>
  <c r="C110" i="4" s="1"/>
  <c r="C111" i="4" s="1"/>
  <c r="R2" i="8"/>
  <c r="S1" i="8"/>
  <c r="Q1" i="4"/>
  <c r="Q242" i="4"/>
  <c r="R3" i="4"/>
  <c r="H236" i="4"/>
  <c r="H245" i="4" s="1"/>
  <c r="G236" i="4"/>
  <c r="G245" i="4" s="1"/>
  <c r="G235" i="4"/>
  <c r="F97" i="8" l="1"/>
  <c r="E104" i="8"/>
  <c r="M81" i="8"/>
  <c r="N235" i="8"/>
  <c r="N244" i="8" s="1"/>
  <c r="N78" i="8"/>
  <c r="N236" i="8" s="1"/>
  <c r="N245" i="8" s="1"/>
  <c r="N80" i="8"/>
  <c r="H87" i="8"/>
  <c r="D107" i="8"/>
  <c r="E107" i="8"/>
  <c r="E105" i="8"/>
  <c r="T214" i="8"/>
  <c r="U62" i="8"/>
  <c r="G94" i="8"/>
  <c r="F98" i="8" s="1"/>
  <c r="O61" i="8"/>
  <c r="P57" i="8"/>
  <c r="P20" i="8" s="1"/>
  <c r="P21" i="8" s="1"/>
  <c r="P56" i="8" s="1"/>
  <c r="P58" i="8" s="1"/>
  <c r="R52" i="8"/>
  <c r="R19" i="8"/>
  <c r="R18" i="8"/>
  <c r="R53" i="8"/>
  <c r="R17" i="8"/>
  <c r="R51" i="8"/>
  <c r="V8" i="8"/>
  <c r="S3" i="8"/>
  <c r="R48" i="4"/>
  <c r="R49" i="4"/>
  <c r="R15" i="4"/>
  <c r="R13" i="4"/>
  <c r="R14" i="4" s="1"/>
  <c r="R6" i="4"/>
  <c r="R5" i="4"/>
  <c r="Q222" i="4"/>
  <c r="R46" i="4"/>
  <c r="R47" i="4" s="1"/>
  <c r="Q229" i="4"/>
  <c r="R44" i="4"/>
  <c r="Q36" i="4"/>
  <c r="Q34" i="4"/>
  <c r="R42" i="4"/>
  <c r="R38" i="4"/>
  <c r="Q35" i="4"/>
  <c r="R41" i="4"/>
  <c r="Q37" i="4"/>
  <c r="R40" i="4"/>
  <c r="Q33" i="4"/>
  <c r="R43" i="4"/>
  <c r="F93" i="4"/>
  <c r="O54" i="4"/>
  <c r="K81" i="4"/>
  <c r="L78" i="4"/>
  <c r="L80" i="4"/>
  <c r="N57" i="4"/>
  <c r="N20" i="4" s="1"/>
  <c r="N21" i="4" s="1"/>
  <c r="N56" i="4" s="1"/>
  <c r="N58" i="4" s="1"/>
  <c r="M61" i="4"/>
  <c r="F221" i="4"/>
  <c r="G86" i="4"/>
  <c r="G87" i="4" s="1"/>
  <c r="U214" i="4"/>
  <c r="V62" i="4"/>
  <c r="E97" i="4"/>
  <c r="D104" i="4"/>
  <c r="Y8" i="4"/>
  <c r="P18" i="4"/>
  <c r="P52" i="4"/>
  <c r="P51" i="4"/>
  <c r="P17" i="4"/>
  <c r="P53" i="4"/>
  <c r="P19" i="4"/>
  <c r="Q2" i="4"/>
  <c r="S2" i="8"/>
  <c r="T1" i="8"/>
  <c r="R1" i="4"/>
  <c r="R242" i="4"/>
  <c r="S3" i="4"/>
  <c r="J235" i="4"/>
  <c r="J244" i="4" s="1"/>
  <c r="J236" i="4"/>
  <c r="J245" i="4" s="1"/>
  <c r="I235" i="4"/>
  <c r="I244" i="4" s="1"/>
  <c r="I236" i="4"/>
  <c r="I245" i="4" s="1"/>
  <c r="G244" i="4"/>
  <c r="E108" i="8" l="1"/>
  <c r="E109" i="8" s="1"/>
  <c r="P61" i="8"/>
  <c r="Q57" i="8"/>
  <c r="Q20" i="8" s="1"/>
  <c r="Q21" i="8" s="1"/>
  <c r="Q56" i="8" s="1"/>
  <c r="Q58" i="8" s="1"/>
  <c r="D108" i="8"/>
  <c r="D109" i="8" s="1"/>
  <c r="E110" i="8" s="1"/>
  <c r="N81" i="8"/>
  <c r="W8" i="8"/>
  <c r="R54" i="8"/>
  <c r="E199" i="8"/>
  <c r="E209" i="8" s="1"/>
  <c r="E227" i="8" s="1"/>
  <c r="F199" i="8"/>
  <c r="F209" i="8" s="1"/>
  <c r="F227" i="8" s="1"/>
  <c r="H90" i="8"/>
  <c r="H91" i="8"/>
  <c r="H88" i="8"/>
  <c r="H89" i="8" s="1"/>
  <c r="O235" i="8"/>
  <c r="O244" i="8" s="1"/>
  <c r="O78" i="8"/>
  <c r="O236" i="8" s="1"/>
  <c r="O245" i="8" s="1"/>
  <c r="O80" i="8"/>
  <c r="F101" i="8"/>
  <c r="F185" i="8"/>
  <c r="F195" i="8" s="1"/>
  <c r="F219" i="8" s="1"/>
  <c r="U214" i="8"/>
  <c r="V62" i="8"/>
  <c r="S52" i="8"/>
  <c r="S19" i="8"/>
  <c r="S18" i="8"/>
  <c r="S53" i="8"/>
  <c r="S51" i="8"/>
  <c r="S17" i="8"/>
  <c r="F104" i="8"/>
  <c r="F100" i="8"/>
  <c r="G97" i="8" s="1"/>
  <c r="F99" i="8"/>
  <c r="F103" i="8"/>
  <c r="F102" i="8"/>
  <c r="F105" i="8" s="1"/>
  <c r="R229" i="4"/>
  <c r="S44" i="4"/>
  <c r="R37" i="4"/>
  <c r="S43" i="4"/>
  <c r="R35" i="4"/>
  <c r="R222" i="4"/>
  <c r="S42" i="4"/>
  <c r="S46" i="4"/>
  <c r="S47" i="4" s="1"/>
  <c r="R33" i="4"/>
  <c r="S41" i="4"/>
  <c r="S40" i="4"/>
  <c r="R34" i="4"/>
  <c r="S38" i="4"/>
  <c r="R36" i="4"/>
  <c r="T3" i="8"/>
  <c r="S49" i="4"/>
  <c r="S13" i="4"/>
  <c r="S48" i="4"/>
  <c r="S15" i="4"/>
  <c r="S5" i="4"/>
  <c r="S6" i="4"/>
  <c r="Z8" i="4"/>
  <c r="D199" i="4"/>
  <c r="D209" i="4" s="1"/>
  <c r="D227" i="4" s="1"/>
  <c r="E102" i="4"/>
  <c r="E103" i="4"/>
  <c r="V214" i="4"/>
  <c r="W62" i="4"/>
  <c r="P54" i="4"/>
  <c r="O57" i="4"/>
  <c r="O20" i="4" s="1"/>
  <c r="O21" i="4" s="1"/>
  <c r="O56" i="4" s="1"/>
  <c r="O58" i="4" s="1"/>
  <c r="N61" i="4"/>
  <c r="D105" i="4"/>
  <c r="Q52" i="4"/>
  <c r="Q51" i="4"/>
  <c r="Q17" i="4"/>
  <c r="Q53" i="4"/>
  <c r="Q19" i="4"/>
  <c r="Q18" i="4"/>
  <c r="R2" i="4"/>
  <c r="F94" i="4"/>
  <c r="E98" i="4" s="1"/>
  <c r="E99" i="4" s="1"/>
  <c r="E100" i="4" s="1"/>
  <c r="F97" i="4" s="1"/>
  <c r="L81" i="4"/>
  <c r="M78" i="4"/>
  <c r="M80" i="4"/>
  <c r="T2" i="8"/>
  <c r="U1" i="8"/>
  <c r="S1" i="4"/>
  <c r="T3" i="4"/>
  <c r="S242" i="4"/>
  <c r="K235" i="4"/>
  <c r="K244" i="4" s="1"/>
  <c r="K236" i="4"/>
  <c r="K245" i="4" s="1"/>
  <c r="F107" i="8" l="1"/>
  <c r="H221" i="8"/>
  <c r="I86" i="8"/>
  <c r="X8" i="8"/>
  <c r="O81" i="8"/>
  <c r="D110" i="8"/>
  <c r="G103" i="8"/>
  <c r="G102" i="8"/>
  <c r="Q61" i="8"/>
  <c r="R57" i="8"/>
  <c r="R20" i="8" s="1"/>
  <c r="R21" i="8" s="1"/>
  <c r="R56" i="8" s="1"/>
  <c r="R58" i="8" s="1"/>
  <c r="P235" i="8"/>
  <c r="P244" i="8" s="1"/>
  <c r="P78" i="8"/>
  <c r="P236" i="8" s="1"/>
  <c r="P245" i="8" s="1"/>
  <c r="P80" i="8"/>
  <c r="V214" i="8"/>
  <c r="W62" i="8"/>
  <c r="H93" i="8"/>
  <c r="T52" i="8"/>
  <c r="T19" i="8"/>
  <c r="T18" i="8"/>
  <c r="T53" i="8"/>
  <c r="T17" i="8"/>
  <c r="T51" i="8"/>
  <c r="T54" i="8" s="1"/>
  <c r="S54" i="8"/>
  <c r="U3" i="8"/>
  <c r="T47" i="4"/>
  <c r="T49" i="4"/>
  <c r="T13" i="4"/>
  <c r="T14" i="4" s="1"/>
  <c r="T6" i="4"/>
  <c r="T15" i="4"/>
  <c r="T5" i="4"/>
  <c r="S36" i="4"/>
  <c r="T43" i="4"/>
  <c r="S229" i="4"/>
  <c r="S37" i="4"/>
  <c r="T41" i="4"/>
  <c r="T44" i="4"/>
  <c r="T42" i="4"/>
  <c r="S222" i="4"/>
  <c r="T40" i="4"/>
  <c r="S34" i="4"/>
  <c r="T38" i="4"/>
  <c r="S33" i="4"/>
  <c r="T46" i="4"/>
  <c r="T48" i="4" s="1"/>
  <c r="S35" i="4"/>
  <c r="S14" i="4"/>
  <c r="Q54" i="4"/>
  <c r="R17" i="4"/>
  <c r="R51" i="4"/>
  <c r="R52" i="4"/>
  <c r="R53" i="4"/>
  <c r="R19" i="4"/>
  <c r="R18" i="4"/>
  <c r="S2" i="4"/>
  <c r="E104" i="4"/>
  <c r="W214" i="4"/>
  <c r="X62" i="4"/>
  <c r="G90" i="4"/>
  <c r="G91" i="4" s="1"/>
  <c r="F103" i="4"/>
  <c r="F102" i="4"/>
  <c r="M81" i="4"/>
  <c r="D107" i="4"/>
  <c r="N80" i="4"/>
  <c r="N78" i="4"/>
  <c r="G88" i="4"/>
  <c r="G89" i="4" s="1"/>
  <c r="E101" i="4"/>
  <c r="E185" i="4"/>
  <c r="E195" i="4" s="1"/>
  <c r="E219" i="4" s="1"/>
  <c r="P57" i="4"/>
  <c r="P20" i="4" s="1"/>
  <c r="P21" i="4" s="1"/>
  <c r="P56" i="4" s="1"/>
  <c r="P58" i="4" s="1"/>
  <c r="O61" i="4"/>
  <c r="AA8" i="4"/>
  <c r="U2" i="8"/>
  <c r="T1" i="4"/>
  <c r="V1" i="8"/>
  <c r="T242" i="4"/>
  <c r="U3" i="4"/>
  <c r="L235" i="4"/>
  <c r="L244" i="4" s="1"/>
  <c r="L236" i="4"/>
  <c r="L245" i="4" s="1"/>
  <c r="P81" i="8" l="1"/>
  <c r="D111" i="8"/>
  <c r="I87" i="8"/>
  <c r="Y8" i="8"/>
  <c r="U18" i="8"/>
  <c r="U51" i="8"/>
  <c r="U52" i="8"/>
  <c r="U53" i="8"/>
  <c r="U17" i="8"/>
  <c r="U19" i="8"/>
  <c r="W214" i="8"/>
  <c r="X62" i="8"/>
  <c r="S57" i="8"/>
  <c r="S20" i="8" s="1"/>
  <c r="S21" i="8" s="1"/>
  <c r="S56" i="8" s="1"/>
  <c r="S58" i="8" s="1"/>
  <c r="R61" i="8"/>
  <c r="F108" i="8"/>
  <c r="F109" i="8" s="1"/>
  <c r="F110" i="8" s="1"/>
  <c r="H94" i="8"/>
  <c r="G98" i="8" s="1"/>
  <c r="Q235" i="8"/>
  <c r="Q244" i="8" s="1"/>
  <c r="Q78" i="8"/>
  <c r="Q236" i="8" s="1"/>
  <c r="Q245" i="8" s="1"/>
  <c r="Q80" i="8"/>
  <c r="U43" i="4"/>
  <c r="T35" i="4"/>
  <c r="U42" i="4"/>
  <c r="T34" i="4"/>
  <c r="T229" i="4"/>
  <c r="T37" i="4"/>
  <c r="U44" i="4"/>
  <c r="U38" i="4"/>
  <c r="U41" i="4"/>
  <c r="T33" i="4"/>
  <c r="T222" i="4"/>
  <c r="U40" i="4"/>
  <c r="U46" i="4"/>
  <c r="U48" i="4" s="1"/>
  <c r="T36" i="4"/>
  <c r="U13" i="4"/>
  <c r="U14" i="4" s="1"/>
  <c r="U49" i="4"/>
  <c r="U6" i="4"/>
  <c r="U47" i="4"/>
  <c r="U15" i="4"/>
  <c r="U5" i="4"/>
  <c r="V3" i="8"/>
  <c r="E105" i="4"/>
  <c r="E107" i="4" s="1"/>
  <c r="G221" i="4"/>
  <c r="H86" i="4"/>
  <c r="H87" i="4" s="1"/>
  <c r="X214" i="4"/>
  <c r="Y62" i="4"/>
  <c r="AB8" i="4"/>
  <c r="S51" i="4"/>
  <c r="S19" i="4"/>
  <c r="S53" i="4"/>
  <c r="S18" i="4"/>
  <c r="S52" i="4"/>
  <c r="S17" i="4"/>
  <c r="T2" i="4"/>
  <c r="N81" i="4"/>
  <c r="E199" i="4"/>
  <c r="E209" i="4" s="1"/>
  <c r="E227" i="4" s="1"/>
  <c r="D108" i="4"/>
  <c r="D109" i="4" s="1"/>
  <c r="D110" i="4" s="1"/>
  <c r="O78" i="4"/>
  <c r="O80" i="4"/>
  <c r="Q57" i="4"/>
  <c r="Q20" i="4" s="1"/>
  <c r="Q21" i="4" s="1"/>
  <c r="Q56" i="4" s="1"/>
  <c r="Q58" i="4" s="1"/>
  <c r="P61" i="4"/>
  <c r="R54" i="4"/>
  <c r="G93" i="4"/>
  <c r="V2" i="8"/>
  <c r="U1" i="4"/>
  <c r="W1" i="8"/>
  <c r="U242" i="4"/>
  <c r="V3" i="4"/>
  <c r="M235" i="4"/>
  <c r="M244" i="4" s="1"/>
  <c r="M236" i="4"/>
  <c r="M245" i="4" s="1"/>
  <c r="V53" i="8" l="1"/>
  <c r="V18" i="8"/>
  <c r="V17" i="8"/>
  <c r="V19" i="8"/>
  <c r="V51" i="8"/>
  <c r="V52" i="8"/>
  <c r="Z8" i="8"/>
  <c r="I90" i="8"/>
  <c r="I91" i="8" s="1"/>
  <c r="R235" i="8"/>
  <c r="R244" i="8" s="1"/>
  <c r="R78" i="8"/>
  <c r="R236" i="8" s="1"/>
  <c r="R245" i="8" s="1"/>
  <c r="R80" i="8"/>
  <c r="S61" i="8"/>
  <c r="T57" i="8"/>
  <c r="T20" i="8" s="1"/>
  <c r="T21" i="8" s="1"/>
  <c r="T56" i="8" s="1"/>
  <c r="T58" i="8" s="1"/>
  <c r="I88" i="8"/>
  <c r="I89" i="8" s="1"/>
  <c r="Q81" i="8"/>
  <c r="X214" i="8"/>
  <c r="Y62" i="8"/>
  <c r="C115" i="8"/>
  <c r="E111" i="8"/>
  <c r="D115" i="8" s="1"/>
  <c r="G101" i="8"/>
  <c r="G185" i="8"/>
  <c r="G195" i="8" s="1"/>
  <c r="G219" i="8" s="1"/>
  <c r="G99" i="8"/>
  <c r="G100" i="8" s="1"/>
  <c r="U54" i="8"/>
  <c r="V49" i="4"/>
  <c r="V13" i="4"/>
  <c r="V14" i="4" s="1"/>
  <c r="V15" i="4"/>
  <c r="V6" i="4"/>
  <c r="V47" i="4"/>
  <c r="V5" i="4"/>
  <c r="W3" i="8"/>
  <c r="V42" i="4"/>
  <c r="U37" i="4"/>
  <c r="V41" i="4"/>
  <c r="U35" i="4"/>
  <c r="V40" i="4"/>
  <c r="U36" i="4"/>
  <c r="V44" i="4"/>
  <c r="U229" i="4"/>
  <c r="U33" i="4"/>
  <c r="V38" i="4"/>
  <c r="U222" i="4"/>
  <c r="V43" i="4"/>
  <c r="U34" i="4"/>
  <c r="V46" i="4"/>
  <c r="V48" i="4" s="1"/>
  <c r="P80" i="4"/>
  <c r="P78" i="4"/>
  <c r="S54" i="4"/>
  <c r="AC8" i="4"/>
  <c r="Y214" i="4"/>
  <c r="Z62" i="4"/>
  <c r="R57" i="4"/>
  <c r="R20" i="4" s="1"/>
  <c r="R21" i="4" s="1"/>
  <c r="R56" i="4" s="1"/>
  <c r="R58" i="4" s="1"/>
  <c r="Q61" i="4"/>
  <c r="T53" i="4"/>
  <c r="T51" i="4"/>
  <c r="T19" i="4"/>
  <c r="T52" i="4"/>
  <c r="T18" i="4"/>
  <c r="T17" i="4"/>
  <c r="U2" i="4"/>
  <c r="O81" i="4"/>
  <c r="G94" i="4"/>
  <c r="F98" i="4" s="1"/>
  <c r="E108" i="4"/>
  <c r="E109" i="4" s="1"/>
  <c r="E110" i="4" s="1"/>
  <c r="W2" i="8"/>
  <c r="X1" i="8"/>
  <c r="V1" i="4"/>
  <c r="V242" i="4"/>
  <c r="W3" i="4"/>
  <c r="N235" i="4"/>
  <c r="N244" i="4" s="1"/>
  <c r="N236" i="4"/>
  <c r="N245" i="4" s="1"/>
  <c r="H97" i="8" l="1"/>
  <c r="G104" i="8"/>
  <c r="I93" i="8"/>
  <c r="C118" i="8"/>
  <c r="E186" i="8"/>
  <c r="E196" i="8" s="1"/>
  <c r="E220" i="8" s="1"/>
  <c r="D186" i="8"/>
  <c r="D196" i="8" s="1"/>
  <c r="D220" i="8" s="1"/>
  <c r="C186" i="8"/>
  <c r="C196" i="8" s="1"/>
  <c r="C220" i="8" s="1"/>
  <c r="C117" i="8"/>
  <c r="V54" i="8"/>
  <c r="AA8" i="8"/>
  <c r="I221" i="8"/>
  <c r="J86" i="8"/>
  <c r="T61" i="8"/>
  <c r="U57" i="8"/>
  <c r="U20" i="8" s="1"/>
  <c r="U21" i="8" s="1"/>
  <c r="U56" i="8" s="1"/>
  <c r="U58" i="8" s="1"/>
  <c r="S235" i="8"/>
  <c r="S244" i="8" s="1"/>
  <c r="S80" i="8"/>
  <c r="S78" i="8"/>
  <c r="S236" i="8" s="1"/>
  <c r="S245" i="8" s="1"/>
  <c r="R81" i="8"/>
  <c r="F111" i="8"/>
  <c r="E115" i="8" s="1"/>
  <c r="Y214" i="8"/>
  <c r="Z62" i="8"/>
  <c r="W53" i="8"/>
  <c r="W17" i="8"/>
  <c r="W51" i="8"/>
  <c r="W54" i="8" s="1"/>
  <c r="W19" i="8"/>
  <c r="W18" i="8"/>
  <c r="W52" i="8"/>
  <c r="D118" i="8"/>
  <c r="W42" i="4"/>
  <c r="V34" i="4"/>
  <c r="W41" i="4"/>
  <c r="V33" i="4"/>
  <c r="V222" i="4"/>
  <c r="W46" i="4"/>
  <c r="W48" i="4" s="1"/>
  <c r="V35" i="4"/>
  <c r="W38" i="4"/>
  <c r="W43" i="4"/>
  <c r="W44" i="4"/>
  <c r="V36" i="4"/>
  <c r="V229" i="4"/>
  <c r="V37" i="4"/>
  <c r="W40" i="4"/>
  <c r="X3" i="8"/>
  <c r="W6" i="4"/>
  <c r="W49" i="4"/>
  <c r="W47" i="4"/>
  <c r="W5" i="4"/>
  <c r="W15" i="4"/>
  <c r="W13" i="4"/>
  <c r="W14" i="4" s="1"/>
  <c r="S57" i="4"/>
  <c r="S20" i="4" s="1"/>
  <c r="S21" i="4" s="1"/>
  <c r="S56" i="4" s="1"/>
  <c r="S58" i="4" s="1"/>
  <c r="R61" i="4"/>
  <c r="F101" i="4"/>
  <c r="F185" i="4"/>
  <c r="F195" i="4" s="1"/>
  <c r="F219" i="4" s="1"/>
  <c r="F99" i="4"/>
  <c r="F100" i="4" s="1"/>
  <c r="AD8" i="4"/>
  <c r="Q80" i="4"/>
  <c r="Q78" i="4"/>
  <c r="U18" i="4"/>
  <c r="U19" i="4"/>
  <c r="U51" i="4"/>
  <c r="U52" i="4"/>
  <c r="U53" i="4"/>
  <c r="U17" i="4"/>
  <c r="V2" i="4"/>
  <c r="Z214" i="4"/>
  <c r="AA62" i="4"/>
  <c r="P81" i="4"/>
  <c r="T54" i="4"/>
  <c r="H90" i="4"/>
  <c r="H91" i="4" s="1"/>
  <c r="H88" i="4"/>
  <c r="H89" i="4" s="1"/>
  <c r="X2" i="8"/>
  <c r="Y1" i="8"/>
  <c r="W1" i="4"/>
  <c r="X3" i="4"/>
  <c r="W242" i="4"/>
  <c r="O235" i="4"/>
  <c r="O244" i="4" s="1"/>
  <c r="O236" i="4"/>
  <c r="O245" i="4" s="1"/>
  <c r="V57" i="8" l="1"/>
  <c r="V20" i="8" s="1"/>
  <c r="V21" i="8" s="1"/>
  <c r="V56" i="8" s="1"/>
  <c r="V58" i="8" s="1"/>
  <c r="U61" i="8"/>
  <c r="J87" i="8"/>
  <c r="AB8" i="8"/>
  <c r="E118" i="8"/>
  <c r="X52" i="8"/>
  <c r="X17" i="8"/>
  <c r="X53" i="8"/>
  <c r="X51" i="8"/>
  <c r="X54" i="8" s="1"/>
  <c r="X18" i="8"/>
  <c r="X19" i="8"/>
  <c r="T235" i="8"/>
  <c r="T244" i="8" s="1"/>
  <c r="T80" i="8"/>
  <c r="T78" i="8"/>
  <c r="T236" i="8" s="1"/>
  <c r="T245" i="8" s="1"/>
  <c r="I94" i="8"/>
  <c r="H98" i="8" s="1"/>
  <c r="D114" i="8"/>
  <c r="C121" i="8"/>
  <c r="S81" i="8"/>
  <c r="G199" i="8"/>
  <c r="G209" i="8" s="1"/>
  <c r="G227" i="8" s="1"/>
  <c r="G105" i="8"/>
  <c r="Z214" i="8"/>
  <c r="AA62" i="8"/>
  <c r="H103" i="8"/>
  <c r="H102" i="8"/>
  <c r="Y3" i="8"/>
  <c r="X41" i="4"/>
  <c r="W229" i="4"/>
  <c r="X44" i="4"/>
  <c r="W35" i="4"/>
  <c r="X38" i="4"/>
  <c r="W36" i="4"/>
  <c r="X42" i="4"/>
  <c r="W222" i="4"/>
  <c r="X46" i="4"/>
  <c r="X48" i="4" s="1"/>
  <c r="X43" i="4"/>
  <c r="X40" i="4"/>
  <c r="W33" i="4"/>
  <c r="W37" i="4"/>
  <c r="W34" i="4"/>
  <c r="X15" i="4"/>
  <c r="X5" i="4"/>
  <c r="X47" i="4"/>
  <c r="X6" i="4"/>
  <c r="X13" i="4"/>
  <c r="X14" i="4" s="1"/>
  <c r="X49" i="4"/>
  <c r="G97" i="4"/>
  <c r="F104" i="4"/>
  <c r="H93" i="4"/>
  <c r="Q81" i="4"/>
  <c r="AB62" i="4"/>
  <c r="AA214" i="4"/>
  <c r="AE8" i="4"/>
  <c r="V52" i="4"/>
  <c r="V17" i="4"/>
  <c r="V19" i="4"/>
  <c r="V51" i="4"/>
  <c r="V18" i="4"/>
  <c r="V53" i="4"/>
  <c r="W2" i="4"/>
  <c r="R80" i="4"/>
  <c r="R78" i="4"/>
  <c r="S61" i="4"/>
  <c r="T57" i="4"/>
  <c r="T20" i="4" s="1"/>
  <c r="T21" i="4" s="1"/>
  <c r="T56" i="4" s="1"/>
  <c r="T58" i="4" s="1"/>
  <c r="H221" i="4"/>
  <c r="I86" i="4"/>
  <c r="I87" i="4" s="1"/>
  <c r="U54" i="4"/>
  <c r="Y2" i="8"/>
  <c r="X1" i="4"/>
  <c r="Z1" i="8"/>
  <c r="Y3" i="4"/>
  <c r="X242" i="4"/>
  <c r="P235" i="4"/>
  <c r="P244" i="4" s="1"/>
  <c r="P236" i="4"/>
  <c r="P245" i="4" s="1"/>
  <c r="T81" i="8" l="1"/>
  <c r="AC8" i="8"/>
  <c r="Y52" i="8"/>
  <c r="Y53" i="8"/>
  <c r="Y17" i="8"/>
  <c r="Y19" i="8"/>
  <c r="Y51" i="8"/>
  <c r="Y54" i="8" s="1"/>
  <c r="Y18" i="8"/>
  <c r="J88" i="8"/>
  <c r="J89" i="8" s="1"/>
  <c r="H101" i="8"/>
  <c r="H185" i="8"/>
  <c r="H195" i="8" s="1"/>
  <c r="H219" i="8" s="1"/>
  <c r="C200" i="8"/>
  <c r="C210" i="8" s="1"/>
  <c r="C228" i="8" s="1"/>
  <c r="C122" i="8"/>
  <c r="J90" i="8"/>
  <c r="J91" i="8" s="1"/>
  <c r="AA214" i="8"/>
  <c r="AB62" i="8"/>
  <c r="U235" i="8"/>
  <c r="U244" i="8" s="1"/>
  <c r="U78" i="8"/>
  <c r="U236" i="8" s="1"/>
  <c r="U245" i="8" s="1"/>
  <c r="U80" i="8"/>
  <c r="W57" i="8"/>
  <c r="W20" i="8" s="1"/>
  <c r="W21" i="8" s="1"/>
  <c r="W56" i="8" s="1"/>
  <c r="W58" i="8" s="1"/>
  <c r="V61" i="8"/>
  <c r="H99" i="8"/>
  <c r="H100" i="8" s="1"/>
  <c r="D120" i="8"/>
  <c r="D119" i="8"/>
  <c r="D116" i="8"/>
  <c r="D117" i="8" s="1"/>
  <c r="G107" i="8"/>
  <c r="Y47" i="4"/>
  <c r="Y5" i="4"/>
  <c r="Y15" i="4"/>
  <c r="Y13" i="4"/>
  <c r="Y14" i="4" s="1"/>
  <c r="Y6" i="4"/>
  <c r="Y49" i="4"/>
  <c r="Z3" i="8"/>
  <c r="Y41" i="4"/>
  <c r="X33" i="4"/>
  <c r="Y40" i="4"/>
  <c r="Y38" i="4"/>
  <c r="Y46" i="4"/>
  <c r="Y48" i="4" s="1"/>
  <c r="X222" i="4"/>
  <c r="X34" i="4"/>
  <c r="X36" i="4"/>
  <c r="Y42" i="4"/>
  <c r="X229" i="4"/>
  <c r="X37" i="4"/>
  <c r="Y43" i="4"/>
  <c r="Y44" i="4"/>
  <c r="X35" i="4"/>
  <c r="V54" i="4"/>
  <c r="I88" i="4"/>
  <c r="I89" i="4" s="1"/>
  <c r="T61" i="4"/>
  <c r="U57" i="4"/>
  <c r="U20" i="4" s="1"/>
  <c r="U21" i="4" s="1"/>
  <c r="U56" i="4" s="1"/>
  <c r="U58" i="4" s="1"/>
  <c r="H94" i="4"/>
  <c r="G98" i="4" s="1"/>
  <c r="S80" i="4"/>
  <c r="S78" i="4"/>
  <c r="AF8" i="4"/>
  <c r="W51" i="4"/>
  <c r="W18" i="4"/>
  <c r="W19" i="4"/>
  <c r="W17" i="4"/>
  <c r="W52" i="4"/>
  <c r="W53" i="4"/>
  <c r="X2" i="4"/>
  <c r="AB214" i="4"/>
  <c r="AC62" i="4"/>
  <c r="F199" i="4"/>
  <c r="F209" i="4" s="1"/>
  <c r="F227" i="4" s="1"/>
  <c r="F105" i="4"/>
  <c r="R81" i="4"/>
  <c r="G103" i="4"/>
  <c r="G102" i="4"/>
  <c r="Z2" i="8"/>
  <c r="AA1" i="8"/>
  <c r="Y1" i="4"/>
  <c r="Y242" i="4"/>
  <c r="Z3" i="4"/>
  <c r="Q235" i="4"/>
  <c r="Q244" i="4" s="1"/>
  <c r="Q236" i="4"/>
  <c r="Q245" i="4" s="1"/>
  <c r="I97" i="8" l="1"/>
  <c r="H104" i="8"/>
  <c r="J221" i="8"/>
  <c r="K86" i="8"/>
  <c r="J93" i="8"/>
  <c r="H105" i="8"/>
  <c r="E114" i="8"/>
  <c r="D121" i="8"/>
  <c r="U81" i="8"/>
  <c r="AB214" i="8"/>
  <c r="AC62" i="8"/>
  <c r="AD8" i="8"/>
  <c r="V235" i="8"/>
  <c r="V244" i="8" s="1"/>
  <c r="V80" i="8"/>
  <c r="V78" i="8"/>
  <c r="V236" i="8" s="1"/>
  <c r="V245" i="8" s="1"/>
  <c r="X57" i="8"/>
  <c r="X20" i="8" s="1"/>
  <c r="X21" i="8" s="1"/>
  <c r="X56" i="8" s="1"/>
  <c r="X58" i="8" s="1"/>
  <c r="W61" i="8"/>
  <c r="G108" i="8"/>
  <c r="G109" i="8" s="1"/>
  <c r="G110" i="8" s="1"/>
  <c r="Z51" i="8"/>
  <c r="Z54" i="8" s="1"/>
  <c r="Z53" i="8"/>
  <c r="Z17" i="8"/>
  <c r="Z19" i="8"/>
  <c r="Z18" i="8"/>
  <c r="Z52" i="8"/>
  <c r="C124" i="8"/>
  <c r="Z47" i="4"/>
  <c r="Z49" i="4"/>
  <c r="Z5" i="4"/>
  <c r="Z15" i="4"/>
  <c r="Z13" i="4"/>
  <c r="Z14" i="4" s="1"/>
  <c r="Z6" i="4"/>
  <c r="Z40" i="4"/>
  <c r="Z43" i="4"/>
  <c r="Z46" i="4"/>
  <c r="Z48" i="4" s="1"/>
  <c r="Z41" i="4"/>
  <c r="Y33" i="4"/>
  <c r="Z42" i="4"/>
  <c r="Y222" i="4"/>
  <c r="Y37" i="4"/>
  <c r="Y229" i="4"/>
  <c r="Y34" i="4"/>
  <c r="Z38" i="4"/>
  <c r="Z44" i="4"/>
  <c r="Y35" i="4"/>
  <c r="Y36" i="4"/>
  <c r="AA3" i="8"/>
  <c r="G99" i="4"/>
  <c r="G100" i="4" s="1"/>
  <c r="U61" i="4"/>
  <c r="V57" i="4"/>
  <c r="V20" i="4" s="1"/>
  <c r="V21" i="4" s="1"/>
  <c r="V56" i="4" s="1"/>
  <c r="V58" i="4" s="1"/>
  <c r="AG8" i="4"/>
  <c r="T80" i="4"/>
  <c r="T78" i="4"/>
  <c r="G101" i="4"/>
  <c r="G185" i="4"/>
  <c r="G195" i="4" s="1"/>
  <c r="G219" i="4" s="1"/>
  <c r="W54" i="4"/>
  <c r="I221" i="4"/>
  <c r="J86" i="4"/>
  <c r="J87" i="4" s="1"/>
  <c r="AC214" i="4"/>
  <c r="AD62" i="4"/>
  <c r="I90" i="4"/>
  <c r="I91" i="4" s="1"/>
  <c r="F107" i="4"/>
  <c r="S81" i="4"/>
  <c r="X19" i="4"/>
  <c r="X51" i="4"/>
  <c r="X18" i="4"/>
  <c r="X53" i="4"/>
  <c r="X17" i="4"/>
  <c r="X52" i="4"/>
  <c r="Y2" i="4"/>
  <c r="AA2" i="8"/>
  <c r="Z1" i="4"/>
  <c r="AB1" i="8"/>
  <c r="Z242" i="4"/>
  <c r="AA3" i="4"/>
  <c r="R236" i="4"/>
  <c r="R245" i="4" s="1"/>
  <c r="R235" i="4"/>
  <c r="R244" i="4" s="1"/>
  <c r="G111" i="8" l="1"/>
  <c r="F115" i="8" s="1"/>
  <c r="AE8" i="8"/>
  <c r="AC214" i="8"/>
  <c r="AD62" i="8"/>
  <c r="J94" i="8"/>
  <c r="I98" i="8" s="1"/>
  <c r="W235" i="8"/>
  <c r="W244" i="8" s="1"/>
  <c r="W80" i="8"/>
  <c r="W78" i="8"/>
  <c r="W236" i="8" s="1"/>
  <c r="W245" i="8" s="1"/>
  <c r="D200" i="8"/>
  <c r="D210" i="8" s="1"/>
  <c r="D228" i="8" s="1"/>
  <c r="H107" i="8"/>
  <c r="E120" i="8"/>
  <c r="E119" i="8"/>
  <c r="E116" i="8"/>
  <c r="E117" i="8"/>
  <c r="F114" i="8" s="1"/>
  <c r="D122" i="8"/>
  <c r="K87" i="8"/>
  <c r="V81" i="8"/>
  <c r="AA51" i="8"/>
  <c r="AA52" i="8"/>
  <c r="AA53" i="8"/>
  <c r="AA17" i="8"/>
  <c r="AA19" i="8"/>
  <c r="AA18" i="8"/>
  <c r="C125" i="8"/>
  <c r="C126" i="8" s="1"/>
  <c r="C127" i="8" s="1"/>
  <c r="H199" i="8"/>
  <c r="H209" i="8" s="1"/>
  <c r="H227" i="8" s="1"/>
  <c r="Y57" i="8"/>
  <c r="Y20" i="8" s="1"/>
  <c r="Y21" i="8" s="1"/>
  <c r="Y56" i="8" s="1"/>
  <c r="Y58" i="8" s="1"/>
  <c r="X61" i="8"/>
  <c r="I102" i="8"/>
  <c r="I103" i="8"/>
  <c r="AB3" i="8"/>
  <c r="AA40" i="4"/>
  <c r="AA38" i="4"/>
  <c r="AA46" i="4"/>
  <c r="AA48" i="4" s="1"/>
  <c r="AA41" i="4"/>
  <c r="Z33" i="4"/>
  <c r="AA44" i="4"/>
  <c r="Z36" i="4"/>
  <c r="Z229" i="4"/>
  <c r="AA42" i="4"/>
  <c r="Z37" i="4"/>
  <c r="Z222" i="4"/>
  <c r="Z34" i="4"/>
  <c r="AA43" i="4"/>
  <c r="Z35" i="4"/>
  <c r="AA47" i="4"/>
  <c r="AA49" i="4"/>
  <c r="AA5" i="4"/>
  <c r="AA6" i="4"/>
  <c r="AA15" i="4"/>
  <c r="AA13" i="4"/>
  <c r="AA14" i="4" s="1"/>
  <c r="H97" i="4"/>
  <c r="G104" i="4"/>
  <c r="G105" i="4" s="1"/>
  <c r="G107" i="4" s="1"/>
  <c r="I93" i="4"/>
  <c r="V61" i="4"/>
  <c r="W57" i="4"/>
  <c r="W20" i="4" s="1"/>
  <c r="W21" i="4" s="1"/>
  <c r="W56" i="4" s="1"/>
  <c r="W58" i="4" s="1"/>
  <c r="F108" i="4"/>
  <c r="F109" i="4" s="1"/>
  <c r="F110" i="4" s="1"/>
  <c r="U80" i="4"/>
  <c r="U78" i="4"/>
  <c r="Y53" i="4"/>
  <c r="Y18" i="4"/>
  <c r="Y52" i="4"/>
  <c r="Y17" i="4"/>
  <c r="Y19" i="4"/>
  <c r="Y51" i="4"/>
  <c r="Z2" i="4"/>
  <c r="AD214" i="4"/>
  <c r="AE62" i="4"/>
  <c r="T81" i="4"/>
  <c r="X54" i="4"/>
  <c r="AH8" i="4"/>
  <c r="AB2" i="8"/>
  <c r="AC1" i="8"/>
  <c r="AA1" i="4"/>
  <c r="AB3" i="4"/>
  <c r="AA242" i="4"/>
  <c r="S235" i="4"/>
  <c r="S244" i="4" s="1"/>
  <c r="S236" i="4"/>
  <c r="S245" i="4" s="1"/>
  <c r="C128" i="8" l="1"/>
  <c r="K90" i="8"/>
  <c r="K91" i="8" s="1"/>
  <c r="W81" i="8"/>
  <c r="K88" i="8"/>
  <c r="K89" i="8" s="1"/>
  <c r="F119" i="8"/>
  <c r="F120" i="8"/>
  <c r="F117" i="8"/>
  <c r="G114" i="8" s="1"/>
  <c r="F116" i="8"/>
  <c r="I101" i="8"/>
  <c r="I185" i="8"/>
  <c r="I195" i="8" s="1"/>
  <c r="I219" i="8" s="1"/>
  <c r="AE62" i="8"/>
  <c r="AD214" i="8"/>
  <c r="E121" i="8"/>
  <c r="I99" i="8"/>
  <c r="I100" i="8" s="1"/>
  <c r="E122" i="8"/>
  <c r="D124" i="8"/>
  <c r="AF8" i="8"/>
  <c r="X235" i="8"/>
  <c r="X244" i="8" s="1"/>
  <c r="X78" i="8"/>
  <c r="X236" i="8" s="1"/>
  <c r="X245" i="8" s="1"/>
  <c r="X80" i="8"/>
  <c r="AA54" i="8"/>
  <c r="H108" i="8"/>
  <c r="H109" i="8" s="1"/>
  <c r="H110" i="8"/>
  <c r="AB51" i="8"/>
  <c r="AB54" i="8" s="1"/>
  <c r="AB19" i="8"/>
  <c r="AB52" i="8"/>
  <c r="AB18" i="8"/>
  <c r="AB53" i="8"/>
  <c r="AB17" i="8"/>
  <c r="Y61" i="8"/>
  <c r="Z57" i="8"/>
  <c r="Z20" i="8" s="1"/>
  <c r="Z21" i="8" s="1"/>
  <c r="Z56" i="8" s="1"/>
  <c r="Z58" i="8" s="1"/>
  <c r="F118" i="8"/>
  <c r="F186" i="8"/>
  <c r="F196" i="8" s="1"/>
  <c r="F220" i="8" s="1"/>
  <c r="AC3" i="8"/>
  <c r="AB49" i="4"/>
  <c r="AB6" i="4"/>
  <c r="AB13" i="4"/>
  <c r="AB14" i="4" s="1"/>
  <c r="AB5" i="4"/>
  <c r="AB47" i="4"/>
  <c r="AB15" i="4"/>
  <c r="G199" i="4"/>
  <c r="G209" i="4" s="1"/>
  <c r="G227" i="4" s="1"/>
  <c r="AA222" i="4"/>
  <c r="AB46" i="4"/>
  <c r="AB48" i="4" s="1"/>
  <c r="AA33" i="4"/>
  <c r="AB44" i="4"/>
  <c r="AA36" i="4"/>
  <c r="AA37" i="4"/>
  <c r="AA229" i="4"/>
  <c r="AB43" i="4"/>
  <c r="AB38" i="4"/>
  <c r="AB42" i="4"/>
  <c r="AB41" i="4"/>
  <c r="AA35" i="4"/>
  <c r="AA34" i="4"/>
  <c r="AB40" i="4"/>
  <c r="H102" i="4"/>
  <c r="H103" i="4"/>
  <c r="I94" i="4"/>
  <c r="H98" i="4" s="1"/>
  <c r="J90" i="4"/>
  <c r="J91" i="4" s="1"/>
  <c r="U81" i="4"/>
  <c r="J88" i="4"/>
  <c r="J89" i="4" s="1"/>
  <c r="W61" i="4"/>
  <c r="X57" i="4"/>
  <c r="X20" i="4" s="1"/>
  <c r="X21" i="4" s="1"/>
  <c r="X56" i="4" s="1"/>
  <c r="X58" i="4" s="1"/>
  <c r="Z19" i="4"/>
  <c r="Z53" i="4"/>
  <c r="Z18" i="4"/>
  <c r="Z52" i="4"/>
  <c r="Z17" i="4"/>
  <c r="Z51" i="4"/>
  <c r="AA2" i="4"/>
  <c r="V78" i="4"/>
  <c r="V80" i="4"/>
  <c r="G108" i="4"/>
  <c r="G109" i="4" s="1"/>
  <c r="G110" i="4" s="1"/>
  <c r="AE214" i="4"/>
  <c r="AF62" i="4"/>
  <c r="AI8" i="4"/>
  <c r="Y54" i="4"/>
  <c r="AC2" i="8"/>
  <c r="AB1" i="4"/>
  <c r="AD1" i="8"/>
  <c r="AB242" i="4"/>
  <c r="AC3" i="4"/>
  <c r="T235" i="4"/>
  <c r="T244" i="4" s="1"/>
  <c r="T236" i="4"/>
  <c r="T245" i="4" s="1"/>
  <c r="K93" i="8" l="1"/>
  <c r="J97" i="8"/>
  <c r="I104" i="8"/>
  <c r="I199" i="8" s="1"/>
  <c r="I209" i="8" s="1"/>
  <c r="I227" i="8" s="1"/>
  <c r="D125" i="8"/>
  <c r="D126" i="8" s="1"/>
  <c r="D127" i="8" s="1"/>
  <c r="E124" i="8"/>
  <c r="F121" i="8"/>
  <c r="E200" i="8"/>
  <c r="E210" i="8" s="1"/>
  <c r="E228" i="8" s="1"/>
  <c r="K221" i="8"/>
  <c r="L86" i="8"/>
  <c r="X81" i="8"/>
  <c r="Z61" i="8"/>
  <c r="AA57" i="8"/>
  <c r="AA20" i="8" s="1"/>
  <c r="AA21" i="8" s="1"/>
  <c r="AA56" i="8" s="1"/>
  <c r="AA58" i="8" s="1"/>
  <c r="G120" i="8"/>
  <c r="G119" i="8"/>
  <c r="Y235" i="8"/>
  <c r="Y244" i="8" s="1"/>
  <c r="Y80" i="8"/>
  <c r="Y78" i="8"/>
  <c r="Y236" i="8" s="1"/>
  <c r="Y245" i="8" s="1"/>
  <c r="AE214" i="8"/>
  <c r="AF62" i="8"/>
  <c r="AC51" i="8"/>
  <c r="AC19" i="8"/>
  <c r="AC52" i="8"/>
  <c r="AC18" i="8"/>
  <c r="AC53" i="8"/>
  <c r="AC17" i="8"/>
  <c r="H111" i="8"/>
  <c r="G115" i="8" s="1"/>
  <c r="AG8" i="8"/>
  <c r="AD3" i="8"/>
  <c r="AC49" i="4"/>
  <c r="AC6" i="4"/>
  <c r="AC47" i="4"/>
  <c r="AC13" i="4"/>
  <c r="AC14" i="4" s="1"/>
  <c r="AC5" i="4"/>
  <c r="AC15" i="4"/>
  <c r="AC38" i="4"/>
  <c r="AB222" i="4"/>
  <c r="AC46" i="4"/>
  <c r="AC48" i="4" s="1"/>
  <c r="AB229" i="4"/>
  <c r="AC44" i="4"/>
  <c r="AB37" i="4"/>
  <c r="AB36" i="4"/>
  <c r="AC43" i="4"/>
  <c r="AB35" i="4"/>
  <c r="AB33" i="4"/>
  <c r="AC42" i="4"/>
  <c r="AC41" i="4"/>
  <c r="AB34" i="4"/>
  <c r="AC40" i="4"/>
  <c r="Z54" i="4"/>
  <c r="J93" i="4"/>
  <c r="J221" i="4"/>
  <c r="K86" i="4"/>
  <c r="K87" i="4" s="1"/>
  <c r="V81" i="4"/>
  <c r="AA53" i="4"/>
  <c r="AA52" i="4"/>
  <c r="AA18" i="4"/>
  <c r="AA17" i="4"/>
  <c r="AA19" i="4"/>
  <c r="AA51" i="4"/>
  <c r="AB2" i="4"/>
  <c r="AJ8" i="4"/>
  <c r="H101" i="4"/>
  <c r="H185" i="4"/>
  <c r="H195" i="4" s="1"/>
  <c r="H219" i="4" s="1"/>
  <c r="H99" i="4"/>
  <c r="H100" i="4" s="1"/>
  <c r="AF214" i="4"/>
  <c r="AG62" i="4"/>
  <c r="Y57" i="4"/>
  <c r="Y20" i="4" s="1"/>
  <c r="Y21" i="4" s="1"/>
  <c r="Y56" i="4" s="1"/>
  <c r="Y58" i="4" s="1"/>
  <c r="X61" i="4"/>
  <c r="W80" i="4"/>
  <c r="W78" i="4"/>
  <c r="AD2" i="8"/>
  <c r="AC1" i="4"/>
  <c r="AE1" i="8"/>
  <c r="AD3" i="4"/>
  <c r="AC242" i="4"/>
  <c r="U235" i="4"/>
  <c r="U244" i="4" s="1"/>
  <c r="U236" i="4"/>
  <c r="U245" i="4" s="1"/>
  <c r="D128" i="8" l="1"/>
  <c r="C132" i="8" s="1"/>
  <c r="Y81" i="8"/>
  <c r="AD51" i="8"/>
  <c r="AD19" i="8"/>
  <c r="AD18" i="8"/>
  <c r="AD52" i="8"/>
  <c r="AD17" i="8"/>
  <c r="AD53" i="8"/>
  <c r="G118" i="8"/>
  <c r="G186" i="8"/>
  <c r="G196" i="8" s="1"/>
  <c r="G220" i="8" s="1"/>
  <c r="L88" i="8"/>
  <c r="L89" i="8"/>
  <c r="L87" i="8"/>
  <c r="G116" i="8"/>
  <c r="E127" i="8"/>
  <c r="E125" i="8"/>
  <c r="E126" i="8" s="1"/>
  <c r="G117" i="8"/>
  <c r="K94" i="8"/>
  <c r="J98" i="8" s="1"/>
  <c r="J102" i="8"/>
  <c r="J103" i="8"/>
  <c r="AF214" i="8"/>
  <c r="AG62" i="8"/>
  <c r="Z235" i="8"/>
  <c r="Z244" i="8" s="1"/>
  <c r="Z80" i="8"/>
  <c r="Z78" i="8"/>
  <c r="Z236" i="8" s="1"/>
  <c r="Z245" i="8" s="1"/>
  <c r="F200" i="8"/>
  <c r="F210" i="8" s="1"/>
  <c r="F228" i="8" s="1"/>
  <c r="F122" i="8"/>
  <c r="AA61" i="8"/>
  <c r="AB57" i="8"/>
  <c r="AB20" i="8" s="1"/>
  <c r="AB21" i="8" s="1"/>
  <c r="AB56" i="8" s="1"/>
  <c r="AB58" i="8" s="1"/>
  <c r="AC54" i="8"/>
  <c r="AH8" i="8"/>
  <c r="I105" i="8"/>
  <c r="AE3" i="8"/>
  <c r="AD15" i="4"/>
  <c r="AD47" i="4"/>
  <c r="AD5" i="4"/>
  <c r="AD13" i="4"/>
  <c r="AD14" i="4" s="1"/>
  <c r="AD6" i="4"/>
  <c r="AC222" i="4"/>
  <c r="AD46" i="4"/>
  <c r="AD49" i="4" s="1"/>
  <c r="AC229" i="4"/>
  <c r="AD44" i="4"/>
  <c r="AC36" i="4"/>
  <c r="AD43" i="4"/>
  <c r="AD40" i="4"/>
  <c r="AC34" i="4"/>
  <c r="AC37" i="4"/>
  <c r="AD38" i="4"/>
  <c r="AC35" i="4"/>
  <c r="AD41" i="4"/>
  <c r="AC33" i="4"/>
  <c r="AD42" i="4"/>
  <c r="AA54" i="4"/>
  <c r="I97" i="4"/>
  <c r="H104" i="4"/>
  <c r="H199" i="4" s="1"/>
  <c r="H209" i="4" s="1"/>
  <c r="H227" i="4" s="1"/>
  <c r="AG214" i="4"/>
  <c r="AH62" i="4"/>
  <c r="X78" i="4"/>
  <c r="X80" i="4"/>
  <c r="W81" i="4"/>
  <c r="Y61" i="4"/>
  <c r="Z57" i="4"/>
  <c r="Z20" i="4" s="1"/>
  <c r="Z21" i="4" s="1"/>
  <c r="Z56" i="4" s="1"/>
  <c r="Z58" i="4" s="1"/>
  <c r="AK8" i="4"/>
  <c r="AB18" i="4"/>
  <c r="AB52" i="4"/>
  <c r="AB17" i="4"/>
  <c r="AB53" i="4"/>
  <c r="AB19" i="4"/>
  <c r="AB51" i="4"/>
  <c r="AC2" i="4"/>
  <c r="J94" i="4"/>
  <c r="I98" i="4" s="1"/>
  <c r="AE2" i="8"/>
  <c r="AF1" i="8"/>
  <c r="AD1" i="4"/>
  <c r="AE3" i="4"/>
  <c r="AD242" i="4"/>
  <c r="V235" i="4"/>
  <c r="V244" i="4" s="1"/>
  <c r="V236" i="4"/>
  <c r="V245" i="4" s="1"/>
  <c r="L221" i="8" l="1"/>
  <c r="M86" i="8"/>
  <c r="J101" i="8"/>
  <c r="J185" i="8"/>
  <c r="J195" i="8" s="1"/>
  <c r="J219" i="8" s="1"/>
  <c r="Z81" i="8"/>
  <c r="AE19" i="8"/>
  <c r="AE53" i="8"/>
  <c r="AE18" i="8"/>
  <c r="AE51" i="8"/>
  <c r="AE54" i="8" s="1"/>
  <c r="AE52" i="8"/>
  <c r="AE17" i="8"/>
  <c r="AG214" i="8"/>
  <c r="AH62" i="8"/>
  <c r="AD54" i="8"/>
  <c r="H114" i="8"/>
  <c r="G121" i="8"/>
  <c r="I107" i="8"/>
  <c r="AB61" i="8"/>
  <c r="AC57" i="8"/>
  <c r="AC20" i="8" s="1"/>
  <c r="AC21" i="8" s="1"/>
  <c r="AC56" i="8" s="1"/>
  <c r="AC58" i="8" s="1"/>
  <c r="AA235" i="8"/>
  <c r="AA244" i="8" s="1"/>
  <c r="AA80" i="8"/>
  <c r="AA78" i="8"/>
  <c r="AA236" i="8" s="1"/>
  <c r="AA245" i="8" s="1"/>
  <c r="E128" i="8"/>
  <c r="D132" i="8" s="1"/>
  <c r="C187" i="8"/>
  <c r="C193" i="8" s="1"/>
  <c r="C217" i="8" s="1"/>
  <c r="C135" i="8"/>
  <c r="C134" i="8"/>
  <c r="F124" i="8"/>
  <c r="AI8" i="8"/>
  <c r="J99" i="8"/>
  <c r="J100" i="8" s="1"/>
  <c r="L90" i="8"/>
  <c r="L91" i="8" s="1"/>
  <c r="AD48" i="4"/>
  <c r="AD229" i="4"/>
  <c r="AE44" i="4"/>
  <c r="AD37" i="4"/>
  <c r="AE43" i="4"/>
  <c r="AD35" i="4"/>
  <c r="AE40" i="4"/>
  <c r="AD34" i="4"/>
  <c r="AD222" i="4"/>
  <c r="AE38" i="4"/>
  <c r="AD33" i="4"/>
  <c r="AE42" i="4"/>
  <c r="AD36" i="4"/>
  <c r="AE46" i="4"/>
  <c r="AE49" i="4" s="1"/>
  <c r="AE41" i="4"/>
  <c r="AF3" i="8"/>
  <c r="AE48" i="4"/>
  <c r="AE15" i="4"/>
  <c r="AE47" i="4"/>
  <c r="AE13" i="4"/>
  <c r="AE14" i="4" s="1"/>
  <c r="AE5" i="4"/>
  <c r="AE6" i="4"/>
  <c r="H105" i="4"/>
  <c r="H107" i="4" s="1"/>
  <c r="AB54" i="4"/>
  <c r="AL8" i="4"/>
  <c r="AA57" i="4"/>
  <c r="AA20" i="4" s="1"/>
  <c r="AA21" i="4" s="1"/>
  <c r="AA56" i="4" s="1"/>
  <c r="AA58" i="4" s="1"/>
  <c r="Z61" i="4"/>
  <c r="Y80" i="4"/>
  <c r="Y78" i="4"/>
  <c r="K90" i="4"/>
  <c r="K91" i="4" s="1"/>
  <c r="K88" i="4"/>
  <c r="K89" i="4" s="1"/>
  <c r="I99" i="4"/>
  <c r="I100" i="4" s="1"/>
  <c r="J97" i="4" s="1"/>
  <c r="I103" i="4"/>
  <c r="I102" i="4"/>
  <c r="AH214" i="4"/>
  <c r="AI62" i="4"/>
  <c r="X81" i="4"/>
  <c r="I101" i="4"/>
  <c r="I185" i="4"/>
  <c r="I195" i="4" s="1"/>
  <c r="I219" i="4" s="1"/>
  <c r="AC52" i="4"/>
  <c r="AC51" i="4"/>
  <c r="AC53" i="4"/>
  <c r="AC17" i="4"/>
  <c r="AC19" i="4"/>
  <c r="AC18" i="4"/>
  <c r="AD2" i="4"/>
  <c r="AF2" i="8"/>
  <c r="AE1" i="4"/>
  <c r="AG1" i="8"/>
  <c r="AE242" i="4"/>
  <c r="AF3" i="4"/>
  <c r="W235" i="4"/>
  <c r="W244" i="4" s="1"/>
  <c r="W236" i="4"/>
  <c r="W245" i="4" s="1"/>
  <c r="L93" i="8" l="1"/>
  <c r="F125" i="8"/>
  <c r="F126" i="8" s="1"/>
  <c r="F127" i="8"/>
  <c r="AC61" i="8"/>
  <c r="AD57" i="8"/>
  <c r="AD20" i="8" s="1"/>
  <c r="AD21" i="8" s="1"/>
  <c r="AD56" i="8" s="1"/>
  <c r="AD58" i="8" s="1"/>
  <c r="D131" i="8"/>
  <c r="C138" i="8"/>
  <c r="AB235" i="8"/>
  <c r="AB244" i="8" s="1"/>
  <c r="AB78" i="8"/>
  <c r="AB236" i="8" s="1"/>
  <c r="AB245" i="8" s="1"/>
  <c r="AB80" i="8"/>
  <c r="I108" i="8"/>
  <c r="I109" i="8" s="1"/>
  <c r="I110" i="8" s="1"/>
  <c r="G200" i="8"/>
  <c r="G210" i="8" s="1"/>
  <c r="G228" i="8" s="1"/>
  <c r="H120" i="8"/>
  <c r="H119" i="8"/>
  <c r="M87" i="8"/>
  <c r="K97" i="8"/>
  <c r="J104" i="8"/>
  <c r="D187" i="8"/>
  <c r="D193" i="8" s="1"/>
  <c r="D217" i="8" s="1"/>
  <c r="AJ8" i="8"/>
  <c r="AA81" i="8"/>
  <c r="AF19" i="8"/>
  <c r="AF52" i="8"/>
  <c r="AF18" i="8"/>
  <c r="AF51" i="8"/>
  <c r="AF17" i="8"/>
  <c r="AF53" i="8"/>
  <c r="D135" i="8"/>
  <c r="AH214" i="8"/>
  <c r="AI62" i="8"/>
  <c r="G122" i="8"/>
  <c r="AG3" i="8"/>
  <c r="AF47" i="4"/>
  <c r="AF13" i="4"/>
  <c r="AF14" i="4" s="1"/>
  <c r="AF15" i="4"/>
  <c r="AF48" i="4"/>
  <c r="AF5" i="4"/>
  <c r="AF6" i="4"/>
  <c r="AE36" i="4"/>
  <c r="AF43" i="4"/>
  <c r="AF44" i="4"/>
  <c r="AF40" i="4"/>
  <c r="AE34" i="4"/>
  <c r="AF42" i="4"/>
  <c r="AF41" i="4"/>
  <c r="AF38" i="4"/>
  <c r="AE229" i="4"/>
  <c r="AE33" i="4"/>
  <c r="AE37" i="4"/>
  <c r="AE222" i="4"/>
  <c r="AE35" i="4"/>
  <c r="AF46" i="4"/>
  <c r="AF49" i="4" s="1"/>
  <c r="AC54" i="4"/>
  <c r="K93" i="4"/>
  <c r="J102" i="4"/>
  <c r="J103" i="4"/>
  <c r="Y81" i="4"/>
  <c r="Z80" i="4"/>
  <c r="Z78" i="4"/>
  <c r="AB57" i="4"/>
  <c r="AB20" i="4" s="1"/>
  <c r="AB21" i="4" s="1"/>
  <c r="AB56" i="4" s="1"/>
  <c r="AB58" i="4" s="1"/>
  <c r="AA61" i="4"/>
  <c r="I104" i="4"/>
  <c r="I199" i="4" s="1"/>
  <c r="I209" i="4" s="1"/>
  <c r="I227" i="4" s="1"/>
  <c r="AM8" i="4"/>
  <c r="K221" i="4"/>
  <c r="L86" i="4"/>
  <c r="L87" i="4" s="1"/>
  <c r="AD17" i="4"/>
  <c r="AD51" i="4"/>
  <c r="AD53" i="4"/>
  <c r="AD52" i="4"/>
  <c r="AD19" i="4"/>
  <c r="AD18" i="4"/>
  <c r="AE2" i="4"/>
  <c r="H108" i="4"/>
  <c r="H109" i="4" s="1"/>
  <c r="H110" i="4" s="1"/>
  <c r="AI214" i="4"/>
  <c r="AJ62" i="4"/>
  <c r="AG2" i="8"/>
  <c r="AH1" i="8"/>
  <c r="AF1" i="4"/>
  <c r="AF242" i="4"/>
  <c r="AG3" i="4"/>
  <c r="X235" i="4"/>
  <c r="X244" i="4" s="1"/>
  <c r="X236" i="4"/>
  <c r="X245" i="4" s="1"/>
  <c r="I111" i="8" l="1"/>
  <c r="H115" i="8" s="1"/>
  <c r="AG52" i="8"/>
  <c r="AG18" i="8"/>
  <c r="AG51" i="8"/>
  <c r="AG53" i="8"/>
  <c r="AG17" i="8"/>
  <c r="AG19" i="8"/>
  <c r="AI214" i="8"/>
  <c r="AJ62" i="8"/>
  <c r="AB81" i="8"/>
  <c r="L94" i="8"/>
  <c r="K98" i="8" s="1"/>
  <c r="C201" i="8"/>
  <c r="C207" i="8" s="1"/>
  <c r="C225" i="8" s="1"/>
  <c r="C139" i="8"/>
  <c r="AK8" i="8"/>
  <c r="D136" i="8"/>
  <c r="D137" i="8"/>
  <c r="D133" i="8"/>
  <c r="D134" i="8" s="1"/>
  <c r="AD61" i="8"/>
  <c r="AE57" i="8"/>
  <c r="AE20" i="8" s="1"/>
  <c r="AE21" i="8" s="1"/>
  <c r="AE56" i="8" s="1"/>
  <c r="AE58" i="8" s="1"/>
  <c r="K99" i="8"/>
  <c r="K100" i="8" s="1"/>
  <c r="K102" i="8"/>
  <c r="K103" i="8"/>
  <c r="F128" i="8"/>
  <c r="E132" i="8" s="1"/>
  <c r="M90" i="8"/>
  <c r="M91" i="8" s="1"/>
  <c r="G124" i="8"/>
  <c r="M88" i="8"/>
  <c r="AF54" i="8"/>
  <c r="J199" i="8"/>
  <c r="J209" i="8" s="1"/>
  <c r="J227" i="8" s="1"/>
  <c r="J105" i="8"/>
  <c r="M89" i="8"/>
  <c r="AC235" i="8"/>
  <c r="AC244" i="8" s="1"/>
  <c r="AC78" i="8"/>
  <c r="AC236" i="8" s="1"/>
  <c r="AC245" i="8" s="1"/>
  <c r="AC80" i="8"/>
  <c r="AH3" i="8"/>
  <c r="AG43" i="4"/>
  <c r="AF35" i="4"/>
  <c r="AG42" i="4"/>
  <c r="AF34" i="4"/>
  <c r="AF222" i="4"/>
  <c r="AF33" i="4"/>
  <c r="AF229" i="4"/>
  <c r="AG38" i="4"/>
  <c r="AG46" i="4"/>
  <c r="AG49" i="4" s="1"/>
  <c r="AG40" i="4"/>
  <c r="AG41" i="4"/>
  <c r="AF36" i="4"/>
  <c r="AG44" i="4"/>
  <c r="AF37" i="4"/>
  <c r="AG47" i="4"/>
  <c r="AG48" i="4"/>
  <c r="AG13" i="4"/>
  <c r="AG14" i="4" s="1"/>
  <c r="AG5" i="4"/>
  <c r="AG15" i="4"/>
  <c r="AG6" i="4"/>
  <c r="K94" i="4"/>
  <c r="J98" i="4" s="1"/>
  <c r="AA78" i="4"/>
  <c r="AA80" i="4"/>
  <c r="AE51" i="4"/>
  <c r="AE19" i="4"/>
  <c r="AE53" i="4"/>
  <c r="AE52" i="4"/>
  <c r="AE17" i="4"/>
  <c r="AE18" i="4"/>
  <c r="AF2" i="4"/>
  <c r="AC57" i="4"/>
  <c r="AC20" i="4" s="1"/>
  <c r="AC21" i="4" s="1"/>
  <c r="AC56" i="4" s="1"/>
  <c r="AC58" i="4" s="1"/>
  <c r="AB61" i="4"/>
  <c r="Z81" i="4"/>
  <c r="AJ214" i="4"/>
  <c r="AK62" i="4"/>
  <c r="AD54" i="4"/>
  <c r="I105" i="4"/>
  <c r="AH2" i="8"/>
  <c r="AG1" i="4"/>
  <c r="AI1" i="8"/>
  <c r="AG242" i="4"/>
  <c r="AH3" i="4"/>
  <c r="Y235" i="4"/>
  <c r="Y244" i="4" s="1"/>
  <c r="Y236" i="4"/>
  <c r="Y245" i="4" s="1"/>
  <c r="M93" i="8" l="1"/>
  <c r="L97" i="8"/>
  <c r="K104" i="8"/>
  <c r="K199" i="8" s="1"/>
  <c r="K209" i="8" s="1"/>
  <c r="K227" i="8" s="1"/>
  <c r="E131" i="8"/>
  <c r="D138" i="8"/>
  <c r="AC81" i="8"/>
  <c r="AJ214" i="8"/>
  <c r="AK62" i="8"/>
  <c r="D139" i="8"/>
  <c r="AG54" i="8"/>
  <c r="AL8" i="8"/>
  <c r="J107" i="8"/>
  <c r="C141" i="8"/>
  <c r="M221" i="8"/>
  <c r="N86" i="8"/>
  <c r="E135" i="8"/>
  <c r="E187" i="8"/>
  <c r="E193" i="8" s="1"/>
  <c r="E217" i="8" s="1"/>
  <c r="K101" i="8"/>
  <c r="K105" i="8"/>
  <c r="K107" i="8" s="1"/>
  <c r="K185" i="8"/>
  <c r="K195" i="8" s="1"/>
  <c r="K219" i="8" s="1"/>
  <c r="AF57" i="8"/>
  <c r="AF20" i="8" s="1"/>
  <c r="AF21" i="8" s="1"/>
  <c r="AF56" i="8" s="1"/>
  <c r="AF58" i="8" s="1"/>
  <c r="AE61" i="8"/>
  <c r="H118" i="8"/>
  <c r="H186" i="8"/>
  <c r="H196" i="8" s="1"/>
  <c r="H220" i="8" s="1"/>
  <c r="H116" i="8"/>
  <c r="H117" i="8" s="1"/>
  <c r="AH53" i="8"/>
  <c r="AH52" i="8"/>
  <c r="AH18" i="8"/>
  <c r="AH17" i="8"/>
  <c r="AH51" i="8"/>
  <c r="AH54" i="8" s="1"/>
  <c r="AH19" i="8"/>
  <c r="G125" i="8"/>
  <c r="G126" i="8" s="1"/>
  <c r="G127" i="8" s="1"/>
  <c r="AD235" i="8"/>
  <c r="AD244" i="8" s="1"/>
  <c r="AD78" i="8"/>
  <c r="AD236" i="8" s="1"/>
  <c r="AD245" i="8" s="1"/>
  <c r="AD80" i="8"/>
  <c r="AI3" i="8"/>
  <c r="AH13" i="4"/>
  <c r="AH14" i="4" s="1"/>
  <c r="AH47" i="4"/>
  <c r="AH15" i="4"/>
  <c r="AH48" i="4"/>
  <c r="AH6" i="4"/>
  <c r="AH5" i="4"/>
  <c r="AH42" i="4"/>
  <c r="AH43" i="4"/>
  <c r="AG222" i="4"/>
  <c r="AG37" i="4"/>
  <c r="AG33" i="4"/>
  <c r="AH46" i="4"/>
  <c r="AH49" i="4" s="1"/>
  <c r="AH40" i="4"/>
  <c r="AG34" i="4"/>
  <c r="AG36" i="4"/>
  <c r="AG35" i="4"/>
  <c r="AH44" i="4"/>
  <c r="AH38" i="4"/>
  <c r="AG229" i="4"/>
  <c r="AH41" i="4"/>
  <c r="AE54" i="4"/>
  <c r="AA81" i="4"/>
  <c r="L90" i="4"/>
  <c r="L91" i="4" s="1"/>
  <c r="AD57" i="4"/>
  <c r="AD20" i="4" s="1"/>
  <c r="AD21" i="4" s="1"/>
  <c r="AD56" i="4" s="1"/>
  <c r="AD58" i="4" s="1"/>
  <c r="AC61" i="4"/>
  <c r="L88" i="4"/>
  <c r="L89" i="4" s="1"/>
  <c r="I107" i="4"/>
  <c r="AB78" i="4"/>
  <c r="AB80" i="4"/>
  <c r="AF53" i="4"/>
  <c r="AF52" i="4"/>
  <c r="AF17" i="4"/>
  <c r="AF51" i="4"/>
  <c r="AF18" i="4"/>
  <c r="AF19" i="4"/>
  <c r="AG2" i="4"/>
  <c r="J101" i="4"/>
  <c r="J185" i="4"/>
  <c r="J195" i="4" s="1"/>
  <c r="J219" i="4" s="1"/>
  <c r="J99" i="4"/>
  <c r="J100" i="4" s="1"/>
  <c r="AK214" i="4"/>
  <c r="AL62" i="4"/>
  <c r="AI2" i="8"/>
  <c r="AJ1" i="8"/>
  <c r="AH1" i="4"/>
  <c r="AI3" i="4"/>
  <c r="AH242" i="4"/>
  <c r="Z235" i="4"/>
  <c r="Z244" i="4" s="1"/>
  <c r="Z236" i="4"/>
  <c r="Z245" i="4" s="1"/>
  <c r="G128" i="8" l="1"/>
  <c r="F132" i="8" s="1"/>
  <c r="K108" i="8"/>
  <c r="K109" i="8" s="1"/>
  <c r="I114" i="8"/>
  <c r="H121" i="8"/>
  <c r="AI53" i="8"/>
  <c r="AI17" i="8"/>
  <c r="AI51" i="8"/>
  <c r="AI54" i="8" s="1"/>
  <c r="AI18" i="8"/>
  <c r="AI52" i="8"/>
  <c r="AI19" i="8"/>
  <c r="AK214" i="8"/>
  <c r="AL62" i="8"/>
  <c r="N87" i="8"/>
  <c r="C142" i="8"/>
  <c r="C143" i="8" s="1"/>
  <c r="C144" i="8"/>
  <c r="D201" i="8"/>
  <c r="D207" i="8" s="1"/>
  <c r="D225" i="8" s="1"/>
  <c r="D141" i="8"/>
  <c r="J108" i="8"/>
  <c r="J109" i="8" s="1"/>
  <c r="J110" i="8" s="1"/>
  <c r="E137" i="8"/>
  <c r="E136" i="8"/>
  <c r="E133" i="8"/>
  <c r="E134" i="8" s="1"/>
  <c r="AE235" i="8"/>
  <c r="AE244" i="8" s="1"/>
  <c r="AE78" i="8"/>
  <c r="AE236" i="8" s="1"/>
  <c r="AE245" i="8" s="1"/>
  <c r="AE80" i="8"/>
  <c r="AD81" i="8"/>
  <c r="AG57" i="8"/>
  <c r="AG20" i="8" s="1"/>
  <c r="AG21" i="8" s="1"/>
  <c r="AG56" i="8" s="1"/>
  <c r="AG58" i="8" s="1"/>
  <c r="AF61" i="8"/>
  <c r="AM8" i="8"/>
  <c r="L102" i="8"/>
  <c r="L103" i="8"/>
  <c r="M94" i="8"/>
  <c r="L98" i="8" s="1"/>
  <c r="L99" i="8" s="1"/>
  <c r="AJ3" i="8"/>
  <c r="AI42" i="4"/>
  <c r="AH34" i="4"/>
  <c r="AI41" i="4"/>
  <c r="AH33" i="4"/>
  <c r="AH222" i="4"/>
  <c r="AI46" i="4"/>
  <c r="AI49" i="4" s="1"/>
  <c r="AH37" i="4"/>
  <c r="AH229" i="4"/>
  <c r="AI40" i="4"/>
  <c r="AI43" i="4"/>
  <c r="AH36" i="4"/>
  <c r="AH35" i="4"/>
  <c r="AI38" i="4"/>
  <c r="AI44" i="4"/>
  <c r="AI47" i="4"/>
  <c r="AI6" i="4"/>
  <c r="AI13" i="4"/>
  <c r="AI14" i="4" s="1"/>
  <c r="AI48" i="4"/>
  <c r="AI15" i="4"/>
  <c r="AI5" i="4"/>
  <c r="L221" i="4"/>
  <c r="M86" i="4"/>
  <c r="M87" i="4" s="1"/>
  <c r="L93" i="4"/>
  <c r="AF54" i="4"/>
  <c r="AC80" i="4"/>
  <c r="AC78" i="4"/>
  <c r="K97" i="4"/>
  <c r="J104" i="4"/>
  <c r="AE57" i="4"/>
  <c r="AE20" i="4" s="1"/>
  <c r="AE21" i="4" s="1"/>
  <c r="AE56" i="4" s="1"/>
  <c r="AE58" i="4" s="1"/>
  <c r="AD61" i="4"/>
  <c r="AB81" i="4"/>
  <c r="AG18" i="4"/>
  <c r="AG52" i="4"/>
  <c r="AG51" i="4"/>
  <c r="AG17" i="4"/>
  <c r="AG19" i="4"/>
  <c r="AG53" i="4"/>
  <c r="AH2" i="4"/>
  <c r="I108" i="4"/>
  <c r="I109" i="4" s="1"/>
  <c r="I110" i="4" s="1"/>
  <c r="AM62" i="4"/>
  <c r="AM214" i="4" s="1"/>
  <c r="AL214" i="4"/>
  <c r="AJ2" i="8"/>
  <c r="AK1" i="8"/>
  <c r="AI1" i="4"/>
  <c r="AI242" i="4"/>
  <c r="AJ3" i="4"/>
  <c r="AA235" i="4"/>
  <c r="AA244" i="4" s="1"/>
  <c r="AA236" i="4"/>
  <c r="AA245" i="4" s="1"/>
  <c r="F131" i="8" l="1"/>
  <c r="E138" i="8"/>
  <c r="E139" i="8"/>
  <c r="J111" i="8"/>
  <c r="I115" i="8" s="1"/>
  <c r="C145" i="8"/>
  <c r="AJ52" i="8"/>
  <c r="AJ17" i="8"/>
  <c r="AJ51" i="8"/>
  <c r="AJ18" i="8"/>
  <c r="AJ53" i="8"/>
  <c r="AJ19" i="8"/>
  <c r="AE81" i="8"/>
  <c r="N91" i="8"/>
  <c r="N90" i="8"/>
  <c r="H200" i="8"/>
  <c r="H210" i="8" s="1"/>
  <c r="H228" i="8" s="1"/>
  <c r="H122" i="8"/>
  <c r="N88" i="8"/>
  <c r="I119" i="8"/>
  <c r="I120" i="8"/>
  <c r="L101" i="8"/>
  <c r="L185" i="8"/>
  <c r="L195" i="8" s="1"/>
  <c r="L219" i="8" s="1"/>
  <c r="D144" i="8"/>
  <c r="D142" i="8"/>
  <c r="D143" i="8" s="1"/>
  <c r="L100" i="8"/>
  <c r="N89" i="8"/>
  <c r="AF235" i="8"/>
  <c r="AF244" i="8" s="1"/>
  <c r="AF80" i="8"/>
  <c r="AF78" i="8"/>
  <c r="AF236" i="8" s="1"/>
  <c r="AF245" i="8" s="1"/>
  <c r="AL214" i="8"/>
  <c r="AM62" i="8"/>
  <c r="AM214" i="8" s="1"/>
  <c r="K110" i="8"/>
  <c r="AG61" i="8"/>
  <c r="AH57" i="8"/>
  <c r="AH20" i="8" s="1"/>
  <c r="AH21" i="8" s="1"/>
  <c r="AH56" i="8" s="1"/>
  <c r="AH58" i="8" s="1"/>
  <c r="F135" i="8"/>
  <c r="F187" i="8"/>
  <c r="F193" i="8" s="1"/>
  <c r="F217" i="8" s="1"/>
  <c r="AJ48" i="4"/>
  <c r="AJ15" i="4"/>
  <c r="AJ5" i="4"/>
  <c r="AJ13" i="4"/>
  <c r="AJ14" i="4" s="1"/>
  <c r="AJ47" i="4"/>
  <c r="AJ6" i="4"/>
  <c r="AK3" i="8"/>
  <c r="AJ41" i="4"/>
  <c r="AI229" i="4"/>
  <c r="AJ44" i="4"/>
  <c r="AI222" i="4"/>
  <c r="AI37" i="4"/>
  <c r="AJ42" i="4"/>
  <c r="AI35" i="4"/>
  <c r="AJ46" i="4"/>
  <c r="AJ49" i="4" s="1"/>
  <c r="AI36" i="4"/>
  <c r="AJ40" i="4"/>
  <c r="AJ43" i="4"/>
  <c r="AI34" i="4"/>
  <c r="AI33" i="4"/>
  <c r="AJ38" i="4"/>
  <c r="AC81" i="4"/>
  <c r="AD80" i="4"/>
  <c r="AD78" i="4"/>
  <c r="AF57" i="4"/>
  <c r="AF20" i="4" s="1"/>
  <c r="AF21" i="4" s="1"/>
  <c r="AF56" i="4" s="1"/>
  <c r="AF58" i="4" s="1"/>
  <c r="AE61" i="4"/>
  <c r="L94" i="4"/>
  <c r="K98" i="4" s="1"/>
  <c r="J199" i="4"/>
  <c r="J209" i="4" s="1"/>
  <c r="J227" i="4" s="1"/>
  <c r="J105" i="4"/>
  <c r="AG54" i="4"/>
  <c r="AH52" i="4"/>
  <c r="AH51" i="4"/>
  <c r="AH19" i="4"/>
  <c r="AH18" i="4"/>
  <c r="AH17" i="4"/>
  <c r="AH53" i="4"/>
  <c r="AI2" i="4"/>
  <c r="K102" i="4"/>
  <c r="K103" i="4"/>
  <c r="AK2" i="8"/>
  <c r="AJ1" i="4"/>
  <c r="AL1" i="8"/>
  <c r="AJ242" i="4"/>
  <c r="AK3" i="4"/>
  <c r="AB235" i="4"/>
  <c r="AB244" i="4" s="1"/>
  <c r="AB236" i="4"/>
  <c r="AB245" i="4" s="1"/>
  <c r="AJ54" i="8" l="1"/>
  <c r="C149" i="8"/>
  <c r="D145" i="8"/>
  <c r="AF81" i="8"/>
  <c r="I118" i="8"/>
  <c r="I186" i="8"/>
  <c r="I196" i="8" s="1"/>
  <c r="I220" i="8" s="1"/>
  <c r="N93" i="8"/>
  <c r="N221" i="8"/>
  <c r="O86" i="8"/>
  <c r="I116" i="8"/>
  <c r="I117" i="8" s="1"/>
  <c r="E141" i="8"/>
  <c r="H124" i="8"/>
  <c r="K111" i="8"/>
  <c r="J115" i="8" s="1"/>
  <c r="AK52" i="8"/>
  <c r="AK18" i="8"/>
  <c r="AK53" i="8"/>
  <c r="AK19" i="8"/>
  <c r="AK17" i="8"/>
  <c r="AK51" i="8"/>
  <c r="AK54" i="8" s="1"/>
  <c r="M97" i="8"/>
  <c r="L104" i="8"/>
  <c r="E201" i="8"/>
  <c r="E207" i="8" s="1"/>
  <c r="E225" i="8" s="1"/>
  <c r="AH61" i="8"/>
  <c r="AI57" i="8"/>
  <c r="AI20" i="8" s="1"/>
  <c r="AI21" i="8" s="1"/>
  <c r="AI56" i="8" s="1"/>
  <c r="AI58" i="8" s="1"/>
  <c r="AG235" i="8"/>
  <c r="AG244" i="8" s="1"/>
  <c r="AG80" i="8"/>
  <c r="AG78" i="8"/>
  <c r="AG236" i="8" s="1"/>
  <c r="AG245" i="8" s="1"/>
  <c r="F137" i="8"/>
  <c r="F133" i="8"/>
  <c r="F134" i="8" s="1"/>
  <c r="F136" i="8"/>
  <c r="AK41" i="4"/>
  <c r="AJ33" i="4"/>
  <c r="AK40" i="4"/>
  <c r="AK42" i="4"/>
  <c r="AJ229" i="4"/>
  <c r="AJ35" i="4"/>
  <c r="AK38" i="4"/>
  <c r="AK43" i="4"/>
  <c r="AJ34" i="4"/>
  <c r="AK46" i="4"/>
  <c r="AK49" i="4" s="1"/>
  <c r="AK44" i="4"/>
  <c r="AJ36" i="4"/>
  <c r="AJ222" i="4"/>
  <c r="AJ37" i="4"/>
  <c r="AK47" i="4"/>
  <c r="AK48" i="4"/>
  <c r="AK5" i="4"/>
  <c r="AK6" i="4"/>
  <c r="AK15" i="4"/>
  <c r="AK13" i="4"/>
  <c r="AK14" i="4" s="1"/>
  <c r="AL3" i="8"/>
  <c r="K101" i="4"/>
  <c r="K185" i="4"/>
  <c r="K195" i="4" s="1"/>
  <c r="K219" i="4" s="1"/>
  <c r="AD81" i="4"/>
  <c r="AH54" i="4"/>
  <c r="M90" i="4"/>
  <c r="M91" i="4" s="1"/>
  <c r="AE80" i="4"/>
  <c r="AE78" i="4"/>
  <c r="M88" i="4"/>
  <c r="M89" i="4" s="1"/>
  <c r="AG57" i="4"/>
  <c r="AG20" i="4" s="1"/>
  <c r="AG21" i="4" s="1"/>
  <c r="AG56" i="4" s="1"/>
  <c r="AG58" i="4" s="1"/>
  <c r="AF61" i="4"/>
  <c r="K99" i="4"/>
  <c r="K100" i="4" s="1"/>
  <c r="J107" i="4"/>
  <c r="AI52" i="4"/>
  <c r="AI19" i="4"/>
  <c r="AI17" i="4"/>
  <c r="AI51" i="4"/>
  <c r="AI53" i="4"/>
  <c r="AI18" i="4"/>
  <c r="AJ2" i="4"/>
  <c r="AL2" i="8"/>
  <c r="AM1" i="8"/>
  <c r="AK1" i="4"/>
  <c r="AL3" i="4"/>
  <c r="AK242" i="4"/>
  <c r="AC235" i="4"/>
  <c r="AC244" i="4" s="1"/>
  <c r="AC236" i="4"/>
  <c r="AC245" i="4" s="1"/>
  <c r="G131" i="8" l="1"/>
  <c r="F138" i="8"/>
  <c r="I122" i="8"/>
  <c r="AL51" i="8"/>
  <c r="AL54" i="8" s="1"/>
  <c r="AL53" i="8"/>
  <c r="AL52" i="8"/>
  <c r="AL17" i="8"/>
  <c r="AL18" i="8"/>
  <c r="AL19" i="8"/>
  <c r="J118" i="8"/>
  <c r="L199" i="8"/>
  <c r="L209" i="8" s="1"/>
  <c r="L227" i="8" s="1"/>
  <c r="L105" i="8"/>
  <c r="M102" i="8"/>
  <c r="M99" i="8"/>
  <c r="M100" i="8" s="1"/>
  <c r="M103" i="8"/>
  <c r="E142" i="8"/>
  <c r="E143" i="8" s="1"/>
  <c r="E144" i="8" s="1"/>
  <c r="F139" i="8"/>
  <c r="J114" i="8"/>
  <c r="I121" i="8"/>
  <c r="I200" i="8" s="1"/>
  <c r="I210" i="8" s="1"/>
  <c r="I228" i="8" s="1"/>
  <c r="C188" i="8"/>
  <c r="C194" i="8" s="1"/>
  <c r="C218" i="8" s="1"/>
  <c r="C152" i="8"/>
  <c r="C151" i="8"/>
  <c r="AG81" i="8"/>
  <c r="AH235" i="8"/>
  <c r="AH244" i="8" s="1"/>
  <c r="AH78" i="8"/>
  <c r="AH236" i="8" s="1"/>
  <c r="AH245" i="8" s="1"/>
  <c r="AH80" i="8"/>
  <c r="O88" i="8"/>
  <c r="O89" i="8"/>
  <c r="O87" i="8"/>
  <c r="N94" i="8"/>
  <c r="M98" i="8" s="1"/>
  <c r="AJ57" i="8"/>
  <c r="AJ20" i="8" s="1"/>
  <c r="AJ21" i="8" s="1"/>
  <c r="AJ56" i="8" s="1"/>
  <c r="AJ58" i="8" s="1"/>
  <c r="AI61" i="8"/>
  <c r="H125" i="8"/>
  <c r="H126" i="8" s="1"/>
  <c r="H127" i="8" s="1"/>
  <c r="J186" i="8"/>
  <c r="J196" i="8" s="1"/>
  <c r="J220" i="8" s="1"/>
  <c r="AM3" i="8"/>
  <c r="AL47" i="4"/>
  <c r="AL48" i="4"/>
  <c r="AL5" i="4"/>
  <c r="AL6" i="4"/>
  <c r="AL15" i="4"/>
  <c r="AL13" i="4"/>
  <c r="AL14" i="4" s="1"/>
  <c r="AL40" i="4"/>
  <c r="AL43" i="4"/>
  <c r="AK229" i="4"/>
  <c r="AK35" i="4"/>
  <c r="AL38" i="4"/>
  <c r="AL44" i="4"/>
  <c r="AL46" i="4"/>
  <c r="AL49" i="4" s="1"/>
  <c r="AK222" i="4"/>
  <c r="AK36" i="4"/>
  <c r="AL42" i="4"/>
  <c r="AK34" i="4"/>
  <c r="AL41" i="4"/>
  <c r="AK37" i="4"/>
  <c r="AK33" i="4"/>
  <c r="AI54" i="4"/>
  <c r="M93" i="4"/>
  <c r="M221" i="4"/>
  <c r="N86" i="4"/>
  <c r="N87" i="4" s="1"/>
  <c r="AJ19" i="4"/>
  <c r="AJ51" i="4"/>
  <c r="AJ53" i="4"/>
  <c r="AJ18" i="4"/>
  <c r="AJ17" i="4"/>
  <c r="AJ52" i="4"/>
  <c r="AK2" i="4"/>
  <c r="AF80" i="4"/>
  <c r="AF78" i="4"/>
  <c r="AH57" i="4"/>
  <c r="AH20" i="4" s="1"/>
  <c r="AH21" i="4" s="1"/>
  <c r="AH56" i="4" s="1"/>
  <c r="AH58" i="4" s="1"/>
  <c r="AG61" i="4"/>
  <c r="L97" i="4"/>
  <c r="K104" i="4"/>
  <c r="K199" i="4" s="1"/>
  <c r="K209" i="4" s="1"/>
  <c r="K227" i="4" s="1"/>
  <c r="AE81" i="4"/>
  <c r="J108" i="4"/>
  <c r="J109" i="4" s="1"/>
  <c r="J110" i="4" s="1"/>
  <c r="AM2" i="8"/>
  <c r="AL1" i="4"/>
  <c r="AL242" i="4"/>
  <c r="AM3" i="4"/>
  <c r="AD235" i="4"/>
  <c r="AD244" i="4" s="1"/>
  <c r="AD236" i="4"/>
  <c r="AD245" i="4" s="1"/>
  <c r="H128" i="8" l="1"/>
  <c r="G132" i="8" s="1"/>
  <c r="N97" i="8"/>
  <c r="M104" i="8"/>
  <c r="M199" i="8" s="1"/>
  <c r="M209" i="8" s="1"/>
  <c r="M227" i="8" s="1"/>
  <c r="E145" i="8"/>
  <c r="D149" i="8" s="1"/>
  <c r="J119" i="8"/>
  <c r="J122" i="8" s="1"/>
  <c r="J117" i="8"/>
  <c r="K114" i="8" s="1"/>
  <c r="J121" i="8"/>
  <c r="J200" i="8" s="1"/>
  <c r="J210" i="8" s="1"/>
  <c r="J228" i="8" s="1"/>
  <c r="J120" i="8"/>
  <c r="J116" i="8"/>
  <c r="AH81" i="8"/>
  <c r="F141" i="8"/>
  <c r="O221" i="8"/>
  <c r="P86" i="8"/>
  <c r="AI235" i="8"/>
  <c r="AI244" i="8" s="1"/>
  <c r="AI80" i="8"/>
  <c r="AI78" i="8"/>
  <c r="AI236" i="8" s="1"/>
  <c r="AI245" i="8" s="1"/>
  <c r="I124" i="8"/>
  <c r="M101" i="8"/>
  <c r="M185" i="8"/>
  <c r="M195" i="8" s="1"/>
  <c r="M219" i="8" s="1"/>
  <c r="F201" i="8"/>
  <c r="F207" i="8" s="1"/>
  <c r="F225" i="8" s="1"/>
  <c r="D148" i="8"/>
  <c r="C155" i="8"/>
  <c r="AK57" i="8"/>
  <c r="AK20" i="8" s="1"/>
  <c r="AK21" i="8" s="1"/>
  <c r="AK56" i="8" s="1"/>
  <c r="AK58" i="8" s="1"/>
  <c r="AJ61" i="8"/>
  <c r="AM51" i="8"/>
  <c r="AM53" i="8"/>
  <c r="AM17" i="8"/>
  <c r="AM52" i="8"/>
  <c r="AM19" i="8"/>
  <c r="AM18" i="8"/>
  <c r="O90" i="8"/>
  <c r="O91" i="8" s="1"/>
  <c r="L107" i="8"/>
  <c r="G137" i="8"/>
  <c r="G133" i="8"/>
  <c r="G134" i="8" s="1"/>
  <c r="G136" i="8"/>
  <c r="AM47" i="4"/>
  <c r="AM48" i="4"/>
  <c r="AM5" i="4"/>
  <c r="AM6" i="4"/>
  <c r="AM15" i="4"/>
  <c r="AM13" i="4"/>
  <c r="AM14" i="4" s="1"/>
  <c r="AM40" i="4"/>
  <c r="AM38" i="4"/>
  <c r="AL34" i="4"/>
  <c r="AL35" i="4"/>
  <c r="AM41" i="4"/>
  <c r="AM42" i="4"/>
  <c r="AM44" i="4"/>
  <c r="AM43" i="4"/>
  <c r="AL222" i="4"/>
  <c r="AL36" i="4"/>
  <c r="AM46" i="4"/>
  <c r="AM49" i="4" s="1"/>
  <c r="AL229" i="4"/>
  <c r="AL37" i="4"/>
  <c r="AL33" i="4"/>
  <c r="AK53" i="4"/>
  <c r="AK51" i="4"/>
  <c r="AK19" i="4"/>
  <c r="AK18" i="4"/>
  <c r="AK17" i="4"/>
  <c r="AK52" i="4"/>
  <c r="AL2" i="4"/>
  <c r="AJ54" i="4"/>
  <c r="L103" i="4"/>
  <c r="L102" i="4"/>
  <c r="AG80" i="4"/>
  <c r="AG78" i="4"/>
  <c r="M94" i="4"/>
  <c r="L98" i="4" s="1"/>
  <c r="L99" i="4" s="1"/>
  <c r="AH61" i="4"/>
  <c r="AI57" i="4"/>
  <c r="AI20" i="4" s="1"/>
  <c r="AI21" i="4" s="1"/>
  <c r="AI56" i="4" s="1"/>
  <c r="AI58" i="4" s="1"/>
  <c r="K105" i="4"/>
  <c r="AF81" i="4"/>
  <c r="AM1" i="4"/>
  <c r="AM242" i="4"/>
  <c r="AE235" i="4"/>
  <c r="AE244" i="4" s="1"/>
  <c r="AE236" i="4"/>
  <c r="AE245" i="4" s="1"/>
  <c r="H131" i="8" l="1"/>
  <c r="G138" i="8"/>
  <c r="O93" i="8"/>
  <c r="J124" i="8"/>
  <c r="D152" i="8"/>
  <c r="D188" i="8"/>
  <c r="D194" i="8" s="1"/>
  <c r="D218" i="8" s="1"/>
  <c r="AI81" i="8"/>
  <c r="P87" i="8"/>
  <c r="K119" i="8"/>
  <c r="K120" i="8"/>
  <c r="C202" i="8"/>
  <c r="C208" i="8" s="1"/>
  <c r="C226" i="8" s="1"/>
  <c r="N102" i="8"/>
  <c r="N103" i="8"/>
  <c r="AL57" i="8"/>
  <c r="AL20" i="8" s="1"/>
  <c r="AL21" i="8" s="1"/>
  <c r="AL56" i="8" s="1"/>
  <c r="AL58" i="8" s="1"/>
  <c r="AK61" i="8"/>
  <c r="AJ235" i="8"/>
  <c r="AJ244" i="8" s="1"/>
  <c r="AJ78" i="8"/>
  <c r="AJ236" i="8" s="1"/>
  <c r="AJ245" i="8" s="1"/>
  <c r="AJ80" i="8"/>
  <c r="D154" i="8"/>
  <c r="D150" i="8"/>
  <c r="D151" i="8"/>
  <c r="E148" i="8" s="1"/>
  <c r="D153" i="8"/>
  <c r="C156" i="8"/>
  <c r="I125" i="8"/>
  <c r="I126" i="8" s="1"/>
  <c r="I127" i="8"/>
  <c r="AM54" i="8"/>
  <c r="L108" i="8"/>
  <c r="L109" i="8" s="1"/>
  <c r="L110" i="8"/>
  <c r="M105" i="8"/>
  <c r="F142" i="8"/>
  <c r="F143" i="8" s="1"/>
  <c r="F144" i="8" s="1"/>
  <c r="G139" i="8"/>
  <c r="G135" i="8"/>
  <c r="G187" i="8"/>
  <c r="G193" i="8" s="1"/>
  <c r="G217" i="8" s="1"/>
  <c r="AM222" i="4"/>
  <c r="AM33" i="4"/>
  <c r="AM35" i="4"/>
  <c r="AM37" i="4"/>
  <c r="AM34" i="4"/>
  <c r="AM36" i="4"/>
  <c r="AM229" i="4"/>
  <c r="L100" i="4"/>
  <c r="M97" i="4" s="1"/>
  <c r="M102" i="4" s="1"/>
  <c r="AK54" i="4"/>
  <c r="AG81" i="4"/>
  <c r="K107" i="4"/>
  <c r="AI61" i="4"/>
  <c r="AJ57" i="4"/>
  <c r="AJ20" i="4" s="1"/>
  <c r="AJ21" i="4" s="1"/>
  <c r="AJ56" i="4" s="1"/>
  <c r="AJ58" i="4" s="1"/>
  <c r="N88" i="4"/>
  <c r="N89" i="4" s="1"/>
  <c r="AL19" i="4"/>
  <c r="AL53" i="4"/>
  <c r="AL18" i="4"/>
  <c r="AL17" i="4"/>
  <c r="AL51" i="4"/>
  <c r="AL52" i="4"/>
  <c r="AM2" i="4"/>
  <c r="AH78" i="4"/>
  <c r="AH80" i="4"/>
  <c r="N90" i="4"/>
  <c r="N91" i="4" s="1"/>
  <c r="L101" i="4"/>
  <c r="L185" i="4"/>
  <c r="L195" i="4" s="1"/>
  <c r="L219" i="4" s="1"/>
  <c r="AF235" i="4"/>
  <c r="AF244" i="4" s="1"/>
  <c r="AF236" i="4"/>
  <c r="AF245" i="4" s="1"/>
  <c r="F145" i="8" l="1"/>
  <c r="E149" i="8" s="1"/>
  <c r="E153" i="8"/>
  <c r="E150" i="8"/>
  <c r="E154" i="8"/>
  <c r="E155" i="8"/>
  <c r="E151" i="8"/>
  <c r="F148" i="8" s="1"/>
  <c r="AL61" i="8"/>
  <c r="AM57" i="8"/>
  <c r="AM20" i="8" s="1"/>
  <c r="AM21" i="8" s="1"/>
  <c r="AM56" i="8" s="1"/>
  <c r="AM58" i="8" s="1"/>
  <c r="AM61" i="8" s="1"/>
  <c r="P90" i="8"/>
  <c r="P91" i="8" s="1"/>
  <c r="I128" i="8"/>
  <c r="H132" i="8" s="1"/>
  <c r="C158" i="8"/>
  <c r="P88" i="8"/>
  <c r="P89" i="8" s="1"/>
  <c r="D155" i="8"/>
  <c r="G141" i="8"/>
  <c r="M107" i="8"/>
  <c r="L111" i="8"/>
  <c r="K115" i="8" s="1"/>
  <c r="AJ81" i="8"/>
  <c r="J125" i="8"/>
  <c r="J126" i="8" s="1"/>
  <c r="J127" i="8" s="1"/>
  <c r="O94" i="8"/>
  <c r="N98" i="8" s="1"/>
  <c r="G201" i="8"/>
  <c r="G207" i="8" s="1"/>
  <c r="G225" i="8" s="1"/>
  <c r="AK235" i="8"/>
  <c r="AK244" i="8" s="1"/>
  <c r="AK78" i="8"/>
  <c r="AK236" i="8" s="1"/>
  <c r="AK245" i="8" s="1"/>
  <c r="AK80" i="8"/>
  <c r="H137" i="8"/>
  <c r="H136" i="8"/>
  <c r="M103" i="4"/>
  <c r="L104" i="4"/>
  <c r="L199" i="4" s="1"/>
  <c r="L209" i="4" s="1"/>
  <c r="L227" i="4" s="1"/>
  <c r="AL54" i="4"/>
  <c r="N93" i="4"/>
  <c r="O86" i="4"/>
  <c r="O87" i="4" s="1"/>
  <c r="N221" i="4"/>
  <c r="AM53" i="4"/>
  <c r="AM52" i="4"/>
  <c r="AM19" i="4"/>
  <c r="AM18" i="4"/>
  <c r="AM17" i="4"/>
  <c r="AM51" i="4"/>
  <c r="AH81" i="4"/>
  <c r="AK57" i="4"/>
  <c r="AK20" i="4" s="1"/>
  <c r="AK21" i="4" s="1"/>
  <c r="AK56" i="4" s="1"/>
  <c r="AK58" i="4" s="1"/>
  <c r="AJ61" i="4"/>
  <c r="AI80" i="4"/>
  <c r="AI78" i="4"/>
  <c r="K108" i="4"/>
  <c r="K109" i="4" s="1"/>
  <c r="K110" i="4" s="1"/>
  <c r="AG235" i="4"/>
  <c r="AG244" i="4" s="1"/>
  <c r="AG236" i="4"/>
  <c r="AG245" i="4" s="1"/>
  <c r="P221" i="8" l="1"/>
  <c r="Q86" i="8"/>
  <c r="P93" i="8"/>
  <c r="J128" i="8"/>
  <c r="I132" i="8" s="1"/>
  <c r="G142" i="8"/>
  <c r="G143" i="8" s="1"/>
  <c r="G144" i="8"/>
  <c r="C159" i="8"/>
  <c r="C160" i="8" s="1"/>
  <c r="C161" i="8" s="1"/>
  <c r="AL235" i="8"/>
  <c r="AL244" i="8" s="1"/>
  <c r="AL78" i="8"/>
  <c r="AL236" i="8" s="1"/>
  <c r="AL245" i="8" s="1"/>
  <c r="AL80" i="8"/>
  <c r="AK81" i="8"/>
  <c r="E202" i="8"/>
  <c r="E208" i="8" s="1"/>
  <c r="E226" i="8" s="1"/>
  <c r="D202" i="8"/>
  <c r="D208" i="8" s="1"/>
  <c r="D226" i="8" s="1"/>
  <c r="N101" i="8"/>
  <c r="N185" i="8"/>
  <c r="N195" i="8" s="1"/>
  <c r="N219" i="8" s="1"/>
  <c r="N99" i="8"/>
  <c r="N100" i="8"/>
  <c r="F154" i="8"/>
  <c r="F153" i="8"/>
  <c r="H135" i="8"/>
  <c r="H187" i="8"/>
  <c r="H193" i="8" s="1"/>
  <c r="H217" i="8" s="1"/>
  <c r="AM235" i="8"/>
  <c r="AM244" i="8" s="1"/>
  <c r="AM80" i="8"/>
  <c r="AM78" i="8"/>
  <c r="AM236" i="8" s="1"/>
  <c r="AM245" i="8" s="1"/>
  <c r="D156" i="8"/>
  <c r="K118" i="8"/>
  <c r="K186" i="8"/>
  <c r="K196" i="8" s="1"/>
  <c r="K220" i="8" s="1"/>
  <c r="K116" i="8"/>
  <c r="K117" i="8" s="1"/>
  <c r="E152" i="8"/>
  <c r="E156" i="8" s="1"/>
  <c r="E188" i="8"/>
  <c r="E194" i="8" s="1"/>
  <c r="E218" i="8" s="1"/>
  <c r="H133" i="8"/>
  <c r="H134" i="8" s="1"/>
  <c r="M108" i="8"/>
  <c r="M109" i="8" s="1"/>
  <c r="M110" i="8" s="1"/>
  <c r="L105" i="4"/>
  <c r="L107" i="4" s="1"/>
  <c r="L108" i="4" s="1"/>
  <c r="L109" i="4" s="1"/>
  <c r="L110" i="4" s="1"/>
  <c r="AM54" i="4"/>
  <c r="N94" i="4"/>
  <c r="M98" i="4" s="1"/>
  <c r="AJ80" i="4"/>
  <c r="AJ78" i="4"/>
  <c r="AK61" i="4"/>
  <c r="AL57" i="4"/>
  <c r="AL20" i="4" s="1"/>
  <c r="AL21" i="4" s="1"/>
  <c r="AL56" i="4" s="1"/>
  <c r="AL58" i="4" s="1"/>
  <c r="AI81" i="4"/>
  <c r="AH235" i="4"/>
  <c r="AH244" i="4" s="1"/>
  <c r="AH236" i="4"/>
  <c r="AH245" i="4" s="1"/>
  <c r="C162" i="8" l="1"/>
  <c r="M111" i="8"/>
  <c r="L114" i="8"/>
  <c r="K121" i="8"/>
  <c r="K200" i="8" s="1"/>
  <c r="K210" i="8" s="1"/>
  <c r="K228" i="8" s="1"/>
  <c r="K122" i="8"/>
  <c r="E158" i="8"/>
  <c r="D158" i="8"/>
  <c r="AL81" i="8"/>
  <c r="AM81" i="8"/>
  <c r="I135" i="8"/>
  <c r="I187" i="8"/>
  <c r="I193" i="8" s="1"/>
  <c r="I217" i="8" s="1"/>
  <c r="P94" i="8"/>
  <c r="I131" i="8"/>
  <c r="H138" i="8"/>
  <c r="O97" i="8"/>
  <c r="N104" i="8"/>
  <c r="N199" i="8" s="1"/>
  <c r="N209" i="8" s="1"/>
  <c r="N227" i="8" s="1"/>
  <c r="Q87" i="8"/>
  <c r="G145" i="8"/>
  <c r="F149" i="8" s="1"/>
  <c r="AJ81" i="4"/>
  <c r="O90" i="4"/>
  <c r="O91" i="4" s="1"/>
  <c r="M101" i="4"/>
  <c r="M185" i="4"/>
  <c r="M195" i="4" s="1"/>
  <c r="M219" i="4" s="1"/>
  <c r="M99" i="4"/>
  <c r="M100" i="4" s="1"/>
  <c r="O88" i="4"/>
  <c r="O89" i="4" s="1"/>
  <c r="AL61" i="4"/>
  <c r="AM57" i="4"/>
  <c r="AM20" i="4" s="1"/>
  <c r="AM21" i="4" s="1"/>
  <c r="AM56" i="4" s="1"/>
  <c r="AM58" i="4" s="1"/>
  <c r="AM61" i="4" s="1"/>
  <c r="AK80" i="4"/>
  <c r="AK78" i="4"/>
  <c r="AI236" i="4"/>
  <c r="AI245" i="4" s="1"/>
  <c r="AI235" i="4"/>
  <c r="AI244" i="4" s="1"/>
  <c r="H201" i="8" l="1"/>
  <c r="H207" i="8" s="1"/>
  <c r="H225" i="8" s="1"/>
  <c r="H139" i="8"/>
  <c r="D159" i="8"/>
  <c r="D160" i="8" s="1"/>
  <c r="D161" i="8" s="1"/>
  <c r="I136" i="8"/>
  <c r="I133" i="8"/>
  <c r="I134" i="8"/>
  <c r="J131" i="8" s="1"/>
  <c r="I137" i="8"/>
  <c r="F152" i="8"/>
  <c r="F188" i="8"/>
  <c r="F194" i="8" s="1"/>
  <c r="F218" i="8" s="1"/>
  <c r="F150" i="8"/>
  <c r="F151" i="8" s="1"/>
  <c r="L119" i="8"/>
  <c r="L120" i="8"/>
  <c r="N105" i="8"/>
  <c r="E159" i="8"/>
  <c r="E160" i="8" s="1"/>
  <c r="E161" i="8" s="1"/>
  <c r="L115" i="8"/>
  <c r="O102" i="8"/>
  <c r="O103" i="8"/>
  <c r="O98" i="8"/>
  <c r="K124" i="8"/>
  <c r="Q90" i="8"/>
  <c r="Q91" i="8" s="1"/>
  <c r="Q88" i="8"/>
  <c r="Q89" i="8" s="1"/>
  <c r="N97" i="4"/>
  <c r="M104" i="4"/>
  <c r="M199" i="4" s="1"/>
  <c r="M209" i="4" s="1"/>
  <c r="M227" i="4" s="1"/>
  <c r="O93" i="4"/>
  <c r="P86" i="4"/>
  <c r="P87" i="4" s="1"/>
  <c r="O221" i="4"/>
  <c r="AK81" i="4"/>
  <c r="AM78" i="4"/>
  <c r="AM80" i="4"/>
  <c r="AL80" i="4"/>
  <c r="AL78" i="4"/>
  <c r="AJ236" i="4"/>
  <c r="AJ245" i="4" s="1"/>
  <c r="AJ235" i="4"/>
  <c r="AJ244" i="4" s="1"/>
  <c r="G148" i="8" l="1"/>
  <c r="F155" i="8"/>
  <c r="Q221" i="8"/>
  <c r="R86" i="8"/>
  <c r="Q93" i="8"/>
  <c r="F156" i="8"/>
  <c r="D162" i="8"/>
  <c r="C166" i="8" s="1"/>
  <c r="E162" i="8"/>
  <c r="D166" i="8" s="1"/>
  <c r="L118" i="8"/>
  <c r="L186" i="8"/>
  <c r="L196" i="8" s="1"/>
  <c r="L220" i="8" s="1"/>
  <c r="J136" i="8"/>
  <c r="J137" i="8"/>
  <c r="I138" i="8"/>
  <c r="I201" i="8" s="1"/>
  <c r="I207" i="8" s="1"/>
  <c r="I225" i="8" s="1"/>
  <c r="K125" i="8"/>
  <c r="K126" i="8" s="1"/>
  <c r="K127" i="8" s="1"/>
  <c r="L117" i="8"/>
  <c r="N107" i="8"/>
  <c r="O101" i="8"/>
  <c r="O185" i="8"/>
  <c r="O195" i="8" s="1"/>
  <c r="O219" i="8" s="1"/>
  <c r="H141" i="8"/>
  <c r="O99" i="8"/>
  <c r="O100" i="8" s="1"/>
  <c r="L116" i="8"/>
  <c r="M105" i="4"/>
  <c r="M107" i="4" s="1"/>
  <c r="AL81" i="4"/>
  <c r="O94" i="4"/>
  <c r="N98" i="4" s="1"/>
  <c r="N99" i="4" s="1"/>
  <c r="N100" i="4" s="1"/>
  <c r="O97" i="4" s="1"/>
  <c r="N103" i="4"/>
  <c r="N102" i="4"/>
  <c r="AK235" i="4"/>
  <c r="AK244" i="4" s="1"/>
  <c r="AK236" i="4"/>
  <c r="AK245" i="4" s="1"/>
  <c r="K128" i="8" l="1"/>
  <c r="J132" i="8" s="1"/>
  <c r="P97" i="8"/>
  <c r="O104" i="8"/>
  <c r="O199" i="8" s="1"/>
  <c r="O209" i="8" s="1"/>
  <c r="O227" i="8" s="1"/>
  <c r="O105" i="8"/>
  <c r="I139" i="8"/>
  <c r="H142" i="8"/>
  <c r="H143" i="8" s="1"/>
  <c r="H144" i="8" s="1"/>
  <c r="F158" i="8"/>
  <c r="Q94" i="8"/>
  <c r="P98" i="8" s="1"/>
  <c r="C169" i="8"/>
  <c r="D189" i="8"/>
  <c r="D192" i="8" s="1"/>
  <c r="D216" i="8" s="1"/>
  <c r="C189" i="8"/>
  <c r="C192" i="8" s="1"/>
  <c r="C216" i="8" s="1"/>
  <c r="C168" i="8"/>
  <c r="R87" i="8"/>
  <c r="N108" i="8"/>
  <c r="N109" i="8" s="1"/>
  <c r="N110" i="8"/>
  <c r="M114" i="8"/>
  <c r="L121" i="8"/>
  <c r="D169" i="8"/>
  <c r="F202" i="8"/>
  <c r="F208" i="8" s="1"/>
  <c r="F226" i="8" s="1"/>
  <c r="G154" i="8"/>
  <c r="G153" i="8"/>
  <c r="AM81" i="4"/>
  <c r="P90" i="4"/>
  <c r="P91" i="4" s="1"/>
  <c r="M108" i="4"/>
  <c r="M109" i="4" s="1"/>
  <c r="M110" i="4" s="1"/>
  <c r="P88" i="4"/>
  <c r="P89" i="4" s="1"/>
  <c r="O102" i="4"/>
  <c r="O103" i="4"/>
  <c r="N104" i="4"/>
  <c r="N199" i="4" s="1"/>
  <c r="N209" i="4" s="1"/>
  <c r="N227" i="4" s="1"/>
  <c r="N101" i="4"/>
  <c r="N185" i="4"/>
  <c r="N195" i="4" s="1"/>
  <c r="N219" i="4" s="1"/>
  <c r="AL235" i="4"/>
  <c r="AL244" i="4" s="1"/>
  <c r="AL236" i="4"/>
  <c r="AL245" i="4" s="1"/>
  <c r="AM235" i="4"/>
  <c r="AM244" i="4" s="1"/>
  <c r="AM236" i="4"/>
  <c r="AM245" i="4" s="1"/>
  <c r="H145" i="8" l="1"/>
  <c r="G149" i="8" s="1"/>
  <c r="F159" i="8"/>
  <c r="F160" i="8" s="1"/>
  <c r="F161" i="8" s="1"/>
  <c r="R90" i="8"/>
  <c r="R91" i="8" s="1"/>
  <c r="R88" i="8"/>
  <c r="R89" i="8" s="1"/>
  <c r="I141" i="8"/>
  <c r="P101" i="8"/>
  <c r="P185" i="8"/>
  <c r="P195" i="8" s="1"/>
  <c r="P219" i="8" s="1"/>
  <c r="O107" i="8"/>
  <c r="M116" i="8"/>
  <c r="M119" i="8"/>
  <c r="M117" i="8"/>
  <c r="N114" i="8" s="1"/>
  <c r="M120" i="8"/>
  <c r="D165" i="8"/>
  <c r="C172" i="8"/>
  <c r="L200" i="8"/>
  <c r="L210" i="8" s="1"/>
  <c r="L228" i="8" s="1"/>
  <c r="L122" i="8"/>
  <c r="N111" i="8"/>
  <c r="M115" i="8" s="1"/>
  <c r="P102" i="8"/>
  <c r="P103" i="8"/>
  <c r="P99" i="8"/>
  <c r="P100" i="8"/>
  <c r="Q97" i="8" s="1"/>
  <c r="J135" i="8"/>
  <c r="J187" i="8"/>
  <c r="J193" i="8" s="1"/>
  <c r="J217" i="8" s="1"/>
  <c r="J133" i="8"/>
  <c r="J134" i="8" s="1"/>
  <c r="N105" i="4"/>
  <c r="N107" i="4" s="1"/>
  <c r="Q86" i="4"/>
  <c r="Q87" i="4" s="1"/>
  <c r="P221" i="4"/>
  <c r="P93" i="4"/>
  <c r="K131" i="8" l="1"/>
  <c r="J138" i="8"/>
  <c r="R93" i="8"/>
  <c r="F162" i="8"/>
  <c r="E166" i="8" s="1"/>
  <c r="L124" i="8"/>
  <c r="N119" i="8"/>
  <c r="N120" i="8"/>
  <c r="R221" i="8"/>
  <c r="S86" i="8"/>
  <c r="M121" i="8"/>
  <c r="M200" i="8" s="1"/>
  <c r="M210" i="8" s="1"/>
  <c r="M228" i="8" s="1"/>
  <c r="G152" i="8"/>
  <c r="G188" i="8"/>
  <c r="G194" i="8" s="1"/>
  <c r="G218" i="8" s="1"/>
  <c r="G150" i="8"/>
  <c r="G151" i="8" s="1"/>
  <c r="P104" i="8"/>
  <c r="P199" i="8" s="1"/>
  <c r="P209" i="8" s="1"/>
  <c r="P227" i="8" s="1"/>
  <c r="M118" i="8"/>
  <c r="M122" i="8" s="1"/>
  <c r="M186" i="8"/>
  <c r="M196" i="8" s="1"/>
  <c r="M220" i="8" s="1"/>
  <c r="O108" i="8"/>
  <c r="O109" i="8" s="1"/>
  <c r="O110" i="8"/>
  <c r="C203" i="8"/>
  <c r="C206" i="8" s="1"/>
  <c r="C224" i="8" s="1"/>
  <c r="D168" i="8"/>
  <c r="E165" i="8" s="1"/>
  <c r="D170" i="8"/>
  <c r="D172" i="8"/>
  <c r="D171" i="8"/>
  <c r="D167" i="8"/>
  <c r="I142" i="8"/>
  <c r="I143" i="8" s="1"/>
  <c r="I144" i="8" s="1"/>
  <c r="Q103" i="8"/>
  <c r="Q102" i="8"/>
  <c r="C173" i="8"/>
  <c r="N108" i="4"/>
  <c r="N109" i="4" s="1"/>
  <c r="N110" i="4" s="1"/>
  <c r="P94" i="4"/>
  <c r="O98" i="4" s="1"/>
  <c r="M124" i="8" l="1"/>
  <c r="I145" i="8"/>
  <c r="H149" i="8" s="1"/>
  <c r="H148" i="8"/>
  <c r="G155" i="8"/>
  <c r="E167" i="8"/>
  <c r="E170" i="8"/>
  <c r="E171" i="8"/>
  <c r="E168" i="8"/>
  <c r="F165" i="8" s="1"/>
  <c r="D203" i="8"/>
  <c r="D206" i="8" s="1"/>
  <c r="D224" i="8" s="1"/>
  <c r="O111" i="8"/>
  <c r="N115" i="8" s="1"/>
  <c r="D173" i="8"/>
  <c r="S87" i="8"/>
  <c r="S88" i="8" s="1"/>
  <c r="R94" i="8"/>
  <c r="Q98" i="8" s="1"/>
  <c r="L125" i="8"/>
  <c r="L126" i="8" s="1"/>
  <c r="L127" i="8"/>
  <c r="P105" i="8"/>
  <c r="C175" i="8"/>
  <c r="D175" i="8"/>
  <c r="E169" i="8"/>
  <c r="E189" i="8"/>
  <c r="E192" i="8" s="1"/>
  <c r="E216" i="8" s="1"/>
  <c r="J201" i="8"/>
  <c r="J207" i="8" s="1"/>
  <c r="J225" i="8" s="1"/>
  <c r="J139" i="8"/>
  <c r="K136" i="8"/>
  <c r="K137" i="8"/>
  <c r="Q90" i="4"/>
  <c r="Q91" i="4" s="1"/>
  <c r="Q88" i="4"/>
  <c r="Q89" i="4" s="1"/>
  <c r="O101" i="4"/>
  <c r="O185" i="4"/>
  <c r="O195" i="4" s="1"/>
  <c r="O219" i="4" s="1"/>
  <c r="O99" i="4"/>
  <c r="O100" i="4" s="1"/>
  <c r="N118" i="8" l="1"/>
  <c r="N186" i="8"/>
  <c r="N196" i="8" s="1"/>
  <c r="N220" i="8" s="1"/>
  <c r="N116" i="8"/>
  <c r="N117" i="8"/>
  <c r="H202" i="8"/>
  <c r="H208" i="8" s="1"/>
  <c r="H226" i="8" s="1"/>
  <c r="G202" i="8"/>
  <c r="G208" i="8" s="1"/>
  <c r="G226" i="8" s="1"/>
  <c r="H150" i="8"/>
  <c r="H151" i="8"/>
  <c r="I148" i="8" s="1"/>
  <c r="H154" i="8"/>
  <c r="H155" i="8"/>
  <c r="H153" i="8"/>
  <c r="S90" i="8"/>
  <c r="S91" i="8" s="1"/>
  <c r="H152" i="8"/>
  <c r="H156" i="8"/>
  <c r="H188" i="8"/>
  <c r="H194" i="8" s="1"/>
  <c r="H218" i="8" s="1"/>
  <c r="P107" i="8"/>
  <c r="J141" i="8"/>
  <c r="F171" i="8"/>
  <c r="F170" i="8"/>
  <c r="M125" i="8"/>
  <c r="M126" i="8" s="1"/>
  <c r="M127" i="8"/>
  <c r="C176" i="8"/>
  <c r="C177" i="8" s="1"/>
  <c r="C178" i="8" s="1"/>
  <c r="C180" i="8" s="1"/>
  <c r="C213" i="8" s="1"/>
  <c r="L128" i="8"/>
  <c r="K132" i="8" s="1"/>
  <c r="E172" i="8"/>
  <c r="D176" i="8"/>
  <c r="D177" i="8" s="1"/>
  <c r="S89" i="8"/>
  <c r="Q101" i="8"/>
  <c r="Q185" i="8"/>
  <c r="Q195" i="8" s="1"/>
  <c r="Q219" i="8" s="1"/>
  <c r="Q100" i="8"/>
  <c r="Q99" i="8"/>
  <c r="G156" i="8"/>
  <c r="Q93" i="4"/>
  <c r="P97" i="4"/>
  <c r="O104" i="4"/>
  <c r="Q221" i="4"/>
  <c r="R86" i="4"/>
  <c r="R87" i="4" s="1"/>
  <c r="S93" i="8" l="1"/>
  <c r="C239" i="8"/>
  <c r="C247" i="8" s="1"/>
  <c r="C230" i="8"/>
  <c r="C240" i="8" s="1"/>
  <c r="C248" i="8" s="1"/>
  <c r="Q105" i="8"/>
  <c r="R97" i="8"/>
  <c r="Q104" i="8"/>
  <c r="Q199" i="8" s="1"/>
  <c r="Q209" i="8" s="1"/>
  <c r="Q227" i="8" s="1"/>
  <c r="M128" i="8"/>
  <c r="L132" i="8" s="1"/>
  <c r="I154" i="8"/>
  <c r="I153" i="8"/>
  <c r="E173" i="8"/>
  <c r="E203" i="8"/>
  <c r="E206" i="8" s="1"/>
  <c r="E224" i="8" s="1"/>
  <c r="J142" i="8"/>
  <c r="J143" i="8" s="1"/>
  <c r="J144" i="8" s="1"/>
  <c r="G158" i="8"/>
  <c r="H158" i="8"/>
  <c r="K135" i="8"/>
  <c r="K187" i="8"/>
  <c r="K193" i="8" s="1"/>
  <c r="K217" i="8" s="1"/>
  <c r="K133" i="8"/>
  <c r="K134" i="8"/>
  <c r="P108" i="8"/>
  <c r="P109" i="8" s="1"/>
  <c r="P110" i="8" s="1"/>
  <c r="S221" i="8"/>
  <c r="T86" i="8"/>
  <c r="D178" i="8"/>
  <c r="D180" i="8" s="1"/>
  <c r="D213" i="8" s="1"/>
  <c r="O114" i="8"/>
  <c r="N121" i="8"/>
  <c r="N200" i="8" s="1"/>
  <c r="N210" i="8" s="1"/>
  <c r="N228" i="8" s="1"/>
  <c r="O199" i="4"/>
  <c r="O209" i="4" s="1"/>
  <c r="O227" i="4" s="1"/>
  <c r="O105" i="4"/>
  <c r="P102" i="4"/>
  <c r="P103" i="4"/>
  <c r="Q94" i="4"/>
  <c r="P98" i="4" s="1"/>
  <c r="P99" i="4" s="1"/>
  <c r="P100" i="4" s="1"/>
  <c r="J145" i="8" l="1"/>
  <c r="I149" i="8" s="1"/>
  <c r="P111" i="8"/>
  <c r="O115" i="8" s="1"/>
  <c r="Q107" i="8"/>
  <c r="T87" i="8"/>
  <c r="L131" i="8"/>
  <c r="K138" i="8"/>
  <c r="K201" i="8" s="1"/>
  <c r="K207" i="8" s="1"/>
  <c r="K225" i="8" s="1"/>
  <c r="R103" i="8"/>
  <c r="R102" i="8"/>
  <c r="D239" i="8"/>
  <c r="D247" i="8" s="1"/>
  <c r="D230" i="8"/>
  <c r="D240" i="8" s="1"/>
  <c r="D248" i="8" s="1"/>
  <c r="N122" i="8"/>
  <c r="O120" i="8"/>
  <c r="O116" i="8"/>
  <c r="O117" i="8" s="1"/>
  <c r="O119" i="8"/>
  <c r="E175" i="8"/>
  <c r="G159" i="8"/>
  <c r="G160" i="8" s="1"/>
  <c r="G161" i="8" s="1"/>
  <c r="L135" i="8"/>
  <c r="L187" i="8"/>
  <c r="L193" i="8" s="1"/>
  <c r="L217" i="8" s="1"/>
  <c r="H159" i="8"/>
  <c r="H160" i="8" s="1"/>
  <c r="H161" i="8"/>
  <c r="S94" i="8"/>
  <c r="R98" i="8" s="1"/>
  <c r="Q97" i="4"/>
  <c r="P104" i="4"/>
  <c r="P199" i="4" s="1"/>
  <c r="P209" i="4" s="1"/>
  <c r="P227" i="4" s="1"/>
  <c r="O107" i="4"/>
  <c r="R90" i="4"/>
  <c r="R91" i="4" s="1"/>
  <c r="P101" i="4"/>
  <c r="P185" i="4"/>
  <c r="P195" i="4" s="1"/>
  <c r="P219" i="4" s="1"/>
  <c r="R88" i="4"/>
  <c r="R89" i="4" s="1"/>
  <c r="G162" i="8" l="1"/>
  <c r="F166" i="8" s="1"/>
  <c r="P114" i="8"/>
  <c r="O121" i="8"/>
  <c r="O200" i="8" s="1"/>
  <c r="O210" i="8" s="1"/>
  <c r="O228" i="8" s="1"/>
  <c r="R101" i="8"/>
  <c r="R185" i="8"/>
  <c r="R195" i="8" s="1"/>
  <c r="R219" i="8" s="1"/>
  <c r="L133" i="8"/>
  <c r="L136" i="8"/>
  <c r="L137" i="8"/>
  <c r="L134" i="8"/>
  <c r="M131" i="8" s="1"/>
  <c r="T90" i="8"/>
  <c r="T91" i="8"/>
  <c r="Q108" i="8"/>
  <c r="Q109" i="8" s="1"/>
  <c r="Q110" i="8" s="1"/>
  <c r="O118" i="8"/>
  <c r="O122" i="8"/>
  <c r="O124" i="8" s="1"/>
  <c r="O186" i="8"/>
  <c r="O196" i="8" s="1"/>
  <c r="O220" i="8" s="1"/>
  <c r="H162" i="8"/>
  <c r="G166" i="8" s="1"/>
  <c r="T89" i="8"/>
  <c r="N124" i="8"/>
  <c r="T88" i="8"/>
  <c r="R99" i="8"/>
  <c r="K139" i="8"/>
  <c r="R100" i="8"/>
  <c r="E176" i="8"/>
  <c r="E177" i="8" s="1"/>
  <c r="E178" i="8" s="1"/>
  <c r="E180" i="8" s="1"/>
  <c r="E213" i="8" s="1"/>
  <c r="I152" i="8"/>
  <c r="I188" i="8"/>
  <c r="I194" i="8" s="1"/>
  <c r="I218" i="8" s="1"/>
  <c r="I150" i="8"/>
  <c r="I151" i="8" s="1"/>
  <c r="P105" i="4"/>
  <c r="P107" i="4" s="1"/>
  <c r="P108" i="4" s="1"/>
  <c r="P109" i="4" s="1"/>
  <c r="R221" i="4"/>
  <c r="S86" i="4"/>
  <c r="S87" i="4" s="1"/>
  <c r="R93" i="4"/>
  <c r="O108" i="4"/>
  <c r="O109" i="4" s="1"/>
  <c r="O110" i="4" s="1"/>
  <c r="Q102" i="4"/>
  <c r="Q103" i="4"/>
  <c r="Q111" i="8" l="1"/>
  <c r="P115" i="8" s="1"/>
  <c r="E239" i="8"/>
  <c r="E247" i="8" s="1"/>
  <c r="E230" i="8"/>
  <c r="E240" i="8" s="1"/>
  <c r="E248" i="8" s="1"/>
  <c r="L139" i="8"/>
  <c r="J148" i="8"/>
  <c r="I155" i="8"/>
  <c r="O125" i="8"/>
  <c r="O126" i="8" s="1"/>
  <c r="U86" i="8"/>
  <c r="T221" i="8"/>
  <c r="G169" i="8"/>
  <c r="M137" i="8"/>
  <c r="M136" i="8"/>
  <c r="S97" i="8"/>
  <c r="R104" i="8"/>
  <c r="R199" i="8" s="1"/>
  <c r="R209" i="8" s="1"/>
  <c r="R227" i="8" s="1"/>
  <c r="P120" i="8"/>
  <c r="P119" i="8"/>
  <c r="P117" i="8"/>
  <c r="Q114" i="8" s="1"/>
  <c r="P116" i="8"/>
  <c r="T93" i="8"/>
  <c r="K141" i="8"/>
  <c r="L141" i="8"/>
  <c r="F169" i="8"/>
  <c r="F189" i="8"/>
  <c r="F192" i="8" s="1"/>
  <c r="F216" i="8" s="1"/>
  <c r="G189" i="8"/>
  <c r="G192" i="8" s="1"/>
  <c r="G216" i="8" s="1"/>
  <c r="F167" i="8"/>
  <c r="F168" i="8" s="1"/>
  <c r="N125" i="8"/>
  <c r="N126" i="8" s="1"/>
  <c r="N127" i="8" s="1"/>
  <c r="L138" i="8"/>
  <c r="L201" i="8" s="1"/>
  <c r="L207" i="8" s="1"/>
  <c r="L225" i="8" s="1"/>
  <c r="P110" i="4"/>
  <c r="R94" i="4"/>
  <c r="Q98" i="4" s="1"/>
  <c r="S88" i="4"/>
  <c r="N128" i="8" l="1"/>
  <c r="M132" i="8" s="1"/>
  <c r="G165" i="8"/>
  <c r="F172" i="8"/>
  <c r="J153" i="8"/>
  <c r="J154" i="8"/>
  <c r="Q120" i="8"/>
  <c r="Q119" i="8"/>
  <c r="O127" i="8"/>
  <c r="I202" i="8"/>
  <c r="I208" i="8" s="1"/>
  <c r="I226" i="8" s="1"/>
  <c r="I156" i="8"/>
  <c r="R105" i="8"/>
  <c r="T94" i="8"/>
  <c r="S98" i="8" s="1"/>
  <c r="L142" i="8"/>
  <c r="L143" i="8" s="1"/>
  <c r="L144" i="8" s="1"/>
  <c r="U87" i="8"/>
  <c r="U88" i="8" s="1"/>
  <c r="S103" i="8"/>
  <c r="S102" i="8"/>
  <c r="S99" i="8"/>
  <c r="S100" i="8" s="1"/>
  <c r="K142" i="8"/>
  <c r="K143" i="8" s="1"/>
  <c r="K144" i="8"/>
  <c r="P121" i="8"/>
  <c r="P200" i="8" s="1"/>
  <c r="P210" i="8" s="1"/>
  <c r="P228" i="8" s="1"/>
  <c r="P118" i="8"/>
  <c r="P122" i="8"/>
  <c r="P186" i="8"/>
  <c r="P196" i="8" s="1"/>
  <c r="P220" i="8" s="1"/>
  <c r="S89" i="4"/>
  <c r="S90" i="4"/>
  <c r="S91" i="4" s="1"/>
  <c r="Q101" i="4"/>
  <c r="Q185" i="4"/>
  <c r="Q195" i="4" s="1"/>
  <c r="Q219" i="4" s="1"/>
  <c r="Q99" i="4"/>
  <c r="Q100" i="4" s="1"/>
  <c r="T97" i="8" l="1"/>
  <c r="S104" i="8"/>
  <c r="S199" i="8" s="1"/>
  <c r="S209" i="8" s="1"/>
  <c r="S227" i="8" s="1"/>
  <c r="L145" i="8"/>
  <c r="K149" i="8" s="1"/>
  <c r="I158" i="8"/>
  <c r="F203" i="8"/>
  <c r="F206" i="8" s="1"/>
  <c r="F224" i="8" s="1"/>
  <c r="U89" i="8"/>
  <c r="O128" i="8"/>
  <c r="N132" i="8" s="1"/>
  <c r="F173" i="8"/>
  <c r="M135" i="8"/>
  <c r="M187" i="8"/>
  <c r="M193" i="8" s="1"/>
  <c r="M217" i="8" s="1"/>
  <c r="M133" i="8"/>
  <c r="M134" i="8" s="1"/>
  <c r="R107" i="8"/>
  <c r="U90" i="8"/>
  <c r="U91" i="8"/>
  <c r="U93" i="8" s="1"/>
  <c r="P124" i="8"/>
  <c r="G171" i="8"/>
  <c r="G170" i="8"/>
  <c r="G167" i="8"/>
  <c r="G168" i="8" s="1"/>
  <c r="K145" i="8"/>
  <c r="J149" i="8" s="1"/>
  <c r="S101" i="8"/>
  <c r="S105" i="8" s="1"/>
  <c r="S185" i="8"/>
  <c r="S195" i="8" s="1"/>
  <c r="S219" i="8" s="1"/>
  <c r="R97" i="4"/>
  <c r="Q104" i="4"/>
  <c r="Q199" i="4" s="1"/>
  <c r="Q209" i="4" s="1"/>
  <c r="Q227" i="4" s="1"/>
  <c r="S93" i="4"/>
  <c r="S221" i="4"/>
  <c r="T86" i="4"/>
  <c r="T87" i="4" s="1"/>
  <c r="N131" i="8" l="1"/>
  <c r="M138" i="8"/>
  <c r="M201" i="8" s="1"/>
  <c r="M207" i="8" s="1"/>
  <c r="M225" i="8" s="1"/>
  <c r="M139" i="8"/>
  <c r="S107" i="8"/>
  <c r="H165" i="8"/>
  <c r="G172" i="8"/>
  <c r="G173" i="8"/>
  <c r="F175" i="8"/>
  <c r="G175" i="8"/>
  <c r="U221" i="8"/>
  <c r="V86" i="8"/>
  <c r="I159" i="8"/>
  <c r="I160" i="8" s="1"/>
  <c r="I161" i="8" s="1"/>
  <c r="R108" i="8"/>
  <c r="R109" i="8" s="1"/>
  <c r="R110" i="8" s="1"/>
  <c r="N135" i="8"/>
  <c r="N187" i="8"/>
  <c r="N193" i="8" s="1"/>
  <c r="N217" i="8" s="1"/>
  <c r="U94" i="8"/>
  <c r="T98" i="8" s="1"/>
  <c r="P125" i="8"/>
  <c r="P126" i="8" s="1"/>
  <c r="P127" i="8" s="1"/>
  <c r="K152" i="8"/>
  <c r="K188" i="8"/>
  <c r="K194" i="8" s="1"/>
  <c r="K218" i="8" s="1"/>
  <c r="J152" i="8"/>
  <c r="J188" i="8"/>
  <c r="J194" i="8" s="1"/>
  <c r="J218" i="8" s="1"/>
  <c r="J150" i="8"/>
  <c r="J151" i="8" s="1"/>
  <c r="T103" i="8"/>
  <c r="T99" i="8"/>
  <c r="T102" i="8"/>
  <c r="Q105" i="4"/>
  <c r="Q107" i="4" s="1"/>
  <c r="R102" i="4"/>
  <c r="R103" i="4"/>
  <c r="S94" i="4"/>
  <c r="R98" i="4" s="1"/>
  <c r="R99" i="4" s="1"/>
  <c r="R100" i="4" s="1"/>
  <c r="S97" i="4" s="1"/>
  <c r="K148" i="8" l="1"/>
  <c r="J155" i="8"/>
  <c r="I162" i="8"/>
  <c r="H166" i="8" s="1"/>
  <c r="P128" i="8"/>
  <c r="O132" i="8" s="1"/>
  <c r="R111" i="8"/>
  <c r="Q115" i="8" s="1"/>
  <c r="G176" i="8"/>
  <c r="G177" i="8" s="1"/>
  <c r="G178" i="8" s="1"/>
  <c r="G180" i="8" s="1"/>
  <c r="G213" i="8" s="1"/>
  <c r="T101" i="8"/>
  <c r="T185" i="8"/>
  <c r="T195" i="8" s="1"/>
  <c r="T219" i="8" s="1"/>
  <c r="F176" i="8"/>
  <c r="F177" i="8" s="1"/>
  <c r="F178" i="8" s="1"/>
  <c r="F180" i="8" s="1"/>
  <c r="F213" i="8" s="1"/>
  <c r="H171" i="8"/>
  <c r="H167" i="8"/>
  <c r="H170" i="8"/>
  <c r="S108" i="8"/>
  <c r="S109" i="8" s="1"/>
  <c r="S110" i="8"/>
  <c r="M141" i="8"/>
  <c r="G203" i="8"/>
  <c r="G206" i="8" s="1"/>
  <c r="G224" i="8" s="1"/>
  <c r="T100" i="8"/>
  <c r="V87" i="8"/>
  <c r="N133" i="8"/>
  <c r="N137" i="8"/>
  <c r="N134" i="8"/>
  <c r="O131" i="8" s="1"/>
  <c r="N138" i="8"/>
  <c r="N201" i="8" s="1"/>
  <c r="N207" i="8" s="1"/>
  <c r="N225" i="8" s="1"/>
  <c r="N136" i="8"/>
  <c r="N139" i="8" s="1"/>
  <c r="R104" i="4"/>
  <c r="R199" i="4" s="1"/>
  <c r="R209" i="4" s="1"/>
  <c r="R227" i="4" s="1"/>
  <c r="S103" i="4"/>
  <c r="S102" i="4"/>
  <c r="R101" i="4"/>
  <c r="R185" i="4"/>
  <c r="R195" i="4" s="1"/>
  <c r="R219" i="4" s="1"/>
  <c r="T90" i="4"/>
  <c r="T91" i="4" s="1"/>
  <c r="T93" i="4" s="1"/>
  <c r="T88" i="4"/>
  <c r="T89" i="4" s="1"/>
  <c r="Q108" i="4"/>
  <c r="Q109" i="4" s="1"/>
  <c r="Q110" i="4" s="1"/>
  <c r="N141" i="8" l="1"/>
  <c r="F239" i="8"/>
  <c r="F247" i="8" s="1"/>
  <c r="F230" i="8"/>
  <c r="F240" i="8" s="1"/>
  <c r="F248" i="8" s="1"/>
  <c r="G239" i="8"/>
  <c r="G247" i="8" s="1"/>
  <c r="G230" i="8"/>
  <c r="G240" i="8" s="1"/>
  <c r="G248" i="8" s="1"/>
  <c r="S111" i="8"/>
  <c r="U97" i="8"/>
  <c r="T104" i="8"/>
  <c r="T199" i="8" s="1"/>
  <c r="T209" i="8" s="1"/>
  <c r="T227" i="8" s="1"/>
  <c r="O135" i="8"/>
  <c r="O187" i="8"/>
  <c r="O193" i="8" s="1"/>
  <c r="O217" i="8" s="1"/>
  <c r="O133" i="8"/>
  <c r="O134" i="8" s="1"/>
  <c r="O137" i="8"/>
  <c r="O136" i="8"/>
  <c r="H169" i="8"/>
  <c r="H189" i="8"/>
  <c r="H192" i="8" s="1"/>
  <c r="H216" i="8" s="1"/>
  <c r="V90" i="8"/>
  <c r="V91" i="8"/>
  <c r="V93" i="8" s="1"/>
  <c r="Q118" i="8"/>
  <c r="Q186" i="8"/>
  <c r="Q196" i="8" s="1"/>
  <c r="Q220" i="8" s="1"/>
  <c r="Q116" i="8"/>
  <c r="Q117" i="8" s="1"/>
  <c r="J202" i="8"/>
  <c r="J208" i="8" s="1"/>
  <c r="J226" i="8" s="1"/>
  <c r="J156" i="8"/>
  <c r="H168" i="8"/>
  <c r="V88" i="8"/>
  <c r="V89" i="8" s="1"/>
  <c r="M142" i="8"/>
  <c r="M143" i="8" s="1"/>
  <c r="M144" i="8" s="1"/>
  <c r="K153" i="8"/>
  <c r="K150" i="8"/>
  <c r="K151" i="8" s="1"/>
  <c r="K154" i="8"/>
  <c r="R105" i="4"/>
  <c r="R107" i="4" s="1"/>
  <c r="T94" i="4"/>
  <c r="S98" i="4" s="1"/>
  <c r="T221" i="4"/>
  <c r="U86" i="4"/>
  <c r="U87" i="4" s="1"/>
  <c r="R114" i="8" l="1"/>
  <c r="Q121" i="8"/>
  <c r="V221" i="8"/>
  <c r="W86" i="8"/>
  <c r="P131" i="8"/>
  <c r="O138" i="8"/>
  <c r="O201" i="8" s="1"/>
  <c r="O207" i="8" s="1"/>
  <c r="O225" i="8" s="1"/>
  <c r="L148" i="8"/>
  <c r="K155" i="8"/>
  <c r="K202" i="8" s="1"/>
  <c r="K208" i="8" s="1"/>
  <c r="K226" i="8" s="1"/>
  <c r="M145" i="8"/>
  <c r="L149" i="8" s="1"/>
  <c r="O139" i="8"/>
  <c r="U102" i="8"/>
  <c r="U103" i="8"/>
  <c r="R115" i="8"/>
  <c r="T105" i="8"/>
  <c r="V94" i="8"/>
  <c r="U98" i="8" s="1"/>
  <c r="I165" i="8"/>
  <c r="H172" i="8"/>
  <c r="J158" i="8"/>
  <c r="N142" i="8"/>
  <c r="N143" i="8" s="1"/>
  <c r="N144" i="8" s="1"/>
  <c r="S101" i="4"/>
  <c r="S185" i="4"/>
  <c r="S195" i="4" s="1"/>
  <c r="S219" i="4" s="1"/>
  <c r="S99" i="4"/>
  <c r="S100" i="4" s="1"/>
  <c r="U88" i="4"/>
  <c r="R108" i="4"/>
  <c r="R109" i="4" s="1"/>
  <c r="R110" i="4" s="1"/>
  <c r="N145" i="8" l="1"/>
  <c r="M149" i="8" s="1"/>
  <c r="L152" i="8"/>
  <c r="L188" i="8"/>
  <c r="L194" i="8" s="1"/>
  <c r="L218" i="8" s="1"/>
  <c r="R118" i="8"/>
  <c r="R186" i="8"/>
  <c r="R196" i="8" s="1"/>
  <c r="R220" i="8" s="1"/>
  <c r="O141" i="8"/>
  <c r="I171" i="8"/>
  <c r="I170" i="8"/>
  <c r="U101" i="8"/>
  <c r="U185" i="8"/>
  <c r="U195" i="8" s="1"/>
  <c r="U219" i="8" s="1"/>
  <c r="T107" i="8"/>
  <c r="L153" i="8"/>
  <c r="L150" i="8"/>
  <c r="L151" i="8" s="1"/>
  <c r="L154" i="8"/>
  <c r="W87" i="8"/>
  <c r="J159" i="8"/>
  <c r="J160" i="8" s="1"/>
  <c r="J161" i="8" s="1"/>
  <c r="U99" i="8"/>
  <c r="U100" i="8" s="1"/>
  <c r="Q200" i="8"/>
  <c r="Q210" i="8" s="1"/>
  <c r="Q228" i="8" s="1"/>
  <c r="Q122" i="8"/>
  <c r="H203" i="8"/>
  <c r="H206" i="8" s="1"/>
  <c r="H224" i="8" s="1"/>
  <c r="H173" i="8"/>
  <c r="P137" i="8"/>
  <c r="P136" i="8"/>
  <c r="K156" i="8"/>
  <c r="R119" i="8"/>
  <c r="R120" i="8"/>
  <c r="R116" i="8"/>
  <c r="R117" i="8" s="1"/>
  <c r="U90" i="4"/>
  <c r="U91" i="4" s="1"/>
  <c r="U93" i="4" s="1"/>
  <c r="U89" i="4"/>
  <c r="T97" i="4"/>
  <c r="S104" i="4"/>
  <c r="S199" i="4" s="1"/>
  <c r="S209" i="4" s="1"/>
  <c r="S227" i="4" s="1"/>
  <c r="J162" i="8" l="1"/>
  <c r="I166" i="8" s="1"/>
  <c r="L156" i="8"/>
  <c r="V97" i="8"/>
  <c r="U104" i="8"/>
  <c r="U199" i="8" s="1"/>
  <c r="U209" i="8" s="1"/>
  <c r="U227" i="8" s="1"/>
  <c r="S114" i="8"/>
  <c r="R121" i="8"/>
  <c r="R200" i="8" s="1"/>
  <c r="R210" i="8" s="1"/>
  <c r="R228" i="8" s="1"/>
  <c r="R122" i="8"/>
  <c r="R124" i="8" s="1"/>
  <c r="M148" i="8"/>
  <c r="L155" i="8"/>
  <c r="L202" i="8" s="1"/>
  <c r="L208" i="8" s="1"/>
  <c r="L226" i="8" s="1"/>
  <c r="Q124" i="8"/>
  <c r="T108" i="8"/>
  <c r="T109" i="8" s="1"/>
  <c r="T110" i="8" s="1"/>
  <c r="W90" i="8"/>
  <c r="W91" i="8" s="1"/>
  <c r="W93" i="8" s="1"/>
  <c r="W88" i="8"/>
  <c r="W89" i="8" s="1"/>
  <c r="O142" i="8"/>
  <c r="O143" i="8" s="1"/>
  <c r="O144" i="8"/>
  <c r="L158" i="8"/>
  <c r="K158" i="8"/>
  <c r="H175" i="8"/>
  <c r="M152" i="8"/>
  <c r="M188" i="8"/>
  <c r="M194" i="8" s="1"/>
  <c r="M218" i="8" s="1"/>
  <c r="S105" i="4"/>
  <c r="S107" i="4" s="1"/>
  <c r="U221" i="4"/>
  <c r="V86" i="4"/>
  <c r="V87" i="4" s="1"/>
  <c r="T103" i="4"/>
  <c r="T102" i="4"/>
  <c r="U94" i="4"/>
  <c r="T98" i="4" s="1"/>
  <c r="R125" i="8" l="1"/>
  <c r="R126" i="8" s="1"/>
  <c r="W94" i="8"/>
  <c r="V98" i="8" s="1"/>
  <c r="T111" i="8"/>
  <c r="S115" i="8" s="1"/>
  <c r="S116" i="8" s="1"/>
  <c r="W221" i="8"/>
  <c r="X86" i="8"/>
  <c r="O145" i="8"/>
  <c r="N149" i="8" s="1"/>
  <c r="M154" i="8"/>
  <c r="M153" i="8"/>
  <c r="M150" i="8"/>
  <c r="M151" i="8"/>
  <c r="N148" i="8" s="1"/>
  <c r="M155" i="8"/>
  <c r="M202" i="8" s="1"/>
  <c r="M208" i="8" s="1"/>
  <c r="M226" i="8" s="1"/>
  <c r="L159" i="8"/>
  <c r="L160" i="8" s="1"/>
  <c r="V99" i="8"/>
  <c r="V100" i="8"/>
  <c r="W97" i="8" s="1"/>
  <c r="V102" i="8"/>
  <c r="V103" i="8"/>
  <c r="V104" i="8"/>
  <c r="V199" i="8" s="1"/>
  <c r="V209" i="8" s="1"/>
  <c r="V227" i="8" s="1"/>
  <c r="I169" i="8"/>
  <c r="I189" i="8"/>
  <c r="I192" i="8" s="1"/>
  <c r="I216" i="8" s="1"/>
  <c r="I167" i="8"/>
  <c r="I168" i="8"/>
  <c r="S120" i="8"/>
  <c r="S119" i="8"/>
  <c r="H176" i="8"/>
  <c r="H177" i="8" s="1"/>
  <c r="H178" i="8"/>
  <c r="H180" i="8" s="1"/>
  <c r="H213" i="8" s="1"/>
  <c r="K159" i="8"/>
  <c r="K160" i="8" s="1"/>
  <c r="L161" i="8" s="1"/>
  <c r="K161" i="8"/>
  <c r="Q125" i="8"/>
  <c r="Q126" i="8" s="1"/>
  <c r="R127" i="8" s="1"/>
  <c r="U105" i="8"/>
  <c r="S108" i="4"/>
  <c r="S109" i="4" s="1"/>
  <c r="S110" i="4" s="1"/>
  <c r="T101" i="4"/>
  <c r="T185" i="4"/>
  <c r="T195" i="4" s="1"/>
  <c r="T219" i="4" s="1"/>
  <c r="T99" i="4"/>
  <c r="T100" i="4" s="1"/>
  <c r="V88" i="4"/>
  <c r="U107" i="8" l="1"/>
  <c r="Q127" i="8"/>
  <c r="K162" i="8"/>
  <c r="J166" i="8" s="1"/>
  <c r="V101" i="8"/>
  <c r="V105" i="8"/>
  <c r="V185" i="8"/>
  <c r="V195" i="8" s="1"/>
  <c r="V219" i="8" s="1"/>
  <c r="J165" i="8"/>
  <c r="I172" i="8"/>
  <c r="I203" i="8" s="1"/>
  <c r="I206" i="8" s="1"/>
  <c r="I224" i="8" s="1"/>
  <c r="N152" i="8"/>
  <c r="N188" i="8"/>
  <c r="N194" i="8" s="1"/>
  <c r="N218" i="8" s="1"/>
  <c r="W102" i="8"/>
  <c r="W103" i="8"/>
  <c r="H239" i="8"/>
  <c r="H247" i="8" s="1"/>
  <c r="H230" i="8"/>
  <c r="H240" i="8" s="1"/>
  <c r="H248" i="8" s="1"/>
  <c r="S117" i="8"/>
  <c r="N154" i="8"/>
  <c r="N153" i="8"/>
  <c r="N150" i="8"/>
  <c r="N151" i="8"/>
  <c r="O148" i="8" s="1"/>
  <c r="X87" i="8"/>
  <c r="S118" i="8"/>
  <c r="S186" i="8"/>
  <c r="S196" i="8" s="1"/>
  <c r="S220" i="8" s="1"/>
  <c r="M156" i="8"/>
  <c r="U97" i="4"/>
  <c r="T104" i="4"/>
  <c r="T199" i="4" s="1"/>
  <c r="T209" i="4" s="1"/>
  <c r="T227" i="4" s="1"/>
  <c r="V90" i="4"/>
  <c r="V91" i="4" s="1"/>
  <c r="V93" i="4" s="1"/>
  <c r="V89" i="4"/>
  <c r="X91" i="8" l="1"/>
  <c r="X93" i="8" s="1"/>
  <c r="X90" i="8"/>
  <c r="O153" i="8"/>
  <c r="O154" i="8"/>
  <c r="V107" i="8"/>
  <c r="X88" i="8"/>
  <c r="X89" i="8" s="1"/>
  <c r="J169" i="8"/>
  <c r="J189" i="8"/>
  <c r="J192" i="8" s="1"/>
  <c r="J216" i="8" s="1"/>
  <c r="Q128" i="8"/>
  <c r="L162" i="8"/>
  <c r="K166" i="8" s="1"/>
  <c r="U108" i="8"/>
  <c r="U109" i="8" s="1"/>
  <c r="U110" i="8" s="1"/>
  <c r="N155" i="8"/>
  <c r="N202" i="8" s="1"/>
  <c r="N208" i="8" s="1"/>
  <c r="N226" i="8" s="1"/>
  <c r="M158" i="8"/>
  <c r="T114" i="8"/>
  <c r="S121" i="8"/>
  <c r="S200" i="8" s="1"/>
  <c r="S210" i="8" s="1"/>
  <c r="S228" i="8" s="1"/>
  <c r="J167" i="8"/>
  <c r="J171" i="8"/>
  <c r="J168" i="8"/>
  <c r="K165" i="8" s="1"/>
  <c r="J170" i="8"/>
  <c r="I173" i="8"/>
  <c r="T105" i="4"/>
  <c r="T107" i="4" s="1"/>
  <c r="V94" i="4"/>
  <c r="U98" i="4" s="1"/>
  <c r="U99" i="4" s="1"/>
  <c r="U100" i="4" s="1"/>
  <c r="U102" i="4"/>
  <c r="U103" i="4"/>
  <c r="V221" i="4"/>
  <c r="W86" i="4"/>
  <c r="W87" i="4" s="1"/>
  <c r="U111" i="8" l="1"/>
  <c r="T115" i="8" s="1"/>
  <c r="Y86" i="8"/>
  <c r="X221" i="8"/>
  <c r="M159" i="8"/>
  <c r="M160" i="8" s="1"/>
  <c r="M161" i="8" s="1"/>
  <c r="V108" i="8"/>
  <c r="V109" i="8" s="1"/>
  <c r="V110" i="8" s="1"/>
  <c r="I175" i="8"/>
  <c r="K170" i="8"/>
  <c r="K167" i="8"/>
  <c r="K168" i="8" s="1"/>
  <c r="K171" i="8"/>
  <c r="X94" i="8"/>
  <c r="W98" i="8" s="1"/>
  <c r="S122" i="8"/>
  <c r="K169" i="8"/>
  <c r="K189" i="8"/>
  <c r="K192" i="8" s="1"/>
  <c r="K216" i="8" s="1"/>
  <c r="P132" i="8"/>
  <c r="R128" i="8"/>
  <c r="J172" i="8"/>
  <c r="J203" i="8" s="1"/>
  <c r="J206" i="8" s="1"/>
  <c r="J224" i="8" s="1"/>
  <c r="T119" i="8"/>
  <c r="T116" i="8"/>
  <c r="T117" i="8" s="1"/>
  <c r="T120" i="8"/>
  <c r="N156" i="8"/>
  <c r="V97" i="4"/>
  <c r="U104" i="4"/>
  <c r="U199" i="4" s="1"/>
  <c r="U209" i="4" s="1"/>
  <c r="U227" i="4" s="1"/>
  <c r="T108" i="4"/>
  <c r="T109" i="4" s="1"/>
  <c r="T110" i="4" s="1"/>
  <c r="U101" i="4"/>
  <c r="U185" i="4"/>
  <c r="U195" i="4" s="1"/>
  <c r="U219" i="4" s="1"/>
  <c r="V111" i="8" l="1"/>
  <c r="U115" i="8" s="1"/>
  <c r="L165" i="8"/>
  <c r="K172" i="8"/>
  <c r="K203" i="8" s="1"/>
  <c r="K206" i="8" s="1"/>
  <c r="K224" i="8" s="1"/>
  <c r="U114" i="8"/>
  <c r="T121" i="8"/>
  <c r="T200" i="8" s="1"/>
  <c r="T210" i="8" s="1"/>
  <c r="T228" i="8" s="1"/>
  <c r="M162" i="8"/>
  <c r="L166" i="8" s="1"/>
  <c r="I176" i="8"/>
  <c r="I177" i="8" s="1"/>
  <c r="I178" i="8" s="1"/>
  <c r="I180" i="8" s="1"/>
  <c r="I213" i="8" s="1"/>
  <c r="N158" i="8"/>
  <c r="S124" i="8"/>
  <c r="J173" i="8"/>
  <c r="Y87" i="8"/>
  <c r="Y88" i="8" s="1"/>
  <c r="T118" i="8"/>
  <c r="T122" i="8"/>
  <c r="T124" i="8" s="1"/>
  <c r="T186" i="8"/>
  <c r="T196" i="8" s="1"/>
  <c r="T220" i="8" s="1"/>
  <c r="W101" i="8"/>
  <c r="W185" i="8"/>
  <c r="W195" i="8" s="1"/>
  <c r="W219" i="8" s="1"/>
  <c r="W99" i="8"/>
  <c r="W100" i="8" s="1"/>
  <c r="P135" i="8"/>
  <c r="P187" i="8"/>
  <c r="P193" i="8" s="1"/>
  <c r="P217" i="8" s="1"/>
  <c r="P133" i="8"/>
  <c r="P134" i="8"/>
  <c r="U105" i="4"/>
  <c r="V102" i="4"/>
  <c r="V103" i="4"/>
  <c r="W90" i="4"/>
  <c r="W91" i="4" s="1"/>
  <c r="W93" i="4" s="1"/>
  <c r="W88" i="4"/>
  <c r="W89" i="4" s="1"/>
  <c r="X97" i="8" l="1"/>
  <c r="W104" i="8"/>
  <c r="W199" i="8" s="1"/>
  <c r="W209" i="8" s="1"/>
  <c r="W227" i="8" s="1"/>
  <c r="I239" i="8"/>
  <c r="I247" i="8" s="1"/>
  <c r="I230" i="8"/>
  <c r="I240" i="8" s="1"/>
  <c r="I248" i="8" s="1"/>
  <c r="P139" i="8"/>
  <c r="W105" i="8"/>
  <c r="T125" i="8"/>
  <c r="T126" i="8" s="1"/>
  <c r="T127" i="8"/>
  <c r="U118" i="8"/>
  <c r="U186" i="8"/>
  <c r="U196" i="8" s="1"/>
  <c r="U220" i="8" s="1"/>
  <c r="Q131" i="8"/>
  <c r="P138" i="8"/>
  <c r="P201" i="8" s="1"/>
  <c r="P207" i="8" s="1"/>
  <c r="P225" i="8" s="1"/>
  <c r="U116" i="8"/>
  <c r="U120" i="8"/>
  <c r="U117" i="8"/>
  <c r="V114" i="8" s="1"/>
  <c r="U119" i="8"/>
  <c r="K175" i="8"/>
  <c r="J175" i="8"/>
  <c r="L171" i="8"/>
  <c r="L168" i="8"/>
  <c r="M165" i="8" s="1"/>
  <c r="L170" i="8"/>
  <c r="L167" i="8"/>
  <c r="S125" i="8"/>
  <c r="S126" i="8" s="1"/>
  <c r="S127" i="8" s="1"/>
  <c r="L169" i="8"/>
  <c r="L189" i="8"/>
  <c r="L192" i="8" s="1"/>
  <c r="L216" i="8" s="1"/>
  <c r="Y90" i="8"/>
  <c r="Y91" i="8"/>
  <c r="Y93" i="8" s="1"/>
  <c r="Y89" i="8"/>
  <c r="N159" i="8"/>
  <c r="N160" i="8" s="1"/>
  <c r="N161" i="8" s="1"/>
  <c r="K173" i="8"/>
  <c r="W94" i="4"/>
  <c r="V98" i="4" s="1"/>
  <c r="W221" i="4"/>
  <c r="X86" i="4"/>
  <c r="X87" i="4" s="1"/>
  <c r="U107" i="4"/>
  <c r="S128" i="8" l="1"/>
  <c r="N162" i="8"/>
  <c r="M166" i="8" s="1"/>
  <c r="M171" i="8"/>
  <c r="M170" i="8"/>
  <c r="M167" i="8"/>
  <c r="M168" i="8"/>
  <c r="N165" i="8" s="1"/>
  <c r="K176" i="8"/>
  <c r="K177" i="8" s="1"/>
  <c r="K178" i="8" s="1"/>
  <c r="K180" i="8" s="1"/>
  <c r="K213" i="8" s="1"/>
  <c r="V120" i="8"/>
  <c r="V119" i="8"/>
  <c r="P141" i="8"/>
  <c r="J176" i="8"/>
  <c r="J177" i="8" s="1"/>
  <c r="J178" i="8"/>
  <c r="J180" i="8" s="1"/>
  <c r="J213" i="8" s="1"/>
  <c r="T128" i="8"/>
  <c r="U121" i="8"/>
  <c r="Y221" i="8"/>
  <c r="Z86" i="8"/>
  <c r="Y94" i="8"/>
  <c r="X98" i="8" s="1"/>
  <c r="X99" i="8" s="1"/>
  <c r="X100" i="8" s="1"/>
  <c r="W107" i="8"/>
  <c r="L172" i="8"/>
  <c r="L203" i="8" s="1"/>
  <c r="L206" i="8" s="1"/>
  <c r="L224" i="8" s="1"/>
  <c r="Q137" i="8"/>
  <c r="Q136" i="8"/>
  <c r="Q132" i="8"/>
  <c r="X103" i="8"/>
  <c r="X102" i="8"/>
  <c r="U108" i="4"/>
  <c r="U109" i="4" s="1"/>
  <c r="U110" i="4" s="1"/>
  <c r="X88" i="4"/>
  <c r="X89" i="4" s="1"/>
  <c r="V101" i="4"/>
  <c r="V185" i="4"/>
  <c r="V195" i="4" s="1"/>
  <c r="V219" i="4" s="1"/>
  <c r="V99" i="4"/>
  <c r="V100" i="4" s="1"/>
  <c r="K230" i="8" l="1"/>
  <c r="K240" i="8" s="1"/>
  <c r="K248" i="8" s="1"/>
  <c r="K239" i="8"/>
  <c r="K247" i="8" s="1"/>
  <c r="Y97" i="8"/>
  <c r="X104" i="8"/>
  <c r="X199" i="8" s="1"/>
  <c r="X209" i="8" s="1"/>
  <c r="X227" i="8" s="1"/>
  <c r="M172" i="8"/>
  <c r="M203" i="8" s="1"/>
  <c r="M206" i="8" s="1"/>
  <c r="M224" i="8" s="1"/>
  <c r="P142" i="8"/>
  <c r="P143" i="8" s="1"/>
  <c r="P144" i="8" s="1"/>
  <c r="N170" i="8"/>
  <c r="N171" i="8"/>
  <c r="X101" i="8"/>
  <c r="X105" i="8" s="1"/>
  <c r="X185" i="8"/>
  <c r="X195" i="8" s="1"/>
  <c r="X219" i="8" s="1"/>
  <c r="M169" i="8"/>
  <c r="M173" i="8"/>
  <c r="M189" i="8"/>
  <c r="M192" i="8" s="1"/>
  <c r="M216" i="8" s="1"/>
  <c r="Q135" i="8"/>
  <c r="Q187" i="8"/>
  <c r="Q193" i="8" s="1"/>
  <c r="Q217" i="8" s="1"/>
  <c r="Z87" i="8"/>
  <c r="J230" i="8"/>
  <c r="J240" i="8" s="1"/>
  <c r="J248" i="8" s="1"/>
  <c r="J239" i="8"/>
  <c r="J247" i="8" s="1"/>
  <c r="W108" i="8"/>
  <c r="W109" i="8" s="1"/>
  <c r="W110" i="8" s="1"/>
  <c r="Q133" i="8"/>
  <c r="Q134" i="8" s="1"/>
  <c r="U200" i="8"/>
  <c r="U210" i="8" s="1"/>
  <c r="U228" i="8" s="1"/>
  <c r="U122" i="8"/>
  <c r="L173" i="8"/>
  <c r="X221" i="4"/>
  <c r="Y86" i="4"/>
  <c r="Y87" i="4" s="1"/>
  <c r="W97" i="4"/>
  <c r="V104" i="4"/>
  <c r="X90" i="4"/>
  <c r="X91" i="4" s="1"/>
  <c r="X93" i="4" s="1"/>
  <c r="W111" i="8" l="1"/>
  <c r="V115" i="8" s="1"/>
  <c r="X107" i="8"/>
  <c r="P145" i="8"/>
  <c r="O149" i="8" s="1"/>
  <c r="L175" i="8"/>
  <c r="M175" i="8"/>
  <c r="Y103" i="8"/>
  <c r="Y102" i="8"/>
  <c r="U124" i="8"/>
  <c r="Z90" i="8"/>
  <c r="Z91" i="8"/>
  <c r="Z93" i="8" s="1"/>
  <c r="R131" i="8"/>
  <c r="Q138" i="8"/>
  <c r="Q201" i="8" s="1"/>
  <c r="Q207" i="8" s="1"/>
  <c r="Q225" i="8" s="1"/>
  <c r="Z88" i="8"/>
  <c r="Z89" i="8" s="1"/>
  <c r="V199" i="4"/>
  <c r="V209" i="4" s="1"/>
  <c r="V227" i="4" s="1"/>
  <c r="V105" i="4"/>
  <c r="X94" i="4"/>
  <c r="W98" i="4" s="1"/>
  <c r="W99" i="4" s="1"/>
  <c r="W100" i="4" s="1"/>
  <c r="W102" i="4"/>
  <c r="W103" i="4"/>
  <c r="M176" i="8" l="1"/>
  <c r="M177" i="8" s="1"/>
  <c r="Z94" i="8"/>
  <c r="Y98" i="8" s="1"/>
  <c r="O152" i="8"/>
  <c r="O188" i="8"/>
  <c r="O194" i="8" s="1"/>
  <c r="O218" i="8" s="1"/>
  <c r="O150" i="8"/>
  <c r="O151" i="8"/>
  <c r="U125" i="8"/>
  <c r="U126" i="8" s="1"/>
  <c r="U127" i="8"/>
  <c r="X108" i="8"/>
  <c r="X109" i="8" s="1"/>
  <c r="X110" i="8" s="1"/>
  <c r="Z221" i="8"/>
  <c r="AA86" i="8"/>
  <c r="L176" i="8"/>
  <c r="L177" i="8" s="1"/>
  <c r="M178" i="8" s="1"/>
  <c r="M180" i="8" s="1"/>
  <c r="M213" i="8" s="1"/>
  <c r="Q139" i="8"/>
  <c r="V118" i="8"/>
  <c r="V186" i="8"/>
  <c r="V196" i="8" s="1"/>
  <c r="V220" i="8" s="1"/>
  <c r="V116" i="8"/>
  <c r="V117" i="8"/>
  <c r="R136" i="8"/>
  <c r="R137" i="8"/>
  <c r="R132" i="8"/>
  <c r="X97" i="4"/>
  <c r="W104" i="4"/>
  <c r="W199" i="4" s="1"/>
  <c r="W209" i="4" s="1"/>
  <c r="W227" i="4" s="1"/>
  <c r="V107" i="4"/>
  <c r="Y88" i="4"/>
  <c r="Y89" i="4" s="1"/>
  <c r="Y90" i="4"/>
  <c r="Y91" i="4" s="1"/>
  <c r="Y93" i="4" s="1"/>
  <c r="W101" i="4"/>
  <c r="W185" i="4"/>
  <c r="W195" i="4" s="1"/>
  <c r="W219" i="4" s="1"/>
  <c r="M239" i="8" l="1"/>
  <c r="M247" i="8" s="1"/>
  <c r="M230" i="8"/>
  <c r="M240" i="8" s="1"/>
  <c r="M248" i="8" s="1"/>
  <c r="X111" i="8"/>
  <c r="W115" i="8" s="1"/>
  <c r="O156" i="8"/>
  <c r="W114" i="8"/>
  <c r="V121" i="8"/>
  <c r="Q141" i="8"/>
  <c r="R135" i="8"/>
  <c r="R187" i="8"/>
  <c r="R193" i="8" s="1"/>
  <c r="R217" i="8" s="1"/>
  <c r="AA87" i="8"/>
  <c r="Y101" i="8"/>
  <c r="Y185" i="8"/>
  <c r="Y195" i="8" s="1"/>
  <c r="Y219" i="8" s="1"/>
  <c r="Y99" i="8"/>
  <c r="Y100" i="8"/>
  <c r="P148" i="8"/>
  <c r="O155" i="8"/>
  <c r="O202" i="8" s="1"/>
  <c r="O208" i="8" s="1"/>
  <c r="O226" i="8" s="1"/>
  <c r="L178" i="8"/>
  <c r="L180" i="8" s="1"/>
  <c r="L213" i="8" s="1"/>
  <c r="U128" i="8"/>
  <c r="R133" i="8"/>
  <c r="R134" i="8" s="1"/>
  <c r="W105" i="4"/>
  <c r="W107" i="4" s="1"/>
  <c r="Y94" i="4"/>
  <c r="X98" i="4" s="1"/>
  <c r="Y221" i="4"/>
  <c r="Z86" i="4"/>
  <c r="Z87" i="4" s="1"/>
  <c r="V108" i="4"/>
  <c r="V109" i="4" s="1"/>
  <c r="V110" i="4" s="1"/>
  <c r="X103" i="4"/>
  <c r="X102" i="4"/>
  <c r="S131" i="8" l="1"/>
  <c r="R138" i="8"/>
  <c r="R201" i="8" s="1"/>
  <c r="R207" i="8" s="1"/>
  <c r="R225" i="8" s="1"/>
  <c r="P154" i="8"/>
  <c r="P153" i="8"/>
  <c r="Z97" i="8"/>
  <c r="Y104" i="8"/>
  <c r="AA90" i="8"/>
  <c r="AA91" i="8"/>
  <c r="AA93" i="8" s="1"/>
  <c r="W120" i="8"/>
  <c r="W119" i="8"/>
  <c r="W116" i="8"/>
  <c r="W117" i="8" s="1"/>
  <c r="O158" i="8"/>
  <c r="W118" i="8"/>
  <c r="W186" i="8"/>
  <c r="W196" i="8" s="1"/>
  <c r="W220" i="8" s="1"/>
  <c r="V200" i="8"/>
  <c r="V210" i="8" s="1"/>
  <c r="V228" i="8" s="1"/>
  <c r="V122" i="8"/>
  <c r="AA88" i="8"/>
  <c r="AA89" i="8" s="1"/>
  <c r="Q142" i="8"/>
  <c r="Q143" i="8" s="1"/>
  <c r="Q144" i="8"/>
  <c r="L230" i="8"/>
  <c r="L240" i="8" s="1"/>
  <c r="L248" i="8" s="1"/>
  <c r="L239" i="8"/>
  <c r="L247" i="8" s="1"/>
  <c r="Z88" i="4"/>
  <c r="X101" i="4"/>
  <c r="X185" i="4"/>
  <c r="X195" i="4" s="1"/>
  <c r="X219" i="4" s="1"/>
  <c r="X99" i="4"/>
  <c r="X100" i="4" s="1"/>
  <c r="W108" i="4"/>
  <c r="W109" i="4" s="1"/>
  <c r="W110" i="4" s="1"/>
  <c r="X114" i="8" l="1"/>
  <c r="W121" i="8"/>
  <c r="W200" i="8" s="1"/>
  <c r="W210" i="8" s="1"/>
  <c r="W228" i="8" s="1"/>
  <c r="AA221" i="8"/>
  <c r="AB86" i="8"/>
  <c r="W122" i="8"/>
  <c r="W124" i="8"/>
  <c r="V124" i="8"/>
  <c r="Y199" i="8"/>
  <c r="Y209" i="8" s="1"/>
  <c r="Y227" i="8" s="1"/>
  <c r="Y105" i="8"/>
  <c r="O159" i="8"/>
  <c r="O160" i="8" s="1"/>
  <c r="O161" i="8"/>
  <c r="Q145" i="8"/>
  <c r="P149" i="8" s="1"/>
  <c r="AA94" i="8"/>
  <c r="Z98" i="8" s="1"/>
  <c r="Z99" i="8"/>
  <c r="Z100" i="8" s="1"/>
  <c r="Z103" i="8"/>
  <c r="Z102" i="8"/>
  <c r="S137" i="8"/>
  <c r="S136" i="8"/>
  <c r="S132" i="8"/>
  <c r="R139" i="8"/>
  <c r="Z89" i="4"/>
  <c r="Z221" i="4" s="1"/>
  <c r="Y97" i="4"/>
  <c r="X104" i="4"/>
  <c r="Z90" i="4"/>
  <c r="Z91" i="4" s="1"/>
  <c r="Z93" i="4" s="1"/>
  <c r="AA97" i="8" l="1"/>
  <c r="Z104" i="8"/>
  <c r="Z199" i="8" s="1"/>
  <c r="Z209" i="8" s="1"/>
  <c r="Z227" i="8" s="1"/>
  <c r="O162" i="8"/>
  <c r="N166" i="8" s="1"/>
  <c r="Y107" i="8"/>
  <c r="Z101" i="8"/>
  <c r="Z105" i="8"/>
  <c r="Z107" i="8" s="1"/>
  <c r="Z185" i="8"/>
  <c r="Z195" i="8" s="1"/>
  <c r="Z219" i="8" s="1"/>
  <c r="W125" i="8"/>
  <c r="W126" i="8" s="1"/>
  <c r="W127" i="8" s="1"/>
  <c r="V125" i="8"/>
  <c r="V126" i="8" s="1"/>
  <c r="V127" i="8" s="1"/>
  <c r="R141" i="8"/>
  <c r="AB87" i="8"/>
  <c r="S135" i="8"/>
  <c r="S187" i="8"/>
  <c r="S193" i="8" s="1"/>
  <c r="S217" i="8" s="1"/>
  <c r="S133" i="8"/>
  <c r="S134" i="8"/>
  <c r="P152" i="8"/>
  <c r="P188" i="8"/>
  <c r="P194" i="8" s="1"/>
  <c r="P218" i="8" s="1"/>
  <c r="P150" i="8"/>
  <c r="P151" i="8"/>
  <c r="X120" i="8"/>
  <c r="X119" i="8"/>
  <c r="AA86" i="4"/>
  <c r="AA87" i="4" s="1"/>
  <c r="Z94" i="4"/>
  <c r="Y98" i="4" s="1"/>
  <c r="X199" i="4"/>
  <c r="X209" i="4" s="1"/>
  <c r="X227" i="4" s="1"/>
  <c r="X105" i="4"/>
  <c r="Y102" i="4"/>
  <c r="Y103" i="4"/>
  <c r="V128" i="8" l="1"/>
  <c r="W128" i="8"/>
  <c r="Z108" i="8"/>
  <c r="Z109" i="8" s="1"/>
  <c r="Z110" i="8" s="1"/>
  <c r="N169" i="8"/>
  <c r="N189" i="8"/>
  <c r="N192" i="8" s="1"/>
  <c r="N216" i="8" s="1"/>
  <c r="N168" i="8"/>
  <c r="N167" i="8"/>
  <c r="Y108" i="8"/>
  <c r="Y109" i="8" s="1"/>
  <c r="Y110" i="8" s="1"/>
  <c r="R142" i="8"/>
  <c r="R143" i="8" s="1"/>
  <c r="R144" i="8" s="1"/>
  <c r="T131" i="8"/>
  <c r="S138" i="8"/>
  <c r="AB90" i="8"/>
  <c r="AB91" i="8"/>
  <c r="AB93" i="8" s="1"/>
  <c r="Q148" i="8"/>
  <c r="P155" i="8"/>
  <c r="P202" i="8" s="1"/>
  <c r="P208" i="8" s="1"/>
  <c r="P226" i="8" s="1"/>
  <c r="AB88" i="8"/>
  <c r="AB89" i="8" s="1"/>
  <c r="AA102" i="8"/>
  <c r="AA103" i="8"/>
  <c r="Y101" i="4"/>
  <c r="Y185" i="4"/>
  <c r="Y195" i="4" s="1"/>
  <c r="Y219" i="4" s="1"/>
  <c r="Y99" i="4"/>
  <c r="Y100" i="4" s="1"/>
  <c r="X107" i="4"/>
  <c r="AA90" i="4"/>
  <c r="AA91" i="4" s="1"/>
  <c r="AA93" i="4" s="1"/>
  <c r="AA88" i="4"/>
  <c r="AA89" i="4" s="1"/>
  <c r="R145" i="8" l="1"/>
  <c r="Q149" i="8" s="1"/>
  <c r="Y111" i="8"/>
  <c r="X115" i="8" s="1"/>
  <c r="AB221" i="8"/>
  <c r="AC86" i="8"/>
  <c r="Z111" i="8"/>
  <c r="O165" i="8"/>
  <c r="N172" i="8"/>
  <c r="Q153" i="8"/>
  <c r="Q150" i="8"/>
  <c r="Q151" i="8" s="1"/>
  <c r="Q154" i="8"/>
  <c r="AB94" i="8"/>
  <c r="AA98" i="8" s="1"/>
  <c r="P156" i="8"/>
  <c r="S201" i="8"/>
  <c r="S207" i="8" s="1"/>
  <c r="S225" i="8" s="1"/>
  <c r="S139" i="8"/>
  <c r="T137" i="8"/>
  <c r="T136" i="8"/>
  <c r="T133" i="8"/>
  <c r="T132" i="8"/>
  <c r="AA221" i="4"/>
  <c r="AB86" i="4"/>
  <c r="AB87" i="4" s="1"/>
  <c r="AA94" i="4"/>
  <c r="Z98" i="4" s="1"/>
  <c r="X108" i="4"/>
  <c r="X109" i="4" s="1"/>
  <c r="X110" i="4" s="1"/>
  <c r="Z97" i="4"/>
  <c r="Y104" i="4"/>
  <c r="Y199" i="4" s="1"/>
  <c r="Y209" i="4" s="1"/>
  <c r="Y227" i="4" s="1"/>
  <c r="R148" i="8" l="1"/>
  <c r="Q155" i="8"/>
  <c r="Q202" i="8" s="1"/>
  <c r="Q208" i="8" s="1"/>
  <c r="Q226" i="8" s="1"/>
  <c r="N203" i="8"/>
  <c r="N206" i="8" s="1"/>
  <c r="N224" i="8" s="1"/>
  <c r="N173" i="8"/>
  <c r="O171" i="8"/>
  <c r="O170" i="8"/>
  <c r="S141" i="8"/>
  <c r="AC88" i="8"/>
  <c r="AC89" i="8" s="1"/>
  <c r="AC87" i="8"/>
  <c r="Q156" i="8"/>
  <c r="Q158" i="8" s="1"/>
  <c r="Q152" i="8"/>
  <c r="Q188" i="8"/>
  <c r="Q194" i="8" s="1"/>
  <c r="Q218" i="8" s="1"/>
  <c r="P158" i="8"/>
  <c r="AA101" i="8"/>
  <c r="AA185" i="8"/>
  <c r="AA195" i="8" s="1"/>
  <c r="AA219" i="8" s="1"/>
  <c r="AA99" i="8"/>
  <c r="AA100" i="8"/>
  <c r="X118" i="8"/>
  <c r="X186" i="8"/>
  <c r="X196" i="8" s="1"/>
  <c r="X220" i="8" s="1"/>
  <c r="X116" i="8"/>
  <c r="X117" i="8" s="1"/>
  <c r="T135" i="8"/>
  <c r="T187" i="8"/>
  <c r="T193" i="8" s="1"/>
  <c r="T217" i="8" s="1"/>
  <c r="T134" i="8"/>
  <c r="Y105" i="4"/>
  <c r="Y107" i="4" s="1"/>
  <c r="Z103" i="4"/>
  <c r="Z102" i="4"/>
  <c r="Z99" i="4"/>
  <c r="Z100" i="4" s="1"/>
  <c r="Z101" i="4"/>
  <c r="Z185" i="4"/>
  <c r="Z195" i="4" s="1"/>
  <c r="Z219" i="4" s="1"/>
  <c r="Q159" i="8" l="1"/>
  <c r="Q160" i="8" s="1"/>
  <c r="Y114" i="8"/>
  <c r="X121" i="8"/>
  <c r="X200" i="8" s="1"/>
  <c r="X210" i="8" s="1"/>
  <c r="X228" i="8" s="1"/>
  <c r="AC221" i="8"/>
  <c r="AD86" i="8"/>
  <c r="X122" i="8"/>
  <c r="AC90" i="8"/>
  <c r="AC91" i="8" s="1"/>
  <c r="AC93" i="8" s="1"/>
  <c r="AB97" i="8"/>
  <c r="AA104" i="8"/>
  <c r="AA199" i="8" s="1"/>
  <c r="AA209" i="8" s="1"/>
  <c r="AA227" i="8" s="1"/>
  <c r="N175" i="8"/>
  <c r="S142" i="8"/>
  <c r="S143" i="8" s="1"/>
  <c r="S144" i="8"/>
  <c r="P159" i="8"/>
  <c r="P160" i="8" s="1"/>
  <c r="Q161" i="8" s="1"/>
  <c r="P161" i="8"/>
  <c r="U131" i="8"/>
  <c r="T138" i="8"/>
  <c r="R154" i="8"/>
  <c r="R153" i="8"/>
  <c r="AA97" i="4"/>
  <c r="Z104" i="4"/>
  <c r="Z199" i="4" s="1"/>
  <c r="Z209" i="4" s="1"/>
  <c r="Z227" i="4" s="1"/>
  <c r="Y108" i="4"/>
  <c r="Y109" i="4" s="1"/>
  <c r="Y110" i="4" s="1"/>
  <c r="AB90" i="4"/>
  <c r="AB91" i="4" s="1"/>
  <c r="AB93" i="4" s="1"/>
  <c r="AB88" i="4"/>
  <c r="AB89" i="4" s="1"/>
  <c r="AC94" i="8" l="1"/>
  <c r="AB98" i="8" s="1"/>
  <c r="T201" i="8"/>
  <c r="T207" i="8" s="1"/>
  <c r="T225" i="8" s="1"/>
  <c r="T139" i="8"/>
  <c r="AA105" i="8"/>
  <c r="X124" i="8"/>
  <c r="AD88" i="8"/>
  <c r="AD89" i="8"/>
  <c r="AD87" i="8"/>
  <c r="AB102" i="8"/>
  <c r="AB99" i="8"/>
  <c r="AB103" i="8"/>
  <c r="AB100" i="8"/>
  <c r="AC97" i="8" s="1"/>
  <c r="AB104" i="8"/>
  <c r="AB199" i="8" s="1"/>
  <c r="AB209" i="8" s="1"/>
  <c r="AB227" i="8" s="1"/>
  <c r="U136" i="8"/>
  <c r="U137" i="8"/>
  <c r="U132" i="8"/>
  <c r="P162" i="8"/>
  <c r="O166" i="8" s="1"/>
  <c r="S145" i="8"/>
  <c r="R149" i="8" s="1"/>
  <c r="Y119" i="8"/>
  <c r="Y120" i="8"/>
  <c r="Y115" i="8"/>
  <c r="Y116" i="8" s="1"/>
  <c r="N176" i="8"/>
  <c r="N177" i="8" s="1"/>
  <c r="N178" i="8" s="1"/>
  <c r="N180" i="8" s="1"/>
  <c r="N213" i="8" s="1"/>
  <c r="Z105" i="4"/>
  <c r="Z107" i="4" s="1"/>
  <c r="AB221" i="4"/>
  <c r="AC86" i="4"/>
  <c r="AC87" i="4" s="1"/>
  <c r="AB94" i="4"/>
  <c r="AA98" i="4" s="1"/>
  <c r="AA99" i="4" s="1"/>
  <c r="AA102" i="4"/>
  <c r="AA103" i="4"/>
  <c r="N239" i="8" l="1"/>
  <c r="N247" i="8" s="1"/>
  <c r="N230" i="8"/>
  <c r="N240" i="8" s="1"/>
  <c r="N248" i="8" s="1"/>
  <c r="Y117" i="8"/>
  <c r="AA107" i="8"/>
  <c r="AD221" i="8"/>
  <c r="AE86" i="8"/>
  <c r="U133" i="8"/>
  <c r="U134" i="8" s="1"/>
  <c r="T141" i="8"/>
  <c r="U135" i="8"/>
  <c r="U187" i="8"/>
  <c r="U193" i="8" s="1"/>
  <c r="U217" i="8" s="1"/>
  <c r="Y118" i="8"/>
  <c r="Y186" i="8"/>
  <c r="Y196" i="8" s="1"/>
  <c r="Y220" i="8" s="1"/>
  <c r="X125" i="8"/>
  <c r="X126" i="8" s="1"/>
  <c r="X127" i="8" s="1"/>
  <c r="AC102" i="8"/>
  <c r="AC103" i="8"/>
  <c r="Q162" i="8"/>
  <c r="P166" i="8" s="1"/>
  <c r="R152" i="8"/>
  <c r="R188" i="8"/>
  <c r="R194" i="8" s="1"/>
  <c r="R218" i="8" s="1"/>
  <c r="R150" i="8"/>
  <c r="R151" i="8" s="1"/>
  <c r="O169" i="8"/>
  <c r="O189" i="8"/>
  <c r="O192" i="8" s="1"/>
  <c r="O216" i="8" s="1"/>
  <c r="O167" i="8"/>
  <c r="O168" i="8"/>
  <c r="AD90" i="8"/>
  <c r="AD91" i="8"/>
  <c r="AD93" i="8" s="1"/>
  <c r="AB101" i="8"/>
  <c r="AB105" i="8" s="1"/>
  <c r="AB185" i="8"/>
  <c r="AB195" i="8" s="1"/>
  <c r="AB219" i="8" s="1"/>
  <c r="AA101" i="4"/>
  <c r="AA185" i="4"/>
  <c r="AA195" i="4" s="1"/>
  <c r="AA219" i="4" s="1"/>
  <c r="AA100" i="4"/>
  <c r="Z108" i="4"/>
  <c r="Z109" i="4" s="1"/>
  <c r="Z110" i="4" s="1"/>
  <c r="S148" i="8" l="1"/>
  <c r="R155" i="8"/>
  <c r="V131" i="8"/>
  <c r="U138" i="8"/>
  <c r="AB107" i="8"/>
  <c r="X128" i="8"/>
  <c r="AA108" i="8"/>
  <c r="AA109" i="8" s="1"/>
  <c r="AA110" i="8" s="1"/>
  <c r="P169" i="8"/>
  <c r="P189" i="8"/>
  <c r="P192" i="8" s="1"/>
  <c r="P216" i="8" s="1"/>
  <c r="AD94" i="8"/>
  <c r="AC98" i="8" s="1"/>
  <c r="Z114" i="8"/>
  <c r="Y121" i="8"/>
  <c r="Y200" i="8" s="1"/>
  <c r="Y210" i="8" s="1"/>
  <c r="Y228" i="8" s="1"/>
  <c r="P165" i="8"/>
  <c r="O172" i="8"/>
  <c r="T142" i="8"/>
  <c r="T143" i="8" s="1"/>
  <c r="T144" i="8" s="1"/>
  <c r="AE88" i="8"/>
  <c r="AE89" i="8" s="1"/>
  <c r="AE87" i="8"/>
  <c r="AC90" i="4"/>
  <c r="AC91" i="4" s="1"/>
  <c r="AC93" i="4" s="1"/>
  <c r="AB97" i="4"/>
  <c r="AA104" i="4"/>
  <c r="AC88" i="4"/>
  <c r="AC89" i="4" s="1"/>
  <c r="AE221" i="8" l="1"/>
  <c r="AF86" i="8"/>
  <c r="AA111" i="8"/>
  <c r="Z115" i="8" s="1"/>
  <c r="T145" i="8"/>
  <c r="S149" i="8" s="1"/>
  <c r="O203" i="8"/>
  <c r="O206" i="8" s="1"/>
  <c r="O224" i="8" s="1"/>
  <c r="O173" i="8"/>
  <c r="P168" i="8"/>
  <c r="Q165" i="8" s="1"/>
  <c r="P170" i="8"/>
  <c r="P172" i="8"/>
  <c r="P203" i="8" s="1"/>
  <c r="P206" i="8" s="1"/>
  <c r="P224" i="8" s="1"/>
  <c r="P171" i="8"/>
  <c r="P167" i="8"/>
  <c r="R202" i="8"/>
  <c r="R208" i="8" s="1"/>
  <c r="R226" i="8" s="1"/>
  <c r="R156" i="8"/>
  <c r="AB108" i="8"/>
  <c r="AB109" i="8" s="1"/>
  <c r="AB110" i="8" s="1"/>
  <c r="Z119" i="8"/>
  <c r="Z116" i="8"/>
  <c r="Z117" i="8"/>
  <c r="AA114" i="8" s="1"/>
  <c r="Z120" i="8"/>
  <c r="AC101" i="8"/>
  <c r="AC185" i="8"/>
  <c r="AC195" i="8" s="1"/>
  <c r="AC219" i="8" s="1"/>
  <c r="AC99" i="8"/>
  <c r="AC100" i="8"/>
  <c r="V136" i="8"/>
  <c r="V137" i="8"/>
  <c r="V132" i="8"/>
  <c r="V133" i="8" s="1"/>
  <c r="S154" i="8"/>
  <c r="S153" i="8"/>
  <c r="U201" i="8"/>
  <c r="U207" i="8" s="1"/>
  <c r="U225" i="8" s="1"/>
  <c r="U139" i="8"/>
  <c r="AE90" i="8"/>
  <c r="AE91" i="8" s="1"/>
  <c r="AE93" i="8" s="1"/>
  <c r="Y122" i="8"/>
  <c r="AC94" i="4"/>
  <c r="AB98" i="4" s="1"/>
  <c r="AB99" i="4" s="1"/>
  <c r="AB100" i="4" s="1"/>
  <c r="AC221" i="4"/>
  <c r="AD86" i="4"/>
  <c r="AD87" i="4" s="1"/>
  <c r="AB103" i="4"/>
  <c r="AB102" i="4"/>
  <c r="AA199" i="4"/>
  <c r="AA209" i="4" s="1"/>
  <c r="AA227" i="4" s="1"/>
  <c r="AA105" i="4"/>
  <c r="AE94" i="8" l="1"/>
  <c r="AD98" i="8" s="1"/>
  <c r="AB111" i="8"/>
  <c r="AA115" i="8" s="1"/>
  <c r="O175" i="8"/>
  <c r="P175" i="8"/>
  <c r="S152" i="8"/>
  <c r="S188" i="8"/>
  <c r="S194" i="8" s="1"/>
  <c r="S218" i="8" s="1"/>
  <c r="V135" i="8"/>
  <c r="V187" i="8"/>
  <c r="V193" i="8" s="1"/>
  <c r="V217" i="8" s="1"/>
  <c r="P173" i="8"/>
  <c r="Q170" i="8"/>
  <c r="Q171" i="8"/>
  <c r="R158" i="8"/>
  <c r="AA120" i="8"/>
  <c r="AA119" i="8"/>
  <c r="Z121" i="8"/>
  <c r="Z200" i="8" s="1"/>
  <c r="Z210" i="8" s="1"/>
  <c r="Z228" i="8" s="1"/>
  <c r="S150" i="8"/>
  <c r="S151" i="8" s="1"/>
  <c r="AF87" i="8"/>
  <c r="Y124" i="8"/>
  <c r="V134" i="8"/>
  <c r="U141" i="8"/>
  <c r="AD97" i="8"/>
  <c r="AC104" i="8"/>
  <c r="Z118" i="8"/>
  <c r="Z122" i="8" s="1"/>
  <c r="Z186" i="8"/>
  <c r="Z196" i="8" s="1"/>
  <c r="Z220" i="8" s="1"/>
  <c r="AC97" i="4"/>
  <c r="AC102" i="4" s="1"/>
  <c r="AB104" i="4"/>
  <c r="AB199" i="4" s="1"/>
  <c r="AB209" i="4" s="1"/>
  <c r="AB227" i="4" s="1"/>
  <c r="AA107" i="4"/>
  <c r="AB101" i="4"/>
  <c r="AB185" i="4"/>
  <c r="AB195" i="4" s="1"/>
  <c r="AB219" i="4" s="1"/>
  <c r="Z124" i="8" l="1"/>
  <c r="Y125" i="8"/>
  <c r="Y126" i="8" s="1"/>
  <c r="Y127" i="8"/>
  <c r="AF90" i="8"/>
  <c r="AF91" i="8" s="1"/>
  <c r="AF93" i="8" s="1"/>
  <c r="W131" i="8"/>
  <c r="V138" i="8"/>
  <c r="V201" i="8" s="1"/>
  <c r="V207" i="8" s="1"/>
  <c r="V225" i="8" s="1"/>
  <c r="R159" i="8"/>
  <c r="R160" i="8" s="1"/>
  <c r="R161" i="8" s="1"/>
  <c r="T148" i="8"/>
  <c r="S155" i="8"/>
  <c r="AD103" i="8"/>
  <c r="AD99" i="8"/>
  <c r="AD102" i="8"/>
  <c r="AD100" i="8"/>
  <c r="AE97" i="8" s="1"/>
  <c r="AD101" i="8"/>
  <c r="AD185" i="8"/>
  <c r="AD195" i="8" s="1"/>
  <c r="AD219" i="8" s="1"/>
  <c r="P176" i="8"/>
  <c r="P177" i="8" s="1"/>
  <c r="AF88" i="8"/>
  <c r="AF89" i="8" s="1"/>
  <c r="O176" i="8"/>
  <c r="O177" i="8" s="1"/>
  <c r="P178" i="8" s="1"/>
  <c r="P180" i="8" s="1"/>
  <c r="P213" i="8" s="1"/>
  <c r="O178" i="8"/>
  <c r="O180" i="8" s="1"/>
  <c r="O213" i="8" s="1"/>
  <c r="AC199" i="8"/>
  <c r="AC209" i="8" s="1"/>
  <c r="AC227" i="8" s="1"/>
  <c r="AC105" i="8"/>
  <c r="AA118" i="8"/>
  <c r="AA186" i="8"/>
  <c r="AA196" i="8" s="1"/>
  <c r="AA220" i="8" s="1"/>
  <c r="AA117" i="8"/>
  <c r="U142" i="8"/>
  <c r="U143" i="8" s="1"/>
  <c r="U144" i="8" s="1"/>
  <c r="AA116" i="8"/>
  <c r="AC103" i="4"/>
  <c r="AB105" i="4"/>
  <c r="AB107" i="4" s="1"/>
  <c r="AD90" i="4"/>
  <c r="AD91" i="4" s="1"/>
  <c r="AD93" i="4" s="1"/>
  <c r="AD88" i="4"/>
  <c r="AD89" i="4" s="1"/>
  <c r="AA108" i="4"/>
  <c r="AA109" i="4" s="1"/>
  <c r="AA110" i="4" s="1"/>
  <c r="P230" i="8" l="1"/>
  <c r="P240" i="8" s="1"/>
  <c r="P248" i="8" s="1"/>
  <c r="P239" i="8"/>
  <c r="P247" i="8" s="1"/>
  <c r="R162" i="8"/>
  <c r="Q166" i="8" s="1"/>
  <c r="AF221" i="8"/>
  <c r="AG86" i="8"/>
  <c r="AF94" i="8"/>
  <c r="AE98" i="8" s="1"/>
  <c r="AE99" i="8" s="1"/>
  <c r="AE100" i="8" s="1"/>
  <c r="U145" i="8"/>
  <c r="T149" i="8" s="1"/>
  <c r="Y128" i="8"/>
  <c r="AB114" i="8"/>
  <c r="AA121" i="8"/>
  <c r="AA200" i="8" s="1"/>
  <c r="AA210" i="8" s="1"/>
  <c r="AA228" i="8" s="1"/>
  <c r="AE103" i="8"/>
  <c r="AE102" i="8"/>
  <c r="AD104" i="8"/>
  <c r="AD199" i="8" s="1"/>
  <c r="AD209" i="8" s="1"/>
  <c r="AD227" i="8" s="1"/>
  <c r="Z125" i="8"/>
  <c r="Z126" i="8" s="1"/>
  <c r="Z127" i="8"/>
  <c r="AC107" i="8"/>
  <c r="W136" i="8"/>
  <c r="W137" i="8"/>
  <c r="W132" i="8"/>
  <c r="O239" i="8"/>
  <c r="O247" i="8" s="1"/>
  <c r="O230" i="8"/>
  <c r="O240" i="8" s="1"/>
  <c r="O248" i="8" s="1"/>
  <c r="T150" i="8"/>
  <c r="T153" i="8"/>
  <c r="T154" i="8"/>
  <c r="S202" i="8"/>
  <c r="S208" i="8" s="1"/>
  <c r="S226" i="8" s="1"/>
  <c r="S156" i="8"/>
  <c r="V139" i="8"/>
  <c r="AD94" i="4"/>
  <c r="AC98" i="4" s="1"/>
  <c r="AD221" i="4"/>
  <c r="AE86" i="4"/>
  <c r="AE87" i="4" s="1"/>
  <c r="AB108" i="4"/>
  <c r="AB109" i="4" s="1"/>
  <c r="AB110" i="4" s="1"/>
  <c r="AF97" i="8" l="1"/>
  <c r="AE104" i="8"/>
  <c r="AE199" i="8" s="1"/>
  <c r="AE209" i="8" s="1"/>
  <c r="AE227" i="8" s="1"/>
  <c r="Z128" i="8"/>
  <c r="AG87" i="8"/>
  <c r="S158" i="8"/>
  <c r="V141" i="8"/>
  <c r="Q169" i="8"/>
  <c r="Q189" i="8"/>
  <c r="Q192" i="8" s="1"/>
  <c r="Q216" i="8" s="1"/>
  <c r="Q167" i="8"/>
  <c r="Q168" i="8"/>
  <c r="T152" i="8"/>
  <c r="T188" i="8"/>
  <c r="T194" i="8" s="1"/>
  <c r="T218" i="8" s="1"/>
  <c r="AD105" i="8"/>
  <c r="W135" i="8"/>
  <c r="W187" i="8"/>
  <c r="W193" i="8" s="1"/>
  <c r="W217" i="8" s="1"/>
  <c r="AE101" i="8"/>
  <c r="AE105" i="8" s="1"/>
  <c r="AE185" i="8"/>
  <c r="AE195" i="8" s="1"/>
  <c r="AE219" i="8" s="1"/>
  <c r="W133" i="8"/>
  <c r="W134" i="8" s="1"/>
  <c r="AB120" i="8"/>
  <c r="AB119" i="8"/>
  <c r="T151" i="8"/>
  <c r="AC108" i="8"/>
  <c r="AC109" i="8" s="1"/>
  <c r="AC110" i="8" s="1"/>
  <c r="AA122" i="8"/>
  <c r="AE88" i="4"/>
  <c r="AE89" i="4" s="1"/>
  <c r="AC101" i="4"/>
  <c r="AC185" i="4"/>
  <c r="AC195" i="4" s="1"/>
  <c r="AC219" i="4" s="1"/>
  <c r="AC99" i="4"/>
  <c r="AC100" i="4" s="1"/>
  <c r="AC111" i="8" l="1"/>
  <c r="AB115" i="8" s="1"/>
  <c r="X131" i="8"/>
  <c r="W138" i="8"/>
  <c r="W201" i="8" s="1"/>
  <c r="W207" i="8" s="1"/>
  <c r="W225" i="8" s="1"/>
  <c r="W139" i="8"/>
  <c r="AG89" i="8"/>
  <c r="U148" i="8"/>
  <c r="T155" i="8"/>
  <c r="V142" i="8"/>
  <c r="V143" i="8" s="1"/>
  <c r="V144" i="8" s="1"/>
  <c r="AD107" i="8"/>
  <c r="AE107" i="8"/>
  <c r="S159" i="8"/>
  <c r="S160" i="8" s="1"/>
  <c r="S161" i="8" s="1"/>
  <c r="R165" i="8"/>
  <c r="Q172" i="8"/>
  <c r="Q203" i="8" s="1"/>
  <c r="Q206" i="8" s="1"/>
  <c r="Q224" i="8" s="1"/>
  <c r="AA124" i="8"/>
  <c r="AF103" i="8"/>
  <c r="AF102" i="8"/>
  <c r="AG90" i="8"/>
  <c r="AG91" i="8"/>
  <c r="AG93" i="8" s="1"/>
  <c r="AG88" i="8"/>
  <c r="AE221" i="4"/>
  <c r="AF86" i="4"/>
  <c r="AF87" i="4" s="1"/>
  <c r="AD97" i="4"/>
  <c r="AC104" i="4"/>
  <c r="AE90" i="4"/>
  <c r="AE91" i="4" s="1"/>
  <c r="AE93" i="4" s="1"/>
  <c r="S162" i="8" l="1"/>
  <c r="R166" i="8" s="1"/>
  <c r="V145" i="8"/>
  <c r="U149" i="8" s="1"/>
  <c r="AD108" i="8"/>
  <c r="AD109" i="8" s="1"/>
  <c r="AE110" i="8" s="1"/>
  <c r="T202" i="8"/>
  <c r="T208" i="8" s="1"/>
  <c r="T226" i="8" s="1"/>
  <c r="T156" i="8"/>
  <c r="AA125" i="8"/>
  <c r="AA126" i="8" s="1"/>
  <c r="AA127" i="8"/>
  <c r="U153" i="8"/>
  <c r="U154" i="8"/>
  <c r="Q173" i="8"/>
  <c r="AG94" i="8"/>
  <c r="AF98" i="8" s="1"/>
  <c r="X136" i="8"/>
  <c r="X137" i="8"/>
  <c r="X132" i="8"/>
  <c r="AG221" i="8"/>
  <c r="AH86" i="8"/>
  <c r="R171" i="8"/>
  <c r="R167" i="8"/>
  <c r="R168" i="8" s="1"/>
  <c r="R170" i="8"/>
  <c r="AB118" i="8"/>
  <c r="AB186" i="8"/>
  <c r="AB196" i="8" s="1"/>
  <c r="AB220" i="8" s="1"/>
  <c r="AB116" i="8"/>
  <c r="AB117" i="8" s="1"/>
  <c r="W141" i="8"/>
  <c r="AE108" i="8"/>
  <c r="AE109" i="8" s="1"/>
  <c r="AE94" i="4"/>
  <c r="AD98" i="4" s="1"/>
  <c r="AD99" i="4" s="1"/>
  <c r="AD100" i="4" s="1"/>
  <c r="AE97" i="4" s="1"/>
  <c r="AC199" i="4"/>
  <c r="AC209" i="4" s="1"/>
  <c r="AC227" i="4" s="1"/>
  <c r="AC105" i="4"/>
  <c r="AD102" i="4"/>
  <c r="AD103" i="4"/>
  <c r="AC114" i="8" l="1"/>
  <c r="AB121" i="8"/>
  <c r="AB200" i="8" s="1"/>
  <c r="AB210" i="8" s="1"/>
  <c r="AB228" i="8" s="1"/>
  <c r="AB122" i="8"/>
  <c r="S165" i="8"/>
  <c r="R172" i="8"/>
  <c r="R203" i="8" s="1"/>
  <c r="R206" i="8" s="1"/>
  <c r="R224" i="8" s="1"/>
  <c r="X135" i="8"/>
  <c r="X187" i="8"/>
  <c r="X193" i="8" s="1"/>
  <c r="X217" i="8" s="1"/>
  <c r="X133" i="8"/>
  <c r="X134" i="8" s="1"/>
  <c r="AD110" i="8"/>
  <c r="AA128" i="8"/>
  <c r="T158" i="8"/>
  <c r="Q175" i="8"/>
  <c r="R169" i="8"/>
  <c r="R173" i="8" s="1"/>
  <c r="R189" i="8"/>
  <c r="R192" i="8" s="1"/>
  <c r="R216" i="8" s="1"/>
  <c r="AF101" i="8"/>
  <c r="AF185" i="8"/>
  <c r="AF195" i="8" s="1"/>
  <c r="AF219" i="8" s="1"/>
  <c r="AF99" i="8"/>
  <c r="AF100" i="8" s="1"/>
  <c r="U152" i="8"/>
  <c r="U188" i="8"/>
  <c r="U194" i="8" s="1"/>
  <c r="U218" i="8" s="1"/>
  <c r="W142" i="8"/>
  <c r="W143" i="8" s="1"/>
  <c r="W144" i="8" s="1"/>
  <c r="AH88" i="8"/>
  <c r="AH87" i="8"/>
  <c r="AH89" i="8" s="1"/>
  <c r="U150" i="8"/>
  <c r="U151" i="8" s="1"/>
  <c r="AD104" i="4"/>
  <c r="AD199" i="4" s="1"/>
  <c r="AD209" i="4" s="1"/>
  <c r="AD227" i="4" s="1"/>
  <c r="AE102" i="4"/>
  <c r="AE103" i="4"/>
  <c r="AF90" i="4"/>
  <c r="AF91" i="4" s="1"/>
  <c r="AF93" i="4" s="1"/>
  <c r="AF88" i="4"/>
  <c r="AF89" i="4" s="1"/>
  <c r="AC107" i="4"/>
  <c r="AD101" i="4"/>
  <c r="AD185" i="4"/>
  <c r="AD195" i="4" s="1"/>
  <c r="AD219" i="4" s="1"/>
  <c r="Y131" i="8" l="1"/>
  <c r="X138" i="8"/>
  <c r="AG97" i="8"/>
  <c r="AF104" i="8"/>
  <c r="AF199" i="8" s="1"/>
  <c r="AF209" i="8" s="1"/>
  <c r="AF227" i="8" s="1"/>
  <c r="AH221" i="8"/>
  <c r="AI86" i="8"/>
  <c r="AF105" i="8"/>
  <c r="W145" i="8"/>
  <c r="V149" i="8" s="1"/>
  <c r="R175" i="8"/>
  <c r="Q176" i="8"/>
  <c r="Q177" i="8" s="1"/>
  <c r="Q178" i="8" s="1"/>
  <c r="Q180" i="8" s="1"/>
  <c r="Q213" i="8" s="1"/>
  <c r="S170" i="8"/>
  <c r="S171" i="8"/>
  <c r="AH90" i="8"/>
  <c r="AH91" i="8"/>
  <c r="AH93" i="8" s="1"/>
  <c r="AB124" i="8"/>
  <c r="T159" i="8"/>
  <c r="T160" i="8" s="1"/>
  <c r="T161" i="8" s="1"/>
  <c r="V148" i="8"/>
  <c r="U155" i="8"/>
  <c r="U202" i="8" s="1"/>
  <c r="U208" i="8" s="1"/>
  <c r="U226" i="8" s="1"/>
  <c r="AD111" i="8"/>
  <c r="AC120" i="8"/>
  <c r="AC119" i="8"/>
  <c r="AD105" i="4"/>
  <c r="AD107" i="4" s="1"/>
  <c r="AF94" i="4"/>
  <c r="AE98" i="4" s="1"/>
  <c r="AF221" i="4"/>
  <c r="AG86" i="4"/>
  <c r="AG87" i="4" s="1"/>
  <c r="AC108" i="4"/>
  <c r="AC109" i="4" s="1"/>
  <c r="AC110" i="4" s="1"/>
  <c r="Q239" i="8" l="1"/>
  <c r="Q247" i="8" s="1"/>
  <c r="Q230" i="8"/>
  <c r="Q240" i="8" s="1"/>
  <c r="Q248" i="8" s="1"/>
  <c r="T162" i="8"/>
  <c r="S166" i="8" s="1"/>
  <c r="AB125" i="8"/>
  <c r="AB126" i="8" s="1"/>
  <c r="AB127" i="8" s="1"/>
  <c r="V152" i="8"/>
  <c r="V188" i="8"/>
  <c r="V194" i="8" s="1"/>
  <c r="V218" i="8" s="1"/>
  <c r="AF107" i="8"/>
  <c r="V154" i="8"/>
  <c r="V153" i="8"/>
  <c r="V150" i="8"/>
  <c r="V151" i="8"/>
  <c r="W148" i="8" s="1"/>
  <c r="U156" i="8"/>
  <c r="R176" i="8"/>
  <c r="R177" i="8" s="1"/>
  <c r="R178" i="8" s="1"/>
  <c r="R180" i="8" s="1"/>
  <c r="R213" i="8" s="1"/>
  <c r="AH94" i="8"/>
  <c r="AG98" i="8" s="1"/>
  <c r="AI87" i="8"/>
  <c r="AI88" i="8" s="1"/>
  <c r="X201" i="8"/>
  <c r="X207" i="8" s="1"/>
  <c r="X225" i="8" s="1"/>
  <c r="X139" i="8"/>
  <c r="AC115" i="8"/>
  <c r="AE111" i="8"/>
  <c r="AG102" i="8"/>
  <c r="AG103" i="8"/>
  <c r="Y136" i="8"/>
  <c r="Y137" i="8"/>
  <c r="Y133" i="8"/>
  <c r="Y132" i="8"/>
  <c r="AD108" i="4"/>
  <c r="AD109" i="4" s="1"/>
  <c r="AD110" i="4" s="1"/>
  <c r="AE101" i="4"/>
  <c r="AE185" i="4"/>
  <c r="AE195" i="4" s="1"/>
  <c r="AE219" i="4" s="1"/>
  <c r="AE99" i="4"/>
  <c r="AE100" i="4" s="1"/>
  <c r="AB128" i="8" l="1"/>
  <c r="R239" i="8"/>
  <c r="R247" i="8" s="1"/>
  <c r="R230" i="8"/>
  <c r="R240" i="8" s="1"/>
  <c r="R248" i="8" s="1"/>
  <c r="AF108" i="8"/>
  <c r="AF109" i="8" s="1"/>
  <c r="AF110" i="8" s="1"/>
  <c r="AG101" i="8"/>
  <c r="AG185" i="8"/>
  <c r="AG195" i="8" s="1"/>
  <c r="AG219" i="8" s="1"/>
  <c r="U158" i="8"/>
  <c r="S169" i="8"/>
  <c r="S189" i="8"/>
  <c r="S192" i="8" s="1"/>
  <c r="S216" i="8" s="1"/>
  <c r="S167" i="8"/>
  <c r="S168" i="8"/>
  <c r="AI90" i="8"/>
  <c r="AI91" i="8"/>
  <c r="AI93" i="8" s="1"/>
  <c r="AG99" i="8"/>
  <c r="AG100" i="8" s="1"/>
  <c r="W154" i="8"/>
  <c r="W153" i="8"/>
  <c r="Y135" i="8"/>
  <c r="Y187" i="8"/>
  <c r="Y193" i="8" s="1"/>
  <c r="Y217" i="8" s="1"/>
  <c r="Y134" i="8"/>
  <c r="X141" i="8"/>
  <c r="V155" i="8"/>
  <c r="V202" i="8" s="1"/>
  <c r="V208" i="8" s="1"/>
  <c r="V226" i="8" s="1"/>
  <c r="AI89" i="8"/>
  <c r="AC118" i="8"/>
  <c r="AC186" i="8"/>
  <c r="AC196" i="8" s="1"/>
  <c r="AC220" i="8" s="1"/>
  <c r="AC116" i="8"/>
  <c r="AC117" i="8" s="1"/>
  <c r="AF97" i="4"/>
  <c r="AE104" i="4"/>
  <c r="AE199" i="4" s="1"/>
  <c r="AE209" i="4" s="1"/>
  <c r="AE227" i="4" s="1"/>
  <c r="AG90" i="4"/>
  <c r="AG91" i="4" s="1"/>
  <c r="AG93" i="4" s="1"/>
  <c r="AG88" i="4"/>
  <c r="AG89" i="4" s="1"/>
  <c r="AG105" i="8" l="1"/>
  <c r="AF111" i="8"/>
  <c r="AH97" i="8"/>
  <c r="AG104" i="8"/>
  <c r="AG199" i="8" s="1"/>
  <c r="AG209" i="8" s="1"/>
  <c r="AG227" i="8" s="1"/>
  <c r="AD114" i="8"/>
  <c r="AC121" i="8"/>
  <c r="U159" i="8"/>
  <c r="U160" i="8" s="1"/>
  <c r="U161" i="8" s="1"/>
  <c r="Z131" i="8"/>
  <c r="Y138" i="8"/>
  <c r="Y201" i="8" s="1"/>
  <c r="Y207" i="8" s="1"/>
  <c r="Y225" i="8" s="1"/>
  <c r="T165" i="8"/>
  <c r="S172" i="8"/>
  <c r="S203" i="8" s="1"/>
  <c r="S206" i="8" s="1"/>
  <c r="S224" i="8" s="1"/>
  <c r="V156" i="8"/>
  <c r="AI221" i="8"/>
  <c r="AJ86" i="8"/>
  <c r="AI94" i="8"/>
  <c r="AH98" i="8" s="1"/>
  <c r="X142" i="8"/>
  <c r="X143" i="8" s="1"/>
  <c r="X144" i="8" s="1"/>
  <c r="AE105" i="4"/>
  <c r="AE107" i="4" s="1"/>
  <c r="AG221" i="4"/>
  <c r="AH86" i="4"/>
  <c r="AH87" i="4" s="1"/>
  <c r="AG94" i="4"/>
  <c r="AF98" i="4" s="1"/>
  <c r="AF103" i="4"/>
  <c r="AF102" i="4"/>
  <c r="U162" i="8" l="1"/>
  <c r="T166" i="8" s="1"/>
  <c r="X145" i="8"/>
  <c r="W149" i="8" s="1"/>
  <c r="AC200" i="8"/>
  <c r="AC210" i="8" s="1"/>
  <c r="AC228" i="8" s="1"/>
  <c r="AC122" i="8"/>
  <c r="AH101" i="8"/>
  <c r="AH185" i="8"/>
  <c r="AH195" i="8" s="1"/>
  <c r="AH219" i="8" s="1"/>
  <c r="AG107" i="8"/>
  <c r="T171" i="8"/>
  <c r="T170" i="8"/>
  <c r="T167" i="8"/>
  <c r="T168" i="8"/>
  <c r="U165" i="8" s="1"/>
  <c r="Y139" i="8"/>
  <c r="Z136" i="8"/>
  <c r="Z137" i="8"/>
  <c r="Z132" i="8"/>
  <c r="AD119" i="8"/>
  <c r="AD120" i="8"/>
  <c r="AD115" i="8"/>
  <c r="AJ87" i="8"/>
  <c r="AJ88" i="8" s="1"/>
  <c r="AH99" i="8"/>
  <c r="AH100" i="8" s="1"/>
  <c r="AH102" i="8"/>
  <c r="AH103" i="8"/>
  <c r="V158" i="8"/>
  <c r="S173" i="8"/>
  <c r="AF101" i="4"/>
  <c r="AF185" i="4"/>
  <c r="AF195" i="4" s="1"/>
  <c r="AF219" i="4" s="1"/>
  <c r="AE108" i="4"/>
  <c r="AE109" i="4" s="1"/>
  <c r="AE110" i="4" s="1"/>
  <c r="AH88" i="4"/>
  <c r="AF99" i="4"/>
  <c r="AF100" i="4" s="1"/>
  <c r="AI97" i="8" l="1"/>
  <c r="AH104" i="8"/>
  <c r="AG108" i="8"/>
  <c r="AG109" i="8" s="1"/>
  <c r="AG110" i="8" s="1"/>
  <c r="AD118" i="8"/>
  <c r="AD186" i="8"/>
  <c r="AD196" i="8" s="1"/>
  <c r="AD220" i="8" s="1"/>
  <c r="AC124" i="8"/>
  <c r="U171" i="8"/>
  <c r="U170" i="8"/>
  <c r="W152" i="8"/>
  <c r="W188" i="8"/>
  <c r="W194" i="8" s="1"/>
  <c r="W218" i="8" s="1"/>
  <c r="W150" i="8"/>
  <c r="W151" i="8"/>
  <c r="AJ90" i="8"/>
  <c r="AJ91" i="8" s="1"/>
  <c r="AJ93" i="8" s="1"/>
  <c r="AJ89" i="8"/>
  <c r="AD116" i="8"/>
  <c r="AD117" i="8"/>
  <c r="T172" i="8"/>
  <c r="T203" i="8" s="1"/>
  <c r="T206" i="8" s="1"/>
  <c r="T224" i="8" s="1"/>
  <c r="T169" i="8"/>
  <c r="T173" i="8"/>
  <c r="T175" i="8" s="1"/>
  <c r="T189" i="8"/>
  <c r="T192" i="8" s="1"/>
  <c r="T216" i="8" s="1"/>
  <c r="Z135" i="8"/>
  <c r="Z187" i="8"/>
  <c r="Z193" i="8" s="1"/>
  <c r="Z217" i="8" s="1"/>
  <c r="Z133" i="8"/>
  <c r="Z134" i="8" s="1"/>
  <c r="S175" i="8"/>
  <c r="Y141" i="8"/>
  <c r="V159" i="8"/>
  <c r="V160" i="8" s="1"/>
  <c r="V161" i="8"/>
  <c r="AG97" i="4"/>
  <c r="AF104" i="4"/>
  <c r="AF199" i="4" s="1"/>
  <c r="AF209" i="4" s="1"/>
  <c r="AF227" i="4" s="1"/>
  <c r="AH90" i="4"/>
  <c r="AH91" i="4" s="1"/>
  <c r="AH93" i="4" s="1"/>
  <c r="AH89" i="4"/>
  <c r="AA131" i="8" l="1"/>
  <c r="Z138" i="8"/>
  <c r="Z201" i="8" s="1"/>
  <c r="Z207" i="8" s="1"/>
  <c r="Z225" i="8" s="1"/>
  <c r="Z139" i="8"/>
  <c r="T176" i="8"/>
  <c r="T177" i="8" s="1"/>
  <c r="AG111" i="8"/>
  <c r="AJ94" i="8"/>
  <c r="AI98" i="8" s="1"/>
  <c r="AJ221" i="8"/>
  <c r="AK86" i="8"/>
  <c r="S176" i="8"/>
  <c r="S177" i="8" s="1"/>
  <c r="S178" i="8" s="1"/>
  <c r="S180" i="8" s="1"/>
  <c r="S213" i="8" s="1"/>
  <c r="X148" i="8"/>
  <c r="W155" i="8"/>
  <c r="AC125" i="8"/>
  <c r="AC126" i="8" s="1"/>
  <c r="AC127" i="8"/>
  <c r="V162" i="8"/>
  <c r="U166" i="8" s="1"/>
  <c r="AE114" i="8"/>
  <c r="AD121" i="8"/>
  <c r="AH199" i="8"/>
  <c r="AH209" i="8" s="1"/>
  <c r="AH227" i="8" s="1"/>
  <c r="AH105" i="8"/>
  <c r="Y144" i="8"/>
  <c r="Y142" i="8"/>
  <c r="Y143" i="8" s="1"/>
  <c r="AI103" i="8"/>
  <c r="AI102" i="8"/>
  <c r="AH94" i="4"/>
  <c r="AG98" i="4" s="1"/>
  <c r="AG99" i="4" s="1"/>
  <c r="AG100" i="4" s="1"/>
  <c r="AH221" i="4"/>
  <c r="AI86" i="4"/>
  <c r="AI87" i="4" s="1"/>
  <c r="AG103" i="4"/>
  <c r="AG102" i="4"/>
  <c r="AF105" i="4"/>
  <c r="S239" i="8" l="1"/>
  <c r="S247" i="8" s="1"/>
  <c r="S230" i="8"/>
  <c r="S240" i="8" s="1"/>
  <c r="S248" i="8" s="1"/>
  <c r="Y145" i="8"/>
  <c r="X149" i="8" s="1"/>
  <c r="AH107" i="8"/>
  <c r="AK88" i="8"/>
  <c r="AK87" i="8"/>
  <c r="AD200" i="8"/>
  <c r="AD210" i="8" s="1"/>
  <c r="AD228" i="8" s="1"/>
  <c r="AD122" i="8"/>
  <c r="AI101" i="8"/>
  <c r="AI185" i="8"/>
  <c r="AI195" i="8" s="1"/>
  <c r="AI219" i="8" s="1"/>
  <c r="AE120" i="8"/>
  <c r="AE119" i="8"/>
  <c r="AE115" i="8"/>
  <c r="U169" i="8"/>
  <c r="U189" i="8"/>
  <c r="U192" i="8" s="1"/>
  <c r="U216" i="8" s="1"/>
  <c r="U167" i="8"/>
  <c r="U168" i="8" s="1"/>
  <c r="T178" i="8"/>
  <c r="T180" i="8" s="1"/>
  <c r="T213" i="8" s="1"/>
  <c r="AI99" i="8"/>
  <c r="W202" i="8"/>
  <c r="W208" i="8" s="1"/>
  <c r="W226" i="8" s="1"/>
  <c r="W156" i="8"/>
  <c r="Z141" i="8"/>
  <c r="X153" i="8"/>
  <c r="X154" i="8"/>
  <c r="X150" i="8"/>
  <c r="X151" i="8" s="1"/>
  <c r="AC128" i="8"/>
  <c r="AI100" i="8"/>
  <c r="AA137" i="8"/>
  <c r="AA136" i="8"/>
  <c r="AA132" i="8"/>
  <c r="AH97" i="4"/>
  <c r="AG104" i="4"/>
  <c r="AG199" i="4" s="1"/>
  <c r="AG209" i="4" s="1"/>
  <c r="AG227" i="4" s="1"/>
  <c r="AF107" i="4"/>
  <c r="AG101" i="4"/>
  <c r="AG185" i="4"/>
  <c r="AG195" i="4" s="1"/>
  <c r="AG219" i="4" s="1"/>
  <c r="Y148" i="8" l="1"/>
  <c r="X155" i="8"/>
  <c r="X202" i="8" s="1"/>
  <c r="X208" i="8" s="1"/>
  <c r="X226" i="8" s="1"/>
  <c r="V165" i="8"/>
  <c r="U172" i="8"/>
  <c r="U203" i="8" s="1"/>
  <c r="U206" i="8" s="1"/>
  <c r="U224" i="8" s="1"/>
  <c r="U173" i="8"/>
  <c r="AA135" i="8"/>
  <c r="AA187" i="8"/>
  <c r="AA193" i="8" s="1"/>
  <c r="AA217" i="8" s="1"/>
  <c r="Z142" i="8"/>
  <c r="Z143" i="8" s="1"/>
  <c r="Z144" i="8"/>
  <c r="AJ97" i="8"/>
  <c r="AI104" i="8"/>
  <c r="AD124" i="8"/>
  <c r="AA133" i="8"/>
  <c r="AA134" i="8" s="1"/>
  <c r="X152" i="8"/>
  <c r="X156" i="8" s="1"/>
  <c r="X188" i="8"/>
  <c r="X194" i="8" s="1"/>
  <c r="X218" i="8" s="1"/>
  <c r="AK90" i="8"/>
  <c r="AK91" i="8" s="1"/>
  <c r="AK93" i="8" s="1"/>
  <c r="AH108" i="8"/>
  <c r="AH109" i="8" s="1"/>
  <c r="AH110" i="8"/>
  <c r="T239" i="8"/>
  <c r="T247" i="8" s="1"/>
  <c r="T230" i="8"/>
  <c r="T240" i="8" s="1"/>
  <c r="T248" i="8" s="1"/>
  <c r="AE118" i="8"/>
  <c r="AE186" i="8"/>
  <c r="AE196" i="8" s="1"/>
  <c r="AE220" i="8" s="1"/>
  <c r="AK89" i="8"/>
  <c r="W158" i="8"/>
  <c r="AE116" i="8"/>
  <c r="AE117" i="8" s="1"/>
  <c r="AG105" i="4"/>
  <c r="AG107" i="4" s="1"/>
  <c r="AG108" i="4" s="1"/>
  <c r="AG109" i="4" s="1"/>
  <c r="AI88" i="4"/>
  <c r="AI89" i="4" s="1"/>
  <c r="AH103" i="4"/>
  <c r="AH102" i="4"/>
  <c r="AF108" i="4"/>
  <c r="AF109" i="4" s="1"/>
  <c r="AF110" i="4" s="1"/>
  <c r="AI90" i="4"/>
  <c r="AI91" i="4" s="1"/>
  <c r="AI93" i="4" s="1"/>
  <c r="X158" i="8" l="1"/>
  <c r="AK94" i="8"/>
  <c r="AJ98" i="8" s="1"/>
  <c r="AF114" i="8"/>
  <c r="AE121" i="8"/>
  <c r="AB131" i="8"/>
  <c r="AA138" i="8"/>
  <c r="AA201" i="8" s="1"/>
  <c r="AA207" i="8" s="1"/>
  <c r="AA225" i="8" s="1"/>
  <c r="AJ99" i="8"/>
  <c r="AJ100" i="8"/>
  <c r="AK97" i="8" s="1"/>
  <c r="AJ103" i="8"/>
  <c r="AJ102" i="8"/>
  <c r="U175" i="8"/>
  <c r="V170" i="8"/>
  <c r="V171" i="8"/>
  <c r="W159" i="8"/>
  <c r="W160" i="8" s="1"/>
  <c r="W161" i="8" s="1"/>
  <c r="AK221" i="8"/>
  <c r="AL86" i="8"/>
  <c r="AH111" i="8"/>
  <c r="AD125" i="8"/>
  <c r="AD126" i="8" s="1"/>
  <c r="AD127" i="8" s="1"/>
  <c r="Z145" i="8"/>
  <c r="Y149" i="8" s="1"/>
  <c r="AI199" i="8"/>
  <c r="AI209" i="8" s="1"/>
  <c r="AI227" i="8" s="1"/>
  <c r="AI105" i="8"/>
  <c r="Y153" i="8"/>
  <c r="Y154" i="8"/>
  <c r="AI221" i="4"/>
  <c r="AJ86" i="4"/>
  <c r="AG110" i="4"/>
  <c r="AI94" i="4"/>
  <c r="AH98" i="4" s="1"/>
  <c r="AD128" i="8" l="1"/>
  <c r="W162" i="8"/>
  <c r="V166" i="8" s="1"/>
  <c r="AE200" i="8"/>
  <c r="AE210" i="8" s="1"/>
  <c r="AE228" i="8" s="1"/>
  <c r="AE122" i="8"/>
  <c r="Y152" i="8"/>
  <c r="Y188" i="8"/>
  <c r="Y194" i="8" s="1"/>
  <c r="Y218" i="8" s="1"/>
  <c r="AF120" i="8"/>
  <c r="AF119" i="8"/>
  <c r="AF115" i="8"/>
  <c r="AJ101" i="8"/>
  <c r="AJ105" i="8" s="1"/>
  <c r="AJ185" i="8"/>
  <c r="AJ195" i="8" s="1"/>
  <c r="AJ219" i="8" s="1"/>
  <c r="AK103" i="8"/>
  <c r="AK102" i="8"/>
  <c r="X159" i="8"/>
  <c r="X160" i="8" s="1"/>
  <c r="X161" i="8"/>
  <c r="AI107" i="8"/>
  <c r="U176" i="8"/>
  <c r="U177" i="8" s="1"/>
  <c r="U178" i="8" s="1"/>
  <c r="U180" i="8" s="1"/>
  <c r="U213" i="8" s="1"/>
  <c r="AJ104" i="8"/>
  <c r="AJ199" i="8" s="1"/>
  <c r="AJ209" i="8" s="1"/>
  <c r="AJ227" i="8" s="1"/>
  <c r="AB133" i="8"/>
  <c r="AB134" i="8"/>
  <c r="AC131" i="8" s="1"/>
  <c r="AB137" i="8"/>
  <c r="AB136" i="8"/>
  <c r="AB138" i="8"/>
  <c r="AB201" i="8" s="1"/>
  <c r="AB207" i="8" s="1"/>
  <c r="AB225" i="8" s="1"/>
  <c r="AB132" i="8"/>
  <c r="Y150" i="8"/>
  <c r="Y151" i="8" s="1"/>
  <c r="AL87" i="8"/>
  <c r="AA139" i="8"/>
  <c r="AJ87" i="4"/>
  <c r="AJ88" i="4" s="1"/>
  <c r="AJ89" i="4" s="1"/>
  <c r="AH101" i="4"/>
  <c r="AH185" i="4"/>
  <c r="AH195" i="4" s="1"/>
  <c r="AH219" i="4" s="1"/>
  <c r="AH99" i="4"/>
  <c r="AH100" i="4" s="1"/>
  <c r="AJ107" i="8" l="1"/>
  <c r="U239" i="8"/>
  <c r="U247" i="8" s="1"/>
  <c r="U230" i="8"/>
  <c r="U240" i="8" s="1"/>
  <c r="U248" i="8" s="1"/>
  <c r="AC137" i="8"/>
  <c r="AC136" i="8"/>
  <c r="AC133" i="8"/>
  <c r="AC134" i="8" s="1"/>
  <c r="AE124" i="8"/>
  <c r="AI108" i="8"/>
  <c r="AI109" i="8" s="1"/>
  <c r="AI110" i="8" s="1"/>
  <c r="AA141" i="8"/>
  <c r="AL88" i="8"/>
  <c r="AL89" i="8" s="1"/>
  <c r="Z148" i="8"/>
  <c r="Y155" i="8"/>
  <c r="Y202" i="8" s="1"/>
  <c r="Y208" i="8" s="1"/>
  <c r="Y226" i="8" s="1"/>
  <c r="AC132" i="8"/>
  <c r="AL90" i="8"/>
  <c r="AL91" i="8" s="1"/>
  <c r="AL93" i="8" s="1"/>
  <c r="V169" i="8"/>
  <c r="V189" i="8"/>
  <c r="V192" i="8" s="1"/>
  <c r="V216" i="8" s="1"/>
  <c r="V167" i="8"/>
  <c r="V168" i="8"/>
  <c r="AF118" i="8"/>
  <c r="AF186" i="8"/>
  <c r="AF196" i="8" s="1"/>
  <c r="AF220" i="8" s="1"/>
  <c r="X162" i="8"/>
  <c r="W166" i="8" s="1"/>
  <c r="AB135" i="8"/>
  <c r="AB139" i="8" s="1"/>
  <c r="AB187" i="8"/>
  <c r="AB193" i="8" s="1"/>
  <c r="AB217" i="8" s="1"/>
  <c r="AF116" i="8"/>
  <c r="AF117" i="8" s="1"/>
  <c r="AJ90" i="4"/>
  <c r="AJ91" i="4" s="1"/>
  <c r="AJ93" i="4" s="1"/>
  <c r="AJ94" i="4" s="1"/>
  <c r="AI98" i="4" s="1"/>
  <c r="AI97" i="4"/>
  <c r="AH104" i="4"/>
  <c r="AH199" i="4" s="1"/>
  <c r="AH209" i="4" s="1"/>
  <c r="AH227" i="4" s="1"/>
  <c r="AJ221" i="4"/>
  <c r="AK86" i="4"/>
  <c r="AK87" i="4" s="1"/>
  <c r="AB141" i="8" l="1"/>
  <c r="AL221" i="8"/>
  <c r="AM86" i="8"/>
  <c r="AI111" i="8"/>
  <c r="AD131" i="8"/>
  <c r="AC138" i="8"/>
  <c r="AC201" i="8" s="1"/>
  <c r="AC207" i="8" s="1"/>
  <c r="AC225" i="8" s="1"/>
  <c r="V173" i="8"/>
  <c r="AL94" i="8"/>
  <c r="AK98" i="8" s="1"/>
  <c r="AA142" i="8"/>
  <c r="AA143" i="8" s="1"/>
  <c r="AA144" i="8"/>
  <c r="W165" i="8"/>
  <c r="V172" i="8"/>
  <c r="V203" i="8" s="1"/>
  <c r="V206" i="8" s="1"/>
  <c r="V224" i="8" s="1"/>
  <c r="Z154" i="8"/>
  <c r="Z153" i="8"/>
  <c r="AG114" i="8"/>
  <c r="AF121" i="8"/>
  <c r="AJ108" i="8"/>
  <c r="AJ109" i="8" s="1"/>
  <c r="AJ110" i="8" s="1"/>
  <c r="AE125" i="8"/>
  <c r="AE126" i="8" s="1"/>
  <c r="AE127" i="8" s="1"/>
  <c r="W169" i="8"/>
  <c r="W189" i="8"/>
  <c r="W192" i="8" s="1"/>
  <c r="W216" i="8" s="1"/>
  <c r="AC135" i="8"/>
  <c r="AC139" i="8" s="1"/>
  <c r="AC187" i="8"/>
  <c r="AC193" i="8" s="1"/>
  <c r="AC217" i="8" s="1"/>
  <c r="Y156" i="8"/>
  <c r="AI101" i="4"/>
  <c r="AI185" i="4"/>
  <c r="AI195" i="4" s="1"/>
  <c r="AI219" i="4" s="1"/>
  <c r="AI99" i="4"/>
  <c r="AI100" i="4" s="1"/>
  <c r="AJ97" i="4" s="1"/>
  <c r="AI102" i="4"/>
  <c r="AI103" i="4"/>
  <c r="AH105" i="4"/>
  <c r="AE128" i="8" l="1"/>
  <c r="AD132" i="8" s="1"/>
  <c r="AC141" i="8"/>
  <c r="AJ111" i="8"/>
  <c r="V175" i="8"/>
  <c r="AD134" i="8"/>
  <c r="AE131" i="8" s="1"/>
  <c r="AD137" i="8"/>
  <c r="AD133" i="8"/>
  <c r="AD136" i="8"/>
  <c r="W167" i="8"/>
  <c r="W168" i="8" s="1"/>
  <c r="W170" i="8"/>
  <c r="W171" i="8"/>
  <c r="AM87" i="8"/>
  <c r="AM88" i="8" s="1"/>
  <c r="AA145" i="8"/>
  <c r="Z149" i="8" s="1"/>
  <c r="AB142" i="8"/>
  <c r="AB143" i="8" s="1"/>
  <c r="AB144" i="8"/>
  <c r="AK101" i="8"/>
  <c r="AK185" i="8"/>
  <c r="AK195" i="8" s="1"/>
  <c r="AK219" i="8" s="1"/>
  <c r="AK99" i="8"/>
  <c r="AK100" i="8" s="1"/>
  <c r="AF200" i="8"/>
  <c r="AF210" i="8" s="1"/>
  <c r="AF228" i="8" s="1"/>
  <c r="AF122" i="8"/>
  <c r="Y158" i="8"/>
  <c r="AG119" i="8"/>
  <c r="AG120" i="8"/>
  <c r="AG115" i="8"/>
  <c r="AK90" i="4"/>
  <c r="AK91" i="4" s="1"/>
  <c r="AK93" i="4" s="1"/>
  <c r="AH107" i="4"/>
  <c r="AK88" i="4"/>
  <c r="AK89" i="4" s="1"/>
  <c r="AJ103" i="4"/>
  <c r="AJ102" i="4"/>
  <c r="AI104" i="4"/>
  <c r="X165" i="8" l="1"/>
  <c r="W172" i="8"/>
  <c r="W203" i="8" s="1"/>
  <c r="W206" i="8" s="1"/>
  <c r="W224" i="8" s="1"/>
  <c r="AL97" i="8"/>
  <c r="AK104" i="8"/>
  <c r="AE137" i="8"/>
  <c r="AE136" i="8"/>
  <c r="AD138" i="8"/>
  <c r="AD201" i="8" s="1"/>
  <c r="AD207" i="8" s="1"/>
  <c r="AD225" i="8" s="1"/>
  <c r="V178" i="8"/>
  <c r="V180" i="8" s="1"/>
  <c r="V213" i="8" s="1"/>
  <c r="V176" i="8"/>
  <c r="V177" i="8" s="1"/>
  <c r="Y159" i="8"/>
  <c r="Y160" i="8" s="1"/>
  <c r="Y161" i="8"/>
  <c r="Z152" i="8"/>
  <c r="Z188" i="8"/>
  <c r="Z194" i="8" s="1"/>
  <c r="Z218" i="8" s="1"/>
  <c r="Z150" i="8"/>
  <c r="Z151" i="8" s="1"/>
  <c r="AB145" i="8"/>
  <c r="AC142" i="8"/>
  <c r="AC143" i="8" s="1"/>
  <c r="AC144" i="8" s="1"/>
  <c r="AM90" i="8"/>
  <c r="AM91" i="8" s="1"/>
  <c r="AM93" i="8" s="1"/>
  <c r="AF124" i="8"/>
  <c r="AM89" i="8"/>
  <c r="AM221" i="8" s="1"/>
  <c r="AG118" i="8"/>
  <c r="AG186" i="8"/>
  <c r="AG196" i="8" s="1"/>
  <c r="AG220" i="8" s="1"/>
  <c r="AG117" i="8"/>
  <c r="AG116" i="8"/>
  <c r="AD135" i="8"/>
  <c r="AD187" i="8"/>
  <c r="AD193" i="8" s="1"/>
  <c r="AD217" i="8" s="1"/>
  <c r="AK94" i="4"/>
  <c r="AJ98" i="4" s="1"/>
  <c r="AK221" i="4"/>
  <c r="AL86" i="4"/>
  <c r="AL87" i="4" s="1"/>
  <c r="AH108" i="4"/>
  <c r="AH109" i="4" s="1"/>
  <c r="AH110" i="4" s="1"/>
  <c r="AI199" i="4"/>
  <c r="AI209" i="4" s="1"/>
  <c r="AI227" i="4" s="1"/>
  <c r="AI105" i="4"/>
  <c r="AC145" i="8" l="1"/>
  <c r="AA148" i="8"/>
  <c r="Z155" i="8"/>
  <c r="AM94" i="8"/>
  <c r="AL98" i="8" s="1"/>
  <c r="AH114" i="8"/>
  <c r="AG121" i="8"/>
  <c r="AA149" i="8"/>
  <c r="V230" i="8"/>
  <c r="V240" i="8" s="1"/>
  <c r="V248" i="8" s="1"/>
  <c r="V239" i="8"/>
  <c r="V247" i="8" s="1"/>
  <c r="AK199" i="8"/>
  <c r="AK209" i="8" s="1"/>
  <c r="AK227" i="8" s="1"/>
  <c r="AK105" i="8"/>
  <c r="AF125" i="8"/>
  <c r="AF126" i="8" s="1"/>
  <c r="AF127" i="8" s="1"/>
  <c r="AL102" i="8"/>
  <c r="AL99" i="8"/>
  <c r="AL103" i="8"/>
  <c r="AD139" i="8"/>
  <c r="Y162" i="8"/>
  <c r="X166" i="8" s="1"/>
  <c r="W173" i="8"/>
  <c r="X171" i="8"/>
  <c r="X170" i="8"/>
  <c r="AL88" i="4"/>
  <c r="AJ101" i="4"/>
  <c r="AJ185" i="4"/>
  <c r="AJ195" i="4" s="1"/>
  <c r="AJ219" i="4" s="1"/>
  <c r="AJ99" i="4"/>
  <c r="AJ100" i="4" s="1"/>
  <c r="AI107" i="4"/>
  <c r="AF128" i="8" l="1"/>
  <c r="AE132" i="8" s="1"/>
  <c r="W175" i="8"/>
  <c r="AA152" i="8"/>
  <c r="AA188" i="8"/>
  <c r="AA194" i="8" s="1"/>
  <c r="AA218" i="8" s="1"/>
  <c r="AG200" i="8"/>
  <c r="AG210" i="8" s="1"/>
  <c r="AG228" i="8" s="1"/>
  <c r="AG122" i="8"/>
  <c r="AL101" i="8"/>
  <c r="AM185" i="8"/>
  <c r="AM195" i="8" s="1"/>
  <c r="AM219" i="8" s="1"/>
  <c r="AL185" i="8"/>
  <c r="AL195" i="8" s="1"/>
  <c r="AL219" i="8" s="1"/>
  <c r="AL100" i="8"/>
  <c r="AA154" i="8"/>
  <c r="AA150" i="8"/>
  <c r="AA153" i="8"/>
  <c r="AA151" i="8"/>
  <c r="AB148" i="8" s="1"/>
  <c r="X169" i="8"/>
  <c r="X189" i="8"/>
  <c r="X192" i="8" s="1"/>
  <c r="X216" i="8" s="1"/>
  <c r="AD141" i="8"/>
  <c r="AH119" i="8"/>
  <c r="AH120" i="8"/>
  <c r="AH115" i="8"/>
  <c r="X167" i="8"/>
  <c r="Z202" i="8"/>
  <c r="Z208" i="8" s="1"/>
  <c r="Z226" i="8" s="1"/>
  <c r="Z156" i="8"/>
  <c r="AB149" i="8"/>
  <c r="X168" i="8"/>
  <c r="AK107" i="8"/>
  <c r="AL89" i="4"/>
  <c r="AM86" i="4" s="1"/>
  <c r="AM87" i="4" s="1"/>
  <c r="AK97" i="4"/>
  <c r="AJ104" i="4"/>
  <c r="AJ199" i="4" s="1"/>
  <c r="AJ209" i="4" s="1"/>
  <c r="AJ227" i="4" s="1"/>
  <c r="AL90" i="4"/>
  <c r="AL91" i="4" s="1"/>
  <c r="AL93" i="4" s="1"/>
  <c r="AI108" i="4"/>
  <c r="AI109" i="4" s="1"/>
  <c r="AI110" i="4" s="1"/>
  <c r="AB152" i="8" l="1"/>
  <c r="AB188" i="8"/>
  <c r="AB194" i="8" s="1"/>
  <c r="AB218" i="8" s="1"/>
  <c r="AG124" i="8"/>
  <c r="Y165" i="8"/>
  <c r="X172" i="8"/>
  <c r="X203" i="8" s="1"/>
  <c r="X206" i="8" s="1"/>
  <c r="X224" i="8" s="1"/>
  <c r="Z158" i="8"/>
  <c r="AH118" i="8"/>
  <c r="AH186" i="8"/>
  <c r="AH196" i="8" s="1"/>
  <c r="AH220" i="8" s="1"/>
  <c r="AH117" i="8"/>
  <c r="W176" i="8"/>
  <c r="W177" i="8" s="1"/>
  <c r="W178" i="8" s="1"/>
  <c r="W180" i="8" s="1"/>
  <c r="W213" i="8" s="1"/>
  <c r="AB154" i="8"/>
  <c r="AB153" i="8"/>
  <c r="AB150" i="8"/>
  <c r="AB151" i="8" s="1"/>
  <c r="AH116" i="8"/>
  <c r="AM97" i="8"/>
  <c r="AL104" i="8"/>
  <c r="AA155" i="8"/>
  <c r="AK108" i="8"/>
  <c r="AK109" i="8" s="1"/>
  <c r="AK110" i="8" s="1"/>
  <c r="AD142" i="8"/>
  <c r="AD143" i="8" s="1"/>
  <c r="AD144" i="8"/>
  <c r="AE135" i="8"/>
  <c r="AE187" i="8"/>
  <c r="AE193" i="8" s="1"/>
  <c r="AE217" i="8" s="1"/>
  <c r="AE133" i="8"/>
  <c r="AE134" i="8" s="1"/>
  <c r="AL221" i="4"/>
  <c r="AJ105" i="4"/>
  <c r="AJ107" i="4" s="1"/>
  <c r="AL94" i="4"/>
  <c r="AK98" i="4" s="1"/>
  <c r="AK102" i="4"/>
  <c r="AK103" i="4"/>
  <c r="W230" i="8" l="1"/>
  <c r="W240" i="8" s="1"/>
  <c r="W248" i="8" s="1"/>
  <c r="W239" i="8"/>
  <c r="W247" i="8" s="1"/>
  <c r="AF131" i="8"/>
  <c r="AE138" i="8"/>
  <c r="AK111" i="8"/>
  <c r="AC148" i="8"/>
  <c r="AB155" i="8"/>
  <c r="AB202" i="8" s="1"/>
  <c r="AB208" i="8" s="1"/>
  <c r="AB226" i="8" s="1"/>
  <c r="AB156" i="8"/>
  <c r="Z159" i="8"/>
  <c r="Z160" i="8" s="1"/>
  <c r="Z161" i="8" s="1"/>
  <c r="AA202" i="8"/>
  <c r="AA208" i="8" s="1"/>
  <c r="AA226" i="8" s="1"/>
  <c r="AA156" i="8"/>
  <c r="AL199" i="8"/>
  <c r="AL209" i="8" s="1"/>
  <c r="AL227" i="8" s="1"/>
  <c r="AL105" i="8"/>
  <c r="AM99" i="8"/>
  <c r="AM102" i="8"/>
  <c r="AM100" i="8"/>
  <c r="AM104" i="8" s="1"/>
  <c r="AM199" i="8" s="1"/>
  <c r="AM209" i="8" s="1"/>
  <c r="AM227" i="8" s="1"/>
  <c r="AM103" i="8"/>
  <c r="AD145" i="8"/>
  <c r="AC149" i="8" s="1"/>
  <c r="Y171" i="8"/>
  <c r="Y170" i="8"/>
  <c r="AG125" i="8"/>
  <c r="AG126" i="8" s="1"/>
  <c r="AG127" i="8" s="1"/>
  <c r="AI114" i="8"/>
  <c r="AH121" i="8"/>
  <c r="X173" i="8"/>
  <c r="AK101" i="4"/>
  <c r="AK185" i="4"/>
  <c r="AK195" i="4" s="1"/>
  <c r="AK219" i="4" s="1"/>
  <c r="AM88" i="4"/>
  <c r="AM89" i="4" s="1"/>
  <c r="AM221" i="4" s="1"/>
  <c r="AK99" i="4"/>
  <c r="AK100" i="4" s="1"/>
  <c r="AJ108" i="4"/>
  <c r="AJ109" i="4" s="1"/>
  <c r="AJ110" i="4" s="1"/>
  <c r="AM90" i="4"/>
  <c r="AM91" i="4" s="1"/>
  <c r="AM93" i="4" s="1"/>
  <c r="AG128" i="8" l="1"/>
  <c r="AF132" i="8" s="1"/>
  <c r="Z162" i="8"/>
  <c r="Y166" i="8" s="1"/>
  <c r="AM105" i="8"/>
  <c r="AE201" i="8"/>
  <c r="AE207" i="8" s="1"/>
  <c r="AE225" i="8" s="1"/>
  <c r="AE139" i="8"/>
  <c r="AF137" i="8"/>
  <c r="AF136" i="8"/>
  <c r="AF133" i="8"/>
  <c r="AF134" i="8" s="1"/>
  <c r="AC152" i="8"/>
  <c r="AC188" i="8"/>
  <c r="AC194" i="8" s="1"/>
  <c r="AC218" i="8" s="1"/>
  <c r="X175" i="8"/>
  <c r="AH200" i="8"/>
  <c r="AH210" i="8" s="1"/>
  <c r="AH228" i="8" s="1"/>
  <c r="AH122" i="8"/>
  <c r="AC153" i="8"/>
  <c r="AC150" i="8"/>
  <c r="AC151" i="8" s="1"/>
  <c r="AC154" i="8"/>
  <c r="AI119" i="8"/>
  <c r="AI120" i="8"/>
  <c r="AI115" i="8"/>
  <c r="AM107" i="8"/>
  <c r="AL107" i="8"/>
  <c r="AB158" i="8"/>
  <c r="AA158" i="8"/>
  <c r="AL97" i="4"/>
  <c r="AK104" i="4"/>
  <c r="AM94" i="4"/>
  <c r="AL98" i="4" s="1"/>
  <c r="AG131" i="8" l="1"/>
  <c r="AF138" i="8"/>
  <c r="AF201" i="8" s="1"/>
  <c r="AF207" i="8" s="1"/>
  <c r="AF225" i="8" s="1"/>
  <c r="AD148" i="8"/>
  <c r="AC155" i="8"/>
  <c r="AC202" i="8" s="1"/>
  <c r="AC208" i="8" s="1"/>
  <c r="AC226" i="8" s="1"/>
  <c r="AC156" i="8"/>
  <c r="AA159" i="8"/>
  <c r="AA160" i="8" s="1"/>
  <c r="AB161" i="8" s="1"/>
  <c r="AL108" i="8"/>
  <c r="AL109" i="8" s="1"/>
  <c r="AM110" i="8" s="1"/>
  <c r="AI116" i="8"/>
  <c r="AI117" i="8" s="1"/>
  <c r="AB159" i="8"/>
  <c r="AB160" i="8" s="1"/>
  <c r="AM108" i="8"/>
  <c r="AM109" i="8" s="1"/>
  <c r="AH124" i="8"/>
  <c r="AE141" i="8"/>
  <c r="AI118" i="8"/>
  <c r="AI186" i="8"/>
  <c r="AI196" i="8" s="1"/>
  <c r="AI220" i="8" s="1"/>
  <c r="X176" i="8"/>
  <c r="X177" i="8" s="1"/>
  <c r="X178" i="8" s="1"/>
  <c r="X180" i="8" s="1"/>
  <c r="X213" i="8" s="1"/>
  <c r="Y169" i="8"/>
  <c r="Y189" i="8"/>
  <c r="Y192" i="8" s="1"/>
  <c r="Y216" i="8" s="1"/>
  <c r="Y167" i="8"/>
  <c r="Y168" i="8"/>
  <c r="AF135" i="8"/>
  <c r="AF139" i="8"/>
  <c r="AF187" i="8"/>
  <c r="AF193" i="8" s="1"/>
  <c r="AF217" i="8" s="1"/>
  <c r="AL101" i="4"/>
  <c r="AM185" i="4"/>
  <c r="AM195" i="4" s="1"/>
  <c r="AM219" i="4" s="1"/>
  <c r="AL185" i="4"/>
  <c r="AL195" i="4" s="1"/>
  <c r="AL219" i="4" s="1"/>
  <c r="AK199" i="4"/>
  <c r="AK209" i="4" s="1"/>
  <c r="AK227" i="4" s="1"/>
  <c r="AK105" i="4"/>
  <c r="AL99" i="4"/>
  <c r="AL100" i="4" s="1"/>
  <c r="AL103" i="4"/>
  <c r="AL102" i="4"/>
  <c r="AJ114" i="8" l="1"/>
  <c r="AI121" i="8"/>
  <c r="Y173" i="8"/>
  <c r="X230" i="8"/>
  <c r="X240" i="8" s="1"/>
  <c r="X248" i="8" s="1"/>
  <c r="X239" i="8"/>
  <c r="X247" i="8" s="1"/>
  <c r="AA161" i="8"/>
  <c r="AC158" i="8"/>
  <c r="AL110" i="8"/>
  <c r="AE142" i="8"/>
  <c r="AE143" i="8" s="1"/>
  <c r="AE144" i="8"/>
  <c r="AF141" i="8"/>
  <c r="AH125" i="8"/>
  <c r="AH126" i="8" s="1"/>
  <c r="AH127" i="8" s="1"/>
  <c r="AD153" i="8"/>
  <c r="AD154" i="8"/>
  <c r="Z165" i="8"/>
  <c r="Y172" i="8"/>
  <c r="Y203" i="8" s="1"/>
  <c r="Y206" i="8" s="1"/>
  <c r="Y224" i="8" s="1"/>
  <c r="AG136" i="8"/>
  <c r="AG137" i="8"/>
  <c r="AM97" i="4"/>
  <c r="AL104" i="4"/>
  <c r="AL199" i="4" s="1"/>
  <c r="AL209" i="4" s="1"/>
  <c r="AL227" i="4" s="1"/>
  <c r="AK107" i="4"/>
  <c r="AH128" i="8" l="1"/>
  <c r="AG132" i="8" s="1"/>
  <c r="AF142" i="8"/>
  <c r="AF143" i="8" s="1"/>
  <c r="AF144" i="8" s="1"/>
  <c r="AI200" i="8"/>
  <c r="AI210" i="8" s="1"/>
  <c r="AI228" i="8" s="1"/>
  <c r="AI122" i="8"/>
  <c r="AE145" i="8"/>
  <c r="AD149" i="8" s="1"/>
  <c r="AL111" i="8"/>
  <c r="AA162" i="8"/>
  <c r="Y175" i="8"/>
  <c r="AJ120" i="8"/>
  <c r="AJ119" i="8"/>
  <c r="AJ115" i="8"/>
  <c r="AJ116" i="8" s="1"/>
  <c r="Z170" i="8"/>
  <c r="Z171" i="8"/>
  <c r="AC159" i="8"/>
  <c r="AC160" i="8" s="1"/>
  <c r="AC161" i="8" s="1"/>
  <c r="AM103" i="4"/>
  <c r="AM99" i="4"/>
  <c r="AM100" i="4" s="1"/>
  <c r="AM104" i="4" s="1"/>
  <c r="AM199" i="4" s="1"/>
  <c r="AM209" i="4" s="1"/>
  <c r="AM227" i="4" s="1"/>
  <c r="AM102" i="4"/>
  <c r="AK108" i="4"/>
  <c r="AK109" i="4" s="1"/>
  <c r="AK110" i="4" s="1"/>
  <c r="AL105" i="4"/>
  <c r="AF145" i="8" l="1"/>
  <c r="AM111" i="8"/>
  <c r="AD152" i="8"/>
  <c r="AD188" i="8"/>
  <c r="AD194" i="8" s="1"/>
  <c r="AD218" i="8" s="1"/>
  <c r="AD150" i="8"/>
  <c r="AD151" i="8"/>
  <c r="AI124" i="8"/>
  <c r="AJ118" i="8"/>
  <c r="AJ186" i="8"/>
  <c r="AJ196" i="8" s="1"/>
  <c r="AJ220" i="8" s="1"/>
  <c r="Y176" i="8"/>
  <c r="Y177" i="8" s="1"/>
  <c r="Y178" i="8"/>
  <c r="Y180" i="8" s="1"/>
  <c r="Y213" i="8" s="1"/>
  <c r="AJ117" i="8"/>
  <c r="Z166" i="8"/>
  <c r="AB162" i="8"/>
  <c r="AA166" i="8" s="1"/>
  <c r="AG135" i="8"/>
  <c r="AG187" i="8"/>
  <c r="AG193" i="8" s="1"/>
  <c r="AG217" i="8" s="1"/>
  <c r="AG133" i="8"/>
  <c r="AG134" i="8"/>
  <c r="AM105" i="4"/>
  <c r="AM107" i="4" s="1"/>
  <c r="AL107" i="4"/>
  <c r="AK114" i="8" l="1"/>
  <c r="AJ121" i="8"/>
  <c r="AJ200" i="8" s="1"/>
  <c r="AJ210" i="8" s="1"/>
  <c r="AJ228" i="8" s="1"/>
  <c r="AH131" i="8"/>
  <c r="AG138" i="8"/>
  <c r="AA169" i="8"/>
  <c r="AA189" i="8"/>
  <c r="AA192" i="8" s="1"/>
  <c r="AA216" i="8" s="1"/>
  <c r="Z169" i="8"/>
  <c r="Z189" i="8"/>
  <c r="Z192" i="8" s="1"/>
  <c r="Z216" i="8" s="1"/>
  <c r="Z167" i="8"/>
  <c r="Z168" i="8"/>
  <c r="AI125" i="8"/>
  <c r="AI126" i="8" s="1"/>
  <c r="AI127" i="8" s="1"/>
  <c r="AE148" i="8"/>
  <c r="AE149" i="8" s="1"/>
  <c r="AD155" i="8"/>
  <c r="Y239" i="8"/>
  <c r="Y247" i="8" s="1"/>
  <c r="Y230" i="8"/>
  <c r="Y240" i="8" s="1"/>
  <c r="Y248" i="8" s="1"/>
  <c r="AC162" i="8"/>
  <c r="AB166" i="8" s="1"/>
  <c r="AM108" i="4"/>
  <c r="AM109" i="4" s="1"/>
  <c r="AL108" i="4"/>
  <c r="AL109" i="4" s="1"/>
  <c r="AI128" i="8" l="1"/>
  <c r="AH132" i="8" s="1"/>
  <c r="AE152" i="8"/>
  <c r="AE188" i="8"/>
  <c r="AE194" i="8" s="1"/>
  <c r="AE218" i="8" s="1"/>
  <c r="AG201" i="8"/>
  <c r="AG207" i="8" s="1"/>
  <c r="AG225" i="8" s="1"/>
  <c r="AG139" i="8"/>
  <c r="AH136" i="8"/>
  <c r="AH133" i="8"/>
  <c r="AH137" i="8"/>
  <c r="AH134" i="8"/>
  <c r="AI131" i="8" s="1"/>
  <c r="AA165" i="8"/>
  <c r="Z172" i="8"/>
  <c r="AK120" i="8"/>
  <c r="AK119" i="8"/>
  <c r="AK115" i="8"/>
  <c r="AB169" i="8"/>
  <c r="AB189" i="8"/>
  <c r="AB192" i="8" s="1"/>
  <c r="AB216" i="8" s="1"/>
  <c r="AD202" i="8"/>
  <c r="AD208" i="8" s="1"/>
  <c r="AD226" i="8" s="1"/>
  <c r="AD156" i="8"/>
  <c r="AE150" i="8"/>
  <c r="AE151" i="8" s="1"/>
  <c r="AE153" i="8"/>
  <c r="AE154" i="8"/>
  <c r="AJ122" i="8"/>
  <c r="AM110" i="4"/>
  <c r="AL110" i="4"/>
  <c r="AF148" i="8" l="1"/>
  <c r="AE155" i="8"/>
  <c r="AE202" i="8" s="1"/>
  <c r="AE208" i="8" s="1"/>
  <c r="AE226" i="8" s="1"/>
  <c r="AK118" i="8"/>
  <c r="AK186" i="8"/>
  <c r="AK196" i="8" s="1"/>
  <c r="AK220" i="8" s="1"/>
  <c r="AJ124" i="8"/>
  <c r="AH135" i="8"/>
  <c r="AH139" i="8"/>
  <c r="AH141" i="8" s="1"/>
  <c r="AH187" i="8"/>
  <c r="AH193" i="8" s="1"/>
  <c r="AH217" i="8" s="1"/>
  <c r="AI136" i="8"/>
  <c r="AI137" i="8"/>
  <c r="AH138" i="8"/>
  <c r="AH201" i="8" s="1"/>
  <c r="AH207" i="8" s="1"/>
  <c r="AH225" i="8" s="1"/>
  <c r="AG141" i="8"/>
  <c r="AK116" i="8"/>
  <c r="AK117" i="8"/>
  <c r="Z203" i="8"/>
  <c r="Z206" i="8" s="1"/>
  <c r="Z224" i="8" s="1"/>
  <c r="Z173" i="8"/>
  <c r="AD158" i="8"/>
  <c r="AA171" i="8"/>
  <c r="AA170" i="8"/>
  <c r="AA167" i="8"/>
  <c r="AA168" i="8"/>
  <c r="AB165" i="8" s="1"/>
  <c r="D111" i="4"/>
  <c r="C115" i="4" s="1"/>
  <c r="C186" i="4" s="1"/>
  <c r="C196" i="4" s="1"/>
  <c r="C220" i="4" s="1"/>
  <c r="AH142" i="8" l="1"/>
  <c r="AH143" i="8" s="1"/>
  <c r="AB171" i="8"/>
  <c r="AB170" i="8"/>
  <c r="AB167" i="8"/>
  <c r="AB168" i="8" s="1"/>
  <c r="AJ125" i="8"/>
  <c r="AJ126" i="8" s="1"/>
  <c r="AJ127" i="8"/>
  <c r="AG142" i="8"/>
  <c r="AG143" i="8" s="1"/>
  <c r="AH144" i="8" s="1"/>
  <c r="AD159" i="8"/>
  <c r="AD160" i="8" s="1"/>
  <c r="AD161" i="8"/>
  <c r="AF153" i="8"/>
  <c r="AF154" i="8"/>
  <c r="AL114" i="8"/>
  <c r="AK121" i="8"/>
  <c r="AK200" i="8" s="1"/>
  <c r="AK210" i="8" s="1"/>
  <c r="AK228" i="8" s="1"/>
  <c r="AA172" i="8"/>
  <c r="AA203" i="8" s="1"/>
  <c r="AA206" i="8" s="1"/>
  <c r="AA224" i="8" s="1"/>
  <c r="Z175" i="8"/>
  <c r="AE156" i="8"/>
  <c r="E111" i="4"/>
  <c r="D115" i="4" s="1"/>
  <c r="D118" i="4" s="1"/>
  <c r="C117" i="4"/>
  <c r="C118" i="4"/>
  <c r="AC165" i="8" l="1"/>
  <c r="AB172" i="8"/>
  <c r="AB203" i="8" s="1"/>
  <c r="AB206" i="8" s="1"/>
  <c r="AB224" i="8" s="1"/>
  <c r="AJ128" i="8"/>
  <c r="AI132" i="8" s="1"/>
  <c r="AL120" i="8"/>
  <c r="AL119" i="8"/>
  <c r="AL115" i="8"/>
  <c r="AA173" i="8"/>
  <c r="AE158" i="8"/>
  <c r="AD162" i="8"/>
  <c r="AC166" i="8" s="1"/>
  <c r="AK122" i="8"/>
  <c r="Z176" i="8"/>
  <c r="Z177" i="8" s="1"/>
  <c r="Z178" i="8" s="1"/>
  <c r="Z180" i="8" s="1"/>
  <c r="Z213" i="8" s="1"/>
  <c r="AG144" i="8"/>
  <c r="F111" i="4"/>
  <c r="G111" i="4" s="1"/>
  <c r="F115" i="4" s="1"/>
  <c r="F118" i="4" s="1"/>
  <c r="D186" i="4"/>
  <c r="D196" i="4" s="1"/>
  <c r="D220" i="4" s="1"/>
  <c r="C121" i="4"/>
  <c r="D114" i="4"/>
  <c r="Z239" i="8" l="1"/>
  <c r="Z247" i="8" s="1"/>
  <c r="Z230" i="8"/>
  <c r="Z240" i="8" s="1"/>
  <c r="Z248" i="8" s="1"/>
  <c r="AL118" i="8"/>
  <c r="AM186" i="8"/>
  <c r="AM196" i="8" s="1"/>
  <c r="AM220" i="8" s="1"/>
  <c r="AL186" i="8"/>
  <c r="AL196" i="8" s="1"/>
  <c r="AL220" i="8" s="1"/>
  <c r="AL116" i="8"/>
  <c r="AL117" i="8" s="1"/>
  <c r="AI135" i="8"/>
  <c r="AI187" i="8"/>
  <c r="AI193" i="8" s="1"/>
  <c r="AI217" i="8" s="1"/>
  <c r="AI133" i="8"/>
  <c r="AI134" i="8" s="1"/>
  <c r="AK124" i="8"/>
  <c r="AC169" i="8"/>
  <c r="AC189" i="8"/>
  <c r="AC192" i="8" s="1"/>
  <c r="AC216" i="8" s="1"/>
  <c r="AG145" i="8"/>
  <c r="AE159" i="8"/>
  <c r="AE160" i="8" s="1"/>
  <c r="AE161" i="8"/>
  <c r="AC167" i="8"/>
  <c r="AC168" i="8" s="1"/>
  <c r="AC170" i="8"/>
  <c r="AC171" i="8"/>
  <c r="AB173" i="8"/>
  <c r="AA175" i="8"/>
  <c r="AB175" i="8"/>
  <c r="H111" i="4"/>
  <c r="G115" i="4" s="1"/>
  <c r="E115" i="4"/>
  <c r="F186" i="4" s="1"/>
  <c r="F196" i="4" s="1"/>
  <c r="F220" i="4" s="1"/>
  <c r="D116" i="4"/>
  <c r="D117" i="4" s="1"/>
  <c r="D119" i="4"/>
  <c r="D120" i="4"/>
  <c r="C200" i="4"/>
  <c r="C210" i="4" s="1"/>
  <c r="C228" i="4" s="1"/>
  <c r="C122" i="4"/>
  <c r="AJ131" i="8" l="1"/>
  <c r="AI138" i="8"/>
  <c r="AM114" i="8"/>
  <c r="AL121" i="8"/>
  <c r="AL200" i="8" s="1"/>
  <c r="AL210" i="8" s="1"/>
  <c r="AL228" i="8" s="1"/>
  <c r="AD165" i="8"/>
  <c r="AC172" i="8"/>
  <c r="AC203" i="8" s="1"/>
  <c r="AC206" i="8" s="1"/>
  <c r="AC224" i="8" s="1"/>
  <c r="AC173" i="8"/>
  <c r="AC175" i="8" s="1"/>
  <c r="AL122" i="8"/>
  <c r="AE162" i="8"/>
  <c r="AD166" i="8" s="1"/>
  <c r="AF149" i="8"/>
  <c r="AH145" i="8"/>
  <c r="AA176" i="8"/>
  <c r="AA177" i="8" s="1"/>
  <c r="AA178" i="8" s="1"/>
  <c r="AA180" i="8" s="1"/>
  <c r="AA213" i="8" s="1"/>
  <c r="AB176" i="8"/>
  <c r="AB177" i="8" s="1"/>
  <c r="AB178" i="8" s="1"/>
  <c r="AB180" i="8" s="1"/>
  <c r="AB213" i="8" s="1"/>
  <c r="AK125" i="8"/>
  <c r="AK126" i="8" s="1"/>
  <c r="AK127" i="8"/>
  <c r="G186" i="4"/>
  <c r="G196" i="4" s="1"/>
  <c r="G220" i="4" s="1"/>
  <c r="E186" i="4"/>
  <c r="E196" i="4" s="1"/>
  <c r="E220" i="4" s="1"/>
  <c r="E118" i="4"/>
  <c r="I111" i="4"/>
  <c r="H115" i="4" s="1"/>
  <c r="E114" i="4"/>
  <c r="D121" i="4"/>
  <c r="D122" i="4" s="1"/>
  <c r="C124" i="4"/>
  <c r="G118" i="4"/>
  <c r="AA239" i="8" l="1"/>
  <c r="AA247" i="8" s="1"/>
  <c r="AA230" i="8"/>
  <c r="AA240" i="8" s="1"/>
  <c r="AA248" i="8" s="1"/>
  <c r="AB239" i="8"/>
  <c r="AB247" i="8" s="1"/>
  <c r="AB230" i="8"/>
  <c r="AB240" i="8" s="1"/>
  <c r="AB248" i="8" s="1"/>
  <c r="AD170" i="8"/>
  <c r="AD167" i="8"/>
  <c r="AD171" i="8"/>
  <c r="AD168" i="8"/>
  <c r="AE165" i="8" s="1"/>
  <c r="AD172" i="8"/>
  <c r="AD203" i="8" s="1"/>
  <c r="AD206" i="8" s="1"/>
  <c r="AD224" i="8" s="1"/>
  <c r="AM121" i="8"/>
  <c r="AM200" i="8" s="1"/>
  <c r="AM210" i="8" s="1"/>
  <c r="AM228" i="8" s="1"/>
  <c r="AM120" i="8"/>
  <c r="AM116" i="8"/>
  <c r="AM119" i="8"/>
  <c r="AM117" i="8"/>
  <c r="AD169" i="8"/>
  <c r="AD173" i="8" s="1"/>
  <c r="AD189" i="8"/>
  <c r="AD192" i="8" s="1"/>
  <c r="AD216" i="8" s="1"/>
  <c r="AL124" i="8"/>
  <c r="AC176" i="8"/>
  <c r="AC177" i="8" s="1"/>
  <c r="AC178" i="8" s="1"/>
  <c r="AC180" i="8" s="1"/>
  <c r="AC213" i="8" s="1"/>
  <c r="AI201" i="8"/>
  <c r="AI207" i="8" s="1"/>
  <c r="AI225" i="8" s="1"/>
  <c r="AI139" i="8"/>
  <c r="AF152" i="8"/>
  <c r="AF188" i="8"/>
  <c r="AF194" i="8" s="1"/>
  <c r="AF218" i="8" s="1"/>
  <c r="AF150" i="8"/>
  <c r="AF151" i="8" s="1"/>
  <c r="AK128" i="8"/>
  <c r="AJ132" i="8" s="1"/>
  <c r="AJ137" i="8"/>
  <c r="AJ136" i="8"/>
  <c r="J111" i="4"/>
  <c r="I115" i="4" s="1"/>
  <c r="C125" i="4"/>
  <c r="C126" i="4" s="1"/>
  <c r="C127" i="4" s="1"/>
  <c r="C128" i="4" s="1"/>
  <c r="H118" i="4"/>
  <c r="D124" i="4"/>
  <c r="H186" i="4"/>
  <c r="H196" i="4" s="1"/>
  <c r="H220" i="4" s="1"/>
  <c r="D200" i="4"/>
  <c r="D210" i="4" s="1"/>
  <c r="D228" i="4" s="1"/>
  <c r="E116" i="4"/>
  <c r="E117" i="4" s="1"/>
  <c r="E120" i="4"/>
  <c r="E119" i="4"/>
  <c r="AG148" i="8" l="1"/>
  <c r="AF155" i="8"/>
  <c r="AF202" i="8" s="1"/>
  <c r="AF208" i="8" s="1"/>
  <c r="AF226" i="8" s="1"/>
  <c r="AD175" i="8"/>
  <c r="AF156" i="8"/>
  <c r="AC239" i="8"/>
  <c r="AC247" i="8" s="1"/>
  <c r="AC230" i="8"/>
  <c r="AC240" i="8" s="1"/>
  <c r="AC248" i="8" s="1"/>
  <c r="AJ135" i="8"/>
  <c r="AJ187" i="8"/>
  <c r="AJ193" i="8" s="1"/>
  <c r="AJ217" i="8" s="1"/>
  <c r="AE170" i="8"/>
  <c r="AE171" i="8"/>
  <c r="AL125" i="8"/>
  <c r="AL126" i="8" s="1"/>
  <c r="AL127" i="8"/>
  <c r="AM122" i="8"/>
  <c r="AM124" i="8" s="1"/>
  <c r="AJ133" i="8"/>
  <c r="AJ134" i="8"/>
  <c r="AI141" i="8"/>
  <c r="K111" i="4"/>
  <c r="L111" i="4" s="1"/>
  <c r="M111" i="4" s="1"/>
  <c r="L115" i="4" s="1"/>
  <c r="F114" i="4"/>
  <c r="E121" i="4"/>
  <c r="E122" i="4" s="1"/>
  <c r="I118" i="4"/>
  <c r="D125" i="4"/>
  <c r="D126" i="4" s="1"/>
  <c r="D127" i="4" s="1"/>
  <c r="I186" i="4"/>
  <c r="I196" i="4" s="1"/>
  <c r="I220" i="4" s="1"/>
  <c r="AF158" i="8" l="1"/>
  <c r="AI142" i="8"/>
  <c r="AI143" i="8" s="1"/>
  <c r="AI144" i="8" s="1"/>
  <c r="AK131" i="8"/>
  <c r="AJ138" i="8"/>
  <c r="AJ201" i="8" s="1"/>
  <c r="AJ207" i="8" s="1"/>
  <c r="AJ225" i="8" s="1"/>
  <c r="AM125" i="8"/>
  <c r="AM126" i="8" s="1"/>
  <c r="AM127" i="8"/>
  <c r="AL128" i="8"/>
  <c r="AK132" i="8" s="1"/>
  <c r="AD176" i="8"/>
  <c r="AD177" i="8" s="1"/>
  <c r="AD178" i="8" s="1"/>
  <c r="AD180" i="8" s="1"/>
  <c r="AD213" i="8" s="1"/>
  <c r="AG153" i="8"/>
  <c r="AG154" i="8"/>
  <c r="AG149" i="8"/>
  <c r="J115" i="4"/>
  <c r="J186" i="4" s="1"/>
  <c r="J196" i="4" s="1"/>
  <c r="J220" i="4" s="1"/>
  <c r="N111" i="4"/>
  <c r="M115" i="4" s="1"/>
  <c r="M118" i="4" s="1"/>
  <c r="D128" i="4"/>
  <c r="C132" i="4" s="1"/>
  <c r="L118" i="4"/>
  <c r="K115" i="4"/>
  <c r="E200" i="4"/>
  <c r="E210" i="4" s="1"/>
  <c r="E228" i="4" s="1"/>
  <c r="E124" i="4"/>
  <c r="F116" i="4"/>
  <c r="F117" i="4" s="1"/>
  <c r="G114" i="4" s="1"/>
  <c r="F119" i="4"/>
  <c r="F120" i="4"/>
  <c r="AD239" i="8" l="1"/>
  <c r="AD247" i="8" s="1"/>
  <c r="AD230" i="8"/>
  <c r="AD240" i="8" s="1"/>
  <c r="AD248" i="8" s="1"/>
  <c r="AI145" i="8"/>
  <c r="AM128" i="8"/>
  <c r="AL132" i="8" s="1"/>
  <c r="AF159" i="8"/>
  <c r="AF160" i="8" s="1"/>
  <c r="AF161" i="8"/>
  <c r="AK135" i="8"/>
  <c r="AK187" i="8"/>
  <c r="AK193" i="8" s="1"/>
  <c r="AK217" i="8" s="1"/>
  <c r="AG152" i="8"/>
  <c r="AG188" i="8"/>
  <c r="AG194" i="8" s="1"/>
  <c r="AG218" i="8" s="1"/>
  <c r="AK133" i="8"/>
  <c r="AK134" i="8"/>
  <c r="AL131" i="8" s="1"/>
  <c r="AK137" i="8"/>
  <c r="AK136" i="8"/>
  <c r="AG150" i="8"/>
  <c r="AG151" i="8"/>
  <c r="L186" i="4"/>
  <c r="L196" i="4" s="1"/>
  <c r="L220" i="4" s="1"/>
  <c r="J118" i="4"/>
  <c r="AJ139" i="8"/>
  <c r="O111" i="4"/>
  <c r="N115" i="4" s="1"/>
  <c r="N118" i="4" s="1"/>
  <c r="C187" i="4"/>
  <c r="C193" i="4" s="1"/>
  <c r="C217" i="4" s="1"/>
  <c r="C134" i="4"/>
  <c r="C135" i="4"/>
  <c r="K118" i="4"/>
  <c r="K186" i="4"/>
  <c r="K196" i="4" s="1"/>
  <c r="K220" i="4" s="1"/>
  <c r="F121" i="4"/>
  <c r="E125" i="4"/>
  <c r="E126" i="4" s="1"/>
  <c r="E127" i="4" s="1"/>
  <c r="M186" i="4"/>
  <c r="M196" i="4" s="1"/>
  <c r="M220" i="4" s="1"/>
  <c r="G120" i="4"/>
  <c r="G119" i="4"/>
  <c r="G116" i="4"/>
  <c r="G117" i="4" s="1"/>
  <c r="H114" i="4" s="1"/>
  <c r="AJ141" i="8" l="1"/>
  <c r="AH148" i="8"/>
  <c r="AG155" i="8"/>
  <c r="AG202" i="8" s="1"/>
  <c r="AG208" i="8" s="1"/>
  <c r="AG226" i="8" s="1"/>
  <c r="AF162" i="8"/>
  <c r="AE166" i="8" s="1"/>
  <c r="AL136" i="8"/>
  <c r="AL133" i="8"/>
  <c r="AL134" i="8" s="1"/>
  <c r="AL137" i="8"/>
  <c r="AL135" i="8"/>
  <c r="AL187" i="8"/>
  <c r="AL193" i="8" s="1"/>
  <c r="AL217" i="8" s="1"/>
  <c r="AM187" i="8"/>
  <c r="AM193" i="8" s="1"/>
  <c r="AM217" i="8" s="1"/>
  <c r="AK138" i="8"/>
  <c r="AK201" i="8" s="1"/>
  <c r="AK207" i="8" s="1"/>
  <c r="AK225" i="8" s="1"/>
  <c r="N186" i="4"/>
  <c r="N196" i="4" s="1"/>
  <c r="N220" i="4" s="1"/>
  <c r="P111" i="4"/>
  <c r="H116" i="4"/>
  <c r="H117" i="4" s="1"/>
  <c r="H119" i="4"/>
  <c r="H120" i="4"/>
  <c r="G121" i="4"/>
  <c r="D131" i="4"/>
  <c r="C138" i="4"/>
  <c r="C139" i="4" s="1"/>
  <c r="F200" i="4"/>
  <c r="F210" i="4" s="1"/>
  <c r="F228" i="4" s="1"/>
  <c r="F122" i="4"/>
  <c r="E128" i="4"/>
  <c r="AM131" i="8" l="1"/>
  <c r="AL138" i="8"/>
  <c r="AL201" i="8" s="1"/>
  <c r="AL207" i="8" s="1"/>
  <c r="AL225" i="8" s="1"/>
  <c r="AH153" i="8"/>
  <c r="AH154" i="8"/>
  <c r="AH150" i="8"/>
  <c r="AJ142" i="8"/>
  <c r="AJ143" i="8" s="1"/>
  <c r="AJ144" i="8" s="1"/>
  <c r="AK139" i="8"/>
  <c r="AE169" i="8"/>
  <c r="AE189" i="8"/>
  <c r="AE192" i="8" s="1"/>
  <c r="AE216" i="8" s="1"/>
  <c r="AE167" i="8"/>
  <c r="AE168" i="8" s="1"/>
  <c r="AH149" i="8"/>
  <c r="AG156" i="8"/>
  <c r="O115" i="4"/>
  <c r="Q111" i="4"/>
  <c r="I114" i="4"/>
  <c r="I120" i="4" s="1"/>
  <c r="H121" i="4"/>
  <c r="H200" i="4" s="1"/>
  <c r="H210" i="4" s="1"/>
  <c r="H228" i="4" s="1"/>
  <c r="C201" i="4"/>
  <c r="C207" i="4" s="1"/>
  <c r="C225" i="4" s="1"/>
  <c r="F124" i="4"/>
  <c r="G122" i="4"/>
  <c r="G124" i="4" s="1"/>
  <c r="D132" i="4"/>
  <c r="D133" i="4" s="1"/>
  <c r="D136" i="4"/>
  <c r="D137" i="4"/>
  <c r="G200" i="4"/>
  <c r="G210" i="4" s="1"/>
  <c r="G228" i="4" s="1"/>
  <c r="AF165" i="8" l="1"/>
  <c r="AE172" i="8"/>
  <c r="AJ145" i="8"/>
  <c r="AG158" i="8"/>
  <c r="AH152" i="8"/>
  <c r="AH188" i="8"/>
  <c r="AH194" i="8" s="1"/>
  <c r="AH218" i="8" s="1"/>
  <c r="AM136" i="8"/>
  <c r="AM133" i="8"/>
  <c r="AM134" i="8" s="1"/>
  <c r="AM138" i="8" s="1"/>
  <c r="AM201" i="8" s="1"/>
  <c r="AM207" i="8" s="1"/>
  <c r="AM225" i="8" s="1"/>
  <c r="AM137" i="8"/>
  <c r="AK141" i="8"/>
  <c r="AH151" i="8"/>
  <c r="AL139" i="8"/>
  <c r="AL141" i="8" s="1"/>
  <c r="H122" i="4"/>
  <c r="H124" i="4" s="1"/>
  <c r="I119" i="4"/>
  <c r="I116" i="4"/>
  <c r="I117" i="4" s="1"/>
  <c r="J114" i="4" s="1"/>
  <c r="J116" i="4" s="1"/>
  <c r="J117" i="4" s="1"/>
  <c r="K114" i="4" s="1"/>
  <c r="P115" i="4"/>
  <c r="R111" i="4"/>
  <c r="O186" i="4"/>
  <c r="O196" i="4" s="1"/>
  <c r="O220" i="4" s="1"/>
  <c r="O118" i="4"/>
  <c r="F125" i="4"/>
  <c r="F126" i="4" s="1"/>
  <c r="C141" i="4"/>
  <c r="D135" i="4"/>
  <c r="D187" i="4"/>
  <c r="D193" i="4" s="1"/>
  <c r="D217" i="4" s="1"/>
  <c r="G125" i="4"/>
  <c r="G126" i="4" s="1"/>
  <c r="D134" i="4"/>
  <c r="AL142" i="8" l="1"/>
  <c r="AL143" i="8" s="1"/>
  <c r="AG159" i="8"/>
  <c r="AG160" i="8" s="1"/>
  <c r="AG161" i="8" s="1"/>
  <c r="AK142" i="8"/>
  <c r="AK143" i="8" s="1"/>
  <c r="AK144" i="8" s="1"/>
  <c r="AI148" i="8"/>
  <c r="AH155" i="8"/>
  <c r="AE203" i="8"/>
  <c r="AE206" i="8" s="1"/>
  <c r="AE224" i="8" s="1"/>
  <c r="AE173" i="8"/>
  <c r="AM139" i="8"/>
  <c r="AM141" i="8" s="1"/>
  <c r="AI149" i="8"/>
  <c r="AF171" i="8"/>
  <c r="AF170" i="8"/>
  <c r="J119" i="4"/>
  <c r="J120" i="4"/>
  <c r="G127" i="4"/>
  <c r="I121" i="4"/>
  <c r="I122" i="4" s="1"/>
  <c r="I124" i="4" s="1"/>
  <c r="Q115" i="4"/>
  <c r="S111" i="4"/>
  <c r="P186" i="4"/>
  <c r="P196" i="4" s="1"/>
  <c r="P220" i="4" s="1"/>
  <c r="P118" i="4"/>
  <c r="F127" i="4"/>
  <c r="F128" i="4" s="1"/>
  <c r="J121" i="4"/>
  <c r="C142" i="4"/>
  <c r="C143" i="4" s="1"/>
  <c r="C144" i="4" s="1"/>
  <c r="C145" i="4" s="1"/>
  <c r="H125" i="4"/>
  <c r="H126" i="4" s="1"/>
  <c r="H127" i="4" s="1"/>
  <c r="E131" i="4"/>
  <c r="D138" i="4"/>
  <c r="K116" i="4"/>
  <c r="K117" i="4" s="1"/>
  <c r="L114" i="4" s="1"/>
  <c r="K120" i="4"/>
  <c r="K119" i="4"/>
  <c r="AK145" i="8" l="1"/>
  <c r="AG162" i="8"/>
  <c r="AF166" i="8" s="1"/>
  <c r="AM142" i="8"/>
  <c r="AM143" i="8" s="1"/>
  <c r="AM144" i="8"/>
  <c r="AE175" i="8"/>
  <c r="AH202" i="8"/>
  <c r="AH208" i="8" s="1"/>
  <c r="AH226" i="8" s="1"/>
  <c r="AH156" i="8"/>
  <c r="AL144" i="8"/>
  <c r="AI152" i="8"/>
  <c r="AI188" i="8"/>
  <c r="AI194" i="8" s="1"/>
  <c r="AI218" i="8" s="1"/>
  <c r="AI153" i="8"/>
  <c r="AI154" i="8"/>
  <c r="AI150" i="8"/>
  <c r="AI151" i="8" s="1"/>
  <c r="G128" i="4"/>
  <c r="H128" i="4" s="1"/>
  <c r="J200" i="4"/>
  <c r="J210" i="4" s="1"/>
  <c r="J228" i="4" s="1"/>
  <c r="I200" i="4"/>
  <c r="I210" i="4" s="1"/>
  <c r="I228" i="4" s="1"/>
  <c r="T111" i="4"/>
  <c r="R115" i="4"/>
  <c r="Q118" i="4"/>
  <c r="Q186" i="4"/>
  <c r="Q196" i="4" s="1"/>
  <c r="Q220" i="4" s="1"/>
  <c r="J122" i="4"/>
  <c r="I125" i="4"/>
  <c r="I126" i="4" s="1"/>
  <c r="I127" i="4" s="1"/>
  <c r="E137" i="4"/>
  <c r="E136" i="4"/>
  <c r="K121" i="4"/>
  <c r="K200" i="4" s="1"/>
  <c r="K210" i="4" s="1"/>
  <c r="K228" i="4" s="1"/>
  <c r="L116" i="4"/>
  <c r="L117" i="4" s="1"/>
  <c r="M114" i="4" s="1"/>
  <c r="L119" i="4"/>
  <c r="L120" i="4"/>
  <c r="E132" i="4"/>
  <c r="D201" i="4"/>
  <c r="D207" i="4" s="1"/>
  <c r="D225" i="4" s="1"/>
  <c r="D139" i="4"/>
  <c r="AJ148" i="8" l="1"/>
  <c r="AI155" i="8"/>
  <c r="AI202" i="8" s="1"/>
  <c r="AI208" i="8" s="1"/>
  <c r="AI226" i="8" s="1"/>
  <c r="AE176" i="8"/>
  <c r="AE177" i="8" s="1"/>
  <c r="AE178" i="8"/>
  <c r="AE180" i="8" s="1"/>
  <c r="AE213" i="8" s="1"/>
  <c r="AL145" i="8"/>
  <c r="AM145" i="8" s="1"/>
  <c r="AH158" i="8"/>
  <c r="AF169" i="8"/>
  <c r="AF189" i="8"/>
  <c r="AF192" i="8" s="1"/>
  <c r="AF216" i="8" s="1"/>
  <c r="AF167" i="8"/>
  <c r="AF168" i="8" s="1"/>
  <c r="AJ149" i="8"/>
  <c r="F132" i="4"/>
  <c r="F135" i="4" s="1"/>
  <c r="R186" i="4"/>
  <c r="R196" i="4" s="1"/>
  <c r="R220" i="4" s="1"/>
  <c r="R118" i="4"/>
  <c r="S115" i="4"/>
  <c r="U111" i="4"/>
  <c r="K122" i="4"/>
  <c r="K124" i="4" s="1"/>
  <c r="I128" i="4"/>
  <c r="D141" i="4"/>
  <c r="E135" i="4"/>
  <c r="E187" i="4"/>
  <c r="E193" i="4" s="1"/>
  <c r="E217" i="4" s="1"/>
  <c r="J124" i="4"/>
  <c r="L121" i="4"/>
  <c r="L200" i="4" s="1"/>
  <c r="L210" i="4" s="1"/>
  <c r="L228" i="4" s="1"/>
  <c r="M116" i="4"/>
  <c r="M117" i="4" s="1"/>
  <c r="N114" i="4" s="1"/>
  <c r="M120" i="4"/>
  <c r="M119" i="4"/>
  <c r="E133" i="4"/>
  <c r="E134" i="4" s="1"/>
  <c r="G132" i="4"/>
  <c r="AG165" i="8" l="1"/>
  <c r="AF172" i="8"/>
  <c r="AF203" i="8" s="1"/>
  <c r="AF206" i="8" s="1"/>
  <c r="AF224" i="8" s="1"/>
  <c r="AF173" i="8"/>
  <c r="AH159" i="8"/>
  <c r="AH160" i="8" s="1"/>
  <c r="AH161" i="8"/>
  <c r="AE239" i="8"/>
  <c r="AE247" i="8" s="1"/>
  <c r="AE230" i="8"/>
  <c r="AE240" i="8" s="1"/>
  <c r="AE248" i="8" s="1"/>
  <c r="AJ154" i="8"/>
  <c r="AJ151" i="8"/>
  <c r="AK148" i="8" s="1"/>
  <c r="AK149" i="8" s="1"/>
  <c r="AJ153" i="8"/>
  <c r="AJ150" i="8"/>
  <c r="AJ152" i="8"/>
  <c r="AJ188" i="8"/>
  <c r="AJ194" i="8" s="1"/>
  <c r="AJ218" i="8" s="1"/>
  <c r="AI156" i="8"/>
  <c r="G187" i="4"/>
  <c r="G193" i="4" s="1"/>
  <c r="G217" i="4" s="1"/>
  <c r="F187" i="4"/>
  <c r="F193" i="4" s="1"/>
  <c r="F217" i="4" s="1"/>
  <c r="S118" i="4"/>
  <c r="S186" i="4"/>
  <c r="S196" i="4" s="1"/>
  <c r="S220" i="4" s="1"/>
  <c r="V111" i="4"/>
  <c r="U115" i="4" s="1"/>
  <c r="U118" i="4" s="1"/>
  <c r="T115" i="4"/>
  <c r="L122" i="4"/>
  <c r="L124" i="4" s="1"/>
  <c r="L125" i="4" s="1"/>
  <c r="L126" i="4" s="1"/>
  <c r="F131" i="4"/>
  <c r="E138" i="4"/>
  <c r="D142" i="4"/>
  <c r="D143" i="4" s="1"/>
  <c r="D144" i="4" s="1"/>
  <c r="M121" i="4"/>
  <c r="M200" i="4" s="1"/>
  <c r="M210" i="4" s="1"/>
  <c r="M228" i="4" s="1"/>
  <c r="H132" i="4"/>
  <c r="J125" i="4"/>
  <c r="J126" i="4" s="1"/>
  <c r="J127" i="4" s="1"/>
  <c r="G135" i="4"/>
  <c r="N119" i="4"/>
  <c r="N116" i="4"/>
  <c r="N117" i="4" s="1"/>
  <c r="N120" i="4"/>
  <c r="K125" i="4"/>
  <c r="K126" i="4" s="1"/>
  <c r="AK152" i="8" l="1"/>
  <c r="AK188" i="8"/>
  <c r="AK194" i="8" s="1"/>
  <c r="AK218" i="8" s="1"/>
  <c r="AH162" i="8"/>
  <c r="AG166" i="8" s="1"/>
  <c r="AF175" i="8"/>
  <c r="AI158" i="8"/>
  <c r="AK153" i="8"/>
  <c r="AK154" i="8"/>
  <c r="AK150" i="8"/>
  <c r="AK151" i="8" s="1"/>
  <c r="AJ155" i="8"/>
  <c r="AJ202" i="8" s="1"/>
  <c r="AJ208" i="8" s="1"/>
  <c r="AJ226" i="8" s="1"/>
  <c r="AG171" i="8"/>
  <c r="AG167" i="8"/>
  <c r="AG168" i="8" s="1"/>
  <c r="AG170" i="8"/>
  <c r="T186" i="4"/>
  <c r="T196" i="4" s="1"/>
  <c r="T220" i="4" s="1"/>
  <c r="T118" i="4"/>
  <c r="U186" i="4"/>
  <c r="U196" i="4" s="1"/>
  <c r="U220" i="4" s="1"/>
  <c r="W111" i="4"/>
  <c r="K127" i="4"/>
  <c r="O114" i="4"/>
  <c r="N121" i="4"/>
  <c r="N200" i="4" s="1"/>
  <c r="N210" i="4" s="1"/>
  <c r="N228" i="4" s="1"/>
  <c r="H135" i="4"/>
  <c r="H187" i="4"/>
  <c r="H193" i="4" s="1"/>
  <c r="H217" i="4" s="1"/>
  <c r="J128" i="4"/>
  <c r="D145" i="4"/>
  <c r="C149" i="4" s="1"/>
  <c r="M122" i="4"/>
  <c r="M124" i="4" s="1"/>
  <c r="L127" i="4"/>
  <c r="E201" i="4"/>
  <c r="E207" i="4" s="1"/>
  <c r="E225" i="4" s="1"/>
  <c r="E139" i="4"/>
  <c r="F133" i="4"/>
  <c r="F134" i="4" s="1"/>
  <c r="G131" i="4" s="1"/>
  <c r="F137" i="4"/>
  <c r="F136" i="4"/>
  <c r="AH165" i="8" l="1"/>
  <c r="AG172" i="8"/>
  <c r="AG203" i="8" s="1"/>
  <c r="AG206" i="8" s="1"/>
  <c r="AG224" i="8" s="1"/>
  <c r="AL148" i="8"/>
  <c r="AK155" i="8"/>
  <c r="AK202" i="8" s="1"/>
  <c r="AK208" i="8" s="1"/>
  <c r="AK226" i="8" s="1"/>
  <c r="AI159" i="8"/>
  <c r="AI160" i="8" s="1"/>
  <c r="AI161" i="8" s="1"/>
  <c r="AF176" i="8"/>
  <c r="AF177" i="8" s="1"/>
  <c r="AF178" i="8" s="1"/>
  <c r="AF180" i="8" s="1"/>
  <c r="AF213" i="8" s="1"/>
  <c r="AG169" i="8"/>
  <c r="AG173" i="8" s="1"/>
  <c r="AG189" i="8"/>
  <c r="AG192" i="8" s="1"/>
  <c r="AG216" i="8" s="1"/>
  <c r="AJ156" i="8"/>
  <c r="K128" i="4"/>
  <c r="J132" i="4" s="1"/>
  <c r="V115" i="4"/>
  <c r="X111" i="4"/>
  <c r="W115" i="4" s="1"/>
  <c r="W118" i="4" s="1"/>
  <c r="G133" i="4"/>
  <c r="G134" i="4" s="1"/>
  <c r="G136" i="4"/>
  <c r="G137" i="4"/>
  <c r="O120" i="4"/>
  <c r="O116" i="4"/>
  <c r="O117" i="4" s="1"/>
  <c r="O119" i="4"/>
  <c r="M125" i="4"/>
  <c r="M126" i="4" s="1"/>
  <c r="M127" i="4" s="1"/>
  <c r="E141" i="4"/>
  <c r="N122" i="4"/>
  <c r="N124" i="4" s="1"/>
  <c r="C152" i="4"/>
  <c r="C151" i="4"/>
  <c r="C188" i="4"/>
  <c r="C194" i="4" s="1"/>
  <c r="C218" i="4" s="1"/>
  <c r="I132" i="4"/>
  <c r="F138" i="4"/>
  <c r="F139" i="4" s="1"/>
  <c r="AF239" i="8" l="1"/>
  <c r="AF247" i="8" s="1"/>
  <c r="AF230" i="8"/>
  <c r="AF240" i="8" s="1"/>
  <c r="AF248" i="8" s="1"/>
  <c r="AG175" i="8"/>
  <c r="AI162" i="8"/>
  <c r="AH166" i="8" s="1"/>
  <c r="AK156" i="8"/>
  <c r="AL153" i="8"/>
  <c r="AL154" i="8"/>
  <c r="AL150" i="8"/>
  <c r="AL151" i="8" s="1"/>
  <c r="AL149" i="8"/>
  <c r="AJ158" i="8"/>
  <c r="AH171" i="8"/>
  <c r="AH167" i="8"/>
  <c r="AH168" i="8"/>
  <c r="AI165" i="8" s="1"/>
  <c r="AH170" i="8"/>
  <c r="L128" i="4"/>
  <c r="M128" i="4" s="1"/>
  <c r="W186" i="4"/>
  <c r="W196" i="4" s="1"/>
  <c r="W220" i="4" s="1"/>
  <c r="Y111" i="4"/>
  <c r="X115" i="4" s="1"/>
  <c r="X186" i="4" s="1"/>
  <c r="X196" i="4" s="1"/>
  <c r="X220" i="4" s="1"/>
  <c r="V118" i="4"/>
  <c r="V186" i="4"/>
  <c r="V196" i="4" s="1"/>
  <c r="V220" i="4" s="1"/>
  <c r="P114" i="4"/>
  <c r="O121" i="4"/>
  <c r="O200" i="4" s="1"/>
  <c r="O210" i="4" s="1"/>
  <c r="O228" i="4" s="1"/>
  <c r="H131" i="4"/>
  <c r="G138" i="4"/>
  <c r="F201" i="4"/>
  <c r="F207" i="4" s="1"/>
  <c r="F225" i="4" s="1"/>
  <c r="I135" i="4"/>
  <c r="I187" i="4"/>
  <c r="I193" i="4" s="1"/>
  <c r="I217" i="4" s="1"/>
  <c r="J187" i="4"/>
  <c r="J193" i="4" s="1"/>
  <c r="J217" i="4" s="1"/>
  <c r="E142" i="4"/>
  <c r="E143" i="4" s="1"/>
  <c r="E144" i="4" s="1"/>
  <c r="J135" i="4"/>
  <c r="F141" i="4"/>
  <c r="D148" i="4"/>
  <c r="C155" i="4"/>
  <c r="N125" i="4"/>
  <c r="N126" i="4" s="1"/>
  <c r="N127" i="4" s="1"/>
  <c r="AM148" i="8" l="1"/>
  <c r="AL155" i="8"/>
  <c r="AL202" i="8" s="1"/>
  <c r="AL208" i="8" s="1"/>
  <c r="AL226" i="8" s="1"/>
  <c r="AH172" i="8"/>
  <c r="AH203" i="8" s="1"/>
  <c r="AH206" i="8" s="1"/>
  <c r="AH224" i="8" s="1"/>
  <c r="AK158" i="8"/>
  <c r="AI171" i="8"/>
  <c r="AI170" i="8"/>
  <c r="AH169" i="8"/>
  <c r="AH173" i="8" s="1"/>
  <c r="AH189" i="8"/>
  <c r="AH192" i="8" s="1"/>
  <c r="AH216" i="8" s="1"/>
  <c r="AG176" i="8"/>
  <c r="AG177" i="8" s="1"/>
  <c r="AG178" i="8" s="1"/>
  <c r="AG180" i="8" s="1"/>
  <c r="AG213" i="8" s="1"/>
  <c r="AJ159" i="8"/>
  <c r="AJ160" i="8" s="1"/>
  <c r="AJ161" i="8" s="1"/>
  <c r="AL152" i="8"/>
  <c r="AL156" i="8"/>
  <c r="AL158" i="8" s="1"/>
  <c r="AL188" i="8"/>
  <c r="AL194" i="8" s="1"/>
  <c r="AL218" i="8" s="1"/>
  <c r="AM188" i="8"/>
  <c r="AM194" i="8" s="1"/>
  <c r="AM218" i="8" s="1"/>
  <c r="X118" i="4"/>
  <c r="Z111" i="4"/>
  <c r="Y115" i="4" s="1"/>
  <c r="Y118" i="4" s="1"/>
  <c r="K132" i="4"/>
  <c r="K135" i="4" s="1"/>
  <c r="O122" i="4"/>
  <c r="O124" i="4" s="1"/>
  <c r="O125" i="4" s="1"/>
  <c r="O126" i="4" s="1"/>
  <c r="O127" i="4" s="1"/>
  <c r="E145" i="4"/>
  <c r="D149" i="4" s="1"/>
  <c r="D150" i="4" s="1"/>
  <c r="H136" i="4"/>
  <c r="H133" i="4"/>
  <c r="H134" i="4" s="1"/>
  <c r="H137" i="4"/>
  <c r="L132" i="4"/>
  <c r="C202" i="4"/>
  <c r="C208" i="4" s="1"/>
  <c r="C226" i="4" s="1"/>
  <c r="C156" i="4"/>
  <c r="D154" i="4"/>
  <c r="D153" i="4"/>
  <c r="N128" i="4"/>
  <c r="G139" i="4"/>
  <c r="F142" i="4"/>
  <c r="F143" i="4" s="1"/>
  <c r="F144" i="4" s="1"/>
  <c r="G201" i="4"/>
  <c r="G207" i="4" s="1"/>
  <c r="G225" i="4" s="1"/>
  <c r="P116" i="4"/>
  <c r="P117" i="4" s="1"/>
  <c r="P120" i="4"/>
  <c r="P119" i="4"/>
  <c r="AL159" i="8" l="1"/>
  <c r="AL160" i="8" s="1"/>
  <c r="AG239" i="8"/>
  <c r="AG247" i="8" s="1"/>
  <c r="AG230" i="8"/>
  <c r="AG240" i="8" s="1"/>
  <c r="AG248" i="8" s="1"/>
  <c r="AJ162" i="8"/>
  <c r="AI166" i="8" s="1"/>
  <c r="AH175" i="8"/>
  <c r="AK161" i="8"/>
  <c r="AK159" i="8"/>
  <c r="AK160" i="8" s="1"/>
  <c r="AL161" i="8" s="1"/>
  <c r="AM154" i="8"/>
  <c r="AM151" i="8"/>
  <c r="AM155" i="8" s="1"/>
  <c r="AM202" i="8" s="1"/>
  <c r="AM208" i="8" s="1"/>
  <c r="AM226" i="8" s="1"/>
  <c r="AM150" i="8"/>
  <c r="AM153" i="8"/>
  <c r="K187" i="4"/>
  <c r="K193" i="4" s="1"/>
  <c r="K217" i="4" s="1"/>
  <c r="AA111" i="4"/>
  <c r="Z115" i="4" s="1"/>
  <c r="Z118" i="4" s="1"/>
  <c r="Y186" i="4"/>
  <c r="Y196" i="4" s="1"/>
  <c r="Y220" i="4" s="1"/>
  <c r="F145" i="4"/>
  <c r="E149" i="4" s="1"/>
  <c r="E188" i="4" s="1"/>
  <c r="E194" i="4" s="1"/>
  <c r="E218" i="4" s="1"/>
  <c r="I131" i="4"/>
  <c r="H138" i="4"/>
  <c r="H139" i="4" s="1"/>
  <c r="H141" i="4" s="1"/>
  <c r="Q114" i="4"/>
  <c r="P121" i="4"/>
  <c r="P200" i="4" s="1"/>
  <c r="P210" i="4" s="1"/>
  <c r="P228" i="4" s="1"/>
  <c r="M132" i="4"/>
  <c r="O128" i="4"/>
  <c r="C158" i="4"/>
  <c r="G141" i="4"/>
  <c r="D152" i="4"/>
  <c r="D188" i="4"/>
  <c r="D194" i="4" s="1"/>
  <c r="D218" i="4" s="1"/>
  <c r="D151" i="4"/>
  <c r="L135" i="4"/>
  <c r="L187" i="4"/>
  <c r="L193" i="4" s="1"/>
  <c r="L217" i="4" s="1"/>
  <c r="AI169" i="8" l="1"/>
  <c r="AI189" i="8"/>
  <c r="AI192" i="8" s="1"/>
  <c r="AI216" i="8" s="1"/>
  <c r="AI167" i="8"/>
  <c r="AI168" i="8" s="1"/>
  <c r="AH176" i="8"/>
  <c r="AH177" i="8" s="1"/>
  <c r="AH178" i="8"/>
  <c r="AH180" i="8" s="1"/>
  <c r="AH213" i="8" s="1"/>
  <c r="AM156" i="8"/>
  <c r="AM158" i="8" s="1"/>
  <c r="AK162" i="8"/>
  <c r="Z186" i="4"/>
  <c r="Z196" i="4" s="1"/>
  <c r="Z220" i="4" s="1"/>
  <c r="AB111" i="4"/>
  <c r="H142" i="4"/>
  <c r="H143" i="4" s="1"/>
  <c r="Q116" i="4"/>
  <c r="Q117" i="4" s="1"/>
  <c r="R114" i="4" s="1"/>
  <c r="Q119" i="4"/>
  <c r="Q120" i="4"/>
  <c r="P122" i="4"/>
  <c r="P124" i="4" s="1"/>
  <c r="C159" i="4"/>
  <c r="C160" i="4" s="1"/>
  <c r="C161" i="4" s="1"/>
  <c r="C162" i="4" s="1"/>
  <c r="N132" i="4"/>
  <c r="I133" i="4"/>
  <c r="I134" i="4" s="1"/>
  <c r="I137" i="4"/>
  <c r="I136" i="4"/>
  <c r="G142" i="4"/>
  <c r="G143" i="4" s="1"/>
  <c r="E148" i="4"/>
  <c r="D155" i="4"/>
  <c r="H201" i="4"/>
  <c r="H207" i="4" s="1"/>
  <c r="H225" i="4" s="1"/>
  <c r="M135" i="4"/>
  <c r="M187" i="4"/>
  <c r="M193" i="4" s="1"/>
  <c r="M217" i="4" s="1"/>
  <c r="E152" i="4"/>
  <c r="AJ165" i="8" l="1"/>
  <c r="AI172" i="8"/>
  <c r="AI203" i="8" s="1"/>
  <c r="AI206" i="8" s="1"/>
  <c r="AI224" i="8" s="1"/>
  <c r="AM161" i="8"/>
  <c r="AM159" i="8"/>
  <c r="AM160" i="8" s="1"/>
  <c r="AJ166" i="8"/>
  <c r="AL162" i="8"/>
  <c r="AH230" i="8"/>
  <c r="AH240" i="8" s="1"/>
  <c r="AH248" i="8" s="1"/>
  <c r="AH239" i="8"/>
  <c r="AH247" i="8" s="1"/>
  <c r="AA115" i="4"/>
  <c r="AC111" i="4"/>
  <c r="H144" i="4"/>
  <c r="J131" i="4"/>
  <c r="I138" i="4"/>
  <c r="I201" i="4" s="1"/>
  <c r="I207" i="4" s="1"/>
  <c r="I225" i="4" s="1"/>
  <c r="R116" i="4"/>
  <c r="R117" i="4" s="1"/>
  <c r="R119" i="4"/>
  <c r="R120" i="4"/>
  <c r="P125" i="4"/>
  <c r="P126" i="4" s="1"/>
  <c r="P127" i="4" s="1"/>
  <c r="D202" i="4"/>
  <c r="D208" i="4" s="1"/>
  <c r="D226" i="4" s="1"/>
  <c r="E154" i="4"/>
  <c r="E153" i="4"/>
  <c r="E150" i="4"/>
  <c r="E151" i="4" s="1"/>
  <c r="D156" i="4"/>
  <c r="G144" i="4"/>
  <c r="N135" i="4"/>
  <c r="N187" i="4"/>
  <c r="N193" i="4" s="1"/>
  <c r="N217" i="4" s="1"/>
  <c r="Q121" i="4"/>
  <c r="Q200" i="4" s="1"/>
  <c r="Q210" i="4" s="1"/>
  <c r="Q228" i="4" s="1"/>
  <c r="AJ169" i="8" l="1"/>
  <c r="AJ189" i="8"/>
  <c r="AJ192" i="8" s="1"/>
  <c r="AJ216" i="8" s="1"/>
  <c r="AI173" i="8"/>
  <c r="AM162" i="8"/>
  <c r="AJ171" i="8"/>
  <c r="AJ167" i="8"/>
  <c r="AJ168" i="8"/>
  <c r="AK165" i="8" s="1"/>
  <c r="AJ170" i="8"/>
  <c r="AD111" i="4"/>
  <c r="AB115" i="4"/>
  <c r="AA118" i="4"/>
  <c r="AA186" i="4"/>
  <c r="AA196" i="4" s="1"/>
  <c r="AA220" i="4" s="1"/>
  <c r="I139" i="4"/>
  <c r="I141" i="4" s="1"/>
  <c r="S114" i="4"/>
  <c r="R121" i="4"/>
  <c r="R200" i="4" s="1"/>
  <c r="R210" i="4" s="1"/>
  <c r="R228" i="4" s="1"/>
  <c r="F148" i="4"/>
  <c r="E155" i="4"/>
  <c r="D158" i="4"/>
  <c r="J137" i="4"/>
  <c r="J136" i="4"/>
  <c r="J133" i="4"/>
  <c r="J134" i="4" s="1"/>
  <c r="G145" i="4"/>
  <c r="P128" i="4"/>
  <c r="Q122" i="4"/>
  <c r="Q124" i="4" s="1"/>
  <c r="AK171" i="8" l="1"/>
  <c r="AK170" i="8"/>
  <c r="AK167" i="8"/>
  <c r="AK168" i="8" s="1"/>
  <c r="AJ172" i="8"/>
  <c r="AJ203" i="8" s="1"/>
  <c r="AJ206" i="8" s="1"/>
  <c r="AJ224" i="8" s="1"/>
  <c r="AI175" i="8"/>
  <c r="AK166" i="8"/>
  <c r="AB186" i="4"/>
  <c r="AB196" i="4" s="1"/>
  <c r="AB220" i="4" s="1"/>
  <c r="AB118" i="4"/>
  <c r="AE111" i="4"/>
  <c r="AC115" i="4"/>
  <c r="R122" i="4"/>
  <c r="R124" i="4" s="1"/>
  <c r="K131" i="4"/>
  <c r="J138" i="4"/>
  <c r="J201" i="4" s="1"/>
  <c r="J207" i="4" s="1"/>
  <c r="J225" i="4" s="1"/>
  <c r="Q125" i="4"/>
  <c r="Q126" i="4" s="1"/>
  <c r="Q127" i="4" s="1"/>
  <c r="O132" i="4"/>
  <c r="I142" i="4"/>
  <c r="I143" i="4" s="1"/>
  <c r="I144" i="4" s="1"/>
  <c r="D159" i="4"/>
  <c r="D160" i="4" s="1"/>
  <c r="D161" i="4" s="1"/>
  <c r="F153" i="4"/>
  <c r="F154" i="4"/>
  <c r="F149" i="4"/>
  <c r="F150" i="4" s="1"/>
  <c r="H145" i="4"/>
  <c r="G149" i="4" s="1"/>
  <c r="S119" i="4"/>
  <c r="S120" i="4"/>
  <c r="S116" i="4"/>
  <c r="S117" i="4" s="1"/>
  <c r="E202" i="4"/>
  <c r="E208" i="4" s="1"/>
  <c r="E226" i="4" s="1"/>
  <c r="E156" i="4"/>
  <c r="AL165" i="8" l="1"/>
  <c r="AK172" i="8"/>
  <c r="AK203" i="8" s="1"/>
  <c r="AK206" i="8" s="1"/>
  <c r="AK224" i="8" s="1"/>
  <c r="AI176" i="8"/>
  <c r="AI177" i="8" s="1"/>
  <c r="AI178" i="8"/>
  <c r="AI180" i="8" s="1"/>
  <c r="AI213" i="8" s="1"/>
  <c r="AK169" i="8"/>
  <c r="AK173" i="8" s="1"/>
  <c r="AK189" i="8"/>
  <c r="AK192" i="8" s="1"/>
  <c r="AK216" i="8" s="1"/>
  <c r="AJ173" i="8"/>
  <c r="AF111" i="4"/>
  <c r="AD115" i="4"/>
  <c r="AD118" i="4" s="1"/>
  <c r="AC118" i="4"/>
  <c r="AC186" i="4"/>
  <c r="AC196" i="4" s="1"/>
  <c r="AC220" i="4" s="1"/>
  <c r="F151" i="4"/>
  <c r="G148" i="4" s="1"/>
  <c r="G150" i="4" s="1"/>
  <c r="G151" i="4" s="1"/>
  <c r="J139" i="4"/>
  <c r="J141" i="4" s="1"/>
  <c r="T114" i="4"/>
  <c r="S121" i="4"/>
  <c r="S200" i="4" s="1"/>
  <c r="S210" i="4" s="1"/>
  <c r="S228" i="4" s="1"/>
  <c r="E158" i="4"/>
  <c r="R125" i="4"/>
  <c r="R126" i="4" s="1"/>
  <c r="R127" i="4" s="1"/>
  <c r="G152" i="4"/>
  <c r="F152" i="4"/>
  <c r="F188" i="4"/>
  <c r="F194" i="4" s="1"/>
  <c r="F218" i="4" s="1"/>
  <c r="G188" i="4"/>
  <c r="G194" i="4" s="1"/>
  <c r="G218" i="4" s="1"/>
  <c r="K137" i="4"/>
  <c r="K133" i="4"/>
  <c r="K134" i="4" s="1"/>
  <c r="K136" i="4"/>
  <c r="D162" i="4"/>
  <c r="C166" i="4" s="1"/>
  <c r="O135" i="4"/>
  <c r="O187" i="4"/>
  <c r="O193" i="4" s="1"/>
  <c r="O217" i="4" s="1"/>
  <c r="Q128" i="4"/>
  <c r="I145" i="4"/>
  <c r="H149" i="4" s="1"/>
  <c r="AJ175" i="8" l="1"/>
  <c r="AK175" i="8"/>
  <c r="AI230" i="8"/>
  <c r="AI240" i="8" s="1"/>
  <c r="AI248" i="8" s="1"/>
  <c r="AI239" i="8"/>
  <c r="AI247" i="8" s="1"/>
  <c r="AL170" i="8"/>
  <c r="AL171" i="8"/>
  <c r="AL166" i="8"/>
  <c r="AL167" i="8" s="1"/>
  <c r="G154" i="4"/>
  <c r="G153" i="4"/>
  <c r="AE115" i="4"/>
  <c r="AG111" i="4"/>
  <c r="AD186" i="4"/>
  <c r="AD196" i="4" s="1"/>
  <c r="AD220" i="4" s="1"/>
  <c r="F155" i="4"/>
  <c r="F156" i="4" s="1"/>
  <c r="F158" i="4" s="1"/>
  <c r="S122" i="4"/>
  <c r="S124" i="4" s="1"/>
  <c r="S125" i="4" s="1"/>
  <c r="S126" i="4" s="1"/>
  <c r="S127" i="4" s="1"/>
  <c r="C168" i="4"/>
  <c r="C169" i="4"/>
  <c r="C189" i="4"/>
  <c r="C192" i="4" s="1"/>
  <c r="C216" i="4" s="1"/>
  <c r="L131" i="4"/>
  <c r="K138" i="4"/>
  <c r="K201" i="4" s="1"/>
  <c r="K207" i="4" s="1"/>
  <c r="K225" i="4" s="1"/>
  <c r="R128" i="4"/>
  <c r="H148" i="4"/>
  <c r="G155" i="4"/>
  <c r="J142" i="4"/>
  <c r="J143" i="4" s="1"/>
  <c r="J144" i="4" s="1"/>
  <c r="E159" i="4"/>
  <c r="E160" i="4" s="1"/>
  <c r="E161" i="4" s="1"/>
  <c r="P132" i="4"/>
  <c r="H152" i="4"/>
  <c r="H188" i="4"/>
  <c r="H194" i="4" s="1"/>
  <c r="H218" i="4" s="1"/>
  <c r="T116" i="4"/>
  <c r="T117" i="4" s="1"/>
  <c r="U114" i="4" s="1"/>
  <c r="T119" i="4"/>
  <c r="T120" i="4"/>
  <c r="AJ176" i="8" l="1"/>
  <c r="AJ177" i="8" s="1"/>
  <c r="AJ178" i="8" s="1"/>
  <c r="AJ180" i="8" s="1"/>
  <c r="AJ213" i="8" s="1"/>
  <c r="AL169" i="8"/>
  <c r="AM189" i="8"/>
  <c r="AM192" i="8" s="1"/>
  <c r="AM216" i="8" s="1"/>
  <c r="AL189" i="8"/>
  <c r="AL192" i="8" s="1"/>
  <c r="AL216" i="8" s="1"/>
  <c r="AL168" i="8"/>
  <c r="AK176" i="8"/>
  <c r="AK177" i="8" s="1"/>
  <c r="AK178" i="8"/>
  <c r="AK180" i="8" s="1"/>
  <c r="AK213" i="8" s="1"/>
  <c r="G202" i="4"/>
  <c r="G208" i="4" s="1"/>
  <c r="G226" i="4" s="1"/>
  <c r="F202" i="4"/>
  <c r="F208" i="4" s="1"/>
  <c r="F226" i="4" s="1"/>
  <c r="AE118" i="4"/>
  <c r="AE186" i="4"/>
  <c r="AE196" i="4" s="1"/>
  <c r="AE220" i="4" s="1"/>
  <c r="AF115" i="4"/>
  <c r="AH111" i="4"/>
  <c r="AG115" i="4" s="1"/>
  <c r="AG118" i="4" s="1"/>
  <c r="G156" i="4"/>
  <c r="G158" i="4" s="1"/>
  <c r="G159" i="4" s="1"/>
  <c r="G160" i="4" s="1"/>
  <c r="K139" i="4"/>
  <c r="K141" i="4" s="1"/>
  <c r="C172" i="4"/>
  <c r="D165" i="4"/>
  <c r="J145" i="4"/>
  <c r="I149" i="4" s="1"/>
  <c r="S128" i="4"/>
  <c r="U116" i="4"/>
  <c r="U117" i="4" s="1"/>
  <c r="U119" i="4"/>
  <c r="U120" i="4"/>
  <c r="P135" i="4"/>
  <c r="P187" i="4"/>
  <c r="P193" i="4" s="1"/>
  <c r="P217" i="4" s="1"/>
  <c r="H153" i="4"/>
  <c r="H154" i="4"/>
  <c r="H150" i="4"/>
  <c r="H151" i="4" s="1"/>
  <c r="I148" i="4" s="1"/>
  <c r="T121" i="4"/>
  <c r="T200" i="4" s="1"/>
  <c r="T210" i="4" s="1"/>
  <c r="T228" i="4" s="1"/>
  <c r="F159" i="4"/>
  <c r="F160" i="4" s="1"/>
  <c r="F161" i="4" s="1"/>
  <c r="E162" i="4"/>
  <c r="D166" i="4" s="1"/>
  <c r="Q132" i="4"/>
  <c r="L137" i="4"/>
  <c r="L136" i="4"/>
  <c r="L133" i="4"/>
  <c r="L134" i="4" s="1"/>
  <c r="M131" i="4" s="1"/>
  <c r="AJ230" i="8" l="1"/>
  <c r="AJ240" i="8" s="1"/>
  <c r="AJ248" i="8" s="1"/>
  <c r="AJ239" i="8"/>
  <c r="AJ247" i="8" s="1"/>
  <c r="AK230" i="8"/>
  <c r="AK240" i="8" s="1"/>
  <c r="AK248" i="8" s="1"/>
  <c r="AK239" i="8"/>
  <c r="AK247" i="8" s="1"/>
  <c r="AM165" i="8"/>
  <c r="AL172" i="8"/>
  <c r="AG186" i="4"/>
  <c r="AG196" i="4" s="1"/>
  <c r="AG220" i="4" s="1"/>
  <c r="AI111" i="4"/>
  <c r="AF118" i="4"/>
  <c r="AF186" i="4"/>
  <c r="AF196" i="4" s="1"/>
  <c r="AF220" i="4" s="1"/>
  <c r="D169" i="4"/>
  <c r="D189" i="4"/>
  <c r="D192" i="4" s="1"/>
  <c r="D216" i="4" s="1"/>
  <c r="D170" i="4"/>
  <c r="D171" i="4"/>
  <c r="D167" i="4"/>
  <c r="D168" i="4" s="1"/>
  <c r="E165" i="4" s="1"/>
  <c r="C203" i="4"/>
  <c r="C206" i="4" s="1"/>
  <c r="C224" i="4" s="1"/>
  <c r="C173" i="4"/>
  <c r="T122" i="4"/>
  <c r="T124" i="4" s="1"/>
  <c r="T125" i="4" s="1"/>
  <c r="T126" i="4" s="1"/>
  <c r="T127" i="4" s="1"/>
  <c r="G161" i="4"/>
  <c r="L138" i="4"/>
  <c r="L201" i="4" s="1"/>
  <c r="L207" i="4" s="1"/>
  <c r="L225" i="4" s="1"/>
  <c r="F162" i="4"/>
  <c r="E166" i="4" s="1"/>
  <c r="E169" i="4" s="1"/>
  <c r="V114" i="4"/>
  <c r="U121" i="4"/>
  <c r="U200" i="4" s="1"/>
  <c r="U210" i="4" s="1"/>
  <c r="U228" i="4" s="1"/>
  <c r="M137" i="4"/>
  <c r="M133" i="4"/>
  <c r="M134" i="4" s="1"/>
  <c r="M136" i="4"/>
  <c r="Q135" i="4"/>
  <c r="Q187" i="4"/>
  <c r="Q193" i="4" s="1"/>
  <c r="Q217" i="4" s="1"/>
  <c r="R132" i="4"/>
  <c r="H155" i="4"/>
  <c r="K142" i="4"/>
  <c r="K143" i="4" s="1"/>
  <c r="K144" i="4" s="1"/>
  <c r="I152" i="4"/>
  <c r="I188" i="4"/>
  <c r="I194" i="4" s="1"/>
  <c r="I218" i="4" s="1"/>
  <c r="I150" i="4"/>
  <c r="I151" i="4" s="1"/>
  <c r="I154" i="4"/>
  <c r="I153" i="4"/>
  <c r="AL203" i="8" l="1"/>
  <c r="AL206" i="8" s="1"/>
  <c r="AL224" i="8" s="1"/>
  <c r="AL173" i="8"/>
  <c r="AM170" i="8"/>
  <c r="AM167" i="8"/>
  <c r="AM168" i="8" s="1"/>
  <c r="AM172" i="8" s="1"/>
  <c r="AM203" i="8" s="1"/>
  <c r="AM206" i="8" s="1"/>
  <c r="AM224" i="8" s="1"/>
  <c r="AM171" i="8"/>
  <c r="AH115" i="4"/>
  <c r="AJ111" i="4"/>
  <c r="E189" i="4"/>
  <c r="E192" i="4" s="1"/>
  <c r="E216" i="4" s="1"/>
  <c r="C175" i="4"/>
  <c r="L139" i="4"/>
  <c r="L141" i="4" s="1"/>
  <c r="D172" i="4"/>
  <c r="D203" i="4" s="1"/>
  <c r="D206" i="4" s="1"/>
  <c r="D224" i="4" s="1"/>
  <c r="G162" i="4"/>
  <c r="F166" i="4" s="1"/>
  <c r="F189" i="4" s="1"/>
  <c r="F192" i="4" s="1"/>
  <c r="F216" i="4" s="1"/>
  <c r="E171" i="4"/>
  <c r="E170" i="4"/>
  <c r="E167" i="4"/>
  <c r="E168" i="4" s="1"/>
  <c r="F165" i="4" s="1"/>
  <c r="K145" i="4"/>
  <c r="J149" i="4" s="1"/>
  <c r="T128" i="4"/>
  <c r="J148" i="4"/>
  <c r="I155" i="4"/>
  <c r="I156" i="4" s="1"/>
  <c r="N131" i="4"/>
  <c r="M138" i="4"/>
  <c r="M201" i="4" s="1"/>
  <c r="M207" i="4" s="1"/>
  <c r="M225" i="4" s="1"/>
  <c r="U122" i="4"/>
  <c r="U124" i="4" s="1"/>
  <c r="H202" i="4"/>
  <c r="H208" i="4" s="1"/>
  <c r="H226" i="4" s="1"/>
  <c r="H156" i="4"/>
  <c r="R135" i="4"/>
  <c r="R187" i="4"/>
  <c r="R193" i="4" s="1"/>
  <c r="R217" i="4" s="1"/>
  <c r="V119" i="4"/>
  <c r="V116" i="4"/>
  <c r="V117" i="4" s="1"/>
  <c r="V120" i="4"/>
  <c r="AM173" i="8" l="1"/>
  <c r="AM175" i="8"/>
  <c r="AL175" i="8"/>
  <c r="AI115" i="4"/>
  <c r="AK111" i="4"/>
  <c r="AH186" i="4"/>
  <c r="AH196" i="4" s="1"/>
  <c r="AH220" i="4" s="1"/>
  <c r="AH118" i="4"/>
  <c r="D173" i="4"/>
  <c r="D175" i="4" s="1"/>
  <c r="F169" i="4"/>
  <c r="C176" i="4"/>
  <c r="C177" i="4" s="1"/>
  <c r="C178" i="4" s="1"/>
  <c r="F171" i="4"/>
  <c r="F167" i="4"/>
  <c r="F168" i="4" s="1"/>
  <c r="G165" i="4" s="1"/>
  <c r="F170" i="4"/>
  <c r="E172" i="4"/>
  <c r="M139" i="4"/>
  <c r="M141" i="4" s="1"/>
  <c r="M142" i="4" s="1"/>
  <c r="M143" i="4" s="1"/>
  <c r="W114" i="4"/>
  <c r="V121" i="4"/>
  <c r="V200" i="4" s="1"/>
  <c r="V210" i="4" s="1"/>
  <c r="V228" i="4" s="1"/>
  <c r="L142" i="4"/>
  <c r="L143" i="4" s="1"/>
  <c r="H158" i="4"/>
  <c r="I158" i="4"/>
  <c r="I202" i="4"/>
  <c r="I208" i="4" s="1"/>
  <c r="I226" i="4" s="1"/>
  <c r="N136" i="4"/>
  <c r="N133" i="4"/>
  <c r="N134" i="4" s="1"/>
  <c r="O131" i="4" s="1"/>
  <c r="N137" i="4"/>
  <c r="J150" i="4"/>
  <c r="J151" i="4" s="1"/>
  <c r="K148" i="4" s="1"/>
  <c r="J153" i="4"/>
  <c r="J154" i="4"/>
  <c r="S132" i="4"/>
  <c r="U125" i="4"/>
  <c r="U126" i="4" s="1"/>
  <c r="U127" i="4" s="1"/>
  <c r="J152" i="4"/>
  <c r="J188" i="4"/>
  <c r="J194" i="4" s="1"/>
  <c r="J218" i="4" s="1"/>
  <c r="AL176" i="8" l="1"/>
  <c r="AL177" i="8" s="1"/>
  <c r="AL178" i="8"/>
  <c r="AL180" i="8" s="1"/>
  <c r="AL213" i="8" s="1"/>
  <c r="AM176" i="8"/>
  <c r="AM177" i="8" s="1"/>
  <c r="AM178" i="8" s="1"/>
  <c r="AM180" i="8" s="1"/>
  <c r="AM213" i="8" s="1"/>
  <c r="AJ115" i="4"/>
  <c r="AL111" i="4"/>
  <c r="AI186" i="4"/>
  <c r="AI196" i="4" s="1"/>
  <c r="AI220" i="4" s="1"/>
  <c r="AI118" i="4"/>
  <c r="F172" i="4"/>
  <c r="F173" i="4" s="1"/>
  <c r="D176" i="4"/>
  <c r="D177" i="4" s="1"/>
  <c r="D178" i="4" s="1"/>
  <c r="D180" i="4" s="1"/>
  <c r="D213" i="4" s="1"/>
  <c r="V122" i="4"/>
  <c r="V124" i="4" s="1"/>
  <c r="V125" i="4" s="1"/>
  <c r="V126" i="4" s="1"/>
  <c r="V127" i="4" s="1"/>
  <c r="M144" i="4"/>
  <c r="E173" i="4"/>
  <c r="E203" i="4"/>
  <c r="E206" i="4" s="1"/>
  <c r="E224" i="4" s="1"/>
  <c r="G170" i="4"/>
  <c r="G171" i="4"/>
  <c r="N138" i="4"/>
  <c r="N201" i="4" s="1"/>
  <c r="N207" i="4" s="1"/>
  <c r="N225" i="4" s="1"/>
  <c r="L144" i="4"/>
  <c r="K153" i="4"/>
  <c r="K154" i="4"/>
  <c r="U128" i="4"/>
  <c r="S135" i="4"/>
  <c r="S187" i="4"/>
  <c r="S193" i="4" s="1"/>
  <c r="S217" i="4" s="1"/>
  <c r="W116" i="4"/>
  <c r="W117" i="4" s="1"/>
  <c r="W119" i="4"/>
  <c r="W120" i="4"/>
  <c r="J155" i="4"/>
  <c r="O137" i="4"/>
  <c r="O133" i="4"/>
  <c r="O134" i="4" s="1"/>
  <c r="O136" i="4"/>
  <c r="I159" i="4"/>
  <c r="I160" i="4" s="1"/>
  <c r="H159" i="4"/>
  <c r="H160" i="4" s="1"/>
  <c r="H161" i="4" s="1"/>
  <c r="AM239" i="8" l="1"/>
  <c r="AM247" i="8" s="1"/>
  <c r="AM230" i="8"/>
  <c r="AM240" i="8" s="1"/>
  <c r="AM248" i="8" s="1"/>
  <c r="AL239" i="8"/>
  <c r="AL247" i="8" s="1"/>
  <c r="AL230" i="8"/>
  <c r="AL240" i="8" s="1"/>
  <c r="AL248" i="8" s="1"/>
  <c r="AK115" i="4"/>
  <c r="AM111" i="4"/>
  <c r="AL115" i="4" s="1"/>
  <c r="AL118" i="4" s="1"/>
  <c r="AJ186" i="4"/>
  <c r="AJ196" i="4" s="1"/>
  <c r="AJ220" i="4" s="1"/>
  <c r="AJ118" i="4"/>
  <c r="F203" i="4"/>
  <c r="F206" i="4" s="1"/>
  <c r="F224" i="4" s="1"/>
  <c r="E175" i="4"/>
  <c r="F175" i="4"/>
  <c r="C180" i="4"/>
  <c r="C213" i="4" s="1"/>
  <c r="D230" i="4"/>
  <c r="D240" i="4" s="1"/>
  <c r="D248" i="4" s="1"/>
  <c r="D239" i="4"/>
  <c r="D247" i="4" s="1"/>
  <c r="N139" i="4"/>
  <c r="N141" i="4" s="1"/>
  <c r="I161" i="4"/>
  <c r="P131" i="4"/>
  <c r="P137" i="4" s="1"/>
  <c r="O138" i="4"/>
  <c r="O201" i="4" s="1"/>
  <c r="O207" i="4" s="1"/>
  <c r="O225" i="4" s="1"/>
  <c r="X114" i="4"/>
  <c r="W121" i="4"/>
  <c r="W200" i="4" s="1"/>
  <c r="W210" i="4" s="1"/>
  <c r="W228" i="4" s="1"/>
  <c r="V128" i="4"/>
  <c r="J202" i="4"/>
  <c r="J208" i="4" s="1"/>
  <c r="J226" i="4" s="1"/>
  <c r="J156" i="4"/>
  <c r="L145" i="4"/>
  <c r="H162" i="4"/>
  <c r="T132" i="4"/>
  <c r="AL186" i="4" l="1"/>
  <c r="AL196" i="4" s="1"/>
  <c r="AL220" i="4" s="1"/>
  <c r="AK118" i="4"/>
  <c r="AK186" i="4"/>
  <c r="AK196" i="4" s="1"/>
  <c r="AK220" i="4" s="1"/>
  <c r="AM186" i="4"/>
  <c r="AM196" i="4" s="1"/>
  <c r="AM220" i="4" s="1"/>
  <c r="F176" i="4"/>
  <c r="F177" i="4" s="1"/>
  <c r="E176" i="4"/>
  <c r="E177" i="4" s="1"/>
  <c r="O139" i="4"/>
  <c r="O141" i="4" s="1"/>
  <c r="O142" i="4" s="1"/>
  <c r="O143" i="4" s="1"/>
  <c r="P133" i="4"/>
  <c r="P134" i="4" s="1"/>
  <c r="Q131" i="4" s="1"/>
  <c r="P136" i="4"/>
  <c r="C230" i="4"/>
  <c r="C240" i="4" s="1"/>
  <c r="C248" i="4" s="1"/>
  <c r="C239" i="4"/>
  <c r="C247" i="4" s="1"/>
  <c r="I162" i="4"/>
  <c r="H166" i="4" s="1"/>
  <c r="G166" i="4"/>
  <c r="W122" i="4"/>
  <c r="W124" i="4" s="1"/>
  <c r="W125" i="4" s="1"/>
  <c r="W126" i="4" s="1"/>
  <c r="W127" i="4" s="1"/>
  <c r="J158" i="4"/>
  <c r="K149" i="4"/>
  <c r="M145" i="4"/>
  <c r="L149" i="4" s="1"/>
  <c r="N142" i="4"/>
  <c r="N143" i="4" s="1"/>
  <c r="U132" i="4"/>
  <c r="T135" i="4"/>
  <c r="T187" i="4"/>
  <c r="T193" i="4" s="1"/>
  <c r="T217" i="4" s="1"/>
  <c r="X120" i="4"/>
  <c r="X119" i="4"/>
  <c r="X116" i="4"/>
  <c r="X117" i="4" s="1"/>
  <c r="Y114" i="4" s="1"/>
  <c r="F178" i="4" l="1"/>
  <c r="O144" i="4"/>
  <c r="E178" i="4"/>
  <c r="E180" i="4" s="1"/>
  <c r="E213" i="4" s="1"/>
  <c r="P138" i="4"/>
  <c r="P201" i="4" s="1"/>
  <c r="P207" i="4" s="1"/>
  <c r="P225" i="4" s="1"/>
  <c r="N144" i="4"/>
  <c r="N145" i="4" s="1"/>
  <c r="M149" i="4" s="1"/>
  <c r="H169" i="4"/>
  <c r="G169" i="4"/>
  <c r="G189" i="4"/>
  <c r="G192" i="4" s="1"/>
  <c r="G216" i="4" s="1"/>
  <c r="H189" i="4"/>
  <c r="H192" i="4" s="1"/>
  <c r="H216" i="4" s="1"/>
  <c r="G167" i="4"/>
  <c r="G168" i="4" s="1"/>
  <c r="W128" i="4"/>
  <c r="L152" i="4"/>
  <c r="L188" i="4"/>
  <c r="L194" i="4" s="1"/>
  <c r="L218" i="4" s="1"/>
  <c r="K152" i="4"/>
  <c r="K188" i="4"/>
  <c r="K194" i="4" s="1"/>
  <c r="K218" i="4" s="1"/>
  <c r="K150" i="4"/>
  <c r="K151" i="4" s="1"/>
  <c r="U135" i="4"/>
  <c r="U187" i="4"/>
  <c r="U193" i="4" s="1"/>
  <c r="U217" i="4" s="1"/>
  <c r="Y116" i="4"/>
  <c r="Y117" i="4" s="1"/>
  <c r="Z114" i="4" s="1"/>
  <c r="Y120" i="4"/>
  <c r="Y119" i="4"/>
  <c r="X121" i="4"/>
  <c r="X200" i="4" s="1"/>
  <c r="X210" i="4" s="1"/>
  <c r="X228" i="4" s="1"/>
  <c r="J159" i="4"/>
  <c r="J160" i="4" s="1"/>
  <c r="J161" i="4" s="1"/>
  <c r="Q133" i="4"/>
  <c r="Q134" i="4" s="1"/>
  <c r="R131" i="4" s="1"/>
  <c r="Q137" i="4"/>
  <c r="Q136" i="4"/>
  <c r="X122" i="4" l="1"/>
  <c r="X124" i="4" s="1"/>
  <c r="X125" i="4" s="1"/>
  <c r="X126" i="4" s="1"/>
  <c r="X127" i="4" s="1"/>
  <c r="P139" i="4"/>
  <c r="P141" i="4" s="1"/>
  <c r="P142" i="4" s="1"/>
  <c r="P143" i="4" s="1"/>
  <c r="P144" i="4" s="1"/>
  <c r="F180" i="4"/>
  <c r="F213" i="4" s="1"/>
  <c r="O145" i="4"/>
  <c r="N149" i="4" s="1"/>
  <c r="N152" i="4" s="1"/>
  <c r="E230" i="4"/>
  <c r="E240" i="4" s="1"/>
  <c r="E248" i="4" s="1"/>
  <c r="E239" i="4"/>
  <c r="E247" i="4" s="1"/>
  <c r="H165" i="4"/>
  <c r="G172" i="4"/>
  <c r="L148" i="4"/>
  <c r="K155" i="4"/>
  <c r="K202" i="4" s="1"/>
  <c r="K208" i="4" s="1"/>
  <c r="K226" i="4" s="1"/>
  <c r="R133" i="4"/>
  <c r="R134" i="4" s="1"/>
  <c r="R136" i="4"/>
  <c r="R137" i="4"/>
  <c r="Z116" i="4"/>
  <c r="Z117" i="4" s="1"/>
  <c r="AA114" i="4" s="1"/>
  <c r="Z119" i="4"/>
  <c r="Z120" i="4"/>
  <c r="Q138" i="4"/>
  <c r="Q201" i="4" s="1"/>
  <c r="Q207" i="4" s="1"/>
  <c r="Q225" i="4" s="1"/>
  <c r="J162" i="4"/>
  <c r="I166" i="4" s="1"/>
  <c r="V132" i="4"/>
  <c r="Y121" i="4"/>
  <c r="Y200" i="4" s="1"/>
  <c r="Y210" i="4" s="1"/>
  <c r="Y228" i="4" s="1"/>
  <c r="M152" i="4"/>
  <c r="M188" i="4"/>
  <c r="M194" i="4" s="1"/>
  <c r="M218" i="4" s="1"/>
  <c r="N188" i="4" l="1"/>
  <c r="N194" i="4" s="1"/>
  <c r="N218" i="4" s="1"/>
  <c r="K156" i="4"/>
  <c r="F239" i="4"/>
  <c r="F247" i="4" s="1"/>
  <c r="F230" i="4"/>
  <c r="F240" i="4" s="1"/>
  <c r="F248" i="4" s="1"/>
  <c r="I169" i="4"/>
  <c r="I189" i="4"/>
  <c r="I192" i="4" s="1"/>
  <c r="I216" i="4" s="1"/>
  <c r="G173" i="4"/>
  <c r="G203" i="4"/>
  <c r="G206" i="4" s="1"/>
  <c r="G224" i="4" s="1"/>
  <c r="H170" i="4"/>
  <c r="H167" i="4"/>
  <c r="H168" i="4" s="1"/>
  <c r="I165" i="4" s="1"/>
  <c r="H171" i="4"/>
  <c r="S131" i="4"/>
  <c r="S133" i="4" s="1"/>
  <c r="S134" i="4" s="1"/>
  <c r="R138" i="4"/>
  <c r="R201" i="4" s="1"/>
  <c r="R207" i="4" s="1"/>
  <c r="R225" i="4" s="1"/>
  <c r="Z121" i="4"/>
  <c r="Z200" i="4" s="1"/>
  <c r="Z210" i="4" s="1"/>
  <c r="Z228" i="4" s="1"/>
  <c r="P145" i="4"/>
  <c r="O149" i="4" s="1"/>
  <c r="X128" i="4"/>
  <c r="V135" i="4"/>
  <c r="V187" i="4"/>
  <c r="V193" i="4" s="1"/>
  <c r="V217" i="4" s="1"/>
  <c r="Q139" i="4"/>
  <c r="K158" i="4"/>
  <c r="Y122" i="4"/>
  <c r="Y124" i="4" s="1"/>
  <c r="AA120" i="4"/>
  <c r="AA119" i="4"/>
  <c r="AA116" i="4"/>
  <c r="AA117" i="4" s="1"/>
  <c r="L153" i="4"/>
  <c r="L150" i="4"/>
  <c r="L151" i="4" s="1"/>
  <c r="M148" i="4" s="1"/>
  <c r="L154" i="4"/>
  <c r="G175" i="4" l="1"/>
  <c r="Z122" i="4"/>
  <c r="Z124" i="4" s="1"/>
  <c r="H172" i="4"/>
  <c r="H203" i="4" s="1"/>
  <c r="H206" i="4" s="1"/>
  <c r="H224" i="4" s="1"/>
  <c r="R139" i="4"/>
  <c r="R141" i="4" s="1"/>
  <c r="I167" i="4"/>
  <c r="I168" i="4" s="1"/>
  <c r="J165" i="4" s="1"/>
  <c r="I170" i="4"/>
  <c r="I171" i="4"/>
  <c r="S136" i="4"/>
  <c r="S137" i="4"/>
  <c r="T131" i="4"/>
  <c r="S138" i="4"/>
  <c r="S201" i="4" s="1"/>
  <c r="S207" i="4" s="1"/>
  <c r="S225" i="4" s="1"/>
  <c r="AB114" i="4"/>
  <c r="AA121" i="4"/>
  <c r="AA200" i="4" s="1"/>
  <c r="AA210" i="4" s="1"/>
  <c r="AA228" i="4" s="1"/>
  <c r="Q141" i="4"/>
  <c r="W132" i="4"/>
  <c r="Y125" i="4"/>
  <c r="Y126" i="4" s="1"/>
  <c r="Y127" i="4" s="1"/>
  <c r="M150" i="4"/>
  <c r="M151" i="4" s="1"/>
  <c r="M153" i="4"/>
  <c r="M154" i="4"/>
  <c r="O152" i="4"/>
  <c r="O188" i="4"/>
  <c r="O194" i="4" s="1"/>
  <c r="O218" i="4" s="1"/>
  <c r="K159" i="4"/>
  <c r="K160" i="4" s="1"/>
  <c r="K161" i="4" s="1"/>
  <c r="L155" i="4"/>
  <c r="L202" i="4" s="1"/>
  <c r="L208" i="4" s="1"/>
  <c r="L226" i="4" s="1"/>
  <c r="L156" i="4" l="1"/>
  <c r="I172" i="4"/>
  <c r="I203" i="4" s="1"/>
  <c r="I206" i="4" s="1"/>
  <c r="I224" i="4" s="1"/>
  <c r="AA122" i="4"/>
  <c r="AA124" i="4" s="1"/>
  <c r="AA125" i="4" s="1"/>
  <c r="AA126" i="4" s="1"/>
  <c r="G176" i="4"/>
  <c r="G177" i="4" s="1"/>
  <c r="G178" i="4" s="1"/>
  <c r="H173" i="4"/>
  <c r="J171" i="4"/>
  <c r="J170" i="4"/>
  <c r="Y128" i="4"/>
  <c r="K162" i="4"/>
  <c r="J166" i="4" s="1"/>
  <c r="N148" i="4"/>
  <c r="M155" i="4"/>
  <c r="M202" i="4" s="1"/>
  <c r="M208" i="4" s="1"/>
  <c r="M226" i="4" s="1"/>
  <c r="L158" i="4"/>
  <c r="R142" i="4"/>
  <c r="R143" i="4" s="1"/>
  <c r="AB119" i="4"/>
  <c r="AB120" i="4"/>
  <c r="AB116" i="4"/>
  <c r="AB117" i="4" s="1"/>
  <c r="S139" i="4"/>
  <c r="Q142" i="4"/>
  <c r="Q143" i="4" s="1"/>
  <c r="Z125" i="4"/>
  <c r="Z126" i="4" s="1"/>
  <c r="Z127" i="4" s="1"/>
  <c r="W135" i="4"/>
  <c r="W187" i="4"/>
  <c r="W193" i="4" s="1"/>
  <c r="W217" i="4" s="1"/>
  <c r="T133" i="4"/>
  <c r="T134" i="4" s="1"/>
  <c r="T136" i="4"/>
  <c r="T137" i="4"/>
  <c r="I173" i="4" l="1"/>
  <c r="H175" i="4"/>
  <c r="I175" i="4"/>
  <c r="G180" i="4"/>
  <c r="G213" i="4" s="1"/>
  <c r="G230" i="4" s="1"/>
  <c r="G240" i="4" s="1"/>
  <c r="G248" i="4" s="1"/>
  <c r="J169" i="4"/>
  <c r="J189" i="4"/>
  <c r="J192" i="4" s="1"/>
  <c r="J216" i="4" s="1"/>
  <c r="J167" i="4"/>
  <c r="J168" i="4" s="1"/>
  <c r="AA127" i="4"/>
  <c r="R144" i="4"/>
  <c r="M156" i="4"/>
  <c r="M158" i="4" s="1"/>
  <c r="M159" i="4" s="1"/>
  <c r="M160" i="4" s="1"/>
  <c r="AC114" i="4"/>
  <c r="AB121" i="4"/>
  <c r="AB200" i="4" s="1"/>
  <c r="AB210" i="4" s="1"/>
  <c r="AB228" i="4" s="1"/>
  <c r="U131" i="4"/>
  <c r="T138" i="4"/>
  <c r="T201" i="4" s="1"/>
  <c r="T207" i="4" s="1"/>
  <c r="T225" i="4" s="1"/>
  <c r="S141" i="4"/>
  <c r="X132" i="4"/>
  <c r="L159" i="4"/>
  <c r="L160" i="4" s="1"/>
  <c r="N153" i="4"/>
  <c r="N154" i="4"/>
  <c r="N150" i="4"/>
  <c r="N151" i="4" s="1"/>
  <c r="O148" i="4" s="1"/>
  <c r="Z128" i="4"/>
  <c r="Q144" i="4"/>
  <c r="AB122" i="4" l="1"/>
  <c r="AB124" i="4" s="1"/>
  <c r="G239" i="4"/>
  <c r="G247" i="4" s="1"/>
  <c r="I176" i="4"/>
  <c r="I177" i="4" s="1"/>
  <c r="H176" i="4"/>
  <c r="H177" i="4" s="1"/>
  <c r="AA128" i="4"/>
  <c r="K165" i="4"/>
  <c r="J172" i="4"/>
  <c r="M161" i="4"/>
  <c r="N155" i="4"/>
  <c r="N202" i="4" s="1"/>
  <c r="N208" i="4" s="1"/>
  <c r="N226" i="4" s="1"/>
  <c r="L161" i="4"/>
  <c r="X135" i="4"/>
  <c r="X187" i="4"/>
  <c r="X193" i="4" s="1"/>
  <c r="X217" i="4" s="1"/>
  <c r="U133" i="4"/>
  <c r="U134" i="4" s="1"/>
  <c r="V131" i="4" s="1"/>
  <c r="U137" i="4"/>
  <c r="U136" i="4"/>
  <c r="T139" i="4"/>
  <c r="AC119" i="4"/>
  <c r="AC120" i="4"/>
  <c r="AC116" i="4"/>
  <c r="AC117" i="4" s="1"/>
  <c r="AD114" i="4" s="1"/>
  <c r="Z132" i="4"/>
  <c r="Q145" i="4"/>
  <c r="AB125" i="4"/>
  <c r="AB126" i="4" s="1"/>
  <c r="AB127" i="4" s="1"/>
  <c r="Y132" i="4"/>
  <c r="O150" i="4"/>
  <c r="O151" i="4" s="1"/>
  <c r="P148" i="4" s="1"/>
  <c r="O154" i="4"/>
  <c r="O153" i="4"/>
  <c r="S142" i="4"/>
  <c r="S143" i="4" s="1"/>
  <c r="S144" i="4" s="1"/>
  <c r="I178" i="4" l="1"/>
  <c r="H178" i="4"/>
  <c r="H180" i="4" s="1"/>
  <c r="H213" i="4" s="1"/>
  <c r="H230" i="4" s="1"/>
  <c r="H240" i="4" s="1"/>
  <c r="H248" i="4" s="1"/>
  <c r="I180" i="4"/>
  <c r="I213" i="4" s="1"/>
  <c r="L162" i="4"/>
  <c r="M162" i="4" s="1"/>
  <c r="L166" i="4" s="1"/>
  <c r="J203" i="4"/>
  <c r="J206" i="4" s="1"/>
  <c r="J224" i="4" s="1"/>
  <c r="J173" i="4"/>
  <c r="N156" i="4"/>
  <c r="N158" i="4" s="1"/>
  <c r="K170" i="4"/>
  <c r="K171" i="4"/>
  <c r="AB128" i="4"/>
  <c r="P149" i="4"/>
  <c r="R145" i="4"/>
  <c r="Q149" i="4" s="1"/>
  <c r="P154" i="4"/>
  <c r="P153" i="4"/>
  <c r="AD116" i="4"/>
  <c r="AD117" i="4" s="1"/>
  <c r="AD119" i="4"/>
  <c r="AD120" i="4"/>
  <c r="Y135" i="4"/>
  <c r="Y187" i="4"/>
  <c r="Y193" i="4" s="1"/>
  <c r="Y217" i="4" s="1"/>
  <c r="AC121" i="4"/>
  <c r="AC200" i="4" s="1"/>
  <c r="AC210" i="4" s="1"/>
  <c r="AC228" i="4" s="1"/>
  <c r="T141" i="4"/>
  <c r="V136" i="4"/>
  <c r="V137" i="4"/>
  <c r="V133" i="4"/>
  <c r="V134" i="4" s="1"/>
  <c r="U138" i="4"/>
  <c r="U201" i="4" s="1"/>
  <c r="U207" i="4" s="1"/>
  <c r="U225" i="4" s="1"/>
  <c r="Z135" i="4"/>
  <c r="Z187" i="4"/>
  <c r="Z193" i="4" s="1"/>
  <c r="Z217" i="4" s="1"/>
  <c r="O155" i="4"/>
  <c r="O202" i="4" s="1"/>
  <c r="O208" i="4" s="1"/>
  <c r="O226" i="4" s="1"/>
  <c r="K166" i="4" l="1"/>
  <c r="K167" i="4" s="1"/>
  <c r="K168" i="4" s="1"/>
  <c r="L165" i="4" s="1"/>
  <c r="L171" i="4" s="1"/>
  <c r="H239" i="4"/>
  <c r="H247" i="4" s="1"/>
  <c r="J175" i="4"/>
  <c r="I239" i="4"/>
  <c r="I247" i="4" s="1"/>
  <c r="I230" i="4"/>
  <c r="I240" i="4" s="1"/>
  <c r="I248" i="4" s="1"/>
  <c r="L167" i="4"/>
  <c r="L168" i="4" s="1"/>
  <c r="M165" i="4" s="1"/>
  <c r="K169" i="4"/>
  <c r="K189" i="4"/>
  <c r="K192" i="4" s="1"/>
  <c r="K216" i="4" s="1"/>
  <c r="L169" i="4"/>
  <c r="L189" i="4"/>
  <c r="L192" i="4" s="1"/>
  <c r="L216" i="4" s="1"/>
  <c r="U139" i="4"/>
  <c r="U141" i="4" s="1"/>
  <c r="U142" i="4" s="1"/>
  <c r="U143" i="4" s="1"/>
  <c r="W131" i="4"/>
  <c r="V138" i="4"/>
  <c r="V201" i="4" s="1"/>
  <c r="V207" i="4" s="1"/>
  <c r="V225" i="4" s="1"/>
  <c r="AE114" i="4"/>
  <c r="AD121" i="4"/>
  <c r="AD200" i="4" s="1"/>
  <c r="AD210" i="4" s="1"/>
  <c r="AD228" i="4" s="1"/>
  <c r="AC122" i="4"/>
  <c r="AC124" i="4" s="1"/>
  <c r="P150" i="4"/>
  <c r="P151" i="4" s="1"/>
  <c r="Q152" i="4"/>
  <c r="Q188" i="4"/>
  <c r="Q194" i="4" s="1"/>
  <c r="Q218" i="4" s="1"/>
  <c r="AA132" i="4"/>
  <c r="T142" i="4"/>
  <c r="T143" i="4" s="1"/>
  <c r="T144" i="4" s="1"/>
  <c r="S145" i="4"/>
  <c r="R149" i="4" s="1"/>
  <c r="P152" i="4"/>
  <c r="P188" i="4"/>
  <c r="P194" i="4" s="1"/>
  <c r="P218" i="4" s="1"/>
  <c r="N159" i="4"/>
  <c r="N160" i="4" s="1"/>
  <c r="N161" i="4" s="1"/>
  <c r="O156" i="4"/>
  <c r="L170" i="4" l="1"/>
  <c r="K172" i="4"/>
  <c r="K203" i="4" s="1"/>
  <c r="K206" i="4" s="1"/>
  <c r="K224" i="4" s="1"/>
  <c r="U144" i="4"/>
  <c r="J176" i="4"/>
  <c r="J177" i="4" s="1"/>
  <c r="J178" i="4" s="1"/>
  <c r="L172" i="4"/>
  <c r="L203" i="4" s="1"/>
  <c r="L206" i="4" s="1"/>
  <c r="L224" i="4" s="1"/>
  <c r="K173" i="4"/>
  <c r="M171" i="4"/>
  <c r="M170" i="4"/>
  <c r="AD122" i="4"/>
  <c r="AD124" i="4" s="1"/>
  <c r="AD125" i="4" s="1"/>
  <c r="AD126" i="4" s="1"/>
  <c r="N162" i="4"/>
  <c r="M166" i="4" s="1"/>
  <c r="T145" i="4"/>
  <c r="S149" i="4" s="1"/>
  <c r="Q148" i="4"/>
  <c r="P155" i="4"/>
  <c r="P202" i="4" s="1"/>
  <c r="P208" i="4" s="1"/>
  <c r="P226" i="4" s="1"/>
  <c r="R152" i="4"/>
  <c r="R188" i="4"/>
  <c r="R194" i="4" s="1"/>
  <c r="R218" i="4" s="1"/>
  <c r="W137" i="4"/>
  <c r="W136" i="4"/>
  <c r="W133" i="4"/>
  <c r="W134" i="4" s="1"/>
  <c r="O158" i="4"/>
  <c r="AC125" i="4"/>
  <c r="AC126" i="4" s="1"/>
  <c r="AC127" i="4" s="1"/>
  <c r="V139" i="4"/>
  <c r="AE119" i="4"/>
  <c r="AE116" i="4"/>
  <c r="AE117" i="4" s="1"/>
  <c r="AE120" i="4"/>
  <c r="AA135" i="4"/>
  <c r="AA187" i="4"/>
  <c r="AA193" i="4" s="1"/>
  <c r="AA217" i="4" s="1"/>
  <c r="L173" i="4" l="1"/>
  <c r="K175" i="4"/>
  <c r="L175" i="4"/>
  <c r="J180" i="4"/>
  <c r="J213" i="4" s="1"/>
  <c r="M169" i="4"/>
  <c r="M189" i="4"/>
  <c r="M192" i="4" s="1"/>
  <c r="M216" i="4" s="1"/>
  <c r="M167" i="4"/>
  <c r="M168" i="4" s="1"/>
  <c r="AD127" i="4"/>
  <c r="AF114" i="4"/>
  <c r="AE121" i="4"/>
  <c r="AE200" i="4" s="1"/>
  <c r="AE210" i="4" s="1"/>
  <c r="AE228" i="4" s="1"/>
  <c r="X131" i="4"/>
  <c r="W138" i="4"/>
  <c r="W201" i="4" s="1"/>
  <c r="W207" i="4" s="1"/>
  <c r="W225" i="4" s="1"/>
  <c r="V141" i="4"/>
  <c r="Q150" i="4"/>
  <c r="Q151" i="4" s="1"/>
  <c r="R148" i="4" s="1"/>
  <c r="Q153" i="4"/>
  <c r="Q154" i="4"/>
  <c r="P156" i="4"/>
  <c r="U145" i="4"/>
  <c r="T149" i="4" s="1"/>
  <c r="AC128" i="4"/>
  <c r="S152" i="4"/>
  <c r="S188" i="4"/>
  <c r="S194" i="4" s="1"/>
  <c r="S218" i="4" s="1"/>
  <c r="O159" i="4"/>
  <c r="O160" i="4" s="1"/>
  <c r="O161" i="4" s="1"/>
  <c r="L176" i="4" l="1"/>
  <c r="L177" i="4" s="1"/>
  <c r="K176" i="4"/>
  <c r="K177" i="4" s="1"/>
  <c r="AD128" i="4"/>
  <c r="AC132" i="4" s="1"/>
  <c r="J239" i="4"/>
  <c r="J247" i="4" s="1"/>
  <c r="J230" i="4"/>
  <c r="J240" i="4" s="1"/>
  <c r="J248" i="4" s="1"/>
  <c r="W139" i="4"/>
  <c r="W141" i="4" s="1"/>
  <c r="W142" i="4" s="1"/>
  <c r="W143" i="4" s="1"/>
  <c r="N165" i="4"/>
  <c r="M172" i="4"/>
  <c r="AE122" i="4"/>
  <c r="AE124" i="4" s="1"/>
  <c r="AE125" i="4" s="1"/>
  <c r="AE126" i="4" s="1"/>
  <c r="AE127" i="4" s="1"/>
  <c r="T152" i="4"/>
  <c r="T188" i="4"/>
  <c r="T194" i="4" s="1"/>
  <c r="T218" i="4" s="1"/>
  <c r="V142" i="4"/>
  <c r="V143" i="4" s="1"/>
  <c r="V144" i="4" s="1"/>
  <c r="P158" i="4"/>
  <c r="R154" i="4"/>
  <c r="R153" i="4"/>
  <c r="R150" i="4"/>
  <c r="R151" i="4" s="1"/>
  <c r="Q155" i="4"/>
  <c r="Q202" i="4" s="1"/>
  <c r="Q208" i="4" s="1"/>
  <c r="Q226" i="4" s="1"/>
  <c r="X133" i="4"/>
  <c r="X134" i="4" s="1"/>
  <c r="X136" i="4"/>
  <c r="X137" i="4"/>
  <c r="O162" i="4"/>
  <c r="N166" i="4" s="1"/>
  <c r="AB132" i="4"/>
  <c r="AF119" i="4"/>
  <c r="AF120" i="4"/>
  <c r="AF116" i="4"/>
  <c r="AF117" i="4" s="1"/>
  <c r="L178" i="4" l="1"/>
  <c r="W144" i="4"/>
  <c r="K178" i="4"/>
  <c r="L180" i="4"/>
  <c r="L213" i="4" s="1"/>
  <c r="M203" i="4"/>
  <c r="M206" i="4" s="1"/>
  <c r="M224" i="4" s="1"/>
  <c r="M173" i="4"/>
  <c r="N169" i="4"/>
  <c r="N189" i="4"/>
  <c r="N192" i="4" s="1"/>
  <c r="N216" i="4" s="1"/>
  <c r="N167" i="4"/>
  <c r="N168" i="4" s="1"/>
  <c r="O165" i="4" s="1"/>
  <c r="N170" i="4"/>
  <c r="N171" i="4"/>
  <c r="N172" i="4"/>
  <c r="N203" i="4" s="1"/>
  <c r="N206" i="4" s="1"/>
  <c r="N224" i="4" s="1"/>
  <c r="V145" i="4"/>
  <c r="U149" i="4" s="1"/>
  <c r="Y131" i="4"/>
  <c r="X138" i="4"/>
  <c r="X201" i="4" s="1"/>
  <c r="X207" i="4" s="1"/>
  <c r="X225" i="4" s="1"/>
  <c r="S148" i="4"/>
  <c r="R155" i="4"/>
  <c r="R202" i="4" s="1"/>
  <c r="R208" i="4" s="1"/>
  <c r="R226" i="4" s="1"/>
  <c r="AG114" i="4"/>
  <c r="AF121" i="4"/>
  <c r="AF200" i="4" s="1"/>
  <c r="AF210" i="4" s="1"/>
  <c r="AF228" i="4" s="1"/>
  <c r="AE128" i="4"/>
  <c r="AC135" i="4"/>
  <c r="AC187" i="4"/>
  <c r="AC193" i="4" s="1"/>
  <c r="AC217" i="4" s="1"/>
  <c r="AB135" i="4"/>
  <c r="AB187" i="4"/>
  <c r="AB193" i="4" s="1"/>
  <c r="AB217" i="4" s="1"/>
  <c r="P159" i="4"/>
  <c r="P160" i="4" s="1"/>
  <c r="P161" i="4" s="1"/>
  <c r="Q156" i="4"/>
  <c r="M175" i="4" l="1"/>
  <c r="K180" i="4"/>
  <c r="K213" i="4" s="1"/>
  <c r="N173" i="4"/>
  <c r="N175" i="4" s="1"/>
  <c r="L230" i="4"/>
  <c r="L240" i="4" s="1"/>
  <c r="L248" i="4" s="1"/>
  <c r="L239" i="4"/>
  <c r="L247" i="4" s="1"/>
  <c r="W145" i="4"/>
  <c r="V149" i="4" s="1"/>
  <c r="V152" i="4" s="1"/>
  <c r="O170" i="4"/>
  <c r="O171" i="4"/>
  <c r="AF122" i="4"/>
  <c r="AF124" i="4" s="1"/>
  <c r="AF125" i="4" s="1"/>
  <c r="AF126" i="4" s="1"/>
  <c r="AF127" i="4" s="1"/>
  <c r="R156" i="4"/>
  <c r="R158" i="4" s="1"/>
  <c r="P162" i="4"/>
  <c r="O166" i="4" s="1"/>
  <c r="O167" i="4" s="1"/>
  <c r="O168" i="4" s="1"/>
  <c r="AG119" i="4"/>
  <c r="AG116" i="4"/>
  <c r="AG117" i="4" s="1"/>
  <c r="AG120" i="4"/>
  <c r="U152" i="4"/>
  <c r="U188" i="4"/>
  <c r="U194" i="4" s="1"/>
  <c r="U218" i="4" s="1"/>
  <c r="AD132" i="4"/>
  <c r="S150" i="4"/>
  <c r="S151" i="4" s="1"/>
  <c r="T148" i="4" s="1"/>
  <c r="S154" i="4"/>
  <c r="S153" i="4"/>
  <c r="Q158" i="4"/>
  <c r="Y137" i="4"/>
  <c r="Y133" i="4"/>
  <c r="Y134" i="4" s="1"/>
  <c r="Y136" i="4"/>
  <c r="X139" i="4"/>
  <c r="N176" i="4" l="1"/>
  <c r="N177" i="4" s="1"/>
  <c r="M176" i="4"/>
  <c r="M177" i="4" s="1"/>
  <c r="P165" i="4"/>
  <c r="P171" i="4" s="1"/>
  <c r="O172" i="4"/>
  <c r="O203" i="4" s="1"/>
  <c r="O206" i="4" s="1"/>
  <c r="O224" i="4" s="1"/>
  <c r="V188" i="4"/>
  <c r="V194" i="4" s="1"/>
  <c r="V218" i="4" s="1"/>
  <c r="K239" i="4"/>
  <c r="K247" i="4" s="1"/>
  <c r="K230" i="4"/>
  <c r="K240" i="4" s="1"/>
  <c r="K248" i="4" s="1"/>
  <c r="P170" i="4"/>
  <c r="O169" i="4"/>
  <c r="O189" i="4"/>
  <c r="O192" i="4" s="1"/>
  <c r="O216" i="4" s="1"/>
  <c r="Z131" i="4"/>
  <c r="Z133" i="4" s="1"/>
  <c r="Z134" i="4" s="1"/>
  <c r="Y138" i="4"/>
  <c r="Y201" i="4" s="1"/>
  <c r="Y207" i="4" s="1"/>
  <c r="Y225" i="4" s="1"/>
  <c r="AF128" i="4"/>
  <c r="AH114" i="4"/>
  <c r="AG121" i="4"/>
  <c r="AG200" i="4" s="1"/>
  <c r="AG210" i="4" s="1"/>
  <c r="AG228" i="4" s="1"/>
  <c r="T153" i="4"/>
  <c r="T150" i="4"/>
  <c r="T151" i="4" s="1"/>
  <c r="U148" i="4" s="1"/>
  <c r="T154" i="4"/>
  <c r="AD135" i="4"/>
  <c r="AD187" i="4"/>
  <c r="AD193" i="4" s="1"/>
  <c r="AD217" i="4" s="1"/>
  <c r="R159" i="4"/>
  <c r="R160" i="4" s="1"/>
  <c r="Q159" i="4"/>
  <c r="Q160" i="4" s="1"/>
  <c r="Q161" i="4" s="1"/>
  <c r="X141" i="4"/>
  <c r="S155" i="4"/>
  <c r="S202" i="4" s="1"/>
  <c r="S208" i="4" s="1"/>
  <c r="S226" i="4" s="1"/>
  <c r="N178" i="4" l="1"/>
  <c r="Z136" i="4"/>
  <c r="Z137" i="4"/>
  <c r="M178" i="4"/>
  <c r="R161" i="4"/>
  <c r="O173" i="4"/>
  <c r="M180" i="4"/>
  <c r="M213" i="4" s="1"/>
  <c r="M230" i="4" s="1"/>
  <c r="M240" i="4" s="1"/>
  <c r="M248" i="4" s="1"/>
  <c r="Y139" i="4"/>
  <c r="Y141" i="4" s="1"/>
  <c r="Y142" i="4" s="1"/>
  <c r="Y143" i="4" s="1"/>
  <c r="AG122" i="4"/>
  <c r="AG124" i="4" s="1"/>
  <c r="AG125" i="4" s="1"/>
  <c r="AG126" i="4" s="1"/>
  <c r="AA131" i="4"/>
  <c r="Z138" i="4"/>
  <c r="Z201" i="4" s="1"/>
  <c r="Z207" i="4" s="1"/>
  <c r="Z225" i="4" s="1"/>
  <c r="S156" i="4"/>
  <c r="Q162" i="4"/>
  <c r="T155" i="4"/>
  <c r="T202" i="4" s="1"/>
  <c r="T208" i="4" s="1"/>
  <c r="T226" i="4" s="1"/>
  <c r="X142" i="4"/>
  <c r="X143" i="4" s="1"/>
  <c r="AH116" i="4"/>
  <c r="AH117" i="4" s="1"/>
  <c r="AH119" i="4"/>
  <c r="AH120" i="4"/>
  <c r="U153" i="4"/>
  <c r="U154" i="4"/>
  <c r="U150" i="4"/>
  <c r="U151" i="4" s="1"/>
  <c r="AE132" i="4"/>
  <c r="M239" i="4" l="1"/>
  <c r="M247" i="4" s="1"/>
  <c r="O175" i="4"/>
  <c r="AI114" i="4"/>
  <c r="AI116" i="4" s="1"/>
  <c r="AI117" i="4" s="1"/>
  <c r="AH121" i="4"/>
  <c r="AH200" i="4" s="1"/>
  <c r="AH210" i="4" s="1"/>
  <c r="AH228" i="4" s="1"/>
  <c r="N180" i="4"/>
  <c r="N213" i="4" s="1"/>
  <c r="R162" i="4"/>
  <c r="Q166" i="4" s="1"/>
  <c r="P166" i="4"/>
  <c r="AG127" i="4"/>
  <c r="AG128" i="4" s="1"/>
  <c r="T156" i="4"/>
  <c r="T158" i="4" s="1"/>
  <c r="Y144" i="4"/>
  <c r="V148" i="4"/>
  <c r="U155" i="4"/>
  <c r="U202" i="4" s="1"/>
  <c r="U208" i="4" s="1"/>
  <c r="U226" i="4" s="1"/>
  <c r="AA133" i="4"/>
  <c r="AA134" i="4" s="1"/>
  <c r="AA136" i="4"/>
  <c r="AA137" i="4"/>
  <c r="AE135" i="4"/>
  <c r="AE187" i="4"/>
  <c r="AE193" i="4" s="1"/>
  <c r="AE217" i="4" s="1"/>
  <c r="S158" i="4"/>
  <c r="X144" i="4"/>
  <c r="Z139" i="4"/>
  <c r="AI119" i="4" l="1"/>
  <c r="AI120" i="4"/>
  <c r="AH122" i="4"/>
  <c r="AH124" i="4" s="1"/>
  <c r="O176" i="4"/>
  <c r="O177" i="4" s="1"/>
  <c r="O178" i="4" s="1"/>
  <c r="O180" i="4" s="1"/>
  <c r="O213" i="4" s="1"/>
  <c r="N230" i="4"/>
  <c r="N240" i="4" s="1"/>
  <c r="N248" i="4" s="1"/>
  <c r="N239" i="4"/>
  <c r="N247" i="4" s="1"/>
  <c r="P169" i="4"/>
  <c r="P189" i="4"/>
  <c r="P192" i="4" s="1"/>
  <c r="P216" i="4" s="1"/>
  <c r="P167" i="4"/>
  <c r="P168" i="4" s="1"/>
  <c r="Q169" i="4"/>
  <c r="Q189" i="4"/>
  <c r="Q192" i="4" s="1"/>
  <c r="Q216" i="4" s="1"/>
  <c r="U156" i="4"/>
  <c r="U158" i="4" s="1"/>
  <c r="U159" i="4" s="1"/>
  <c r="U160" i="4" s="1"/>
  <c r="AJ114" i="4"/>
  <c r="AI121" i="4"/>
  <c r="AI200" i="4" s="1"/>
  <c r="AI210" i="4" s="1"/>
  <c r="AI228" i="4" s="1"/>
  <c r="AB131" i="4"/>
  <c r="AA138" i="4"/>
  <c r="AA201" i="4" s="1"/>
  <c r="AA207" i="4" s="1"/>
  <c r="AA225" i="4" s="1"/>
  <c r="Z141" i="4"/>
  <c r="X145" i="4"/>
  <c r="T159" i="4"/>
  <c r="T160" i="4" s="1"/>
  <c r="S159" i="4"/>
  <c r="S160" i="4" s="1"/>
  <c r="S161" i="4" s="1"/>
  <c r="AH125" i="4"/>
  <c r="AH126" i="4" s="1"/>
  <c r="AH127" i="4" s="1"/>
  <c r="V150" i="4"/>
  <c r="V151" i="4" s="1"/>
  <c r="V154" i="4"/>
  <c r="V153" i="4"/>
  <c r="AF132" i="4"/>
  <c r="O239" i="4" l="1"/>
  <c r="O247" i="4" s="1"/>
  <c r="O230" i="4"/>
  <c r="O240" i="4" s="1"/>
  <c r="O248" i="4" s="1"/>
  <c r="W148" i="4"/>
  <c r="W154" i="4" s="1"/>
  <c r="V155" i="4"/>
  <c r="V202" i="4" s="1"/>
  <c r="V208" i="4" s="1"/>
  <c r="V226" i="4" s="1"/>
  <c r="AI122" i="4"/>
  <c r="AI124" i="4" s="1"/>
  <c r="AI125" i="4" s="1"/>
  <c r="AI126" i="4" s="1"/>
  <c r="AI127" i="4" s="1"/>
  <c r="Q165" i="4"/>
  <c r="P172" i="4"/>
  <c r="U161" i="4"/>
  <c r="AA139" i="4"/>
  <c r="AA141" i="4" s="1"/>
  <c r="AA142" i="4" s="1"/>
  <c r="AA143" i="4" s="1"/>
  <c r="V156" i="4"/>
  <c r="V158" i="4" s="1"/>
  <c r="V159" i="4" s="1"/>
  <c r="V160" i="4" s="1"/>
  <c r="V161" i="4" s="1"/>
  <c r="T161" i="4"/>
  <c r="AF135" i="4"/>
  <c r="AF187" i="4"/>
  <c r="AF193" i="4" s="1"/>
  <c r="AF217" i="4" s="1"/>
  <c r="AJ119" i="4"/>
  <c r="AJ120" i="4"/>
  <c r="AJ116" i="4"/>
  <c r="AJ117" i="4" s="1"/>
  <c r="S162" i="4"/>
  <c r="R166" i="4" s="1"/>
  <c r="AH128" i="4"/>
  <c r="W149" i="4"/>
  <c r="Y145" i="4"/>
  <c r="X149" i="4" s="1"/>
  <c r="AB133" i="4"/>
  <c r="AB134" i="4" s="1"/>
  <c r="AC131" i="4" s="1"/>
  <c r="AB137" i="4"/>
  <c r="AB136" i="4"/>
  <c r="Z142" i="4"/>
  <c r="Z143" i="4" s="1"/>
  <c r="Z144" i="4" s="1"/>
  <c r="W150" i="4" l="1"/>
  <c r="AA144" i="4"/>
  <c r="W153" i="4"/>
  <c r="P203" i="4"/>
  <c r="P206" i="4" s="1"/>
  <c r="P224" i="4" s="1"/>
  <c r="P173" i="4"/>
  <c r="R169" i="4"/>
  <c r="R189" i="4"/>
  <c r="R192" i="4" s="1"/>
  <c r="R216" i="4" s="1"/>
  <c r="Q171" i="4"/>
  <c r="Q170" i="4"/>
  <c r="Q167" i="4"/>
  <c r="Q168" i="4" s="1"/>
  <c r="R165" i="4" s="1"/>
  <c r="W151" i="4"/>
  <c r="X148" i="4" s="1"/>
  <c r="X153" i="4" s="1"/>
  <c r="AI128" i="4"/>
  <c r="Z145" i="4"/>
  <c r="Y149" i="4" s="1"/>
  <c r="AK114" i="4"/>
  <c r="AJ121" i="4"/>
  <c r="AJ200" i="4" s="1"/>
  <c r="AJ210" i="4" s="1"/>
  <c r="AJ228" i="4" s="1"/>
  <c r="AG132" i="4"/>
  <c r="AC133" i="4"/>
  <c r="AC134" i="4" s="1"/>
  <c r="AD131" i="4" s="1"/>
  <c r="AC136" i="4"/>
  <c r="AC137" i="4"/>
  <c r="AB138" i="4"/>
  <c r="AB201" i="4" s="1"/>
  <c r="AB207" i="4" s="1"/>
  <c r="AB225" i="4" s="1"/>
  <c r="T162" i="4"/>
  <c r="X152" i="4"/>
  <c r="X188" i="4"/>
  <c r="X194" i="4" s="1"/>
  <c r="X218" i="4" s="1"/>
  <c r="W152" i="4"/>
  <c r="W188" i="4"/>
  <c r="W194" i="4" s="1"/>
  <c r="W218" i="4" s="1"/>
  <c r="P175" i="4" l="1"/>
  <c r="X150" i="4"/>
  <c r="X151" i="4" s="1"/>
  <c r="X155" i="4" s="1"/>
  <c r="W155" i="4"/>
  <c r="W202" i="4" s="1"/>
  <c r="W208" i="4" s="1"/>
  <c r="W226" i="4" s="1"/>
  <c r="X154" i="4"/>
  <c r="Q172" i="4"/>
  <c r="Q203" i="4" s="1"/>
  <c r="Q206" i="4" s="1"/>
  <c r="Q224" i="4" s="1"/>
  <c r="U162" i="4"/>
  <c r="S166" i="4"/>
  <c r="R170" i="4"/>
  <c r="R171" i="4"/>
  <c r="R167" i="4"/>
  <c r="R168" i="4" s="1"/>
  <c r="AK119" i="4"/>
  <c r="AK116" i="4"/>
  <c r="AK117" i="4" s="1"/>
  <c r="AK120" i="4"/>
  <c r="Y152" i="4"/>
  <c r="Y188" i="4"/>
  <c r="Y194" i="4" s="1"/>
  <c r="Y218" i="4" s="1"/>
  <c r="AC138" i="4"/>
  <c r="AC201" i="4" s="1"/>
  <c r="AC207" i="4" s="1"/>
  <c r="AC225" i="4" s="1"/>
  <c r="AH132" i="4"/>
  <c r="AG135" i="4"/>
  <c r="AG187" i="4"/>
  <c r="AG193" i="4" s="1"/>
  <c r="AG217" i="4" s="1"/>
  <c r="AA145" i="4"/>
  <c r="Z149" i="4" s="1"/>
  <c r="AD133" i="4"/>
  <c r="AD137" i="4"/>
  <c r="AD134" i="4"/>
  <c r="AE131" i="4" s="1"/>
  <c r="AD136" i="4"/>
  <c r="AJ122" i="4"/>
  <c r="AJ124" i="4" s="1"/>
  <c r="AB139" i="4"/>
  <c r="X156" i="4" l="1"/>
  <c r="W156" i="4"/>
  <c r="W158" i="4" s="1"/>
  <c r="W159" i="4" s="1"/>
  <c r="W160" i="4" s="1"/>
  <c r="W161" i="4" s="1"/>
  <c r="X202" i="4"/>
  <c r="X208" i="4" s="1"/>
  <c r="X226" i="4" s="1"/>
  <c r="P176" i="4"/>
  <c r="P177" i="4" s="1"/>
  <c r="P178" i="4" s="1"/>
  <c r="Y148" i="4"/>
  <c r="Y153" i="4" s="1"/>
  <c r="S165" i="4"/>
  <c r="R172" i="4"/>
  <c r="R203" i="4" s="1"/>
  <c r="R206" i="4" s="1"/>
  <c r="R224" i="4" s="1"/>
  <c r="V162" i="4"/>
  <c r="U166" i="4" s="1"/>
  <c r="T166" i="4"/>
  <c r="R173" i="4"/>
  <c r="S169" i="4"/>
  <c r="S189" i="4"/>
  <c r="S192" i="4" s="1"/>
  <c r="S216" i="4" s="1"/>
  <c r="Q173" i="4"/>
  <c r="AC139" i="4"/>
  <c r="AC141" i="4" s="1"/>
  <c r="AC142" i="4" s="1"/>
  <c r="AC143" i="4" s="1"/>
  <c r="AL114" i="4"/>
  <c r="AK121" i="4"/>
  <c r="AK200" i="4" s="1"/>
  <c r="AK210" i="4" s="1"/>
  <c r="AK228" i="4" s="1"/>
  <c r="Z152" i="4"/>
  <c r="Z188" i="4"/>
  <c r="Z194" i="4" s="1"/>
  <c r="Z218" i="4" s="1"/>
  <c r="AB141" i="4"/>
  <c r="AE136" i="4"/>
  <c r="AE137" i="4"/>
  <c r="AE133" i="4"/>
  <c r="AE134" i="4" s="1"/>
  <c r="AF131" i="4" s="1"/>
  <c r="AH135" i="4"/>
  <c r="AH187" i="4"/>
  <c r="AH193" i="4" s="1"/>
  <c r="AH217" i="4" s="1"/>
  <c r="AJ125" i="4"/>
  <c r="AJ126" i="4" s="1"/>
  <c r="AJ127" i="4" s="1"/>
  <c r="AD138" i="4"/>
  <c r="AD201" i="4" s="1"/>
  <c r="AD207" i="4" s="1"/>
  <c r="AD225" i="4" s="1"/>
  <c r="X158" i="4" l="1"/>
  <c r="Y150" i="4"/>
  <c r="Y151" i="4" s="1"/>
  <c r="Z148" i="4" s="1"/>
  <c r="Y154" i="4"/>
  <c r="R175" i="4"/>
  <c r="Q175" i="4"/>
  <c r="P180" i="4"/>
  <c r="P213" i="4" s="1"/>
  <c r="P230" i="4" s="1"/>
  <c r="P240" i="4" s="1"/>
  <c r="P248" i="4" s="1"/>
  <c r="U169" i="4"/>
  <c r="U189" i="4"/>
  <c r="U192" i="4" s="1"/>
  <c r="U216" i="4" s="1"/>
  <c r="P239" i="4"/>
  <c r="P247" i="4" s="1"/>
  <c r="T169" i="4"/>
  <c r="T189" i="4"/>
  <c r="T192" i="4" s="1"/>
  <c r="T216" i="4" s="1"/>
  <c r="S171" i="4"/>
  <c r="S167" i="4"/>
  <c r="S168" i="4" s="1"/>
  <c r="S170" i="4"/>
  <c r="AK122" i="4"/>
  <c r="AK124" i="4" s="1"/>
  <c r="AK125" i="4" s="1"/>
  <c r="AK126" i="4" s="1"/>
  <c r="AK127" i="4" s="1"/>
  <c r="W162" i="4"/>
  <c r="V166" i="4" s="1"/>
  <c r="Y155" i="4"/>
  <c r="Y202" i="4" s="1"/>
  <c r="Y208" i="4" s="1"/>
  <c r="Y226" i="4" s="1"/>
  <c r="AJ128" i="4"/>
  <c r="X159" i="4"/>
  <c r="X160" i="4" s="1"/>
  <c r="X161" i="4" s="1"/>
  <c r="AB142" i="4"/>
  <c r="AB143" i="4" s="1"/>
  <c r="AC144" i="4" s="1"/>
  <c r="AF136" i="4"/>
  <c r="AF137" i="4"/>
  <c r="AF133" i="4"/>
  <c r="AF134" i="4" s="1"/>
  <c r="AD139" i="4"/>
  <c r="AL116" i="4"/>
  <c r="AL117" i="4" s="1"/>
  <c r="AL119" i="4"/>
  <c r="AL120" i="4"/>
  <c r="AE138" i="4"/>
  <c r="AE201" i="4" s="1"/>
  <c r="AE207" i="4" s="1"/>
  <c r="AE225" i="4" s="1"/>
  <c r="Q176" i="4" l="1"/>
  <c r="Q177" i="4" s="1"/>
  <c r="Q178" i="4" s="1"/>
  <c r="R176" i="4"/>
  <c r="R177" i="4" s="1"/>
  <c r="AE139" i="4"/>
  <c r="AE141" i="4" s="1"/>
  <c r="AE142" i="4" s="1"/>
  <c r="AE143" i="4" s="1"/>
  <c r="T165" i="4"/>
  <c r="S172" i="4"/>
  <c r="S203" i="4" s="1"/>
  <c r="S206" i="4" s="1"/>
  <c r="S224" i="4" s="1"/>
  <c r="V169" i="4"/>
  <c r="V189" i="4"/>
  <c r="V192" i="4" s="1"/>
  <c r="V216" i="4" s="1"/>
  <c r="AM114" i="4"/>
  <c r="AM119" i="4" s="1"/>
  <c r="AL121" i="4"/>
  <c r="AL200" i="4" s="1"/>
  <c r="AL210" i="4" s="1"/>
  <c r="AL228" i="4" s="1"/>
  <c r="AG131" i="4"/>
  <c r="AF138" i="4"/>
  <c r="AF201" i="4" s="1"/>
  <c r="AF207" i="4" s="1"/>
  <c r="AF225" i="4" s="1"/>
  <c r="X162" i="4"/>
  <c r="W166" i="4" s="1"/>
  <c r="AK128" i="4"/>
  <c r="AD141" i="4"/>
  <c r="Y156" i="4"/>
  <c r="AB144" i="4"/>
  <c r="AI132" i="4"/>
  <c r="Z154" i="4"/>
  <c r="Z150" i="4"/>
  <c r="Z151" i="4" s="1"/>
  <c r="Z153" i="4"/>
  <c r="R178" i="4" l="1"/>
  <c r="R180" i="4" s="1"/>
  <c r="R213" i="4" s="1"/>
  <c r="S173" i="4"/>
  <c r="S175" i="4" s="1"/>
  <c r="AM116" i="4"/>
  <c r="AM117" i="4" s="1"/>
  <c r="AM121" i="4" s="1"/>
  <c r="AM200" i="4" s="1"/>
  <c r="AM210" i="4" s="1"/>
  <c r="AM228" i="4" s="1"/>
  <c r="AM120" i="4"/>
  <c r="AL122" i="4"/>
  <c r="AL124" i="4" s="1"/>
  <c r="AL125" i="4" s="1"/>
  <c r="AL126" i="4" s="1"/>
  <c r="AL127" i="4" s="1"/>
  <c r="Q180" i="4"/>
  <c r="Q213" i="4" s="1"/>
  <c r="AA148" i="4"/>
  <c r="AA153" i="4" s="1"/>
  <c r="Z155" i="4"/>
  <c r="Z202" i="4" s="1"/>
  <c r="Z208" i="4" s="1"/>
  <c r="Z226" i="4" s="1"/>
  <c r="W169" i="4"/>
  <c r="W189" i="4"/>
  <c r="W192" i="4" s="1"/>
  <c r="W216" i="4" s="1"/>
  <c r="R239" i="4"/>
  <c r="R247" i="4" s="1"/>
  <c r="R230" i="4"/>
  <c r="R240" i="4" s="1"/>
  <c r="R248" i="4" s="1"/>
  <c r="T171" i="4"/>
  <c r="T170" i="4"/>
  <c r="T167" i="4"/>
  <c r="T168" i="4" s="1"/>
  <c r="U165" i="4" s="1"/>
  <c r="AF139" i="4"/>
  <c r="AF141" i="4" s="1"/>
  <c r="AF142" i="4" s="1"/>
  <c r="AF143" i="4" s="1"/>
  <c r="AD142" i="4"/>
  <c r="AD143" i="4" s="1"/>
  <c r="AE144" i="4" s="1"/>
  <c r="AG136" i="4"/>
  <c r="AG137" i="4"/>
  <c r="AG133" i="4"/>
  <c r="AG134" i="4" s="1"/>
  <c r="AB145" i="4"/>
  <c r="Y158" i="4"/>
  <c r="AJ132" i="4"/>
  <c r="AI135" i="4"/>
  <c r="AI187" i="4"/>
  <c r="AI193" i="4" s="1"/>
  <c r="AI217" i="4" s="1"/>
  <c r="AM122" i="4" l="1"/>
  <c r="AM124" i="4" s="1"/>
  <c r="AM125" i="4" s="1"/>
  <c r="AM126" i="4" s="1"/>
  <c r="AM127" i="4" s="1"/>
  <c r="S176" i="4"/>
  <c r="S177" i="4" s="1"/>
  <c r="S178" i="4" s="1"/>
  <c r="AA154" i="4"/>
  <c r="Z156" i="4"/>
  <c r="Z158" i="4" s="1"/>
  <c r="Z159" i="4" s="1"/>
  <c r="Z160" i="4" s="1"/>
  <c r="AD144" i="4"/>
  <c r="Q239" i="4"/>
  <c r="Q247" i="4" s="1"/>
  <c r="Q230" i="4"/>
  <c r="Q240" i="4" s="1"/>
  <c r="Q248" i="4" s="1"/>
  <c r="U171" i="4"/>
  <c r="U170" i="4"/>
  <c r="U167" i="4"/>
  <c r="U168" i="4" s="1"/>
  <c r="V165" i="4" s="1"/>
  <c r="T172" i="4"/>
  <c r="T203" i="4" s="1"/>
  <c r="T206" i="4" s="1"/>
  <c r="T224" i="4" s="1"/>
  <c r="AH131" i="4"/>
  <c r="AG138" i="4"/>
  <c r="AG201" i="4" s="1"/>
  <c r="AG207" i="4" s="1"/>
  <c r="AG225" i="4" s="1"/>
  <c r="AJ135" i="4"/>
  <c r="AJ187" i="4"/>
  <c r="AJ193" i="4" s="1"/>
  <c r="AJ217" i="4" s="1"/>
  <c r="AA149" i="4"/>
  <c r="AC145" i="4"/>
  <c r="AB149" i="4" s="1"/>
  <c r="Y159" i="4"/>
  <c r="Y160" i="4" s="1"/>
  <c r="Y161" i="4" s="1"/>
  <c r="AL128" i="4"/>
  <c r="AF144" i="4"/>
  <c r="U172" i="4" l="1"/>
  <c r="U203" i="4" s="1"/>
  <c r="U206" i="4" s="1"/>
  <c r="U224" i="4" s="1"/>
  <c r="S180" i="4"/>
  <c r="S213" i="4" s="1"/>
  <c r="T173" i="4"/>
  <c r="AG139" i="4"/>
  <c r="AG141" i="4" s="1"/>
  <c r="V170" i="4"/>
  <c r="V171" i="4"/>
  <c r="V167" i="4"/>
  <c r="V168" i="4" s="1"/>
  <c r="U173" i="4"/>
  <c r="U175" i="4" s="1"/>
  <c r="Z161" i="4"/>
  <c r="AD145" i="4"/>
  <c r="AM128" i="4"/>
  <c r="Y162" i="4"/>
  <c r="AB152" i="4"/>
  <c r="AB188" i="4"/>
  <c r="AB194" i="4" s="1"/>
  <c r="AB218" i="4" s="1"/>
  <c r="AA152" i="4"/>
  <c r="AA188" i="4"/>
  <c r="AA194" i="4" s="1"/>
  <c r="AA218" i="4" s="1"/>
  <c r="AA150" i="4"/>
  <c r="AA151" i="4" s="1"/>
  <c r="AH137" i="4"/>
  <c r="AH133" i="4"/>
  <c r="AH134" i="4" s="1"/>
  <c r="AI131" i="4" s="1"/>
  <c r="AH136" i="4"/>
  <c r="AK132" i="4"/>
  <c r="T175" i="4" l="1"/>
  <c r="U176" i="4"/>
  <c r="U177" i="4" s="1"/>
  <c r="S239" i="4"/>
  <c r="S247" i="4" s="1"/>
  <c r="S230" i="4"/>
  <c r="S240" i="4" s="1"/>
  <c r="S248" i="4" s="1"/>
  <c r="W165" i="4"/>
  <c r="V172" i="4"/>
  <c r="V203" i="4" s="1"/>
  <c r="V206" i="4" s="1"/>
  <c r="V224" i="4" s="1"/>
  <c r="Z162" i="4"/>
  <c r="Y166" i="4" s="1"/>
  <c r="X166" i="4"/>
  <c r="AC149" i="4"/>
  <c r="AE145" i="4"/>
  <c r="AB148" i="4"/>
  <c r="AA155" i="4"/>
  <c r="AA202" i="4" s="1"/>
  <c r="AA208" i="4" s="1"/>
  <c r="AA226" i="4" s="1"/>
  <c r="AH138" i="4"/>
  <c r="AH201" i="4" s="1"/>
  <c r="AH207" i="4" s="1"/>
  <c r="AH225" i="4" s="1"/>
  <c r="AL132" i="4"/>
  <c r="AG142" i="4"/>
  <c r="AG143" i="4" s="1"/>
  <c r="AG144" i="4" s="1"/>
  <c r="AI133" i="4"/>
  <c r="AI134" i="4" s="1"/>
  <c r="AI137" i="4"/>
  <c r="AI136" i="4"/>
  <c r="AK135" i="4"/>
  <c r="AK187" i="4"/>
  <c r="AK193" i="4" s="1"/>
  <c r="AK217" i="4" s="1"/>
  <c r="T176" i="4" l="1"/>
  <c r="T177" i="4" s="1"/>
  <c r="U178" i="4" s="1"/>
  <c r="V173" i="4"/>
  <c r="X169" i="4"/>
  <c r="X189" i="4"/>
  <c r="X192" i="4" s="1"/>
  <c r="X216" i="4" s="1"/>
  <c r="Y169" i="4"/>
  <c r="Y189" i="4"/>
  <c r="Y192" i="4" s="1"/>
  <c r="Y216" i="4" s="1"/>
  <c r="W167" i="4"/>
  <c r="W168" i="4" s="1"/>
  <c r="X165" i="4" s="1"/>
  <c r="W171" i="4"/>
  <c r="W170" i="4"/>
  <c r="AD149" i="4"/>
  <c r="AD188" i="4" s="1"/>
  <c r="AD194" i="4" s="1"/>
  <c r="AD218" i="4" s="1"/>
  <c r="AF145" i="4"/>
  <c r="AE149" i="4" s="1"/>
  <c r="AE152" i="4" s="1"/>
  <c r="AC152" i="4"/>
  <c r="AC188" i="4"/>
  <c r="AC194" i="4" s="1"/>
  <c r="AC218" i="4" s="1"/>
  <c r="AJ131" i="4"/>
  <c r="AI138" i="4"/>
  <c r="AI201" i="4" s="1"/>
  <c r="AI207" i="4" s="1"/>
  <c r="AI225" i="4" s="1"/>
  <c r="AL135" i="4"/>
  <c r="AL187" i="4"/>
  <c r="AL193" i="4" s="1"/>
  <c r="AL217" i="4" s="1"/>
  <c r="AM187" i="4"/>
  <c r="AM193" i="4" s="1"/>
  <c r="AM217" i="4" s="1"/>
  <c r="AH139" i="4"/>
  <c r="AB154" i="4"/>
  <c r="AB150" i="4"/>
  <c r="AB151" i="4" s="1"/>
  <c r="AC148" i="4" s="1"/>
  <c r="AB153" i="4"/>
  <c r="AA156" i="4"/>
  <c r="V175" i="4" l="1"/>
  <c r="T178" i="4"/>
  <c r="AG145" i="4"/>
  <c r="AF149" i="4" s="1"/>
  <c r="AF152" i="4" s="1"/>
  <c r="U180" i="4"/>
  <c r="U213" i="4" s="1"/>
  <c r="X171" i="4"/>
  <c r="X170" i="4"/>
  <c r="X167" i="4"/>
  <c r="X168" i="4" s="1"/>
  <c r="Y165" i="4" s="1"/>
  <c r="W172" i="4"/>
  <c r="W203" i="4" s="1"/>
  <c r="W206" i="4" s="1"/>
  <c r="W224" i="4" s="1"/>
  <c r="AI139" i="4"/>
  <c r="AI141" i="4" s="1"/>
  <c r="AI142" i="4" s="1"/>
  <c r="AI143" i="4" s="1"/>
  <c r="AD152" i="4"/>
  <c r="AE188" i="4"/>
  <c r="AE194" i="4" s="1"/>
  <c r="AE218" i="4" s="1"/>
  <c r="AC154" i="4"/>
  <c r="AC150" i="4"/>
  <c r="AC151" i="4" s="1"/>
  <c r="AC153" i="4"/>
  <c r="AB155" i="4"/>
  <c r="AB202" i="4" s="1"/>
  <c r="AB208" i="4" s="1"/>
  <c r="AB226" i="4" s="1"/>
  <c r="AJ133" i="4"/>
  <c r="AJ134" i="4" s="1"/>
  <c r="AJ136" i="4"/>
  <c r="AJ137" i="4"/>
  <c r="AA158" i="4"/>
  <c r="AH141" i="4"/>
  <c r="W173" i="4" l="1"/>
  <c r="V176" i="4"/>
  <c r="V177" i="4" s="1"/>
  <c r="V178" i="4" s="1"/>
  <c r="AF188" i="4"/>
  <c r="AF194" i="4" s="1"/>
  <c r="AF218" i="4" s="1"/>
  <c r="X172" i="4"/>
  <c r="T180" i="4"/>
  <c r="T213" i="4" s="1"/>
  <c r="U239" i="4"/>
  <c r="U247" i="4" s="1"/>
  <c r="U230" i="4"/>
  <c r="U240" i="4" s="1"/>
  <c r="U248" i="4" s="1"/>
  <c r="X173" i="4"/>
  <c r="X175" i="4" s="1"/>
  <c r="X203" i="4"/>
  <c r="X206" i="4" s="1"/>
  <c r="X224" i="4" s="1"/>
  <c r="Y170" i="4"/>
  <c r="Y171" i="4"/>
  <c r="Y167" i="4"/>
  <c r="Y168" i="4" s="1"/>
  <c r="Z165" i="4" s="1"/>
  <c r="AK131" i="4"/>
  <c r="AK137" i="4" s="1"/>
  <c r="AJ138" i="4"/>
  <c r="AJ201" i="4" s="1"/>
  <c r="AJ207" i="4" s="1"/>
  <c r="AJ225" i="4" s="1"/>
  <c r="AD148" i="4"/>
  <c r="AC155" i="4"/>
  <c r="AC202" i="4" s="1"/>
  <c r="AC208" i="4" s="1"/>
  <c r="AC226" i="4" s="1"/>
  <c r="AB156" i="4"/>
  <c r="AA159" i="4"/>
  <c r="AA160" i="4" s="1"/>
  <c r="AA161" i="4" s="1"/>
  <c r="AH142" i="4"/>
  <c r="AH143" i="4" s="1"/>
  <c r="AI144" i="4" s="1"/>
  <c r="X176" i="4" l="1"/>
  <c r="X177" i="4" s="1"/>
  <c r="W175" i="4"/>
  <c r="T230" i="4"/>
  <c r="T240" i="4" s="1"/>
  <c r="T248" i="4" s="1"/>
  <c r="T239" i="4"/>
  <c r="T247" i="4" s="1"/>
  <c r="AJ139" i="4"/>
  <c r="AJ141" i="4" s="1"/>
  <c r="Z171" i="4"/>
  <c r="Z170" i="4"/>
  <c r="AK136" i="4"/>
  <c r="AK133" i="4"/>
  <c r="AK134" i="4" s="1"/>
  <c r="AL131" i="4" s="1"/>
  <c r="Y172" i="4"/>
  <c r="Y203" i="4" s="1"/>
  <c r="Y206" i="4" s="1"/>
  <c r="Y224" i="4" s="1"/>
  <c r="AH144" i="4"/>
  <c r="AH145" i="4" s="1"/>
  <c r="AG149" i="4" s="1"/>
  <c r="AA162" i="4"/>
  <c r="Z166" i="4" s="1"/>
  <c r="AD153" i="4"/>
  <c r="AD154" i="4"/>
  <c r="AD150" i="4"/>
  <c r="AD151" i="4" s="1"/>
  <c r="AB158" i="4"/>
  <c r="AC156" i="4"/>
  <c r="AC158" i="4" s="1"/>
  <c r="W176" i="4" l="1"/>
  <c r="W177" i="4" s="1"/>
  <c r="X178" i="4" s="1"/>
  <c r="X180" i="4" s="1"/>
  <c r="X213" i="4" s="1"/>
  <c r="V180" i="4"/>
  <c r="V213" i="4" s="1"/>
  <c r="Z169" i="4"/>
  <c r="Z189" i="4"/>
  <c r="Z192" i="4" s="1"/>
  <c r="Z216" i="4" s="1"/>
  <c r="Z167" i="4"/>
  <c r="Z168" i="4" s="1"/>
  <c r="Y173" i="4"/>
  <c r="AK138" i="4"/>
  <c r="AI145" i="4"/>
  <c r="AH149" i="4" s="1"/>
  <c r="AH152" i="4" s="1"/>
  <c r="AE148" i="4"/>
  <c r="AD155" i="4"/>
  <c r="AD202" i="4" s="1"/>
  <c r="AD208" i="4" s="1"/>
  <c r="AD226" i="4" s="1"/>
  <c r="AC159" i="4"/>
  <c r="AC160" i="4" s="1"/>
  <c r="AG152" i="4"/>
  <c r="AG188" i="4"/>
  <c r="AG194" i="4" s="1"/>
  <c r="AG218" i="4" s="1"/>
  <c r="AJ142" i="4"/>
  <c r="AJ143" i="4" s="1"/>
  <c r="AB159" i="4"/>
  <c r="AB160" i="4" s="1"/>
  <c r="AL137" i="4"/>
  <c r="AL133" i="4"/>
  <c r="AL134" i="4" s="1"/>
  <c r="AL136" i="4"/>
  <c r="AC161" i="4" l="1"/>
  <c r="AD156" i="4"/>
  <c r="AD158" i="4" s="1"/>
  <c r="Y175" i="4"/>
  <c r="W178" i="4"/>
  <c r="W180" i="4" s="1"/>
  <c r="W213" i="4" s="1"/>
  <c r="X239" i="4"/>
  <c r="X247" i="4" s="1"/>
  <c r="X230" i="4"/>
  <c r="X240" i="4" s="1"/>
  <c r="X248" i="4" s="1"/>
  <c r="AH188" i="4"/>
  <c r="AH194" i="4" s="1"/>
  <c r="AH218" i="4" s="1"/>
  <c r="V230" i="4"/>
  <c r="V240" i="4" s="1"/>
  <c r="V248" i="4" s="1"/>
  <c r="V239" i="4"/>
  <c r="V247" i="4" s="1"/>
  <c r="AK201" i="4"/>
  <c r="AK207" i="4" s="1"/>
  <c r="AK225" i="4" s="1"/>
  <c r="AK139" i="4"/>
  <c r="AK141" i="4" s="1"/>
  <c r="AK142" i="4" s="1"/>
  <c r="AK143" i="4" s="1"/>
  <c r="AA165" i="4"/>
  <c r="Z172" i="4"/>
  <c r="AJ144" i="4"/>
  <c r="AJ145" i="4" s="1"/>
  <c r="AI149" i="4" s="1"/>
  <c r="AM131" i="4"/>
  <c r="AL138" i="4"/>
  <c r="AL201" i="4" s="1"/>
  <c r="AL207" i="4" s="1"/>
  <c r="AL225" i="4" s="1"/>
  <c r="AB161" i="4"/>
  <c r="AD159" i="4"/>
  <c r="AD160" i="4" s="1"/>
  <c r="AD161" i="4" s="1"/>
  <c r="AE153" i="4"/>
  <c r="AE150" i="4"/>
  <c r="AE151" i="4" s="1"/>
  <c r="AE154" i="4"/>
  <c r="AL139" i="4" l="1"/>
  <c r="AL141" i="4" s="1"/>
  <c r="AL142" i="4" s="1"/>
  <c r="AL143" i="4" s="1"/>
  <c r="AL144" i="4" s="1"/>
  <c r="W230" i="4"/>
  <c r="W240" i="4" s="1"/>
  <c r="W248" i="4" s="1"/>
  <c r="W239" i="4"/>
  <c r="W247" i="4" s="1"/>
  <c r="Y176" i="4"/>
  <c r="Y177" i="4" s="1"/>
  <c r="Y178" i="4" s="1"/>
  <c r="Z203" i="4"/>
  <c r="Z206" i="4" s="1"/>
  <c r="Z224" i="4" s="1"/>
  <c r="Z173" i="4"/>
  <c r="AA170" i="4"/>
  <c r="AA171" i="4"/>
  <c r="AK144" i="4"/>
  <c r="AK145" i="4" s="1"/>
  <c r="AJ149" i="4" s="1"/>
  <c r="AF148" i="4"/>
  <c r="AE155" i="4"/>
  <c r="AE202" i="4" s="1"/>
  <c r="AE208" i="4" s="1"/>
  <c r="AE226" i="4" s="1"/>
  <c r="AM133" i="4"/>
  <c r="AM134" i="4" s="1"/>
  <c r="AM138" i="4" s="1"/>
  <c r="AM201" i="4" s="1"/>
  <c r="AM207" i="4" s="1"/>
  <c r="AM225" i="4" s="1"/>
  <c r="AM137" i="4"/>
  <c r="AM136" i="4"/>
  <c r="AB162" i="4"/>
  <c r="AI152" i="4"/>
  <c r="AI188" i="4"/>
  <c r="AI194" i="4" s="1"/>
  <c r="AI218" i="4" s="1"/>
  <c r="Z175" i="4" l="1"/>
  <c r="AE156" i="4"/>
  <c r="AE158" i="4" s="1"/>
  <c r="Y180" i="4"/>
  <c r="Y213" i="4" s="1"/>
  <c r="AJ152" i="4"/>
  <c r="AJ188" i="4"/>
  <c r="AJ194" i="4" s="1"/>
  <c r="AJ218" i="4" s="1"/>
  <c r="AC162" i="4"/>
  <c r="AB166" i="4" s="1"/>
  <c r="AA166" i="4"/>
  <c r="AL145" i="4"/>
  <c r="AK149" i="4" s="1"/>
  <c r="AM139" i="4"/>
  <c r="AM141" i="4" s="1"/>
  <c r="AF153" i="4"/>
  <c r="AF150" i="4"/>
  <c r="AF151" i="4" s="1"/>
  <c r="AG148" i="4" s="1"/>
  <c r="AF154" i="4"/>
  <c r="Z176" i="4" l="1"/>
  <c r="Z177" i="4" s="1"/>
  <c r="Z178" i="4" s="1"/>
  <c r="Y239" i="4"/>
  <c r="Y247" i="4" s="1"/>
  <c r="Y230" i="4"/>
  <c r="Y240" i="4" s="1"/>
  <c r="Y248" i="4" s="1"/>
  <c r="AD162" i="4"/>
  <c r="AC166" i="4" s="1"/>
  <c r="AC169" i="4" s="1"/>
  <c r="AB169" i="4"/>
  <c r="AB189" i="4"/>
  <c r="AB192" i="4" s="1"/>
  <c r="AB216" i="4" s="1"/>
  <c r="AA169" i="4"/>
  <c r="AA189" i="4"/>
  <c r="AA192" i="4" s="1"/>
  <c r="AA216" i="4" s="1"/>
  <c r="AA167" i="4"/>
  <c r="AA168" i="4" s="1"/>
  <c r="AG150" i="4"/>
  <c r="AG151" i="4" s="1"/>
  <c r="AH148" i="4" s="1"/>
  <c r="AG154" i="4"/>
  <c r="AG153" i="4"/>
  <c r="AM142" i="4"/>
  <c r="AM143" i="4" s="1"/>
  <c r="AM144" i="4" s="1"/>
  <c r="AF155" i="4"/>
  <c r="AF202" i="4" s="1"/>
  <c r="AF208" i="4" s="1"/>
  <c r="AF226" i="4" s="1"/>
  <c r="AK152" i="4"/>
  <c r="AK188" i="4"/>
  <c r="AK194" i="4" s="1"/>
  <c r="AK218" i="4" s="1"/>
  <c r="AE159" i="4"/>
  <c r="AE160" i="4" s="1"/>
  <c r="AE161" i="4" s="1"/>
  <c r="AC189" i="4" l="1"/>
  <c r="AC192" i="4" s="1"/>
  <c r="AC216" i="4" s="1"/>
  <c r="Z180" i="4"/>
  <c r="Z213" i="4" s="1"/>
  <c r="Z239" i="4" s="1"/>
  <c r="Z247" i="4" s="1"/>
  <c r="AB165" i="4"/>
  <c r="AA172" i="4"/>
  <c r="AG155" i="4"/>
  <c r="AG156" i="4" s="1"/>
  <c r="AF156" i="4"/>
  <c r="AG202" i="4"/>
  <c r="AG208" i="4" s="1"/>
  <c r="AG226" i="4" s="1"/>
  <c r="AM145" i="4"/>
  <c r="AL149" i="4" s="1"/>
  <c r="AF158" i="4"/>
  <c r="AE162" i="4"/>
  <c r="AD166" i="4" s="1"/>
  <c r="AH154" i="4"/>
  <c r="AH150" i="4"/>
  <c r="AH151" i="4" s="1"/>
  <c r="AH153" i="4"/>
  <c r="Z230" i="4" l="1"/>
  <c r="Z240" i="4" s="1"/>
  <c r="Z248" i="4" s="1"/>
  <c r="AG158" i="4"/>
  <c r="AD169" i="4"/>
  <c r="AD189" i="4"/>
  <c r="AD192" i="4" s="1"/>
  <c r="AD216" i="4" s="1"/>
  <c r="AA203" i="4"/>
  <c r="AA206" i="4" s="1"/>
  <c r="AA224" i="4" s="1"/>
  <c r="AA173" i="4"/>
  <c r="AB171" i="4"/>
  <c r="AB167" i="4"/>
  <c r="AB168" i="4" s="1"/>
  <c r="AC165" i="4" s="1"/>
  <c r="AB170" i="4"/>
  <c r="AI148" i="4"/>
  <c r="AH155" i="4"/>
  <c r="AH202" i="4" s="1"/>
  <c r="AH208" i="4" s="1"/>
  <c r="AH226" i="4" s="1"/>
  <c r="AG159" i="4"/>
  <c r="AG160" i="4" s="1"/>
  <c r="AF159" i="4"/>
  <c r="AF160" i="4" s="1"/>
  <c r="AL152" i="4"/>
  <c r="AM188" i="4"/>
  <c r="AM194" i="4" s="1"/>
  <c r="AM218" i="4" s="1"/>
  <c r="AL188" i="4"/>
  <c r="AL194" i="4" s="1"/>
  <c r="AL218" i="4" s="1"/>
  <c r="AG161" i="4" l="1"/>
  <c r="AH156" i="4"/>
  <c r="AH158" i="4" s="1"/>
  <c r="AA175" i="4"/>
  <c r="AC171" i="4"/>
  <c r="AC170" i="4"/>
  <c r="AC167" i="4"/>
  <c r="AC168" i="4" s="1"/>
  <c r="AD165" i="4" s="1"/>
  <c r="AB172" i="4"/>
  <c r="AB203" i="4" s="1"/>
  <c r="AB206" i="4" s="1"/>
  <c r="AB224" i="4" s="1"/>
  <c r="AF161" i="4"/>
  <c r="AI150" i="4"/>
  <c r="AI151" i="4" s="1"/>
  <c r="AI153" i="4"/>
  <c r="AI154" i="4"/>
  <c r="AB173" i="4" l="1"/>
  <c r="AB175" i="4" s="1"/>
  <c r="AA176" i="4"/>
  <c r="AA177" i="4" s="1"/>
  <c r="AA178" i="4" s="1"/>
  <c r="AC172" i="4"/>
  <c r="AC203" i="4" s="1"/>
  <c r="AC206" i="4" s="1"/>
  <c r="AC224" i="4" s="1"/>
  <c r="AD170" i="4"/>
  <c r="AD171" i="4"/>
  <c r="AD167" i="4"/>
  <c r="AD168" i="4" s="1"/>
  <c r="AE165" i="4" s="1"/>
  <c r="AJ148" i="4"/>
  <c r="AI155" i="4"/>
  <c r="AI202" i="4" s="1"/>
  <c r="AI208" i="4" s="1"/>
  <c r="AI226" i="4" s="1"/>
  <c r="AF162" i="4"/>
  <c r="AH159" i="4"/>
  <c r="AH160" i="4" s="1"/>
  <c r="AH161" i="4" s="1"/>
  <c r="AI156" i="4"/>
  <c r="AC173" i="4" l="1"/>
  <c r="AC175" i="4" s="1"/>
  <c r="AB176" i="4"/>
  <c r="AB177" i="4" s="1"/>
  <c r="AB178" i="4" s="1"/>
  <c r="AA180" i="4"/>
  <c r="AA213" i="4" s="1"/>
  <c r="AD172" i="4"/>
  <c r="AD203" i="4" s="1"/>
  <c r="AD206" i="4" s="1"/>
  <c r="AD224" i="4" s="1"/>
  <c r="AE170" i="4"/>
  <c r="AE171" i="4"/>
  <c r="AG162" i="4"/>
  <c r="AF166" i="4" s="1"/>
  <c r="AE166" i="4"/>
  <c r="AI158" i="4"/>
  <c r="AJ154" i="4"/>
  <c r="AJ150" i="4"/>
  <c r="AJ151" i="4" s="1"/>
  <c r="AK148" i="4" s="1"/>
  <c r="AJ153" i="4"/>
  <c r="AC176" i="4" l="1"/>
  <c r="AC177" i="4" s="1"/>
  <c r="AC178" i="4" s="1"/>
  <c r="AB180" i="4"/>
  <c r="AB213" i="4" s="1"/>
  <c r="AA230" i="4"/>
  <c r="AA240" i="4" s="1"/>
  <c r="AA248" i="4" s="1"/>
  <c r="AA239" i="4"/>
  <c r="AA247" i="4" s="1"/>
  <c r="AD173" i="4"/>
  <c r="AF169" i="4"/>
  <c r="AF189" i="4"/>
  <c r="AF192" i="4" s="1"/>
  <c r="AF216" i="4" s="1"/>
  <c r="AE167" i="4"/>
  <c r="AE168" i="4" s="1"/>
  <c r="AB239" i="4"/>
  <c r="AB247" i="4" s="1"/>
  <c r="AB230" i="4"/>
  <c r="AB240" i="4" s="1"/>
  <c r="AB248" i="4" s="1"/>
  <c r="AE169" i="4"/>
  <c r="AE189" i="4"/>
  <c r="AE192" i="4" s="1"/>
  <c r="AE216" i="4" s="1"/>
  <c r="AH162" i="4"/>
  <c r="AG166" i="4" s="1"/>
  <c r="AK150" i="4"/>
  <c r="AK151" i="4" s="1"/>
  <c r="AK153" i="4"/>
  <c r="AK154" i="4"/>
  <c r="AJ155" i="4"/>
  <c r="AJ202" i="4" s="1"/>
  <c r="AJ208" i="4" s="1"/>
  <c r="AJ226" i="4" s="1"/>
  <c r="AI159" i="4"/>
  <c r="AI160" i="4" s="1"/>
  <c r="AI161" i="4" s="1"/>
  <c r="AJ156" i="4"/>
  <c r="AD175" i="4" l="1"/>
  <c r="AC180" i="4"/>
  <c r="AC213" i="4" s="1"/>
  <c r="AF165" i="4"/>
  <c r="AE172" i="4"/>
  <c r="AG169" i="4"/>
  <c r="AG189" i="4"/>
  <c r="AG192" i="4" s="1"/>
  <c r="AG216" i="4" s="1"/>
  <c r="AI162" i="4"/>
  <c r="AH166" i="4" s="1"/>
  <c r="AL148" i="4"/>
  <c r="AK155" i="4"/>
  <c r="AK202" i="4" s="1"/>
  <c r="AK208" i="4" s="1"/>
  <c r="AK226" i="4" s="1"/>
  <c r="AJ158" i="4"/>
  <c r="AD176" i="4" l="1"/>
  <c r="AD177" i="4" s="1"/>
  <c r="AD178" i="4" s="1"/>
  <c r="AK156" i="4"/>
  <c r="AK158" i="4" s="1"/>
  <c r="AK159" i="4" s="1"/>
  <c r="AK160" i="4" s="1"/>
  <c r="AC239" i="4"/>
  <c r="AC247" i="4" s="1"/>
  <c r="AC230" i="4"/>
  <c r="AC240" i="4" s="1"/>
  <c r="AC248" i="4" s="1"/>
  <c r="AE203" i="4"/>
  <c r="AE206" i="4" s="1"/>
  <c r="AE224" i="4" s="1"/>
  <c r="AE173" i="4"/>
  <c r="AH169" i="4"/>
  <c r="AH189" i="4"/>
  <c r="AH192" i="4" s="1"/>
  <c r="AH216" i="4" s="1"/>
  <c r="AF171" i="4"/>
  <c r="AF167" i="4"/>
  <c r="AF168" i="4" s="1"/>
  <c r="AG165" i="4" s="1"/>
  <c r="AF170" i="4"/>
  <c r="AJ159" i="4"/>
  <c r="AJ160" i="4" s="1"/>
  <c r="AJ161" i="4" s="1"/>
  <c r="AL150" i="4"/>
  <c r="AL151" i="4" s="1"/>
  <c r="AL153" i="4"/>
  <c r="AL154" i="4"/>
  <c r="AK161" i="4" l="1"/>
  <c r="AE175" i="4"/>
  <c r="AD180" i="4"/>
  <c r="AD213" i="4" s="1"/>
  <c r="AF172" i="4"/>
  <c r="AF203" i="4" s="1"/>
  <c r="AF206" i="4" s="1"/>
  <c r="AF224" i="4" s="1"/>
  <c r="AG167" i="4"/>
  <c r="AG168" i="4" s="1"/>
  <c r="AG170" i="4"/>
  <c r="AG171" i="4"/>
  <c r="AM148" i="4"/>
  <c r="AM150" i="4" s="1"/>
  <c r="AL155" i="4"/>
  <c r="AL202" i="4" s="1"/>
  <c r="AL208" i="4" s="1"/>
  <c r="AL226" i="4" s="1"/>
  <c r="AJ162" i="4"/>
  <c r="AL156" i="4" l="1"/>
  <c r="AL158" i="4" s="1"/>
  <c r="AL159" i="4" s="1"/>
  <c r="AL160" i="4" s="1"/>
  <c r="AL161" i="4" s="1"/>
  <c r="AE176" i="4"/>
  <c r="AE177" i="4" s="1"/>
  <c r="AE178" i="4" s="1"/>
  <c r="AF173" i="4"/>
  <c r="AH165" i="4"/>
  <c r="AH170" i="4" s="1"/>
  <c r="AG172" i="4"/>
  <c r="AG203" i="4" s="1"/>
  <c r="AG206" i="4" s="1"/>
  <c r="AG224" i="4" s="1"/>
  <c r="AD239" i="4"/>
  <c r="AD247" i="4" s="1"/>
  <c r="AD230" i="4"/>
  <c r="AD240" i="4" s="1"/>
  <c r="AD248" i="4" s="1"/>
  <c r="AM154" i="4"/>
  <c r="AM151" i="4"/>
  <c r="AM155" i="4" s="1"/>
  <c r="AM202" i="4" s="1"/>
  <c r="AM208" i="4" s="1"/>
  <c r="AM226" i="4" s="1"/>
  <c r="AM153" i="4"/>
  <c r="AK162" i="4"/>
  <c r="AJ166" i="4" s="1"/>
  <c r="AI166" i="4"/>
  <c r="AH167" i="4" l="1"/>
  <c r="AH168" i="4" s="1"/>
  <c r="AI165" i="4" s="1"/>
  <c r="AM156" i="4"/>
  <c r="AM158" i="4" s="1"/>
  <c r="AM159" i="4" s="1"/>
  <c r="AM160" i="4" s="1"/>
  <c r="AM161" i="4" s="1"/>
  <c r="AL162" i="4"/>
  <c r="AK166" i="4" s="1"/>
  <c r="AK169" i="4" s="1"/>
  <c r="AF175" i="4"/>
  <c r="AG173" i="4"/>
  <c r="AG175" i="4" s="1"/>
  <c r="AH171" i="4"/>
  <c r="AI169" i="4"/>
  <c r="AI189" i="4"/>
  <c r="AI192" i="4" s="1"/>
  <c r="AI216" i="4" s="1"/>
  <c r="AI170" i="4"/>
  <c r="AI167" i="4"/>
  <c r="AI168" i="4" s="1"/>
  <c r="AJ165" i="4" s="1"/>
  <c r="AI171" i="4"/>
  <c r="AJ169" i="4"/>
  <c r="AJ189" i="4"/>
  <c r="AJ192" i="4" s="1"/>
  <c r="AJ216" i="4" s="1"/>
  <c r="AH172" i="4" l="1"/>
  <c r="AH203" i="4" s="1"/>
  <c r="AH206" i="4" s="1"/>
  <c r="AH224" i="4" s="1"/>
  <c r="AK189" i="4"/>
  <c r="AK192" i="4" s="1"/>
  <c r="AK216" i="4" s="1"/>
  <c r="AI172" i="4"/>
  <c r="AI203" i="4" s="1"/>
  <c r="AI206" i="4" s="1"/>
  <c r="AI224" i="4" s="1"/>
  <c r="AG176" i="4"/>
  <c r="AG177" i="4" s="1"/>
  <c r="AF176" i="4"/>
  <c r="AF177" i="4" s="1"/>
  <c r="AI173" i="4"/>
  <c r="AE180" i="4"/>
  <c r="AE213" i="4" s="1"/>
  <c r="AJ167" i="4"/>
  <c r="AJ168" i="4" s="1"/>
  <c r="AJ170" i="4"/>
  <c r="AJ171" i="4"/>
  <c r="AM162" i="4"/>
  <c r="AL166" i="4" s="1"/>
  <c r="AH173" i="4" l="1"/>
  <c r="AH175" i="4" s="1"/>
  <c r="AH176" i="4" s="1"/>
  <c r="AH177" i="4" s="1"/>
  <c r="AH178" i="4" s="1"/>
  <c r="AF178" i="4"/>
  <c r="AF180" i="4" s="1"/>
  <c r="AF213" i="4" s="1"/>
  <c r="AF230" i="4" s="1"/>
  <c r="AF240" i="4" s="1"/>
  <c r="AF248" i="4" s="1"/>
  <c r="AG178" i="4"/>
  <c r="AG180" i="4" s="1"/>
  <c r="AG213" i="4" s="1"/>
  <c r="AE239" i="4"/>
  <c r="AE247" i="4" s="1"/>
  <c r="AE230" i="4"/>
  <c r="AE240" i="4" s="1"/>
  <c r="AE248" i="4" s="1"/>
  <c r="AK165" i="4"/>
  <c r="AJ172" i="4"/>
  <c r="AJ203" i="4" s="1"/>
  <c r="AJ206" i="4" s="1"/>
  <c r="AJ224" i="4" s="1"/>
  <c r="AL169" i="4"/>
  <c r="AL189" i="4"/>
  <c r="AL192" i="4" s="1"/>
  <c r="AL216" i="4" s="1"/>
  <c r="AM189" i="4"/>
  <c r="AM192" i="4" s="1"/>
  <c r="AM216" i="4" s="1"/>
  <c r="AI175" i="4" l="1"/>
  <c r="AI176" i="4" s="1"/>
  <c r="AI177" i="4" s="1"/>
  <c r="AI178" i="4" s="1"/>
  <c r="AI180" i="4" s="1"/>
  <c r="AI213" i="4" s="1"/>
  <c r="AF239" i="4"/>
  <c r="AF247" i="4" s="1"/>
  <c r="AG239" i="4"/>
  <c r="AG247" i="4" s="1"/>
  <c r="AG230" i="4"/>
  <c r="AG240" i="4" s="1"/>
  <c r="AG248" i="4" s="1"/>
  <c r="AJ173" i="4"/>
  <c r="AH180" i="4"/>
  <c r="AH213" i="4" s="1"/>
  <c r="AK170" i="4"/>
  <c r="AK171" i="4"/>
  <c r="AK167" i="4"/>
  <c r="AK168" i="4" s="1"/>
  <c r="AL165" i="4" s="1"/>
  <c r="AJ175" i="4" l="1"/>
  <c r="AI230" i="4"/>
  <c r="AI240" i="4" s="1"/>
  <c r="AI248" i="4" s="1"/>
  <c r="AI239" i="4"/>
  <c r="AI247" i="4" s="1"/>
  <c r="AK172" i="4"/>
  <c r="AK203" i="4" s="1"/>
  <c r="AK206" i="4" s="1"/>
  <c r="AK224" i="4" s="1"/>
  <c r="AH239" i="4"/>
  <c r="AH247" i="4" s="1"/>
  <c r="AH230" i="4"/>
  <c r="AH240" i="4" s="1"/>
  <c r="AH248" i="4" s="1"/>
  <c r="AL167" i="4"/>
  <c r="AL168" i="4" s="1"/>
  <c r="AM165" i="4" s="1"/>
  <c r="AL171" i="4"/>
  <c r="AL170" i="4"/>
  <c r="AJ176" i="4" l="1"/>
  <c r="AJ177" i="4" s="1"/>
  <c r="AJ178" i="4" s="1"/>
  <c r="AJ180" i="4" s="1"/>
  <c r="AJ213" i="4" s="1"/>
  <c r="AK173" i="4"/>
  <c r="AL172" i="4"/>
  <c r="AL203" i="4" s="1"/>
  <c r="AL206" i="4" s="1"/>
  <c r="AL224" i="4" s="1"/>
  <c r="AM167" i="4"/>
  <c r="AM168" i="4" s="1"/>
  <c r="AM172" i="4" s="1"/>
  <c r="AM170" i="4"/>
  <c r="AM171" i="4"/>
  <c r="AM203" i="4" l="1"/>
  <c r="AM206" i="4" s="1"/>
  <c r="AM224" i="4" s="1"/>
  <c r="AL173" i="4"/>
  <c r="AL175" i="4" s="1"/>
  <c r="AK175" i="4"/>
  <c r="AJ230" i="4"/>
  <c r="AJ240" i="4" s="1"/>
  <c r="AJ248" i="4" s="1"/>
  <c r="AJ239" i="4"/>
  <c r="AJ247" i="4" s="1"/>
  <c r="AM173" i="4"/>
  <c r="AM175" i="4" l="1"/>
  <c r="AM176" i="4" s="1"/>
  <c r="AM177" i="4" s="1"/>
  <c r="AK176" i="4"/>
  <c r="AK177" i="4" s="1"/>
  <c r="AL176" i="4"/>
  <c r="AL177" i="4" s="1"/>
  <c r="AM178" i="4" l="1"/>
  <c r="AM180" i="4" s="1"/>
  <c r="AM213" i="4" s="1"/>
  <c r="AM239" i="4" s="1"/>
  <c r="AM247" i="4" s="1"/>
  <c r="AL178" i="4"/>
  <c r="AL180" i="4" s="1"/>
  <c r="AL213" i="4" s="1"/>
  <c r="AK178" i="4"/>
  <c r="AK180" i="4" s="1"/>
  <c r="AK213" i="4" s="1"/>
  <c r="AM230" i="4" l="1"/>
  <c r="AM240" i="4" s="1"/>
  <c r="AM248" i="4" s="1"/>
  <c r="AL239" i="4"/>
  <c r="AL247" i="4" s="1"/>
  <c r="AL230" i="4"/>
  <c r="AL240" i="4" s="1"/>
  <c r="AL248" i="4" s="1"/>
  <c r="AK239" i="4"/>
  <c r="AK247" i="4" s="1"/>
  <c r="AK230" i="4"/>
  <c r="AK240" i="4" s="1"/>
  <c r="AK248" i="4" s="1"/>
</calcChain>
</file>

<file path=xl/sharedStrings.xml><?xml version="1.0" encoding="utf-8"?>
<sst xmlns="http://schemas.openxmlformats.org/spreadsheetml/2006/main" count="538" uniqueCount="184">
  <si>
    <t>Stock market investments</t>
  </si>
  <si>
    <t>Age</t>
  </si>
  <si>
    <t>Home loan</t>
  </si>
  <si>
    <t>Credit card balances</t>
  </si>
  <si>
    <t>more / less than current</t>
  </si>
  <si>
    <t>Housing rent</t>
  </si>
  <si>
    <t>Year</t>
  </si>
  <si>
    <t>Home</t>
  </si>
  <si>
    <t>Interest on cash balances</t>
  </si>
  <si>
    <t>Cash</t>
  </si>
  <si>
    <t>Cash b/fwd</t>
  </si>
  <si>
    <t>Cash c/fwd</t>
  </si>
  <si>
    <t>Stock market equity investments</t>
  </si>
  <si>
    <t>Home loan repayment</t>
  </si>
  <si>
    <t>Net from other work</t>
  </si>
  <si>
    <t>Continue other work until age</t>
  </si>
  <si>
    <t>Living expenses</t>
  </si>
  <si>
    <t>Inflows</t>
  </si>
  <si>
    <t>Outflows</t>
  </si>
  <si>
    <t>Net Cash Flow</t>
  </si>
  <si>
    <t>Liquidation required</t>
  </si>
  <si>
    <t>Liquidations</t>
  </si>
  <si>
    <t>b/fwd</t>
  </si>
  <si>
    <t>Disposals</t>
  </si>
  <si>
    <t>Growth</t>
  </si>
  <si>
    <t>c/fwd</t>
  </si>
  <si>
    <t>Disposal costs</t>
  </si>
  <si>
    <t>Stock market equity</t>
  </si>
  <si>
    <t>Net worth</t>
  </si>
  <si>
    <t>Name</t>
  </si>
  <si>
    <t>Home current market value</t>
  </si>
  <si>
    <t>Rental income foregone</t>
  </si>
  <si>
    <t>Dependents</t>
  </si>
  <si>
    <t>Home loan (mortgage)</t>
  </si>
  <si>
    <t>Other loan</t>
  </si>
  <si>
    <t>Other loan repayment</t>
  </si>
  <si>
    <t>Loan repayment</t>
  </si>
  <si>
    <t>Net proceeds</t>
  </si>
  <si>
    <t>Balance</t>
  </si>
  <si>
    <t>Plan to live until age</t>
  </si>
  <si>
    <t>Dependent 1</t>
  </si>
  <si>
    <t>Dependent 2</t>
  </si>
  <si>
    <t>Dependent 3</t>
  </si>
  <si>
    <t>Property 1</t>
  </si>
  <si>
    <t>Property 2</t>
  </si>
  <si>
    <t>Property 3</t>
  </si>
  <si>
    <t>Amount</t>
  </si>
  <si>
    <t>Net employment / self-employment income</t>
  </si>
  <si>
    <t>Other post-retirement income</t>
  </si>
  <si>
    <t>if not a home owner</t>
  </si>
  <si>
    <t>Annual cost saved</t>
  </si>
  <si>
    <t>Property loan balances after liquidations</t>
  </si>
  <si>
    <t>Other property</t>
  </si>
  <si>
    <t>Other property loans repayments</t>
  </si>
  <si>
    <t>Dependents cost</t>
  </si>
  <si>
    <t>Other property costs</t>
  </si>
  <si>
    <t>Current baseline</t>
  </si>
  <si>
    <t>from 66-75</t>
  </si>
  <si>
    <t>from age 76</t>
  </si>
  <si>
    <t>Spending adjustment (at today's euros)</t>
  </si>
  <si>
    <t>Major one-off expense events</t>
  </si>
  <si>
    <t>Other property loans</t>
  </si>
  <si>
    <t>Net worth adjustments after liquidations</t>
  </si>
  <si>
    <t>Cum property loan repayments on liquidations</t>
  </si>
  <si>
    <t>Adjusted net worth</t>
  </si>
  <si>
    <t>Cum property disposals</t>
  </si>
  <si>
    <t>Property values after liquidations</t>
  </si>
  <si>
    <t>Without liquidations</t>
  </si>
  <si>
    <t>With liquidations</t>
  </si>
  <si>
    <t>Charts</t>
  </si>
  <si>
    <t>Net rental income from other properties</t>
  </si>
  <si>
    <t>Credit cards cleared</t>
  </si>
  <si>
    <t>Net Worth before liquidations</t>
  </si>
  <si>
    <t>from now to 65</t>
  </si>
  <si>
    <t>Extra cash</t>
  </si>
  <si>
    <t>Extra interest</t>
  </si>
  <si>
    <t>Cash buffer at any time</t>
  </si>
  <si>
    <t>Cash available (after buffer)</t>
  </si>
  <si>
    <t>Outputs</t>
  </si>
  <si>
    <t>Full pension</t>
  </si>
  <si>
    <t>Pension reduction from early retirement</t>
  </si>
  <si>
    <t>QUICK START</t>
  </si>
  <si>
    <t>Your age</t>
  </si>
  <si>
    <t>Current net annual income</t>
  </si>
  <si>
    <t>Must be entered</t>
  </si>
  <si>
    <t>Net of tax, from employment or self-employment</t>
  </si>
  <si>
    <t>Total cash balances</t>
  </si>
  <si>
    <t>current and savings accounts, bonds, term deposits</t>
  </si>
  <si>
    <t>Current market value of equity portfolio</t>
  </si>
  <si>
    <t>Interest rate</t>
  </si>
  <si>
    <t>Monthly repayment</t>
  </si>
  <si>
    <t>Months remaining</t>
  </si>
  <si>
    <t>Years remaining</t>
  </si>
  <si>
    <t>Annual pension at retirement</t>
  </si>
  <si>
    <t>Net annual state pension entitlement</t>
  </si>
  <si>
    <t>Statutory retirement age</t>
  </si>
  <si>
    <t>Year at which pension starts</t>
  </si>
  <si>
    <t>DEEPER DIVE</t>
  </si>
  <si>
    <t>including inflation</t>
  </si>
  <si>
    <t>Years from now</t>
  </si>
  <si>
    <t>Leave blank if none</t>
  </si>
  <si>
    <t>Years to support</t>
  </si>
  <si>
    <t>Other income</t>
  </si>
  <si>
    <t>net annual after all costs and tax</t>
  </si>
  <si>
    <t>Annual living expenses</t>
  </si>
  <si>
    <t>Other loans</t>
  </si>
  <si>
    <t>Income Event 1</t>
  </si>
  <si>
    <t>Income Event 2</t>
  </si>
  <si>
    <t>Income Event 3</t>
  </si>
  <si>
    <t>Enter 0 or leave blank if none</t>
  </si>
  <si>
    <t>Expense Event 1</t>
  </si>
  <si>
    <t>Expense Event 2</t>
  </si>
  <si>
    <t>Expense Event 3</t>
  </si>
  <si>
    <t>Market value</t>
  </si>
  <si>
    <t>Annual costs</t>
  </si>
  <si>
    <t>Repairs, maintenance, etc.</t>
  </si>
  <si>
    <t xml:space="preserve">Investment Properties </t>
  </si>
  <si>
    <t>Other work income (net annual)</t>
  </si>
  <si>
    <t>FINER DETAILS</t>
  </si>
  <si>
    <t>Cash interest rate</t>
  </si>
  <si>
    <t>Stock market return</t>
  </si>
  <si>
    <t>Rental income annual increase</t>
  </si>
  <si>
    <t>Salary annual growth rate</t>
  </si>
  <si>
    <t>Property annual appreciation</t>
  </si>
  <si>
    <t>Pension reduction per year early</t>
  </si>
  <si>
    <t>From age</t>
  </si>
  <si>
    <t>To age</t>
  </si>
  <si>
    <t>Food, education, healthcare,
etc.</t>
  </si>
  <si>
    <t>Annual cost</t>
  </si>
  <si>
    <t>emergency reserve</t>
  </si>
  <si>
    <t>reduction in pension for each year retired early</t>
  </si>
  <si>
    <t>tax, broker and other fees</t>
  </si>
  <si>
    <t>Stock market selling costs</t>
  </si>
  <si>
    <t>Property disposal costs</t>
  </si>
  <si>
    <t xml:space="preserve">agency, tax, legal fees </t>
  </si>
  <si>
    <t>Property liquidation order</t>
  </si>
  <si>
    <t>0 = would never sell</t>
  </si>
  <si>
    <t>Major life expense events</t>
  </si>
  <si>
    <t>Major life income events</t>
  </si>
  <si>
    <t>Major one-off income events</t>
  </si>
  <si>
    <t>Part-time / consulting / side projects etc. Leave blank if none</t>
  </si>
  <si>
    <t>Assumed cleared in Year 1. Leave blank if none</t>
  </si>
  <si>
    <t>Leave blank if not a home owner</t>
  </si>
  <si>
    <t>Leave blank if no mortgage</t>
  </si>
  <si>
    <t>User Tooltips</t>
  </si>
  <si>
    <t>UI Notes</t>
  </si>
  <si>
    <t>Excel helpers</t>
  </si>
  <si>
    <t>Defaults</t>
  </si>
  <si>
    <t>Activated only if user wants to</t>
  </si>
  <si>
    <t>Works behind the scenes, show and allow edit if user wants to</t>
  </si>
  <si>
    <t>Hide until user enters dependent name</t>
  </si>
  <si>
    <t>Hide until user enters property name</t>
  </si>
  <si>
    <t>Show with property name only if name was entered</t>
  </si>
  <si>
    <t>Show only if other work income entered</t>
  </si>
  <si>
    <t>show only if not a home owner (B12="")</t>
  </si>
  <si>
    <t>Sliema</t>
  </si>
  <si>
    <t>Cash balance after disposals inc interest</t>
  </si>
  <si>
    <t>Retire at</t>
  </si>
  <si>
    <t>Cash available (after extra interest)</t>
  </si>
  <si>
    <t>Only show if value&gt;0 entered in B141</t>
  </si>
  <si>
    <t>User inputs</t>
  </si>
  <si>
    <t>Qormi</t>
  </si>
  <si>
    <t>Wedding</t>
  </si>
  <si>
    <t>John</t>
  </si>
  <si>
    <t>Jack</t>
  </si>
  <si>
    <t>Bill</t>
  </si>
  <si>
    <t>Gzira</t>
  </si>
  <si>
    <t>Inheritance</t>
  </si>
  <si>
    <t>Sell Painting</t>
  </si>
  <si>
    <t>Sell Jewels</t>
  </si>
  <si>
    <t>New Car</t>
  </si>
  <si>
    <t>New AC</t>
  </si>
  <si>
    <t>Dependent 4</t>
  </si>
  <si>
    <t>Dependent 5</t>
  </si>
  <si>
    <t>Stephen</t>
  </si>
  <si>
    <t>Jane</t>
  </si>
  <si>
    <t>Property 4</t>
  </si>
  <si>
    <t>Property 5</t>
  </si>
  <si>
    <t>Gudja</t>
  </si>
  <si>
    <t>Marsa</t>
  </si>
  <si>
    <t>General inflation</t>
  </si>
  <si>
    <t>Months remaining this year</t>
  </si>
  <si>
    <t>Month offset</t>
  </si>
  <si>
    <t>Pro-rate factor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</si>
</sst>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#,##0\ ;\(#,##0\);\ \ \ \-\ "/>
    <numFmt numFmtId="165" formatCode="#,##0.0\ ;\(#,##0.0\);\ \ \ \-\ "/>
    <numFmt numFmtId="166" formatCode="0.0%"/>
    <numFmt numFmtId="167" formatCode="0;0;"/>
    <numFmt numFmtId="168" formatCode=";;"/>
  </numFmts>
  <fonts count="16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color theme="1"/>
      <name val="Aptos Narrow"/>
      <scheme val="minor"/>
    </font>
    <font>
      <sz val="8"/>
      <name val="Aptos Narrow"/>
      <family val="2"/>
      <scheme val="minor"/>
    </font>
    <font>
      <sz val="12"/>
      <color rgb="FFC00000"/>
      <name val="Aptos Narrow"/>
      <scheme val="minor"/>
    </font>
    <font>
      <b/>
      <sz val="14"/>
      <color theme="1"/>
      <name val="Aptos Narrow"/>
      <scheme val="minor"/>
    </font>
    <font>
      <sz val="8"/>
      <color theme="0" tint="-0.249977111117893"/>
      <name val="Aptos Narrow"/>
      <scheme val="minor"/>
    </font>
    <font>
      <sz val="12"/>
      <name val="Aptos Narrow"/>
      <scheme val="minor"/>
    </font>
    <font>
      <sz val="12"/>
      <color rgb="FF9C5700"/>
      <name val="Aptos Narrow"/>
      <family val="2"/>
      <scheme val="minor"/>
    </font>
    <font>
      <b/>
      <sz val="12"/>
      <name val="Aptos Narrow"/>
      <scheme val="minor"/>
    </font>
    <font>
      <b/>
      <sz val="22"/>
      <color theme="1"/>
      <name val="Aptos Narrow"/>
      <scheme val="minor"/>
    </font>
    <font>
      <b/>
      <sz val="10"/>
      <name val="Aptos Narrow"/>
      <scheme val="minor"/>
    </font>
    <font>
      <sz val="10"/>
      <name val="Aptos Narrow"/>
      <scheme val="minor"/>
    </font>
    <font>
      <b/>
      <sz val="10"/>
      <color theme="0" tint="-0.499984740745262"/>
      <name val="Aptos Narrow"/>
      <scheme val="minor"/>
    </font>
    <font>
      <sz val="10"/>
      <color theme="0" tint="-0.499984740745262"/>
      <name val="Aptos Narrow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EB9C"/>
      </patternFill>
    </fill>
    <fill>
      <patternFill patternType="solid">
        <fgColor rgb="FFFFFFCC"/>
        <bgColor rgb="FF000000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ED6"/>
        <bgColor indexed="64"/>
      </patternFill>
    </fill>
  </fills>
  <borders count="6">
    <border>
      <left/>
      <right/>
      <top/>
      <bottom/>
      <diagonal/>
    </border>
    <border>
      <left style="thin">
        <color theme="0" tint="-0.14993743705557422"/>
      </left>
      <right style="thin">
        <color theme="0" tint="-0.14993743705557422"/>
      </right>
      <top style="thin">
        <color theme="0" tint="-0.14993743705557422"/>
      </top>
      <bottom style="thin">
        <color theme="0" tint="-0.14993743705557422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theme="0" tint="-0.14993743705557422"/>
      </left>
      <right/>
      <top style="thin">
        <color theme="0" tint="-0.14993743705557422"/>
      </top>
      <bottom style="thin">
        <color theme="0" tint="-0.14993743705557422"/>
      </bottom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9" fillId="3" borderId="0" applyNumberFormat="0" applyBorder="0" applyAlignment="0" applyProtection="0"/>
  </cellStyleXfs>
  <cellXfs count="81">
    <xf numFmtId="0" fontId="0" fillId="0" borderId="0" xfId="0"/>
    <xf numFmtId="0" fontId="2" fillId="0" borderId="0" xfId="0" applyFont="1"/>
    <xf numFmtId="0" fontId="3" fillId="0" borderId="0" xfId="0" applyFont="1"/>
    <xf numFmtId="0" fontId="3" fillId="0" borderId="0" xfId="0" applyFont="1" applyAlignment="1">
      <alignment horizontal="left" indent="2"/>
    </xf>
    <xf numFmtId="0" fontId="3" fillId="0" borderId="0" xfId="0" applyFont="1" applyAlignment="1">
      <alignment horizontal="left" indent="1"/>
    </xf>
    <xf numFmtId="0" fontId="3" fillId="0" borderId="0" xfId="0" applyFont="1" applyAlignment="1">
      <alignment horizontal="right"/>
    </xf>
    <xf numFmtId="0" fontId="3" fillId="0" borderId="0" xfId="0" applyFont="1" applyAlignment="1">
      <alignment horizontal="center"/>
    </xf>
    <xf numFmtId="164" fontId="3" fillId="0" borderId="0" xfId="0" applyNumberFormat="1" applyFont="1" applyAlignment="1">
      <alignment horizontal="right"/>
    </xf>
    <xf numFmtId="0" fontId="5" fillId="0" borderId="0" xfId="0" applyFont="1" applyAlignment="1">
      <alignment horizontal="center"/>
    </xf>
    <xf numFmtId="164" fontId="3" fillId="0" borderId="2" xfId="0" applyNumberFormat="1" applyFont="1" applyBorder="1" applyAlignment="1">
      <alignment horizontal="right"/>
    </xf>
    <xf numFmtId="164" fontId="2" fillId="0" borderId="0" xfId="0" applyNumberFormat="1" applyFont="1" applyAlignment="1">
      <alignment horizontal="center"/>
    </xf>
    <xf numFmtId="164" fontId="5" fillId="0" borderId="0" xfId="0" applyNumberFormat="1" applyFont="1" applyAlignment="1">
      <alignment horizontal="left"/>
    </xf>
    <xf numFmtId="0" fontId="6" fillId="0" borderId="0" xfId="0" applyFont="1"/>
    <xf numFmtId="164" fontId="0" fillId="0" borderId="0" xfId="0" applyNumberFormat="1" applyAlignment="1">
      <alignment horizontal="right"/>
    </xf>
    <xf numFmtId="0" fontId="7" fillId="0" borderId="0" xfId="0" applyFont="1" applyAlignment="1">
      <alignment horizontal="center"/>
    </xf>
    <xf numFmtId="0" fontId="2" fillId="0" borderId="0" xfId="0" applyFont="1" applyAlignment="1">
      <alignment horizontal="left" indent="1"/>
    </xf>
    <xf numFmtId="0" fontId="3" fillId="0" borderId="0" xfId="0" applyFont="1" applyAlignment="1">
      <alignment horizontal="left" indent="3"/>
    </xf>
    <xf numFmtId="0" fontId="3" fillId="0" borderId="0" xfId="0" applyFont="1" applyAlignment="1">
      <alignment horizontal="left" indent="4"/>
    </xf>
    <xf numFmtId="0" fontId="8" fillId="0" borderId="0" xfId="0" applyFont="1" applyAlignment="1">
      <alignment horizontal="left" indent="2"/>
    </xf>
    <xf numFmtId="0" fontId="8" fillId="0" borderId="0" xfId="0" applyFont="1" applyAlignment="1">
      <alignment horizontal="center"/>
    </xf>
    <xf numFmtId="164" fontId="8" fillId="0" borderId="0" xfId="0" applyNumberFormat="1" applyFont="1" applyAlignment="1">
      <alignment horizontal="right"/>
    </xf>
    <xf numFmtId="0" fontId="8" fillId="0" borderId="0" xfId="0" applyFont="1"/>
    <xf numFmtId="0" fontId="8" fillId="0" borderId="0" xfId="0" applyFont="1" applyAlignment="1">
      <alignment horizontal="left" indent="3"/>
    </xf>
    <xf numFmtId="164" fontId="3" fillId="0" borderId="0" xfId="0" applyNumberFormat="1" applyFont="1" applyAlignment="1">
      <alignment horizontal="center"/>
    </xf>
    <xf numFmtId="0" fontId="3" fillId="0" borderId="3" xfId="0" applyFont="1" applyBorder="1" applyAlignment="1">
      <alignment horizontal="left" indent="1"/>
    </xf>
    <xf numFmtId="0" fontId="6" fillId="0" borderId="3" xfId="0" applyFont="1" applyBorder="1"/>
    <xf numFmtId="0" fontId="3" fillId="0" borderId="3" xfId="0" applyFont="1" applyBorder="1" applyAlignment="1">
      <alignment horizontal="center"/>
    </xf>
    <xf numFmtId="164" fontId="3" fillId="0" borderId="3" xfId="0" applyNumberFormat="1" applyFont="1" applyBorder="1" applyAlignment="1">
      <alignment horizontal="right"/>
    </xf>
    <xf numFmtId="164" fontId="5" fillId="0" borderId="3" xfId="0" applyNumberFormat="1" applyFont="1" applyBorder="1" applyAlignment="1">
      <alignment horizontal="left"/>
    </xf>
    <xf numFmtId="0" fontId="2" fillId="0" borderId="3" xfId="0" applyFont="1" applyBorder="1" applyAlignment="1">
      <alignment horizontal="left" indent="1"/>
    </xf>
    <xf numFmtId="0" fontId="3" fillId="0" borderId="0" xfId="0" applyFont="1" applyAlignment="1">
      <alignment horizontal="left"/>
    </xf>
    <xf numFmtId="164" fontId="3" fillId="0" borderId="0" xfId="0" applyNumberFormat="1" applyFont="1"/>
    <xf numFmtId="0" fontId="1" fillId="3" borderId="0" xfId="3" applyFont="1" applyAlignment="1">
      <alignment horizontal="center"/>
    </xf>
    <xf numFmtId="0" fontId="8" fillId="0" borderId="3" xfId="0" applyFont="1" applyBorder="1" applyAlignment="1">
      <alignment horizontal="center"/>
    </xf>
    <xf numFmtId="0" fontId="8" fillId="0" borderId="0" xfId="0" applyFont="1" applyAlignment="1">
      <alignment horizontal="left" indent="1"/>
    </xf>
    <xf numFmtId="164" fontId="8" fillId="2" borderId="1" xfId="0" applyNumberFormat="1" applyFont="1" applyFill="1" applyBorder="1" applyAlignment="1" applyProtection="1">
      <alignment horizontal="center"/>
      <protection locked="0"/>
    </xf>
    <xf numFmtId="166" fontId="8" fillId="2" borderId="1" xfId="0" applyNumberFormat="1" applyFont="1" applyFill="1" applyBorder="1" applyAlignment="1" applyProtection="1">
      <alignment horizontal="center"/>
      <protection locked="0"/>
    </xf>
    <xf numFmtId="164" fontId="8" fillId="0" borderId="0" xfId="0" applyNumberFormat="1" applyFont="1" applyAlignment="1">
      <alignment horizontal="center"/>
    </xf>
    <xf numFmtId="0" fontId="8" fillId="2" borderId="1" xfId="0" applyFont="1" applyFill="1" applyBorder="1" applyAlignment="1" applyProtection="1">
      <alignment horizontal="center"/>
      <protection locked="0"/>
    </xf>
    <xf numFmtId="0" fontId="8" fillId="4" borderId="4" xfId="0" applyFont="1" applyFill="1" applyBorder="1" applyAlignment="1" applyProtection="1">
      <alignment horizontal="center"/>
      <protection locked="0"/>
    </xf>
    <xf numFmtId="9" fontId="8" fillId="2" borderId="1" xfId="0" applyNumberFormat="1" applyFont="1" applyFill="1" applyBorder="1" applyAlignment="1" applyProtection="1">
      <alignment horizontal="center"/>
      <protection locked="0"/>
    </xf>
    <xf numFmtId="166" fontId="8" fillId="2" borderId="1" xfId="1" applyNumberFormat="1" applyFont="1" applyFill="1" applyBorder="1" applyAlignment="1" applyProtection="1">
      <alignment horizontal="center"/>
      <protection locked="0"/>
    </xf>
    <xf numFmtId="9" fontId="8" fillId="2" borderId="1" xfId="1" applyFont="1" applyFill="1" applyBorder="1" applyAlignment="1" applyProtection="1">
      <alignment horizontal="center"/>
      <protection locked="0"/>
    </xf>
    <xf numFmtId="167" fontId="8" fillId="2" borderId="1" xfId="2" applyNumberFormat="1" applyFont="1" applyFill="1" applyBorder="1" applyAlignment="1" applyProtection="1">
      <alignment horizontal="center"/>
      <protection locked="0"/>
    </xf>
    <xf numFmtId="0" fontId="10" fillId="0" borderId="3" xfId="0" applyFont="1" applyBorder="1" applyAlignment="1">
      <alignment horizontal="center"/>
    </xf>
    <xf numFmtId="165" fontId="8" fillId="0" borderId="0" xfId="0" applyNumberFormat="1" applyFont="1" applyAlignment="1">
      <alignment horizontal="center"/>
    </xf>
    <xf numFmtId="0" fontId="8" fillId="5" borderId="0" xfId="0" applyFont="1" applyFill="1"/>
    <xf numFmtId="164" fontId="8" fillId="0" borderId="5" xfId="0" applyNumberFormat="1" applyFont="1" applyBorder="1" applyAlignment="1" applyProtection="1">
      <alignment horizontal="center"/>
      <protection locked="0"/>
    </xf>
    <xf numFmtId="9" fontId="8" fillId="0" borderId="5" xfId="0" applyNumberFormat="1" applyFont="1" applyBorder="1" applyAlignment="1" applyProtection="1">
      <alignment horizontal="center"/>
      <protection locked="0"/>
    </xf>
    <xf numFmtId="166" fontId="8" fillId="0" borderId="5" xfId="0" applyNumberFormat="1" applyFont="1" applyBorder="1" applyAlignment="1" applyProtection="1">
      <alignment horizontal="center"/>
      <protection locked="0"/>
    </xf>
    <xf numFmtId="166" fontId="8" fillId="0" borderId="5" xfId="1" applyNumberFormat="1" applyFont="1" applyFill="1" applyBorder="1" applyAlignment="1" applyProtection="1">
      <alignment horizontal="center"/>
      <protection locked="0"/>
    </xf>
    <xf numFmtId="9" fontId="8" fillId="0" borderId="5" xfId="1" applyFont="1" applyFill="1" applyBorder="1" applyAlignment="1" applyProtection="1">
      <alignment horizontal="center"/>
      <protection locked="0"/>
    </xf>
    <xf numFmtId="0" fontId="8" fillId="5" borderId="0" xfId="0" applyFont="1" applyFill="1" applyAlignment="1">
      <alignment horizontal="left" indent="3"/>
    </xf>
    <xf numFmtId="0" fontId="10" fillId="0" borderId="3" xfId="0" applyFont="1" applyBorder="1" applyAlignment="1">
      <alignment horizontal="left" indent="1"/>
    </xf>
    <xf numFmtId="0" fontId="10" fillId="0" borderId="0" xfId="0" applyFont="1" applyAlignment="1">
      <alignment horizontal="left" indent="2"/>
    </xf>
    <xf numFmtId="0" fontId="8" fillId="0" borderId="0" xfId="0" applyFont="1" applyAlignment="1">
      <alignment horizontal="left" indent="4"/>
    </xf>
    <xf numFmtId="167" fontId="8" fillId="0" borderId="0" xfId="0" applyNumberFormat="1" applyFont="1" applyAlignment="1">
      <alignment horizontal="left" indent="3"/>
    </xf>
    <xf numFmtId="0" fontId="8" fillId="0" borderId="0" xfId="0" applyFont="1" applyAlignment="1">
      <alignment horizontal="left" wrapText="1" indent="2"/>
    </xf>
    <xf numFmtId="168" fontId="8" fillId="0" borderId="0" xfId="0" applyNumberFormat="1" applyFont="1" applyAlignment="1">
      <alignment horizontal="left" indent="3"/>
    </xf>
    <xf numFmtId="0" fontId="6" fillId="0" borderId="0" xfId="0" applyFont="1" applyAlignment="1">
      <alignment horizontal="center"/>
    </xf>
    <xf numFmtId="0" fontId="12" fillId="5" borderId="0" xfId="0" applyFont="1" applyFill="1" applyAlignment="1">
      <alignment horizontal="left" indent="1"/>
    </xf>
    <xf numFmtId="0" fontId="13" fillId="0" borderId="0" xfId="0" applyFont="1"/>
    <xf numFmtId="0" fontId="13" fillId="0" borderId="0" xfId="0" applyFont="1" applyAlignment="1">
      <alignment horizontal="left" indent="1"/>
    </xf>
    <xf numFmtId="0" fontId="13" fillId="0" borderId="0" xfId="0" applyFont="1" applyAlignment="1">
      <alignment horizontal="center"/>
    </xf>
    <xf numFmtId="0" fontId="13" fillId="0" borderId="0" xfId="0" applyFont="1" applyAlignment="1">
      <alignment horizontal="left"/>
    </xf>
    <xf numFmtId="43" fontId="13" fillId="0" borderId="0" xfId="2" applyFont="1" applyBorder="1" applyAlignment="1">
      <alignment horizontal="right"/>
    </xf>
    <xf numFmtId="164" fontId="13" fillId="0" borderId="0" xfId="0" applyNumberFormat="1" applyFont="1" applyAlignment="1">
      <alignment horizontal="right"/>
    </xf>
    <xf numFmtId="0" fontId="12" fillId="5" borderId="0" xfId="0" applyFont="1" applyFill="1"/>
    <xf numFmtId="43" fontId="13" fillId="0" borderId="0" xfId="2" applyFont="1" applyBorder="1" applyAlignment="1"/>
    <xf numFmtId="0" fontId="14" fillId="5" borderId="0" xfId="0" applyFont="1" applyFill="1" applyAlignment="1">
      <alignment horizontal="left"/>
    </xf>
    <xf numFmtId="0" fontId="15" fillId="0" borderId="0" xfId="0" applyFont="1"/>
    <xf numFmtId="0" fontId="15" fillId="0" borderId="0" xfId="0" applyFont="1" applyAlignment="1">
      <alignment horizontal="left"/>
    </xf>
    <xf numFmtId="43" fontId="15" fillId="0" borderId="0" xfId="2" applyFont="1" applyBorder="1" applyAlignment="1">
      <alignment horizontal="left"/>
    </xf>
    <xf numFmtId="165" fontId="15" fillId="0" borderId="0" xfId="0" applyNumberFormat="1" applyFont="1" applyAlignment="1">
      <alignment horizontal="center"/>
    </xf>
    <xf numFmtId="0" fontId="15" fillId="0" borderId="0" xfId="0" applyFont="1" applyAlignment="1">
      <alignment horizontal="left" indent="1"/>
    </xf>
    <xf numFmtId="0" fontId="15" fillId="0" borderId="0" xfId="0" applyFont="1" applyAlignment="1">
      <alignment horizontal="center"/>
    </xf>
    <xf numFmtId="164" fontId="15" fillId="0" borderId="0" xfId="0" applyNumberFormat="1" applyFont="1" applyAlignment="1">
      <alignment horizontal="center"/>
    </xf>
    <xf numFmtId="0" fontId="8" fillId="0" borderId="3" xfId="0" applyFont="1" applyBorder="1" applyAlignment="1">
      <alignment horizontal="left" indent="3"/>
    </xf>
    <xf numFmtId="0" fontId="8" fillId="0" borderId="3" xfId="0" applyFont="1" applyBorder="1"/>
    <xf numFmtId="2" fontId="8" fillId="0" borderId="0" xfId="0" applyNumberFormat="1" applyFont="1" applyAlignment="1">
      <alignment horizontal="center"/>
    </xf>
    <xf numFmtId="0" fontId="11" fillId="6" borderId="0" xfId="0" applyFont="1" applyFill="1" applyAlignment="1">
      <alignment horizontal="center" vertical="center"/>
    </xf>
  </cellXfs>
  <cellStyles count="4">
    <cellStyle name="Comma" xfId="2" builtinId="3"/>
    <cellStyle name="Neutral" xfId="3" builtinId="28"/>
    <cellStyle name="Normal" xfId="0" builtinId="0"/>
    <cellStyle name="Per cent" xfId="1" builtinId="5"/>
  </cellStyles>
  <dxfs count="0"/>
  <tableStyles count="0" defaultTableStyle="TableStyleMedium2" defaultPivotStyle="PivotStyleLight16"/>
  <colors>
    <mruColors>
      <color rgb="FFFFFED6"/>
      <color rgb="FFFFFFC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2000" b="1"/>
              <a:t>Cash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MT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Output!$AA$2</c:f>
              <c:strCache>
                <c:ptCount val="1"/>
                <c:pt idx="0">
                  <c:v>Retire at  52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[0]!AgeRange</c:f>
              <c:numCache>
                <c:formatCode>General</c:formatCode>
                <c:ptCount val="37"/>
                <c:pt idx="0">
                  <c:v>48</c:v>
                </c:pt>
                <c:pt idx="1">
                  <c:v>49</c:v>
                </c:pt>
                <c:pt idx="2">
                  <c:v>50</c:v>
                </c:pt>
                <c:pt idx="3">
                  <c:v>51</c:v>
                </c:pt>
                <c:pt idx="4">
                  <c:v>52</c:v>
                </c:pt>
                <c:pt idx="5">
                  <c:v>53</c:v>
                </c:pt>
                <c:pt idx="6">
                  <c:v>54</c:v>
                </c:pt>
                <c:pt idx="7">
                  <c:v>55</c:v>
                </c:pt>
                <c:pt idx="8">
                  <c:v>56</c:v>
                </c:pt>
                <c:pt idx="9">
                  <c:v>57</c:v>
                </c:pt>
                <c:pt idx="10">
                  <c:v>58</c:v>
                </c:pt>
                <c:pt idx="11">
                  <c:v>59</c:v>
                </c:pt>
                <c:pt idx="12">
                  <c:v>60</c:v>
                </c:pt>
                <c:pt idx="13">
                  <c:v>61</c:v>
                </c:pt>
                <c:pt idx="14">
                  <c:v>62</c:v>
                </c:pt>
                <c:pt idx="15">
                  <c:v>63</c:v>
                </c:pt>
                <c:pt idx="16">
                  <c:v>64</c:v>
                </c:pt>
                <c:pt idx="17">
                  <c:v>65</c:v>
                </c:pt>
                <c:pt idx="18">
                  <c:v>66</c:v>
                </c:pt>
                <c:pt idx="19">
                  <c:v>67</c:v>
                </c:pt>
                <c:pt idx="20">
                  <c:v>68</c:v>
                </c:pt>
                <c:pt idx="21">
                  <c:v>69</c:v>
                </c:pt>
                <c:pt idx="22">
                  <c:v>70</c:v>
                </c:pt>
                <c:pt idx="23">
                  <c:v>71</c:v>
                </c:pt>
                <c:pt idx="24">
                  <c:v>72</c:v>
                </c:pt>
                <c:pt idx="25">
                  <c:v>73</c:v>
                </c:pt>
                <c:pt idx="26">
                  <c:v>74</c:v>
                </c:pt>
                <c:pt idx="27">
                  <c:v>75</c:v>
                </c:pt>
                <c:pt idx="28">
                  <c:v>76</c:v>
                </c:pt>
                <c:pt idx="29">
                  <c:v>77</c:v>
                </c:pt>
                <c:pt idx="30">
                  <c:v>78</c:v>
                </c:pt>
                <c:pt idx="31">
                  <c:v>79</c:v>
                </c:pt>
                <c:pt idx="32">
                  <c:v>80</c:v>
                </c:pt>
                <c:pt idx="33">
                  <c:v>81</c:v>
                </c:pt>
                <c:pt idx="34">
                  <c:v>82</c:v>
                </c:pt>
                <c:pt idx="35">
                  <c:v>83</c:v>
                </c:pt>
                <c:pt idx="36">
                  <c:v>84</c:v>
                </c:pt>
              </c:numCache>
            </c:numRef>
          </c:cat>
          <c:val>
            <c:numRef>
              <c:f>RetEarly_Engine!ChartCash_Early</c:f>
              <c:numCache>
                <c:formatCode>#,##0\ ;\(#,##0\);\ \ \ \-\ </c:formatCode>
                <c:ptCount val="37"/>
                <c:pt idx="0">
                  <c:v>73136.875000000015</c:v>
                </c:pt>
                <c:pt idx="1">
                  <c:v>97140.903125000026</c:v>
                </c:pt>
                <c:pt idx="2">
                  <c:v>127759.43382812504</c:v>
                </c:pt>
                <c:pt idx="3">
                  <c:v>139100.17641137764</c:v>
                </c:pt>
                <c:pt idx="4">
                  <c:v>90982.686515080073</c:v>
                </c:pt>
                <c:pt idx="5">
                  <c:v>44731.486654559354</c:v>
                </c:pt>
                <c:pt idx="6">
                  <c:v>122816.44594358886</c:v>
                </c:pt>
                <c:pt idx="7">
                  <c:v>110704.1942804876</c:v>
                </c:pt>
                <c:pt idx="8">
                  <c:v>56367.784225867057</c:v>
                </c:pt>
                <c:pt idx="9">
                  <c:v>220163.27031040267</c:v>
                </c:pt>
                <c:pt idx="10">
                  <c:v>149371.35581909551</c:v>
                </c:pt>
                <c:pt idx="11">
                  <c:v>126281.13761001588</c:v>
                </c:pt>
                <c:pt idx="12">
                  <c:v>102051.3886764935</c:v>
                </c:pt>
                <c:pt idx="13">
                  <c:v>76663.267130203953</c:v>
                </c:pt>
                <c:pt idx="14">
                  <c:v>246802.86686737029</c:v>
                </c:pt>
                <c:pt idx="15">
                  <c:v>213499.8106300793</c:v>
                </c:pt>
                <c:pt idx="16">
                  <c:v>178761.93350443404</c:v>
                </c:pt>
                <c:pt idx="17">
                  <c:v>161065.19970660284</c:v>
                </c:pt>
                <c:pt idx="18">
                  <c:v>150424.7629864492</c:v>
                </c:pt>
                <c:pt idx="19">
                  <c:v>139226.41603700753</c:v>
                </c:pt>
                <c:pt idx="20">
                  <c:v>127464.12032280934</c:v>
                </c:pt>
                <c:pt idx="21">
                  <c:v>115131.92362160722</c:v>
                </c:pt>
                <c:pt idx="22">
                  <c:v>81048.641110268611</c:v>
                </c:pt>
                <c:pt idx="23">
                  <c:v>421766.15315834375</c:v>
                </c:pt>
                <c:pt idx="24">
                  <c:v>382440.01808293402</c:v>
                </c:pt>
                <c:pt idx="25">
                  <c:v>340989.20365595352</c:v>
                </c:pt>
                <c:pt idx="26">
                  <c:v>297148.53105760575</c:v>
                </c:pt>
                <c:pt idx="27">
                  <c:v>250864.09023958546</c:v>
                </c:pt>
                <c:pt idx="28">
                  <c:v>212312.83546568983</c:v>
                </c:pt>
                <c:pt idx="29">
                  <c:v>171711.8131363389</c:v>
                </c:pt>
                <c:pt idx="30">
                  <c:v>129016.15666104242</c:v>
                </c:pt>
                <c:pt idx="31">
                  <c:v>734427.24434657802</c:v>
                </c:pt>
                <c:pt idx="32">
                  <c:v>688433.81191184837</c:v>
                </c:pt>
                <c:pt idx="33">
                  <c:v>640263.39287273888</c:v>
                </c:pt>
                <c:pt idx="34">
                  <c:v>588902.48817033891</c:v>
                </c:pt>
                <c:pt idx="35">
                  <c:v>534271.33566306648</c:v>
                </c:pt>
                <c:pt idx="36">
                  <c:v>476288.17915579944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E00-C94B-93B6-9E84AE83035F}"/>
            </c:ext>
          </c:extLst>
        </c:ser>
        <c:ser>
          <c:idx val="2"/>
          <c:order val="1"/>
          <c:tx>
            <c:strRef>
              <c:f>Output!$AA$3</c:f>
              <c:strCache>
                <c:ptCount val="1"/>
                <c:pt idx="0">
                  <c:v>Retire at  65</c:v>
                </c:pt>
              </c:strCache>
            </c:strRef>
          </c:tx>
          <c:spPr>
            <a:ln w="28575" cap="rnd">
              <a:solidFill>
                <a:schemeClr val="accent2"/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[0]!AgeRange</c:f>
              <c:numCache>
                <c:formatCode>General</c:formatCode>
                <c:ptCount val="37"/>
                <c:pt idx="0">
                  <c:v>48</c:v>
                </c:pt>
                <c:pt idx="1">
                  <c:v>49</c:v>
                </c:pt>
                <c:pt idx="2">
                  <c:v>50</c:v>
                </c:pt>
                <c:pt idx="3">
                  <c:v>51</c:v>
                </c:pt>
                <c:pt idx="4">
                  <c:v>52</c:v>
                </c:pt>
                <c:pt idx="5">
                  <c:v>53</c:v>
                </c:pt>
                <c:pt idx="6">
                  <c:v>54</c:v>
                </c:pt>
                <c:pt idx="7">
                  <c:v>55</c:v>
                </c:pt>
                <c:pt idx="8">
                  <c:v>56</c:v>
                </c:pt>
                <c:pt idx="9">
                  <c:v>57</c:v>
                </c:pt>
                <c:pt idx="10">
                  <c:v>58</c:v>
                </c:pt>
                <c:pt idx="11">
                  <c:v>59</c:v>
                </c:pt>
                <c:pt idx="12">
                  <c:v>60</c:v>
                </c:pt>
                <c:pt idx="13">
                  <c:v>61</c:v>
                </c:pt>
                <c:pt idx="14">
                  <c:v>62</c:v>
                </c:pt>
                <c:pt idx="15">
                  <c:v>63</c:v>
                </c:pt>
                <c:pt idx="16">
                  <c:v>64</c:v>
                </c:pt>
                <c:pt idx="17">
                  <c:v>65</c:v>
                </c:pt>
                <c:pt idx="18">
                  <c:v>66</c:v>
                </c:pt>
                <c:pt idx="19">
                  <c:v>67</c:v>
                </c:pt>
                <c:pt idx="20">
                  <c:v>68</c:v>
                </c:pt>
                <c:pt idx="21">
                  <c:v>69</c:v>
                </c:pt>
                <c:pt idx="22">
                  <c:v>70</c:v>
                </c:pt>
                <c:pt idx="23">
                  <c:v>71</c:v>
                </c:pt>
                <c:pt idx="24">
                  <c:v>72</c:v>
                </c:pt>
                <c:pt idx="25">
                  <c:v>73</c:v>
                </c:pt>
                <c:pt idx="26">
                  <c:v>74</c:v>
                </c:pt>
                <c:pt idx="27">
                  <c:v>75</c:v>
                </c:pt>
                <c:pt idx="28">
                  <c:v>76</c:v>
                </c:pt>
                <c:pt idx="29">
                  <c:v>77</c:v>
                </c:pt>
                <c:pt idx="30">
                  <c:v>78</c:v>
                </c:pt>
                <c:pt idx="31">
                  <c:v>79</c:v>
                </c:pt>
                <c:pt idx="32">
                  <c:v>80</c:v>
                </c:pt>
                <c:pt idx="33">
                  <c:v>81</c:v>
                </c:pt>
                <c:pt idx="34">
                  <c:v>82</c:v>
                </c:pt>
                <c:pt idx="35">
                  <c:v>83</c:v>
                </c:pt>
                <c:pt idx="36">
                  <c:v>84</c:v>
                </c:pt>
              </c:numCache>
            </c:numRef>
          </c:cat>
          <c:val>
            <c:numRef>
              <c:f>[0]!ChartCash_Norm</c:f>
              <c:numCache>
                <c:formatCode>#,##0\ ;\(#,##0\);\ \ \ \-\ </c:formatCode>
                <c:ptCount val="37"/>
                <c:pt idx="0">
                  <c:v>73136.875000000015</c:v>
                </c:pt>
                <c:pt idx="1">
                  <c:v>97140.903125000026</c:v>
                </c:pt>
                <c:pt idx="2">
                  <c:v>127759.43382812504</c:v>
                </c:pt>
                <c:pt idx="3">
                  <c:v>139100.17641137764</c:v>
                </c:pt>
                <c:pt idx="4">
                  <c:v>182148.90012508008</c:v>
                </c:pt>
                <c:pt idx="5">
                  <c:v>232078.05562310934</c:v>
                </c:pt>
                <c:pt idx="6">
                  <c:v>306036.18242333515</c:v>
                </c:pt>
                <c:pt idx="7">
                  <c:v>379084.48685026687</c:v>
                </c:pt>
                <c:pt idx="8">
                  <c:v>438970.23861694947</c:v>
                </c:pt>
                <c:pt idx="9">
                  <c:v>586536.87203851226</c:v>
                </c:pt>
                <c:pt idx="10">
                  <c:v>645652.23085092264</c:v>
                </c:pt>
                <c:pt idx="11">
                  <c:v>758618.88271131995</c:v>
                </c:pt>
                <c:pt idx="12">
                  <c:v>877633.29830874666</c:v>
                </c:pt>
                <c:pt idx="13">
                  <c:v>1002951.3505862901</c:v>
                </c:pt>
                <c:pt idx="14">
                  <c:v>1134838.6489492662</c:v>
                </c:pt>
                <c:pt idx="15">
                  <c:v>1273570.8878477628</c:v>
                </c:pt>
                <c:pt idx="16">
                  <c:v>1419434.2073534238</c:v>
                </c:pt>
                <c:pt idx="17">
                  <c:v>1463495.1237488878</c:v>
                </c:pt>
                <c:pt idx="18">
                  <c:v>1517057.089307287</c:v>
                </c:pt>
                <c:pt idx="19">
                  <c:v>1572680.5274795629</c:v>
                </c:pt>
                <c:pt idx="20">
                  <c:v>1630443.9774315846</c:v>
                </c:pt>
                <c:pt idx="21">
                  <c:v>1690428.88512004</c:v>
                </c:pt>
                <c:pt idx="22">
                  <c:v>1731802.6151119878</c:v>
                </c:pt>
                <c:pt idx="23">
                  <c:v>1774523.9813424624</c:v>
                </c:pt>
                <c:pt idx="24">
                  <c:v>1818644.5710759091</c:v>
                </c:pt>
                <c:pt idx="25">
                  <c:v>1864218.0105883591</c:v>
                </c:pt>
                <c:pt idx="26">
                  <c:v>1911300.0439335995</c:v>
                </c:pt>
                <c:pt idx="27">
                  <c:v>1959948.6146449971</c:v>
                </c:pt>
                <c:pt idx="28">
                  <c:v>2020331.2065111429</c:v>
                </c:pt>
                <c:pt idx="29">
                  <c:v>2082908.5261740466</c:v>
                </c:pt>
                <c:pt idx="30">
                  <c:v>2147764.5878862576</c:v>
                </c:pt>
                <c:pt idx="31">
                  <c:v>2214986.5954175591</c:v>
                </c:pt>
                <c:pt idx="32">
                  <c:v>2284665.0598372058</c:v>
                </c:pt>
                <c:pt idx="33">
                  <c:v>2356893.9215162839</c:v>
                </c:pt>
                <c:pt idx="34">
                  <c:v>2431770.6764973206</c:v>
                </c:pt>
                <c:pt idx="35">
                  <c:v>2509396.5073832762</c:v>
                </c:pt>
                <c:pt idx="36">
                  <c:v>2589876.4189032381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E00-C94B-93B6-9E84AE8303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03642623"/>
        <c:axId val="1403644863"/>
      </c:lineChart>
      <c:catAx>
        <c:axId val="14036426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MT"/>
          </a:p>
        </c:txPr>
        <c:crossAx val="1403644863"/>
        <c:crosses val="autoZero"/>
        <c:auto val="1"/>
        <c:lblAlgn val="ctr"/>
        <c:lblOffset val="100"/>
        <c:tickLblSkip val="2"/>
        <c:noMultiLvlLbl val="0"/>
      </c:catAx>
      <c:valAx>
        <c:axId val="14036448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\ ;\(#,##0\);\ \ \ \-\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MT"/>
          </a:p>
        </c:txPr>
        <c:crossAx val="14036426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MT"/>
          </a:p>
        </c:txPr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MT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MT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2000" b="1"/>
              <a:t>Net Worth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MT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Output!$AA$2</c:f>
              <c:strCache>
                <c:ptCount val="1"/>
                <c:pt idx="0">
                  <c:v>Retire at  52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[0]!AgeRange</c:f>
              <c:numCache>
                <c:formatCode>General</c:formatCode>
                <c:ptCount val="37"/>
                <c:pt idx="0">
                  <c:v>48</c:v>
                </c:pt>
                <c:pt idx="1">
                  <c:v>49</c:v>
                </c:pt>
                <c:pt idx="2">
                  <c:v>50</c:v>
                </c:pt>
                <c:pt idx="3">
                  <c:v>51</c:v>
                </c:pt>
                <c:pt idx="4">
                  <c:v>52</c:v>
                </c:pt>
                <c:pt idx="5">
                  <c:v>53</c:v>
                </c:pt>
                <c:pt idx="6">
                  <c:v>54</c:v>
                </c:pt>
                <c:pt idx="7">
                  <c:v>55</c:v>
                </c:pt>
                <c:pt idx="8">
                  <c:v>56</c:v>
                </c:pt>
                <c:pt idx="9">
                  <c:v>57</c:v>
                </c:pt>
                <c:pt idx="10">
                  <c:v>58</c:v>
                </c:pt>
                <c:pt idx="11">
                  <c:v>59</c:v>
                </c:pt>
                <c:pt idx="12">
                  <c:v>60</c:v>
                </c:pt>
                <c:pt idx="13">
                  <c:v>61</c:v>
                </c:pt>
                <c:pt idx="14">
                  <c:v>62</c:v>
                </c:pt>
                <c:pt idx="15">
                  <c:v>63</c:v>
                </c:pt>
                <c:pt idx="16">
                  <c:v>64</c:v>
                </c:pt>
                <c:pt idx="17">
                  <c:v>65</c:v>
                </c:pt>
                <c:pt idx="18">
                  <c:v>66</c:v>
                </c:pt>
                <c:pt idx="19">
                  <c:v>67</c:v>
                </c:pt>
                <c:pt idx="20">
                  <c:v>68</c:v>
                </c:pt>
                <c:pt idx="21">
                  <c:v>69</c:v>
                </c:pt>
                <c:pt idx="22">
                  <c:v>70</c:v>
                </c:pt>
                <c:pt idx="23">
                  <c:v>71</c:v>
                </c:pt>
                <c:pt idx="24">
                  <c:v>72</c:v>
                </c:pt>
                <c:pt idx="25">
                  <c:v>73</c:v>
                </c:pt>
                <c:pt idx="26">
                  <c:v>74</c:v>
                </c:pt>
                <c:pt idx="27">
                  <c:v>75</c:v>
                </c:pt>
                <c:pt idx="28">
                  <c:v>76</c:v>
                </c:pt>
                <c:pt idx="29">
                  <c:v>77</c:v>
                </c:pt>
                <c:pt idx="30">
                  <c:v>78</c:v>
                </c:pt>
                <c:pt idx="31">
                  <c:v>79</c:v>
                </c:pt>
                <c:pt idx="32">
                  <c:v>80</c:v>
                </c:pt>
                <c:pt idx="33">
                  <c:v>81</c:v>
                </c:pt>
                <c:pt idx="34">
                  <c:v>82</c:v>
                </c:pt>
                <c:pt idx="35">
                  <c:v>83</c:v>
                </c:pt>
                <c:pt idx="36">
                  <c:v>84</c:v>
                </c:pt>
              </c:numCache>
            </c:numRef>
          </c:cat>
          <c:val>
            <c:numRef>
              <c:f>RetEarly_Engine!ChartNW_Early</c:f>
              <c:numCache>
                <c:formatCode>#,##0\ ;\(#,##0\);\ \ \ \-\ </c:formatCode>
                <c:ptCount val="37"/>
                <c:pt idx="0">
                  <c:v>1486487.9915657642</c:v>
                </c:pt>
                <c:pt idx="1">
                  <c:v>1578514.7610075048</c:v>
                </c:pt>
                <c:pt idx="2">
                  <c:v>1679362.533968953</c:v>
                </c:pt>
                <c:pt idx="3">
                  <c:v>1762841.4863182209</c:v>
                </c:pt>
                <c:pt idx="4">
                  <c:v>1787177.9048880567</c:v>
                </c:pt>
                <c:pt idx="5">
                  <c:v>1813341.1824579649</c:v>
                </c:pt>
                <c:pt idx="6">
                  <c:v>1831210.5901010167</c:v>
                </c:pt>
                <c:pt idx="7">
                  <c:v>1852130.7757852855</c:v>
                </c:pt>
                <c:pt idx="8">
                  <c:v>1856539.671049152</c:v>
                </c:pt>
                <c:pt idx="9">
                  <c:v>1918549.384993983</c:v>
                </c:pt>
                <c:pt idx="10">
                  <c:v>1898709.0539431833</c:v>
                </c:pt>
                <c:pt idx="11">
                  <c:v>1928098.9666778264</c:v>
                </c:pt>
                <c:pt idx="12">
                  <c:v>1957923.7526163389</c:v>
                </c:pt>
                <c:pt idx="13">
                  <c:v>1988211.8019882443</c:v>
                </c:pt>
                <c:pt idx="14">
                  <c:v>1983151.2053022014</c:v>
                </c:pt>
                <c:pt idx="15">
                  <c:v>2001938.5992179557</c:v>
                </c:pt>
                <c:pt idx="16">
                  <c:v>2020853.8857499466</c:v>
                </c:pt>
                <c:pt idx="17">
                  <c:v>2058419.9105194812</c:v>
                </c:pt>
                <c:pt idx="18">
                  <c:v>2104700.1151237134</c:v>
                </c:pt>
                <c:pt idx="19">
                  <c:v>2152130.0287383897</c:v>
                </c:pt>
                <c:pt idx="20">
                  <c:v>2200754.8414052334</c:v>
                </c:pt>
                <c:pt idx="21">
                  <c:v>2250621.3663365045</c:v>
                </c:pt>
                <c:pt idx="22">
                  <c:v>2280602.7671066127</c:v>
                </c:pt>
                <c:pt idx="23">
                  <c:v>2242289.9699428179</c:v>
                </c:pt>
                <c:pt idx="24">
                  <c:v>2257579.5493709422</c:v>
                </c:pt>
                <c:pt idx="25">
                  <c:v>2272382.9208826022</c:v>
                </c:pt>
                <c:pt idx="26">
                  <c:v>2286484.0598010537</c:v>
                </c:pt>
                <c:pt idx="27">
                  <c:v>2299879.6848453372</c:v>
                </c:pt>
                <c:pt idx="28">
                  <c:v>2322798.8979096143</c:v>
                </c:pt>
                <c:pt idx="29">
                  <c:v>2345512.457453581</c:v>
                </c:pt>
                <c:pt idx="30">
                  <c:v>2368030.8203078019</c:v>
                </c:pt>
                <c:pt idx="31">
                  <c:v>2271883.9800506863</c:v>
                </c:pt>
                <c:pt idx="32">
                  <c:v>2272014.2496870803</c:v>
                </c:pt>
                <c:pt idx="33">
                  <c:v>2271351.2437812276</c:v>
                </c:pt>
                <c:pt idx="34">
                  <c:v>2268922.9746060823</c:v>
                </c:pt>
                <c:pt idx="35">
                  <c:v>2264692.4366918821</c:v>
                </c:pt>
                <c:pt idx="36">
                  <c:v>2258621.9132154798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E00-C94B-93B6-9E84AE83035F}"/>
            </c:ext>
          </c:extLst>
        </c:ser>
        <c:ser>
          <c:idx val="2"/>
          <c:order val="1"/>
          <c:tx>
            <c:strRef>
              <c:f>Output!$AA$3</c:f>
              <c:strCache>
                <c:ptCount val="1"/>
                <c:pt idx="0">
                  <c:v>Retire at  65</c:v>
                </c:pt>
              </c:strCache>
            </c:strRef>
          </c:tx>
          <c:spPr>
            <a:ln w="28575" cap="rnd">
              <a:solidFill>
                <a:schemeClr val="accent2"/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[0]!AgeRange</c:f>
              <c:numCache>
                <c:formatCode>General</c:formatCode>
                <c:ptCount val="37"/>
                <c:pt idx="0">
                  <c:v>48</c:v>
                </c:pt>
                <c:pt idx="1">
                  <c:v>49</c:v>
                </c:pt>
                <c:pt idx="2">
                  <c:v>50</c:v>
                </c:pt>
                <c:pt idx="3">
                  <c:v>51</c:v>
                </c:pt>
                <c:pt idx="4">
                  <c:v>52</c:v>
                </c:pt>
                <c:pt idx="5">
                  <c:v>53</c:v>
                </c:pt>
                <c:pt idx="6">
                  <c:v>54</c:v>
                </c:pt>
                <c:pt idx="7">
                  <c:v>55</c:v>
                </c:pt>
                <c:pt idx="8">
                  <c:v>56</c:v>
                </c:pt>
                <c:pt idx="9">
                  <c:v>57</c:v>
                </c:pt>
                <c:pt idx="10">
                  <c:v>58</c:v>
                </c:pt>
                <c:pt idx="11">
                  <c:v>59</c:v>
                </c:pt>
                <c:pt idx="12">
                  <c:v>60</c:v>
                </c:pt>
                <c:pt idx="13">
                  <c:v>61</c:v>
                </c:pt>
                <c:pt idx="14">
                  <c:v>62</c:v>
                </c:pt>
                <c:pt idx="15">
                  <c:v>63</c:v>
                </c:pt>
                <c:pt idx="16">
                  <c:v>64</c:v>
                </c:pt>
                <c:pt idx="17">
                  <c:v>65</c:v>
                </c:pt>
                <c:pt idx="18">
                  <c:v>66</c:v>
                </c:pt>
                <c:pt idx="19">
                  <c:v>67</c:v>
                </c:pt>
                <c:pt idx="20">
                  <c:v>68</c:v>
                </c:pt>
                <c:pt idx="21">
                  <c:v>69</c:v>
                </c:pt>
                <c:pt idx="22">
                  <c:v>70</c:v>
                </c:pt>
                <c:pt idx="23">
                  <c:v>71</c:v>
                </c:pt>
                <c:pt idx="24">
                  <c:v>72</c:v>
                </c:pt>
                <c:pt idx="25">
                  <c:v>73</c:v>
                </c:pt>
                <c:pt idx="26">
                  <c:v>74</c:v>
                </c:pt>
                <c:pt idx="27">
                  <c:v>75</c:v>
                </c:pt>
                <c:pt idx="28">
                  <c:v>76</c:v>
                </c:pt>
                <c:pt idx="29">
                  <c:v>77</c:v>
                </c:pt>
                <c:pt idx="30">
                  <c:v>78</c:v>
                </c:pt>
                <c:pt idx="31">
                  <c:v>79</c:v>
                </c:pt>
                <c:pt idx="32">
                  <c:v>80</c:v>
                </c:pt>
                <c:pt idx="33">
                  <c:v>81</c:v>
                </c:pt>
                <c:pt idx="34">
                  <c:v>82</c:v>
                </c:pt>
                <c:pt idx="35">
                  <c:v>83</c:v>
                </c:pt>
                <c:pt idx="36">
                  <c:v>84</c:v>
                </c:pt>
              </c:numCache>
            </c:numRef>
          </c:cat>
          <c:val>
            <c:numRef>
              <c:f>[0]!ChartNW_Norm</c:f>
              <c:numCache>
                <c:formatCode>#,##0\ ;\(#,##0\);\ \ \ \-\ </c:formatCode>
                <c:ptCount val="37"/>
                <c:pt idx="0">
                  <c:v>1486487.9915657642</c:v>
                </c:pt>
                <c:pt idx="1">
                  <c:v>1578514.7610075048</c:v>
                </c:pt>
                <c:pt idx="2">
                  <c:v>1679362.533968953</c:v>
                </c:pt>
                <c:pt idx="3">
                  <c:v>1762841.4863182209</c:v>
                </c:pt>
                <c:pt idx="4">
                  <c:v>1878344.1184980569</c:v>
                </c:pt>
                <c:pt idx="5">
                  <c:v>2000687.7514265149</c:v>
                </c:pt>
                <c:pt idx="6">
                  <c:v>2138156.9971046397</c:v>
                </c:pt>
                <c:pt idx="7">
                  <c:v>2276174.8537519434</c:v>
                </c:pt>
                <c:pt idx="8">
                  <c:v>2402216.8347591623</c:v>
                </c:pt>
                <c:pt idx="9">
                  <c:v>2616327.6566686197</c:v>
                </c:pt>
                <c:pt idx="10">
                  <c:v>2739533.8535040035</c:v>
                </c:pt>
                <c:pt idx="11">
                  <c:v>2918769.8376867888</c:v>
                </c:pt>
                <c:pt idx="12">
                  <c:v>3106317.8962676986</c:v>
                </c:pt>
                <c:pt idx="13">
                  <c:v>3302523.9299649671</c:v>
                </c:pt>
                <c:pt idx="14">
                  <c:v>3507748.0446687364</c:v>
                </c:pt>
                <c:pt idx="15">
                  <c:v>3722365.1755150049</c:v>
                </c:pt>
                <c:pt idx="16">
                  <c:v>3946765.7425329667</c:v>
                </c:pt>
                <c:pt idx="17">
                  <c:v>4072125.8973766821</c:v>
                </c:pt>
                <c:pt idx="18">
                  <c:v>4209864.4219282102</c:v>
                </c:pt>
                <c:pt idx="19">
                  <c:v>4352663.1267261505</c:v>
                </c:pt>
                <c:pt idx="20">
                  <c:v>4500728.3850343721</c:v>
                </c:pt>
                <c:pt idx="21">
                  <c:v>4654276.341760017</c:v>
                </c:pt>
                <c:pt idx="22">
                  <c:v>4792616.3736049971</c:v>
                </c:pt>
                <c:pt idx="23">
                  <c:v>4935857.100996404</c:v>
                </c:pt>
                <c:pt idx="24">
                  <c:v>5084208.2285981001</c:v>
                </c:pt>
                <c:pt idx="25">
                  <c:v>5237890.3656571386</c:v>
                </c:pt>
                <c:pt idx="26">
                  <c:v>5397135.7005010378</c:v>
                </c:pt>
                <c:pt idx="27">
                  <c:v>5562188.722223782</c:v>
                </c:pt>
                <c:pt idx="28">
                  <c:v>5743414.2491367618</c:v>
                </c:pt>
                <c:pt idx="29">
                  <c:v>5931481.8504434619</c:v>
                </c:pt>
                <c:pt idx="30">
                  <c:v>6126696.7254779832</c:v>
                </c:pt>
                <c:pt idx="31">
                  <c:v>6329380.4398188051</c:v>
                </c:pt>
                <c:pt idx="32">
                  <c:v>6539871.9616667973</c:v>
                </c:pt>
                <c:pt idx="33">
                  <c:v>6758528.7718647765</c:v>
                </c:pt>
                <c:pt idx="34">
                  <c:v>6985728.0531374039</c:v>
                </c:pt>
                <c:pt idx="35">
                  <c:v>7221867.9645661879</c:v>
                </c:pt>
                <c:pt idx="36">
                  <c:v>7467369.0077847531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E00-C94B-93B6-9E84AE8303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03642623"/>
        <c:axId val="1403644863"/>
      </c:lineChart>
      <c:catAx>
        <c:axId val="14036426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MT"/>
          </a:p>
        </c:txPr>
        <c:crossAx val="1403644863"/>
        <c:crosses val="autoZero"/>
        <c:auto val="1"/>
        <c:lblAlgn val="ctr"/>
        <c:lblOffset val="100"/>
        <c:tickLblSkip val="2"/>
        <c:noMultiLvlLbl val="0"/>
      </c:catAx>
      <c:valAx>
        <c:axId val="14036448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\ ;\(#,##0\);\ \ \ \-\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MT"/>
          </a:p>
        </c:txPr>
        <c:crossAx val="14036426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MT"/>
          </a:p>
        </c:txPr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MT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MT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trlProps/ctrlProp1.xml><?xml version="1.0" encoding="utf-8"?>
<formControlPr xmlns="http://schemas.microsoft.com/office/spreadsheetml/2009/9/main" objectType="Spin" dx="15" fmlaLink="RetEarly_Engine!$B$3" max="65" min="18" page="10" val="52"/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297479</xdr:colOff>
      <xdr:row>1</xdr:row>
      <xdr:rowOff>128162</xdr:rowOff>
    </xdr:from>
    <xdr:to>
      <xdr:col>10</xdr:col>
      <xdr:colOff>297478</xdr:colOff>
      <xdr:row>30</xdr:row>
      <xdr:rowOff>160180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04EF6F3C-5549-FFD1-5465-CCE02109B7E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423336</xdr:colOff>
      <xdr:row>1</xdr:row>
      <xdr:rowOff>128162</xdr:rowOff>
    </xdr:from>
    <xdr:to>
      <xdr:col>20</xdr:col>
      <xdr:colOff>423336</xdr:colOff>
      <xdr:row>30</xdr:row>
      <xdr:rowOff>160180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022D580-9C83-6C91-B509-F2CDB56D14E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21</xdr:col>
          <xdr:colOff>38100</xdr:colOff>
          <xdr:row>4</xdr:row>
          <xdr:rowOff>63500</xdr:rowOff>
        </xdr:from>
        <xdr:to>
          <xdr:col>21</xdr:col>
          <xdr:colOff>660400</xdr:colOff>
          <xdr:row>9</xdr:row>
          <xdr:rowOff>63500</xdr:rowOff>
        </xdr:to>
        <xdr:sp macro="" textlink="">
          <xdr:nvSpPr>
            <xdr:cNvPr id="2049" name="Spinner 1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00000000-0008-0000-0100-00000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86C09A-970C-8B4A-8DAA-2452C038377E}">
  <sheetPr codeName="Sheet1">
    <tabColor rgb="FFFFFF00"/>
  </sheetPr>
  <dimension ref="A1:M213"/>
  <sheetViews>
    <sheetView zoomScale="135" zoomScaleNormal="120" workbookViewId="0">
      <pane ySplit="1" topLeftCell="A2" activePane="bottomLeft" state="frozen"/>
      <selection pane="bottomLeft" activeCell="A2" sqref="A2"/>
    </sheetView>
  </sheetViews>
  <sheetFormatPr baseColWidth="10" defaultRowHeight="16" x14ac:dyDescent="0.2"/>
  <cols>
    <col min="1" max="1" width="37.83203125" style="22" customWidth="1"/>
    <col min="2" max="2" width="11.6640625" style="19" customWidth="1"/>
    <col min="3" max="3" width="10.83203125" style="21"/>
    <col min="4" max="4" width="45.33203125" style="63" customWidth="1"/>
    <col min="5" max="5" width="43.83203125" style="61" bestFit="1" customWidth="1"/>
    <col min="6" max="6" width="16.1640625" style="71" customWidth="1"/>
    <col min="7" max="7" width="6.5" style="70" customWidth="1"/>
    <col min="8" max="11" width="10.83203125" style="21"/>
    <col min="12" max="12" width="10.83203125" style="2"/>
    <col min="13" max="16384" width="10.83203125" style="21"/>
  </cols>
  <sheetData>
    <row r="1" spans="1:12" x14ac:dyDescent="0.2">
      <c r="A1" s="52"/>
      <c r="B1" s="60" t="s">
        <v>160</v>
      </c>
      <c r="C1" s="46"/>
      <c r="D1" s="60" t="s">
        <v>144</v>
      </c>
      <c r="E1" s="67" t="s">
        <v>145</v>
      </c>
      <c r="F1" s="69" t="s">
        <v>146</v>
      </c>
      <c r="G1" s="69"/>
    </row>
    <row r="2" spans="1:12" x14ac:dyDescent="0.2">
      <c r="A2" s="53" t="s">
        <v>81</v>
      </c>
      <c r="B2" s="33"/>
      <c r="D2" s="61"/>
      <c r="F2" s="70"/>
      <c r="L2" s="21"/>
    </row>
    <row r="3" spans="1:12" x14ac:dyDescent="0.2">
      <c r="D3" s="62"/>
      <c r="L3" s="21"/>
    </row>
    <row r="4" spans="1:12" x14ac:dyDescent="0.2">
      <c r="A4" s="18" t="s">
        <v>82</v>
      </c>
      <c r="B4" s="35">
        <v>48</v>
      </c>
      <c r="D4" s="62" t="s">
        <v>84</v>
      </c>
      <c r="L4" s="21"/>
    </row>
    <row r="5" spans="1:12" x14ac:dyDescent="0.2">
      <c r="A5" s="18"/>
      <c r="D5" s="62"/>
      <c r="L5" s="21"/>
    </row>
    <row r="6" spans="1:12" x14ac:dyDescent="0.2">
      <c r="A6" s="18" t="s">
        <v>83</v>
      </c>
      <c r="B6" s="35">
        <v>80000</v>
      </c>
      <c r="D6" s="62" t="s">
        <v>85</v>
      </c>
      <c r="L6" s="21"/>
    </row>
    <row r="7" spans="1:12" x14ac:dyDescent="0.2">
      <c r="A7" s="18"/>
      <c r="D7" s="62"/>
      <c r="L7" s="21"/>
    </row>
    <row r="8" spans="1:12" x14ac:dyDescent="0.2">
      <c r="A8" s="18" t="s">
        <v>86</v>
      </c>
      <c r="B8" s="35">
        <v>50000</v>
      </c>
      <c r="D8" s="62" t="s">
        <v>87</v>
      </c>
      <c r="L8" s="21"/>
    </row>
    <row r="9" spans="1:12" x14ac:dyDescent="0.2">
      <c r="A9" s="18"/>
      <c r="D9" s="62"/>
      <c r="L9" s="21"/>
    </row>
    <row r="10" spans="1:12" x14ac:dyDescent="0.2">
      <c r="A10" s="18" t="s">
        <v>0</v>
      </c>
      <c r="B10" s="35">
        <v>30000</v>
      </c>
      <c r="D10" s="62" t="s">
        <v>88</v>
      </c>
      <c r="L10" s="21"/>
    </row>
    <row r="11" spans="1:12" x14ac:dyDescent="0.2">
      <c r="A11" s="18"/>
      <c r="D11" s="62"/>
      <c r="L11" s="21"/>
    </row>
    <row r="12" spans="1:12" x14ac:dyDescent="0.2">
      <c r="A12" s="18" t="s">
        <v>30</v>
      </c>
      <c r="B12" s="35">
        <v>600000</v>
      </c>
      <c r="D12" s="62" t="s">
        <v>142</v>
      </c>
      <c r="L12" s="21"/>
    </row>
    <row r="13" spans="1:12" x14ac:dyDescent="0.2">
      <c r="A13" s="18"/>
      <c r="D13" s="62"/>
      <c r="L13" s="21"/>
    </row>
    <row r="14" spans="1:12" x14ac:dyDescent="0.2">
      <c r="A14" s="18" t="s">
        <v>33</v>
      </c>
      <c r="E14" s="68"/>
      <c r="L14" s="21"/>
    </row>
    <row r="15" spans="1:12" x14ac:dyDescent="0.2">
      <c r="A15" s="22" t="s">
        <v>38</v>
      </c>
      <c r="B15" s="35">
        <v>50000</v>
      </c>
      <c r="D15" s="62" t="s">
        <v>143</v>
      </c>
      <c r="F15" s="72" t="s">
        <v>91</v>
      </c>
      <c r="G15" s="73">
        <f>IFERROR(NPER(B16/12,-B17,B15),"")</f>
        <v>68.044528885100064</v>
      </c>
      <c r="L15" s="21"/>
    </row>
    <row r="16" spans="1:12" x14ac:dyDescent="0.2">
      <c r="A16" s="22" t="s">
        <v>89</v>
      </c>
      <c r="B16" s="36">
        <v>0.03</v>
      </c>
      <c r="D16" s="62"/>
      <c r="F16" s="72" t="s">
        <v>92</v>
      </c>
      <c r="G16" s="73">
        <f>IFERROR(G15/12,"")</f>
        <v>5.6703774070916717</v>
      </c>
      <c r="L16" s="21"/>
    </row>
    <row r="17" spans="1:12" x14ac:dyDescent="0.2">
      <c r="A17" s="22" t="s">
        <v>90</v>
      </c>
      <c r="B17" s="35">
        <v>800</v>
      </c>
      <c r="D17" s="62"/>
      <c r="L17" s="21"/>
    </row>
    <row r="18" spans="1:12" x14ac:dyDescent="0.2">
      <c r="A18" s="18"/>
      <c r="D18" s="62"/>
      <c r="L18" s="21"/>
    </row>
    <row r="19" spans="1:12" x14ac:dyDescent="0.2">
      <c r="A19" s="18" t="s">
        <v>95</v>
      </c>
      <c r="B19" s="35">
        <v>65</v>
      </c>
      <c r="D19" s="62" t="s">
        <v>96</v>
      </c>
      <c r="L19" s="21"/>
    </row>
    <row r="20" spans="1:12" x14ac:dyDescent="0.2">
      <c r="A20" s="18"/>
      <c r="B20" s="37"/>
      <c r="D20" s="62"/>
      <c r="L20" s="21"/>
    </row>
    <row r="21" spans="1:12" x14ac:dyDescent="0.2">
      <c r="A21" s="18" t="s">
        <v>93</v>
      </c>
      <c r="B21" s="35">
        <v>16000</v>
      </c>
      <c r="D21" s="62" t="s">
        <v>94</v>
      </c>
      <c r="L21" s="21"/>
    </row>
    <row r="22" spans="1:12" x14ac:dyDescent="0.2">
      <c r="A22" s="18"/>
      <c r="D22" s="62"/>
      <c r="L22" s="21"/>
    </row>
    <row r="23" spans="1:12" x14ac:dyDescent="0.2">
      <c r="A23" s="18" t="s">
        <v>5</v>
      </c>
      <c r="B23" s="35"/>
      <c r="D23" s="62" t="s">
        <v>49</v>
      </c>
      <c r="E23" s="61" t="s">
        <v>154</v>
      </c>
      <c r="L23" s="21"/>
    </row>
    <row r="24" spans="1:12" x14ac:dyDescent="0.2">
      <c r="A24" s="18"/>
      <c r="D24" s="62"/>
      <c r="L24" s="21"/>
    </row>
    <row r="25" spans="1:12" x14ac:dyDescent="0.2">
      <c r="A25" s="18" t="s">
        <v>104</v>
      </c>
      <c r="B25" s="35">
        <v>50000</v>
      </c>
      <c r="D25" s="62"/>
      <c r="L25" s="21"/>
    </row>
    <row r="26" spans="1:12" x14ac:dyDescent="0.2">
      <c r="D26" s="62"/>
      <c r="L26" s="21"/>
    </row>
    <row r="27" spans="1:12" x14ac:dyDescent="0.2">
      <c r="D27" s="62"/>
      <c r="L27" s="21"/>
    </row>
    <row r="28" spans="1:12" x14ac:dyDescent="0.2">
      <c r="A28" s="53" t="s">
        <v>97</v>
      </c>
      <c r="B28" s="33"/>
      <c r="D28" s="62"/>
      <c r="E28" s="61" t="s">
        <v>148</v>
      </c>
      <c r="L28" s="21"/>
    </row>
    <row r="29" spans="1:12" x14ac:dyDescent="0.2">
      <c r="D29" s="62"/>
      <c r="L29" s="21"/>
    </row>
    <row r="30" spans="1:12" x14ac:dyDescent="0.2">
      <c r="A30" s="54" t="s">
        <v>32</v>
      </c>
      <c r="D30" s="62"/>
      <c r="L30" s="21"/>
    </row>
    <row r="31" spans="1:12" x14ac:dyDescent="0.2">
      <c r="D31" s="62"/>
      <c r="L31" s="21"/>
    </row>
    <row r="32" spans="1:12" x14ac:dyDescent="0.2">
      <c r="A32" s="22" t="s">
        <v>40</v>
      </c>
      <c r="L32" s="21"/>
    </row>
    <row r="33" spans="1:12" x14ac:dyDescent="0.2">
      <c r="A33" s="55" t="s">
        <v>29</v>
      </c>
      <c r="B33" s="38" t="s">
        <v>163</v>
      </c>
      <c r="D33" s="62" t="s">
        <v>100</v>
      </c>
      <c r="L33" s="21"/>
    </row>
    <row r="34" spans="1:12" x14ac:dyDescent="0.2">
      <c r="A34" s="55" t="s">
        <v>128</v>
      </c>
      <c r="B34" s="35">
        <v>2000</v>
      </c>
      <c r="D34" s="62" t="s">
        <v>127</v>
      </c>
      <c r="E34" s="61" t="s">
        <v>150</v>
      </c>
      <c r="L34" s="21"/>
    </row>
    <row r="35" spans="1:12" x14ac:dyDescent="0.2">
      <c r="A35" s="55" t="s">
        <v>101</v>
      </c>
      <c r="B35" s="35">
        <v>3</v>
      </c>
      <c r="D35" s="62" t="s">
        <v>99</v>
      </c>
      <c r="E35" s="61" t="s">
        <v>150</v>
      </c>
      <c r="L35" s="21"/>
    </row>
    <row r="36" spans="1:12" x14ac:dyDescent="0.2">
      <c r="L36" s="21"/>
    </row>
    <row r="37" spans="1:12" x14ac:dyDescent="0.2">
      <c r="A37" s="22" t="s">
        <v>41</v>
      </c>
      <c r="L37" s="21"/>
    </row>
    <row r="38" spans="1:12" x14ac:dyDescent="0.2">
      <c r="A38" s="55" t="s">
        <v>29</v>
      </c>
      <c r="B38" s="38" t="s">
        <v>164</v>
      </c>
      <c r="D38" s="62" t="s">
        <v>100</v>
      </c>
      <c r="L38" s="21"/>
    </row>
    <row r="39" spans="1:12" x14ac:dyDescent="0.2">
      <c r="A39" s="55" t="s">
        <v>128</v>
      </c>
      <c r="B39" s="35">
        <v>1000</v>
      </c>
      <c r="D39" s="62" t="s">
        <v>127</v>
      </c>
      <c r="E39" s="61" t="s">
        <v>150</v>
      </c>
      <c r="L39" s="21"/>
    </row>
    <row r="40" spans="1:12" x14ac:dyDescent="0.2">
      <c r="A40" s="55" t="s">
        <v>101</v>
      </c>
      <c r="B40" s="35">
        <v>5</v>
      </c>
      <c r="D40" s="62" t="s">
        <v>99</v>
      </c>
      <c r="E40" s="61" t="s">
        <v>150</v>
      </c>
      <c r="L40" s="21"/>
    </row>
    <row r="42" spans="1:12" x14ac:dyDescent="0.2">
      <c r="A42" s="22" t="s">
        <v>42</v>
      </c>
      <c r="L42" s="21"/>
    </row>
    <row r="43" spans="1:12" x14ac:dyDescent="0.2">
      <c r="A43" s="55" t="s">
        <v>29</v>
      </c>
      <c r="B43" s="38" t="s">
        <v>165</v>
      </c>
      <c r="D43" s="62" t="s">
        <v>100</v>
      </c>
      <c r="L43" s="21"/>
    </row>
    <row r="44" spans="1:12" x14ac:dyDescent="0.2">
      <c r="A44" s="55" t="s">
        <v>128</v>
      </c>
      <c r="B44" s="35">
        <v>4000</v>
      </c>
      <c r="D44" s="62" t="s">
        <v>127</v>
      </c>
      <c r="E44" s="61" t="s">
        <v>150</v>
      </c>
      <c r="L44" s="21"/>
    </row>
    <row r="45" spans="1:12" x14ac:dyDescent="0.2">
      <c r="A45" s="55" t="s">
        <v>101</v>
      </c>
      <c r="B45" s="35">
        <v>2</v>
      </c>
      <c r="D45" s="62" t="s">
        <v>99</v>
      </c>
      <c r="E45" s="61" t="s">
        <v>150</v>
      </c>
      <c r="L45" s="21"/>
    </row>
    <row r="46" spans="1:12" x14ac:dyDescent="0.2">
      <c r="A46" s="55"/>
      <c r="B46" s="34"/>
      <c r="D46" s="62"/>
      <c r="L46" s="21"/>
    </row>
    <row r="47" spans="1:12" x14ac:dyDescent="0.2">
      <c r="A47" s="22" t="s">
        <v>172</v>
      </c>
      <c r="L47" s="21"/>
    </row>
    <row r="48" spans="1:12" x14ac:dyDescent="0.2">
      <c r="A48" s="55" t="s">
        <v>29</v>
      </c>
      <c r="B48" s="38" t="s">
        <v>174</v>
      </c>
      <c r="D48" s="62" t="s">
        <v>100</v>
      </c>
      <c r="L48" s="21"/>
    </row>
    <row r="49" spans="1:12" x14ac:dyDescent="0.2">
      <c r="A49" s="55" t="s">
        <v>128</v>
      </c>
      <c r="B49" s="35">
        <v>2500</v>
      </c>
      <c r="D49" s="62" t="s">
        <v>127</v>
      </c>
      <c r="E49" s="61" t="s">
        <v>150</v>
      </c>
      <c r="L49" s="21"/>
    </row>
    <row r="50" spans="1:12" x14ac:dyDescent="0.2">
      <c r="A50" s="55" t="s">
        <v>101</v>
      </c>
      <c r="B50" s="35">
        <v>3</v>
      </c>
      <c r="D50" s="62" t="s">
        <v>99</v>
      </c>
      <c r="E50" s="61" t="s">
        <v>150</v>
      </c>
      <c r="L50" s="21"/>
    </row>
    <row r="52" spans="1:12" x14ac:dyDescent="0.2">
      <c r="A52" s="22" t="s">
        <v>173</v>
      </c>
      <c r="L52" s="21"/>
    </row>
    <row r="53" spans="1:12" x14ac:dyDescent="0.2">
      <c r="A53" s="55" t="s">
        <v>29</v>
      </c>
      <c r="B53" s="38" t="s">
        <v>175</v>
      </c>
      <c r="D53" s="62" t="s">
        <v>100</v>
      </c>
      <c r="L53" s="21"/>
    </row>
    <row r="54" spans="1:12" x14ac:dyDescent="0.2">
      <c r="A54" s="55" t="s">
        <v>128</v>
      </c>
      <c r="B54" s="35">
        <v>2860</v>
      </c>
      <c r="D54" s="62" t="s">
        <v>127</v>
      </c>
      <c r="E54" s="61" t="s">
        <v>150</v>
      </c>
      <c r="L54" s="21"/>
    </row>
    <row r="55" spans="1:12" x14ac:dyDescent="0.2">
      <c r="A55" s="55" t="s">
        <v>101</v>
      </c>
      <c r="B55" s="35">
        <v>6</v>
      </c>
      <c r="D55" s="62" t="s">
        <v>99</v>
      </c>
      <c r="E55" s="61" t="s">
        <v>150</v>
      </c>
      <c r="L55" s="21"/>
    </row>
    <row r="56" spans="1:12" x14ac:dyDescent="0.2">
      <c r="A56" s="55"/>
      <c r="B56" s="34"/>
      <c r="D56" s="62"/>
      <c r="L56" s="21"/>
    </row>
    <row r="57" spans="1:12" x14ac:dyDescent="0.2">
      <c r="A57" s="54" t="s">
        <v>116</v>
      </c>
      <c r="D57" s="62"/>
      <c r="L57" s="21"/>
    </row>
    <row r="58" spans="1:12" x14ac:dyDescent="0.2">
      <c r="A58" s="54"/>
      <c r="D58" s="62"/>
      <c r="L58" s="21"/>
    </row>
    <row r="59" spans="1:12" x14ac:dyDescent="0.2">
      <c r="A59" s="22" t="s">
        <v>43</v>
      </c>
      <c r="D59" s="62"/>
      <c r="L59" s="21"/>
    </row>
    <row r="60" spans="1:12" x14ac:dyDescent="0.2">
      <c r="A60" s="55" t="s">
        <v>29</v>
      </c>
      <c r="B60" s="38" t="s">
        <v>155</v>
      </c>
      <c r="D60" s="62" t="s">
        <v>100</v>
      </c>
      <c r="L60" s="21"/>
    </row>
    <row r="61" spans="1:12" x14ac:dyDescent="0.2">
      <c r="A61" s="55" t="s">
        <v>113</v>
      </c>
      <c r="B61" s="35">
        <v>300000</v>
      </c>
      <c r="D61" s="62"/>
      <c r="E61" s="61" t="s">
        <v>151</v>
      </c>
      <c r="L61" s="21"/>
    </row>
    <row r="62" spans="1:12" x14ac:dyDescent="0.2">
      <c r="A62" s="55" t="s">
        <v>114</v>
      </c>
      <c r="B62" s="35">
        <v>5000</v>
      </c>
      <c r="D62" s="62" t="s">
        <v>115</v>
      </c>
      <c r="E62" s="61" t="s">
        <v>151</v>
      </c>
      <c r="L62" s="21"/>
    </row>
    <row r="63" spans="1:12" x14ac:dyDescent="0.2">
      <c r="D63" s="62"/>
      <c r="L63" s="21"/>
    </row>
    <row r="64" spans="1:12" x14ac:dyDescent="0.2">
      <c r="A64" s="22" t="s">
        <v>44</v>
      </c>
      <c r="D64" s="62"/>
      <c r="L64" s="21"/>
    </row>
    <row r="65" spans="1:12" x14ac:dyDescent="0.2">
      <c r="A65" s="55" t="s">
        <v>29</v>
      </c>
      <c r="B65" s="38" t="s">
        <v>166</v>
      </c>
      <c r="D65" s="62" t="s">
        <v>100</v>
      </c>
      <c r="L65" s="21"/>
    </row>
    <row r="66" spans="1:12" x14ac:dyDescent="0.2">
      <c r="A66" s="55" t="s">
        <v>113</v>
      </c>
      <c r="B66" s="35">
        <v>150000</v>
      </c>
      <c r="D66" s="62"/>
      <c r="E66" s="61" t="s">
        <v>151</v>
      </c>
      <c r="L66" s="21"/>
    </row>
    <row r="67" spans="1:12" x14ac:dyDescent="0.2">
      <c r="A67" s="55" t="s">
        <v>114</v>
      </c>
      <c r="B67" s="35">
        <v>2000</v>
      </c>
      <c r="D67" s="62" t="s">
        <v>115</v>
      </c>
      <c r="E67" s="61" t="s">
        <v>151</v>
      </c>
      <c r="L67" s="21"/>
    </row>
    <row r="68" spans="1:12" x14ac:dyDescent="0.2">
      <c r="D68" s="62"/>
      <c r="L68" s="21"/>
    </row>
    <row r="69" spans="1:12" x14ac:dyDescent="0.2">
      <c r="A69" s="22" t="s">
        <v>45</v>
      </c>
      <c r="D69" s="62"/>
      <c r="L69" s="21"/>
    </row>
    <row r="70" spans="1:12" x14ac:dyDescent="0.2">
      <c r="A70" s="55" t="s">
        <v>29</v>
      </c>
      <c r="B70" s="38" t="s">
        <v>161</v>
      </c>
      <c r="D70" s="62" t="s">
        <v>100</v>
      </c>
      <c r="L70" s="21"/>
    </row>
    <row r="71" spans="1:12" x14ac:dyDescent="0.2">
      <c r="A71" s="55" t="s">
        <v>113</v>
      </c>
      <c r="B71" s="35">
        <v>220000</v>
      </c>
      <c r="D71" s="62"/>
      <c r="E71" s="61" t="s">
        <v>151</v>
      </c>
      <c r="L71" s="21"/>
    </row>
    <row r="72" spans="1:12" x14ac:dyDescent="0.2">
      <c r="A72" s="55" t="s">
        <v>114</v>
      </c>
      <c r="B72" s="35">
        <v>1200</v>
      </c>
      <c r="D72" s="62" t="s">
        <v>115</v>
      </c>
      <c r="E72" s="61" t="s">
        <v>151</v>
      </c>
      <c r="L72" s="21"/>
    </row>
    <row r="73" spans="1:12" x14ac:dyDescent="0.2">
      <c r="A73" s="55"/>
      <c r="D73" s="62"/>
      <c r="L73" s="21"/>
    </row>
    <row r="74" spans="1:12" x14ac:dyDescent="0.2">
      <c r="A74" s="22" t="s">
        <v>176</v>
      </c>
      <c r="D74" s="62"/>
      <c r="L74" s="21"/>
    </row>
    <row r="75" spans="1:12" x14ac:dyDescent="0.2">
      <c r="A75" s="55" t="s">
        <v>29</v>
      </c>
      <c r="B75" s="38" t="s">
        <v>178</v>
      </c>
      <c r="D75" s="62" t="s">
        <v>100</v>
      </c>
      <c r="L75" s="21"/>
    </row>
    <row r="76" spans="1:12" x14ac:dyDescent="0.2">
      <c r="A76" s="55" t="s">
        <v>113</v>
      </c>
      <c r="B76" s="35">
        <v>80000</v>
      </c>
      <c r="D76" s="62"/>
      <c r="E76" s="61" t="s">
        <v>151</v>
      </c>
      <c r="L76" s="21"/>
    </row>
    <row r="77" spans="1:12" x14ac:dyDescent="0.2">
      <c r="A77" s="55" t="s">
        <v>114</v>
      </c>
      <c r="B77" s="35">
        <v>1000</v>
      </c>
      <c r="D77" s="62" t="s">
        <v>115</v>
      </c>
      <c r="E77" s="61" t="s">
        <v>151</v>
      </c>
      <c r="L77" s="21"/>
    </row>
    <row r="78" spans="1:12" x14ac:dyDescent="0.2">
      <c r="D78" s="62"/>
      <c r="L78" s="21"/>
    </row>
    <row r="79" spans="1:12" x14ac:dyDescent="0.2">
      <c r="A79" s="22" t="s">
        <v>177</v>
      </c>
      <c r="D79" s="62"/>
      <c r="L79" s="21"/>
    </row>
    <row r="80" spans="1:12" x14ac:dyDescent="0.2">
      <c r="A80" s="55" t="s">
        <v>29</v>
      </c>
      <c r="B80" s="38" t="s">
        <v>179</v>
      </c>
      <c r="D80" s="62" t="s">
        <v>100</v>
      </c>
      <c r="L80" s="21"/>
    </row>
    <row r="81" spans="1:12" x14ac:dyDescent="0.2">
      <c r="A81" s="55" t="s">
        <v>113</v>
      </c>
      <c r="B81" s="35">
        <v>120000</v>
      </c>
      <c r="D81" s="62"/>
      <c r="E81" s="61" t="s">
        <v>151</v>
      </c>
      <c r="L81" s="21"/>
    </row>
    <row r="82" spans="1:12" x14ac:dyDescent="0.2">
      <c r="A82" s="55" t="s">
        <v>114</v>
      </c>
      <c r="B82" s="35">
        <v>800</v>
      </c>
      <c r="D82" s="62" t="s">
        <v>115</v>
      </c>
      <c r="E82" s="61" t="s">
        <v>151</v>
      </c>
      <c r="L82" s="21"/>
    </row>
    <row r="83" spans="1:12" x14ac:dyDescent="0.2">
      <c r="A83" s="55"/>
      <c r="D83" s="62"/>
      <c r="L83" s="21"/>
    </row>
    <row r="84" spans="1:12" x14ac:dyDescent="0.2">
      <c r="A84" s="54" t="s">
        <v>102</v>
      </c>
      <c r="L84" s="21"/>
    </row>
    <row r="85" spans="1:12" x14ac:dyDescent="0.2">
      <c r="D85" s="62"/>
      <c r="L85" s="21"/>
    </row>
    <row r="86" spans="1:12" x14ac:dyDescent="0.2">
      <c r="A86" s="22" t="str">
        <f>"Rental income: "&amp;B60</f>
        <v>Rental income: Sliema</v>
      </c>
      <c r="B86" s="35">
        <v>12000</v>
      </c>
      <c r="D86" s="62" t="s">
        <v>103</v>
      </c>
      <c r="E86" s="61" t="s">
        <v>152</v>
      </c>
      <c r="L86" s="21"/>
    </row>
    <row r="87" spans="1:12" x14ac:dyDescent="0.2">
      <c r="A87" s="22" t="str">
        <f>"Rental income: "&amp;B65</f>
        <v>Rental income: Gzira</v>
      </c>
      <c r="B87" s="35">
        <v>10000</v>
      </c>
      <c r="D87" s="62" t="s">
        <v>103</v>
      </c>
      <c r="E87" s="61" t="s">
        <v>152</v>
      </c>
      <c r="L87" s="21"/>
    </row>
    <row r="88" spans="1:12" x14ac:dyDescent="0.2">
      <c r="A88" s="22" t="str">
        <f>"Rental income: "&amp;B70</f>
        <v>Rental income: Qormi</v>
      </c>
      <c r="B88" s="35">
        <v>8000</v>
      </c>
      <c r="D88" s="62" t="s">
        <v>103</v>
      </c>
      <c r="E88" s="61" t="s">
        <v>152</v>
      </c>
      <c r="L88" s="21"/>
    </row>
    <row r="89" spans="1:12" x14ac:dyDescent="0.2">
      <c r="A89" s="22" t="str">
        <f>"Rental income: "&amp;B75</f>
        <v>Rental income: Gudja</v>
      </c>
      <c r="B89" s="35">
        <v>5000</v>
      </c>
      <c r="D89" s="62" t="s">
        <v>103</v>
      </c>
      <c r="E89" s="61" t="s">
        <v>152</v>
      </c>
      <c r="L89" s="21"/>
    </row>
    <row r="90" spans="1:12" x14ac:dyDescent="0.2">
      <c r="A90" s="22" t="str">
        <f>"Rental income: "&amp;B80</f>
        <v>Rental income: Marsa</v>
      </c>
      <c r="B90" s="35">
        <v>6500</v>
      </c>
      <c r="D90" s="62" t="s">
        <v>103</v>
      </c>
      <c r="E90" s="61" t="s">
        <v>152</v>
      </c>
      <c r="L90" s="21"/>
    </row>
    <row r="91" spans="1:12" x14ac:dyDescent="0.2">
      <c r="D91" s="62"/>
      <c r="L91" s="21"/>
    </row>
    <row r="92" spans="1:12" x14ac:dyDescent="0.2">
      <c r="A92" s="22" t="s">
        <v>117</v>
      </c>
      <c r="B92" s="35">
        <v>2000</v>
      </c>
      <c r="D92" s="62" t="s">
        <v>140</v>
      </c>
      <c r="L92" s="21"/>
    </row>
    <row r="93" spans="1:12" x14ac:dyDescent="0.2">
      <c r="A93" s="22" t="s">
        <v>15</v>
      </c>
      <c r="B93" s="35">
        <v>58</v>
      </c>
      <c r="D93" s="62"/>
      <c r="E93" s="61" t="s">
        <v>153</v>
      </c>
      <c r="L93" s="21"/>
    </row>
    <row r="94" spans="1:12" x14ac:dyDescent="0.2">
      <c r="D94" s="62"/>
      <c r="L94" s="21"/>
    </row>
    <row r="95" spans="1:12" x14ac:dyDescent="0.2">
      <c r="A95" s="54" t="s">
        <v>105</v>
      </c>
      <c r="D95" s="62"/>
      <c r="L95" s="21"/>
    </row>
    <row r="96" spans="1:12" x14ac:dyDescent="0.2">
      <c r="D96" s="62"/>
      <c r="J96" s="45"/>
      <c r="L96" s="21"/>
    </row>
    <row r="97" spans="1:12" x14ac:dyDescent="0.2">
      <c r="A97" s="22" t="s">
        <v>3</v>
      </c>
      <c r="B97" s="35">
        <v>1000</v>
      </c>
      <c r="D97" s="62" t="s">
        <v>141</v>
      </c>
      <c r="L97" s="21"/>
    </row>
    <row r="98" spans="1:12" x14ac:dyDescent="0.2">
      <c r="D98" s="62"/>
      <c r="L98" s="21"/>
    </row>
    <row r="99" spans="1:12" x14ac:dyDescent="0.2">
      <c r="A99" s="56" t="str">
        <f>B60 &amp; " Property"</f>
        <v>Sliema Property</v>
      </c>
      <c r="F99" s="72"/>
      <c r="G99" s="74"/>
      <c r="J99" s="45"/>
      <c r="L99" s="21"/>
    </row>
    <row r="100" spans="1:12" x14ac:dyDescent="0.2">
      <c r="A100" s="55" t="s">
        <v>38</v>
      </c>
      <c r="B100" s="35">
        <v>50000</v>
      </c>
      <c r="D100" s="62" t="s">
        <v>109</v>
      </c>
      <c r="F100" s="72" t="s">
        <v>91</v>
      </c>
      <c r="G100" s="73">
        <f>IFERROR(NPER(B101/12,-B102,B100),"")</f>
        <v>115.21661015797439</v>
      </c>
      <c r="L100" s="21"/>
    </row>
    <row r="101" spans="1:12" x14ac:dyDescent="0.2">
      <c r="A101" s="55" t="s">
        <v>89</v>
      </c>
      <c r="B101" s="36">
        <v>0.03</v>
      </c>
      <c r="D101" s="62"/>
      <c r="F101" s="72" t="s">
        <v>92</v>
      </c>
      <c r="G101" s="73">
        <f>IFERROR(G100/12,"")</f>
        <v>9.6013841798311983</v>
      </c>
      <c r="L101" s="21"/>
    </row>
    <row r="102" spans="1:12" x14ac:dyDescent="0.2">
      <c r="A102" s="55" t="s">
        <v>90</v>
      </c>
      <c r="B102" s="35">
        <v>500</v>
      </c>
      <c r="D102" s="62"/>
      <c r="G102" s="74"/>
      <c r="J102" s="45"/>
      <c r="L102" s="21"/>
    </row>
    <row r="103" spans="1:12" x14ac:dyDescent="0.2">
      <c r="B103" s="21"/>
      <c r="D103" s="62"/>
      <c r="G103" s="74"/>
      <c r="J103" s="45"/>
      <c r="L103" s="21"/>
    </row>
    <row r="104" spans="1:12" x14ac:dyDescent="0.2">
      <c r="A104" s="56" t="str">
        <f>B65 &amp; " Property"</f>
        <v>Gzira Property</v>
      </c>
      <c r="B104" s="21"/>
      <c r="F104" s="72"/>
      <c r="G104" s="74"/>
      <c r="L104" s="21"/>
    </row>
    <row r="105" spans="1:12" x14ac:dyDescent="0.2">
      <c r="A105" s="55" t="s">
        <v>38</v>
      </c>
      <c r="B105" s="35">
        <v>8500</v>
      </c>
      <c r="D105" s="62" t="s">
        <v>109</v>
      </c>
      <c r="F105" s="72" t="s">
        <v>91</v>
      </c>
      <c r="G105" s="73">
        <f>IFERROR(NPER(B106/12,-B107,B105),"")</f>
        <v>44.117014509786529</v>
      </c>
      <c r="L105" s="21"/>
    </row>
    <row r="106" spans="1:12" x14ac:dyDescent="0.2">
      <c r="A106" s="55" t="s">
        <v>89</v>
      </c>
      <c r="B106" s="36">
        <v>0.02</v>
      </c>
      <c r="D106" s="62"/>
      <c r="F106" s="72" t="s">
        <v>92</v>
      </c>
      <c r="G106" s="73">
        <f>IFERROR(G105/12,"")</f>
        <v>3.6764178758155439</v>
      </c>
      <c r="L106" s="21"/>
    </row>
    <row r="107" spans="1:12" x14ac:dyDescent="0.2">
      <c r="A107" s="55" t="s">
        <v>90</v>
      </c>
      <c r="B107" s="35">
        <v>200</v>
      </c>
      <c r="D107" s="62"/>
      <c r="G107" s="74"/>
      <c r="L107" s="21"/>
    </row>
    <row r="108" spans="1:12" x14ac:dyDescent="0.2">
      <c r="D108" s="62"/>
      <c r="G108" s="74"/>
      <c r="L108" s="21"/>
    </row>
    <row r="109" spans="1:12" x14ac:dyDescent="0.2">
      <c r="A109" s="56" t="str">
        <f>B70&amp; " Property"</f>
        <v>Qormi Property</v>
      </c>
      <c r="B109" s="21"/>
      <c r="F109" s="72"/>
      <c r="G109" s="74"/>
      <c r="L109" s="21"/>
    </row>
    <row r="110" spans="1:12" x14ac:dyDescent="0.2">
      <c r="A110" s="55" t="s">
        <v>38</v>
      </c>
      <c r="B110" s="35">
        <v>15000</v>
      </c>
      <c r="D110" s="62" t="s">
        <v>109</v>
      </c>
      <c r="F110" s="72" t="s">
        <v>91</v>
      </c>
      <c r="G110" s="73">
        <f>IFERROR(NPER(B111/12,-B112,B110),"")</f>
        <v>69.187438742600861</v>
      </c>
      <c r="L110" s="21"/>
    </row>
    <row r="111" spans="1:12" x14ac:dyDescent="0.2">
      <c r="A111" s="55" t="s">
        <v>89</v>
      </c>
      <c r="B111" s="36">
        <v>0.05</v>
      </c>
      <c r="D111" s="62"/>
      <c r="F111" s="72" t="s">
        <v>92</v>
      </c>
      <c r="G111" s="73">
        <f>IFERROR(G110/12,"")</f>
        <v>5.7656198952167381</v>
      </c>
      <c r="J111" s="45"/>
      <c r="L111" s="21"/>
    </row>
    <row r="112" spans="1:12" x14ac:dyDescent="0.2">
      <c r="A112" s="55" t="s">
        <v>90</v>
      </c>
      <c r="B112" s="35">
        <v>250</v>
      </c>
      <c r="D112" s="62"/>
      <c r="G112" s="74"/>
      <c r="J112" s="45"/>
      <c r="L112" s="21"/>
    </row>
    <row r="113" spans="1:12" x14ac:dyDescent="0.2">
      <c r="B113" s="21"/>
      <c r="D113" s="62"/>
      <c r="G113" s="74"/>
      <c r="L113" s="21"/>
    </row>
    <row r="114" spans="1:12" x14ac:dyDescent="0.2">
      <c r="A114" s="56" t="str">
        <f>B75 &amp; " Property"</f>
        <v>Gudja Property</v>
      </c>
      <c r="B114" s="21"/>
      <c r="F114" s="72"/>
      <c r="G114" s="74"/>
      <c r="L114" s="21"/>
    </row>
    <row r="115" spans="1:12" x14ac:dyDescent="0.2">
      <c r="A115" s="55" t="s">
        <v>38</v>
      </c>
      <c r="B115" s="35">
        <v>4680</v>
      </c>
      <c r="D115" s="62" t="s">
        <v>109</v>
      </c>
      <c r="F115" s="72" t="s">
        <v>91</v>
      </c>
      <c r="G115" s="73">
        <f>IFERROR(NPER(B116/12,-B117,B115),"")</f>
        <v>61.603232323170296</v>
      </c>
      <c r="L115" s="21"/>
    </row>
    <row r="116" spans="1:12" x14ac:dyDescent="0.2">
      <c r="A116" s="55" t="s">
        <v>89</v>
      </c>
      <c r="B116" s="36">
        <v>0.02</v>
      </c>
      <c r="D116" s="62"/>
      <c r="F116" s="72" t="s">
        <v>92</v>
      </c>
      <c r="G116" s="73">
        <f>IFERROR(G115/12,"")</f>
        <v>5.133602693597525</v>
      </c>
      <c r="L116" s="21"/>
    </row>
    <row r="117" spans="1:12" x14ac:dyDescent="0.2">
      <c r="A117" s="55" t="s">
        <v>90</v>
      </c>
      <c r="B117" s="35">
        <v>80</v>
      </c>
      <c r="D117" s="62"/>
      <c r="G117" s="74"/>
      <c r="L117" s="21"/>
    </row>
    <row r="118" spans="1:12" x14ac:dyDescent="0.2">
      <c r="D118" s="62"/>
      <c r="G118" s="74"/>
      <c r="L118" s="21"/>
    </row>
    <row r="119" spans="1:12" x14ac:dyDescent="0.2">
      <c r="A119" s="56" t="str">
        <f>B80&amp; " Property"</f>
        <v>Marsa Property</v>
      </c>
      <c r="B119" s="21"/>
      <c r="F119" s="72"/>
      <c r="G119" s="74"/>
      <c r="L119" s="21"/>
    </row>
    <row r="120" spans="1:12" x14ac:dyDescent="0.2">
      <c r="A120" s="55" t="s">
        <v>38</v>
      </c>
      <c r="B120" s="35">
        <v>9524</v>
      </c>
      <c r="D120" s="62" t="s">
        <v>109</v>
      </c>
      <c r="F120" s="72" t="s">
        <v>91</v>
      </c>
      <c r="G120" s="73">
        <f>IFERROR(NPER(B121/12,-B122,B120),"")</f>
        <v>88.577073398502804</v>
      </c>
      <c r="L120" s="21"/>
    </row>
    <row r="121" spans="1:12" x14ac:dyDescent="0.2">
      <c r="A121" s="55" t="s">
        <v>89</v>
      </c>
      <c r="B121" s="36">
        <v>0.03</v>
      </c>
      <c r="D121" s="62"/>
      <c r="F121" s="72" t="s">
        <v>92</v>
      </c>
      <c r="G121" s="73">
        <f>IFERROR(G120/12,"")</f>
        <v>7.381422783208567</v>
      </c>
      <c r="J121" s="45"/>
      <c r="L121" s="21"/>
    </row>
    <row r="122" spans="1:12" x14ac:dyDescent="0.2">
      <c r="A122" s="55" t="s">
        <v>90</v>
      </c>
      <c r="B122" s="35">
        <v>120</v>
      </c>
      <c r="D122" s="62"/>
      <c r="G122" s="74"/>
      <c r="J122" s="45"/>
      <c r="L122" s="21"/>
    </row>
    <row r="123" spans="1:12" x14ac:dyDescent="0.2">
      <c r="B123" s="21"/>
      <c r="D123" s="62"/>
      <c r="G123" s="74"/>
      <c r="L123" s="21"/>
    </row>
    <row r="124" spans="1:12" x14ac:dyDescent="0.2">
      <c r="A124" s="22" t="s">
        <v>34</v>
      </c>
      <c r="D124" s="62"/>
      <c r="F124" s="72"/>
      <c r="G124" s="73"/>
      <c r="L124" s="21"/>
    </row>
    <row r="125" spans="1:12" x14ac:dyDescent="0.2">
      <c r="A125" s="55" t="s">
        <v>38</v>
      </c>
      <c r="B125" s="35">
        <v>4000</v>
      </c>
      <c r="D125" s="62" t="s">
        <v>100</v>
      </c>
      <c r="F125" s="72" t="s">
        <v>91</v>
      </c>
      <c r="G125" s="73">
        <f>IFERROR(NPER(B126/12,-B127,B125),"")</f>
        <v>102.42032525150438</v>
      </c>
      <c r="L125" s="21"/>
    </row>
    <row r="126" spans="1:12" x14ac:dyDescent="0.2">
      <c r="A126" s="55" t="s">
        <v>89</v>
      </c>
      <c r="B126" s="36">
        <v>0.06</v>
      </c>
      <c r="D126" s="62"/>
      <c r="F126" s="72" t="s">
        <v>92</v>
      </c>
      <c r="G126" s="73">
        <f>IFERROR(G125/12,"")</f>
        <v>8.5350271042920323</v>
      </c>
      <c r="L126" s="21"/>
    </row>
    <row r="127" spans="1:12" x14ac:dyDescent="0.2">
      <c r="A127" s="55" t="s">
        <v>90</v>
      </c>
      <c r="B127" s="35">
        <v>50</v>
      </c>
      <c r="D127" s="62"/>
      <c r="E127" s="68"/>
      <c r="L127" s="21"/>
    </row>
    <row r="128" spans="1:12" x14ac:dyDescent="0.2">
      <c r="D128" s="62"/>
      <c r="E128" s="68"/>
      <c r="L128" s="21"/>
    </row>
    <row r="129" spans="1:12" x14ac:dyDescent="0.2">
      <c r="A129" s="54" t="s">
        <v>138</v>
      </c>
      <c r="D129" s="62"/>
      <c r="L129" s="21"/>
    </row>
    <row r="130" spans="1:12" x14ac:dyDescent="0.2">
      <c r="B130" s="34"/>
      <c r="L130" s="21"/>
    </row>
    <row r="131" spans="1:12" s="19" customFormat="1" x14ac:dyDescent="0.2">
      <c r="A131" s="22" t="s">
        <v>106</v>
      </c>
      <c r="B131" s="34"/>
      <c r="D131" s="63"/>
      <c r="E131" s="61"/>
      <c r="F131" s="71"/>
      <c r="G131" s="75"/>
    </row>
    <row r="132" spans="1:12" s="19" customFormat="1" x14ac:dyDescent="0.2">
      <c r="A132" s="55" t="s">
        <v>29</v>
      </c>
      <c r="B132" s="39" t="s">
        <v>167</v>
      </c>
      <c r="D132" s="62" t="s">
        <v>100</v>
      </c>
      <c r="E132" s="61"/>
      <c r="F132" s="71"/>
      <c r="G132" s="75"/>
    </row>
    <row r="133" spans="1:12" s="19" customFormat="1" x14ac:dyDescent="0.2">
      <c r="A133" s="55" t="s">
        <v>46</v>
      </c>
      <c r="B133" s="35">
        <v>50000</v>
      </c>
      <c r="D133" s="62" t="s">
        <v>109</v>
      </c>
      <c r="E133" s="61"/>
      <c r="F133" s="71"/>
      <c r="G133" s="75"/>
    </row>
    <row r="134" spans="1:12" s="19" customFormat="1" x14ac:dyDescent="0.2">
      <c r="A134" s="55" t="s">
        <v>6</v>
      </c>
      <c r="B134" s="38">
        <v>2035</v>
      </c>
      <c r="D134" s="63"/>
      <c r="E134" s="61"/>
      <c r="F134" s="71"/>
      <c r="G134" s="75"/>
    </row>
    <row r="135" spans="1:12" s="19" customFormat="1" x14ac:dyDescent="0.2">
      <c r="A135" s="22"/>
      <c r="B135" s="34"/>
      <c r="D135" s="63"/>
      <c r="E135" s="61"/>
      <c r="F135" s="71"/>
      <c r="G135" s="75"/>
    </row>
    <row r="136" spans="1:12" s="19" customFormat="1" x14ac:dyDescent="0.2">
      <c r="A136" s="22" t="s">
        <v>107</v>
      </c>
      <c r="B136" s="34"/>
      <c r="D136" s="63"/>
      <c r="E136" s="61"/>
      <c r="F136" s="71"/>
      <c r="G136" s="75"/>
    </row>
    <row r="137" spans="1:12" s="19" customFormat="1" x14ac:dyDescent="0.2">
      <c r="A137" s="55" t="s">
        <v>29</v>
      </c>
      <c r="B137" s="39" t="s">
        <v>168</v>
      </c>
      <c r="D137" s="62" t="s">
        <v>100</v>
      </c>
      <c r="E137" s="61"/>
      <c r="F137" s="71"/>
      <c r="G137" s="75"/>
    </row>
    <row r="138" spans="1:12" s="19" customFormat="1" x14ac:dyDescent="0.2">
      <c r="A138" s="55" t="s">
        <v>46</v>
      </c>
      <c r="B138" s="35">
        <v>10000</v>
      </c>
      <c r="D138" s="62" t="s">
        <v>109</v>
      </c>
      <c r="E138" s="61"/>
      <c r="F138" s="71"/>
      <c r="G138" s="75"/>
    </row>
    <row r="139" spans="1:12" s="19" customFormat="1" x14ac:dyDescent="0.2">
      <c r="A139" s="55" t="s">
        <v>6</v>
      </c>
      <c r="B139" s="38">
        <v>2029</v>
      </c>
      <c r="D139" s="63"/>
      <c r="E139" s="61"/>
      <c r="F139" s="71"/>
      <c r="G139" s="75"/>
    </row>
    <row r="140" spans="1:12" s="19" customFormat="1" x14ac:dyDescent="0.2">
      <c r="A140" s="22"/>
      <c r="B140" s="34"/>
      <c r="D140" s="63"/>
      <c r="E140" s="61"/>
      <c r="F140" s="71"/>
      <c r="G140" s="75"/>
    </row>
    <row r="141" spans="1:12" s="19" customFormat="1" x14ac:dyDescent="0.2">
      <c r="A141" s="22" t="s">
        <v>108</v>
      </c>
      <c r="B141" s="34"/>
      <c r="D141" s="63"/>
      <c r="E141" s="61"/>
      <c r="F141" s="71"/>
      <c r="G141" s="75"/>
    </row>
    <row r="142" spans="1:12" s="19" customFormat="1" x14ac:dyDescent="0.2">
      <c r="A142" s="55" t="s">
        <v>29</v>
      </c>
      <c r="B142" s="39" t="s">
        <v>169</v>
      </c>
      <c r="D142" s="62" t="s">
        <v>100</v>
      </c>
      <c r="E142" s="61"/>
      <c r="F142" s="71"/>
      <c r="G142" s="75"/>
    </row>
    <row r="143" spans="1:12" s="19" customFormat="1" x14ac:dyDescent="0.2">
      <c r="A143" s="55" t="s">
        <v>46</v>
      </c>
      <c r="B143" s="35">
        <v>5000</v>
      </c>
      <c r="D143" s="62" t="s">
        <v>109</v>
      </c>
      <c r="E143" s="61"/>
      <c r="F143" s="71"/>
      <c r="G143" s="75"/>
    </row>
    <row r="144" spans="1:12" s="19" customFormat="1" x14ac:dyDescent="0.2">
      <c r="A144" s="55" t="s">
        <v>6</v>
      </c>
      <c r="B144" s="38">
        <v>2032</v>
      </c>
      <c r="D144" s="63"/>
      <c r="E144" s="61"/>
      <c r="F144" s="71"/>
      <c r="G144" s="75"/>
    </row>
    <row r="145" spans="1:12" s="19" customFormat="1" x14ac:dyDescent="0.2">
      <c r="A145" s="22"/>
      <c r="B145" s="34"/>
      <c r="D145" s="63"/>
      <c r="E145" s="61"/>
      <c r="F145" s="71"/>
      <c r="G145" s="75"/>
    </row>
    <row r="146" spans="1:12" x14ac:dyDescent="0.2">
      <c r="A146" s="54" t="s">
        <v>137</v>
      </c>
      <c r="B146" s="34"/>
      <c r="L146" s="21"/>
    </row>
    <row r="147" spans="1:12" x14ac:dyDescent="0.2">
      <c r="A147" s="55"/>
      <c r="B147" s="34"/>
      <c r="L147" s="21"/>
    </row>
    <row r="148" spans="1:12" s="19" customFormat="1" x14ac:dyDescent="0.2">
      <c r="A148" s="22" t="s">
        <v>110</v>
      </c>
      <c r="B148" s="34"/>
      <c r="D148" s="63"/>
      <c r="E148" s="61"/>
      <c r="F148" s="71"/>
      <c r="G148" s="75"/>
    </row>
    <row r="149" spans="1:12" s="19" customFormat="1" x14ac:dyDescent="0.2">
      <c r="A149" s="55" t="s">
        <v>29</v>
      </c>
      <c r="B149" s="39" t="s">
        <v>162</v>
      </c>
      <c r="D149" s="62" t="s">
        <v>100</v>
      </c>
      <c r="E149" s="61"/>
      <c r="F149" s="71"/>
      <c r="G149" s="75"/>
    </row>
    <row r="150" spans="1:12" s="19" customFormat="1" x14ac:dyDescent="0.2">
      <c r="A150" s="55" t="s">
        <v>46</v>
      </c>
      <c r="B150" s="35">
        <v>40000</v>
      </c>
      <c r="D150" s="62" t="s">
        <v>109</v>
      </c>
      <c r="E150" s="61"/>
      <c r="F150" s="71"/>
      <c r="G150" s="75"/>
    </row>
    <row r="151" spans="1:12" s="19" customFormat="1" x14ac:dyDescent="0.2">
      <c r="A151" s="55" t="s">
        <v>6</v>
      </c>
      <c r="B151" s="38">
        <v>2036</v>
      </c>
      <c r="D151" s="63"/>
      <c r="E151" s="61"/>
      <c r="F151" s="71"/>
      <c r="G151" s="75"/>
    </row>
    <row r="152" spans="1:12" s="19" customFormat="1" x14ac:dyDescent="0.2">
      <c r="A152" s="22"/>
      <c r="B152" s="34"/>
      <c r="D152" s="63"/>
      <c r="E152" s="61"/>
      <c r="F152" s="71"/>
      <c r="G152" s="75"/>
    </row>
    <row r="153" spans="1:12" s="19" customFormat="1" x14ac:dyDescent="0.2">
      <c r="A153" s="22" t="s">
        <v>111</v>
      </c>
      <c r="B153" s="34"/>
      <c r="D153" s="63"/>
      <c r="E153" s="61"/>
      <c r="F153" s="71"/>
      <c r="G153" s="75"/>
    </row>
    <row r="154" spans="1:12" s="19" customFormat="1" x14ac:dyDescent="0.2">
      <c r="A154" s="55" t="s">
        <v>29</v>
      </c>
      <c r="B154" s="39" t="s">
        <v>170</v>
      </c>
      <c r="D154" s="62" t="s">
        <v>100</v>
      </c>
      <c r="E154" s="61"/>
      <c r="F154" s="71"/>
      <c r="G154" s="75"/>
    </row>
    <row r="155" spans="1:12" s="19" customFormat="1" x14ac:dyDescent="0.2">
      <c r="A155" s="55" t="s">
        <v>46</v>
      </c>
      <c r="B155" s="35">
        <v>35000</v>
      </c>
      <c r="D155" s="62" t="s">
        <v>109</v>
      </c>
      <c r="E155" s="61"/>
      <c r="F155" s="71"/>
      <c r="G155" s="75"/>
    </row>
    <row r="156" spans="1:12" s="19" customFormat="1" x14ac:dyDescent="0.2">
      <c r="A156" s="55" t="s">
        <v>6</v>
      </c>
      <c r="B156" s="38">
        <v>2029</v>
      </c>
      <c r="D156" s="63"/>
      <c r="E156" s="61"/>
      <c r="F156" s="71"/>
      <c r="G156" s="75"/>
    </row>
    <row r="157" spans="1:12" x14ac:dyDescent="0.2">
      <c r="B157" s="34"/>
      <c r="L157" s="21"/>
    </row>
    <row r="158" spans="1:12" x14ac:dyDescent="0.2">
      <c r="A158" s="22" t="s">
        <v>112</v>
      </c>
      <c r="B158" s="34"/>
      <c r="L158" s="21"/>
    </row>
    <row r="159" spans="1:12" x14ac:dyDescent="0.2">
      <c r="A159" s="55" t="s">
        <v>29</v>
      </c>
      <c r="B159" s="39" t="s">
        <v>171</v>
      </c>
      <c r="D159" s="62" t="s">
        <v>100</v>
      </c>
      <c r="L159" s="21"/>
    </row>
    <row r="160" spans="1:12" x14ac:dyDescent="0.2">
      <c r="A160" s="55" t="s">
        <v>46</v>
      </c>
      <c r="B160" s="35">
        <v>15000</v>
      </c>
      <c r="D160" s="62" t="s">
        <v>109</v>
      </c>
      <c r="L160" s="21"/>
    </row>
    <row r="161" spans="1:12" x14ac:dyDescent="0.2">
      <c r="A161" s="55" t="s">
        <v>6</v>
      </c>
      <c r="B161" s="38">
        <v>2034</v>
      </c>
      <c r="L161" s="21"/>
    </row>
    <row r="162" spans="1:12" x14ac:dyDescent="0.2">
      <c r="A162" s="55"/>
      <c r="D162" s="62"/>
      <c r="L162" s="21"/>
    </row>
    <row r="163" spans="1:12" x14ac:dyDescent="0.2">
      <c r="A163" s="55"/>
      <c r="D163" s="62"/>
      <c r="L163" s="21"/>
    </row>
    <row r="164" spans="1:12" x14ac:dyDescent="0.2">
      <c r="A164" s="53" t="s">
        <v>118</v>
      </c>
      <c r="B164" s="33"/>
      <c r="C164" s="44" t="s">
        <v>147</v>
      </c>
      <c r="D164" s="62"/>
      <c r="E164" s="61" t="s">
        <v>149</v>
      </c>
      <c r="L164" s="21"/>
    </row>
    <row r="165" spans="1:12" x14ac:dyDescent="0.2">
      <c r="D165" s="62"/>
      <c r="L165" s="21"/>
    </row>
    <row r="166" spans="1:12" x14ac:dyDescent="0.2">
      <c r="A166" s="18" t="s">
        <v>39</v>
      </c>
      <c r="B166" s="35">
        <v>85</v>
      </c>
      <c r="C166" s="47">
        <v>85</v>
      </c>
      <c r="L166" s="21"/>
    </row>
    <row r="167" spans="1:12" x14ac:dyDescent="0.2">
      <c r="A167" s="18"/>
      <c r="C167" s="19"/>
      <c r="D167" s="62"/>
      <c r="L167" s="21"/>
    </row>
    <row r="168" spans="1:12" s="19" customFormat="1" x14ac:dyDescent="0.2">
      <c r="A168" s="18" t="s">
        <v>59</v>
      </c>
      <c r="D168" s="63"/>
      <c r="E168" s="61"/>
      <c r="F168" s="71"/>
      <c r="G168" s="75"/>
    </row>
    <row r="169" spans="1:12" s="19" customFormat="1" x14ac:dyDescent="0.2">
      <c r="A169" s="22" t="s">
        <v>73</v>
      </c>
      <c r="B169" s="40">
        <v>0</v>
      </c>
      <c r="C169" s="48">
        <v>0</v>
      </c>
      <c r="D169" s="64" t="s">
        <v>4</v>
      </c>
      <c r="E169" s="61"/>
      <c r="F169" s="71"/>
      <c r="G169" s="75"/>
    </row>
    <row r="170" spans="1:12" s="19" customFormat="1" x14ac:dyDescent="0.2">
      <c r="A170" s="22" t="s">
        <v>57</v>
      </c>
      <c r="B170" s="40">
        <v>-0.1</v>
      </c>
      <c r="C170" s="48">
        <v>-0.1</v>
      </c>
      <c r="D170" s="64" t="s">
        <v>4</v>
      </c>
      <c r="E170" s="61"/>
      <c r="F170" s="71"/>
      <c r="G170" s="75"/>
    </row>
    <row r="171" spans="1:12" s="19" customFormat="1" x14ac:dyDescent="0.2">
      <c r="A171" s="22" t="s">
        <v>58</v>
      </c>
      <c r="B171" s="40">
        <v>-0.2</v>
      </c>
      <c r="C171" s="48">
        <v>-0.2</v>
      </c>
      <c r="D171" s="64" t="s">
        <v>4</v>
      </c>
      <c r="E171" s="61"/>
      <c r="F171" s="71"/>
      <c r="G171" s="75"/>
    </row>
    <row r="172" spans="1:12" x14ac:dyDescent="0.2">
      <c r="C172" s="19"/>
      <c r="L172" s="21"/>
    </row>
    <row r="173" spans="1:12" x14ac:dyDescent="0.2">
      <c r="A173" s="18" t="s">
        <v>48</v>
      </c>
      <c r="B173" s="35">
        <v>12000</v>
      </c>
      <c r="C173" s="47"/>
      <c r="D173" s="62" t="s">
        <v>109</v>
      </c>
      <c r="L173" s="21"/>
    </row>
    <row r="174" spans="1:12" x14ac:dyDescent="0.2">
      <c r="A174" s="22" t="s">
        <v>125</v>
      </c>
      <c r="B174" s="35">
        <v>58</v>
      </c>
      <c r="C174" s="47"/>
      <c r="D174" s="62"/>
      <c r="L174" s="21"/>
    </row>
    <row r="175" spans="1:12" x14ac:dyDescent="0.2">
      <c r="A175" s="22" t="s">
        <v>126</v>
      </c>
      <c r="B175" s="35">
        <v>69</v>
      </c>
      <c r="C175" s="47"/>
      <c r="D175" s="62"/>
      <c r="E175" s="61" t="s">
        <v>159</v>
      </c>
      <c r="L175" s="21"/>
    </row>
    <row r="176" spans="1:12" x14ac:dyDescent="0.2">
      <c r="C176" s="19"/>
      <c r="D176" s="62"/>
      <c r="L176" s="21"/>
    </row>
    <row r="177" spans="1:12" x14ac:dyDescent="0.2">
      <c r="A177" s="18" t="s">
        <v>180</v>
      </c>
      <c r="B177" s="36">
        <v>2.5000000000000001E-2</v>
      </c>
      <c r="C177" s="49">
        <v>2.5000000000000001E-2</v>
      </c>
      <c r="L177" s="21"/>
    </row>
    <row r="178" spans="1:12" x14ac:dyDescent="0.2">
      <c r="C178" s="19"/>
      <c r="D178" s="62"/>
      <c r="L178" s="21"/>
    </row>
    <row r="179" spans="1:12" x14ac:dyDescent="0.2">
      <c r="A179" s="18" t="s">
        <v>123</v>
      </c>
      <c r="B179" s="36">
        <v>0.03</v>
      </c>
      <c r="C179" s="49">
        <v>0.03</v>
      </c>
      <c r="D179" s="62" t="s">
        <v>98</v>
      </c>
      <c r="L179" s="21"/>
    </row>
    <row r="180" spans="1:12" x14ac:dyDescent="0.2">
      <c r="C180" s="19"/>
      <c r="D180" s="62"/>
      <c r="L180" s="21"/>
    </row>
    <row r="181" spans="1:12" x14ac:dyDescent="0.2">
      <c r="A181" s="18" t="s">
        <v>119</v>
      </c>
      <c r="B181" s="41">
        <v>2.5000000000000001E-2</v>
      </c>
      <c r="C181" s="50">
        <v>2.5000000000000001E-2</v>
      </c>
      <c r="D181" s="62" t="s">
        <v>98</v>
      </c>
      <c r="L181" s="21"/>
    </row>
    <row r="182" spans="1:12" x14ac:dyDescent="0.2">
      <c r="C182" s="19"/>
      <c r="D182" s="62"/>
      <c r="L182" s="21"/>
    </row>
    <row r="183" spans="1:12" x14ac:dyDescent="0.2">
      <c r="A183" s="18" t="s">
        <v>120</v>
      </c>
      <c r="B183" s="42">
        <v>0.08</v>
      </c>
      <c r="C183" s="51">
        <v>0.08</v>
      </c>
      <c r="D183" s="62" t="s">
        <v>98</v>
      </c>
      <c r="L183" s="21"/>
    </row>
    <row r="184" spans="1:12" x14ac:dyDescent="0.2">
      <c r="C184" s="19"/>
      <c r="D184" s="62"/>
      <c r="L184" s="21"/>
    </row>
    <row r="185" spans="1:12" x14ac:dyDescent="0.2">
      <c r="A185" s="18" t="s">
        <v>122</v>
      </c>
      <c r="B185" s="40">
        <v>0.03</v>
      </c>
      <c r="C185" s="48">
        <v>0.03</v>
      </c>
      <c r="D185" s="62" t="s">
        <v>98</v>
      </c>
      <c r="L185" s="21"/>
    </row>
    <row r="186" spans="1:12" x14ac:dyDescent="0.2">
      <c r="C186" s="19"/>
      <c r="D186" s="62"/>
      <c r="L186" s="21"/>
    </row>
    <row r="187" spans="1:12" x14ac:dyDescent="0.2">
      <c r="A187" s="18" t="s">
        <v>121</v>
      </c>
      <c r="B187" s="40">
        <v>0.03</v>
      </c>
      <c r="C187" s="48">
        <v>0.03</v>
      </c>
      <c r="L187" s="21"/>
    </row>
    <row r="188" spans="1:12" x14ac:dyDescent="0.2">
      <c r="C188" s="19"/>
      <c r="D188" s="62"/>
      <c r="L188" s="21"/>
    </row>
    <row r="189" spans="1:12" ht="17" x14ac:dyDescent="0.2">
      <c r="A189" s="57" t="s">
        <v>124</v>
      </c>
      <c r="B189" s="35">
        <v>300</v>
      </c>
      <c r="C189" s="47">
        <v>300</v>
      </c>
      <c r="D189" s="62" t="s">
        <v>130</v>
      </c>
      <c r="L189" s="21"/>
    </row>
    <row r="190" spans="1:12" x14ac:dyDescent="0.2">
      <c r="A190" s="18"/>
      <c r="C190" s="19"/>
      <c r="D190" s="62"/>
      <c r="L190" s="21"/>
    </row>
    <row r="191" spans="1:12" x14ac:dyDescent="0.2">
      <c r="A191" s="18" t="s">
        <v>76</v>
      </c>
      <c r="B191" s="35">
        <v>40000</v>
      </c>
      <c r="C191" s="47">
        <v>40000</v>
      </c>
      <c r="D191" s="62" t="s">
        <v>129</v>
      </c>
      <c r="L191" s="21"/>
    </row>
    <row r="192" spans="1:12" x14ac:dyDescent="0.2">
      <c r="C192" s="19"/>
      <c r="D192" s="62"/>
      <c r="L192" s="21"/>
    </row>
    <row r="193" spans="1:13" x14ac:dyDescent="0.2">
      <c r="A193" s="18" t="s">
        <v>132</v>
      </c>
      <c r="B193" s="40">
        <v>0.05</v>
      </c>
      <c r="C193" s="48">
        <v>0.05</v>
      </c>
      <c r="D193" s="62" t="s">
        <v>131</v>
      </c>
      <c r="L193" s="21"/>
    </row>
    <row r="194" spans="1:13" x14ac:dyDescent="0.2">
      <c r="A194" s="55"/>
      <c r="C194" s="19"/>
      <c r="L194" s="21"/>
    </row>
    <row r="195" spans="1:13" x14ac:dyDescent="0.2">
      <c r="A195" s="18" t="s">
        <v>133</v>
      </c>
      <c r="B195" s="40">
        <v>0.15</v>
      </c>
      <c r="C195" s="48">
        <v>0.15</v>
      </c>
      <c r="D195" s="62" t="s">
        <v>134</v>
      </c>
      <c r="L195" s="21"/>
    </row>
    <row r="196" spans="1:13" x14ac:dyDescent="0.2">
      <c r="C196" s="19"/>
      <c r="L196" s="21"/>
      <c r="M196" s="19"/>
    </row>
    <row r="197" spans="1:13" ht="17" x14ac:dyDescent="0.2">
      <c r="A197" s="57" t="s">
        <v>135</v>
      </c>
      <c r="C197" s="19"/>
      <c r="D197" s="65"/>
      <c r="L197" s="21"/>
      <c r="M197" s="19"/>
    </row>
    <row r="198" spans="1:13" x14ac:dyDescent="0.2">
      <c r="A198" s="58" t="str">
        <f>B60</f>
        <v>Sliema</v>
      </c>
      <c r="B198" s="43">
        <v>5</v>
      </c>
      <c r="C198" s="19">
        <f t="shared" ref="C198" si="0">IF(F198&lt;=0,"",_xlfn.RANK.EQ(F198,$F$198:$F$202,1)-COUNTIF($F$198:$F$202,0))</f>
        <v>5</v>
      </c>
      <c r="D198" s="62" t="s">
        <v>136</v>
      </c>
      <c r="F198" s="75">
        <f>B61</f>
        <v>300000</v>
      </c>
      <c r="L198" s="21"/>
    </row>
    <row r="199" spans="1:13" x14ac:dyDescent="0.2">
      <c r="A199" s="58" t="str">
        <f>B65</f>
        <v>Gzira</v>
      </c>
      <c r="B199" s="43">
        <v>3</v>
      </c>
      <c r="C199" s="19">
        <f>IF(F199&lt;=0,"",_xlfn.RANK.EQ(F199,$F$198:$F$202,1)-COUNTIF($F$198:$F$202,0))</f>
        <v>3</v>
      </c>
      <c r="D199" s="66"/>
      <c r="F199" s="75">
        <f>B66</f>
        <v>150000</v>
      </c>
      <c r="L199" s="21"/>
    </row>
    <row r="200" spans="1:13" x14ac:dyDescent="0.2">
      <c r="A200" s="58" t="str">
        <f>B70</f>
        <v>Qormi</v>
      </c>
      <c r="B200" s="43">
        <v>4</v>
      </c>
      <c r="C200" s="19">
        <f t="shared" ref="C200:C202" si="1">IF(F200&lt;=0,"",_xlfn.RANK.EQ(F200,$F$198:$F$202,1)-COUNTIF($F$198:$F$202,0))</f>
        <v>4</v>
      </c>
      <c r="D200" s="66"/>
      <c r="F200" s="75">
        <f>B71</f>
        <v>220000</v>
      </c>
      <c r="L200" s="21"/>
    </row>
    <row r="201" spans="1:13" x14ac:dyDescent="0.2">
      <c r="A201" s="58" t="str">
        <f>B75</f>
        <v>Gudja</v>
      </c>
      <c r="B201" s="43">
        <v>1</v>
      </c>
      <c r="C201" s="19">
        <f t="shared" si="1"/>
        <v>1</v>
      </c>
      <c r="D201" s="66"/>
      <c r="F201" s="76">
        <f>B76</f>
        <v>80000</v>
      </c>
      <c r="L201" s="21"/>
    </row>
    <row r="202" spans="1:13" x14ac:dyDescent="0.2">
      <c r="A202" s="58" t="str">
        <f>B80</f>
        <v>Marsa</v>
      </c>
      <c r="B202" s="43">
        <v>2</v>
      </c>
      <c r="C202" s="19">
        <f t="shared" si="1"/>
        <v>2</v>
      </c>
      <c r="D202" s="66"/>
      <c r="F202" s="76">
        <f>B81</f>
        <v>120000</v>
      </c>
      <c r="L202" s="21"/>
    </row>
    <row r="203" spans="1:13" x14ac:dyDescent="0.2">
      <c r="A203" s="77"/>
      <c r="B203" s="33"/>
      <c r="C203" s="78"/>
      <c r="L203" s="21"/>
    </row>
    <row r="204" spans="1:13" x14ac:dyDescent="0.2">
      <c r="L204" s="21"/>
    </row>
    <row r="205" spans="1:13" x14ac:dyDescent="0.2">
      <c r="A205" s="34" t="s">
        <v>181</v>
      </c>
      <c r="B205" s="19">
        <f ca="1">13-MONTH(TODAY())</f>
        <v>10</v>
      </c>
      <c r="D205" s="21"/>
      <c r="L205" s="21"/>
    </row>
    <row r="206" spans="1:13" x14ac:dyDescent="0.2">
      <c r="A206" s="34" t="s">
        <v>182</v>
      </c>
      <c r="B206" s="19">
        <f ca="1">B205-12</f>
        <v>-2</v>
      </c>
      <c r="L206" s="21"/>
    </row>
    <row r="207" spans="1:13" x14ac:dyDescent="0.2">
      <c r="A207" s="34" t="s">
        <v>183</v>
      </c>
      <c r="B207" s="79">
        <f ca="1">B205/12</f>
        <v>0.83333333333333337</v>
      </c>
      <c r="L207" s="21"/>
    </row>
    <row r="208" spans="1:13" x14ac:dyDescent="0.2">
      <c r="A208" s="34"/>
      <c r="L208" s="21"/>
    </row>
    <row r="209" spans="1:1" x14ac:dyDescent="0.2">
      <c r="A209" s="34"/>
    </row>
    <row r="210" spans="1:1" x14ac:dyDescent="0.2">
      <c r="A210" s="34"/>
    </row>
    <row r="211" spans="1:1" x14ac:dyDescent="0.2">
      <c r="A211" s="34"/>
    </row>
    <row r="212" spans="1:1" x14ac:dyDescent="0.2">
      <c r="A212" s="34"/>
    </row>
    <row r="213" spans="1:1" x14ac:dyDescent="0.2">
      <c r="A213" s="34"/>
    </row>
  </sheetData>
  <phoneticPr fontId="4" type="noConversion"/>
  <dataValidations count="6">
    <dataValidation type="list" allowBlank="1" showInputMessage="1" showErrorMessage="1" sqref="B198:B202" xr:uid="{1C76E72A-4A74-9342-9CD6-96E686486B37}">
      <formula1>"0,1,2,3"</formula1>
    </dataValidation>
    <dataValidation type="whole" allowBlank="1" showInputMessage="1" showErrorMessage="1" sqref="B4:C4" xr:uid="{CEBCBBEB-61E4-314B-B9D6-B93D3329E6F5}">
      <formula1>18</formula1>
      <formula2>100</formula2>
    </dataValidation>
    <dataValidation type="decimal" allowBlank="1" showInputMessage="1" showErrorMessage="1" sqref="B179:C179" xr:uid="{A76CC167-ADB1-954D-BA8F-57DA6856622B}">
      <formula1>0</formula1>
      <formula2>0.5</formula2>
    </dataValidation>
    <dataValidation type="whole" allowBlank="1" showInputMessage="1" showErrorMessage="1" sqref="B35:C35 B40:C40 B45:C45 B50:C50 B55:C55" xr:uid="{A3B04CD6-6A0C-9D4A-960A-19DFAACFBC84}">
      <formula1>1</formula1>
      <formula2>99</formula2>
    </dataValidation>
    <dataValidation type="custom" allowBlank="1" showInputMessage="1" showErrorMessage="1" sqref="C166" xr:uid="{78711C78-86C7-AC4E-B0D1-FA577F555676}">
      <formula1>AND(C166&gt;I4,C166&lt;=100)</formula1>
    </dataValidation>
    <dataValidation type="custom" allowBlank="1" showInputMessage="1" showErrorMessage="1" sqref="B166" xr:uid="{CFCAF581-183B-7347-97B6-0AC7B0FFD5E6}">
      <formula1>AND(B166&gt;B4,B166&lt;=100)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6C8C7B-D167-A641-8E52-8DBE60839A73}">
  <sheetPr codeName="Sheet6">
    <tabColor theme="7" tint="0.79998168889431442"/>
  </sheetPr>
  <dimension ref="J2:AA13"/>
  <sheetViews>
    <sheetView showGridLines="0" zoomScale="111" zoomScaleNormal="110" workbookViewId="0">
      <selection activeCell="V10" sqref="V10"/>
    </sheetView>
  </sheetViews>
  <sheetFormatPr baseColWidth="10" defaultColWidth="11.1640625" defaultRowHeight="16" x14ac:dyDescent="0.2"/>
  <cols>
    <col min="21" max="21" width="11.5" customWidth="1"/>
    <col min="22" max="22" width="8.6640625" customWidth="1"/>
    <col min="23" max="27" width="0" hidden="1" customWidth="1"/>
  </cols>
  <sheetData>
    <row r="2" spans="10:27" ht="19" x14ac:dyDescent="0.25">
      <c r="V2" s="59" t="s">
        <v>157</v>
      </c>
      <c r="AA2" s="2" t="str">
        <f>"Retire at  "&amp;RetEarly_Engine!B3</f>
        <v>Retire at  52</v>
      </c>
    </row>
    <row r="3" spans="10:27" x14ac:dyDescent="0.2">
      <c r="V3" s="80">
        <f>RetEarly_Engine!B3</f>
        <v>52</v>
      </c>
      <c r="AA3" s="2" t="str">
        <f>"Retire at  "&amp;RetAge</f>
        <v>Retire at  65</v>
      </c>
    </row>
    <row r="4" spans="10:27" x14ac:dyDescent="0.2">
      <c r="K4" s="2"/>
      <c r="V4" s="80"/>
    </row>
    <row r="13" spans="10:27" x14ac:dyDescent="0.2">
      <c r="J13" s="13"/>
    </row>
  </sheetData>
  <mergeCells count="1">
    <mergeCell ref="V3:V4"/>
  </mergeCells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49" r:id="rId3" name="Spinner 1">
              <controlPr defaultSize="0" autoPict="0">
                <anchor moveWithCells="1" sizeWithCells="1">
                  <from>
                    <xdr:col>21</xdr:col>
                    <xdr:colOff>38100</xdr:colOff>
                    <xdr:row>4</xdr:row>
                    <xdr:rowOff>63500</xdr:rowOff>
                  </from>
                  <to>
                    <xdr:col>21</xdr:col>
                    <xdr:colOff>660400</xdr:colOff>
                    <xdr:row>9</xdr:row>
                    <xdr:rowOff>63500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F5D27E-B873-BD4B-AD92-1E837389CA3B}">
  <sheetPr codeName="Sheet2"/>
  <dimension ref="A1:AM394"/>
  <sheetViews>
    <sheetView zoomScale="120" zoomScaleNormal="120" workbookViewId="0">
      <pane xSplit="1" ySplit="3" topLeftCell="B353" activePane="bottomRight" state="frozen"/>
      <selection activeCell="A246" sqref="A246:XFD253"/>
      <selection pane="topRight" activeCell="A246" sqref="A246:XFD253"/>
      <selection pane="bottomLeft" activeCell="A246" sqref="A246:XFD253"/>
      <selection pane="bottomRight" activeCell="A4" sqref="A4:XFD354"/>
    </sheetView>
  </sheetViews>
  <sheetFormatPr baseColWidth="10" defaultRowHeight="16" x14ac:dyDescent="0.2"/>
  <cols>
    <col min="1" max="1" width="39.33203125" style="2" customWidth="1"/>
    <col min="2" max="2" width="4.33203125" style="6" customWidth="1"/>
    <col min="3" max="39" width="11.83203125" style="2" customWidth="1"/>
    <col min="40" max="2605" width="11.83203125" customWidth="1"/>
  </cols>
  <sheetData>
    <row r="1" spans="1:39" x14ac:dyDescent="0.2">
      <c r="B1" s="5">
        <v>0</v>
      </c>
      <c r="C1" s="2">
        <v>1</v>
      </c>
      <c r="D1" s="2">
        <f>C1+1</f>
        <v>2</v>
      </c>
      <c r="E1" s="2">
        <f t="shared" ref="E1:I2" si="0">D1+1</f>
        <v>3</v>
      </c>
      <c r="F1" s="2">
        <f t="shared" si="0"/>
        <v>4</v>
      </c>
      <c r="G1" s="2">
        <f t="shared" si="0"/>
        <v>5</v>
      </c>
      <c r="H1" s="2">
        <f t="shared" si="0"/>
        <v>6</v>
      </c>
      <c r="I1" s="2">
        <f t="shared" si="0"/>
        <v>7</v>
      </c>
      <c r="J1" s="2">
        <f t="shared" ref="J1:J3" si="1">I1+1</f>
        <v>8</v>
      </c>
      <c r="K1" s="2">
        <f t="shared" ref="K1:K3" si="2">J1+1</f>
        <v>9</v>
      </c>
      <c r="L1" s="2">
        <f t="shared" ref="L1:L3" si="3">K1+1</f>
        <v>10</v>
      </c>
      <c r="M1" s="2">
        <f t="shared" ref="M1:M3" si="4">L1+1</f>
        <v>11</v>
      </c>
      <c r="N1" s="2">
        <f t="shared" ref="N1:N3" si="5">M1+1</f>
        <v>12</v>
      </c>
      <c r="O1" s="2">
        <f t="shared" ref="O1:O3" si="6">N1+1</f>
        <v>13</v>
      </c>
      <c r="P1" s="2">
        <f t="shared" ref="P1:P3" si="7">O1+1</f>
        <v>14</v>
      </c>
      <c r="Q1" s="2">
        <f t="shared" ref="Q1:Q3" si="8">P1+1</f>
        <v>15</v>
      </c>
      <c r="R1" s="2">
        <f t="shared" ref="R1:R3" si="9">Q1+1</f>
        <v>16</v>
      </c>
      <c r="S1" s="2">
        <f t="shared" ref="S1:S3" si="10">R1+1</f>
        <v>17</v>
      </c>
      <c r="T1" s="2">
        <f t="shared" ref="T1:T3" si="11">S1+1</f>
        <v>18</v>
      </c>
      <c r="U1" s="2">
        <f t="shared" ref="U1:U3" si="12">T1+1</f>
        <v>19</v>
      </c>
      <c r="V1" s="2">
        <f t="shared" ref="V1:V3" si="13">U1+1</f>
        <v>20</v>
      </c>
      <c r="W1" s="2">
        <f t="shared" ref="W1:W3" si="14">V1+1</f>
        <v>21</v>
      </c>
      <c r="X1" s="2">
        <f t="shared" ref="X1:X3" si="15">W1+1</f>
        <v>22</v>
      </c>
      <c r="Y1" s="2">
        <f t="shared" ref="Y1:Y3" si="16">X1+1</f>
        <v>23</v>
      </c>
      <c r="Z1" s="2">
        <f t="shared" ref="Z1:Z3" si="17">Y1+1</f>
        <v>24</v>
      </c>
      <c r="AA1" s="2">
        <f t="shared" ref="AA1:AA3" si="18">Z1+1</f>
        <v>25</v>
      </c>
      <c r="AB1" s="2">
        <f t="shared" ref="AB1:AB3" si="19">AA1+1</f>
        <v>26</v>
      </c>
      <c r="AC1" s="2">
        <f t="shared" ref="AC1:AC3" si="20">AB1+1</f>
        <v>27</v>
      </c>
      <c r="AD1" s="2">
        <f t="shared" ref="AD1:AD3" si="21">AC1+1</f>
        <v>28</v>
      </c>
      <c r="AE1" s="2">
        <f t="shared" ref="AE1:AE3" si="22">AD1+1</f>
        <v>29</v>
      </c>
      <c r="AF1" s="2">
        <f t="shared" ref="AF1:AF3" si="23">AE1+1</f>
        <v>30</v>
      </c>
      <c r="AG1" s="2">
        <f t="shared" ref="AG1:AG3" si="24">AF1+1</f>
        <v>31</v>
      </c>
      <c r="AH1" s="2">
        <f t="shared" ref="AH1:AH3" si="25">AG1+1</f>
        <v>32</v>
      </c>
      <c r="AI1" s="2">
        <f t="shared" ref="AI1:AI3" si="26">AH1+1</f>
        <v>33</v>
      </c>
      <c r="AJ1" s="2">
        <f t="shared" ref="AJ1:AJ3" si="27">AI1+1</f>
        <v>34</v>
      </c>
      <c r="AK1" s="2">
        <f t="shared" ref="AK1:AK3" si="28">AJ1+1</f>
        <v>35</v>
      </c>
      <c r="AL1" s="2">
        <f t="shared" ref="AL1:AL3" si="29">AK1+1</f>
        <v>36</v>
      </c>
      <c r="AM1" s="2">
        <f t="shared" ref="AM1:AM3" si="30">AL1+1</f>
        <v>37</v>
      </c>
    </row>
    <row r="2" spans="1:39" x14ac:dyDescent="0.2">
      <c r="A2" s="10"/>
      <c r="B2" s="5" t="s">
        <v>6</v>
      </c>
      <c r="C2" s="2">
        <f ca="1">YEAR(TODAY())</f>
        <v>2026</v>
      </c>
      <c r="D2" s="2">
        <f ca="1">C2+1</f>
        <v>2027</v>
      </c>
      <c r="E2" s="2">
        <f t="shared" ca="1" si="0"/>
        <v>2028</v>
      </c>
      <c r="F2" s="2">
        <f t="shared" ca="1" si="0"/>
        <v>2029</v>
      </c>
      <c r="G2" s="2">
        <f t="shared" ca="1" si="0"/>
        <v>2030</v>
      </c>
      <c r="H2" s="2">
        <f t="shared" ca="1" si="0"/>
        <v>2031</v>
      </c>
      <c r="I2" s="2">
        <f t="shared" ca="1" si="0"/>
        <v>2032</v>
      </c>
      <c r="J2" s="2">
        <f t="shared" ca="1" si="1"/>
        <v>2033</v>
      </c>
      <c r="K2" s="2">
        <f t="shared" ca="1" si="2"/>
        <v>2034</v>
      </c>
      <c r="L2" s="2">
        <f t="shared" ca="1" si="3"/>
        <v>2035</v>
      </c>
      <c r="M2" s="2">
        <f t="shared" ca="1" si="4"/>
        <v>2036</v>
      </c>
      <c r="N2" s="2">
        <f t="shared" ca="1" si="5"/>
        <v>2037</v>
      </c>
      <c r="O2" s="2">
        <f t="shared" ca="1" si="6"/>
        <v>2038</v>
      </c>
      <c r="P2" s="2">
        <f t="shared" ca="1" si="7"/>
        <v>2039</v>
      </c>
      <c r="Q2" s="2">
        <f t="shared" ca="1" si="8"/>
        <v>2040</v>
      </c>
      <c r="R2" s="2">
        <f t="shared" ca="1" si="9"/>
        <v>2041</v>
      </c>
      <c r="S2" s="2">
        <f t="shared" ca="1" si="10"/>
        <v>2042</v>
      </c>
      <c r="T2" s="2">
        <f t="shared" ca="1" si="11"/>
        <v>2043</v>
      </c>
      <c r="U2" s="2">
        <f t="shared" ca="1" si="12"/>
        <v>2044</v>
      </c>
      <c r="V2" s="2">
        <f t="shared" ca="1" si="13"/>
        <v>2045</v>
      </c>
      <c r="W2" s="2">
        <f t="shared" ca="1" si="14"/>
        <v>2046</v>
      </c>
      <c r="X2" s="2">
        <f t="shared" ca="1" si="15"/>
        <v>2047</v>
      </c>
      <c r="Y2" s="2">
        <f t="shared" ca="1" si="16"/>
        <v>2048</v>
      </c>
      <c r="Z2" s="2">
        <f t="shared" ca="1" si="17"/>
        <v>2049</v>
      </c>
      <c r="AA2" s="2">
        <f t="shared" ca="1" si="18"/>
        <v>2050</v>
      </c>
      <c r="AB2" s="2">
        <f t="shared" ca="1" si="19"/>
        <v>2051</v>
      </c>
      <c r="AC2" s="2">
        <f t="shared" ca="1" si="20"/>
        <v>2052</v>
      </c>
      <c r="AD2" s="2">
        <f t="shared" ca="1" si="21"/>
        <v>2053</v>
      </c>
      <c r="AE2" s="2">
        <f t="shared" ca="1" si="22"/>
        <v>2054</v>
      </c>
      <c r="AF2" s="2">
        <f t="shared" ca="1" si="23"/>
        <v>2055</v>
      </c>
      <c r="AG2" s="2">
        <f t="shared" ca="1" si="24"/>
        <v>2056</v>
      </c>
      <c r="AH2" s="2">
        <f t="shared" ca="1" si="25"/>
        <v>2057</v>
      </c>
      <c r="AI2" s="2">
        <f t="shared" ca="1" si="26"/>
        <v>2058</v>
      </c>
      <c r="AJ2" s="2">
        <f t="shared" ca="1" si="27"/>
        <v>2059</v>
      </c>
      <c r="AK2" s="2">
        <f t="shared" ca="1" si="28"/>
        <v>2060</v>
      </c>
      <c r="AL2" s="2">
        <f t="shared" ca="1" si="29"/>
        <v>2061</v>
      </c>
      <c r="AM2" s="2">
        <f t="shared" ca="1" si="30"/>
        <v>2062</v>
      </c>
    </row>
    <row r="3" spans="1:39" x14ac:dyDescent="0.2">
      <c r="A3" s="31"/>
      <c r="B3" s="32">
        <f>Inputs!B19</f>
        <v>65</v>
      </c>
      <c r="C3" s="2">
        <f>Inputs!B4</f>
        <v>48</v>
      </c>
      <c r="D3" s="2">
        <f>C3+1</f>
        <v>49</v>
      </c>
      <c r="E3" s="2">
        <f t="shared" ref="E3:I3" si="31">D3+1</f>
        <v>50</v>
      </c>
      <c r="F3" s="2">
        <f t="shared" si="31"/>
        <v>51</v>
      </c>
      <c r="G3" s="2">
        <f t="shared" si="31"/>
        <v>52</v>
      </c>
      <c r="H3" s="2">
        <f t="shared" si="31"/>
        <v>53</v>
      </c>
      <c r="I3" s="2">
        <f t="shared" si="31"/>
        <v>54</v>
      </c>
      <c r="J3" s="2">
        <f t="shared" si="1"/>
        <v>55</v>
      </c>
      <c r="K3" s="2">
        <f t="shared" si="2"/>
        <v>56</v>
      </c>
      <c r="L3" s="2">
        <f t="shared" si="3"/>
        <v>57</v>
      </c>
      <c r="M3" s="2">
        <f t="shared" si="4"/>
        <v>58</v>
      </c>
      <c r="N3" s="2">
        <f t="shared" si="5"/>
        <v>59</v>
      </c>
      <c r="O3" s="2">
        <f t="shared" si="6"/>
        <v>60</v>
      </c>
      <c r="P3" s="2">
        <f t="shared" si="7"/>
        <v>61</v>
      </c>
      <c r="Q3" s="2">
        <f t="shared" si="8"/>
        <v>62</v>
      </c>
      <c r="R3" s="2">
        <f t="shared" si="9"/>
        <v>63</v>
      </c>
      <c r="S3" s="2">
        <f t="shared" si="10"/>
        <v>64</v>
      </c>
      <c r="T3" s="2">
        <f t="shared" si="11"/>
        <v>65</v>
      </c>
      <c r="U3" s="2">
        <f t="shared" si="12"/>
        <v>66</v>
      </c>
      <c r="V3" s="2">
        <f t="shared" si="13"/>
        <v>67</v>
      </c>
      <c r="W3" s="2">
        <f t="shared" si="14"/>
        <v>68</v>
      </c>
      <c r="X3" s="2">
        <f t="shared" si="15"/>
        <v>69</v>
      </c>
      <c r="Y3" s="2">
        <f t="shared" si="16"/>
        <v>70</v>
      </c>
      <c r="Z3" s="2">
        <f t="shared" si="17"/>
        <v>71</v>
      </c>
      <c r="AA3" s="2">
        <f t="shared" si="18"/>
        <v>72</v>
      </c>
      <c r="AB3" s="2">
        <f t="shared" si="19"/>
        <v>73</v>
      </c>
      <c r="AC3" s="2">
        <f t="shared" si="20"/>
        <v>74</v>
      </c>
      <c r="AD3" s="2">
        <f t="shared" si="21"/>
        <v>75</v>
      </c>
      <c r="AE3" s="2">
        <f t="shared" si="22"/>
        <v>76</v>
      </c>
      <c r="AF3" s="2">
        <f t="shared" si="23"/>
        <v>77</v>
      </c>
      <c r="AG3" s="2">
        <f t="shared" si="24"/>
        <v>78</v>
      </c>
      <c r="AH3" s="2">
        <f t="shared" si="25"/>
        <v>79</v>
      </c>
      <c r="AI3" s="2">
        <f t="shared" si="26"/>
        <v>80</v>
      </c>
      <c r="AJ3" s="2">
        <f t="shared" si="27"/>
        <v>81</v>
      </c>
      <c r="AK3" s="2">
        <f t="shared" si="28"/>
        <v>82</v>
      </c>
      <c r="AL3" s="2">
        <f t="shared" si="29"/>
        <v>83</v>
      </c>
      <c r="AM3" s="2">
        <f t="shared" si="30"/>
        <v>84</v>
      </c>
    </row>
    <row r="4" spans="1:39" ht="19" x14ac:dyDescent="0.25">
      <c r="A4" s="12" t="s">
        <v>17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</row>
    <row r="5" spans="1:39" x14ac:dyDescent="0.2">
      <c r="A5" s="4" t="s">
        <v>47</v>
      </c>
      <c r="B5" s="8"/>
      <c r="C5" s="7">
        <f ca="1">IF(AND(Inputs!$B$19&gt;C3,$B$3&gt;C3),Inputs!$B$6*(1+sincr)^B1,0)*ProRate</f>
        <v>66666.666666666672</v>
      </c>
      <c r="D5" s="7">
        <f>IF(AND(Inputs!$B$19&gt;D3,$B$3&gt;D3),Inputs!$B$6*(1+sincr)^C1,0)</f>
        <v>82400</v>
      </c>
      <c r="E5" s="7">
        <f>IF(AND(Inputs!$B$19&gt;E3,$B$3&gt;E3),Inputs!$B$6*(1+sincr)^D1,0)</f>
        <v>84872</v>
      </c>
      <c r="F5" s="7">
        <f>IF(AND(Inputs!$B$19&gt;F3,$B$3&gt;F3),Inputs!$B$6*(1+sincr)^E1,0)</f>
        <v>87418.16</v>
      </c>
      <c r="G5" s="7">
        <f>IF(AND(Inputs!$B$19&gt;G3,$B$3&gt;G3),Inputs!$B$6*(1+sincr)^F1,0)</f>
        <v>90040.704799999992</v>
      </c>
      <c r="H5" s="7">
        <f>IF(AND(Inputs!$B$19&gt;H3,$B$3&gt;H3),Inputs!$B$6*(1+sincr)^G1,0)</f>
        <v>92741.925943999988</v>
      </c>
      <c r="I5" s="7">
        <f>IF(AND(Inputs!$B$19&gt;I3,$B$3&gt;I3),Inputs!$B$6*(1+sincr)^H1,0)</f>
        <v>95524.183722319998</v>
      </c>
      <c r="J5" s="7">
        <f>IF(AND(Inputs!$B$19&gt;J3,$B$3&gt;J3),Inputs!$B$6*(1+sincr)^I1,0)</f>
        <v>98389.909233989601</v>
      </c>
      <c r="K5" s="7">
        <f>IF(AND(Inputs!$B$19&gt;K3,$B$3&gt;K3),Inputs!$B$6*(1+sincr)^J1,0)</f>
        <v>101341.60651100927</v>
      </c>
      <c r="L5" s="7">
        <f>IF(AND(Inputs!$B$19&gt;L3,$B$3&gt;L3),Inputs!$B$6*(1+sincr)^K1,0)</f>
        <v>104381.85470633955</v>
      </c>
      <c r="M5" s="7">
        <f>IF(AND(Inputs!$B$19&gt;M3,$B$3&gt;M3),Inputs!$B$6*(1+sincr)^L1,0)</f>
        <v>107513.31034752974</v>
      </c>
      <c r="N5" s="7">
        <f>IF(AND(Inputs!$B$19&gt;N3,$B$3&gt;N3),Inputs!$B$6*(1+sincr)^M1,0)</f>
        <v>110738.70965795564</v>
      </c>
      <c r="O5" s="7">
        <f>IF(AND(Inputs!$B$19&gt;O3,$B$3&gt;O3),Inputs!$B$6*(1+sincr)^N1,0)</f>
        <v>114060.87094769429</v>
      </c>
      <c r="P5" s="7">
        <f>IF(AND(Inputs!$B$19&gt;P3,$B$3&gt;P3),Inputs!$B$6*(1+sincr)^O1,0)</f>
        <v>117482.69707612511</v>
      </c>
      <c r="Q5" s="7">
        <f>IF(AND(Inputs!$B$19&gt;Q3,$B$3&gt;Q3),Inputs!$B$6*(1+sincr)^P1,0)</f>
        <v>121007.17798840888</v>
      </c>
      <c r="R5" s="7">
        <f>IF(AND(Inputs!$B$19&gt;R3,$B$3&gt;R3),Inputs!$B$6*(1+sincr)^Q1,0)</f>
        <v>124637.39332806115</v>
      </c>
      <c r="S5" s="7">
        <f>IF(AND(Inputs!$B$19&gt;S3,$B$3&gt;S3),Inputs!$B$6*(1+sincr)^R1,0)</f>
        <v>128376.51512790297</v>
      </c>
      <c r="T5" s="7">
        <f>IF(AND(Inputs!$B$19&gt;T3,$B$3&gt;T3),Inputs!$B$6*(1+sincr)^S1,0)</f>
        <v>0</v>
      </c>
      <c r="U5" s="7">
        <f>IF(AND(Inputs!$B$19&gt;U3,$B$3&gt;U3),Inputs!$B$6*(1+sincr)^T1,0)</f>
        <v>0</v>
      </c>
      <c r="V5" s="7">
        <f>IF(AND(Inputs!$B$19&gt;V3,$B$3&gt;V3),Inputs!$B$6*(1+sincr)^U1,0)</f>
        <v>0</v>
      </c>
      <c r="W5" s="7">
        <f>IF(AND(Inputs!$B$19&gt;W3,$B$3&gt;W3),Inputs!$B$6*(1+sincr)^V1,0)</f>
        <v>0</v>
      </c>
      <c r="X5" s="7">
        <f>IF(AND(Inputs!$B$19&gt;X3,$B$3&gt;X3),Inputs!$B$6*(1+sincr)^W1,0)</f>
        <v>0</v>
      </c>
      <c r="Y5" s="7">
        <f>IF(AND(Inputs!$B$19&gt;Y3,$B$3&gt;Y3),Inputs!$B$6*(1+sincr)^X1,0)</f>
        <v>0</v>
      </c>
      <c r="Z5" s="7">
        <f>IF(AND(Inputs!$B$19&gt;Z3,$B$3&gt;Z3),Inputs!$B$6*(1+sincr)^Y1,0)</f>
        <v>0</v>
      </c>
      <c r="AA5" s="7">
        <f>IF(AND(Inputs!$B$19&gt;AA3,$B$3&gt;AA3),Inputs!$B$6*(1+sincr)^Z1,0)</f>
        <v>0</v>
      </c>
      <c r="AB5" s="7">
        <f>IF(AND(Inputs!$B$19&gt;AB3,$B$3&gt;AB3),Inputs!$B$6*(1+sincr)^AA1,0)</f>
        <v>0</v>
      </c>
      <c r="AC5" s="7">
        <f>IF(AND(Inputs!$B$19&gt;AC3,$B$3&gt;AC3),Inputs!$B$6*(1+sincr)^AB1,0)</f>
        <v>0</v>
      </c>
      <c r="AD5" s="7">
        <f>IF(AND(Inputs!$B$19&gt;AD3,$B$3&gt;AD3),Inputs!$B$6*(1+sincr)^AC1,0)</f>
        <v>0</v>
      </c>
      <c r="AE5" s="7">
        <f>IF(AND(Inputs!$B$19&gt;AE3,$B$3&gt;AE3),Inputs!$B$6*(1+sincr)^AD1,0)</f>
        <v>0</v>
      </c>
      <c r="AF5" s="7">
        <f>IF(AND(Inputs!$B$19&gt;AF3,$B$3&gt;AF3),Inputs!$B$6*(1+sincr)^AE1,0)</f>
        <v>0</v>
      </c>
      <c r="AG5" s="7">
        <f>IF(AND(Inputs!$B$19&gt;AG3,$B$3&gt;AG3),Inputs!$B$6*(1+sincr)^AF1,0)</f>
        <v>0</v>
      </c>
      <c r="AH5" s="7">
        <f>IF(AND(Inputs!$B$19&gt;AH3,$B$3&gt;AH3),Inputs!$B$6*(1+sincr)^AG1,0)</f>
        <v>0</v>
      </c>
      <c r="AI5" s="7">
        <f>IF(AND(Inputs!$B$19&gt;AI3,$B$3&gt;AI3),Inputs!$B$6*(1+sincr)^AH1,0)</f>
        <v>0</v>
      </c>
      <c r="AJ5" s="7">
        <f>IF(AND(Inputs!$B$19&gt;AJ3,$B$3&gt;AJ3),Inputs!$B$6*(1+sincr)^AI1,0)</f>
        <v>0</v>
      </c>
      <c r="AK5" s="7">
        <f>IF(AND(Inputs!$B$19&gt;AK3,$B$3&gt;AK3),Inputs!$B$6*(1+sincr)^AJ1,0)</f>
        <v>0</v>
      </c>
      <c r="AL5" s="7">
        <f>IF(AND(Inputs!$B$19&gt;AL3,$B$3&gt;AL3),Inputs!$B$6*(1+sincr)^AK1,0)</f>
        <v>0</v>
      </c>
      <c r="AM5" s="7">
        <f>IF(AND(Inputs!$B$19&gt;AM3,$B$3&gt;AM3),Inputs!$B$6*(1+sincr)^AL1,0)</f>
        <v>0</v>
      </c>
    </row>
    <row r="6" spans="1:39" x14ac:dyDescent="0.2">
      <c r="A6" s="4" t="s">
        <v>14</v>
      </c>
      <c r="B6" s="8"/>
      <c r="C6" s="7">
        <f ca="1">IF(C$3&lt;=Inputs!$B$93,Inputs!$B$92,0)*(1+inf)^B$1*ProRate</f>
        <v>1666.6666666666667</v>
      </c>
      <c r="D6" s="7">
        <f>IF(D$3&lt;=Inputs!$B$93,Inputs!$B$92,0)*(1+inf)^C$1</f>
        <v>2050</v>
      </c>
      <c r="E6" s="7">
        <f>IF(E$3&lt;=Inputs!$B$93,Inputs!$B$92,0)*(1+inf)^D$1</f>
        <v>2101.25</v>
      </c>
      <c r="F6" s="7">
        <f>IF(F$3&lt;=Inputs!$B$93,Inputs!$B$92,0)*(1+inf)^E$1</f>
        <v>2153.7812499999995</v>
      </c>
      <c r="G6" s="7">
        <f>IF(G$3&lt;=Inputs!$B$93,Inputs!$B$92,0)*(1+inf)^F$1</f>
        <v>2207.6257812499994</v>
      </c>
      <c r="H6" s="7">
        <f>IF(H$3&lt;=Inputs!$B$93,Inputs!$B$92,0)*(1+inf)^G$1</f>
        <v>2262.8164257812491</v>
      </c>
      <c r="I6" s="7">
        <f>IF(I$3&lt;=Inputs!$B$93,Inputs!$B$92,0)*(1+inf)^H$1</f>
        <v>2319.3868364257805</v>
      </c>
      <c r="J6" s="7">
        <f>IF(J$3&lt;=Inputs!$B$93,Inputs!$B$92,0)*(1+inf)^I$1</f>
        <v>2377.3715073364251</v>
      </c>
      <c r="K6" s="7">
        <f>IF(K$3&lt;=Inputs!$B$93,Inputs!$B$92,0)*(1+inf)^J$1</f>
        <v>2436.8057950198354</v>
      </c>
      <c r="L6" s="7">
        <f>IF(L$3&lt;=Inputs!$B$93,Inputs!$B$92,0)*(1+inf)^K$1</f>
        <v>2497.7259398953311</v>
      </c>
      <c r="M6" s="7">
        <f>IF(M$3&lt;=Inputs!$B$93,Inputs!$B$92,0)*(1+inf)^L$1</f>
        <v>2560.169088392714</v>
      </c>
      <c r="N6" s="7">
        <f>IF(N$3&lt;=Inputs!$B$93,Inputs!$B$92,0)*(1+inf)^M$1</f>
        <v>0</v>
      </c>
      <c r="O6" s="7">
        <f>IF(O$3&lt;=Inputs!$B$93,Inputs!$B$92,0)*(1+inf)^N$1</f>
        <v>0</v>
      </c>
      <c r="P6" s="7">
        <f>IF(P$3&lt;=Inputs!$B$93,Inputs!$B$92,0)*(1+inf)^O$1</f>
        <v>0</v>
      </c>
      <c r="Q6" s="7">
        <f>IF(Q$3&lt;=Inputs!$B$93,Inputs!$B$92,0)*(1+inf)^P$1</f>
        <v>0</v>
      </c>
      <c r="R6" s="7">
        <f>IF(R$3&lt;=Inputs!$B$93,Inputs!$B$92,0)*(1+inf)^Q$1</f>
        <v>0</v>
      </c>
      <c r="S6" s="7">
        <f>IF(S$3&lt;=Inputs!$B$93,Inputs!$B$92,0)*(1+inf)^R$1</f>
        <v>0</v>
      </c>
      <c r="T6" s="7">
        <f>IF(T$3&lt;=Inputs!$B$93,Inputs!$B$92,0)*(1+inf)^S$1</f>
        <v>0</v>
      </c>
      <c r="U6" s="7">
        <f>IF(U$3&lt;=Inputs!$B$93,Inputs!$B$92,0)*(1+inf)^T$1</f>
        <v>0</v>
      </c>
      <c r="V6" s="7">
        <f>IF(V$3&lt;=Inputs!$B$93,Inputs!$B$92,0)*(1+inf)^U$1</f>
        <v>0</v>
      </c>
      <c r="W6" s="7">
        <f>IF(W$3&lt;=Inputs!$B$93,Inputs!$B$92,0)*(1+inf)^V$1</f>
        <v>0</v>
      </c>
      <c r="X6" s="7">
        <f>IF(X$3&lt;=Inputs!$B$93,Inputs!$B$92,0)*(1+inf)^W$1</f>
        <v>0</v>
      </c>
      <c r="Y6" s="7">
        <f>IF(Y$3&lt;=Inputs!$B$93,Inputs!$B$92,0)*(1+inf)^X$1</f>
        <v>0</v>
      </c>
      <c r="Z6" s="7">
        <f>IF(Z$3&lt;=Inputs!$B$93,Inputs!$B$92,0)*(1+inf)^Y$1</f>
        <v>0</v>
      </c>
      <c r="AA6" s="7">
        <f>IF(AA$3&lt;=Inputs!$B$93,Inputs!$B$92,0)*(1+inf)^Z$1</f>
        <v>0</v>
      </c>
      <c r="AB6" s="7">
        <f>IF(AB$3&lt;=Inputs!$B$93,Inputs!$B$92,0)*(1+inf)^AA$1</f>
        <v>0</v>
      </c>
      <c r="AC6" s="7">
        <f>IF(AC$3&lt;=Inputs!$B$93,Inputs!$B$92,0)*(1+inf)^AB$1</f>
        <v>0</v>
      </c>
      <c r="AD6" s="7">
        <f>IF(AD$3&lt;=Inputs!$B$93,Inputs!$B$92,0)*(1+inf)^AC$1</f>
        <v>0</v>
      </c>
      <c r="AE6" s="7">
        <f>IF(AE$3&lt;=Inputs!$B$93,Inputs!$B$92,0)*(1+inf)^AD$1</f>
        <v>0</v>
      </c>
      <c r="AF6" s="7">
        <f>IF(AF$3&lt;=Inputs!$B$93,Inputs!$B$92,0)*(1+inf)^AE$1</f>
        <v>0</v>
      </c>
      <c r="AG6" s="7">
        <f>IF(AG$3&lt;=Inputs!$B$93,Inputs!$B$92,0)*(1+inf)^AF$1</f>
        <v>0</v>
      </c>
      <c r="AH6" s="7">
        <f>IF(AH$3&lt;=Inputs!$B$93,Inputs!$B$92,0)*(1+inf)^AG$1</f>
        <v>0</v>
      </c>
      <c r="AI6" s="7">
        <f>IF(AI$3&lt;=Inputs!$B$93,Inputs!$B$92,0)*(1+inf)^AH$1</f>
        <v>0</v>
      </c>
      <c r="AJ6" s="7">
        <f>IF(AJ$3&lt;=Inputs!$B$93,Inputs!$B$92,0)*(1+inf)^AI$1</f>
        <v>0</v>
      </c>
      <c r="AK6" s="7">
        <f>IF(AK$3&lt;=Inputs!$B$93,Inputs!$B$92,0)*(1+inf)^AJ$1</f>
        <v>0</v>
      </c>
      <c r="AL6" s="7">
        <f>IF(AL$3&lt;=Inputs!$B$93,Inputs!$B$92,0)*(1+inf)^AK$1</f>
        <v>0</v>
      </c>
      <c r="AM6" s="7">
        <f>IF(AM$3&lt;=Inputs!$B$93,Inputs!$B$92,0)*(1+inf)^AL$1</f>
        <v>0</v>
      </c>
    </row>
    <row r="7" spans="1:39" x14ac:dyDescent="0.2">
      <c r="A7" s="4" t="s">
        <v>70</v>
      </c>
      <c r="B7" s="8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</row>
    <row r="8" spans="1:39" x14ac:dyDescent="0.2">
      <c r="A8" s="3" t="str">
        <f>TEXT(Inputs!$B$60,"")</f>
        <v>Sliema</v>
      </c>
      <c r="C8" s="7">
        <f ca="1">Inputs!B86*ProRate</f>
        <v>10000</v>
      </c>
      <c r="D8" s="7">
        <f t="shared" ref="D8:S12" ca="1" si="32">C8*(1+rinc)</f>
        <v>10300</v>
      </c>
      <c r="E8" s="7">
        <f t="shared" ca="1" si="32"/>
        <v>10609</v>
      </c>
      <c r="F8" s="7">
        <f t="shared" ca="1" si="32"/>
        <v>10927.27</v>
      </c>
      <c r="G8" s="7">
        <f t="shared" ca="1" si="32"/>
        <v>11255.088100000001</v>
      </c>
      <c r="H8" s="7">
        <f t="shared" ca="1" si="32"/>
        <v>11592.740743</v>
      </c>
      <c r="I8" s="7">
        <f t="shared" ca="1" si="32"/>
        <v>11940.52296529</v>
      </c>
      <c r="J8" s="7">
        <f t="shared" ca="1" si="32"/>
        <v>12298.7386542487</v>
      </c>
      <c r="K8" s="7">
        <f t="shared" ca="1" si="32"/>
        <v>12667.700813876161</v>
      </c>
      <c r="L8" s="7">
        <f t="shared" ca="1" si="32"/>
        <v>13047.731838292446</v>
      </c>
      <c r="M8" s="7">
        <f t="shared" ca="1" si="32"/>
        <v>13439.163793441219</v>
      </c>
      <c r="N8" s="7">
        <f t="shared" ca="1" si="32"/>
        <v>13842.338707244457</v>
      </c>
      <c r="O8" s="7">
        <f t="shared" ca="1" si="32"/>
        <v>14257.60886846179</v>
      </c>
      <c r="P8" s="7">
        <f t="shared" ca="1" si="32"/>
        <v>14685.337134515645</v>
      </c>
      <c r="Q8" s="7">
        <f t="shared" ca="1" si="32"/>
        <v>15125.897248551115</v>
      </c>
      <c r="R8" s="7">
        <f t="shared" ca="1" si="32"/>
        <v>15579.67416600765</v>
      </c>
      <c r="S8" s="7">
        <f t="shared" ca="1" si="32"/>
        <v>16047.06439098788</v>
      </c>
      <c r="T8" s="7">
        <f t="shared" ref="T8:AI12" ca="1" si="33">S8*(1+rinc)</f>
        <v>16528.476322717517</v>
      </c>
      <c r="U8" s="7">
        <f t="shared" ca="1" si="33"/>
        <v>17024.330612399044</v>
      </c>
      <c r="V8" s="7">
        <f t="shared" ca="1" si="33"/>
        <v>17535.060530771018</v>
      </c>
      <c r="W8" s="7">
        <f t="shared" ca="1" si="33"/>
        <v>18061.11234669415</v>
      </c>
      <c r="X8" s="7">
        <f t="shared" ca="1" si="33"/>
        <v>18602.945717094975</v>
      </c>
      <c r="Y8" s="7">
        <f t="shared" ca="1" si="33"/>
        <v>19161.034088607827</v>
      </c>
      <c r="Z8" s="7">
        <f t="shared" ca="1" si="33"/>
        <v>19735.865111266063</v>
      </c>
      <c r="AA8" s="7">
        <f t="shared" ca="1" si="33"/>
        <v>20327.941064604045</v>
      </c>
      <c r="AB8" s="7">
        <f t="shared" ca="1" si="33"/>
        <v>20937.779296542169</v>
      </c>
      <c r="AC8" s="7">
        <f t="shared" ca="1" si="33"/>
        <v>21565.912675438434</v>
      </c>
      <c r="AD8" s="7">
        <f t="shared" ca="1" si="33"/>
        <v>22212.890055701588</v>
      </c>
      <c r="AE8" s="7">
        <f t="shared" ca="1" si="33"/>
        <v>22879.276757372634</v>
      </c>
      <c r="AF8" s="7">
        <f t="shared" ca="1" si="33"/>
        <v>23565.655060093814</v>
      </c>
      <c r="AG8" s="7">
        <f t="shared" ca="1" si="33"/>
        <v>24272.624711896628</v>
      </c>
      <c r="AH8" s="7">
        <f t="shared" ca="1" si="33"/>
        <v>25000.803453253528</v>
      </c>
      <c r="AI8" s="7">
        <f t="shared" ca="1" si="33"/>
        <v>25750.827556851134</v>
      </c>
      <c r="AJ8" s="7">
        <f t="shared" ref="AJ8:AM12" ca="1" si="34">AI8*(1+rinc)</f>
        <v>26523.35238355667</v>
      </c>
      <c r="AK8" s="7">
        <f t="shared" ca="1" si="34"/>
        <v>27319.052955063373</v>
      </c>
      <c r="AL8" s="7">
        <f t="shared" ca="1" si="34"/>
        <v>28138.624543715276</v>
      </c>
      <c r="AM8" s="7">
        <f t="shared" ca="1" si="34"/>
        <v>28982.783280026735</v>
      </c>
    </row>
    <row r="9" spans="1:39" x14ac:dyDescent="0.2">
      <c r="A9" s="3" t="str">
        <f>TEXT(Inputs!$B$65,"")</f>
        <v>Gzira</v>
      </c>
      <c r="C9" s="7">
        <f ca="1">Inputs!B87*ProRate</f>
        <v>8333.3333333333339</v>
      </c>
      <c r="D9" s="7">
        <f t="shared" ca="1" si="32"/>
        <v>8583.3333333333339</v>
      </c>
      <c r="E9" s="7">
        <f t="shared" ca="1" si="32"/>
        <v>8840.8333333333339</v>
      </c>
      <c r="F9" s="7">
        <f t="shared" ca="1" si="32"/>
        <v>9106.0583333333343</v>
      </c>
      <c r="G9" s="7">
        <f t="shared" ca="1" si="32"/>
        <v>9379.240083333334</v>
      </c>
      <c r="H9" s="7">
        <f t="shared" ca="1" si="32"/>
        <v>9660.6172858333339</v>
      </c>
      <c r="I9" s="7">
        <f t="shared" ca="1" si="32"/>
        <v>9950.4358044083347</v>
      </c>
      <c r="J9" s="7">
        <f t="shared" ca="1" si="32"/>
        <v>10248.948878540585</v>
      </c>
      <c r="K9" s="7">
        <f t="shared" ca="1" si="32"/>
        <v>10556.417344896803</v>
      </c>
      <c r="L9" s="7">
        <f t="shared" ca="1" si="32"/>
        <v>10873.109865243707</v>
      </c>
      <c r="M9" s="7">
        <f t="shared" ca="1" si="32"/>
        <v>11199.303161201018</v>
      </c>
      <c r="N9" s="7">
        <f t="shared" ca="1" si="32"/>
        <v>11535.28225603705</v>
      </c>
      <c r="O9" s="7">
        <f t="shared" ca="1" si="32"/>
        <v>11881.340723718162</v>
      </c>
      <c r="P9" s="7">
        <f t="shared" ca="1" si="32"/>
        <v>12237.780945429708</v>
      </c>
      <c r="Q9" s="7">
        <f t="shared" ca="1" si="32"/>
        <v>12604.914373792599</v>
      </c>
      <c r="R9" s="7">
        <f t="shared" ca="1" si="32"/>
        <v>12983.061805006377</v>
      </c>
      <c r="S9" s="7">
        <f t="shared" ca="1" si="32"/>
        <v>13372.553659156569</v>
      </c>
      <c r="T9" s="7">
        <f t="shared" ca="1" si="33"/>
        <v>13773.730268931266</v>
      </c>
      <c r="U9" s="7">
        <f t="shared" ca="1" si="33"/>
        <v>14186.942176999204</v>
      </c>
      <c r="V9" s="7">
        <f t="shared" ca="1" si="33"/>
        <v>14612.550442309181</v>
      </c>
      <c r="W9" s="7">
        <f t="shared" ca="1" si="33"/>
        <v>15050.926955578456</v>
      </c>
      <c r="X9" s="7">
        <f t="shared" ca="1" si="33"/>
        <v>15502.454764245809</v>
      </c>
      <c r="Y9" s="7">
        <f t="shared" ca="1" si="33"/>
        <v>15967.528407173184</v>
      </c>
      <c r="Z9" s="7">
        <f t="shared" ca="1" si="33"/>
        <v>16446.55425938838</v>
      </c>
      <c r="AA9" s="7">
        <f t="shared" ca="1" si="33"/>
        <v>16939.950887170031</v>
      </c>
      <c r="AB9" s="7">
        <f t="shared" ca="1" si="33"/>
        <v>17448.149413785133</v>
      </c>
      <c r="AC9" s="7">
        <f t="shared" ca="1" si="33"/>
        <v>17971.593896198687</v>
      </c>
      <c r="AD9" s="7">
        <f t="shared" ca="1" si="33"/>
        <v>18510.741713084648</v>
      </c>
      <c r="AE9" s="7">
        <f t="shared" ca="1" si="33"/>
        <v>19066.063964477187</v>
      </c>
      <c r="AF9" s="7">
        <f t="shared" ca="1" si="33"/>
        <v>19638.045883411502</v>
      </c>
      <c r="AG9" s="7">
        <f t="shared" ca="1" si="33"/>
        <v>20227.187259913848</v>
      </c>
      <c r="AH9" s="7">
        <f t="shared" ca="1" si="33"/>
        <v>20834.002877711264</v>
      </c>
      <c r="AI9" s="7">
        <f t="shared" ca="1" si="33"/>
        <v>21459.022964042604</v>
      </c>
      <c r="AJ9" s="7">
        <f t="shared" ca="1" si="34"/>
        <v>22102.793652963883</v>
      </c>
      <c r="AK9" s="7">
        <f t="shared" ca="1" si="34"/>
        <v>22765.877462552799</v>
      </c>
      <c r="AL9" s="7">
        <f t="shared" ca="1" si="34"/>
        <v>23448.853786429383</v>
      </c>
      <c r="AM9" s="7">
        <f t="shared" ca="1" si="34"/>
        <v>24152.319400022265</v>
      </c>
    </row>
    <row r="10" spans="1:39" x14ac:dyDescent="0.2">
      <c r="A10" s="3" t="str">
        <f>TEXT(Inputs!$B$70,"")</f>
        <v>Qormi</v>
      </c>
      <c r="C10" s="7">
        <f ca="1">Inputs!B88*ProRate</f>
        <v>6666.666666666667</v>
      </c>
      <c r="D10" s="7">
        <f t="shared" ca="1" si="32"/>
        <v>6866.666666666667</v>
      </c>
      <c r="E10" s="7">
        <f t="shared" ca="1" si="32"/>
        <v>7072.666666666667</v>
      </c>
      <c r="F10" s="7">
        <f t="shared" ca="1" si="32"/>
        <v>7284.8466666666673</v>
      </c>
      <c r="G10" s="7">
        <f t="shared" ca="1" si="32"/>
        <v>7503.3920666666672</v>
      </c>
      <c r="H10" s="7">
        <f t="shared" ca="1" si="32"/>
        <v>7728.4938286666675</v>
      </c>
      <c r="I10" s="7">
        <f t="shared" ca="1" si="32"/>
        <v>7960.3486435266677</v>
      </c>
      <c r="J10" s="7">
        <f t="shared" ca="1" si="32"/>
        <v>8199.1591028324674</v>
      </c>
      <c r="K10" s="7">
        <f t="shared" ca="1" si="32"/>
        <v>8445.1338759174414</v>
      </c>
      <c r="L10" s="7">
        <f t="shared" ca="1" si="32"/>
        <v>8698.4878921949658</v>
      </c>
      <c r="M10" s="7">
        <f t="shared" ca="1" si="32"/>
        <v>8959.4425289608153</v>
      </c>
      <c r="N10" s="7">
        <f t="shared" ca="1" si="32"/>
        <v>9228.2258048296408</v>
      </c>
      <c r="O10" s="7">
        <f t="shared" ca="1" si="32"/>
        <v>9505.0725789745302</v>
      </c>
      <c r="P10" s="7">
        <f t="shared" ca="1" si="32"/>
        <v>9790.2247563437668</v>
      </c>
      <c r="Q10" s="7">
        <f t="shared" ca="1" si="32"/>
        <v>10083.931499034081</v>
      </c>
      <c r="R10" s="7">
        <f t="shared" ca="1" si="32"/>
        <v>10386.449444005104</v>
      </c>
      <c r="S10" s="7">
        <f t="shared" ca="1" si="32"/>
        <v>10698.042927325258</v>
      </c>
      <c r="T10" s="7">
        <f t="shared" ca="1" si="33"/>
        <v>11018.984215145016</v>
      </c>
      <c r="U10" s="7">
        <f t="shared" ca="1" si="33"/>
        <v>11349.553741599366</v>
      </c>
      <c r="V10" s="7">
        <f t="shared" ca="1" si="33"/>
        <v>11690.040353847347</v>
      </c>
      <c r="W10" s="7">
        <f t="shared" ca="1" si="33"/>
        <v>12040.741564462769</v>
      </c>
      <c r="X10" s="7">
        <f t="shared" ca="1" si="33"/>
        <v>12401.963811396652</v>
      </c>
      <c r="Y10" s="7">
        <f t="shared" ca="1" si="33"/>
        <v>12774.022725738552</v>
      </c>
      <c r="Z10" s="7">
        <f t="shared" ca="1" si="33"/>
        <v>13157.243407510708</v>
      </c>
      <c r="AA10" s="7">
        <f t="shared" ca="1" si="33"/>
        <v>13551.960709736029</v>
      </c>
      <c r="AB10" s="7">
        <f t="shared" ca="1" si="33"/>
        <v>13958.519531028111</v>
      </c>
      <c r="AC10" s="7">
        <f t="shared" ca="1" si="33"/>
        <v>14377.275116958954</v>
      </c>
      <c r="AD10" s="7">
        <f t="shared" ca="1" si="33"/>
        <v>14808.593370467723</v>
      </c>
      <c r="AE10" s="7">
        <f t="shared" ca="1" si="33"/>
        <v>15252.851171581755</v>
      </c>
      <c r="AF10" s="7">
        <f t="shared" ca="1" si="33"/>
        <v>15710.436706729208</v>
      </c>
      <c r="AG10" s="7">
        <f t="shared" ca="1" si="33"/>
        <v>16181.749807931084</v>
      </c>
      <c r="AH10" s="7">
        <f t="shared" ca="1" si="33"/>
        <v>16667.202302169018</v>
      </c>
      <c r="AI10" s="7">
        <f t="shared" ca="1" si="33"/>
        <v>17167.218371234088</v>
      </c>
      <c r="AJ10" s="7">
        <f t="shared" ca="1" si="34"/>
        <v>17682.23492237111</v>
      </c>
      <c r="AK10" s="7">
        <f t="shared" ca="1" si="34"/>
        <v>18212.701970042242</v>
      </c>
      <c r="AL10" s="7">
        <f t="shared" ca="1" si="34"/>
        <v>18759.083029143509</v>
      </c>
      <c r="AM10" s="7">
        <f t="shared" ca="1" si="34"/>
        <v>19321.855520017816</v>
      </c>
    </row>
    <row r="11" spans="1:39" x14ac:dyDescent="0.2">
      <c r="A11" s="3" t="str">
        <f>TEXT(Inputs!$B$75,"")</f>
        <v>Gudja</v>
      </c>
      <c r="C11" s="7">
        <f ca="1">Inputs!B89*ProRate</f>
        <v>4166.666666666667</v>
      </c>
      <c r="D11" s="7">
        <f t="shared" ca="1" si="32"/>
        <v>4291.666666666667</v>
      </c>
      <c r="E11" s="7">
        <f t="shared" ca="1" si="32"/>
        <v>4420.416666666667</v>
      </c>
      <c r="F11" s="7">
        <f t="shared" ca="1" si="32"/>
        <v>4553.0291666666672</v>
      </c>
      <c r="G11" s="7">
        <f t="shared" ca="1" si="32"/>
        <v>4689.620041666667</v>
      </c>
      <c r="H11" s="7">
        <f t="shared" ca="1" si="32"/>
        <v>4830.3086429166669</v>
      </c>
      <c r="I11" s="7">
        <f t="shared" ca="1" si="32"/>
        <v>4975.2179022041673</v>
      </c>
      <c r="J11" s="7">
        <f t="shared" ca="1" si="32"/>
        <v>5124.4744392702924</v>
      </c>
      <c r="K11" s="7">
        <f t="shared" ca="1" si="32"/>
        <v>5278.2086724484016</v>
      </c>
      <c r="L11" s="7">
        <f t="shared" ca="1" si="32"/>
        <v>5436.5549326218534</v>
      </c>
      <c r="M11" s="7">
        <f t="shared" ca="1" si="32"/>
        <v>5599.6515806005091</v>
      </c>
      <c r="N11" s="7">
        <f t="shared" ca="1" si="32"/>
        <v>5767.6411280185248</v>
      </c>
      <c r="O11" s="7">
        <f t="shared" ca="1" si="32"/>
        <v>5940.6703618590809</v>
      </c>
      <c r="P11" s="7">
        <f t="shared" ca="1" si="32"/>
        <v>6118.8904727148538</v>
      </c>
      <c r="Q11" s="7">
        <f t="shared" ca="1" si="32"/>
        <v>6302.4571868962994</v>
      </c>
      <c r="R11" s="7">
        <f t="shared" ca="1" si="32"/>
        <v>6491.5309025031884</v>
      </c>
      <c r="S11" s="7">
        <f t="shared" ca="1" si="32"/>
        <v>6686.2768295782844</v>
      </c>
      <c r="T11" s="7">
        <f t="shared" ca="1" si="33"/>
        <v>6886.8651344656328</v>
      </c>
      <c r="U11" s="7">
        <f t="shared" ca="1" si="33"/>
        <v>7093.471088499602</v>
      </c>
      <c r="V11" s="7">
        <f t="shared" ca="1" si="33"/>
        <v>7306.2752211545903</v>
      </c>
      <c r="W11" s="7">
        <f t="shared" ca="1" si="33"/>
        <v>7525.4634777892279</v>
      </c>
      <c r="X11" s="7">
        <f t="shared" ca="1" si="33"/>
        <v>7751.2273821229046</v>
      </c>
      <c r="Y11" s="7">
        <f t="shared" ca="1" si="33"/>
        <v>7983.764203586592</v>
      </c>
      <c r="Z11" s="7">
        <f t="shared" ca="1" si="33"/>
        <v>8223.2771296941901</v>
      </c>
      <c r="AA11" s="7">
        <f t="shared" ca="1" si="33"/>
        <v>8469.9754435850155</v>
      </c>
      <c r="AB11" s="7">
        <f t="shared" ca="1" si="33"/>
        <v>8724.0747068925666</v>
      </c>
      <c r="AC11" s="7">
        <f t="shared" ca="1" si="33"/>
        <v>8985.7969480993434</v>
      </c>
      <c r="AD11" s="7">
        <f t="shared" ca="1" si="33"/>
        <v>9255.370856542324</v>
      </c>
      <c r="AE11" s="7">
        <f t="shared" ca="1" si="33"/>
        <v>9533.0319822385936</v>
      </c>
      <c r="AF11" s="7">
        <f t="shared" ca="1" si="33"/>
        <v>9819.0229417057508</v>
      </c>
      <c r="AG11" s="7">
        <f t="shared" ca="1" si="33"/>
        <v>10113.593629956924</v>
      </c>
      <c r="AH11" s="7">
        <f t="shared" ca="1" si="33"/>
        <v>10417.001438855632</v>
      </c>
      <c r="AI11" s="7">
        <f t="shared" ca="1" si="33"/>
        <v>10729.511482021302</v>
      </c>
      <c r="AJ11" s="7">
        <f t="shared" ca="1" si="34"/>
        <v>11051.396826481941</v>
      </c>
      <c r="AK11" s="7">
        <f t="shared" ca="1" si="34"/>
        <v>11382.938731276399</v>
      </c>
      <c r="AL11" s="7">
        <f t="shared" ca="1" si="34"/>
        <v>11724.426893214692</v>
      </c>
      <c r="AM11" s="7">
        <f t="shared" ca="1" si="34"/>
        <v>12076.159700011132</v>
      </c>
    </row>
    <row r="12" spans="1:39" x14ac:dyDescent="0.2">
      <c r="A12" s="3" t="str">
        <f>TEXT(Inputs!$B$80,"")</f>
        <v>Marsa</v>
      </c>
      <c r="C12" s="7">
        <f ca="1">Inputs!B90*ProRate</f>
        <v>5416.666666666667</v>
      </c>
      <c r="D12" s="7">
        <f t="shared" ca="1" si="32"/>
        <v>5579.166666666667</v>
      </c>
      <c r="E12" s="7">
        <f t="shared" ca="1" si="32"/>
        <v>5746.541666666667</v>
      </c>
      <c r="F12" s="7">
        <f t="shared" ca="1" si="32"/>
        <v>5918.9379166666668</v>
      </c>
      <c r="G12" s="7">
        <f t="shared" ca="1" si="32"/>
        <v>6096.5060541666671</v>
      </c>
      <c r="H12" s="7">
        <f t="shared" ca="1" si="32"/>
        <v>6279.4012357916672</v>
      </c>
      <c r="I12" s="7">
        <f t="shared" ca="1" si="32"/>
        <v>6467.7832728654175</v>
      </c>
      <c r="J12" s="7">
        <f t="shared" ca="1" si="32"/>
        <v>6661.8167710513799</v>
      </c>
      <c r="K12" s="7">
        <f t="shared" ca="1" si="32"/>
        <v>6861.6712741829215</v>
      </c>
      <c r="L12" s="7">
        <f t="shared" ca="1" si="32"/>
        <v>7067.5214124084096</v>
      </c>
      <c r="M12" s="7">
        <f t="shared" ca="1" si="32"/>
        <v>7279.5470547806617</v>
      </c>
      <c r="N12" s="7">
        <f t="shared" ca="1" si="32"/>
        <v>7497.9334664240814</v>
      </c>
      <c r="O12" s="7">
        <f t="shared" ca="1" si="32"/>
        <v>7722.8714704168042</v>
      </c>
      <c r="P12" s="7">
        <f t="shared" ca="1" si="32"/>
        <v>7954.5576145293089</v>
      </c>
      <c r="Q12" s="7">
        <f t="shared" ca="1" si="32"/>
        <v>8193.1943429651892</v>
      </c>
      <c r="R12" s="7">
        <f t="shared" ca="1" si="32"/>
        <v>8438.9901732541457</v>
      </c>
      <c r="S12" s="7">
        <f t="shared" ca="1" si="32"/>
        <v>8692.1598784517701</v>
      </c>
      <c r="T12" s="7">
        <f t="shared" ca="1" si="33"/>
        <v>8952.9246748053229</v>
      </c>
      <c r="U12" s="7">
        <f t="shared" ca="1" si="33"/>
        <v>9221.512415049483</v>
      </c>
      <c r="V12" s="7">
        <f t="shared" ca="1" si="33"/>
        <v>9498.157787500968</v>
      </c>
      <c r="W12" s="7">
        <f t="shared" ca="1" si="33"/>
        <v>9783.1025211259966</v>
      </c>
      <c r="X12" s="7">
        <f t="shared" ca="1" si="33"/>
        <v>10076.595596759777</v>
      </c>
      <c r="Y12" s="7">
        <f t="shared" ca="1" si="33"/>
        <v>10378.893464662569</v>
      </c>
      <c r="Z12" s="7">
        <f t="shared" ca="1" si="33"/>
        <v>10690.260268602447</v>
      </c>
      <c r="AA12" s="7">
        <f t="shared" ca="1" si="33"/>
        <v>11010.968076660522</v>
      </c>
      <c r="AB12" s="7">
        <f t="shared" ca="1" si="33"/>
        <v>11341.297118960338</v>
      </c>
      <c r="AC12" s="7">
        <f t="shared" ca="1" si="33"/>
        <v>11681.536032529148</v>
      </c>
      <c r="AD12" s="7">
        <f t="shared" ca="1" si="33"/>
        <v>12031.982113505022</v>
      </c>
      <c r="AE12" s="7">
        <f t="shared" ca="1" si="33"/>
        <v>12392.941576910174</v>
      </c>
      <c r="AF12" s="7">
        <f t="shared" ca="1" si="33"/>
        <v>12764.72982421748</v>
      </c>
      <c r="AG12" s="7">
        <f t="shared" ca="1" si="33"/>
        <v>13147.671718944004</v>
      </c>
      <c r="AH12" s="7">
        <f t="shared" ca="1" si="33"/>
        <v>13542.101870512324</v>
      </c>
      <c r="AI12" s="7">
        <f t="shared" ca="1" si="33"/>
        <v>13948.364926627693</v>
      </c>
      <c r="AJ12" s="7">
        <f t="shared" ca="1" si="34"/>
        <v>14366.815874426524</v>
      </c>
      <c r="AK12" s="7">
        <f t="shared" ca="1" si="34"/>
        <v>14797.82035065932</v>
      </c>
      <c r="AL12" s="7">
        <f t="shared" ca="1" si="34"/>
        <v>15241.7549611791</v>
      </c>
      <c r="AM12" s="7">
        <f t="shared" ca="1" si="34"/>
        <v>15699.007610014474</v>
      </c>
    </row>
    <row r="13" spans="1:39" x14ac:dyDescent="0.2">
      <c r="A13" s="4" t="s">
        <v>79</v>
      </c>
      <c r="B13" s="8"/>
      <c r="C13" s="7">
        <f ca="1">IF(C$3&lt;Inputs!$B$19,0,Inputs!$B$21)*(1+inf)^B$1*ProRate</f>
        <v>0</v>
      </c>
      <c r="D13" s="7">
        <f>IF(D$3&lt;Inputs!$B$19,0,Inputs!$B$21)*(1+inf)^C$1</f>
        <v>0</v>
      </c>
      <c r="E13" s="7">
        <f>IF(E$3&lt;Inputs!$B$19,0,Inputs!$B$21)*(1+inf)^D$1</f>
        <v>0</v>
      </c>
      <c r="F13" s="7">
        <f>IF(F$3&lt;Inputs!$B$19,0,Inputs!$B$21)*(1+inf)^E$1</f>
        <v>0</v>
      </c>
      <c r="G13" s="7">
        <f>IF(G$3&lt;Inputs!$B$19,0,Inputs!$B$21)*(1+inf)^F$1</f>
        <v>0</v>
      </c>
      <c r="H13" s="7">
        <f>IF(H$3&lt;Inputs!$B$19,0,Inputs!$B$21)*(1+inf)^G$1</f>
        <v>0</v>
      </c>
      <c r="I13" s="7">
        <f>IF(I$3&lt;Inputs!$B$19,0,Inputs!$B$21)*(1+inf)^H$1</f>
        <v>0</v>
      </c>
      <c r="J13" s="7">
        <f>IF(J$3&lt;Inputs!$B$19,0,Inputs!$B$21)*(1+inf)^I$1</f>
        <v>0</v>
      </c>
      <c r="K13" s="7">
        <f>IF(K$3&lt;Inputs!$B$19,0,Inputs!$B$21)*(1+inf)^J$1</f>
        <v>0</v>
      </c>
      <c r="L13" s="7">
        <f>IF(L$3&lt;Inputs!$B$19,0,Inputs!$B$21)*(1+inf)^K$1</f>
        <v>0</v>
      </c>
      <c r="M13" s="7">
        <f>IF(M$3&lt;Inputs!$B$19,0,Inputs!$B$21)*(1+inf)^L$1</f>
        <v>0</v>
      </c>
      <c r="N13" s="7">
        <f>IF(N$3&lt;Inputs!$B$19,0,Inputs!$B$21)*(1+inf)^M$1</f>
        <v>0</v>
      </c>
      <c r="O13" s="7">
        <f>IF(O$3&lt;Inputs!$B$19,0,Inputs!$B$21)*(1+inf)^N$1</f>
        <v>0</v>
      </c>
      <c r="P13" s="7">
        <f>IF(P$3&lt;Inputs!$B$19,0,Inputs!$B$21)*(1+inf)^O$1</f>
        <v>0</v>
      </c>
      <c r="Q13" s="7">
        <f>IF(Q$3&lt;Inputs!$B$19,0,Inputs!$B$21)*(1+inf)^P$1</f>
        <v>0</v>
      </c>
      <c r="R13" s="7">
        <f>IF(R$3&lt;Inputs!$B$19,0,Inputs!$B$21)*(1+inf)^Q$1</f>
        <v>0</v>
      </c>
      <c r="S13" s="7">
        <f>IF(S$3&lt;Inputs!$B$19,0,Inputs!$B$21)*(1+inf)^R$1</f>
        <v>0</v>
      </c>
      <c r="T13" s="7">
        <f>IF(T$3&lt;Inputs!$B$19,0,Inputs!$B$21)*(1+inf)^S$1</f>
        <v>24345.892178833234</v>
      </c>
      <c r="U13" s="7">
        <f>IF(U$3&lt;Inputs!$B$19,0,Inputs!$B$21)*(1+inf)^T$1</f>
        <v>24954.539483304063</v>
      </c>
      <c r="V13" s="7">
        <f>IF(V$3&lt;Inputs!$B$19,0,Inputs!$B$21)*(1+inf)^U$1</f>
        <v>25578.402970386665</v>
      </c>
      <c r="W13" s="7">
        <f>IF(W$3&lt;Inputs!$B$19,0,Inputs!$B$21)*(1+inf)^V$1</f>
        <v>26217.863044646328</v>
      </c>
      <c r="X13" s="7">
        <f>IF(X$3&lt;Inputs!$B$19,0,Inputs!$B$21)*(1+inf)^W$1</f>
        <v>26873.309620762484</v>
      </c>
      <c r="Y13" s="7">
        <f>IF(Y$3&lt;Inputs!$B$19,0,Inputs!$B$21)*(1+inf)^X$1</f>
        <v>27545.142361281545</v>
      </c>
      <c r="Z13" s="7">
        <f>IF(Z$3&lt;Inputs!$B$19,0,Inputs!$B$21)*(1+inf)^Y$1</f>
        <v>28233.770920313586</v>
      </c>
      <c r="AA13" s="7">
        <f>IF(AA$3&lt;Inputs!$B$19,0,Inputs!$B$21)*(1+inf)^Z$1</f>
        <v>28939.615193321424</v>
      </c>
      <c r="AB13" s="7">
        <f>IF(AB$3&lt;Inputs!$B$19,0,Inputs!$B$21)*(1+inf)^AA$1</f>
        <v>29663.105573154455</v>
      </c>
      <c r="AC13" s="7">
        <f>IF(AC$3&lt;Inputs!$B$19,0,Inputs!$B$21)*(1+inf)^AB$1</f>
        <v>30404.683212483313</v>
      </c>
      <c r="AD13" s="7">
        <f>IF(AD$3&lt;Inputs!$B$19,0,Inputs!$B$21)*(1+inf)^AC$1</f>
        <v>31164.800292795393</v>
      </c>
      <c r="AE13" s="7">
        <f>IF(AE$3&lt;Inputs!$B$19,0,Inputs!$B$21)*(1+inf)^AD$1</f>
        <v>31943.920300115278</v>
      </c>
      <c r="AF13" s="7">
        <f>IF(AF$3&lt;Inputs!$B$19,0,Inputs!$B$21)*(1+inf)^AE$1</f>
        <v>32742.518307618164</v>
      </c>
      <c r="AG13" s="7">
        <f>IF(AG$3&lt;Inputs!$B$19,0,Inputs!$B$21)*(1+inf)^AF$1</f>
        <v>33561.08126530861</v>
      </c>
      <c r="AH13" s="7">
        <f>IF(AH$3&lt;Inputs!$B$19,0,Inputs!$B$21)*(1+inf)^AG$1</f>
        <v>34400.108296941333</v>
      </c>
      <c r="AI13" s="7">
        <f>IF(AI$3&lt;Inputs!$B$19,0,Inputs!$B$21)*(1+inf)^AH$1</f>
        <v>35260.111004364859</v>
      </c>
      <c r="AJ13" s="7">
        <f>IF(AJ$3&lt;Inputs!$B$19,0,Inputs!$B$21)*(1+inf)^AI$1</f>
        <v>36141.613779473977</v>
      </c>
      <c r="AK13" s="7">
        <f>IF(AK$3&lt;Inputs!$B$19,0,Inputs!$B$21)*(1+inf)^AJ$1</f>
        <v>37045.154123960827</v>
      </c>
      <c r="AL13" s="7">
        <f>IF(AL$3&lt;Inputs!$B$19,0,Inputs!$B$21)*(1+inf)^AK$1</f>
        <v>37971.28297705984</v>
      </c>
      <c r="AM13" s="7">
        <f>IF(AM$3&lt;Inputs!$B$19,0,Inputs!$B$21)*(1+inf)^AL$1</f>
        <v>38920.565051486345</v>
      </c>
    </row>
    <row r="14" spans="1:39" x14ac:dyDescent="0.2">
      <c r="A14" s="4" t="s">
        <v>80</v>
      </c>
      <c r="B14" s="8"/>
      <c r="C14" s="7">
        <f ca="1">MIN(0,MAX(-IF(C13=0,0,(Inputs!$B$19-INDEX(3:3,MATCH(0,5:5,0))))*Inputs!$B$189*(1+inf)^B$1*ProRate,-C13))</f>
        <v>0</v>
      </c>
      <c r="D14" s="7">
        <f>MIN(0,MAX(-IF(D13=0,0,(Inputs!$B$19-INDEX(3:3,MATCH(0,5:5,0))))*Inputs!$B$189*(1+inf)^C$1,-D13))</f>
        <v>0</v>
      </c>
      <c r="E14" s="7">
        <f>MIN(0,MAX(-IF(E13=0,0,(Inputs!$B$19-INDEX(3:3,MATCH(0,5:5,0))))*Inputs!$B$189*(1+inf)^D$1,-E13))</f>
        <v>0</v>
      </c>
      <c r="F14" s="7">
        <f>MIN(0,MAX(-IF(F13=0,0,(Inputs!$B$19-INDEX(3:3,MATCH(0,5:5,0))))*Inputs!$B$189*(1+inf)^E$1,-F13))</f>
        <v>0</v>
      </c>
      <c r="G14" s="7">
        <f>MIN(0,MAX(-IF(G13=0,0,(Inputs!$B$19-INDEX(3:3,MATCH(0,5:5,0))))*Inputs!$B$189*(1+inf)^F$1,-G13))</f>
        <v>0</v>
      </c>
      <c r="H14" s="7">
        <f>MIN(0,MAX(-IF(H13=0,0,(Inputs!$B$19-INDEX(3:3,MATCH(0,5:5,0))))*Inputs!$B$189*(1+inf)^G$1,-H13))</f>
        <v>0</v>
      </c>
      <c r="I14" s="7">
        <f>MIN(0,MAX(-IF(I13=0,0,(Inputs!$B$19-INDEX(3:3,MATCH(0,5:5,0))))*Inputs!$B$189*(1+inf)^H$1,-I13))</f>
        <v>0</v>
      </c>
      <c r="J14" s="7">
        <f>MIN(0,MAX(-IF(J13=0,0,(Inputs!$B$19-INDEX(3:3,MATCH(0,5:5,0))))*Inputs!$B$189*(1+inf)^I$1,-J13))</f>
        <v>0</v>
      </c>
      <c r="K14" s="7">
        <f>MIN(0,MAX(-IF(K13=0,0,(Inputs!$B$19-INDEX(3:3,MATCH(0,5:5,0))))*Inputs!$B$189*(1+inf)^J$1,-K13))</f>
        <v>0</v>
      </c>
      <c r="L14" s="7">
        <f>MIN(0,MAX(-IF(L13=0,0,(Inputs!$B$19-INDEX(3:3,MATCH(0,5:5,0))))*Inputs!$B$189*(1+inf)^K$1,-L13))</f>
        <v>0</v>
      </c>
      <c r="M14" s="7">
        <f>MIN(0,MAX(-IF(M13=0,0,(Inputs!$B$19-INDEX(3:3,MATCH(0,5:5,0))))*Inputs!$B$189*(1+inf)^L$1,-M13))</f>
        <v>0</v>
      </c>
      <c r="N14" s="7">
        <f>MIN(0,MAX(-IF(N13=0,0,(Inputs!$B$19-INDEX(3:3,MATCH(0,5:5,0))))*Inputs!$B$189*(1+inf)^M$1,-N13))</f>
        <v>0</v>
      </c>
      <c r="O14" s="7">
        <f>MIN(0,MAX(-IF(O13=0,0,(Inputs!$B$19-INDEX(3:3,MATCH(0,5:5,0))))*Inputs!$B$189*(1+inf)^N$1,-O13))</f>
        <v>0</v>
      </c>
      <c r="P14" s="7">
        <f>MIN(0,MAX(-IF(P13=0,0,(Inputs!$B$19-INDEX(3:3,MATCH(0,5:5,0))))*Inputs!$B$189*(1+inf)^O$1,-P13))</f>
        <v>0</v>
      </c>
      <c r="Q14" s="7">
        <f>MIN(0,MAX(-IF(Q13=0,0,(Inputs!$B$19-INDEX(3:3,MATCH(0,5:5,0))))*Inputs!$B$189*(1+inf)^P$1,-Q13))</f>
        <v>0</v>
      </c>
      <c r="R14" s="7">
        <f>MIN(0,MAX(-IF(R13=0,0,(Inputs!$B$19-INDEX(3:3,MATCH(0,5:5,0))))*Inputs!$B$189*(1+inf)^Q$1,-R13))</f>
        <v>0</v>
      </c>
      <c r="S14" s="7">
        <f>MIN(0,MAX(-IF(S13=0,0,(Inputs!$B$19-INDEX(3:3,MATCH(0,5:5,0))))*Inputs!$B$189*(1+inf)^R$1,-S13))</f>
        <v>0</v>
      </c>
      <c r="T14" s="7">
        <f ca="1">MIN(0,MAX(-IF(T13=0,0,(Inputs!$B$19-INDEX(3:3,MATCH(0,5:5,0))))*Inputs!$B$189*(1+inf)^S$1,-T13))</f>
        <v>0</v>
      </c>
      <c r="U14" s="7">
        <f ca="1">MIN(0,MAX(-IF(U13=0,0,(Inputs!$B$19-INDEX(3:3,MATCH(0,5:5,0))))*Inputs!$B$189*(1+inf)^T$1,-U13))</f>
        <v>0</v>
      </c>
      <c r="V14" s="7">
        <f ca="1">MIN(0,MAX(-IF(V13=0,0,(Inputs!$B$19-INDEX(3:3,MATCH(0,5:5,0))))*Inputs!$B$189*(1+inf)^U$1,-V13))</f>
        <v>0</v>
      </c>
      <c r="W14" s="7">
        <f ca="1">MIN(0,MAX(-IF(W13=0,0,(Inputs!$B$19-INDEX(3:3,MATCH(0,5:5,0))))*Inputs!$B$189*(1+inf)^V$1,-W13))</f>
        <v>0</v>
      </c>
      <c r="X14" s="7">
        <f ca="1">MIN(0,MAX(-IF(X13=0,0,(Inputs!$B$19-INDEX(3:3,MATCH(0,5:5,0))))*Inputs!$B$189*(1+inf)^W$1,-X13))</f>
        <v>0</v>
      </c>
      <c r="Y14" s="7">
        <f ca="1">MIN(0,MAX(-IF(Y13=0,0,(Inputs!$B$19-INDEX(3:3,MATCH(0,5:5,0))))*Inputs!$B$189*(1+inf)^X$1,-Y13))</f>
        <v>0</v>
      </c>
      <c r="Z14" s="7">
        <f ca="1">MIN(0,MAX(-IF(Z13=0,0,(Inputs!$B$19-INDEX(3:3,MATCH(0,5:5,0))))*Inputs!$B$189*(1+inf)^Y$1,-Z13))</f>
        <v>0</v>
      </c>
      <c r="AA14" s="7">
        <f ca="1">MIN(0,MAX(-IF(AA13=0,0,(Inputs!$B$19-INDEX(3:3,MATCH(0,5:5,0))))*Inputs!$B$189*(1+inf)^Z$1,-AA13))</f>
        <v>0</v>
      </c>
      <c r="AB14" s="7">
        <f ca="1">MIN(0,MAX(-IF(AB13=0,0,(Inputs!$B$19-INDEX(3:3,MATCH(0,5:5,0))))*Inputs!$B$189*(1+inf)^AA$1,-AB13))</f>
        <v>0</v>
      </c>
      <c r="AC14" s="7">
        <f ca="1">MIN(0,MAX(-IF(AC13=0,0,(Inputs!$B$19-INDEX(3:3,MATCH(0,5:5,0))))*Inputs!$B$189*(1+inf)^AB$1,-AC13))</f>
        <v>0</v>
      </c>
      <c r="AD14" s="7">
        <f ca="1">MIN(0,MAX(-IF(AD13=0,0,(Inputs!$B$19-INDEX(3:3,MATCH(0,5:5,0))))*Inputs!$B$189*(1+inf)^AC$1,-AD13))</f>
        <v>0</v>
      </c>
      <c r="AE14" s="7">
        <f ca="1">MIN(0,MAX(-IF(AE13=0,0,(Inputs!$B$19-INDEX(3:3,MATCH(0,5:5,0))))*Inputs!$B$189*(1+inf)^AD$1,-AE13))</f>
        <v>0</v>
      </c>
      <c r="AF14" s="7">
        <f ca="1">MIN(0,MAX(-IF(AF13=0,0,(Inputs!$B$19-INDEX(3:3,MATCH(0,5:5,0))))*Inputs!$B$189*(1+inf)^AE$1,-AF13))</f>
        <v>0</v>
      </c>
      <c r="AG14" s="7">
        <f ca="1">MIN(0,MAX(-IF(AG13=0,0,(Inputs!$B$19-INDEX(3:3,MATCH(0,5:5,0))))*Inputs!$B$189*(1+inf)^AF$1,-AG13))</f>
        <v>0</v>
      </c>
      <c r="AH14" s="7">
        <f ca="1">MIN(0,MAX(-IF(AH13=0,0,(Inputs!$B$19-INDEX(3:3,MATCH(0,5:5,0))))*Inputs!$B$189*(1+inf)^AG$1,-AH13))</f>
        <v>0</v>
      </c>
      <c r="AI14" s="7">
        <f ca="1">MIN(0,MAX(-IF(AI13=0,0,(Inputs!$B$19-INDEX(3:3,MATCH(0,5:5,0))))*Inputs!$B$189*(1+inf)^AH$1,-AI13))</f>
        <v>0</v>
      </c>
      <c r="AJ14" s="7">
        <f ca="1">MIN(0,MAX(-IF(AJ13=0,0,(Inputs!$B$19-INDEX(3:3,MATCH(0,5:5,0))))*Inputs!$B$189*(1+inf)^AI$1,-AJ13))</f>
        <v>0</v>
      </c>
      <c r="AK14" s="7">
        <f ca="1">MIN(0,MAX(-IF(AK13=0,0,(Inputs!$B$19-INDEX(3:3,MATCH(0,5:5,0))))*Inputs!$B$189*(1+inf)^AJ$1,-AK13))</f>
        <v>0</v>
      </c>
      <c r="AL14" s="7">
        <f ca="1">MIN(0,MAX(-IF(AL13=0,0,(Inputs!$B$19-INDEX(3:3,MATCH(0,5:5,0))))*Inputs!$B$189*(1+inf)^AK$1,-AL13))</f>
        <v>0</v>
      </c>
      <c r="AM14" s="7">
        <f ca="1">MIN(0,MAX(-IF(AM13=0,0,(Inputs!$B$19-INDEX(3:3,MATCH(0,5:5,0))))*Inputs!$B$189*(1+inf)^AL$1,-AM13))</f>
        <v>0</v>
      </c>
    </row>
    <row r="15" spans="1:39" x14ac:dyDescent="0.2">
      <c r="A15" s="4" t="s">
        <v>48</v>
      </c>
      <c r="B15" s="8"/>
      <c r="C15" s="7">
        <f ca="1">IF(AND(C$3&gt;=Inputs!$B$174,C$3&lt;=Inputs!$B$175),Inputs!$B$173*(1+inf)^B$1,0)*ProRate</f>
        <v>0</v>
      </c>
      <c r="D15" s="7">
        <f>IF(AND(D$3&gt;=Inputs!$B$174,D$3&lt;=Inputs!$B$175),Inputs!$B$173*(1+inf)^C$1,0)</f>
        <v>0</v>
      </c>
      <c r="E15" s="7">
        <f>IF(AND(E$3&gt;=Inputs!$B$174,E$3&lt;=Inputs!$B$175),Inputs!$B$173*(1+inf)^D$1,0)</f>
        <v>0</v>
      </c>
      <c r="F15" s="7">
        <f>IF(AND(F$3&gt;=Inputs!$B$174,F$3&lt;=Inputs!$B$175),Inputs!$B$173*(1+inf)^E$1,0)</f>
        <v>0</v>
      </c>
      <c r="G15" s="7">
        <f>IF(AND(G$3&gt;=Inputs!$B$174,G$3&lt;=Inputs!$B$175),Inputs!$B$173*(1+inf)^F$1,0)</f>
        <v>0</v>
      </c>
      <c r="H15" s="7">
        <f>IF(AND(H$3&gt;=Inputs!$B$174,H$3&lt;=Inputs!$B$175),Inputs!$B$173*(1+inf)^G$1,0)</f>
        <v>0</v>
      </c>
      <c r="I15" s="7">
        <f>IF(AND(I$3&gt;=Inputs!$B$174,I$3&lt;=Inputs!$B$175),Inputs!$B$173*(1+inf)^H$1,0)</f>
        <v>0</v>
      </c>
      <c r="J15" s="7">
        <f>IF(AND(J$3&gt;=Inputs!$B$174,J$3&lt;=Inputs!$B$175),Inputs!$B$173*(1+inf)^I$1,0)</f>
        <v>0</v>
      </c>
      <c r="K15" s="7">
        <f>IF(AND(K$3&gt;=Inputs!$B$174,K$3&lt;=Inputs!$B$175),Inputs!$B$173*(1+inf)^J$1,0)</f>
        <v>0</v>
      </c>
      <c r="L15" s="7">
        <f>IF(AND(L$3&gt;=Inputs!$B$174,L$3&lt;=Inputs!$B$175),Inputs!$B$173*(1+inf)^K$1,0)</f>
        <v>0</v>
      </c>
      <c r="M15" s="7">
        <f>IF(AND(M$3&gt;=Inputs!$B$174,M$3&lt;=Inputs!$B$175),Inputs!$B$173*(1+inf)^L$1,0)</f>
        <v>15361.014530356286</v>
      </c>
      <c r="N15" s="7">
        <f>IF(AND(N$3&gt;=Inputs!$B$174,N$3&lt;=Inputs!$B$175),Inputs!$B$173*(1+inf)^M$1,0)</f>
        <v>15745.039893615192</v>
      </c>
      <c r="O15" s="7">
        <f>IF(AND(O$3&gt;=Inputs!$B$174,O$3&lt;=Inputs!$B$175),Inputs!$B$173*(1+inf)^N$1,0)</f>
        <v>16138.66589095557</v>
      </c>
      <c r="P15" s="7">
        <f>IF(AND(P$3&gt;=Inputs!$B$174,P$3&lt;=Inputs!$B$175),Inputs!$B$173*(1+inf)^O$1,0)</f>
        <v>16542.13253822946</v>
      </c>
      <c r="Q15" s="7">
        <f>IF(AND(Q$3&gt;=Inputs!$B$174,Q$3&lt;=Inputs!$B$175),Inputs!$B$173*(1+inf)^P$1,0)</f>
        <v>16955.685851685193</v>
      </c>
      <c r="R15" s="7">
        <f>IF(AND(R$3&gt;=Inputs!$B$174,R$3&lt;=Inputs!$B$175),Inputs!$B$173*(1+inf)^Q$1,0)</f>
        <v>17379.577997977325</v>
      </c>
      <c r="S15" s="7">
        <f>IF(AND(S$3&gt;=Inputs!$B$174,S$3&lt;=Inputs!$B$175),Inputs!$B$173*(1+inf)^R$1,0)</f>
        <v>17814.067447926758</v>
      </c>
      <c r="T15" s="7">
        <f>IF(AND(T$3&gt;=Inputs!$B$174,T$3&lt;=Inputs!$B$175),Inputs!$B$173*(1+inf)^S$1,0)</f>
        <v>18259.419134124924</v>
      </c>
      <c r="U15" s="7">
        <f>IF(AND(U$3&gt;=Inputs!$B$174,U$3&lt;=Inputs!$B$175),Inputs!$B$173*(1+inf)^T$1,0)</f>
        <v>18715.904612478047</v>
      </c>
      <c r="V15" s="7">
        <f>IF(AND(V$3&gt;=Inputs!$B$174,V$3&lt;=Inputs!$B$175),Inputs!$B$173*(1+inf)^U$1,0)</f>
        <v>19183.802227789998</v>
      </c>
      <c r="W15" s="7">
        <f>IF(AND(W$3&gt;=Inputs!$B$174,W$3&lt;=Inputs!$B$175),Inputs!$B$173*(1+inf)^V$1,0)</f>
        <v>19663.397283484748</v>
      </c>
      <c r="X15" s="7">
        <f>IF(AND(X$3&gt;=Inputs!$B$174,X$3&lt;=Inputs!$B$175),Inputs!$B$173*(1+inf)^W$1,0)</f>
        <v>20154.982215571865</v>
      </c>
      <c r="Y15" s="7">
        <f>IF(AND(Y$3&gt;=Inputs!$B$174,Y$3&lt;=Inputs!$B$175),Inputs!$B$173*(1+inf)^X$1,0)</f>
        <v>0</v>
      </c>
      <c r="Z15" s="7">
        <f>IF(AND(Z$3&gt;=Inputs!$B$174,Z$3&lt;=Inputs!$B$175),Inputs!$B$173*(1+inf)^Y$1,0)</f>
        <v>0</v>
      </c>
      <c r="AA15" s="7">
        <f>IF(AND(AA$3&gt;=Inputs!$B$174,AA$3&lt;=Inputs!$B$175),Inputs!$B$173*(1+inf)^Z$1,0)</f>
        <v>0</v>
      </c>
      <c r="AB15" s="7">
        <f>IF(AND(AB$3&gt;=Inputs!$B$174,AB$3&lt;=Inputs!$B$175),Inputs!$B$173*(1+inf)^AA$1,0)</f>
        <v>0</v>
      </c>
      <c r="AC15" s="7">
        <f>IF(AND(AC$3&gt;=Inputs!$B$174,AC$3&lt;=Inputs!$B$175),Inputs!$B$173*(1+inf)^AB$1,0)</f>
        <v>0</v>
      </c>
      <c r="AD15" s="7">
        <f>IF(AND(AD$3&gt;=Inputs!$B$174,AD$3&lt;=Inputs!$B$175),Inputs!$B$173*(1+inf)^AC$1,0)</f>
        <v>0</v>
      </c>
      <c r="AE15" s="7">
        <f>IF(AND(AE$3&gt;=Inputs!$B$174,AE$3&lt;=Inputs!$B$175),Inputs!$B$173*(1+inf)^AD$1,0)</f>
        <v>0</v>
      </c>
      <c r="AF15" s="7">
        <f>IF(AND(AF$3&gt;=Inputs!$B$174,AF$3&lt;=Inputs!$B$175),Inputs!$B$173*(1+inf)^AE$1,0)</f>
        <v>0</v>
      </c>
      <c r="AG15" s="7">
        <f>IF(AND(AG$3&gt;=Inputs!$B$174,AG$3&lt;=Inputs!$B$175),Inputs!$B$173*(1+inf)^AF$1,0)</f>
        <v>0</v>
      </c>
      <c r="AH15" s="7">
        <f>IF(AND(AH$3&gt;=Inputs!$B$174,AH$3&lt;=Inputs!$B$175),Inputs!$B$173*(1+inf)^AG$1,0)</f>
        <v>0</v>
      </c>
      <c r="AI15" s="7">
        <f>IF(AND(AI$3&gt;=Inputs!$B$174,AI$3&lt;=Inputs!$B$175),Inputs!$B$173*(1+inf)^AH$1,0)</f>
        <v>0</v>
      </c>
      <c r="AJ15" s="7">
        <f>IF(AND(AJ$3&gt;=Inputs!$B$174,AJ$3&lt;=Inputs!$B$175),Inputs!$B$173*(1+inf)^AI$1,0)</f>
        <v>0</v>
      </c>
      <c r="AK15" s="7">
        <f>IF(AND(AK$3&gt;=Inputs!$B$174,AK$3&lt;=Inputs!$B$175),Inputs!$B$173*(1+inf)^AJ$1,0)</f>
        <v>0</v>
      </c>
      <c r="AL15" s="7">
        <f>IF(AND(AL$3&gt;=Inputs!$B$174,AL$3&lt;=Inputs!$B$175),Inputs!$B$173*(1+inf)^AK$1,0)</f>
        <v>0</v>
      </c>
      <c r="AM15" s="7">
        <f>IF(AND(AM$3&gt;=Inputs!$B$174,AM$3&lt;=Inputs!$B$175),Inputs!$B$173*(1+inf)^AL$1,0)</f>
        <v>0</v>
      </c>
    </row>
    <row r="16" spans="1:39" x14ac:dyDescent="0.2">
      <c r="A16" s="4" t="s">
        <v>139</v>
      </c>
      <c r="B16" s="8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7"/>
    </row>
    <row r="17" spans="1:39" x14ac:dyDescent="0.2">
      <c r="A17" s="3" t="str">
        <f>TEXT(Inputs!B132,"")</f>
        <v>Inheritance</v>
      </c>
      <c r="B17" s="8"/>
      <c r="C17" s="7">
        <f ca="1">IF(C$2=Inputs!$B134,Inputs!$B133,0)*(1+inf)^B$1</f>
        <v>0</v>
      </c>
      <c r="D17" s="7">
        <f ca="1">IF(D$2=Inputs!$B134,Inputs!$B133,0)*(1+inf)^C$1</f>
        <v>0</v>
      </c>
      <c r="E17" s="7">
        <f ca="1">IF(E$2=Inputs!$B134,Inputs!$B133,0)*(1+inf)^D$1</f>
        <v>0</v>
      </c>
      <c r="F17" s="7">
        <f ca="1">IF(F$2=Inputs!$B134,Inputs!$B133,0)*(1+inf)^E$1</f>
        <v>0</v>
      </c>
      <c r="G17" s="7">
        <f ca="1">IF(G$2=Inputs!$B134,Inputs!$B133,0)*(1+inf)^F$1</f>
        <v>0</v>
      </c>
      <c r="H17" s="7">
        <f ca="1">IF(H$2=Inputs!$B134,Inputs!$B133,0)*(1+inf)^G$1</f>
        <v>0</v>
      </c>
      <c r="I17" s="7">
        <f ca="1">IF(I$2=Inputs!$B134,Inputs!$B133,0)*(1+inf)^H$1</f>
        <v>0</v>
      </c>
      <c r="J17" s="7">
        <f ca="1">IF(J$2=Inputs!$B134,Inputs!$B133,0)*(1+inf)^I$1</f>
        <v>0</v>
      </c>
      <c r="K17" s="7">
        <f ca="1">IF(K$2=Inputs!$B134,Inputs!$B133,0)*(1+inf)^J$1</f>
        <v>0</v>
      </c>
      <c r="L17" s="7">
        <f ca="1">IF(L$2=Inputs!$B134,Inputs!$B133,0)*(1+inf)^K$1</f>
        <v>62443.14849738327</v>
      </c>
      <c r="M17" s="7">
        <f ca="1">IF(M$2=Inputs!$B134,Inputs!$B133,0)*(1+inf)^L$1</f>
        <v>0</v>
      </c>
      <c r="N17" s="7">
        <f ca="1">IF(N$2=Inputs!$B134,Inputs!$B133,0)*(1+inf)^M$1</f>
        <v>0</v>
      </c>
      <c r="O17" s="7">
        <f ca="1">IF(O$2=Inputs!$B134,Inputs!$B133,0)*(1+inf)^N$1</f>
        <v>0</v>
      </c>
      <c r="P17" s="7">
        <f ca="1">IF(P$2=Inputs!$B134,Inputs!$B133,0)*(1+inf)^O$1</f>
        <v>0</v>
      </c>
      <c r="Q17" s="7">
        <f ca="1">IF(Q$2=Inputs!$B134,Inputs!$B133,0)*(1+inf)^P$1</f>
        <v>0</v>
      </c>
      <c r="R17" s="7">
        <f ca="1">IF(R$2=Inputs!$B134,Inputs!$B133,0)*(1+inf)^Q$1</f>
        <v>0</v>
      </c>
      <c r="S17" s="7">
        <f ca="1">IF(S$2=Inputs!$B134,Inputs!$B133,0)*(1+inf)^R$1</f>
        <v>0</v>
      </c>
      <c r="T17" s="7">
        <f ca="1">IF(T$2=Inputs!$B134,Inputs!$B133,0)*(1+inf)^S$1</f>
        <v>0</v>
      </c>
      <c r="U17" s="7">
        <f ca="1">IF(U$2=Inputs!$B134,Inputs!$B133,0)*(1+inf)^T$1</f>
        <v>0</v>
      </c>
      <c r="V17" s="7">
        <f ca="1">IF(V$2=Inputs!$B134,Inputs!$B133,0)*(1+inf)^U$1</f>
        <v>0</v>
      </c>
      <c r="W17" s="7">
        <f ca="1">IF(W$2=Inputs!$B134,Inputs!$B133,0)*(1+inf)^V$1</f>
        <v>0</v>
      </c>
      <c r="X17" s="7">
        <f ca="1">IF(X$2=Inputs!$B134,Inputs!$B133,0)*(1+inf)^W$1</f>
        <v>0</v>
      </c>
      <c r="Y17" s="7">
        <f ca="1">IF(Y$2=Inputs!$B134,Inputs!$B133,0)*(1+inf)^X$1</f>
        <v>0</v>
      </c>
      <c r="Z17" s="7">
        <f ca="1">IF(Z$2=Inputs!$B134,Inputs!$B133,0)*(1+inf)^Y$1</f>
        <v>0</v>
      </c>
      <c r="AA17" s="7">
        <f ca="1">IF(AA$2=Inputs!$B134,Inputs!$B133,0)*(1+inf)^Z$1</f>
        <v>0</v>
      </c>
      <c r="AB17" s="7">
        <f ca="1">IF(AB$2=Inputs!$B134,Inputs!$B133,0)*(1+inf)^AA$1</f>
        <v>0</v>
      </c>
      <c r="AC17" s="7">
        <f ca="1">IF(AC$2=Inputs!$B134,Inputs!$B133,0)*(1+inf)^AB$1</f>
        <v>0</v>
      </c>
      <c r="AD17" s="7">
        <f ca="1">IF(AD$2=Inputs!$B134,Inputs!$B133,0)*(1+inf)^AC$1</f>
        <v>0</v>
      </c>
      <c r="AE17" s="7">
        <f ca="1">IF(AE$2=Inputs!$B134,Inputs!$B133,0)*(1+inf)^AD$1</f>
        <v>0</v>
      </c>
      <c r="AF17" s="7">
        <f ca="1">IF(AF$2=Inputs!$B134,Inputs!$B133,0)*(1+inf)^AE$1</f>
        <v>0</v>
      </c>
      <c r="AG17" s="7">
        <f ca="1">IF(AG$2=Inputs!$B134,Inputs!$B133,0)*(1+inf)^AF$1</f>
        <v>0</v>
      </c>
      <c r="AH17" s="7">
        <f ca="1">IF(AH$2=Inputs!$B134,Inputs!$B133,0)*(1+inf)^AG$1</f>
        <v>0</v>
      </c>
      <c r="AI17" s="7">
        <f ca="1">IF(AI$2=Inputs!$B134,Inputs!$B133,0)*(1+inf)^AH$1</f>
        <v>0</v>
      </c>
      <c r="AJ17" s="7">
        <f ca="1">IF(AJ$2=Inputs!$B134,Inputs!$B133,0)*(1+inf)^AI$1</f>
        <v>0</v>
      </c>
      <c r="AK17" s="7">
        <f ca="1">IF(AK$2=Inputs!$B134,Inputs!$B133,0)*(1+inf)^AJ$1</f>
        <v>0</v>
      </c>
      <c r="AL17" s="7">
        <f ca="1">IF(AL$2=Inputs!$B134,Inputs!$B133,0)*(1+inf)^AK$1</f>
        <v>0</v>
      </c>
      <c r="AM17" s="7">
        <f ca="1">IF(AM$2=Inputs!$B134,Inputs!$B133,0)*(1+inf)^AL$1</f>
        <v>0</v>
      </c>
    </row>
    <row r="18" spans="1:39" x14ac:dyDescent="0.2">
      <c r="A18" s="3" t="str">
        <f>TEXT(Inputs!B137,"")</f>
        <v>Sell Painting</v>
      </c>
      <c r="B18" s="8"/>
      <c r="C18" s="7">
        <f ca="1">IF(C$2=Inputs!$B139,Inputs!$B138,0)*(1+inf)^B$1</f>
        <v>0</v>
      </c>
      <c r="D18" s="7">
        <f ca="1">IF(D$2=Inputs!$B139,Inputs!$B138,0)*(1+inf)^C$1</f>
        <v>0</v>
      </c>
      <c r="E18" s="7">
        <f ca="1">IF(E$2=Inputs!$B139,Inputs!$B138,0)*(1+inf)^D$1</f>
        <v>0</v>
      </c>
      <c r="F18" s="7">
        <f ca="1">IF(F$2=Inputs!$B139,Inputs!$B138,0)*(1+inf)^E$1</f>
        <v>10768.906249999998</v>
      </c>
      <c r="G18" s="7">
        <f ca="1">IF(G$2=Inputs!$B139,Inputs!$B138,0)*(1+inf)^F$1</f>
        <v>0</v>
      </c>
      <c r="H18" s="7">
        <f ca="1">IF(H$2=Inputs!$B139,Inputs!$B138,0)*(1+inf)^G$1</f>
        <v>0</v>
      </c>
      <c r="I18" s="7">
        <f ca="1">IF(I$2=Inputs!$B139,Inputs!$B138,0)*(1+inf)^H$1</f>
        <v>0</v>
      </c>
      <c r="J18" s="7">
        <f ca="1">IF(J$2=Inputs!$B139,Inputs!$B138,0)*(1+inf)^I$1</f>
        <v>0</v>
      </c>
      <c r="K18" s="7">
        <f ca="1">IF(K$2=Inputs!$B139,Inputs!$B138,0)*(1+inf)^J$1</f>
        <v>0</v>
      </c>
      <c r="L18" s="7">
        <f ca="1">IF(L$2=Inputs!$B139,Inputs!$B138,0)*(1+inf)^K$1</f>
        <v>0</v>
      </c>
      <c r="M18" s="7">
        <f ca="1">IF(M$2=Inputs!$B139,Inputs!$B138,0)*(1+inf)^L$1</f>
        <v>0</v>
      </c>
      <c r="N18" s="7">
        <f ca="1">IF(N$2=Inputs!$B139,Inputs!$B138,0)*(1+inf)^M$1</f>
        <v>0</v>
      </c>
      <c r="O18" s="7">
        <f ca="1">IF(O$2=Inputs!$B139,Inputs!$B138,0)*(1+inf)^N$1</f>
        <v>0</v>
      </c>
      <c r="P18" s="7">
        <f ca="1">IF(P$2=Inputs!$B139,Inputs!$B138,0)*(1+inf)^O$1</f>
        <v>0</v>
      </c>
      <c r="Q18" s="7">
        <f ca="1">IF(Q$2=Inputs!$B139,Inputs!$B138,0)*(1+inf)^P$1</f>
        <v>0</v>
      </c>
      <c r="R18" s="7">
        <f ca="1">IF(R$2=Inputs!$B139,Inputs!$B138,0)*(1+inf)^Q$1</f>
        <v>0</v>
      </c>
      <c r="S18" s="7">
        <f ca="1">IF(S$2=Inputs!$B139,Inputs!$B138,0)*(1+inf)^R$1</f>
        <v>0</v>
      </c>
      <c r="T18" s="7">
        <f ca="1">IF(T$2=Inputs!$B139,Inputs!$B138,0)*(1+inf)^S$1</f>
        <v>0</v>
      </c>
      <c r="U18" s="7">
        <f ca="1">IF(U$2=Inputs!$B139,Inputs!$B138,0)*(1+inf)^T$1</f>
        <v>0</v>
      </c>
      <c r="V18" s="7">
        <f ca="1">IF(V$2=Inputs!$B139,Inputs!$B138,0)*(1+inf)^U$1</f>
        <v>0</v>
      </c>
      <c r="W18" s="7">
        <f ca="1">IF(W$2=Inputs!$B139,Inputs!$B138,0)*(1+inf)^V$1</f>
        <v>0</v>
      </c>
      <c r="X18" s="7">
        <f ca="1">IF(X$2=Inputs!$B139,Inputs!$B138,0)*(1+inf)^W$1</f>
        <v>0</v>
      </c>
      <c r="Y18" s="7">
        <f ca="1">IF(Y$2=Inputs!$B139,Inputs!$B138,0)*(1+inf)^X$1</f>
        <v>0</v>
      </c>
      <c r="Z18" s="7">
        <f ca="1">IF(Z$2=Inputs!$B139,Inputs!$B138,0)*(1+inf)^Y$1</f>
        <v>0</v>
      </c>
      <c r="AA18" s="7">
        <f ca="1">IF(AA$2=Inputs!$B139,Inputs!$B138,0)*(1+inf)^Z$1</f>
        <v>0</v>
      </c>
      <c r="AB18" s="7">
        <f ca="1">IF(AB$2=Inputs!$B139,Inputs!$B138,0)*(1+inf)^AA$1</f>
        <v>0</v>
      </c>
      <c r="AC18" s="7">
        <f ca="1">IF(AC$2=Inputs!$B139,Inputs!$B138,0)*(1+inf)^AB$1</f>
        <v>0</v>
      </c>
      <c r="AD18" s="7">
        <f ca="1">IF(AD$2=Inputs!$B139,Inputs!$B138,0)*(1+inf)^AC$1</f>
        <v>0</v>
      </c>
      <c r="AE18" s="7">
        <f ca="1">IF(AE$2=Inputs!$B139,Inputs!$B138,0)*(1+inf)^AD$1</f>
        <v>0</v>
      </c>
      <c r="AF18" s="7">
        <f ca="1">IF(AF$2=Inputs!$B139,Inputs!$B138,0)*(1+inf)^AE$1</f>
        <v>0</v>
      </c>
      <c r="AG18" s="7">
        <f ca="1">IF(AG$2=Inputs!$B139,Inputs!$B138,0)*(1+inf)^AF$1</f>
        <v>0</v>
      </c>
      <c r="AH18" s="7">
        <f ca="1">IF(AH$2=Inputs!$B139,Inputs!$B138,0)*(1+inf)^AG$1</f>
        <v>0</v>
      </c>
      <c r="AI18" s="7">
        <f ca="1">IF(AI$2=Inputs!$B139,Inputs!$B138,0)*(1+inf)^AH$1</f>
        <v>0</v>
      </c>
      <c r="AJ18" s="7">
        <f ca="1">IF(AJ$2=Inputs!$B139,Inputs!$B138,0)*(1+inf)^AI$1</f>
        <v>0</v>
      </c>
      <c r="AK18" s="7">
        <f ca="1">IF(AK$2=Inputs!$B139,Inputs!$B138,0)*(1+inf)^AJ$1</f>
        <v>0</v>
      </c>
      <c r="AL18" s="7">
        <f ca="1">IF(AL$2=Inputs!$B139,Inputs!$B138,0)*(1+inf)^AK$1</f>
        <v>0</v>
      </c>
      <c r="AM18" s="7">
        <f ca="1">IF(AM$2=Inputs!$B139,Inputs!$B138,0)*(1+inf)^AL$1</f>
        <v>0</v>
      </c>
    </row>
    <row r="19" spans="1:39" x14ac:dyDescent="0.2">
      <c r="A19" s="3" t="str">
        <f>TEXT(Inputs!B142,"")</f>
        <v>Sell Jewels</v>
      </c>
      <c r="B19" s="8"/>
      <c r="C19" s="7">
        <f ca="1">IF(C$2=Inputs!$B144,Inputs!$B143,0)*(1+inf)^B$1</f>
        <v>0</v>
      </c>
      <c r="D19" s="7">
        <f ca="1">IF(D$2=Inputs!$B144,Inputs!$B143,0)*(1+inf)^C$1</f>
        <v>0</v>
      </c>
      <c r="E19" s="7">
        <f ca="1">IF(E$2=Inputs!$B144,Inputs!$B143,0)*(1+inf)^D$1</f>
        <v>0</v>
      </c>
      <c r="F19" s="7">
        <f ca="1">IF(F$2=Inputs!$B144,Inputs!$B143,0)*(1+inf)^E$1</f>
        <v>0</v>
      </c>
      <c r="G19" s="7">
        <f ca="1">IF(G$2=Inputs!$B144,Inputs!$B143,0)*(1+inf)^F$1</f>
        <v>0</v>
      </c>
      <c r="H19" s="7">
        <f ca="1">IF(H$2=Inputs!$B144,Inputs!$B143,0)*(1+inf)^G$1</f>
        <v>0</v>
      </c>
      <c r="I19" s="7">
        <f ca="1">IF(I$2=Inputs!$B144,Inputs!$B143,0)*(1+inf)^H$1</f>
        <v>5798.4670910644509</v>
      </c>
      <c r="J19" s="7">
        <f ca="1">IF(J$2=Inputs!$B144,Inputs!$B143,0)*(1+inf)^I$1</f>
        <v>0</v>
      </c>
      <c r="K19" s="7">
        <f ca="1">IF(K$2=Inputs!$B144,Inputs!$B143,0)*(1+inf)^J$1</f>
        <v>0</v>
      </c>
      <c r="L19" s="7">
        <f ca="1">IF(L$2=Inputs!$B144,Inputs!$B143,0)*(1+inf)^K$1</f>
        <v>0</v>
      </c>
      <c r="M19" s="7">
        <f ca="1">IF(M$2=Inputs!$B144,Inputs!$B143,0)*(1+inf)^L$1</f>
        <v>0</v>
      </c>
      <c r="N19" s="7">
        <f ca="1">IF(N$2=Inputs!$B144,Inputs!$B143,0)*(1+inf)^M$1</f>
        <v>0</v>
      </c>
      <c r="O19" s="7">
        <f ca="1">IF(O$2=Inputs!$B144,Inputs!$B143,0)*(1+inf)^N$1</f>
        <v>0</v>
      </c>
      <c r="P19" s="7">
        <f ca="1">IF(P$2=Inputs!$B144,Inputs!$B143,0)*(1+inf)^O$1</f>
        <v>0</v>
      </c>
      <c r="Q19" s="7">
        <f ca="1">IF(Q$2=Inputs!$B144,Inputs!$B143,0)*(1+inf)^P$1</f>
        <v>0</v>
      </c>
      <c r="R19" s="7">
        <f ca="1">IF(R$2=Inputs!$B144,Inputs!$B143,0)*(1+inf)^Q$1</f>
        <v>0</v>
      </c>
      <c r="S19" s="7">
        <f ca="1">IF(S$2=Inputs!$B144,Inputs!$B143,0)*(1+inf)^R$1</f>
        <v>0</v>
      </c>
      <c r="T19" s="7">
        <f ca="1">IF(T$2=Inputs!$B144,Inputs!$B143,0)*(1+inf)^S$1</f>
        <v>0</v>
      </c>
      <c r="U19" s="7">
        <f ca="1">IF(U$2=Inputs!$B144,Inputs!$B143,0)*(1+inf)^T$1</f>
        <v>0</v>
      </c>
      <c r="V19" s="7">
        <f ca="1">IF(V$2=Inputs!$B144,Inputs!$B143,0)*(1+inf)^U$1</f>
        <v>0</v>
      </c>
      <c r="W19" s="7">
        <f ca="1">IF(W$2=Inputs!$B144,Inputs!$B143,0)*(1+inf)^V$1</f>
        <v>0</v>
      </c>
      <c r="X19" s="7">
        <f ca="1">IF(X$2=Inputs!$B144,Inputs!$B143,0)*(1+inf)^W$1</f>
        <v>0</v>
      </c>
      <c r="Y19" s="7">
        <f ca="1">IF(Y$2=Inputs!$B144,Inputs!$B143,0)*(1+inf)^X$1</f>
        <v>0</v>
      </c>
      <c r="Z19" s="7">
        <f ca="1">IF(Z$2=Inputs!$B144,Inputs!$B143,0)*(1+inf)^Y$1</f>
        <v>0</v>
      </c>
      <c r="AA19" s="7">
        <f ca="1">IF(AA$2=Inputs!$B144,Inputs!$B143,0)*(1+inf)^Z$1</f>
        <v>0</v>
      </c>
      <c r="AB19" s="7">
        <f ca="1">IF(AB$2=Inputs!$B144,Inputs!$B143,0)*(1+inf)^AA$1</f>
        <v>0</v>
      </c>
      <c r="AC19" s="7">
        <f ca="1">IF(AC$2=Inputs!$B144,Inputs!$B143,0)*(1+inf)^AB$1</f>
        <v>0</v>
      </c>
      <c r="AD19" s="7">
        <f ca="1">IF(AD$2=Inputs!$B144,Inputs!$B143,0)*(1+inf)^AC$1</f>
        <v>0</v>
      </c>
      <c r="AE19" s="7">
        <f ca="1">IF(AE$2=Inputs!$B144,Inputs!$B143,0)*(1+inf)^AD$1</f>
        <v>0</v>
      </c>
      <c r="AF19" s="7">
        <f ca="1">IF(AF$2=Inputs!$B144,Inputs!$B143,0)*(1+inf)^AE$1</f>
        <v>0</v>
      </c>
      <c r="AG19" s="7">
        <f ca="1">IF(AG$2=Inputs!$B144,Inputs!$B143,0)*(1+inf)^AF$1</f>
        <v>0</v>
      </c>
      <c r="AH19" s="7">
        <f ca="1">IF(AH$2=Inputs!$B144,Inputs!$B143,0)*(1+inf)^AG$1</f>
        <v>0</v>
      </c>
      <c r="AI19" s="7">
        <f ca="1">IF(AI$2=Inputs!$B144,Inputs!$B143,0)*(1+inf)^AH$1</f>
        <v>0</v>
      </c>
      <c r="AJ19" s="7">
        <f ca="1">IF(AJ$2=Inputs!$B144,Inputs!$B143,0)*(1+inf)^AI$1</f>
        <v>0</v>
      </c>
      <c r="AK19" s="7">
        <f ca="1">IF(AK$2=Inputs!$B144,Inputs!$B143,0)*(1+inf)^AJ$1</f>
        <v>0</v>
      </c>
      <c r="AL19" s="7">
        <f ca="1">IF(AL$2=Inputs!$B144,Inputs!$B143,0)*(1+inf)^AK$1</f>
        <v>0</v>
      </c>
      <c r="AM19" s="7">
        <f ca="1">IF(AM$2=Inputs!$B144,Inputs!$B143,0)*(1+inf)^AL$1</f>
        <v>0</v>
      </c>
    </row>
    <row r="20" spans="1:39" x14ac:dyDescent="0.2">
      <c r="A20" s="4" t="s">
        <v>8</v>
      </c>
      <c r="C20" s="7">
        <f ca="1">MAX(AVERAGE(C57,C57+SUM(C5:C19)-C54)*Inputs!$B$181,0)</f>
        <v>1520.2083333333337</v>
      </c>
      <c r="D20" s="7">
        <f ca="1">MAX(AVERAGE(D57,D57+SUM(D5:D19)-D54)*Inputs!$B$181,0)</f>
        <v>2102.1947916666672</v>
      </c>
      <c r="E20" s="7">
        <f ca="1">MAX(AVERAGE(E57,E57+SUM(E5:E19)-E54)*Inputs!$B$181,0)</f>
        <v>2776.5473697916677</v>
      </c>
      <c r="F20" s="7">
        <f ca="1">MAX(AVERAGE(F57,F57+SUM(F5:F19)-F54)*Inputs!$B$181,0)</f>
        <v>3294.563089376577</v>
      </c>
      <c r="G20" s="7">
        <f ca="1">MAX(AVERAGE(G57,G57+SUM(G5:G19)-G54)*Inputs!$B$181,0)</f>
        <v>3966.0379819315772</v>
      </c>
      <c r="H20" s="7">
        <f ca="1">MAX(AVERAGE(H57,H57+SUM(H5:H19)-H54)*Inputs!$B$181,0)</f>
        <v>5113.9130339282647</v>
      </c>
      <c r="I20" s="7">
        <f ca="1">MAX(AVERAGE(I57,I57+SUM(I5:I19)-I54)*Inputs!$B$181,0)</f>
        <v>6643.3856548943768</v>
      </c>
      <c r="J20" s="7">
        <f ca="1">MAX(AVERAGE(J57,J57+SUM(J5:J19)-J54)*Inputs!$B$181,0)</f>
        <v>8458.2798675753347</v>
      </c>
      <c r="K20" s="7">
        <f ca="1">MAX(AVERAGE(K57,K57+SUM(K5:K19)-K54)*Inputs!$B$181,0)</f>
        <v>10099.441055150819</v>
      </c>
      <c r="L20" s="7">
        <f ca="1">MAX(AVERAGE(L57,L57+SUM(L5:L19)-L54)*Inputs!$B$181,0)</f>
        <v>12660.581613030394</v>
      </c>
      <c r="M20" s="7">
        <f ca="1">MAX(AVERAGE(M57,M57+SUM(M5:M19)-M54)*Inputs!$B$181,0)</f>
        <v>15212.211146783149</v>
      </c>
      <c r="N20" s="7">
        <f ca="1">MAX(AVERAGE(N57,N57+SUM(N5:N19)-N54)*Inputs!$B$181,0)</f>
        <v>17336.680414348673</v>
      </c>
      <c r="O20" s="7">
        <f ca="1">MAX(AVERAGE(O57,O57+SUM(O5:O19)-O54)*Inputs!$B$181,0)</f>
        <v>20200.644210124279</v>
      </c>
      <c r="P20" s="7">
        <f ca="1">MAX(AVERAGE(P57,P57+SUM(P5:P19)-P54)*Inputs!$B$181,0)</f>
        <v>23217.094430802925</v>
      </c>
      <c r="Q20" s="7">
        <f ca="1">MAX(AVERAGE(Q57,Q57+SUM(Q5:Q19)-Q54)*Inputs!$B$181,0)</f>
        <v>26392.469130068599</v>
      </c>
      <c r="R20" s="7">
        <f ca="1">MAX(AVERAGE(R57,R57+SUM(R5:R19)-R54)*Inputs!$B$181,0)</f>
        <v>29733.451071568259</v>
      </c>
      <c r="S20" s="7">
        <f ca="1">MAX(AVERAGE(S57,S57+SUM(S5:S19)-S54)*Inputs!$B$181,0)</f>
        <v>33246.976483965271</v>
      </c>
      <c r="T20" s="7">
        <f ca="1">MAX(AVERAGE(T57,T57+SUM(T5:T19)-T54)*Inputs!$B$181,0)</f>
        <v>35591.720137065575</v>
      </c>
      <c r="U20" s="7">
        <f ca="1">MAX(AVERAGE(U57,U57+SUM(U5:U19)-U54)*Inputs!$B$181,0)</f>
        <v>36796.940901928079</v>
      </c>
      <c r="V20" s="7">
        <f ca="1">MAX(AVERAGE(V57,V57+SUM(V5:V19)-V54)*Inputs!$B$181,0)</f>
        <v>38144.908849220374</v>
      </c>
      <c r="W20" s="7">
        <f ca="1">MAX(AVERAGE(W57,W57+SUM(W5:W19)-W54)*Inputs!$B$181,0)</f>
        <v>39544.746974211703</v>
      </c>
      <c r="X20" s="7">
        <f ca="1">MAX(AVERAGE(X57,X57+SUM(X5:X19)-X54)*Inputs!$B$181,0)</f>
        <v>40998.430401871912</v>
      </c>
      <c r="Y20" s="7">
        <f ca="1">MAX(AVERAGE(Y57,Y57+SUM(Y5:Y19)-Y54)*Inputs!$B$181,0)</f>
        <v>42249.771607802817</v>
      </c>
      <c r="Z20" s="7">
        <f ca="1">MAX(AVERAGE(Z57,Z57+SUM(Z5:Z19)-Z54)*Inputs!$B$181,0)</f>
        <v>43287.982672277169</v>
      </c>
      <c r="AA20" s="7">
        <f ca="1">MAX(AVERAGE(AA57,AA57+SUM(AA5:AA19)-AA54)*Inputs!$B$181,0)</f>
        <v>44360.105585411999</v>
      </c>
      <c r="AB20" s="7">
        <f ca="1">MAX(AVERAGE(AB57,AB57+SUM(AB5:AB19)-AB54)*Inputs!$B$181,0)</f>
        <v>45467.439279805782</v>
      </c>
      <c r="AC20" s="7">
        <f ca="1">MAX(AVERAGE(AC57,AC57+SUM(AC5:AC19)-AC54)*Inputs!$B$181,0)</f>
        <v>46611.33400644394</v>
      </c>
      <c r="AD20" s="7">
        <f ca="1">MAX(AVERAGE(AD57,AD57+SUM(AD5:AD19)-AD54)*Inputs!$B$181,0)</f>
        <v>47793.193315785145</v>
      </c>
      <c r="AE20" s="7">
        <f ca="1">MAX(AVERAGE(AE57,AE57+SUM(AE5:AE19)-AE54)*Inputs!$B$181,0)</f>
        <v>49139.257051310371</v>
      </c>
      <c r="AF20" s="7">
        <f ca="1">MAX(AVERAGE(AF57,AF57+SUM(AF5:AF19)-AF54)*Inputs!$B$181,0)</f>
        <v>50657.280650434433</v>
      </c>
      <c r="AG20" s="7">
        <f ca="1">MAX(AVERAGE(AG57,AG57+SUM(AG5:AG19)-AG54)*Inputs!$B$181,0)</f>
        <v>52230.532272349439</v>
      </c>
      <c r="AH20" s="7">
        <f ca="1">MAX(AVERAGE(AH57,AH57+SUM(AH5:AH19)-AH54)*Inputs!$B$181,0)</f>
        <v>53861.125719800213</v>
      </c>
      <c r="AI20" s="7">
        <f ca="1">MAX(AVERAGE(AI57,AI57+SUM(AI5:AI19)-AI54)*Inputs!$B$181,0)</f>
        <v>55551.255003145248</v>
      </c>
      <c r="AJ20" s="7">
        <f ca="1">MAX(AVERAGE(AJ57,AJ57+SUM(AJ5:AJ19)-AJ54)*Inputs!$B$181,0)</f>
        <v>57303.197300660366</v>
      </c>
      <c r="AK20" s="7">
        <f ca="1">MAX(AVERAGE(AK57,AK57+SUM(AK5:AK19)-AK54)*Inputs!$B$181,0)</f>
        <v>59119.316024859319</v>
      </c>
      <c r="AL20" s="7">
        <f ca="1">MAX(AVERAGE(AL57,AL57+SUM(AL5:AL19)-AL54)*Inputs!$B$181,0)</f>
        <v>61002.063998525897</v>
      </c>
      <c r="AM20" s="7">
        <f ca="1">MAX(AVERAGE(AM57,AM57+SUM(AM5:AM19)-AM54)*Inputs!$B$181,0)</f>
        <v>62953.98674427795</v>
      </c>
    </row>
    <row r="21" spans="1:39" x14ac:dyDescent="0.2">
      <c r="C21" s="9">
        <f ca="1">SUM(C4:C20)</f>
        <v>104436.87500000001</v>
      </c>
      <c r="D21" s="9">
        <f t="shared" ref="D21:AM21" ca="1" si="35">SUM(D4:D20)</f>
        <v>122173.02812500001</v>
      </c>
      <c r="E21" s="9">
        <f t="shared" ca="1" si="35"/>
        <v>126439.255703125</v>
      </c>
      <c r="F21" s="9">
        <f t="shared" ca="1" si="35"/>
        <v>141425.55267270989</v>
      </c>
      <c r="G21" s="9">
        <f t="shared" ca="1" si="35"/>
        <v>135138.2149090149</v>
      </c>
      <c r="H21" s="9">
        <f t="shared" ca="1" si="35"/>
        <v>140210.21713991783</v>
      </c>
      <c r="I21" s="9">
        <f t="shared" ca="1" si="35"/>
        <v>151579.7318929992</v>
      </c>
      <c r="J21" s="9">
        <f t="shared" ca="1" si="35"/>
        <v>151758.69845484479</v>
      </c>
      <c r="K21" s="9">
        <f t="shared" ca="1" si="35"/>
        <v>157686.98534250166</v>
      </c>
      <c r="L21" s="9">
        <f t="shared" ca="1" si="35"/>
        <v>227106.71669740992</v>
      </c>
      <c r="M21" s="9">
        <f t="shared" ca="1" si="35"/>
        <v>187123.81323204609</v>
      </c>
      <c r="N21" s="9">
        <f t="shared" ca="1" si="35"/>
        <v>191691.85132847328</v>
      </c>
      <c r="O21" s="9">
        <f t="shared" ca="1" si="35"/>
        <v>199707.7450522045</v>
      </c>
      <c r="P21" s="9">
        <f t="shared" ca="1" si="35"/>
        <v>208028.71496869074</v>
      </c>
      <c r="Q21" s="9">
        <f t="shared" ca="1" si="35"/>
        <v>216665.72762140195</v>
      </c>
      <c r="R21" s="9">
        <f t="shared" ca="1" si="35"/>
        <v>225630.12888838316</v>
      </c>
      <c r="S21" s="9">
        <f t="shared" ca="1" si="35"/>
        <v>234933.65674529475</v>
      </c>
      <c r="T21" s="9">
        <f t="shared" ca="1" si="35"/>
        <v>135358.0120660885</v>
      </c>
      <c r="U21" s="9">
        <f t="shared" ca="1" si="35"/>
        <v>139343.19503225689</v>
      </c>
      <c r="V21" s="9">
        <f t="shared" ca="1" si="35"/>
        <v>143549.19838298013</v>
      </c>
      <c r="W21" s="9">
        <f t="shared" ca="1" si="35"/>
        <v>147887.35416799338</v>
      </c>
      <c r="X21" s="9">
        <f t="shared" ca="1" si="35"/>
        <v>152361.90950982636</v>
      </c>
      <c r="Y21" s="9">
        <f t="shared" ca="1" si="35"/>
        <v>136060.15685885306</v>
      </c>
      <c r="Z21" s="9">
        <f t="shared" ca="1" si="35"/>
        <v>139774.95376905255</v>
      </c>
      <c r="AA21" s="9">
        <f t="shared" ca="1" si="35"/>
        <v>143600.51696048907</v>
      </c>
      <c r="AB21" s="9">
        <f t="shared" ca="1" si="35"/>
        <v>147540.36492016856</v>
      </c>
      <c r="AC21" s="9">
        <f t="shared" ca="1" si="35"/>
        <v>151598.13188815181</v>
      </c>
      <c r="AD21" s="9">
        <f t="shared" ca="1" si="35"/>
        <v>155777.57171788183</v>
      </c>
      <c r="AE21" s="9">
        <f t="shared" ca="1" si="35"/>
        <v>160207.34280400601</v>
      </c>
      <c r="AF21" s="9">
        <f t="shared" ca="1" si="35"/>
        <v>164897.68937421034</v>
      </c>
      <c r="AG21" s="9">
        <f t="shared" ca="1" si="35"/>
        <v>169734.44066630054</v>
      </c>
      <c r="AH21" s="9">
        <f t="shared" ca="1" si="35"/>
        <v>174722.34595924331</v>
      </c>
      <c r="AI21" s="9">
        <f t="shared" ca="1" si="35"/>
        <v>179866.31130828694</v>
      </c>
      <c r="AJ21" s="9">
        <f t="shared" ca="1" si="35"/>
        <v>185171.40473993449</v>
      </c>
      <c r="AK21" s="9">
        <f t="shared" ca="1" si="35"/>
        <v>190642.86161841426</v>
      </c>
      <c r="AL21" s="9">
        <f t="shared" ca="1" si="35"/>
        <v>196286.09018926771</v>
      </c>
      <c r="AM21" s="9">
        <f t="shared" ca="1" si="35"/>
        <v>202106.67730585672</v>
      </c>
    </row>
    <row r="22" spans="1:39" ht="19" x14ac:dyDescent="0.25">
      <c r="A22" s="12" t="s">
        <v>18</v>
      </c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7"/>
      <c r="AK22" s="7"/>
      <c r="AL22" s="7"/>
      <c r="AM22" s="7"/>
    </row>
    <row r="23" spans="1:39" x14ac:dyDescent="0.2">
      <c r="A23" s="4" t="s">
        <v>71</v>
      </c>
      <c r="C23" s="7">
        <f>Inputs!B97</f>
        <v>1000</v>
      </c>
      <c r="D23" s="7">
        <v>0</v>
      </c>
      <c r="E23" s="7">
        <v>0</v>
      </c>
      <c r="F23" s="7">
        <v>0</v>
      </c>
      <c r="G23" s="7">
        <v>0</v>
      </c>
      <c r="H23" s="7">
        <v>0</v>
      </c>
      <c r="I23" s="7">
        <v>0</v>
      </c>
      <c r="J23" s="7">
        <v>0</v>
      </c>
      <c r="K23" s="7">
        <v>0</v>
      </c>
      <c r="L23" s="7">
        <v>0</v>
      </c>
      <c r="M23" s="7">
        <v>0</v>
      </c>
      <c r="N23" s="7">
        <v>0</v>
      </c>
      <c r="O23" s="7">
        <v>0</v>
      </c>
      <c r="P23" s="7">
        <v>0</v>
      </c>
      <c r="Q23" s="7">
        <v>0</v>
      </c>
      <c r="R23" s="7">
        <v>0</v>
      </c>
      <c r="S23" s="7">
        <v>0</v>
      </c>
      <c r="T23" s="7">
        <v>0</v>
      </c>
      <c r="U23" s="7">
        <v>0</v>
      </c>
      <c r="V23" s="7">
        <v>0</v>
      </c>
      <c r="W23" s="7">
        <v>0</v>
      </c>
      <c r="X23" s="7">
        <v>0</v>
      </c>
      <c r="Y23" s="7">
        <v>0</v>
      </c>
      <c r="Z23" s="7">
        <v>0</v>
      </c>
      <c r="AA23" s="7">
        <v>0</v>
      </c>
      <c r="AB23" s="7">
        <v>0</v>
      </c>
      <c r="AC23" s="7">
        <v>0</v>
      </c>
      <c r="AD23" s="7">
        <v>0</v>
      </c>
      <c r="AE23" s="7">
        <v>0</v>
      </c>
      <c r="AF23" s="7">
        <v>0</v>
      </c>
      <c r="AG23" s="7">
        <v>0</v>
      </c>
      <c r="AH23" s="7">
        <v>0</v>
      </c>
      <c r="AI23" s="7">
        <v>0</v>
      </c>
      <c r="AJ23" s="7">
        <v>0</v>
      </c>
      <c r="AK23" s="7">
        <v>0</v>
      </c>
      <c r="AL23" s="7">
        <v>0</v>
      </c>
      <c r="AM23" s="7">
        <v>0</v>
      </c>
    </row>
    <row r="24" spans="1:39" x14ac:dyDescent="0.2">
      <c r="A24" s="4" t="s">
        <v>13</v>
      </c>
      <c r="C24" s="7">
        <f ca="1">MIN(IF(B$1=0,MthRem,12), MAX(Inputs!$G$15-IF(B$1=0,0,B$1*12+MthOff), 0))*Inputs!$B$17</f>
        <v>8000</v>
      </c>
      <c r="D24" s="7">
        <f ca="1">MIN(IF(C$1=0,MthRem,12), MAX(Inputs!$G$15-IF(C$1=0,0,C$1*12+MthOff), 0))*Inputs!$B$17</f>
        <v>9600</v>
      </c>
      <c r="E24" s="7">
        <f ca="1">MIN(IF(D$1=0,MthRem,12), MAX(Inputs!$G$15-IF(D$1=0,0,D$1*12+MthOff), 0))*Inputs!$B$17</f>
        <v>9600</v>
      </c>
      <c r="F24" s="7">
        <f ca="1">MIN(IF(E$1=0,MthRem,12), MAX(Inputs!$G$15-IF(E$1=0,0,E$1*12+MthOff), 0))*Inputs!$B$17</f>
        <v>9600</v>
      </c>
      <c r="G24" s="7">
        <f ca="1">MIN(IF(F$1=0,MthRem,12), MAX(Inputs!$G$15-IF(F$1=0,0,F$1*12+MthOff), 0))*Inputs!$B$17</f>
        <v>9600</v>
      </c>
      <c r="H24" s="7">
        <f ca="1">MIN(IF(G$1=0,MthRem,12), MAX(Inputs!$G$15-IF(G$1=0,0,G$1*12+MthOff), 0))*Inputs!$B$17</f>
        <v>8035.6231080800517</v>
      </c>
      <c r="I24" s="7">
        <f ca="1">MIN(IF(H$1=0,MthRem,12), MAX(Inputs!$G$15-IF(H$1=0,0,H$1*12+MthOff), 0))*Inputs!$B$17</f>
        <v>0</v>
      </c>
      <c r="J24" s="7">
        <f ca="1">MIN(IF(I$1=0,MthRem,12), MAX(Inputs!$G$15-IF(I$1=0,0,I$1*12+MthOff), 0))*Inputs!$B$17</f>
        <v>0</v>
      </c>
      <c r="K24" s="7">
        <f ca="1">MIN(IF(J$1=0,MthRem,12), MAX(Inputs!$G$15-IF(J$1=0,0,J$1*12+MthOff), 0))*Inputs!$B$17</f>
        <v>0</v>
      </c>
      <c r="L24" s="7">
        <f ca="1">MIN(IF(K$1=0,MthRem,12), MAX(Inputs!$G$15-IF(K$1=0,0,K$1*12+MthOff), 0))*Inputs!$B$17</f>
        <v>0</v>
      </c>
      <c r="M24" s="7">
        <f ca="1">MIN(IF(L$1=0,MthRem,12), MAX(Inputs!$G$15-IF(L$1=0,0,L$1*12+MthOff), 0))*Inputs!$B$17</f>
        <v>0</v>
      </c>
      <c r="N24" s="7">
        <f ca="1">MIN(IF(M$1=0,MthRem,12), MAX(Inputs!$G$15-IF(M$1=0,0,M$1*12+MthOff), 0))*Inputs!$B$17</f>
        <v>0</v>
      </c>
      <c r="O24" s="7">
        <f ca="1">MIN(IF(N$1=0,MthRem,12), MAX(Inputs!$G$15-IF(N$1=0,0,N$1*12+MthOff), 0))*Inputs!$B$17</f>
        <v>0</v>
      </c>
      <c r="P24" s="7">
        <f ca="1">MIN(IF(O$1=0,MthRem,12), MAX(Inputs!$G$15-IF(O$1=0,0,O$1*12+MthOff), 0))*Inputs!$B$17</f>
        <v>0</v>
      </c>
      <c r="Q24" s="7">
        <f ca="1">MIN(IF(P$1=0,MthRem,12), MAX(Inputs!$G$15-IF(P$1=0,0,P$1*12+MthOff), 0))*Inputs!$B$17</f>
        <v>0</v>
      </c>
      <c r="R24" s="7">
        <f ca="1">MIN(IF(Q$1=0,MthRem,12), MAX(Inputs!$G$15-IF(Q$1=0,0,Q$1*12+MthOff), 0))*Inputs!$B$17</f>
        <v>0</v>
      </c>
      <c r="S24" s="7">
        <f ca="1">MIN(IF(R$1=0,MthRem,12), MAX(Inputs!$G$15-IF(R$1=0,0,R$1*12+MthOff), 0))*Inputs!$B$17</f>
        <v>0</v>
      </c>
      <c r="T24" s="7">
        <f ca="1">MIN(IF(S$1=0,MthRem,12), MAX(Inputs!$G$15-IF(S$1=0,0,S$1*12+MthOff), 0))*Inputs!$B$17</f>
        <v>0</v>
      </c>
      <c r="U24" s="7">
        <f ca="1">MIN(IF(T$1=0,MthRem,12), MAX(Inputs!$G$15-IF(T$1=0,0,T$1*12+MthOff), 0))*Inputs!$B$17</f>
        <v>0</v>
      </c>
      <c r="V24" s="7">
        <f ca="1">MIN(IF(U$1=0,MthRem,12), MAX(Inputs!$G$15-IF(U$1=0,0,U$1*12+MthOff), 0))*Inputs!$B$17</f>
        <v>0</v>
      </c>
      <c r="W24" s="7">
        <f ca="1">MIN(IF(V$1=0,MthRem,12), MAX(Inputs!$G$15-IF(V$1=0,0,V$1*12+MthOff), 0))*Inputs!$B$17</f>
        <v>0</v>
      </c>
      <c r="X24" s="7">
        <f ca="1">MIN(IF(W$1=0,MthRem,12), MAX(Inputs!$G$15-IF(W$1=0,0,W$1*12+MthOff), 0))*Inputs!$B$17</f>
        <v>0</v>
      </c>
      <c r="Y24" s="7">
        <f ca="1">MIN(IF(X$1=0,MthRem,12), MAX(Inputs!$G$15-IF(X$1=0,0,X$1*12+MthOff), 0))*Inputs!$B$17</f>
        <v>0</v>
      </c>
      <c r="Z24" s="7">
        <f ca="1">MIN(IF(Y$1=0,MthRem,12), MAX(Inputs!$G$15-IF(Y$1=0,0,Y$1*12+MthOff), 0))*Inputs!$B$17</f>
        <v>0</v>
      </c>
      <c r="AA24" s="7">
        <f ca="1">MIN(IF(Z$1=0,MthRem,12), MAX(Inputs!$G$15-IF(Z$1=0,0,Z$1*12+MthOff), 0))*Inputs!$B$17</f>
        <v>0</v>
      </c>
      <c r="AB24" s="7">
        <f ca="1">MIN(IF(AA$1=0,MthRem,12), MAX(Inputs!$G$15-IF(AA$1=0,0,AA$1*12+MthOff), 0))*Inputs!$B$17</f>
        <v>0</v>
      </c>
      <c r="AC24" s="7">
        <f ca="1">MIN(IF(AB$1=0,MthRem,12), MAX(Inputs!$G$15-IF(AB$1=0,0,AB$1*12+MthOff), 0))*Inputs!$B$17</f>
        <v>0</v>
      </c>
      <c r="AD24" s="7">
        <f ca="1">MIN(IF(AC$1=0,MthRem,12), MAX(Inputs!$G$15-IF(AC$1=0,0,AC$1*12+MthOff), 0))*Inputs!$B$17</f>
        <v>0</v>
      </c>
      <c r="AE24" s="7">
        <f ca="1">MIN(IF(AD$1=0,MthRem,12), MAX(Inputs!$G$15-IF(AD$1=0,0,AD$1*12+MthOff), 0))*Inputs!$B$17</f>
        <v>0</v>
      </c>
      <c r="AF24" s="7">
        <f ca="1">MIN(IF(AE$1=0,MthRem,12), MAX(Inputs!$G$15-IF(AE$1=0,0,AE$1*12+MthOff), 0))*Inputs!$B$17</f>
        <v>0</v>
      </c>
      <c r="AG24" s="7">
        <f ca="1">MIN(IF(AF$1=0,MthRem,12), MAX(Inputs!$G$15-IF(AF$1=0,0,AF$1*12+MthOff), 0))*Inputs!$B$17</f>
        <v>0</v>
      </c>
      <c r="AH24" s="7">
        <f ca="1">MIN(IF(AG$1=0,MthRem,12), MAX(Inputs!$G$15-IF(AG$1=0,0,AG$1*12+MthOff), 0))*Inputs!$B$17</f>
        <v>0</v>
      </c>
      <c r="AI24" s="7">
        <f ca="1">MIN(IF(AH$1=0,MthRem,12), MAX(Inputs!$G$15-IF(AH$1=0,0,AH$1*12+MthOff), 0))*Inputs!$B$17</f>
        <v>0</v>
      </c>
      <c r="AJ24" s="7">
        <f ca="1">MIN(IF(AI$1=0,MthRem,12), MAX(Inputs!$G$15-IF(AI$1=0,0,AI$1*12+MthOff), 0))*Inputs!$B$17</f>
        <v>0</v>
      </c>
      <c r="AK24" s="7">
        <f ca="1">MIN(IF(AJ$1=0,MthRem,12), MAX(Inputs!$G$15-IF(AJ$1=0,0,AJ$1*12+MthOff), 0))*Inputs!$B$17</f>
        <v>0</v>
      </c>
      <c r="AL24" s="7">
        <f ca="1">MIN(IF(AK$1=0,MthRem,12), MAX(Inputs!$G$15-IF(AK$1=0,0,AK$1*12+MthOff), 0))*Inputs!$B$17</f>
        <v>0</v>
      </c>
      <c r="AM24" s="7">
        <f ca="1">MIN(IF(AL$1=0,MthRem,12), MAX(Inputs!$G$15-IF(AL$1=0,0,AL$1*12+MthOff), 0))*Inputs!$B$17</f>
        <v>0</v>
      </c>
    </row>
    <row r="25" spans="1:39" x14ac:dyDescent="0.2">
      <c r="A25" s="4" t="s">
        <v>53</v>
      </c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7"/>
      <c r="AJ25" s="7"/>
      <c r="AK25" s="7"/>
      <c r="AL25" s="7"/>
      <c r="AM25" s="7"/>
    </row>
    <row r="26" spans="1:39" x14ac:dyDescent="0.2">
      <c r="A26" s="3" t="str">
        <f>TEXT(Inputs!$B$60,"")</f>
        <v>Sliema</v>
      </c>
      <c r="C26" s="7">
        <f ca="1">MIN(IF(B$1=0,MthRem,12), MAX(Inputs!$G$100-IF(B$1=0,0,B$1*12+MthOff), 0))*Inputs!$B$102</f>
        <v>5000</v>
      </c>
      <c r="D26" s="7">
        <f ca="1">MIN(IF(C$1=0,MthRem,12), MAX(Inputs!$G$100-IF(C$1=0,0,C$1*12+MthOff), 0))*Inputs!$B$102</f>
        <v>6000</v>
      </c>
      <c r="E26" s="7">
        <f ca="1">MIN(IF(D$1=0,MthRem,12), MAX(Inputs!$G$100-IF(D$1=0,0,D$1*12+MthOff), 0))*Inputs!$B$102</f>
        <v>6000</v>
      </c>
      <c r="F26" s="7">
        <f ca="1">MIN(IF(E$1=0,MthRem,12), MAX(Inputs!$G$100-IF(E$1=0,0,E$1*12+MthOff), 0))*Inputs!$B$102</f>
        <v>6000</v>
      </c>
      <c r="G26" s="7">
        <f ca="1">MIN(IF(F$1=0,MthRem,12), MAX(Inputs!$G$100-IF(F$1=0,0,F$1*12+MthOff), 0))*Inputs!$B$102</f>
        <v>6000</v>
      </c>
      <c r="H26" s="7">
        <f ca="1">MIN(IF(G$1=0,MthRem,12), MAX(Inputs!$G$100-IF(G$1=0,0,G$1*12+MthOff), 0))*Inputs!$B$102</f>
        <v>6000</v>
      </c>
      <c r="I26" s="7">
        <f ca="1">MIN(IF(H$1=0,MthRem,12), MAX(Inputs!$G$100-IF(H$1=0,0,H$1*12+MthOff), 0))*Inputs!$B$102</f>
        <v>6000</v>
      </c>
      <c r="J26" s="7">
        <f ca="1">MIN(IF(I$1=0,MthRem,12), MAX(Inputs!$G$100-IF(I$1=0,0,I$1*12+MthOff), 0))*Inputs!$B$102</f>
        <v>6000</v>
      </c>
      <c r="K26" s="7">
        <f ca="1">MIN(IF(J$1=0,MthRem,12), MAX(Inputs!$G$100-IF(J$1=0,0,J$1*12+MthOff), 0))*Inputs!$B$102</f>
        <v>6000</v>
      </c>
      <c r="L26" s="7">
        <f ca="1">MIN(IF(K$1=0,MthRem,12), MAX(Inputs!$G$100-IF(K$1=0,0,K$1*12+MthOff), 0))*Inputs!$B$102</f>
        <v>4608.3050789871932</v>
      </c>
      <c r="M26" s="7">
        <f ca="1">MIN(IF(L$1=0,MthRem,12), MAX(Inputs!$G$100-IF(L$1=0,0,L$1*12+MthOff), 0))*Inputs!$B$102</f>
        <v>0</v>
      </c>
      <c r="N26" s="7">
        <f ca="1">MIN(IF(M$1=0,MthRem,12), MAX(Inputs!$G$100-IF(M$1=0,0,M$1*12+MthOff), 0))*Inputs!$B$102</f>
        <v>0</v>
      </c>
      <c r="O26" s="7">
        <f ca="1">MIN(IF(N$1=0,MthRem,12), MAX(Inputs!$G$100-IF(N$1=0,0,N$1*12+MthOff), 0))*Inputs!$B$102</f>
        <v>0</v>
      </c>
      <c r="P26" s="7">
        <f ca="1">MIN(IF(O$1=0,MthRem,12), MAX(Inputs!$G$100-IF(O$1=0,0,O$1*12+MthOff), 0))*Inputs!$B$102</f>
        <v>0</v>
      </c>
      <c r="Q26" s="7">
        <f ca="1">MIN(IF(P$1=0,MthRem,12), MAX(Inputs!$G$100-IF(P$1=0,0,P$1*12+MthOff), 0))*Inputs!$B$102</f>
        <v>0</v>
      </c>
      <c r="R26" s="7">
        <f ca="1">MIN(IF(Q$1=0,MthRem,12), MAX(Inputs!$G$100-IF(Q$1=0,0,Q$1*12+MthOff), 0))*Inputs!$B$102</f>
        <v>0</v>
      </c>
      <c r="S26" s="7">
        <f ca="1">MIN(IF(R$1=0,MthRem,12), MAX(Inputs!$G$100-IF(R$1=0,0,R$1*12+MthOff), 0))*Inputs!$B$102</f>
        <v>0</v>
      </c>
      <c r="T26" s="7">
        <f ca="1">MIN(IF(S$1=0,MthRem,12), MAX(Inputs!$G$100-IF(S$1=0,0,S$1*12+MthOff), 0))*Inputs!$B$102</f>
        <v>0</v>
      </c>
      <c r="U26" s="7">
        <f ca="1">MIN(IF(T$1=0,MthRem,12), MAX(Inputs!$G$100-IF(T$1=0,0,T$1*12+MthOff), 0))*Inputs!$B$102</f>
        <v>0</v>
      </c>
      <c r="V26" s="7">
        <f ca="1">MIN(IF(U$1=0,MthRem,12), MAX(Inputs!$G$100-IF(U$1=0,0,U$1*12+MthOff), 0))*Inputs!$B$102</f>
        <v>0</v>
      </c>
      <c r="W26" s="7">
        <f ca="1">MIN(IF(V$1=0,MthRem,12), MAX(Inputs!$G$100-IF(V$1=0,0,V$1*12+MthOff), 0))*Inputs!$B$102</f>
        <v>0</v>
      </c>
      <c r="X26" s="7">
        <f ca="1">MIN(IF(W$1=0,MthRem,12), MAX(Inputs!$G$100-IF(W$1=0,0,W$1*12+MthOff), 0))*Inputs!$B$102</f>
        <v>0</v>
      </c>
      <c r="Y26" s="7">
        <f ca="1">MIN(IF(X$1=0,MthRem,12), MAX(Inputs!$G$100-IF(X$1=0,0,X$1*12+MthOff), 0))*Inputs!$B$102</f>
        <v>0</v>
      </c>
      <c r="Z26" s="7">
        <f ca="1">MIN(IF(Y$1=0,MthRem,12), MAX(Inputs!$G$100-IF(Y$1=0,0,Y$1*12+MthOff), 0))*Inputs!$B$102</f>
        <v>0</v>
      </c>
      <c r="AA26" s="7">
        <f ca="1">MIN(IF(Z$1=0,MthRem,12), MAX(Inputs!$G$100-IF(Z$1=0,0,Z$1*12+MthOff), 0))*Inputs!$B$102</f>
        <v>0</v>
      </c>
      <c r="AB26" s="7">
        <f ca="1">MIN(IF(AA$1=0,MthRem,12), MAX(Inputs!$G$100-IF(AA$1=0,0,AA$1*12+MthOff), 0))*Inputs!$B$102</f>
        <v>0</v>
      </c>
      <c r="AC26" s="7">
        <f ca="1">MIN(IF(AB$1=0,MthRem,12), MAX(Inputs!$G$100-IF(AB$1=0,0,AB$1*12+MthOff), 0))*Inputs!$B$102</f>
        <v>0</v>
      </c>
      <c r="AD26" s="7">
        <f ca="1">MIN(IF(AC$1=0,MthRem,12), MAX(Inputs!$G$100-IF(AC$1=0,0,AC$1*12+MthOff), 0))*Inputs!$B$102</f>
        <v>0</v>
      </c>
      <c r="AE26" s="7">
        <f ca="1">MIN(IF(AD$1=0,MthRem,12), MAX(Inputs!$G$100-IF(AD$1=0,0,AD$1*12+MthOff), 0))*Inputs!$B$102</f>
        <v>0</v>
      </c>
      <c r="AF26" s="7">
        <f ca="1">MIN(IF(AE$1=0,MthRem,12), MAX(Inputs!$G$100-IF(AE$1=0,0,AE$1*12+MthOff), 0))*Inputs!$B$102</f>
        <v>0</v>
      </c>
      <c r="AG26" s="7">
        <f ca="1">MIN(IF(AF$1=0,MthRem,12), MAX(Inputs!$G$100-IF(AF$1=0,0,AF$1*12+MthOff), 0))*Inputs!$B$102</f>
        <v>0</v>
      </c>
      <c r="AH26" s="7">
        <f ca="1">MIN(IF(AG$1=0,MthRem,12), MAX(Inputs!$G$100-IF(AG$1=0,0,AG$1*12+MthOff), 0))*Inputs!$B$102</f>
        <v>0</v>
      </c>
      <c r="AI26" s="7">
        <f ca="1">MIN(IF(AH$1=0,MthRem,12), MAX(Inputs!$G$100-IF(AH$1=0,0,AH$1*12+MthOff), 0))*Inputs!$B$102</f>
        <v>0</v>
      </c>
      <c r="AJ26" s="7">
        <f ca="1">MIN(IF(AI$1=0,MthRem,12), MAX(Inputs!$G$100-IF(AI$1=0,0,AI$1*12+MthOff), 0))*Inputs!$B$102</f>
        <v>0</v>
      </c>
      <c r="AK26" s="7">
        <f ca="1">MIN(IF(AJ$1=0,MthRem,12), MAX(Inputs!$G$100-IF(AJ$1=0,0,AJ$1*12+MthOff), 0))*Inputs!$B$102</f>
        <v>0</v>
      </c>
      <c r="AL26" s="7">
        <f ca="1">MIN(IF(AK$1=0,MthRem,12), MAX(Inputs!$G$100-IF(AK$1=0,0,AK$1*12+MthOff), 0))*Inputs!$B$102</f>
        <v>0</v>
      </c>
      <c r="AM26" s="7">
        <f ca="1">MIN(IF(AL$1=0,MthRem,12), MAX(Inputs!$G$100-IF(AL$1=0,0,AL$1*12+MthOff), 0))*Inputs!$B$102</f>
        <v>0</v>
      </c>
    </row>
    <row r="27" spans="1:39" x14ac:dyDescent="0.2">
      <c r="A27" s="3" t="str">
        <f>TEXT(Inputs!$B$65,"")</f>
        <v>Gzira</v>
      </c>
      <c r="C27" s="7">
        <f ca="1">MIN(IF(B$1=0,MthRem,12), MAX(Inputs!$G$105-IF(B$1=0,0,B$1*12+MthOff), 0))*Inputs!$B$107</f>
        <v>2000</v>
      </c>
      <c r="D27" s="7">
        <f ca="1">MIN(IF(C$1=0,MthRem,12), MAX(Inputs!$G$105-IF(C$1=0,0,C$1*12+MthOff), 0))*Inputs!$B$107</f>
        <v>2400</v>
      </c>
      <c r="E27" s="7">
        <f ca="1">MIN(IF(D$1=0,MthRem,12), MAX(Inputs!$G$105-IF(D$1=0,0,D$1*12+MthOff), 0))*Inputs!$B$107</f>
        <v>2400</v>
      </c>
      <c r="F27" s="7">
        <f ca="1">MIN(IF(E$1=0,MthRem,12), MAX(Inputs!$G$105-IF(E$1=0,0,E$1*12+MthOff), 0))*Inputs!$B$107</f>
        <v>2023.4029019573059</v>
      </c>
      <c r="G27" s="7">
        <f ca="1">MIN(IF(F$1=0,MthRem,12), MAX(Inputs!$G$105-IF(F$1=0,0,F$1*12+MthOff), 0))*Inputs!$B$107</f>
        <v>0</v>
      </c>
      <c r="H27" s="7">
        <f ca="1">MIN(IF(G$1=0,MthRem,12), MAX(Inputs!$G$105-IF(G$1=0,0,G$1*12+MthOff), 0))*Inputs!$B$107</f>
        <v>0</v>
      </c>
      <c r="I27" s="7">
        <f ca="1">MIN(IF(H$1=0,MthRem,12), MAX(Inputs!$G$105-IF(H$1=0,0,H$1*12+MthOff), 0))*Inputs!$B$107</f>
        <v>0</v>
      </c>
      <c r="J27" s="7">
        <f ca="1">MIN(IF(I$1=0,MthRem,12), MAX(Inputs!$G$105-IF(I$1=0,0,I$1*12+MthOff), 0))*Inputs!$B$107</f>
        <v>0</v>
      </c>
      <c r="K27" s="7">
        <f ca="1">MIN(IF(J$1=0,MthRem,12), MAX(Inputs!$G$105-IF(J$1=0,0,J$1*12+MthOff), 0))*Inputs!$B$107</f>
        <v>0</v>
      </c>
      <c r="L27" s="7">
        <f ca="1">MIN(IF(K$1=0,MthRem,12), MAX(Inputs!$G$105-IF(K$1=0,0,K$1*12+MthOff), 0))*Inputs!$B$107</f>
        <v>0</v>
      </c>
      <c r="M27" s="7">
        <f ca="1">MIN(IF(L$1=0,MthRem,12), MAX(Inputs!$G$105-IF(L$1=0,0,L$1*12+MthOff), 0))*Inputs!$B$107</f>
        <v>0</v>
      </c>
      <c r="N27" s="7">
        <f ca="1">MIN(IF(M$1=0,MthRem,12), MAX(Inputs!$G$105-IF(M$1=0,0,M$1*12+MthOff), 0))*Inputs!$B$107</f>
        <v>0</v>
      </c>
      <c r="O27" s="7">
        <f ca="1">MIN(IF(N$1=0,MthRem,12), MAX(Inputs!$G$105-IF(N$1=0,0,N$1*12+MthOff), 0))*Inputs!$B$107</f>
        <v>0</v>
      </c>
      <c r="P27" s="7">
        <f ca="1">MIN(IF(O$1=0,MthRem,12), MAX(Inputs!$G$105-IF(O$1=0,0,O$1*12+MthOff), 0))*Inputs!$B$107</f>
        <v>0</v>
      </c>
      <c r="Q27" s="7">
        <f ca="1">MIN(IF(P$1=0,MthRem,12), MAX(Inputs!$G$105-IF(P$1=0,0,P$1*12+MthOff), 0))*Inputs!$B$107</f>
        <v>0</v>
      </c>
      <c r="R27" s="7">
        <f ca="1">MIN(IF(Q$1=0,MthRem,12), MAX(Inputs!$G$105-IF(Q$1=0,0,Q$1*12+MthOff), 0))*Inputs!$B$107</f>
        <v>0</v>
      </c>
      <c r="S27" s="7">
        <f ca="1">MIN(IF(R$1=0,MthRem,12), MAX(Inputs!$G$105-IF(R$1=0,0,R$1*12+MthOff), 0))*Inputs!$B$107</f>
        <v>0</v>
      </c>
      <c r="T27" s="7">
        <f ca="1">MIN(IF(S$1=0,MthRem,12), MAX(Inputs!$G$105-IF(S$1=0,0,S$1*12+MthOff), 0))*Inputs!$B$107</f>
        <v>0</v>
      </c>
      <c r="U27" s="7">
        <f ca="1">MIN(IF(T$1=0,MthRem,12), MAX(Inputs!$G$105-IF(T$1=0,0,T$1*12+MthOff), 0))*Inputs!$B$107</f>
        <v>0</v>
      </c>
      <c r="V27" s="7">
        <f ca="1">MIN(IF(U$1=0,MthRem,12), MAX(Inputs!$G$105-IF(U$1=0,0,U$1*12+MthOff), 0))*Inputs!$B$107</f>
        <v>0</v>
      </c>
      <c r="W27" s="7">
        <f ca="1">MIN(IF(V$1=0,MthRem,12), MAX(Inputs!$G$105-IF(V$1=0,0,V$1*12+MthOff), 0))*Inputs!$B$107</f>
        <v>0</v>
      </c>
      <c r="X27" s="7">
        <f ca="1">MIN(IF(W$1=0,MthRem,12), MAX(Inputs!$G$105-IF(W$1=0,0,W$1*12+MthOff), 0))*Inputs!$B$107</f>
        <v>0</v>
      </c>
      <c r="Y27" s="7">
        <f ca="1">MIN(IF(X$1=0,MthRem,12), MAX(Inputs!$G$105-IF(X$1=0,0,X$1*12+MthOff), 0))*Inputs!$B$107</f>
        <v>0</v>
      </c>
      <c r="Z27" s="7">
        <f ca="1">MIN(IF(Y$1=0,MthRem,12), MAX(Inputs!$G$105-IF(Y$1=0,0,Y$1*12+MthOff), 0))*Inputs!$B$107</f>
        <v>0</v>
      </c>
      <c r="AA27" s="7">
        <f ca="1">MIN(IF(Z$1=0,MthRem,12), MAX(Inputs!$G$105-IF(Z$1=0,0,Z$1*12+MthOff), 0))*Inputs!$B$107</f>
        <v>0</v>
      </c>
      <c r="AB27" s="7">
        <f ca="1">MIN(IF(AA$1=0,MthRem,12), MAX(Inputs!$G$105-IF(AA$1=0,0,AA$1*12+MthOff), 0))*Inputs!$B$107</f>
        <v>0</v>
      </c>
      <c r="AC27" s="7">
        <f ca="1">MIN(IF(AB$1=0,MthRem,12), MAX(Inputs!$G$105-IF(AB$1=0,0,AB$1*12+MthOff), 0))*Inputs!$B$107</f>
        <v>0</v>
      </c>
      <c r="AD27" s="7">
        <f ca="1">MIN(IF(AC$1=0,MthRem,12), MAX(Inputs!$G$105-IF(AC$1=0,0,AC$1*12+MthOff), 0))*Inputs!$B$107</f>
        <v>0</v>
      </c>
      <c r="AE27" s="7">
        <f ca="1">MIN(IF(AD$1=0,MthRem,12), MAX(Inputs!$G$105-IF(AD$1=0,0,AD$1*12+MthOff), 0))*Inputs!$B$107</f>
        <v>0</v>
      </c>
      <c r="AF27" s="7">
        <f ca="1">MIN(IF(AE$1=0,MthRem,12), MAX(Inputs!$G$105-IF(AE$1=0,0,AE$1*12+MthOff), 0))*Inputs!$B$107</f>
        <v>0</v>
      </c>
      <c r="AG27" s="7">
        <f ca="1">MIN(IF(AF$1=0,MthRem,12), MAX(Inputs!$G$105-IF(AF$1=0,0,AF$1*12+MthOff), 0))*Inputs!$B$107</f>
        <v>0</v>
      </c>
      <c r="AH27" s="7">
        <f ca="1">MIN(IF(AG$1=0,MthRem,12), MAX(Inputs!$G$105-IF(AG$1=0,0,AG$1*12+MthOff), 0))*Inputs!$B$107</f>
        <v>0</v>
      </c>
      <c r="AI27" s="7">
        <f ca="1">MIN(IF(AH$1=0,MthRem,12), MAX(Inputs!$G$105-IF(AH$1=0,0,AH$1*12+MthOff), 0))*Inputs!$B$107</f>
        <v>0</v>
      </c>
      <c r="AJ27" s="7">
        <f ca="1">MIN(IF(AI$1=0,MthRem,12), MAX(Inputs!$G$105-IF(AI$1=0,0,AI$1*12+MthOff), 0))*Inputs!$B$107</f>
        <v>0</v>
      </c>
      <c r="AK27" s="7">
        <f ca="1">MIN(IF(AJ$1=0,MthRem,12), MAX(Inputs!$G$105-IF(AJ$1=0,0,AJ$1*12+MthOff), 0))*Inputs!$B$107</f>
        <v>0</v>
      </c>
      <c r="AL27" s="7">
        <f ca="1">MIN(IF(AK$1=0,MthRem,12), MAX(Inputs!$G$105-IF(AK$1=0,0,AK$1*12+MthOff), 0))*Inputs!$B$107</f>
        <v>0</v>
      </c>
      <c r="AM27" s="7">
        <f ca="1">MIN(IF(AL$1=0,MthRem,12), MAX(Inputs!$G$105-IF(AL$1=0,0,AL$1*12+MthOff), 0))*Inputs!$B$107</f>
        <v>0</v>
      </c>
    </row>
    <row r="28" spans="1:39" x14ac:dyDescent="0.2">
      <c r="A28" s="3" t="str">
        <f>TEXT(Inputs!$B$70,"")</f>
        <v>Qormi</v>
      </c>
      <c r="C28" s="7">
        <f ca="1">MIN(IF(B$1=0,MthRem,12), MAX(Inputs!$G$110-IF(B$1=0,0,B$1*12+MthOff), 0))*Inputs!$B$112</f>
        <v>2500</v>
      </c>
      <c r="D28" s="7">
        <f ca="1">MIN(IF(C$1=0,MthRem,12), MAX(Inputs!$G$110-IF(C$1=0,0,C$1*12+MthOff), 0))*Inputs!$B$112</f>
        <v>3000</v>
      </c>
      <c r="E28" s="7">
        <f ca="1">MIN(IF(D$1=0,MthRem,12), MAX(Inputs!$G$110-IF(D$1=0,0,D$1*12+MthOff), 0))*Inputs!$B$112</f>
        <v>3000</v>
      </c>
      <c r="F28" s="7">
        <f ca="1">MIN(IF(E$1=0,MthRem,12), MAX(Inputs!$G$110-IF(E$1=0,0,E$1*12+MthOff), 0))*Inputs!$B$112</f>
        <v>3000</v>
      </c>
      <c r="G28" s="7">
        <f ca="1">MIN(IF(F$1=0,MthRem,12), MAX(Inputs!$G$110-IF(F$1=0,0,F$1*12+MthOff), 0))*Inputs!$B$112</f>
        <v>3000</v>
      </c>
      <c r="H28" s="7">
        <f ca="1">MIN(IF(G$1=0,MthRem,12), MAX(Inputs!$G$110-IF(G$1=0,0,G$1*12+MthOff), 0))*Inputs!$B$112</f>
        <v>2796.8596856502154</v>
      </c>
      <c r="I28" s="7">
        <f ca="1">MIN(IF(H$1=0,MthRem,12), MAX(Inputs!$G$110-IF(H$1=0,0,H$1*12+MthOff), 0))*Inputs!$B$112</f>
        <v>0</v>
      </c>
      <c r="J28" s="7">
        <f ca="1">MIN(IF(I$1=0,MthRem,12), MAX(Inputs!$G$110-IF(I$1=0,0,I$1*12+MthOff), 0))*Inputs!$B$112</f>
        <v>0</v>
      </c>
      <c r="K28" s="7">
        <f ca="1">MIN(IF(J$1=0,MthRem,12), MAX(Inputs!$G$110-IF(J$1=0,0,J$1*12+MthOff), 0))*Inputs!$B$112</f>
        <v>0</v>
      </c>
      <c r="L28" s="7">
        <f ca="1">MIN(IF(K$1=0,MthRem,12), MAX(Inputs!$G$110-IF(K$1=0,0,K$1*12+MthOff), 0))*Inputs!$B$112</f>
        <v>0</v>
      </c>
      <c r="M28" s="7">
        <f ca="1">MIN(IF(L$1=0,MthRem,12), MAX(Inputs!$G$110-IF(L$1=0,0,L$1*12+MthOff), 0))*Inputs!$B$112</f>
        <v>0</v>
      </c>
      <c r="N28" s="7">
        <f ca="1">MIN(IF(M$1=0,MthRem,12), MAX(Inputs!$G$110-IF(M$1=0,0,M$1*12+MthOff), 0))*Inputs!$B$112</f>
        <v>0</v>
      </c>
      <c r="O28" s="7">
        <f ca="1">MIN(IF(N$1=0,MthRem,12), MAX(Inputs!$G$110-IF(N$1=0,0,N$1*12+MthOff), 0))*Inputs!$B$112</f>
        <v>0</v>
      </c>
      <c r="P28" s="7">
        <f ca="1">MIN(IF(O$1=0,MthRem,12), MAX(Inputs!$G$110-IF(O$1=0,0,O$1*12+MthOff), 0))*Inputs!$B$112</f>
        <v>0</v>
      </c>
      <c r="Q28" s="7">
        <f ca="1">MIN(IF(P$1=0,MthRem,12), MAX(Inputs!$G$110-IF(P$1=0,0,P$1*12+MthOff), 0))*Inputs!$B$112</f>
        <v>0</v>
      </c>
      <c r="R28" s="7">
        <f ca="1">MIN(IF(Q$1=0,MthRem,12), MAX(Inputs!$G$110-IF(Q$1=0,0,Q$1*12+MthOff), 0))*Inputs!$B$112</f>
        <v>0</v>
      </c>
      <c r="S28" s="7">
        <f ca="1">MIN(IF(R$1=0,MthRem,12), MAX(Inputs!$G$110-IF(R$1=0,0,R$1*12+MthOff), 0))*Inputs!$B$112</f>
        <v>0</v>
      </c>
      <c r="T28" s="7">
        <f ca="1">MIN(IF(S$1=0,MthRem,12), MAX(Inputs!$G$110-IF(S$1=0,0,S$1*12+MthOff), 0))*Inputs!$B$112</f>
        <v>0</v>
      </c>
      <c r="U28" s="7">
        <f ca="1">MIN(IF(T$1=0,MthRem,12), MAX(Inputs!$G$110-IF(T$1=0,0,T$1*12+MthOff), 0))*Inputs!$B$112</f>
        <v>0</v>
      </c>
      <c r="V28" s="7">
        <f ca="1">MIN(IF(U$1=0,MthRem,12), MAX(Inputs!$G$110-IF(U$1=0,0,U$1*12+MthOff), 0))*Inputs!$B$112</f>
        <v>0</v>
      </c>
      <c r="W28" s="7">
        <f ca="1">MIN(IF(V$1=0,MthRem,12), MAX(Inputs!$G$110-IF(V$1=0,0,V$1*12+MthOff), 0))*Inputs!$B$112</f>
        <v>0</v>
      </c>
      <c r="X28" s="7">
        <f ca="1">MIN(IF(W$1=0,MthRem,12), MAX(Inputs!$G$110-IF(W$1=0,0,W$1*12+MthOff), 0))*Inputs!$B$112</f>
        <v>0</v>
      </c>
      <c r="Y28" s="7">
        <f ca="1">MIN(IF(X$1=0,MthRem,12), MAX(Inputs!$G$110-IF(X$1=0,0,X$1*12+MthOff), 0))*Inputs!$B$112</f>
        <v>0</v>
      </c>
      <c r="Z28" s="7">
        <f ca="1">MIN(IF(Y$1=0,MthRem,12), MAX(Inputs!$G$110-IF(Y$1=0,0,Y$1*12+MthOff), 0))*Inputs!$B$112</f>
        <v>0</v>
      </c>
      <c r="AA28" s="7">
        <f ca="1">MIN(IF(Z$1=0,MthRem,12), MAX(Inputs!$G$110-IF(Z$1=0,0,Z$1*12+MthOff), 0))*Inputs!$B$112</f>
        <v>0</v>
      </c>
      <c r="AB28" s="7">
        <f ca="1">MIN(IF(AA$1=0,MthRem,12), MAX(Inputs!$G$110-IF(AA$1=0,0,AA$1*12+MthOff), 0))*Inputs!$B$112</f>
        <v>0</v>
      </c>
      <c r="AC28" s="7">
        <f ca="1">MIN(IF(AB$1=0,MthRem,12), MAX(Inputs!$G$110-IF(AB$1=0,0,AB$1*12+MthOff), 0))*Inputs!$B$112</f>
        <v>0</v>
      </c>
      <c r="AD28" s="7">
        <f ca="1">MIN(IF(AC$1=0,MthRem,12), MAX(Inputs!$G$110-IF(AC$1=0,0,AC$1*12+MthOff), 0))*Inputs!$B$112</f>
        <v>0</v>
      </c>
      <c r="AE28" s="7">
        <f ca="1">MIN(IF(AD$1=0,MthRem,12), MAX(Inputs!$G$110-IF(AD$1=0,0,AD$1*12+MthOff), 0))*Inputs!$B$112</f>
        <v>0</v>
      </c>
      <c r="AF28" s="7">
        <f ca="1">MIN(IF(AE$1=0,MthRem,12), MAX(Inputs!$G$110-IF(AE$1=0,0,AE$1*12+MthOff), 0))*Inputs!$B$112</f>
        <v>0</v>
      </c>
      <c r="AG28" s="7">
        <f ca="1">MIN(IF(AF$1=0,MthRem,12), MAX(Inputs!$G$110-IF(AF$1=0,0,AF$1*12+MthOff), 0))*Inputs!$B$112</f>
        <v>0</v>
      </c>
      <c r="AH28" s="7">
        <f ca="1">MIN(IF(AG$1=0,MthRem,12), MAX(Inputs!$G$110-IF(AG$1=0,0,AG$1*12+MthOff), 0))*Inputs!$B$112</f>
        <v>0</v>
      </c>
      <c r="AI28" s="7">
        <f ca="1">MIN(IF(AH$1=0,MthRem,12), MAX(Inputs!$G$110-IF(AH$1=0,0,AH$1*12+MthOff), 0))*Inputs!$B$112</f>
        <v>0</v>
      </c>
      <c r="AJ28" s="7">
        <f ca="1">MIN(IF(AI$1=0,MthRem,12), MAX(Inputs!$G$110-IF(AI$1=0,0,AI$1*12+MthOff), 0))*Inputs!$B$112</f>
        <v>0</v>
      </c>
      <c r="AK28" s="7">
        <f ca="1">MIN(IF(AJ$1=0,MthRem,12), MAX(Inputs!$G$110-IF(AJ$1=0,0,AJ$1*12+MthOff), 0))*Inputs!$B$112</f>
        <v>0</v>
      </c>
      <c r="AL28" s="7">
        <f ca="1">MIN(IF(AK$1=0,MthRem,12), MAX(Inputs!$G$110-IF(AK$1=0,0,AK$1*12+MthOff), 0))*Inputs!$B$112</f>
        <v>0</v>
      </c>
      <c r="AM28" s="7">
        <f ca="1">MIN(IF(AL$1=0,MthRem,12), MAX(Inputs!$G$110-IF(AL$1=0,0,AL$1*12+MthOff), 0))*Inputs!$B$112</f>
        <v>0</v>
      </c>
    </row>
    <row r="29" spans="1:39" x14ac:dyDescent="0.2">
      <c r="A29" s="3" t="str">
        <f>TEXT(Inputs!$B$75,"")</f>
        <v>Gudja</v>
      </c>
      <c r="C29" s="7">
        <f ca="1">MIN(IF(B$1=0,MthRem,12), MAX(Inputs!$G$115-IF(B$1=0,0,B$1*12+MthOff), 0))*Inputs!$B$117</f>
        <v>800</v>
      </c>
      <c r="D29" s="7">
        <f ca="1">MIN(IF(C$1=0,MthRem,12), MAX(Inputs!$G$115-IF(C$1=0,0,C$1*12+MthOff), 0))*Inputs!$B$117</f>
        <v>960</v>
      </c>
      <c r="E29" s="7">
        <f ca="1">MIN(IF(D$1=0,MthRem,12), MAX(Inputs!$G$115-IF(D$1=0,0,D$1*12+MthOff), 0))*Inputs!$B$117</f>
        <v>960</v>
      </c>
      <c r="F29" s="7">
        <f ca="1">MIN(IF(E$1=0,MthRem,12), MAX(Inputs!$G$115-IF(E$1=0,0,E$1*12+MthOff), 0))*Inputs!$B$117</f>
        <v>960</v>
      </c>
      <c r="G29" s="7">
        <f ca="1">MIN(IF(F$1=0,MthRem,12), MAX(Inputs!$G$115-IF(F$1=0,0,F$1*12+MthOff), 0))*Inputs!$B$117</f>
        <v>960</v>
      </c>
      <c r="H29" s="7">
        <f ca="1">MIN(IF(G$1=0,MthRem,12), MAX(Inputs!$G$115-IF(G$1=0,0,G$1*12+MthOff), 0))*Inputs!$B$117</f>
        <v>288.25858585362369</v>
      </c>
      <c r="I29" s="7">
        <f ca="1">MIN(IF(H$1=0,MthRem,12), MAX(Inputs!$G$115-IF(H$1=0,0,H$1*12+MthOff), 0))*Inputs!$B$117</f>
        <v>0</v>
      </c>
      <c r="J29" s="7">
        <f ca="1">MIN(IF(I$1=0,MthRem,12), MAX(Inputs!$G$115-IF(I$1=0,0,I$1*12+MthOff), 0))*Inputs!$B$117</f>
        <v>0</v>
      </c>
      <c r="K29" s="7">
        <f ca="1">MIN(IF(J$1=0,MthRem,12), MAX(Inputs!$G$115-IF(J$1=0,0,J$1*12+MthOff), 0))*Inputs!$B$117</f>
        <v>0</v>
      </c>
      <c r="L29" s="7">
        <f ca="1">MIN(IF(K$1=0,MthRem,12), MAX(Inputs!$G$115-IF(K$1=0,0,K$1*12+MthOff), 0))*Inputs!$B$117</f>
        <v>0</v>
      </c>
      <c r="M29" s="7">
        <f ca="1">MIN(IF(L$1=0,MthRem,12), MAX(Inputs!$G$115-IF(L$1=0,0,L$1*12+MthOff), 0))*Inputs!$B$117</f>
        <v>0</v>
      </c>
      <c r="N29" s="7">
        <f ca="1">MIN(IF(M$1=0,MthRem,12), MAX(Inputs!$G$115-IF(M$1=0,0,M$1*12+MthOff), 0))*Inputs!$B$117</f>
        <v>0</v>
      </c>
      <c r="O29" s="7">
        <f ca="1">MIN(IF(N$1=0,MthRem,12), MAX(Inputs!$G$115-IF(N$1=0,0,N$1*12+MthOff), 0))*Inputs!$B$117</f>
        <v>0</v>
      </c>
      <c r="P29" s="7">
        <f ca="1">MIN(IF(O$1=0,MthRem,12), MAX(Inputs!$G$115-IF(O$1=0,0,O$1*12+MthOff), 0))*Inputs!$B$117</f>
        <v>0</v>
      </c>
      <c r="Q29" s="7">
        <f ca="1">MIN(IF(P$1=0,MthRem,12), MAX(Inputs!$G$115-IF(P$1=0,0,P$1*12+MthOff), 0))*Inputs!$B$117</f>
        <v>0</v>
      </c>
      <c r="R29" s="7">
        <f ca="1">MIN(IF(Q$1=0,MthRem,12), MAX(Inputs!$G$115-IF(Q$1=0,0,Q$1*12+MthOff), 0))*Inputs!$B$117</f>
        <v>0</v>
      </c>
      <c r="S29" s="7">
        <f ca="1">MIN(IF(R$1=0,MthRem,12), MAX(Inputs!$G$115-IF(R$1=0,0,R$1*12+MthOff), 0))*Inputs!$B$117</f>
        <v>0</v>
      </c>
      <c r="T29" s="7">
        <f ca="1">MIN(IF(S$1=0,MthRem,12), MAX(Inputs!$G$115-IF(S$1=0,0,S$1*12+MthOff), 0))*Inputs!$B$117</f>
        <v>0</v>
      </c>
      <c r="U29" s="7">
        <f ca="1">MIN(IF(T$1=0,MthRem,12), MAX(Inputs!$G$115-IF(T$1=0,0,T$1*12+MthOff), 0))*Inputs!$B$117</f>
        <v>0</v>
      </c>
      <c r="V29" s="7">
        <f ca="1">MIN(IF(U$1=0,MthRem,12), MAX(Inputs!$G$115-IF(U$1=0,0,U$1*12+MthOff), 0))*Inputs!$B$117</f>
        <v>0</v>
      </c>
      <c r="W29" s="7">
        <f ca="1">MIN(IF(V$1=0,MthRem,12), MAX(Inputs!$G$115-IF(V$1=0,0,V$1*12+MthOff), 0))*Inputs!$B$117</f>
        <v>0</v>
      </c>
      <c r="X29" s="7">
        <f ca="1">MIN(IF(W$1=0,MthRem,12), MAX(Inputs!$G$115-IF(W$1=0,0,W$1*12+MthOff), 0))*Inputs!$B$117</f>
        <v>0</v>
      </c>
      <c r="Y29" s="7">
        <f ca="1">MIN(IF(X$1=0,MthRem,12), MAX(Inputs!$G$115-IF(X$1=0,0,X$1*12+MthOff), 0))*Inputs!$B$117</f>
        <v>0</v>
      </c>
      <c r="Z29" s="7">
        <f ca="1">MIN(IF(Y$1=0,MthRem,12), MAX(Inputs!$G$115-IF(Y$1=0,0,Y$1*12+MthOff), 0))*Inputs!$B$117</f>
        <v>0</v>
      </c>
      <c r="AA29" s="7">
        <f ca="1">MIN(IF(Z$1=0,MthRem,12), MAX(Inputs!$G$115-IF(Z$1=0,0,Z$1*12+MthOff), 0))*Inputs!$B$117</f>
        <v>0</v>
      </c>
      <c r="AB29" s="7">
        <f ca="1">MIN(IF(AA$1=0,MthRem,12), MAX(Inputs!$G$115-IF(AA$1=0,0,AA$1*12+MthOff), 0))*Inputs!$B$117</f>
        <v>0</v>
      </c>
      <c r="AC29" s="7">
        <f ca="1">MIN(IF(AB$1=0,MthRem,12), MAX(Inputs!$G$115-IF(AB$1=0,0,AB$1*12+MthOff), 0))*Inputs!$B$117</f>
        <v>0</v>
      </c>
      <c r="AD29" s="7">
        <f ca="1">MIN(IF(AC$1=0,MthRem,12), MAX(Inputs!$G$115-IF(AC$1=0,0,AC$1*12+MthOff), 0))*Inputs!$B$117</f>
        <v>0</v>
      </c>
      <c r="AE29" s="7">
        <f ca="1">MIN(IF(AD$1=0,MthRem,12), MAX(Inputs!$G$115-IF(AD$1=0,0,AD$1*12+MthOff), 0))*Inputs!$B$117</f>
        <v>0</v>
      </c>
      <c r="AF29" s="7">
        <f ca="1">MIN(IF(AE$1=0,MthRem,12), MAX(Inputs!$G$115-IF(AE$1=0,0,AE$1*12+MthOff), 0))*Inputs!$B$117</f>
        <v>0</v>
      </c>
      <c r="AG29" s="7">
        <f ca="1">MIN(IF(AF$1=0,MthRem,12), MAX(Inputs!$G$115-IF(AF$1=0,0,AF$1*12+MthOff), 0))*Inputs!$B$117</f>
        <v>0</v>
      </c>
      <c r="AH29" s="7">
        <f ca="1">MIN(IF(AG$1=0,MthRem,12), MAX(Inputs!$G$115-IF(AG$1=0,0,AG$1*12+MthOff), 0))*Inputs!$B$117</f>
        <v>0</v>
      </c>
      <c r="AI29" s="7">
        <f ca="1">MIN(IF(AH$1=0,MthRem,12), MAX(Inputs!$G$115-IF(AH$1=0,0,AH$1*12+MthOff), 0))*Inputs!$B$117</f>
        <v>0</v>
      </c>
      <c r="AJ29" s="7">
        <f ca="1">MIN(IF(AI$1=0,MthRem,12), MAX(Inputs!$G$115-IF(AI$1=0,0,AI$1*12+MthOff), 0))*Inputs!$B$117</f>
        <v>0</v>
      </c>
      <c r="AK29" s="7">
        <f ca="1">MIN(IF(AJ$1=0,MthRem,12), MAX(Inputs!$G$115-IF(AJ$1=0,0,AJ$1*12+MthOff), 0))*Inputs!$B$117</f>
        <v>0</v>
      </c>
      <c r="AL29" s="7">
        <f ca="1">MIN(IF(AK$1=0,MthRem,12), MAX(Inputs!$G$115-IF(AK$1=0,0,AK$1*12+MthOff), 0))*Inputs!$B$117</f>
        <v>0</v>
      </c>
      <c r="AM29" s="7">
        <f ca="1">MIN(IF(AL$1=0,MthRem,12), MAX(Inputs!$G$115-IF(AL$1=0,0,AL$1*12+MthOff), 0))*Inputs!$B$117</f>
        <v>0</v>
      </c>
    </row>
    <row r="30" spans="1:39" x14ac:dyDescent="0.2">
      <c r="A30" s="3" t="str">
        <f>TEXT(Inputs!$B$80,"")</f>
        <v>Marsa</v>
      </c>
      <c r="C30" s="7">
        <f ca="1">MIN(IF(B$1=0,MthRem,12), MAX(Inputs!$G$120-IF(B$1=0,0,B$1*12+MthOff), 0))*Inputs!$B$122</f>
        <v>1200</v>
      </c>
      <c r="D30" s="7">
        <f ca="1">MIN(IF(C$1=0,MthRem,12), MAX(Inputs!$G$120-IF(C$1=0,0,C$1*12+MthOff), 0))*Inputs!$B$122</f>
        <v>1440</v>
      </c>
      <c r="E30" s="7">
        <f ca="1">MIN(IF(D$1=0,MthRem,12), MAX(Inputs!$G$120-IF(D$1=0,0,D$1*12+MthOff), 0))*Inputs!$B$122</f>
        <v>1440</v>
      </c>
      <c r="F30" s="7">
        <f ca="1">MIN(IF(E$1=0,MthRem,12), MAX(Inputs!$G$120-IF(E$1=0,0,E$1*12+MthOff), 0))*Inputs!$B$122</f>
        <v>1440</v>
      </c>
      <c r="G30" s="7">
        <f ca="1">MIN(IF(F$1=0,MthRem,12), MAX(Inputs!$G$120-IF(F$1=0,0,F$1*12+MthOff), 0))*Inputs!$B$122</f>
        <v>1440</v>
      </c>
      <c r="H30" s="7">
        <f ca="1">MIN(IF(G$1=0,MthRem,12), MAX(Inputs!$G$120-IF(G$1=0,0,G$1*12+MthOff), 0))*Inputs!$B$122</f>
        <v>1440</v>
      </c>
      <c r="I30" s="7">
        <f ca="1">MIN(IF(H$1=0,MthRem,12), MAX(Inputs!$G$120-IF(H$1=0,0,H$1*12+MthOff), 0))*Inputs!$B$122</f>
        <v>1440</v>
      </c>
      <c r="J30" s="7">
        <f ca="1">MIN(IF(I$1=0,MthRem,12), MAX(Inputs!$G$120-IF(I$1=0,0,I$1*12+MthOff), 0))*Inputs!$B$122</f>
        <v>789.24880782033654</v>
      </c>
      <c r="K30" s="7">
        <f ca="1">MIN(IF(J$1=0,MthRem,12), MAX(Inputs!$G$120-IF(J$1=0,0,J$1*12+MthOff), 0))*Inputs!$B$122</f>
        <v>0</v>
      </c>
      <c r="L30" s="7">
        <f ca="1">MIN(IF(K$1=0,MthRem,12), MAX(Inputs!$G$120-IF(K$1=0,0,K$1*12+MthOff), 0))*Inputs!$B$122</f>
        <v>0</v>
      </c>
      <c r="M30" s="7">
        <f ca="1">MIN(IF(L$1=0,MthRem,12), MAX(Inputs!$G$120-IF(L$1=0,0,L$1*12+MthOff), 0))*Inputs!$B$122</f>
        <v>0</v>
      </c>
      <c r="N30" s="7">
        <f ca="1">MIN(IF(M$1=0,MthRem,12), MAX(Inputs!$G$120-IF(M$1=0,0,M$1*12+MthOff), 0))*Inputs!$B$122</f>
        <v>0</v>
      </c>
      <c r="O30" s="7">
        <f ca="1">MIN(IF(N$1=0,MthRem,12), MAX(Inputs!$G$120-IF(N$1=0,0,N$1*12+MthOff), 0))*Inputs!$B$122</f>
        <v>0</v>
      </c>
      <c r="P30" s="7">
        <f ca="1">MIN(IF(O$1=0,MthRem,12), MAX(Inputs!$G$120-IF(O$1=0,0,O$1*12+MthOff), 0))*Inputs!$B$122</f>
        <v>0</v>
      </c>
      <c r="Q30" s="7">
        <f ca="1">MIN(IF(P$1=0,MthRem,12), MAX(Inputs!$G$120-IF(P$1=0,0,P$1*12+MthOff), 0))*Inputs!$B$122</f>
        <v>0</v>
      </c>
      <c r="R30" s="7">
        <f ca="1">MIN(IF(Q$1=0,MthRem,12), MAX(Inputs!$G$120-IF(Q$1=0,0,Q$1*12+MthOff), 0))*Inputs!$B$122</f>
        <v>0</v>
      </c>
      <c r="S30" s="7">
        <f ca="1">MIN(IF(R$1=0,MthRem,12), MAX(Inputs!$G$120-IF(R$1=0,0,R$1*12+MthOff), 0))*Inputs!$B$122</f>
        <v>0</v>
      </c>
      <c r="T30" s="7">
        <f ca="1">MIN(IF(S$1=0,MthRem,12), MAX(Inputs!$G$120-IF(S$1=0,0,S$1*12+MthOff), 0))*Inputs!$B$122</f>
        <v>0</v>
      </c>
      <c r="U30" s="7">
        <f ca="1">MIN(IF(T$1=0,MthRem,12), MAX(Inputs!$G$120-IF(T$1=0,0,T$1*12+MthOff), 0))*Inputs!$B$122</f>
        <v>0</v>
      </c>
      <c r="V30" s="7">
        <f ca="1">MIN(IF(U$1=0,MthRem,12), MAX(Inputs!$G$120-IF(U$1=0,0,U$1*12+MthOff), 0))*Inputs!$B$122</f>
        <v>0</v>
      </c>
      <c r="W30" s="7">
        <f ca="1">MIN(IF(V$1=0,MthRem,12), MAX(Inputs!$G$120-IF(V$1=0,0,V$1*12+MthOff), 0))*Inputs!$B$122</f>
        <v>0</v>
      </c>
      <c r="X30" s="7">
        <f ca="1">MIN(IF(W$1=0,MthRem,12), MAX(Inputs!$G$120-IF(W$1=0,0,W$1*12+MthOff), 0))*Inputs!$B$122</f>
        <v>0</v>
      </c>
      <c r="Y30" s="7">
        <f ca="1">MIN(IF(X$1=0,MthRem,12), MAX(Inputs!$G$120-IF(X$1=0,0,X$1*12+MthOff), 0))*Inputs!$B$122</f>
        <v>0</v>
      </c>
      <c r="Z30" s="7">
        <f ca="1">MIN(IF(Y$1=0,MthRem,12), MAX(Inputs!$G$120-IF(Y$1=0,0,Y$1*12+MthOff), 0))*Inputs!$B$122</f>
        <v>0</v>
      </c>
      <c r="AA30" s="7">
        <f ca="1">MIN(IF(Z$1=0,MthRem,12), MAX(Inputs!$G$120-IF(Z$1=0,0,Z$1*12+MthOff), 0))*Inputs!$B$122</f>
        <v>0</v>
      </c>
      <c r="AB30" s="7">
        <f ca="1">MIN(IF(AA$1=0,MthRem,12), MAX(Inputs!$G$120-IF(AA$1=0,0,AA$1*12+MthOff), 0))*Inputs!$B$122</f>
        <v>0</v>
      </c>
      <c r="AC30" s="7">
        <f ca="1">MIN(IF(AB$1=0,MthRem,12), MAX(Inputs!$G$120-IF(AB$1=0,0,AB$1*12+MthOff), 0))*Inputs!$B$122</f>
        <v>0</v>
      </c>
      <c r="AD30" s="7">
        <f ca="1">MIN(IF(AC$1=0,MthRem,12), MAX(Inputs!$G$120-IF(AC$1=0,0,AC$1*12+MthOff), 0))*Inputs!$B$122</f>
        <v>0</v>
      </c>
      <c r="AE30" s="7">
        <f ca="1">MIN(IF(AD$1=0,MthRem,12), MAX(Inputs!$G$120-IF(AD$1=0,0,AD$1*12+MthOff), 0))*Inputs!$B$122</f>
        <v>0</v>
      </c>
      <c r="AF30" s="7">
        <f ca="1">MIN(IF(AE$1=0,MthRem,12), MAX(Inputs!$G$120-IF(AE$1=0,0,AE$1*12+MthOff), 0))*Inputs!$B$122</f>
        <v>0</v>
      </c>
      <c r="AG30" s="7">
        <f ca="1">MIN(IF(AF$1=0,MthRem,12), MAX(Inputs!$G$120-IF(AF$1=0,0,AF$1*12+MthOff), 0))*Inputs!$B$122</f>
        <v>0</v>
      </c>
      <c r="AH30" s="7">
        <f ca="1">MIN(IF(AG$1=0,MthRem,12), MAX(Inputs!$G$120-IF(AG$1=0,0,AG$1*12+MthOff), 0))*Inputs!$B$122</f>
        <v>0</v>
      </c>
      <c r="AI30" s="7">
        <f ca="1">MIN(IF(AH$1=0,MthRem,12), MAX(Inputs!$G$120-IF(AH$1=0,0,AH$1*12+MthOff), 0))*Inputs!$B$122</f>
        <v>0</v>
      </c>
      <c r="AJ30" s="7">
        <f ca="1">MIN(IF(AI$1=0,MthRem,12), MAX(Inputs!$G$120-IF(AI$1=0,0,AI$1*12+MthOff), 0))*Inputs!$B$122</f>
        <v>0</v>
      </c>
      <c r="AK30" s="7">
        <f ca="1">MIN(IF(AJ$1=0,MthRem,12), MAX(Inputs!$G$120-IF(AJ$1=0,0,AJ$1*12+MthOff), 0))*Inputs!$B$122</f>
        <v>0</v>
      </c>
      <c r="AL30" s="7">
        <f ca="1">MIN(IF(AK$1=0,MthRem,12), MAX(Inputs!$G$120-IF(AK$1=0,0,AK$1*12+MthOff), 0))*Inputs!$B$122</f>
        <v>0</v>
      </c>
      <c r="AM30" s="7">
        <f ca="1">MIN(IF(AL$1=0,MthRem,12), MAX(Inputs!$G$120-IF(AL$1=0,0,AL$1*12+MthOff), 0))*Inputs!$B$122</f>
        <v>0</v>
      </c>
    </row>
    <row r="31" spans="1:39" x14ac:dyDescent="0.2">
      <c r="A31" s="4" t="s">
        <v>35</v>
      </c>
      <c r="C31" s="7">
        <f ca="1">MIN(IF(B$1=0,MthRem,12), MAX(Inputs!$G$125-IF(B$1=0,0,B$1*12+MthOff), 0))*Inputs!$B$127</f>
        <v>500</v>
      </c>
      <c r="D31" s="7">
        <f ca="1">MIN(IF(C$1=0,MthRem,12), MAX(Inputs!$G$125-IF(C$1=0,0,C$1*12+MthOff), 0))*Inputs!$B$127</f>
        <v>600</v>
      </c>
      <c r="E31" s="7">
        <f ca="1">MIN(IF(D$1=0,MthRem,12), MAX(Inputs!$G$125-IF(D$1=0,0,D$1*12+MthOff), 0))*Inputs!$B$127</f>
        <v>600</v>
      </c>
      <c r="F31" s="7">
        <f ca="1">MIN(IF(E$1=0,MthRem,12), MAX(Inputs!$G$125-IF(E$1=0,0,E$1*12+MthOff), 0))*Inputs!$B$127</f>
        <v>600</v>
      </c>
      <c r="G31" s="7">
        <f ca="1">MIN(IF(F$1=0,MthRem,12), MAX(Inputs!$G$125-IF(F$1=0,0,F$1*12+MthOff), 0))*Inputs!$B$127</f>
        <v>600</v>
      </c>
      <c r="H31" s="7">
        <f ca="1">MIN(IF(G$1=0,MthRem,12), MAX(Inputs!$G$125-IF(G$1=0,0,G$1*12+MthOff), 0))*Inputs!$B$127</f>
        <v>600</v>
      </c>
      <c r="I31" s="7">
        <f ca="1">MIN(IF(H$1=0,MthRem,12), MAX(Inputs!$G$125-IF(H$1=0,0,H$1*12+MthOff), 0))*Inputs!$B$127</f>
        <v>600</v>
      </c>
      <c r="J31" s="7">
        <f ca="1">MIN(IF(I$1=0,MthRem,12), MAX(Inputs!$G$125-IF(I$1=0,0,I$1*12+MthOff), 0))*Inputs!$B$127</f>
        <v>600</v>
      </c>
      <c r="K31" s="7">
        <f ca="1">MIN(IF(J$1=0,MthRem,12), MAX(Inputs!$G$125-IF(J$1=0,0,J$1*12+MthOff), 0))*Inputs!$B$127</f>
        <v>421.016262575219</v>
      </c>
      <c r="L31" s="7">
        <f ca="1">MIN(IF(K$1=0,MthRem,12), MAX(Inputs!$G$125-IF(K$1=0,0,K$1*12+MthOff), 0))*Inputs!$B$127</f>
        <v>0</v>
      </c>
      <c r="M31" s="7">
        <f ca="1">MIN(IF(L$1=0,MthRem,12), MAX(Inputs!$G$125-IF(L$1=0,0,L$1*12+MthOff), 0))*Inputs!$B$127</f>
        <v>0</v>
      </c>
      <c r="N31" s="7">
        <f ca="1">MIN(IF(M$1=0,MthRem,12), MAX(Inputs!$G$125-IF(M$1=0,0,M$1*12+MthOff), 0))*Inputs!$B$127</f>
        <v>0</v>
      </c>
      <c r="O31" s="7">
        <f ca="1">MIN(IF(N$1=0,MthRem,12), MAX(Inputs!$G$125-IF(N$1=0,0,N$1*12+MthOff), 0))*Inputs!$B$127</f>
        <v>0</v>
      </c>
      <c r="P31" s="7">
        <f ca="1">MIN(IF(O$1=0,MthRem,12), MAX(Inputs!$G$125-IF(O$1=0,0,O$1*12+MthOff), 0))*Inputs!$B$127</f>
        <v>0</v>
      </c>
      <c r="Q31" s="7">
        <f ca="1">MIN(IF(P$1=0,MthRem,12), MAX(Inputs!$G$125-IF(P$1=0,0,P$1*12+MthOff), 0))*Inputs!$B$127</f>
        <v>0</v>
      </c>
      <c r="R31" s="7">
        <f ca="1">MIN(IF(Q$1=0,MthRem,12), MAX(Inputs!$G$125-IF(Q$1=0,0,Q$1*12+MthOff), 0))*Inputs!$B$127</f>
        <v>0</v>
      </c>
      <c r="S31" s="7">
        <f ca="1">MIN(IF(R$1=0,MthRem,12), MAX(Inputs!$G$125-IF(R$1=0,0,R$1*12+MthOff), 0))*Inputs!$B$127</f>
        <v>0</v>
      </c>
      <c r="T31" s="7">
        <f ca="1">MIN(IF(S$1=0,MthRem,12), MAX(Inputs!$G$125-IF(S$1=0,0,S$1*12+MthOff), 0))*Inputs!$B$127</f>
        <v>0</v>
      </c>
      <c r="U31" s="7">
        <f ca="1">MIN(IF(T$1=0,MthRem,12), MAX(Inputs!$G$125-IF(T$1=0,0,T$1*12+MthOff), 0))*Inputs!$B$127</f>
        <v>0</v>
      </c>
      <c r="V31" s="7">
        <f ca="1">MIN(IF(U$1=0,MthRem,12), MAX(Inputs!$G$125-IF(U$1=0,0,U$1*12+MthOff), 0))*Inputs!$B$127</f>
        <v>0</v>
      </c>
      <c r="W31" s="7">
        <f ca="1">MIN(IF(V$1=0,MthRem,12), MAX(Inputs!$G$125-IF(V$1=0,0,V$1*12+MthOff), 0))*Inputs!$B$127</f>
        <v>0</v>
      </c>
      <c r="X31" s="7">
        <f ca="1">MIN(IF(W$1=0,MthRem,12), MAX(Inputs!$G$125-IF(W$1=0,0,W$1*12+MthOff), 0))*Inputs!$B$127</f>
        <v>0</v>
      </c>
      <c r="Y31" s="7">
        <f ca="1">MIN(IF(X$1=0,MthRem,12), MAX(Inputs!$G$125-IF(X$1=0,0,X$1*12+MthOff), 0))*Inputs!$B$127</f>
        <v>0</v>
      </c>
      <c r="Z31" s="7">
        <f ca="1">MIN(IF(Y$1=0,MthRem,12), MAX(Inputs!$G$125-IF(Y$1=0,0,Y$1*12+MthOff), 0))*Inputs!$B$127</f>
        <v>0</v>
      </c>
      <c r="AA31" s="7">
        <f ca="1">MIN(IF(Z$1=0,MthRem,12), MAX(Inputs!$G$125-IF(Z$1=0,0,Z$1*12+MthOff), 0))*Inputs!$B$127</f>
        <v>0</v>
      </c>
      <c r="AB31" s="7">
        <f ca="1">MIN(IF(AA$1=0,MthRem,12), MAX(Inputs!$G$125-IF(AA$1=0,0,AA$1*12+MthOff), 0))*Inputs!$B$127</f>
        <v>0</v>
      </c>
      <c r="AC31" s="7">
        <f ca="1">MIN(IF(AB$1=0,MthRem,12), MAX(Inputs!$G$125-IF(AB$1=0,0,AB$1*12+MthOff), 0))*Inputs!$B$127</f>
        <v>0</v>
      </c>
      <c r="AD31" s="7">
        <f ca="1">MIN(IF(AC$1=0,MthRem,12), MAX(Inputs!$G$125-IF(AC$1=0,0,AC$1*12+MthOff), 0))*Inputs!$B$127</f>
        <v>0</v>
      </c>
      <c r="AE31" s="7">
        <f ca="1">MIN(IF(AD$1=0,MthRem,12), MAX(Inputs!$G$125-IF(AD$1=0,0,AD$1*12+MthOff), 0))*Inputs!$B$127</f>
        <v>0</v>
      </c>
      <c r="AF31" s="7">
        <f ca="1">MIN(IF(AE$1=0,MthRem,12), MAX(Inputs!$G$125-IF(AE$1=0,0,AE$1*12+MthOff), 0))*Inputs!$B$127</f>
        <v>0</v>
      </c>
      <c r="AG31" s="7">
        <f ca="1">MIN(IF(AF$1=0,MthRem,12), MAX(Inputs!$G$125-IF(AF$1=0,0,AF$1*12+MthOff), 0))*Inputs!$B$127</f>
        <v>0</v>
      </c>
      <c r="AH31" s="7">
        <f ca="1">MIN(IF(AG$1=0,MthRem,12), MAX(Inputs!$G$125-IF(AG$1=0,0,AG$1*12+MthOff), 0))*Inputs!$B$127</f>
        <v>0</v>
      </c>
      <c r="AI31" s="7">
        <f ca="1">MIN(IF(AH$1=0,MthRem,12), MAX(Inputs!$G$125-IF(AH$1=0,0,AH$1*12+MthOff), 0))*Inputs!$B$127</f>
        <v>0</v>
      </c>
      <c r="AJ31" s="7">
        <f ca="1">MIN(IF(AI$1=0,MthRem,12), MAX(Inputs!$G$125-IF(AI$1=0,0,AI$1*12+MthOff), 0))*Inputs!$B$127</f>
        <v>0</v>
      </c>
      <c r="AK31" s="7">
        <f ca="1">MIN(IF(AJ$1=0,MthRem,12), MAX(Inputs!$G$125-IF(AJ$1=0,0,AJ$1*12+MthOff), 0))*Inputs!$B$127</f>
        <v>0</v>
      </c>
      <c r="AL31" s="7">
        <f ca="1">MIN(IF(AK$1=0,MthRem,12), MAX(Inputs!$G$125-IF(AK$1=0,0,AK$1*12+MthOff), 0))*Inputs!$B$127</f>
        <v>0</v>
      </c>
      <c r="AM31" s="7">
        <f ca="1">MIN(IF(AL$1=0,MthRem,12), MAX(Inputs!$G$125-IF(AL$1=0,0,AL$1*12+MthOff), 0))*Inputs!$B$127</f>
        <v>0</v>
      </c>
    </row>
    <row r="32" spans="1:39" x14ac:dyDescent="0.2">
      <c r="A32" s="4" t="s">
        <v>54</v>
      </c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7"/>
      <c r="AJ32" s="7"/>
      <c r="AK32" s="7"/>
      <c r="AL32" s="7"/>
      <c r="AM32" s="7"/>
    </row>
    <row r="33" spans="1:39" x14ac:dyDescent="0.2">
      <c r="A33" s="3" t="str">
        <f>TEXT(Inputs!B33,"")</f>
        <v>John</v>
      </c>
      <c r="B33" s="8"/>
      <c r="C33" s="7">
        <f ca="1">IF(Inputs!$B$35&gt;=C$1,Inputs!$B$34,0)*(1+inf)^B$1*ProRate</f>
        <v>1666.6666666666667</v>
      </c>
      <c r="D33" s="7">
        <f>IF(Inputs!$B$35&gt;=D$1,Inputs!$B$34,0)*(1+inf)^C$1</f>
        <v>2050</v>
      </c>
      <c r="E33" s="7">
        <f>IF(Inputs!$B$35&gt;=E$1,Inputs!$B$34,0)*(1+inf)^D$1</f>
        <v>2101.25</v>
      </c>
      <c r="F33" s="7">
        <f>IF(Inputs!$B$35&gt;=F$1,Inputs!$B$34,0)*(1+inf)^E$1</f>
        <v>0</v>
      </c>
      <c r="G33" s="7">
        <f>IF(Inputs!$B$35&gt;=G$1,Inputs!$B$34,0)*(1+inf)^F$1</f>
        <v>0</v>
      </c>
      <c r="H33" s="7">
        <f>IF(Inputs!$B$35&gt;=H$1,Inputs!$B$34,0)*(1+inf)^G$1</f>
        <v>0</v>
      </c>
      <c r="I33" s="7">
        <f>IF(Inputs!$B$35&gt;=I$1,Inputs!$B$34,0)*(1+inf)^H$1</f>
        <v>0</v>
      </c>
      <c r="J33" s="7">
        <f>IF(Inputs!$B$35&gt;=J$1,Inputs!$B$34,0)*(1+inf)^I$1</f>
        <v>0</v>
      </c>
      <c r="K33" s="7">
        <f>IF(Inputs!$B$35&gt;=K$1,Inputs!$B$34,0)*(1+inf)^J$1</f>
        <v>0</v>
      </c>
      <c r="L33" s="7">
        <f>IF(Inputs!$B$35&gt;=L$1,Inputs!$B$34,0)*(1+inf)^K$1</f>
        <v>0</v>
      </c>
      <c r="M33" s="7">
        <f>IF(Inputs!$B$35&gt;=M$1,Inputs!$B$34,0)*(1+inf)^L$1</f>
        <v>0</v>
      </c>
      <c r="N33" s="7">
        <f>IF(Inputs!$B$35&gt;=N$1,Inputs!$B$34,0)*(1+inf)^M$1</f>
        <v>0</v>
      </c>
      <c r="O33" s="7">
        <f>IF(Inputs!$B$35&gt;=O$1,Inputs!$B$34,0)*(1+inf)^N$1</f>
        <v>0</v>
      </c>
      <c r="P33" s="7">
        <f>IF(Inputs!$B$35&gt;=P$1,Inputs!$B$34,0)*(1+inf)^O$1</f>
        <v>0</v>
      </c>
      <c r="Q33" s="7">
        <f>IF(Inputs!$B$35&gt;=Q$1,Inputs!$B$34,0)*(1+inf)^P$1</f>
        <v>0</v>
      </c>
      <c r="R33" s="7">
        <f>IF(Inputs!$B$35&gt;=R$1,Inputs!$B$34,0)*(1+inf)^Q$1</f>
        <v>0</v>
      </c>
      <c r="S33" s="7">
        <f>IF(Inputs!$B$35&gt;=S$1,Inputs!$B$34,0)*(1+inf)^R$1</f>
        <v>0</v>
      </c>
      <c r="T33" s="7">
        <f>IF(Inputs!$B$35&gt;=T$1,Inputs!$B$34,0)*(1+inf)^S$1</f>
        <v>0</v>
      </c>
      <c r="U33" s="7">
        <f>IF(Inputs!$B$35&gt;=U$1,Inputs!$B$34,0)*(1+inf)^T$1</f>
        <v>0</v>
      </c>
      <c r="V33" s="7">
        <f>IF(Inputs!$B$35&gt;=V$1,Inputs!$B$34,0)*(1+inf)^U$1</f>
        <v>0</v>
      </c>
      <c r="W33" s="7">
        <f>IF(Inputs!$B$35&gt;=W$1,Inputs!$B$34,0)*(1+inf)^V$1</f>
        <v>0</v>
      </c>
      <c r="X33" s="7">
        <f>IF(Inputs!$B$35&gt;=X$1,Inputs!$B$34,0)*(1+inf)^W$1</f>
        <v>0</v>
      </c>
      <c r="Y33" s="7">
        <f>IF(Inputs!$B$35&gt;=Y$1,Inputs!$B$34,0)*(1+inf)^X$1</f>
        <v>0</v>
      </c>
      <c r="Z33" s="7">
        <f>IF(Inputs!$B$35&gt;=Z$1,Inputs!$B$34,0)*(1+inf)^Y$1</f>
        <v>0</v>
      </c>
      <c r="AA33" s="7">
        <f>IF(Inputs!$B$35&gt;=AA$1,Inputs!$B$34,0)*(1+inf)^Z$1</f>
        <v>0</v>
      </c>
      <c r="AB33" s="7">
        <f>IF(Inputs!$B$35&gt;=AB$1,Inputs!$B$34,0)*(1+inf)^AA$1</f>
        <v>0</v>
      </c>
      <c r="AC33" s="7">
        <f>IF(Inputs!$B$35&gt;=AC$1,Inputs!$B$34,0)*(1+inf)^AB$1</f>
        <v>0</v>
      </c>
      <c r="AD33" s="7">
        <f>IF(Inputs!$B$35&gt;=AD$1,Inputs!$B$34,0)*(1+inf)^AC$1</f>
        <v>0</v>
      </c>
      <c r="AE33" s="7">
        <f>IF(Inputs!$B$35&gt;=AE$1,Inputs!$B$34,0)*(1+inf)^AD$1</f>
        <v>0</v>
      </c>
      <c r="AF33" s="7">
        <f>IF(Inputs!$B$35&gt;=AF$1,Inputs!$B$34,0)*(1+inf)^AE$1</f>
        <v>0</v>
      </c>
      <c r="AG33" s="7">
        <f>IF(Inputs!$B$35&gt;=AG$1,Inputs!$B$34,0)*(1+inf)^AF$1</f>
        <v>0</v>
      </c>
      <c r="AH33" s="7">
        <f>IF(Inputs!$B$35&gt;=AH$1,Inputs!$B$34,0)*(1+inf)^AG$1</f>
        <v>0</v>
      </c>
      <c r="AI33" s="7">
        <f>IF(Inputs!$B$35&gt;=AI$1,Inputs!$B$34,0)*(1+inf)^AH$1</f>
        <v>0</v>
      </c>
      <c r="AJ33" s="7">
        <f>IF(Inputs!$B$35&gt;=AJ$1,Inputs!$B$34,0)*(1+inf)^AI$1</f>
        <v>0</v>
      </c>
      <c r="AK33" s="7">
        <f>IF(Inputs!$B$35&gt;=AK$1,Inputs!$B$34,0)*(1+inf)^AJ$1</f>
        <v>0</v>
      </c>
      <c r="AL33" s="7">
        <f>IF(Inputs!$B$35&gt;=AL$1,Inputs!$B$34,0)*(1+inf)^AK$1</f>
        <v>0</v>
      </c>
      <c r="AM33" s="7">
        <f>IF(Inputs!$B$35&gt;=AM$1,Inputs!$B$34,0)*(1+inf)^AL$1</f>
        <v>0</v>
      </c>
    </row>
    <row r="34" spans="1:39" x14ac:dyDescent="0.2">
      <c r="A34" s="3" t="str">
        <f>TEXT(Inputs!B38,"")</f>
        <v>Jack</v>
      </c>
      <c r="B34" s="8"/>
      <c r="C34" s="7">
        <f ca="1">IF(Inputs!$B$40&gt;=C$1,Inputs!$B$39,0)*(1+inf)^B$1*ProRate</f>
        <v>833.33333333333337</v>
      </c>
      <c r="D34" s="7">
        <f>IF(Inputs!$B$40&gt;=D$1,Inputs!$B$39,0)*(1+inf)^C$1</f>
        <v>1025</v>
      </c>
      <c r="E34" s="7">
        <f>IF(Inputs!$B$40&gt;=E$1,Inputs!$B$39,0)*(1+inf)^D$1</f>
        <v>1050.625</v>
      </c>
      <c r="F34" s="7">
        <f>IF(Inputs!$B$40&gt;=F$1,Inputs!$B$39,0)*(1+inf)^E$1</f>
        <v>1076.8906249999998</v>
      </c>
      <c r="G34" s="7">
        <f>IF(Inputs!$B$40&gt;=G$1,Inputs!$B$39,0)*(1+inf)^F$1</f>
        <v>1103.8128906249997</v>
      </c>
      <c r="H34" s="7">
        <f>IF(Inputs!$B$40&gt;=H$1,Inputs!$B$39,0)*(1+inf)^G$1</f>
        <v>0</v>
      </c>
      <c r="I34" s="7">
        <f>IF(Inputs!$B$40&gt;=I$1,Inputs!$B$39,0)*(1+inf)^H$1</f>
        <v>0</v>
      </c>
      <c r="J34" s="7">
        <f>IF(Inputs!$B$40&gt;=J$1,Inputs!$B$39,0)*(1+inf)^I$1</f>
        <v>0</v>
      </c>
      <c r="K34" s="7">
        <f>IF(Inputs!$B$40&gt;=K$1,Inputs!$B$39,0)*(1+inf)^J$1</f>
        <v>0</v>
      </c>
      <c r="L34" s="7">
        <f>IF(Inputs!$B$40&gt;=L$1,Inputs!$B$39,0)*(1+inf)^K$1</f>
        <v>0</v>
      </c>
      <c r="M34" s="7">
        <f>IF(Inputs!$B$40&gt;=M$1,Inputs!$B$39,0)*(1+inf)^L$1</f>
        <v>0</v>
      </c>
      <c r="N34" s="7">
        <f>IF(Inputs!$B$40&gt;=N$1,Inputs!$B$39,0)*(1+inf)^M$1</f>
        <v>0</v>
      </c>
      <c r="O34" s="7">
        <f>IF(Inputs!$B$40&gt;=O$1,Inputs!$B$39,0)*(1+inf)^N$1</f>
        <v>0</v>
      </c>
      <c r="P34" s="7">
        <f>IF(Inputs!$B$40&gt;=P$1,Inputs!$B$39,0)*(1+inf)^O$1</f>
        <v>0</v>
      </c>
      <c r="Q34" s="7">
        <f>IF(Inputs!$B$40&gt;=Q$1,Inputs!$B$39,0)*(1+inf)^P$1</f>
        <v>0</v>
      </c>
      <c r="R34" s="7">
        <f>IF(Inputs!$B$40&gt;=R$1,Inputs!$B$39,0)*(1+inf)^Q$1</f>
        <v>0</v>
      </c>
      <c r="S34" s="7">
        <f>IF(Inputs!$B$40&gt;=S$1,Inputs!$B$39,0)*(1+inf)^R$1</f>
        <v>0</v>
      </c>
      <c r="T34" s="7">
        <f>IF(Inputs!$B$40&gt;=T$1,Inputs!$B$39,0)*(1+inf)^S$1</f>
        <v>0</v>
      </c>
      <c r="U34" s="7">
        <f>IF(Inputs!$B$40&gt;=U$1,Inputs!$B$39,0)*(1+inf)^T$1</f>
        <v>0</v>
      </c>
      <c r="V34" s="7">
        <f>IF(Inputs!$B$40&gt;=V$1,Inputs!$B$39,0)*(1+inf)^U$1</f>
        <v>0</v>
      </c>
      <c r="W34" s="7">
        <f>IF(Inputs!$B$40&gt;=W$1,Inputs!$B$39,0)*(1+inf)^V$1</f>
        <v>0</v>
      </c>
      <c r="X34" s="7">
        <f>IF(Inputs!$B$40&gt;=X$1,Inputs!$B$39,0)*(1+inf)^W$1</f>
        <v>0</v>
      </c>
      <c r="Y34" s="7">
        <f>IF(Inputs!$B$40&gt;=Y$1,Inputs!$B$39,0)*(1+inf)^X$1</f>
        <v>0</v>
      </c>
      <c r="Z34" s="7">
        <f>IF(Inputs!$B$40&gt;=Z$1,Inputs!$B$39,0)*(1+inf)^Y$1</f>
        <v>0</v>
      </c>
      <c r="AA34" s="7">
        <f>IF(Inputs!$B$40&gt;=AA$1,Inputs!$B$39,0)*(1+inf)^Z$1</f>
        <v>0</v>
      </c>
      <c r="AB34" s="7">
        <f>IF(Inputs!$B$40&gt;=AB$1,Inputs!$B$39,0)*(1+inf)^AA$1</f>
        <v>0</v>
      </c>
      <c r="AC34" s="7">
        <f>IF(Inputs!$B$40&gt;=AC$1,Inputs!$B$39,0)*(1+inf)^AB$1</f>
        <v>0</v>
      </c>
      <c r="AD34" s="7">
        <f>IF(Inputs!$B$40&gt;=AD$1,Inputs!$B$39,0)*(1+inf)^AC$1</f>
        <v>0</v>
      </c>
      <c r="AE34" s="7">
        <f>IF(Inputs!$B$40&gt;=AE$1,Inputs!$B$39,0)*(1+inf)^AD$1</f>
        <v>0</v>
      </c>
      <c r="AF34" s="7">
        <f>IF(Inputs!$B$40&gt;=AF$1,Inputs!$B$39,0)*(1+inf)^AE$1</f>
        <v>0</v>
      </c>
      <c r="AG34" s="7">
        <f>IF(Inputs!$B$40&gt;=AG$1,Inputs!$B$39,0)*(1+inf)^AF$1</f>
        <v>0</v>
      </c>
      <c r="AH34" s="7">
        <f>IF(Inputs!$B$40&gt;=AH$1,Inputs!$B$39,0)*(1+inf)^AG$1</f>
        <v>0</v>
      </c>
      <c r="AI34" s="7">
        <f>IF(Inputs!$B$40&gt;=AI$1,Inputs!$B$39,0)*(1+inf)^AH$1</f>
        <v>0</v>
      </c>
      <c r="AJ34" s="7">
        <f>IF(Inputs!$B$40&gt;=AJ$1,Inputs!$B$39,0)*(1+inf)^AI$1</f>
        <v>0</v>
      </c>
      <c r="AK34" s="7">
        <f>IF(Inputs!$B$40&gt;=AK$1,Inputs!$B$39,0)*(1+inf)^AJ$1</f>
        <v>0</v>
      </c>
      <c r="AL34" s="7">
        <f>IF(Inputs!$B$40&gt;=AL$1,Inputs!$B$39,0)*(1+inf)^AK$1</f>
        <v>0</v>
      </c>
      <c r="AM34" s="7">
        <f>IF(Inputs!$B$40&gt;=AM$1,Inputs!$B$39,0)*(1+inf)^AL$1</f>
        <v>0</v>
      </c>
    </row>
    <row r="35" spans="1:39" x14ac:dyDescent="0.2">
      <c r="A35" s="3" t="str">
        <f>TEXT(Inputs!B43,"")</f>
        <v>Bill</v>
      </c>
      <c r="B35" s="8"/>
      <c r="C35" s="7">
        <f ca="1">IF(Inputs!$B$45&gt;=C$1,Inputs!$B$44,0)*(1+inf)^B$1*ProRate</f>
        <v>3333.3333333333335</v>
      </c>
      <c r="D35" s="7">
        <f>IF(Inputs!$B$45&gt;=D$1,Inputs!$B$44,0)*(1+inf)^C$1</f>
        <v>4100</v>
      </c>
      <c r="E35" s="7">
        <f>IF(Inputs!$B$45&gt;=E$1,Inputs!$B$44,0)*(1+inf)^D$1</f>
        <v>0</v>
      </c>
      <c r="F35" s="7">
        <f>IF(Inputs!$B$45&gt;=F$1,Inputs!$B$44,0)*(1+inf)^E$1</f>
        <v>0</v>
      </c>
      <c r="G35" s="7">
        <f>IF(Inputs!$B$45&gt;=G$1,Inputs!$B$44,0)*(1+inf)^F$1</f>
        <v>0</v>
      </c>
      <c r="H35" s="7">
        <f>IF(Inputs!$B$45&gt;=H$1,Inputs!$B$44,0)*(1+inf)^G$1</f>
        <v>0</v>
      </c>
      <c r="I35" s="7">
        <f>IF(Inputs!$B$45&gt;=I$1,Inputs!$B$44,0)*(1+inf)^H$1</f>
        <v>0</v>
      </c>
      <c r="J35" s="7">
        <f>IF(Inputs!$B$45&gt;=J$1,Inputs!$B$44,0)*(1+inf)^I$1</f>
        <v>0</v>
      </c>
      <c r="K35" s="7">
        <f>IF(Inputs!$B$45&gt;=K$1,Inputs!$B$44,0)*(1+inf)^J$1</f>
        <v>0</v>
      </c>
      <c r="L35" s="7">
        <f>IF(Inputs!$B$45&gt;=L$1,Inputs!$B$44,0)*(1+inf)^K$1</f>
        <v>0</v>
      </c>
      <c r="M35" s="7">
        <f>IF(Inputs!$B$45&gt;=M$1,Inputs!$B$44,0)*(1+inf)^L$1</f>
        <v>0</v>
      </c>
      <c r="N35" s="7">
        <f>IF(Inputs!$B$45&gt;=N$1,Inputs!$B$44,0)*(1+inf)^M$1</f>
        <v>0</v>
      </c>
      <c r="O35" s="7">
        <f>IF(Inputs!$B$45&gt;=O$1,Inputs!$B$44,0)*(1+inf)^N$1</f>
        <v>0</v>
      </c>
      <c r="P35" s="7">
        <f>IF(Inputs!$B$45&gt;=P$1,Inputs!$B$44,0)*(1+inf)^O$1</f>
        <v>0</v>
      </c>
      <c r="Q35" s="7">
        <f>IF(Inputs!$B$45&gt;=Q$1,Inputs!$B$44,0)*(1+inf)^P$1</f>
        <v>0</v>
      </c>
      <c r="R35" s="7">
        <f>IF(Inputs!$B$45&gt;=R$1,Inputs!$B$44,0)*(1+inf)^Q$1</f>
        <v>0</v>
      </c>
      <c r="S35" s="7">
        <f>IF(Inputs!$B$45&gt;=S$1,Inputs!$B$44,0)*(1+inf)^R$1</f>
        <v>0</v>
      </c>
      <c r="T35" s="7">
        <f>IF(Inputs!$B$45&gt;=T$1,Inputs!$B$44,0)*(1+inf)^S$1</f>
        <v>0</v>
      </c>
      <c r="U35" s="7">
        <f>IF(Inputs!$B$45&gt;=U$1,Inputs!$B$44,0)*(1+inf)^T$1</f>
        <v>0</v>
      </c>
      <c r="V35" s="7">
        <f>IF(Inputs!$B$45&gt;=V$1,Inputs!$B$44,0)*(1+inf)^U$1</f>
        <v>0</v>
      </c>
      <c r="W35" s="7">
        <f>IF(Inputs!$B$45&gt;=W$1,Inputs!$B$44,0)*(1+inf)^V$1</f>
        <v>0</v>
      </c>
      <c r="X35" s="7">
        <f>IF(Inputs!$B$45&gt;=X$1,Inputs!$B$44,0)*(1+inf)^W$1</f>
        <v>0</v>
      </c>
      <c r="Y35" s="7">
        <f>IF(Inputs!$B$45&gt;=Y$1,Inputs!$B$44,0)*(1+inf)^X$1</f>
        <v>0</v>
      </c>
      <c r="Z35" s="7">
        <f>IF(Inputs!$B$45&gt;=Z$1,Inputs!$B$44,0)*(1+inf)^Y$1</f>
        <v>0</v>
      </c>
      <c r="AA35" s="7">
        <f>IF(Inputs!$B$45&gt;=AA$1,Inputs!$B$44,0)*(1+inf)^Z$1</f>
        <v>0</v>
      </c>
      <c r="AB35" s="7">
        <f>IF(Inputs!$B$45&gt;=AB$1,Inputs!$B$44,0)*(1+inf)^AA$1</f>
        <v>0</v>
      </c>
      <c r="AC35" s="7">
        <f>IF(Inputs!$B$45&gt;=AC$1,Inputs!$B$44,0)*(1+inf)^AB$1</f>
        <v>0</v>
      </c>
      <c r="AD35" s="7">
        <f>IF(Inputs!$B$45&gt;=AD$1,Inputs!$B$44,0)*(1+inf)^AC$1</f>
        <v>0</v>
      </c>
      <c r="AE35" s="7">
        <f>IF(Inputs!$B$45&gt;=AE$1,Inputs!$B$44,0)*(1+inf)^AD$1</f>
        <v>0</v>
      </c>
      <c r="AF35" s="7">
        <f>IF(Inputs!$B$45&gt;=AF$1,Inputs!$B$44,0)*(1+inf)^AE$1</f>
        <v>0</v>
      </c>
      <c r="AG35" s="7">
        <f>IF(Inputs!$B$45&gt;=AG$1,Inputs!$B$44,0)*(1+inf)^AF$1</f>
        <v>0</v>
      </c>
      <c r="AH35" s="7">
        <f>IF(Inputs!$B$45&gt;=AH$1,Inputs!$B$44,0)*(1+inf)^AG$1</f>
        <v>0</v>
      </c>
      <c r="AI35" s="7">
        <f>IF(Inputs!$B$45&gt;=AI$1,Inputs!$B$44,0)*(1+inf)^AH$1</f>
        <v>0</v>
      </c>
      <c r="AJ35" s="7">
        <f>IF(Inputs!$B$45&gt;=AJ$1,Inputs!$B$44,0)*(1+inf)^AI$1</f>
        <v>0</v>
      </c>
      <c r="AK35" s="7">
        <f>IF(Inputs!$B$45&gt;=AK$1,Inputs!$B$44,0)*(1+inf)^AJ$1</f>
        <v>0</v>
      </c>
      <c r="AL35" s="7">
        <f>IF(Inputs!$B$45&gt;=AL$1,Inputs!$B$44,0)*(1+inf)^AK$1</f>
        <v>0</v>
      </c>
      <c r="AM35" s="7">
        <f>IF(Inputs!$B$45&gt;=AM$1,Inputs!$B$44,0)*(1+inf)^AL$1</f>
        <v>0</v>
      </c>
    </row>
    <row r="36" spans="1:39" x14ac:dyDescent="0.2">
      <c r="A36" s="3" t="str">
        <f>TEXT(Inputs!B48,"")</f>
        <v>Stephen</v>
      </c>
      <c r="B36" s="8"/>
      <c r="C36" s="7">
        <f ca="1">IF(Inputs!$B$50&gt;=C$1,Inputs!$B$49,0)*(1+inf)^B$1*ProRate</f>
        <v>2083.3333333333335</v>
      </c>
      <c r="D36" s="7">
        <f>IF(Inputs!$B$50&gt;=D$1,Inputs!$B$49,0)*(1+inf)^C$1</f>
        <v>2562.5</v>
      </c>
      <c r="E36" s="7">
        <f>IF(Inputs!$B$50&gt;=E$1,Inputs!$B$49,0)*(1+inf)^D$1</f>
        <v>2626.5625</v>
      </c>
      <c r="F36" s="7">
        <f>IF(Inputs!$B$50&gt;=F$1,Inputs!$B$49,0)*(1+inf)^E$1</f>
        <v>0</v>
      </c>
      <c r="G36" s="7">
        <f>IF(Inputs!$B$50&gt;=G$1,Inputs!$B$49,0)*(1+inf)^F$1</f>
        <v>0</v>
      </c>
      <c r="H36" s="7">
        <f>IF(Inputs!$B$50&gt;=H$1,Inputs!$B$49,0)*(1+inf)^G$1</f>
        <v>0</v>
      </c>
      <c r="I36" s="7">
        <f>IF(Inputs!$B$50&gt;=I$1,Inputs!$B$49,0)*(1+inf)^H$1</f>
        <v>0</v>
      </c>
      <c r="J36" s="7">
        <f>IF(Inputs!$B$50&gt;=J$1,Inputs!$B$49,0)*(1+inf)^I$1</f>
        <v>0</v>
      </c>
      <c r="K36" s="7">
        <f>IF(Inputs!$B$50&gt;=K$1,Inputs!$B$49,0)*(1+inf)^J$1</f>
        <v>0</v>
      </c>
      <c r="L36" s="7">
        <f>IF(Inputs!$B$50&gt;=L$1,Inputs!$B$49,0)*(1+inf)^K$1</f>
        <v>0</v>
      </c>
      <c r="M36" s="7">
        <f>IF(Inputs!$B$50&gt;=M$1,Inputs!$B$49,0)*(1+inf)^L$1</f>
        <v>0</v>
      </c>
      <c r="N36" s="7">
        <f>IF(Inputs!$B$50&gt;=N$1,Inputs!$B$49,0)*(1+inf)^M$1</f>
        <v>0</v>
      </c>
      <c r="O36" s="7">
        <f>IF(Inputs!$B$50&gt;=O$1,Inputs!$B$49,0)*(1+inf)^N$1</f>
        <v>0</v>
      </c>
      <c r="P36" s="7">
        <f>IF(Inputs!$B$50&gt;=P$1,Inputs!$B$49,0)*(1+inf)^O$1</f>
        <v>0</v>
      </c>
      <c r="Q36" s="7">
        <f>IF(Inputs!$B$50&gt;=Q$1,Inputs!$B$49,0)*(1+inf)^P$1</f>
        <v>0</v>
      </c>
      <c r="R36" s="7">
        <f>IF(Inputs!$B$50&gt;=R$1,Inputs!$B$49,0)*(1+inf)^Q$1</f>
        <v>0</v>
      </c>
      <c r="S36" s="7">
        <f>IF(Inputs!$B$50&gt;=S$1,Inputs!$B$49,0)*(1+inf)^R$1</f>
        <v>0</v>
      </c>
      <c r="T36" s="7">
        <f>IF(Inputs!$B$50&gt;=T$1,Inputs!$B$49,0)*(1+inf)^S$1</f>
        <v>0</v>
      </c>
      <c r="U36" s="7">
        <f>IF(Inputs!$B$50&gt;=U$1,Inputs!$B$49,0)*(1+inf)^T$1</f>
        <v>0</v>
      </c>
      <c r="V36" s="7">
        <f>IF(Inputs!$B$50&gt;=V$1,Inputs!$B$49,0)*(1+inf)^U$1</f>
        <v>0</v>
      </c>
      <c r="W36" s="7">
        <f>IF(Inputs!$B$50&gt;=W$1,Inputs!$B$49,0)*(1+inf)^V$1</f>
        <v>0</v>
      </c>
      <c r="X36" s="7">
        <f>IF(Inputs!$B$50&gt;=X$1,Inputs!$B$49,0)*(1+inf)^W$1</f>
        <v>0</v>
      </c>
      <c r="Y36" s="7">
        <f>IF(Inputs!$B$50&gt;=Y$1,Inputs!$B$49,0)*(1+inf)^X$1</f>
        <v>0</v>
      </c>
      <c r="Z36" s="7">
        <f>IF(Inputs!$B$50&gt;=Z$1,Inputs!$B$49,0)*(1+inf)^Y$1</f>
        <v>0</v>
      </c>
      <c r="AA36" s="7">
        <f>IF(Inputs!$B$50&gt;=AA$1,Inputs!$B$49,0)*(1+inf)^Z$1</f>
        <v>0</v>
      </c>
      <c r="AB36" s="7">
        <f>IF(Inputs!$B$50&gt;=AB$1,Inputs!$B$49,0)*(1+inf)^AA$1</f>
        <v>0</v>
      </c>
      <c r="AC36" s="7">
        <f>IF(Inputs!$B$50&gt;=AC$1,Inputs!$B$49,0)*(1+inf)^AB$1</f>
        <v>0</v>
      </c>
      <c r="AD36" s="7">
        <f>IF(Inputs!$B$50&gt;=AD$1,Inputs!$B$49,0)*(1+inf)^AC$1</f>
        <v>0</v>
      </c>
      <c r="AE36" s="7">
        <f>IF(Inputs!$B$50&gt;=AE$1,Inputs!$B$49,0)*(1+inf)^AD$1</f>
        <v>0</v>
      </c>
      <c r="AF36" s="7">
        <f>IF(Inputs!$B$50&gt;=AF$1,Inputs!$B$49,0)*(1+inf)^AE$1</f>
        <v>0</v>
      </c>
      <c r="AG36" s="7">
        <f>IF(Inputs!$B$50&gt;=AG$1,Inputs!$B$49,0)*(1+inf)^AF$1</f>
        <v>0</v>
      </c>
      <c r="AH36" s="7">
        <f>IF(Inputs!$B$50&gt;=AH$1,Inputs!$B$49,0)*(1+inf)^AG$1</f>
        <v>0</v>
      </c>
      <c r="AI36" s="7">
        <f>IF(Inputs!$B$50&gt;=AI$1,Inputs!$B$49,0)*(1+inf)^AH$1</f>
        <v>0</v>
      </c>
      <c r="AJ36" s="7">
        <f>IF(Inputs!$B$50&gt;=AJ$1,Inputs!$B$49,0)*(1+inf)^AI$1</f>
        <v>0</v>
      </c>
      <c r="AK36" s="7">
        <f>IF(Inputs!$B$50&gt;=AK$1,Inputs!$B$49,0)*(1+inf)^AJ$1</f>
        <v>0</v>
      </c>
      <c r="AL36" s="7">
        <f>IF(Inputs!$B$50&gt;=AL$1,Inputs!$B$49,0)*(1+inf)^AK$1</f>
        <v>0</v>
      </c>
      <c r="AM36" s="7">
        <f>IF(Inputs!$B$50&gt;=AM$1,Inputs!$B$49,0)*(1+inf)^AL$1</f>
        <v>0</v>
      </c>
    </row>
    <row r="37" spans="1:39" x14ac:dyDescent="0.2">
      <c r="A37" s="3" t="str">
        <f>TEXT(Inputs!B53,"")</f>
        <v>Jane</v>
      </c>
      <c r="B37" s="8"/>
      <c r="C37" s="7">
        <f ca="1">IF(Inputs!$B$55&gt;=C$1,Inputs!$B$54,0)*(1+inf)^B$1*ProRate</f>
        <v>2383.3333333333335</v>
      </c>
      <c r="D37" s="7">
        <f>IF(Inputs!$B$55&gt;=D$1,Inputs!$B$54,0)*(1+inf)^C$1</f>
        <v>2931.4999999999995</v>
      </c>
      <c r="E37" s="7">
        <f>IF(Inputs!$B$55&gt;=E$1,Inputs!$B$54,0)*(1+inf)^D$1</f>
        <v>3004.7874999999999</v>
      </c>
      <c r="F37" s="7">
        <f>IF(Inputs!$B$55&gt;=F$1,Inputs!$B$54,0)*(1+inf)^E$1</f>
        <v>3079.9071874999995</v>
      </c>
      <c r="G37" s="7">
        <f>IF(Inputs!$B$55&gt;=G$1,Inputs!$B$54,0)*(1+inf)^F$1</f>
        <v>3156.9048671874993</v>
      </c>
      <c r="H37" s="7">
        <f>IF(Inputs!$B$55&gt;=H$1,Inputs!$B$54,0)*(1+inf)^G$1</f>
        <v>3235.8274888671867</v>
      </c>
      <c r="I37" s="7">
        <f>IF(Inputs!$B$55&gt;=I$1,Inputs!$B$54,0)*(1+inf)^H$1</f>
        <v>0</v>
      </c>
      <c r="J37" s="7">
        <f>IF(Inputs!$B$55&gt;=J$1,Inputs!$B$54,0)*(1+inf)^I$1</f>
        <v>0</v>
      </c>
      <c r="K37" s="7">
        <f>IF(Inputs!$B$55&gt;=K$1,Inputs!$B$54,0)*(1+inf)^J$1</f>
        <v>0</v>
      </c>
      <c r="L37" s="7">
        <f>IF(Inputs!$B$55&gt;=L$1,Inputs!$B$54,0)*(1+inf)^K$1</f>
        <v>0</v>
      </c>
      <c r="M37" s="7">
        <f>IF(Inputs!$B$55&gt;=M$1,Inputs!$B$54,0)*(1+inf)^L$1</f>
        <v>0</v>
      </c>
      <c r="N37" s="7">
        <f>IF(Inputs!$B$55&gt;=N$1,Inputs!$B$54,0)*(1+inf)^M$1</f>
        <v>0</v>
      </c>
      <c r="O37" s="7">
        <f>IF(Inputs!$B$55&gt;=O$1,Inputs!$B$54,0)*(1+inf)^N$1</f>
        <v>0</v>
      </c>
      <c r="P37" s="7">
        <f>IF(Inputs!$B$55&gt;=P$1,Inputs!$B$54,0)*(1+inf)^O$1</f>
        <v>0</v>
      </c>
      <c r="Q37" s="7">
        <f>IF(Inputs!$B$55&gt;=Q$1,Inputs!$B$54,0)*(1+inf)^P$1</f>
        <v>0</v>
      </c>
      <c r="R37" s="7">
        <f>IF(Inputs!$B$55&gt;=R$1,Inputs!$B$54,0)*(1+inf)^Q$1</f>
        <v>0</v>
      </c>
      <c r="S37" s="7">
        <f>IF(Inputs!$B$55&gt;=S$1,Inputs!$B$54,0)*(1+inf)^R$1</f>
        <v>0</v>
      </c>
      <c r="T37" s="7">
        <f>IF(Inputs!$B$55&gt;=T$1,Inputs!$B$54,0)*(1+inf)^S$1</f>
        <v>0</v>
      </c>
      <c r="U37" s="7">
        <f>IF(Inputs!$B$55&gt;=U$1,Inputs!$B$54,0)*(1+inf)^T$1</f>
        <v>0</v>
      </c>
      <c r="V37" s="7">
        <f>IF(Inputs!$B$55&gt;=V$1,Inputs!$B$54,0)*(1+inf)^U$1</f>
        <v>0</v>
      </c>
      <c r="W37" s="7">
        <f>IF(Inputs!$B$55&gt;=W$1,Inputs!$B$54,0)*(1+inf)^V$1</f>
        <v>0</v>
      </c>
      <c r="X37" s="7">
        <f>IF(Inputs!$B$55&gt;=X$1,Inputs!$B$54,0)*(1+inf)^W$1</f>
        <v>0</v>
      </c>
      <c r="Y37" s="7">
        <f>IF(Inputs!$B$55&gt;=Y$1,Inputs!$B$54,0)*(1+inf)^X$1</f>
        <v>0</v>
      </c>
      <c r="Z37" s="7">
        <f>IF(Inputs!$B$55&gt;=Z$1,Inputs!$B$54,0)*(1+inf)^Y$1</f>
        <v>0</v>
      </c>
      <c r="AA37" s="7">
        <f>IF(Inputs!$B$55&gt;=AA$1,Inputs!$B$54,0)*(1+inf)^Z$1</f>
        <v>0</v>
      </c>
      <c r="AB37" s="7">
        <f>IF(Inputs!$B$55&gt;=AB$1,Inputs!$B$54,0)*(1+inf)^AA$1</f>
        <v>0</v>
      </c>
      <c r="AC37" s="7">
        <f>IF(Inputs!$B$55&gt;=AC$1,Inputs!$B$54,0)*(1+inf)^AB$1</f>
        <v>0</v>
      </c>
      <c r="AD37" s="7">
        <f>IF(Inputs!$B$55&gt;=AD$1,Inputs!$B$54,0)*(1+inf)^AC$1</f>
        <v>0</v>
      </c>
      <c r="AE37" s="7">
        <f>IF(Inputs!$B$55&gt;=AE$1,Inputs!$B$54,0)*(1+inf)^AD$1</f>
        <v>0</v>
      </c>
      <c r="AF37" s="7">
        <f>IF(Inputs!$B$55&gt;=AF$1,Inputs!$B$54,0)*(1+inf)^AE$1</f>
        <v>0</v>
      </c>
      <c r="AG37" s="7">
        <f>IF(Inputs!$B$55&gt;=AG$1,Inputs!$B$54,0)*(1+inf)^AF$1</f>
        <v>0</v>
      </c>
      <c r="AH37" s="7">
        <f>IF(Inputs!$B$55&gt;=AH$1,Inputs!$B$54,0)*(1+inf)^AG$1</f>
        <v>0</v>
      </c>
      <c r="AI37" s="7">
        <f>IF(Inputs!$B$55&gt;=AI$1,Inputs!$B$54,0)*(1+inf)^AH$1</f>
        <v>0</v>
      </c>
      <c r="AJ37" s="7">
        <f>IF(Inputs!$B$55&gt;=AJ$1,Inputs!$B$54,0)*(1+inf)^AI$1</f>
        <v>0</v>
      </c>
      <c r="AK37" s="7">
        <f>IF(Inputs!$B$55&gt;=AK$1,Inputs!$B$54,0)*(1+inf)^AJ$1</f>
        <v>0</v>
      </c>
      <c r="AL37" s="7">
        <f>IF(Inputs!$B$55&gt;=AL$1,Inputs!$B$54,0)*(1+inf)^AK$1</f>
        <v>0</v>
      </c>
      <c r="AM37" s="7">
        <f>IF(Inputs!$B$55&gt;=AM$1,Inputs!$B$54,0)*(1+inf)^AL$1</f>
        <v>0</v>
      </c>
    </row>
    <row r="38" spans="1:39" x14ac:dyDescent="0.2">
      <c r="A38" s="4" t="s">
        <v>5</v>
      </c>
      <c r="B38" s="8"/>
      <c r="C38" s="7">
        <f ca="1">Inputs!$B$23*(1+inf)^B$1*ProRate</f>
        <v>0</v>
      </c>
      <c r="D38" s="7">
        <f>Inputs!$B$23*(1+inf)^C$1</f>
        <v>0</v>
      </c>
      <c r="E38" s="7">
        <f>Inputs!$B$23*(1+inf)^D$1</f>
        <v>0</v>
      </c>
      <c r="F38" s="7">
        <f>Inputs!$B$23*(1+inf)^E$1</f>
        <v>0</v>
      </c>
      <c r="G38" s="7">
        <f>Inputs!$B$23*(1+inf)^F$1</f>
        <v>0</v>
      </c>
      <c r="H38" s="7">
        <f>Inputs!$B$23*(1+inf)^G$1</f>
        <v>0</v>
      </c>
      <c r="I38" s="7">
        <f>Inputs!$B$23*(1+inf)^H$1</f>
        <v>0</v>
      </c>
      <c r="J38" s="7">
        <f>Inputs!$B$23*(1+inf)^I$1</f>
        <v>0</v>
      </c>
      <c r="K38" s="7">
        <f>Inputs!$B$23*(1+inf)^J$1</f>
        <v>0</v>
      </c>
      <c r="L38" s="7">
        <f>Inputs!$B$23*(1+inf)^K$1</f>
        <v>0</v>
      </c>
      <c r="M38" s="7">
        <f>Inputs!$B$23*(1+inf)^L$1</f>
        <v>0</v>
      </c>
      <c r="N38" s="7">
        <f>Inputs!$B$23*(1+inf)^M$1</f>
        <v>0</v>
      </c>
      <c r="O38" s="7">
        <f>Inputs!$B$23*(1+inf)^N$1</f>
        <v>0</v>
      </c>
      <c r="P38" s="7">
        <f>Inputs!$B$23*(1+inf)^O$1</f>
        <v>0</v>
      </c>
      <c r="Q38" s="7">
        <f>Inputs!$B$23*(1+inf)^P$1</f>
        <v>0</v>
      </c>
      <c r="R38" s="7">
        <f>Inputs!$B$23*(1+inf)^Q$1</f>
        <v>0</v>
      </c>
      <c r="S38" s="7">
        <f>Inputs!$B$23*(1+inf)^R$1</f>
        <v>0</v>
      </c>
      <c r="T38" s="7">
        <f>Inputs!$B$23*(1+inf)^S$1</f>
        <v>0</v>
      </c>
      <c r="U38" s="7">
        <f>Inputs!$B$23*(1+inf)^T$1</f>
        <v>0</v>
      </c>
      <c r="V38" s="7">
        <f>Inputs!$B$23*(1+inf)^U$1</f>
        <v>0</v>
      </c>
      <c r="W38" s="7">
        <f>Inputs!$B$23*(1+inf)^V$1</f>
        <v>0</v>
      </c>
      <c r="X38" s="7">
        <f>Inputs!$B$23*(1+inf)^W$1</f>
        <v>0</v>
      </c>
      <c r="Y38" s="7">
        <f>Inputs!$B$23*(1+inf)^X$1</f>
        <v>0</v>
      </c>
      <c r="Z38" s="7">
        <f>Inputs!$B$23*(1+inf)^Y$1</f>
        <v>0</v>
      </c>
      <c r="AA38" s="7">
        <f>Inputs!$B$23*(1+inf)^Z$1</f>
        <v>0</v>
      </c>
      <c r="AB38" s="7">
        <f>Inputs!$B$23*(1+inf)^AA$1</f>
        <v>0</v>
      </c>
      <c r="AC38" s="7">
        <f>Inputs!$B$23*(1+inf)^AB$1</f>
        <v>0</v>
      </c>
      <c r="AD38" s="7">
        <f>Inputs!$B$23*(1+inf)^AC$1</f>
        <v>0</v>
      </c>
      <c r="AE38" s="7">
        <f>Inputs!$B$23*(1+inf)^AD$1</f>
        <v>0</v>
      </c>
      <c r="AF38" s="7">
        <f>Inputs!$B$23*(1+inf)^AE$1</f>
        <v>0</v>
      </c>
      <c r="AG38" s="7">
        <f>Inputs!$B$23*(1+inf)^AF$1</f>
        <v>0</v>
      </c>
      <c r="AH38" s="7">
        <f>Inputs!$B$23*(1+inf)^AG$1</f>
        <v>0</v>
      </c>
      <c r="AI38" s="7">
        <f>Inputs!$B$23*(1+inf)^AH$1</f>
        <v>0</v>
      </c>
      <c r="AJ38" s="7">
        <f>Inputs!$B$23*(1+inf)^AI$1</f>
        <v>0</v>
      </c>
      <c r="AK38" s="7">
        <f>Inputs!$B$23*(1+inf)^AJ$1</f>
        <v>0</v>
      </c>
      <c r="AL38" s="7">
        <f>Inputs!$B$23*(1+inf)^AK$1</f>
        <v>0</v>
      </c>
      <c r="AM38" s="7">
        <f>Inputs!$B$23*(1+inf)^AL$1</f>
        <v>0</v>
      </c>
    </row>
    <row r="39" spans="1:39" x14ac:dyDescent="0.2">
      <c r="A39" s="4" t="s">
        <v>55</v>
      </c>
      <c r="B39" s="8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  <c r="AC39" s="7"/>
      <c r="AD39" s="7"/>
      <c r="AE39" s="7"/>
      <c r="AF39" s="7"/>
      <c r="AG39" s="7"/>
      <c r="AH39" s="7"/>
      <c r="AI39" s="7"/>
      <c r="AJ39" s="7"/>
      <c r="AK39" s="7"/>
      <c r="AL39" s="7"/>
      <c r="AM39" s="7"/>
    </row>
    <row r="40" spans="1:39" x14ac:dyDescent="0.2">
      <c r="A40" s="3" t="str">
        <f>TEXT(Inputs!$B$60,"")</f>
        <v>Sliema</v>
      </c>
      <c r="B40" s="8"/>
      <c r="C40" s="7">
        <f ca="1">Inputs!$B62*(1+inf)^B$1*ProRate</f>
        <v>4166.666666666667</v>
      </c>
      <c r="D40" s="7">
        <f>Inputs!$B62*(1+inf)^C$1</f>
        <v>5125</v>
      </c>
      <c r="E40" s="7">
        <f>Inputs!$B62*(1+inf)^D$1</f>
        <v>5253.125</v>
      </c>
      <c r="F40" s="7">
        <f>Inputs!$B62*(1+inf)^E$1</f>
        <v>5384.4531249999991</v>
      </c>
      <c r="G40" s="7">
        <f>Inputs!$B62*(1+inf)^F$1</f>
        <v>5519.0644531249991</v>
      </c>
      <c r="H40" s="7">
        <f>Inputs!$B62*(1+inf)^G$1</f>
        <v>5657.041064453123</v>
      </c>
      <c r="I40" s="7">
        <f>Inputs!$B62*(1+inf)^H$1</f>
        <v>5798.4670910644509</v>
      </c>
      <c r="J40" s="7">
        <f>Inputs!$B62*(1+inf)^I$1</f>
        <v>5943.4287683410621</v>
      </c>
      <c r="K40" s="7">
        <f>Inputs!$B62*(1+inf)^J$1</f>
        <v>6092.0144875495889</v>
      </c>
      <c r="L40" s="7">
        <f>Inputs!$B62*(1+inf)^K$1</f>
        <v>6244.3148497383272</v>
      </c>
      <c r="M40" s="7">
        <f>Inputs!$B62*(1+inf)^L$1</f>
        <v>6400.4227209817855</v>
      </c>
      <c r="N40" s="7">
        <f>Inputs!$B62*(1+inf)^M$1</f>
        <v>6560.4332890063297</v>
      </c>
      <c r="O40" s="7">
        <f>Inputs!$B62*(1+inf)^N$1</f>
        <v>6724.4441212314878</v>
      </c>
      <c r="P40" s="7">
        <f>Inputs!$B62*(1+inf)^O$1</f>
        <v>6892.5552242622744</v>
      </c>
      <c r="Q40" s="7">
        <f>Inputs!$B62*(1+inf)^P$1</f>
        <v>7064.8691048688306</v>
      </c>
      <c r="R40" s="7">
        <f>Inputs!$B62*(1+inf)^Q$1</f>
        <v>7241.4908324905527</v>
      </c>
      <c r="S40" s="7">
        <f>Inputs!$B62*(1+inf)^R$1</f>
        <v>7422.5281033028159</v>
      </c>
      <c r="T40" s="7">
        <f>Inputs!$B62*(1+inf)^S$1</f>
        <v>7608.0913058853848</v>
      </c>
      <c r="U40" s="7">
        <f>Inputs!$B62*(1+inf)^T$1</f>
        <v>7798.2935885325196</v>
      </c>
      <c r="V40" s="7">
        <f>Inputs!$B62*(1+inf)^U$1</f>
        <v>7993.2509282458332</v>
      </c>
      <c r="W40" s="7">
        <f>Inputs!$B62*(1+inf)^V$1</f>
        <v>8193.0822014519781</v>
      </c>
      <c r="X40" s="7">
        <f>Inputs!$B62*(1+inf)^W$1</f>
        <v>8397.9092564882758</v>
      </c>
      <c r="Y40" s="7">
        <f>Inputs!$B62*(1+inf)^X$1</f>
        <v>8607.8569879004826</v>
      </c>
      <c r="Z40" s="7">
        <f>Inputs!$B62*(1+inf)^Y$1</f>
        <v>8823.0534125979957</v>
      </c>
      <c r="AA40" s="7">
        <f>Inputs!$B62*(1+inf)^Z$1</f>
        <v>9043.6297479129444</v>
      </c>
      <c r="AB40" s="7">
        <f>Inputs!$B62*(1+inf)^AA$1</f>
        <v>9269.7204916107676</v>
      </c>
      <c r="AC40" s="7">
        <f>Inputs!$B62*(1+inf)^AB$1</f>
        <v>9501.4635039010354</v>
      </c>
      <c r="AD40" s="7">
        <f>Inputs!$B62*(1+inf)^AC$1</f>
        <v>9739.0000914985612</v>
      </c>
      <c r="AE40" s="7">
        <f>Inputs!$B62*(1+inf)^AD$1</f>
        <v>9982.4750937860244</v>
      </c>
      <c r="AF40" s="7">
        <f>Inputs!$B62*(1+inf)^AE$1</f>
        <v>10232.036971130676</v>
      </c>
      <c r="AG40" s="7">
        <f>Inputs!$B62*(1+inf)^AF$1</f>
        <v>10487.83789540894</v>
      </c>
      <c r="AH40" s="7">
        <f>Inputs!$B62*(1+inf)^AG$1</f>
        <v>10750.033842794166</v>
      </c>
      <c r="AI40" s="7">
        <f>Inputs!$B62*(1+inf)^AH$1</f>
        <v>11018.784688864018</v>
      </c>
      <c r="AJ40" s="7">
        <f>Inputs!$B62*(1+inf)^AI$1</f>
        <v>11294.254306085619</v>
      </c>
      <c r="AK40" s="7">
        <f>Inputs!$B62*(1+inf)^AJ$1</f>
        <v>11576.610663737758</v>
      </c>
      <c r="AL40" s="7">
        <f>Inputs!$B62*(1+inf)^AK$1</f>
        <v>11866.025930331201</v>
      </c>
      <c r="AM40" s="7">
        <f>Inputs!$B62*(1+inf)^AL$1</f>
        <v>12162.676578589482</v>
      </c>
    </row>
    <row r="41" spans="1:39" x14ac:dyDescent="0.2">
      <c r="A41" s="3" t="str">
        <f>TEXT(Inputs!$B$65,"")</f>
        <v>Gzira</v>
      </c>
      <c r="B41" s="8"/>
      <c r="C41" s="7">
        <f ca="1">Inputs!$B67*(1+inf)^B$1*ProRate</f>
        <v>1666.6666666666667</v>
      </c>
      <c r="D41" s="7">
        <f>Inputs!$B67*(1+inf)^C$1</f>
        <v>2050</v>
      </c>
      <c r="E41" s="7">
        <f>Inputs!$B67*(1+inf)^D$1</f>
        <v>2101.25</v>
      </c>
      <c r="F41" s="7">
        <f>Inputs!$B67*(1+inf)^E$1</f>
        <v>2153.7812499999995</v>
      </c>
      <c r="G41" s="7">
        <f>Inputs!$B67*(1+inf)^F$1</f>
        <v>2207.6257812499994</v>
      </c>
      <c r="H41" s="7">
        <f>Inputs!$B67*(1+inf)^G$1</f>
        <v>2262.8164257812491</v>
      </c>
      <c r="I41" s="7">
        <f>Inputs!$B67*(1+inf)^H$1</f>
        <v>2319.3868364257805</v>
      </c>
      <c r="J41" s="7">
        <f>Inputs!$B67*(1+inf)^I$1</f>
        <v>2377.3715073364251</v>
      </c>
      <c r="K41" s="7">
        <f>Inputs!$B67*(1+inf)^J$1</f>
        <v>2436.8057950198354</v>
      </c>
      <c r="L41" s="7">
        <f>Inputs!$B67*(1+inf)^K$1</f>
        <v>2497.7259398953311</v>
      </c>
      <c r="M41" s="7">
        <f>Inputs!$B67*(1+inf)^L$1</f>
        <v>2560.169088392714</v>
      </c>
      <c r="N41" s="7">
        <f>Inputs!$B67*(1+inf)^M$1</f>
        <v>2624.1733156025321</v>
      </c>
      <c r="O41" s="7">
        <f>Inputs!$B67*(1+inf)^N$1</f>
        <v>2689.7776484925948</v>
      </c>
      <c r="P41" s="7">
        <f>Inputs!$B67*(1+inf)^O$1</f>
        <v>2757.0220897049098</v>
      </c>
      <c r="Q41" s="7">
        <f>Inputs!$B67*(1+inf)^P$1</f>
        <v>2825.9476419475322</v>
      </c>
      <c r="R41" s="7">
        <f>Inputs!$B67*(1+inf)^Q$1</f>
        <v>2896.596332996221</v>
      </c>
      <c r="S41" s="7">
        <f>Inputs!$B67*(1+inf)^R$1</f>
        <v>2969.0112413211264</v>
      </c>
      <c r="T41" s="7">
        <f>Inputs!$B67*(1+inf)^S$1</f>
        <v>3043.2365223541542</v>
      </c>
      <c r="U41" s="7">
        <f>Inputs!$B67*(1+inf)^T$1</f>
        <v>3119.3174354130078</v>
      </c>
      <c r="V41" s="7">
        <f>Inputs!$B67*(1+inf)^U$1</f>
        <v>3197.3003712983332</v>
      </c>
      <c r="W41" s="7">
        <f>Inputs!$B67*(1+inf)^V$1</f>
        <v>3277.2328805807911</v>
      </c>
      <c r="X41" s="7">
        <f>Inputs!$B67*(1+inf)^W$1</f>
        <v>3359.1637025953105</v>
      </c>
      <c r="Y41" s="7">
        <f>Inputs!$B67*(1+inf)^X$1</f>
        <v>3443.1427951601931</v>
      </c>
      <c r="Z41" s="7">
        <f>Inputs!$B67*(1+inf)^Y$1</f>
        <v>3529.2213650391982</v>
      </c>
      <c r="AA41" s="7">
        <f>Inputs!$B67*(1+inf)^Z$1</f>
        <v>3617.451899165178</v>
      </c>
      <c r="AB41" s="7">
        <f>Inputs!$B67*(1+inf)^AA$1</f>
        <v>3707.8881966443068</v>
      </c>
      <c r="AC41" s="7">
        <f>Inputs!$B67*(1+inf)^AB$1</f>
        <v>3800.5854015604141</v>
      </c>
      <c r="AD41" s="7">
        <f>Inputs!$B67*(1+inf)^AC$1</f>
        <v>3895.6000365994241</v>
      </c>
      <c r="AE41" s="7">
        <f>Inputs!$B67*(1+inf)^AD$1</f>
        <v>3992.9900375144098</v>
      </c>
      <c r="AF41" s="7">
        <f>Inputs!$B67*(1+inf)^AE$1</f>
        <v>4092.8147884522705</v>
      </c>
      <c r="AG41" s="7">
        <f>Inputs!$B67*(1+inf)^AF$1</f>
        <v>4195.1351581635763</v>
      </c>
      <c r="AH41" s="7">
        <f>Inputs!$B67*(1+inf)^AG$1</f>
        <v>4300.0135371176666</v>
      </c>
      <c r="AI41" s="7">
        <f>Inputs!$B67*(1+inf)^AH$1</f>
        <v>4407.5138755456073</v>
      </c>
      <c r="AJ41" s="7">
        <f>Inputs!$B67*(1+inf)^AI$1</f>
        <v>4517.7017224342471</v>
      </c>
      <c r="AK41" s="7">
        <f>Inputs!$B67*(1+inf)^AJ$1</f>
        <v>4630.6442654951034</v>
      </c>
      <c r="AL41" s="7">
        <f>Inputs!$B67*(1+inf)^AK$1</f>
        <v>4746.41037213248</v>
      </c>
      <c r="AM41" s="7">
        <f>Inputs!$B67*(1+inf)^AL$1</f>
        <v>4865.0706314357931</v>
      </c>
    </row>
    <row r="42" spans="1:39" x14ac:dyDescent="0.2">
      <c r="A42" s="3" t="str">
        <f>TEXT(Inputs!$B$70,"")</f>
        <v>Qormi</v>
      </c>
      <c r="B42" s="8"/>
      <c r="C42" s="7">
        <f ca="1">Inputs!$B72*(1+inf)^B$1*ProRate</f>
        <v>1000</v>
      </c>
      <c r="D42" s="7">
        <f>Inputs!$B72*(1+inf)^C$1</f>
        <v>1230</v>
      </c>
      <c r="E42" s="7">
        <f>Inputs!$B72*(1+inf)^D$1</f>
        <v>1260.75</v>
      </c>
      <c r="F42" s="7">
        <f>Inputs!$B72*(1+inf)^E$1</f>
        <v>1292.26875</v>
      </c>
      <c r="G42" s="7">
        <f>Inputs!$B72*(1+inf)^F$1</f>
        <v>1324.5754687499998</v>
      </c>
      <c r="H42" s="7">
        <f>Inputs!$B72*(1+inf)^G$1</f>
        <v>1357.6898554687496</v>
      </c>
      <c r="I42" s="7">
        <f>Inputs!$B72*(1+inf)^H$1</f>
        <v>1391.6321018554681</v>
      </c>
      <c r="J42" s="7">
        <f>Inputs!$B72*(1+inf)^I$1</f>
        <v>1426.422904401855</v>
      </c>
      <c r="K42" s="7">
        <f>Inputs!$B72*(1+inf)^J$1</f>
        <v>1462.0834770119013</v>
      </c>
      <c r="L42" s="7">
        <f>Inputs!$B72*(1+inf)^K$1</f>
        <v>1498.6355639371984</v>
      </c>
      <c r="M42" s="7">
        <f>Inputs!$B72*(1+inf)^L$1</f>
        <v>1536.1014530356285</v>
      </c>
      <c r="N42" s="7">
        <f>Inputs!$B72*(1+inf)^M$1</f>
        <v>1574.5039893615192</v>
      </c>
      <c r="O42" s="7">
        <f>Inputs!$B72*(1+inf)^N$1</f>
        <v>1613.8665890955569</v>
      </c>
      <c r="P42" s="7">
        <f>Inputs!$B72*(1+inf)^O$1</f>
        <v>1654.2132538229459</v>
      </c>
      <c r="Q42" s="7">
        <f>Inputs!$B72*(1+inf)^P$1</f>
        <v>1695.5685851685193</v>
      </c>
      <c r="R42" s="7">
        <f>Inputs!$B72*(1+inf)^Q$1</f>
        <v>1737.9577997977326</v>
      </c>
      <c r="S42" s="7">
        <f>Inputs!$B72*(1+inf)^R$1</f>
        <v>1781.4067447926757</v>
      </c>
      <c r="T42" s="7">
        <f>Inputs!$B72*(1+inf)^S$1</f>
        <v>1825.9419134124923</v>
      </c>
      <c r="U42" s="7">
        <f>Inputs!$B72*(1+inf)^T$1</f>
        <v>1871.5904612478048</v>
      </c>
      <c r="V42" s="7">
        <f>Inputs!$B72*(1+inf)^U$1</f>
        <v>1918.380222779</v>
      </c>
      <c r="W42" s="7">
        <f>Inputs!$B72*(1+inf)^V$1</f>
        <v>1966.3397283484746</v>
      </c>
      <c r="X42" s="7">
        <f>Inputs!$B72*(1+inf)^W$1</f>
        <v>2015.4982215571863</v>
      </c>
      <c r="Y42" s="7">
        <f>Inputs!$B72*(1+inf)^X$1</f>
        <v>2065.8856770961161</v>
      </c>
      <c r="Z42" s="7">
        <f>Inputs!$B72*(1+inf)^Y$1</f>
        <v>2117.5328190235191</v>
      </c>
      <c r="AA42" s="7">
        <f>Inputs!$B72*(1+inf)^Z$1</f>
        <v>2170.4711394991068</v>
      </c>
      <c r="AB42" s="7">
        <f>Inputs!$B72*(1+inf)^AA$1</f>
        <v>2224.7329179865842</v>
      </c>
      <c r="AC42" s="7">
        <f>Inputs!$B72*(1+inf)^AB$1</f>
        <v>2280.3512409362484</v>
      </c>
      <c r="AD42" s="7">
        <f>Inputs!$B72*(1+inf)^AC$1</f>
        <v>2337.3600219596547</v>
      </c>
      <c r="AE42" s="7">
        <f>Inputs!$B72*(1+inf)^AD$1</f>
        <v>2395.7940225086459</v>
      </c>
      <c r="AF42" s="7">
        <f>Inputs!$B72*(1+inf)^AE$1</f>
        <v>2455.6888730713622</v>
      </c>
      <c r="AG42" s="7">
        <f>Inputs!$B72*(1+inf)^AF$1</f>
        <v>2517.0810948981457</v>
      </c>
      <c r="AH42" s="7">
        <f>Inputs!$B72*(1+inf)^AG$1</f>
        <v>2580.0081222705999</v>
      </c>
      <c r="AI42" s="7">
        <f>Inputs!$B72*(1+inf)^AH$1</f>
        <v>2644.5083253273642</v>
      </c>
      <c r="AJ42" s="7">
        <f>Inputs!$B72*(1+inf)^AI$1</f>
        <v>2710.6210334605485</v>
      </c>
      <c r="AK42" s="7">
        <f>Inputs!$B72*(1+inf)^AJ$1</f>
        <v>2778.3865592970619</v>
      </c>
      <c r="AL42" s="7">
        <f>Inputs!$B72*(1+inf)^AK$1</f>
        <v>2847.8462232794882</v>
      </c>
      <c r="AM42" s="7">
        <f>Inputs!$B72*(1+inf)^AL$1</f>
        <v>2919.0423788614758</v>
      </c>
    </row>
    <row r="43" spans="1:39" x14ac:dyDescent="0.2">
      <c r="A43" s="3" t="str">
        <f>TEXT(Inputs!$B$75,"")</f>
        <v>Gudja</v>
      </c>
      <c r="B43" s="8"/>
      <c r="C43" s="7">
        <f ca="1">Inputs!$B77*(1+inf)^B$1*ProRate</f>
        <v>833.33333333333337</v>
      </c>
      <c r="D43" s="7">
        <f>Inputs!$B77*(1+inf)^C$1</f>
        <v>1025</v>
      </c>
      <c r="E43" s="7">
        <f>Inputs!$B77*(1+inf)^D$1</f>
        <v>1050.625</v>
      </c>
      <c r="F43" s="7">
        <f>Inputs!$B77*(1+inf)^E$1</f>
        <v>1076.8906249999998</v>
      </c>
      <c r="G43" s="7">
        <f>Inputs!$B77*(1+inf)^F$1</f>
        <v>1103.8128906249997</v>
      </c>
      <c r="H43" s="7">
        <f>Inputs!$B77*(1+inf)^G$1</f>
        <v>1131.4082128906246</v>
      </c>
      <c r="I43" s="7">
        <f>Inputs!$B77*(1+inf)^H$1</f>
        <v>1159.6934182128903</v>
      </c>
      <c r="J43" s="7">
        <f>Inputs!$B77*(1+inf)^I$1</f>
        <v>1188.6857536682126</v>
      </c>
      <c r="K43" s="7">
        <f>Inputs!$B77*(1+inf)^J$1</f>
        <v>1218.4028975099177</v>
      </c>
      <c r="L43" s="7">
        <f>Inputs!$B77*(1+inf)^K$1</f>
        <v>1248.8629699476655</v>
      </c>
      <c r="M43" s="7">
        <f>Inputs!$B77*(1+inf)^L$1</f>
        <v>1280.084544196357</v>
      </c>
      <c r="N43" s="7">
        <f>Inputs!$B77*(1+inf)^M$1</f>
        <v>1312.086657801266</v>
      </c>
      <c r="O43" s="7">
        <f>Inputs!$B77*(1+inf)^N$1</f>
        <v>1344.8888242462974</v>
      </c>
      <c r="P43" s="7">
        <f>Inputs!$B77*(1+inf)^O$1</f>
        <v>1378.5110448524549</v>
      </c>
      <c r="Q43" s="7">
        <f>Inputs!$B77*(1+inf)^P$1</f>
        <v>1412.9738209737661</v>
      </c>
      <c r="R43" s="7">
        <f>Inputs!$B77*(1+inf)^Q$1</f>
        <v>1448.2981664981105</v>
      </c>
      <c r="S43" s="7">
        <f>Inputs!$B77*(1+inf)^R$1</f>
        <v>1484.5056206605632</v>
      </c>
      <c r="T43" s="7">
        <f>Inputs!$B77*(1+inf)^S$1</f>
        <v>1521.6182611770771</v>
      </c>
      <c r="U43" s="7">
        <f>Inputs!$B77*(1+inf)^T$1</f>
        <v>1559.6587177065039</v>
      </c>
      <c r="V43" s="7">
        <f>Inputs!$B77*(1+inf)^U$1</f>
        <v>1598.6501856491666</v>
      </c>
      <c r="W43" s="7">
        <f>Inputs!$B77*(1+inf)^V$1</f>
        <v>1638.6164402903955</v>
      </c>
      <c r="X43" s="7">
        <f>Inputs!$B77*(1+inf)^W$1</f>
        <v>1679.5818512976552</v>
      </c>
      <c r="Y43" s="7">
        <f>Inputs!$B77*(1+inf)^X$1</f>
        <v>1721.5713975800966</v>
      </c>
      <c r="Z43" s="7">
        <f>Inputs!$B77*(1+inf)^Y$1</f>
        <v>1764.6106825195991</v>
      </c>
      <c r="AA43" s="7">
        <f>Inputs!$B77*(1+inf)^Z$1</f>
        <v>1808.725949582589</v>
      </c>
      <c r="AB43" s="7">
        <f>Inputs!$B77*(1+inf)^AA$1</f>
        <v>1853.9440983221534</v>
      </c>
      <c r="AC43" s="7">
        <f>Inputs!$B77*(1+inf)^AB$1</f>
        <v>1900.292700780207</v>
      </c>
      <c r="AD43" s="7">
        <f>Inputs!$B77*(1+inf)^AC$1</f>
        <v>1947.8000182997121</v>
      </c>
      <c r="AE43" s="7">
        <f>Inputs!$B77*(1+inf)^AD$1</f>
        <v>1996.4950187572049</v>
      </c>
      <c r="AF43" s="7">
        <f>Inputs!$B77*(1+inf)^AE$1</f>
        <v>2046.4073942261352</v>
      </c>
      <c r="AG43" s="7">
        <f>Inputs!$B77*(1+inf)^AF$1</f>
        <v>2097.5675790817882</v>
      </c>
      <c r="AH43" s="7">
        <f>Inputs!$B77*(1+inf)^AG$1</f>
        <v>2150.0067685588333</v>
      </c>
      <c r="AI43" s="7">
        <f>Inputs!$B77*(1+inf)^AH$1</f>
        <v>2203.7569377728037</v>
      </c>
      <c r="AJ43" s="7">
        <f>Inputs!$B77*(1+inf)^AI$1</f>
        <v>2258.8508612171236</v>
      </c>
      <c r="AK43" s="7">
        <f>Inputs!$B77*(1+inf)^AJ$1</f>
        <v>2315.3221327475517</v>
      </c>
      <c r="AL43" s="7">
        <f>Inputs!$B77*(1+inf)^AK$1</f>
        <v>2373.20518606624</v>
      </c>
      <c r="AM43" s="7">
        <f>Inputs!$B77*(1+inf)^AL$1</f>
        <v>2432.5353157178965</v>
      </c>
    </row>
    <row r="44" spans="1:39" x14ac:dyDescent="0.2">
      <c r="A44" s="3" t="str">
        <f>TEXT(Inputs!$B$80,"")</f>
        <v>Marsa</v>
      </c>
      <c r="B44" s="8"/>
      <c r="C44" s="7">
        <f ca="1">Inputs!$B82*(1+inf)^B$1*ProRate</f>
        <v>666.66666666666674</v>
      </c>
      <c r="D44" s="7">
        <f>Inputs!$B82*(1+inf)^C$1</f>
        <v>819.99999999999989</v>
      </c>
      <c r="E44" s="7">
        <f>Inputs!$B82*(1+inf)^D$1</f>
        <v>840.49999999999989</v>
      </c>
      <c r="F44" s="7">
        <f>Inputs!$B82*(1+inf)^E$1</f>
        <v>861.51249999999993</v>
      </c>
      <c r="G44" s="7">
        <f>Inputs!$B82*(1+inf)^F$1</f>
        <v>883.05031249999979</v>
      </c>
      <c r="H44" s="7">
        <f>Inputs!$B82*(1+inf)^G$1</f>
        <v>905.12657031249978</v>
      </c>
      <c r="I44" s="7">
        <f>Inputs!$B82*(1+inf)^H$1</f>
        <v>927.75473457031217</v>
      </c>
      <c r="J44" s="7">
        <f>Inputs!$B82*(1+inf)^I$1</f>
        <v>950.94860293456998</v>
      </c>
      <c r="K44" s="7">
        <f>Inputs!$B82*(1+inf)^J$1</f>
        <v>974.72231800793418</v>
      </c>
      <c r="L44" s="7">
        <f>Inputs!$B82*(1+inf)^K$1</f>
        <v>999.09037595813231</v>
      </c>
      <c r="M44" s="7">
        <f>Inputs!$B82*(1+inf)^L$1</f>
        <v>1024.0676353570857</v>
      </c>
      <c r="N44" s="7">
        <f>Inputs!$B82*(1+inf)^M$1</f>
        <v>1049.6693262410129</v>
      </c>
      <c r="O44" s="7">
        <f>Inputs!$B82*(1+inf)^N$1</f>
        <v>1075.9110593970381</v>
      </c>
      <c r="P44" s="7">
        <f>Inputs!$B82*(1+inf)^O$1</f>
        <v>1102.8088358819639</v>
      </c>
      <c r="Q44" s="7">
        <f>Inputs!$B82*(1+inf)^P$1</f>
        <v>1130.3790567790129</v>
      </c>
      <c r="R44" s="7">
        <f>Inputs!$B82*(1+inf)^Q$1</f>
        <v>1158.6385331984884</v>
      </c>
      <c r="S44" s="7">
        <f>Inputs!$B82*(1+inf)^R$1</f>
        <v>1187.6044965284505</v>
      </c>
      <c r="T44" s="7">
        <f>Inputs!$B82*(1+inf)^S$1</f>
        <v>1217.2946089416616</v>
      </c>
      <c r="U44" s="7">
        <f>Inputs!$B82*(1+inf)^T$1</f>
        <v>1247.7269741652033</v>
      </c>
      <c r="V44" s="7">
        <f>Inputs!$B82*(1+inf)^U$1</f>
        <v>1278.9201485193332</v>
      </c>
      <c r="W44" s="7">
        <f>Inputs!$B82*(1+inf)^V$1</f>
        <v>1310.8931522323164</v>
      </c>
      <c r="X44" s="7">
        <f>Inputs!$B82*(1+inf)^W$1</f>
        <v>1343.6654810381242</v>
      </c>
      <c r="Y44" s="7">
        <f>Inputs!$B82*(1+inf)^X$1</f>
        <v>1377.2571180640773</v>
      </c>
      <c r="Z44" s="7">
        <f>Inputs!$B82*(1+inf)^Y$1</f>
        <v>1411.6885460156793</v>
      </c>
      <c r="AA44" s="7">
        <f>Inputs!$B82*(1+inf)^Z$1</f>
        <v>1446.9807596660712</v>
      </c>
      <c r="AB44" s="7">
        <f>Inputs!$B82*(1+inf)^AA$1</f>
        <v>1483.1552786577226</v>
      </c>
      <c r="AC44" s="7">
        <f>Inputs!$B82*(1+inf)^AB$1</f>
        <v>1520.2341606241657</v>
      </c>
      <c r="AD44" s="7">
        <f>Inputs!$B82*(1+inf)^AC$1</f>
        <v>1558.2400146397697</v>
      </c>
      <c r="AE44" s="7">
        <f>Inputs!$B82*(1+inf)^AD$1</f>
        <v>1597.1960150057639</v>
      </c>
      <c r="AF44" s="7">
        <f>Inputs!$B82*(1+inf)^AE$1</f>
        <v>1637.1259153809081</v>
      </c>
      <c r="AG44" s="7">
        <f>Inputs!$B82*(1+inf)^AF$1</f>
        <v>1678.0540632654304</v>
      </c>
      <c r="AH44" s="7">
        <f>Inputs!$B82*(1+inf)^AG$1</f>
        <v>1720.0054148470667</v>
      </c>
      <c r="AI44" s="7">
        <f>Inputs!$B82*(1+inf)^AH$1</f>
        <v>1763.0055502182429</v>
      </c>
      <c r="AJ44" s="7">
        <f>Inputs!$B82*(1+inf)^AI$1</f>
        <v>1807.0806889736989</v>
      </c>
      <c r="AK44" s="7">
        <f>Inputs!$B82*(1+inf)^AJ$1</f>
        <v>1852.2577061980414</v>
      </c>
      <c r="AL44" s="7">
        <f>Inputs!$B82*(1+inf)^AK$1</f>
        <v>1898.5641488529923</v>
      </c>
      <c r="AM44" s="7">
        <f>Inputs!$B82*(1+inf)^AL$1</f>
        <v>1946.0282525743171</v>
      </c>
    </row>
    <row r="45" spans="1:39" x14ac:dyDescent="0.2">
      <c r="A45" s="4" t="s">
        <v>16</v>
      </c>
      <c r="B45" s="8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  <c r="AE45" s="7"/>
      <c r="AF45" s="7"/>
      <c r="AG45" s="7"/>
      <c r="AH45" s="7"/>
      <c r="AI45" s="7"/>
      <c r="AJ45" s="7"/>
      <c r="AK45" s="7"/>
      <c r="AL45" s="7"/>
      <c r="AM45" s="7"/>
    </row>
    <row r="46" spans="1:39" x14ac:dyDescent="0.2">
      <c r="A46" s="3" t="s">
        <v>56</v>
      </c>
      <c r="B46" s="8"/>
      <c r="C46" s="7">
        <f ca="1">Inputs!$B$25*(1+inf)^B$1*ProRate</f>
        <v>41666.666666666672</v>
      </c>
      <c r="D46" s="7">
        <f>Inputs!$B$25*(1+inf)^C$1</f>
        <v>51249.999999999993</v>
      </c>
      <c r="E46" s="7">
        <f>Inputs!$B$25*(1+inf)^D$1</f>
        <v>52531.249999999993</v>
      </c>
      <c r="F46" s="7">
        <f>Inputs!$B$25*(1+inf)^E$1</f>
        <v>53844.531249999993</v>
      </c>
      <c r="G46" s="7">
        <f>Inputs!$B$25*(1+inf)^F$1</f>
        <v>55190.644531249985</v>
      </c>
      <c r="H46" s="7">
        <f>Inputs!$B$25*(1+inf)^G$1</f>
        <v>56570.410644531235</v>
      </c>
      <c r="I46" s="7">
        <f>Inputs!$B$25*(1+inf)^H$1</f>
        <v>57984.670910644512</v>
      </c>
      <c r="J46" s="7">
        <f>Inputs!$B$25*(1+inf)^I$1</f>
        <v>59434.287683410628</v>
      </c>
      <c r="K46" s="7">
        <f>Inputs!$B$25*(1+inf)^J$1</f>
        <v>60920.144875495884</v>
      </c>
      <c r="L46" s="7">
        <f>Inputs!$B$25*(1+inf)^K$1</f>
        <v>62443.14849738327</v>
      </c>
      <c r="M46" s="7">
        <f>Inputs!$B$25*(1+inf)^L$1</f>
        <v>64004.227209817851</v>
      </c>
      <c r="N46" s="7">
        <f>Inputs!$B$25*(1+inf)^M$1</f>
        <v>65604.332890063306</v>
      </c>
      <c r="O46" s="7">
        <f>Inputs!$B$25*(1+inf)^N$1</f>
        <v>67244.44121231488</v>
      </c>
      <c r="P46" s="7">
        <f>Inputs!$B$25*(1+inf)^O$1</f>
        <v>68925.55224262274</v>
      </c>
      <c r="Q46" s="7">
        <f>Inputs!$B$25*(1+inf)^P$1</f>
        <v>70648.691048688299</v>
      </c>
      <c r="R46" s="7">
        <f>Inputs!$B$25*(1+inf)^Q$1</f>
        <v>72414.908324905526</v>
      </c>
      <c r="S46" s="7">
        <f>Inputs!$B$25*(1+inf)^R$1</f>
        <v>74225.28103302815</v>
      </c>
      <c r="T46" s="7">
        <f>Inputs!$B$25*(1+inf)^S$1</f>
        <v>76080.913058853854</v>
      </c>
      <c r="U46" s="7">
        <f>Inputs!$B$25*(1+inf)^T$1</f>
        <v>77982.935885325205</v>
      </c>
      <c r="V46" s="7">
        <f>Inputs!$B$25*(1+inf)^U$1</f>
        <v>79932.509282458326</v>
      </c>
      <c r="W46" s="7">
        <f>Inputs!$B$25*(1+inf)^V$1</f>
        <v>81930.82201451977</v>
      </c>
      <c r="X46" s="7">
        <f>Inputs!$B$25*(1+inf)^W$1</f>
        <v>83979.092564882769</v>
      </c>
      <c r="Y46" s="7">
        <f>Inputs!$B$25*(1+inf)^X$1</f>
        <v>86078.569879004834</v>
      </c>
      <c r="Z46" s="7">
        <f>Inputs!$B$25*(1+inf)^Y$1</f>
        <v>88230.534125979961</v>
      </c>
      <c r="AA46" s="7">
        <f>Inputs!$B$25*(1+inf)^Z$1</f>
        <v>90436.29747912944</v>
      </c>
      <c r="AB46" s="7">
        <f>Inputs!$B$25*(1+inf)^AA$1</f>
        <v>92697.204916107672</v>
      </c>
      <c r="AC46" s="7">
        <f>Inputs!$B$25*(1+inf)^AB$1</f>
        <v>95014.635039010347</v>
      </c>
      <c r="AD46" s="7">
        <f>Inputs!$B$25*(1+inf)^AC$1</f>
        <v>97390.000914985605</v>
      </c>
      <c r="AE46" s="7">
        <f>Inputs!$B$25*(1+inf)^AD$1</f>
        <v>99824.750937860241</v>
      </c>
      <c r="AF46" s="7">
        <f>Inputs!$B$25*(1+inf)^AE$1</f>
        <v>102320.36971130676</v>
      </c>
      <c r="AG46" s="7">
        <f>Inputs!$B$25*(1+inf)^AF$1</f>
        <v>104878.37895408941</v>
      </c>
      <c r="AH46" s="7">
        <f>Inputs!$B$25*(1+inf)^AG$1</f>
        <v>107500.33842794166</v>
      </c>
      <c r="AI46" s="7">
        <f>Inputs!$B$25*(1+inf)^AH$1</f>
        <v>110187.84688864018</v>
      </c>
      <c r="AJ46" s="7">
        <f>Inputs!$B$25*(1+inf)^AI$1</f>
        <v>112942.54306085619</v>
      </c>
      <c r="AK46" s="7">
        <f>Inputs!$B$25*(1+inf)^AJ$1</f>
        <v>115766.10663737758</v>
      </c>
      <c r="AL46" s="7">
        <f>Inputs!$B$25*(1+inf)^AK$1</f>
        <v>118660.25930331201</v>
      </c>
      <c r="AM46" s="7">
        <f>Inputs!$B$25*(1+inf)^AL$1</f>
        <v>121626.76578589482</v>
      </c>
    </row>
    <row r="47" spans="1:39" x14ac:dyDescent="0.2">
      <c r="A47" s="3" t="str">
        <f>"Adjustment "&amp;Inputs!A169</f>
        <v>Adjustment from now to 65</v>
      </c>
      <c r="B47" s="8"/>
      <c r="C47" s="7">
        <f ca="1">IF(C$3&lt;=65,Inputs!$B$169*C$46,0)</f>
        <v>0</v>
      </c>
      <c r="D47" s="7">
        <f>IF(D$3&lt;=65,Inputs!$B$169*D$46,0)</f>
        <v>0</v>
      </c>
      <c r="E47" s="7">
        <f>IF(E$3&lt;=65,Inputs!$B$169*E$46,0)</f>
        <v>0</v>
      </c>
      <c r="F47" s="7">
        <f>IF(F$3&lt;=65,Inputs!$B$169*F$46,0)</f>
        <v>0</v>
      </c>
      <c r="G47" s="7">
        <f>IF(G$3&lt;=65,Inputs!$B$169*G$46,0)</f>
        <v>0</v>
      </c>
      <c r="H47" s="7">
        <f>IF(H$3&lt;=65,Inputs!$B$169*H$46,0)</f>
        <v>0</v>
      </c>
      <c r="I47" s="7">
        <f>IF(I$3&lt;=65,Inputs!$B$169*I$46,0)</f>
        <v>0</v>
      </c>
      <c r="J47" s="7">
        <f>IF(J$3&lt;=65,Inputs!$B$169*J$46,0)</f>
        <v>0</v>
      </c>
      <c r="K47" s="7">
        <f>IF(K$3&lt;=65,Inputs!$B$169*K$46,0)</f>
        <v>0</v>
      </c>
      <c r="L47" s="7">
        <f>IF(L$3&lt;=65,Inputs!$B$169*L$46,0)</f>
        <v>0</v>
      </c>
      <c r="M47" s="7">
        <f>IF(M$3&lt;=65,Inputs!$B$169*M$46,0)</f>
        <v>0</v>
      </c>
      <c r="N47" s="7">
        <f>IF(N$3&lt;=65,Inputs!$B$169*N$46,0)</f>
        <v>0</v>
      </c>
      <c r="O47" s="7">
        <f>IF(O$3&lt;=65,Inputs!$B$169*O$46,0)</f>
        <v>0</v>
      </c>
      <c r="P47" s="7">
        <f>IF(P$3&lt;=65,Inputs!$B$169*P$46,0)</f>
        <v>0</v>
      </c>
      <c r="Q47" s="7">
        <f>IF(Q$3&lt;=65,Inputs!$B$169*Q$46,0)</f>
        <v>0</v>
      </c>
      <c r="R47" s="7">
        <f>IF(R$3&lt;=65,Inputs!$B$169*R$46,0)</f>
        <v>0</v>
      </c>
      <c r="S47" s="7">
        <f>IF(S$3&lt;=65,Inputs!$B$169*S$46,0)</f>
        <v>0</v>
      </c>
      <c r="T47" s="7">
        <f>IF(T$3&lt;=65,Inputs!$B$169*T$46,0)</f>
        <v>0</v>
      </c>
      <c r="U47" s="7">
        <f>IF(U$3&lt;=65,Inputs!$B$169*U$46,0)</f>
        <v>0</v>
      </c>
      <c r="V47" s="7">
        <f>IF(V$3&lt;=65,Inputs!$B$169*V$46,0)</f>
        <v>0</v>
      </c>
      <c r="W47" s="7">
        <f>IF(W$3&lt;=65,Inputs!$B$169*W$46,0)</f>
        <v>0</v>
      </c>
      <c r="X47" s="7">
        <f>IF(X$3&lt;=65,Inputs!$B$169*X$46,0)</f>
        <v>0</v>
      </c>
      <c r="Y47" s="7">
        <f>IF(Y$3&lt;=65,Inputs!$B$169*Y$46,0)</f>
        <v>0</v>
      </c>
      <c r="Z47" s="7">
        <f>IF(Z$3&lt;=65,Inputs!$B$169*Z$46,0)</f>
        <v>0</v>
      </c>
      <c r="AA47" s="7">
        <f>IF(AA$3&lt;=65,Inputs!$B$169*AA$46,0)</f>
        <v>0</v>
      </c>
      <c r="AB47" s="7">
        <f>IF(AB$3&lt;=65,Inputs!$B$169*AB$46,0)</f>
        <v>0</v>
      </c>
      <c r="AC47" s="7">
        <f>IF(AC$3&lt;=65,Inputs!$B$169*AC$46,0)</f>
        <v>0</v>
      </c>
      <c r="AD47" s="7">
        <f>IF(AD$3&lt;=65,Inputs!$B$169*AD$46,0)</f>
        <v>0</v>
      </c>
      <c r="AE47" s="7">
        <f>IF(AE$3&lt;=65,Inputs!$B$169*AE$46,0)</f>
        <v>0</v>
      </c>
      <c r="AF47" s="7">
        <f>IF(AF$3&lt;=65,Inputs!$B$169*AF$46,0)</f>
        <v>0</v>
      </c>
      <c r="AG47" s="7">
        <f>IF(AG$3&lt;=65,Inputs!$B$169*AG$46,0)</f>
        <v>0</v>
      </c>
      <c r="AH47" s="7">
        <f>IF(AH$3&lt;=65,Inputs!$B$169*AH$46,0)</f>
        <v>0</v>
      </c>
      <c r="AI47" s="7">
        <f>IF(AI$3&lt;=65,Inputs!$B$169*AI$46,0)</f>
        <v>0</v>
      </c>
      <c r="AJ47" s="7">
        <f>IF(AJ$3&lt;=65,Inputs!$B$169*AJ$46,0)</f>
        <v>0</v>
      </c>
      <c r="AK47" s="7">
        <f>IF(AK$3&lt;=65,Inputs!$B$169*AK$46,0)</f>
        <v>0</v>
      </c>
      <c r="AL47" s="7">
        <f>IF(AL$3&lt;=65,Inputs!$B$169*AL$46,0)</f>
        <v>0</v>
      </c>
      <c r="AM47" s="7">
        <f>IF(AM$3&lt;=65,Inputs!$B$169*AM$46,0)</f>
        <v>0</v>
      </c>
    </row>
    <row r="48" spans="1:39" x14ac:dyDescent="0.2">
      <c r="A48" s="3" t="str">
        <f>"Adjustment "&amp;Inputs!A170</f>
        <v>Adjustment from 66-75</v>
      </c>
      <c r="B48" s="8"/>
      <c r="C48" s="7">
        <f>IF(AND(C$3&gt;65,C$3&lt;=75),Inputs!$B$170*C46,0)</f>
        <v>0</v>
      </c>
      <c r="D48" s="7">
        <f>IF(AND(D$3&gt;65,D$3&lt;=75),Inputs!$B$170*D46,0)</f>
        <v>0</v>
      </c>
      <c r="E48" s="7">
        <f>IF(AND(E$3&gt;65,E$3&lt;=75),Inputs!$B$170*E46,0)</f>
        <v>0</v>
      </c>
      <c r="F48" s="7">
        <f>IF(AND(F$3&gt;65,F$3&lt;=75),Inputs!$B$170*F46,0)</f>
        <v>0</v>
      </c>
      <c r="G48" s="7">
        <f>IF(AND(G$3&gt;65,G$3&lt;=75),Inputs!$B$170*G46,0)</f>
        <v>0</v>
      </c>
      <c r="H48" s="7">
        <f>IF(AND(H$3&gt;65,H$3&lt;=75),Inputs!$B$170*H46,0)</f>
        <v>0</v>
      </c>
      <c r="I48" s="7">
        <f>IF(AND(I$3&gt;65,I$3&lt;=75),Inputs!$B$170*I46,0)</f>
        <v>0</v>
      </c>
      <c r="J48" s="7">
        <f>IF(AND(J$3&gt;65,J$3&lt;=75),Inputs!$B$170*J46,0)</f>
        <v>0</v>
      </c>
      <c r="K48" s="7">
        <f>IF(AND(K$3&gt;65,K$3&lt;=75),Inputs!$B$170*K46,0)</f>
        <v>0</v>
      </c>
      <c r="L48" s="7">
        <f>IF(AND(L$3&gt;65,L$3&lt;=75),Inputs!$B$170*L46,0)</f>
        <v>0</v>
      </c>
      <c r="M48" s="7">
        <f>IF(AND(M$3&gt;65,M$3&lt;=75),Inputs!$B$170*M46,0)</f>
        <v>0</v>
      </c>
      <c r="N48" s="7">
        <f>IF(AND(N$3&gt;65,N$3&lt;=75),Inputs!$B$170*N46,0)</f>
        <v>0</v>
      </c>
      <c r="O48" s="7">
        <f>IF(AND(O$3&gt;65,O$3&lt;=75),Inputs!$B$170*O46,0)</f>
        <v>0</v>
      </c>
      <c r="P48" s="7">
        <f>IF(AND(P$3&gt;65,P$3&lt;=75),Inputs!$B$170*P46,0)</f>
        <v>0</v>
      </c>
      <c r="Q48" s="7">
        <f>IF(AND(Q$3&gt;65,Q$3&lt;=75),Inputs!$B$170*Q46,0)</f>
        <v>0</v>
      </c>
      <c r="R48" s="7">
        <f>IF(AND(R$3&gt;65,R$3&lt;=75),Inputs!$B$170*R46,0)</f>
        <v>0</v>
      </c>
      <c r="S48" s="7">
        <f>IF(AND(S$3&gt;65,S$3&lt;=75),Inputs!$B$170*S46,0)</f>
        <v>0</v>
      </c>
      <c r="T48" s="7">
        <f>IF(AND(T$3&gt;65,T$3&lt;=75),Inputs!$B$170*T46,0)</f>
        <v>0</v>
      </c>
      <c r="U48" s="7">
        <f>IF(AND(U$3&gt;65,U$3&lt;=75),Inputs!$B$170*U46,0)</f>
        <v>-7798.2935885325205</v>
      </c>
      <c r="V48" s="7">
        <f>IF(AND(V$3&gt;65,V$3&lt;=75),Inputs!$B$170*V46,0)</f>
        <v>-7993.2509282458332</v>
      </c>
      <c r="W48" s="7">
        <f>IF(AND(W$3&gt;65,W$3&lt;=75),Inputs!$B$170*W46,0)</f>
        <v>-8193.0822014519781</v>
      </c>
      <c r="X48" s="7">
        <f>IF(AND(X$3&gt;65,X$3&lt;=75),Inputs!$B$170*X46,0)</f>
        <v>-8397.9092564882776</v>
      </c>
      <c r="Y48" s="7">
        <f>IF(AND(Y$3&gt;65,Y$3&lt;=75),Inputs!$B$170*Y46,0)</f>
        <v>-8607.8569879004845</v>
      </c>
      <c r="Z48" s="7">
        <f>IF(AND(Z$3&gt;65,Z$3&lt;=75),Inputs!$B$170*Z46,0)</f>
        <v>-8823.0534125979957</v>
      </c>
      <c r="AA48" s="7">
        <f>IF(AND(AA$3&gt;65,AA$3&lt;=75),Inputs!$B$170*AA46,0)</f>
        <v>-9043.6297479129444</v>
      </c>
      <c r="AB48" s="7">
        <f>IF(AND(AB$3&gt;65,AB$3&lt;=75),Inputs!$B$170*AB46,0)</f>
        <v>-9269.7204916107676</v>
      </c>
      <c r="AC48" s="7">
        <f>IF(AND(AC$3&gt;65,AC$3&lt;=75),Inputs!$B$170*AC46,0)</f>
        <v>-9501.4635039010354</v>
      </c>
      <c r="AD48" s="7">
        <f>IF(AND(AD$3&gt;65,AD$3&lt;=75),Inputs!$B$170*AD46,0)</f>
        <v>-9739.0000914985612</v>
      </c>
      <c r="AE48" s="7">
        <f>IF(AND(AE$3&gt;65,AE$3&lt;=75),Inputs!$B$170*AE46,0)</f>
        <v>0</v>
      </c>
      <c r="AF48" s="7">
        <f>IF(AND(AF$3&gt;65,AF$3&lt;=75),Inputs!$B$170*AF46,0)</f>
        <v>0</v>
      </c>
      <c r="AG48" s="7">
        <f>IF(AND(AG$3&gt;65,AG$3&lt;=75),Inputs!$B$170*AG46,0)</f>
        <v>0</v>
      </c>
      <c r="AH48" s="7">
        <f>IF(AND(AH$3&gt;65,AH$3&lt;=75),Inputs!$B$170*AH46,0)</f>
        <v>0</v>
      </c>
      <c r="AI48" s="7">
        <f>IF(AND(AI$3&gt;65,AI$3&lt;=75),Inputs!$B$170*AI46,0)</f>
        <v>0</v>
      </c>
      <c r="AJ48" s="7">
        <f>IF(AND(AJ$3&gt;65,AJ$3&lt;=75),Inputs!$B$170*AJ46,0)</f>
        <v>0</v>
      </c>
      <c r="AK48" s="7">
        <f>IF(AND(AK$3&gt;65,AK$3&lt;=75),Inputs!$B$170*AK46,0)</f>
        <v>0</v>
      </c>
      <c r="AL48" s="7">
        <f>IF(AND(AL$3&gt;65,AL$3&lt;=75),Inputs!$B$170*AL46,0)</f>
        <v>0</v>
      </c>
      <c r="AM48" s="7">
        <f>IF(AND(AM$3&gt;65,AM$3&lt;=75),Inputs!$B$170*AM46,0)</f>
        <v>0</v>
      </c>
    </row>
    <row r="49" spans="1:39" x14ac:dyDescent="0.2">
      <c r="A49" s="3" t="str">
        <f>"Adjustment "&amp;Inputs!A171</f>
        <v>Adjustment from age 76</v>
      </c>
      <c r="B49" s="8"/>
      <c r="C49" s="7">
        <f>IF(C$3&gt;75,Inputs!$B$171*C$46,0)</f>
        <v>0</v>
      </c>
      <c r="D49" s="7">
        <f>IF(D$3&gt;75,Inputs!$B$171*D$46,0)</f>
        <v>0</v>
      </c>
      <c r="E49" s="7">
        <f>IF(E$3&gt;75,Inputs!$B$171*E$46,0)</f>
        <v>0</v>
      </c>
      <c r="F49" s="7">
        <f>IF(F$3&gt;75,Inputs!$B$171*F$46,0)</f>
        <v>0</v>
      </c>
      <c r="G49" s="7">
        <f>IF(G$3&gt;75,Inputs!$B$171*G$46,0)</f>
        <v>0</v>
      </c>
      <c r="H49" s="7">
        <f>IF(H$3&gt;75,Inputs!$B$171*H$46,0)</f>
        <v>0</v>
      </c>
      <c r="I49" s="7">
        <f>IF(I$3&gt;75,Inputs!$B$171*I$46,0)</f>
        <v>0</v>
      </c>
      <c r="J49" s="7">
        <f>IF(J$3&gt;75,Inputs!$B$171*J$46,0)</f>
        <v>0</v>
      </c>
      <c r="K49" s="7">
        <f>IF(K$3&gt;75,Inputs!$B$171*K$46,0)</f>
        <v>0</v>
      </c>
      <c r="L49" s="7">
        <f>IF(L$3&gt;75,Inputs!$B$171*L$46,0)</f>
        <v>0</v>
      </c>
      <c r="M49" s="7">
        <f>IF(M$3&gt;75,Inputs!$B$171*M$46,0)</f>
        <v>0</v>
      </c>
      <c r="N49" s="7">
        <f>IF(N$3&gt;75,Inputs!$B$171*N$46,0)</f>
        <v>0</v>
      </c>
      <c r="O49" s="7">
        <f>IF(O$3&gt;75,Inputs!$B$171*O$46,0)</f>
        <v>0</v>
      </c>
      <c r="P49" s="7">
        <f>IF(P$3&gt;75,Inputs!$B$171*P$46,0)</f>
        <v>0</v>
      </c>
      <c r="Q49" s="7">
        <f>IF(Q$3&gt;75,Inputs!$B$171*Q$46,0)</f>
        <v>0</v>
      </c>
      <c r="R49" s="7">
        <f>IF(R$3&gt;75,Inputs!$B$171*R$46,0)</f>
        <v>0</v>
      </c>
      <c r="S49" s="7">
        <f>IF(S$3&gt;75,Inputs!$B$171*S$46,0)</f>
        <v>0</v>
      </c>
      <c r="T49" s="7">
        <f>IF(T$3&gt;75,Inputs!$B$171*T$46,0)</f>
        <v>0</v>
      </c>
      <c r="U49" s="7">
        <f>IF(U$3&gt;75,Inputs!$B$171*U$46,0)</f>
        <v>0</v>
      </c>
      <c r="V49" s="7">
        <f>IF(V$3&gt;75,Inputs!$B$171*V$46,0)</f>
        <v>0</v>
      </c>
      <c r="W49" s="7">
        <f>IF(W$3&gt;75,Inputs!$B$171*W$46,0)</f>
        <v>0</v>
      </c>
      <c r="X49" s="7">
        <f>IF(X$3&gt;75,Inputs!$B$171*X$46,0)</f>
        <v>0</v>
      </c>
      <c r="Y49" s="7">
        <f>IF(Y$3&gt;75,Inputs!$B$171*Y$46,0)</f>
        <v>0</v>
      </c>
      <c r="Z49" s="7">
        <f>IF(Z$3&gt;75,Inputs!$B$171*Z$46,0)</f>
        <v>0</v>
      </c>
      <c r="AA49" s="7">
        <f>IF(AA$3&gt;75,Inputs!$B$171*AA$46,0)</f>
        <v>0</v>
      </c>
      <c r="AB49" s="7">
        <f>IF(AB$3&gt;75,Inputs!$B$171*AB$46,0)</f>
        <v>0</v>
      </c>
      <c r="AC49" s="7">
        <f>IF(AC$3&gt;75,Inputs!$B$171*AC$46,0)</f>
        <v>0</v>
      </c>
      <c r="AD49" s="7">
        <f>IF(AD$3&gt;75,Inputs!$B$171*AD$46,0)</f>
        <v>0</v>
      </c>
      <c r="AE49" s="7">
        <f>IF(AE$3&gt;75,Inputs!$B$171*AE$46,0)</f>
        <v>-19964.950187572049</v>
      </c>
      <c r="AF49" s="7">
        <f>IF(AF$3&gt;75,Inputs!$B$171*AF$46,0)</f>
        <v>-20464.073942261355</v>
      </c>
      <c r="AG49" s="7">
        <f>IF(AG$3&gt;75,Inputs!$B$171*AG$46,0)</f>
        <v>-20975.675790817884</v>
      </c>
      <c r="AH49" s="7">
        <f>IF(AH$3&gt;75,Inputs!$B$171*AH$46,0)</f>
        <v>-21500.067685588336</v>
      </c>
      <c r="AI49" s="7">
        <f>IF(AI$3&gt;75,Inputs!$B$171*AI$46,0)</f>
        <v>-22037.569377728039</v>
      </c>
      <c r="AJ49" s="7">
        <f>IF(AJ$3&gt;75,Inputs!$B$171*AJ$46,0)</f>
        <v>-22588.508612171237</v>
      </c>
      <c r="AK49" s="7">
        <f>IF(AK$3&gt;75,Inputs!$B$171*AK$46,0)</f>
        <v>-23153.22132747552</v>
      </c>
      <c r="AL49" s="7">
        <f>IF(AL$3&gt;75,Inputs!$B$171*AL$46,0)</f>
        <v>-23732.051860662403</v>
      </c>
      <c r="AM49" s="7">
        <f>IF(AM$3&gt;75,Inputs!$B$171*AM$46,0)</f>
        <v>-24325.353157178964</v>
      </c>
    </row>
    <row r="50" spans="1:39" x14ac:dyDescent="0.2">
      <c r="A50" s="4" t="s">
        <v>60</v>
      </c>
      <c r="B50" s="8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  <c r="AD50" s="7"/>
      <c r="AE50" s="7"/>
      <c r="AF50" s="7"/>
      <c r="AG50" s="7"/>
      <c r="AH50" s="7"/>
      <c r="AI50" s="7"/>
      <c r="AJ50" s="7"/>
      <c r="AK50" s="7"/>
      <c r="AL50" s="7"/>
      <c r="AM50" s="7"/>
    </row>
    <row r="51" spans="1:39" x14ac:dyDescent="0.2">
      <c r="A51" s="3" t="str">
        <f>TEXT(Inputs!$B$149,"")</f>
        <v>Wedding</v>
      </c>
      <c r="B51" s="8"/>
      <c r="C51" s="7">
        <f ca="1">IF(C$2=Inputs!$B151,Inputs!$B150,0)*(1+inf)^B$1</f>
        <v>0</v>
      </c>
      <c r="D51" s="7">
        <f ca="1">IF(D$2=Inputs!$B151,Inputs!$B150,0)*(1+inf)^C$1</f>
        <v>0</v>
      </c>
      <c r="E51" s="7">
        <f ca="1">IF(E$2=Inputs!$B151,Inputs!$B150,0)*(1+inf)^D$1</f>
        <v>0</v>
      </c>
      <c r="F51" s="7">
        <f ca="1">IF(F$2=Inputs!$B151,Inputs!$B150,0)*(1+inf)^E$1</f>
        <v>0</v>
      </c>
      <c r="G51" s="7">
        <f ca="1">IF(G$2=Inputs!$B151,Inputs!$B150,0)*(1+inf)^F$1</f>
        <v>0</v>
      </c>
      <c r="H51" s="7">
        <f ca="1">IF(H$2=Inputs!$B151,Inputs!$B150,0)*(1+inf)^G$1</f>
        <v>0</v>
      </c>
      <c r="I51" s="7">
        <f ca="1">IF(I$2=Inputs!$B151,Inputs!$B150,0)*(1+inf)^H$1</f>
        <v>0</v>
      </c>
      <c r="J51" s="7">
        <f ca="1">IF(J$2=Inputs!$B151,Inputs!$B150,0)*(1+inf)^I$1</f>
        <v>0</v>
      </c>
      <c r="K51" s="7">
        <f ca="1">IF(K$2=Inputs!$B151,Inputs!$B150,0)*(1+inf)^J$1</f>
        <v>0</v>
      </c>
      <c r="L51" s="7">
        <f ca="1">IF(L$2=Inputs!$B151,Inputs!$B150,0)*(1+inf)^K$1</f>
        <v>0</v>
      </c>
      <c r="M51" s="7">
        <f ca="1">IF(M$2=Inputs!$B151,Inputs!$B150,0)*(1+inf)^L$1</f>
        <v>51203.381767854284</v>
      </c>
      <c r="N51" s="7">
        <f ca="1">IF(N$2=Inputs!$B151,Inputs!$B150,0)*(1+inf)^M$1</f>
        <v>0</v>
      </c>
      <c r="O51" s="7">
        <f ca="1">IF(O$2=Inputs!$B151,Inputs!$B150,0)*(1+inf)^N$1</f>
        <v>0</v>
      </c>
      <c r="P51" s="7">
        <f ca="1">IF(P$2=Inputs!$B151,Inputs!$B150,0)*(1+inf)^O$1</f>
        <v>0</v>
      </c>
      <c r="Q51" s="7">
        <f ca="1">IF(Q$2=Inputs!$B151,Inputs!$B150,0)*(1+inf)^P$1</f>
        <v>0</v>
      </c>
      <c r="R51" s="7">
        <f ca="1">IF(R$2=Inputs!$B151,Inputs!$B150,0)*(1+inf)^Q$1</f>
        <v>0</v>
      </c>
      <c r="S51" s="7">
        <f ca="1">IF(S$2=Inputs!$B151,Inputs!$B150,0)*(1+inf)^R$1</f>
        <v>0</v>
      </c>
      <c r="T51" s="7">
        <f ca="1">IF(T$2=Inputs!$B151,Inputs!$B150,0)*(1+inf)^S$1</f>
        <v>0</v>
      </c>
      <c r="U51" s="7">
        <f ca="1">IF(U$2=Inputs!$B151,Inputs!$B150,0)*(1+inf)^T$1</f>
        <v>0</v>
      </c>
      <c r="V51" s="7">
        <f ca="1">IF(V$2=Inputs!$B151,Inputs!$B150,0)*(1+inf)^U$1</f>
        <v>0</v>
      </c>
      <c r="W51" s="7">
        <f ca="1">IF(W$2=Inputs!$B151,Inputs!$B150,0)*(1+inf)^V$1</f>
        <v>0</v>
      </c>
      <c r="X51" s="7">
        <f ca="1">IF(X$2=Inputs!$B151,Inputs!$B150,0)*(1+inf)^W$1</f>
        <v>0</v>
      </c>
      <c r="Y51" s="7">
        <f ca="1">IF(Y$2=Inputs!$B151,Inputs!$B150,0)*(1+inf)^X$1</f>
        <v>0</v>
      </c>
      <c r="Z51" s="7">
        <f ca="1">IF(Z$2=Inputs!$B151,Inputs!$B150,0)*(1+inf)^Y$1</f>
        <v>0</v>
      </c>
      <c r="AA51" s="7">
        <f ca="1">IF(AA$2=Inputs!$B151,Inputs!$B150,0)*(1+inf)^Z$1</f>
        <v>0</v>
      </c>
      <c r="AB51" s="7">
        <f ca="1">IF(AB$2=Inputs!$B151,Inputs!$B150,0)*(1+inf)^AA$1</f>
        <v>0</v>
      </c>
      <c r="AC51" s="7">
        <f ca="1">IF(AC$2=Inputs!$B151,Inputs!$B150,0)*(1+inf)^AB$1</f>
        <v>0</v>
      </c>
      <c r="AD51" s="7">
        <f ca="1">IF(AD$2=Inputs!$B151,Inputs!$B150,0)*(1+inf)^AC$1</f>
        <v>0</v>
      </c>
      <c r="AE51" s="7">
        <f ca="1">IF(AE$2=Inputs!$B151,Inputs!$B150,0)*(1+inf)^AD$1</f>
        <v>0</v>
      </c>
      <c r="AF51" s="7">
        <f ca="1">IF(AF$2=Inputs!$B151,Inputs!$B150,0)*(1+inf)^AE$1</f>
        <v>0</v>
      </c>
      <c r="AG51" s="7">
        <f ca="1">IF(AG$2=Inputs!$B151,Inputs!$B150,0)*(1+inf)^AF$1</f>
        <v>0</v>
      </c>
      <c r="AH51" s="7">
        <f ca="1">IF(AH$2=Inputs!$B151,Inputs!$B150,0)*(1+inf)^AG$1</f>
        <v>0</v>
      </c>
      <c r="AI51" s="7">
        <f ca="1">IF(AI$2=Inputs!$B151,Inputs!$B150,0)*(1+inf)^AH$1</f>
        <v>0</v>
      </c>
      <c r="AJ51" s="7">
        <f ca="1">IF(AJ$2=Inputs!$B151,Inputs!$B150,0)*(1+inf)^AI$1</f>
        <v>0</v>
      </c>
      <c r="AK51" s="7">
        <f ca="1">IF(AK$2=Inputs!$B151,Inputs!$B150,0)*(1+inf)^AJ$1</f>
        <v>0</v>
      </c>
      <c r="AL51" s="7">
        <f ca="1">IF(AL$2=Inputs!$B151,Inputs!$B150,0)*(1+inf)^AK$1</f>
        <v>0</v>
      </c>
      <c r="AM51" s="7">
        <f ca="1">IF(AM$2=Inputs!$B151,Inputs!$B150,0)*(1+inf)^AL$1</f>
        <v>0</v>
      </c>
    </row>
    <row r="52" spans="1:39" x14ac:dyDescent="0.2">
      <c r="A52" s="3" t="str">
        <f>TEXT(Inputs!$B$154,"")</f>
        <v>New Car</v>
      </c>
      <c r="B52" s="8"/>
      <c r="C52" s="7">
        <f ca="1">IF(C$2=Inputs!$B156,Inputs!$B155,0)*(1+inf)^B$1</f>
        <v>0</v>
      </c>
      <c r="D52" s="7">
        <f ca="1">IF(D$2=Inputs!$B156,Inputs!$B155,0)*(1+inf)^C$1</f>
        <v>0</v>
      </c>
      <c r="E52" s="7">
        <f ca="1">IF(E$2=Inputs!$B156,Inputs!$B155,0)*(1+inf)^D$1</f>
        <v>0</v>
      </c>
      <c r="F52" s="7">
        <f ca="1">IF(F$2=Inputs!$B156,Inputs!$B155,0)*(1+inf)^E$1</f>
        <v>37691.171874999993</v>
      </c>
      <c r="G52" s="7">
        <f ca="1">IF(G$2=Inputs!$B156,Inputs!$B155,0)*(1+inf)^F$1</f>
        <v>0</v>
      </c>
      <c r="H52" s="7">
        <f ca="1">IF(H$2=Inputs!$B156,Inputs!$B155,0)*(1+inf)^G$1</f>
        <v>0</v>
      </c>
      <c r="I52" s="7">
        <f ca="1">IF(I$2=Inputs!$B156,Inputs!$B155,0)*(1+inf)^H$1</f>
        <v>0</v>
      </c>
      <c r="J52" s="7">
        <f ca="1">IF(J$2=Inputs!$B156,Inputs!$B155,0)*(1+inf)^I$1</f>
        <v>0</v>
      </c>
      <c r="K52" s="7">
        <f ca="1">IF(K$2=Inputs!$B156,Inputs!$B155,0)*(1+inf)^J$1</f>
        <v>0</v>
      </c>
      <c r="L52" s="7">
        <f ca="1">IF(L$2=Inputs!$B156,Inputs!$B155,0)*(1+inf)^K$1</f>
        <v>0</v>
      </c>
      <c r="M52" s="7">
        <f ca="1">IF(M$2=Inputs!$B156,Inputs!$B155,0)*(1+inf)^L$1</f>
        <v>0</v>
      </c>
      <c r="N52" s="7">
        <f ca="1">IF(N$2=Inputs!$B156,Inputs!$B155,0)*(1+inf)^M$1</f>
        <v>0</v>
      </c>
      <c r="O52" s="7">
        <f ca="1">IF(O$2=Inputs!$B156,Inputs!$B155,0)*(1+inf)^N$1</f>
        <v>0</v>
      </c>
      <c r="P52" s="7">
        <f ca="1">IF(P$2=Inputs!$B156,Inputs!$B155,0)*(1+inf)^O$1</f>
        <v>0</v>
      </c>
      <c r="Q52" s="7">
        <f ca="1">IF(Q$2=Inputs!$B156,Inputs!$B155,0)*(1+inf)^P$1</f>
        <v>0</v>
      </c>
      <c r="R52" s="7">
        <f ca="1">IF(R$2=Inputs!$B156,Inputs!$B155,0)*(1+inf)^Q$1</f>
        <v>0</v>
      </c>
      <c r="S52" s="7">
        <f ca="1">IF(S$2=Inputs!$B156,Inputs!$B155,0)*(1+inf)^R$1</f>
        <v>0</v>
      </c>
      <c r="T52" s="7">
        <f ca="1">IF(T$2=Inputs!$B156,Inputs!$B155,0)*(1+inf)^S$1</f>
        <v>0</v>
      </c>
      <c r="U52" s="7">
        <f ca="1">IF(U$2=Inputs!$B156,Inputs!$B155,0)*(1+inf)^T$1</f>
        <v>0</v>
      </c>
      <c r="V52" s="7">
        <f ca="1">IF(V$2=Inputs!$B156,Inputs!$B155,0)*(1+inf)^U$1</f>
        <v>0</v>
      </c>
      <c r="W52" s="7">
        <f ca="1">IF(W$2=Inputs!$B156,Inputs!$B155,0)*(1+inf)^V$1</f>
        <v>0</v>
      </c>
      <c r="X52" s="7">
        <f ca="1">IF(X$2=Inputs!$B156,Inputs!$B155,0)*(1+inf)^W$1</f>
        <v>0</v>
      </c>
      <c r="Y52" s="7">
        <f ca="1">IF(Y$2=Inputs!$B156,Inputs!$B155,0)*(1+inf)^X$1</f>
        <v>0</v>
      </c>
      <c r="Z52" s="7">
        <f ca="1">IF(Z$2=Inputs!$B156,Inputs!$B155,0)*(1+inf)^Y$1</f>
        <v>0</v>
      </c>
      <c r="AA52" s="7">
        <f ca="1">IF(AA$2=Inputs!$B156,Inputs!$B155,0)*(1+inf)^Z$1</f>
        <v>0</v>
      </c>
      <c r="AB52" s="7">
        <f ca="1">IF(AB$2=Inputs!$B156,Inputs!$B155,0)*(1+inf)^AA$1</f>
        <v>0</v>
      </c>
      <c r="AC52" s="7">
        <f ca="1">IF(AC$2=Inputs!$B156,Inputs!$B155,0)*(1+inf)^AB$1</f>
        <v>0</v>
      </c>
      <c r="AD52" s="7">
        <f ca="1">IF(AD$2=Inputs!$B156,Inputs!$B155,0)*(1+inf)^AC$1</f>
        <v>0</v>
      </c>
      <c r="AE52" s="7">
        <f ca="1">IF(AE$2=Inputs!$B156,Inputs!$B155,0)*(1+inf)^AD$1</f>
        <v>0</v>
      </c>
      <c r="AF52" s="7">
        <f ca="1">IF(AF$2=Inputs!$B156,Inputs!$B155,0)*(1+inf)^AE$1</f>
        <v>0</v>
      </c>
      <c r="AG52" s="7">
        <f ca="1">IF(AG$2=Inputs!$B156,Inputs!$B155,0)*(1+inf)^AF$1</f>
        <v>0</v>
      </c>
      <c r="AH52" s="7">
        <f ca="1">IF(AH$2=Inputs!$B156,Inputs!$B155,0)*(1+inf)^AG$1</f>
        <v>0</v>
      </c>
      <c r="AI52" s="7">
        <f ca="1">IF(AI$2=Inputs!$B156,Inputs!$B155,0)*(1+inf)^AH$1</f>
        <v>0</v>
      </c>
      <c r="AJ52" s="7">
        <f ca="1">IF(AJ$2=Inputs!$B156,Inputs!$B155,0)*(1+inf)^AI$1</f>
        <v>0</v>
      </c>
      <c r="AK52" s="7">
        <f ca="1">IF(AK$2=Inputs!$B156,Inputs!$B155,0)*(1+inf)^AJ$1</f>
        <v>0</v>
      </c>
      <c r="AL52" s="7">
        <f ca="1">IF(AL$2=Inputs!$B156,Inputs!$B155,0)*(1+inf)^AK$1</f>
        <v>0</v>
      </c>
      <c r="AM52" s="7">
        <f ca="1">IF(AM$2=Inputs!$B156,Inputs!$B155,0)*(1+inf)^AL$1</f>
        <v>0</v>
      </c>
    </row>
    <row r="53" spans="1:39" x14ac:dyDescent="0.2">
      <c r="A53" s="3" t="str">
        <f>TEXT(Inputs!$B$159,"")</f>
        <v>New AC</v>
      </c>
      <c r="B53" s="8"/>
      <c r="C53" s="7">
        <f ca="1">IF(C$2=Inputs!$B161,Inputs!$B160,0)*(1+inf)^B$1</f>
        <v>0</v>
      </c>
      <c r="D53" s="7">
        <f ca="1">IF(D$2=Inputs!$B161,Inputs!$B160,0)*(1+inf)^C$1</f>
        <v>0</v>
      </c>
      <c r="E53" s="7">
        <f ca="1">IF(E$2=Inputs!$B161,Inputs!$B160,0)*(1+inf)^D$1</f>
        <v>0</v>
      </c>
      <c r="F53" s="7">
        <f ca="1">IF(F$2=Inputs!$B161,Inputs!$B160,0)*(1+inf)^E$1</f>
        <v>0</v>
      </c>
      <c r="G53" s="7">
        <f ca="1">IF(G$2=Inputs!$B161,Inputs!$B160,0)*(1+inf)^F$1</f>
        <v>0</v>
      </c>
      <c r="H53" s="7">
        <f ca="1">IF(H$2=Inputs!$B161,Inputs!$B160,0)*(1+inf)^G$1</f>
        <v>0</v>
      </c>
      <c r="I53" s="7">
        <f ca="1">IF(I$2=Inputs!$B161,Inputs!$B160,0)*(1+inf)^H$1</f>
        <v>0</v>
      </c>
      <c r="J53" s="7">
        <f ca="1">IF(J$2=Inputs!$B161,Inputs!$B160,0)*(1+inf)^I$1</f>
        <v>0</v>
      </c>
      <c r="K53" s="7">
        <f ca="1">IF(K$2=Inputs!$B161,Inputs!$B160,0)*(1+inf)^J$1</f>
        <v>18276.043462648766</v>
      </c>
      <c r="L53" s="7">
        <f ca="1">IF(L$2=Inputs!$B161,Inputs!$B160,0)*(1+inf)^K$1</f>
        <v>0</v>
      </c>
      <c r="M53" s="7">
        <f ca="1">IF(M$2=Inputs!$B161,Inputs!$B160,0)*(1+inf)^L$1</f>
        <v>0</v>
      </c>
      <c r="N53" s="7">
        <f ca="1">IF(N$2=Inputs!$B161,Inputs!$B160,0)*(1+inf)^M$1</f>
        <v>0</v>
      </c>
      <c r="O53" s="7">
        <f ca="1">IF(O$2=Inputs!$B161,Inputs!$B160,0)*(1+inf)^N$1</f>
        <v>0</v>
      </c>
      <c r="P53" s="7">
        <f ca="1">IF(P$2=Inputs!$B161,Inputs!$B160,0)*(1+inf)^O$1</f>
        <v>0</v>
      </c>
      <c r="Q53" s="7">
        <f ca="1">IF(Q$2=Inputs!$B161,Inputs!$B160,0)*(1+inf)^P$1</f>
        <v>0</v>
      </c>
      <c r="R53" s="7">
        <f ca="1">IF(R$2=Inputs!$B161,Inputs!$B160,0)*(1+inf)^Q$1</f>
        <v>0</v>
      </c>
      <c r="S53" s="7">
        <f ca="1">IF(S$2=Inputs!$B161,Inputs!$B160,0)*(1+inf)^R$1</f>
        <v>0</v>
      </c>
      <c r="T53" s="7">
        <f ca="1">IF(T$2=Inputs!$B161,Inputs!$B160,0)*(1+inf)^S$1</f>
        <v>0</v>
      </c>
      <c r="U53" s="7">
        <f ca="1">IF(U$2=Inputs!$B161,Inputs!$B160,0)*(1+inf)^T$1</f>
        <v>0</v>
      </c>
      <c r="V53" s="7">
        <f ca="1">IF(V$2=Inputs!$B161,Inputs!$B160,0)*(1+inf)^U$1</f>
        <v>0</v>
      </c>
      <c r="W53" s="7">
        <f ca="1">IF(W$2=Inputs!$B161,Inputs!$B160,0)*(1+inf)^V$1</f>
        <v>0</v>
      </c>
      <c r="X53" s="7">
        <f ca="1">IF(X$2=Inputs!$B161,Inputs!$B160,0)*(1+inf)^W$1</f>
        <v>0</v>
      </c>
      <c r="Y53" s="7">
        <f ca="1">IF(Y$2=Inputs!$B161,Inputs!$B160,0)*(1+inf)^X$1</f>
        <v>0</v>
      </c>
      <c r="Z53" s="7">
        <f ca="1">IF(Z$2=Inputs!$B161,Inputs!$B160,0)*(1+inf)^Y$1</f>
        <v>0</v>
      </c>
      <c r="AA53" s="7">
        <f ca="1">IF(AA$2=Inputs!$B161,Inputs!$B160,0)*(1+inf)^Z$1</f>
        <v>0</v>
      </c>
      <c r="AB53" s="7">
        <f ca="1">IF(AB$2=Inputs!$B161,Inputs!$B160,0)*(1+inf)^AA$1</f>
        <v>0</v>
      </c>
      <c r="AC53" s="7">
        <f ca="1">IF(AC$2=Inputs!$B161,Inputs!$B160,0)*(1+inf)^AB$1</f>
        <v>0</v>
      </c>
      <c r="AD53" s="7">
        <f ca="1">IF(AD$2=Inputs!$B161,Inputs!$B160,0)*(1+inf)^AC$1</f>
        <v>0</v>
      </c>
      <c r="AE53" s="7">
        <f ca="1">IF(AE$2=Inputs!$B161,Inputs!$B160,0)*(1+inf)^AD$1</f>
        <v>0</v>
      </c>
      <c r="AF53" s="7">
        <f ca="1">IF(AF$2=Inputs!$B161,Inputs!$B160,0)*(1+inf)^AE$1</f>
        <v>0</v>
      </c>
      <c r="AG53" s="7">
        <f ca="1">IF(AG$2=Inputs!$B161,Inputs!$B160,0)*(1+inf)^AF$1</f>
        <v>0</v>
      </c>
      <c r="AH53" s="7">
        <f ca="1">IF(AH$2=Inputs!$B161,Inputs!$B160,0)*(1+inf)^AG$1</f>
        <v>0</v>
      </c>
      <c r="AI53" s="7">
        <f ca="1">IF(AI$2=Inputs!$B161,Inputs!$B160,0)*(1+inf)^AH$1</f>
        <v>0</v>
      </c>
      <c r="AJ53" s="7">
        <f ca="1">IF(AJ$2=Inputs!$B161,Inputs!$B160,0)*(1+inf)^AI$1</f>
        <v>0</v>
      </c>
      <c r="AK53" s="7">
        <f ca="1">IF(AK$2=Inputs!$B161,Inputs!$B160,0)*(1+inf)^AJ$1</f>
        <v>0</v>
      </c>
      <c r="AL53" s="7">
        <f ca="1">IF(AL$2=Inputs!$B161,Inputs!$B160,0)*(1+inf)^AK$1</f>
        <v>0</v>
      </c>
      <c r="AM53" s="7">
        <f ca="1">IF(AM$2=Inputs!$B161,Inputs!$B160,0)*(1+inf)^AL$1</f>
        <v>0</v>
      </c>
    </row>
    <row r="54" spans="1:39" x14ac:dyDescent="0.2">
      <c r="A54" s="4"/>
      <c r="C54" s="9">
        <f t="shared" ref="C54:G54" ca="1" si="36">SUM(C22:C53)</f>
        <v>81300</v>
      </c>
      <c r="D54" s="9">
        <f t="shared" ca="1" si="36"/>
        <v>98169</v>
      </c>
      <c r="E54" s="9">
        <f t="shared" ca="1" si="36"/>
        <v>95820.724999999991</v>
      </c>
      <c r="F54" s="9">
        <f t="shared" ca="1" si="36"/>
        <v>130084.81008945729</v>
      </c>
      <c r="G54" s="9">
        <f t="shared" ca="1" si="36"/>
        <v>92089.491195312483</v>
      </c>
      <c r="H54" s="9">
        <f t="shared" ref="H54:AM54" ca="1" si="37">SUM(H22:H53)</f>
        <v>90281.061641888562</v>
      </c>
      <c r="I54" s="9">
        <f t="shared" ca="1" si="37"/>
        <v>77621.605092773418</v>
      </c>
      <c r="J54" s="9">
        <f t="shared" ca="1" si="37"/>
        <v>78710.394027913091</v>
      </c>
      <c r="K54" s="9">
        <f t="shared" ca="1" si="37"/>
        <v>97801.233575819046</v>
      </c>
      <c r="L54" s="9">
        <f t="shared" ca="1" si="37"/>
        <v>79540.083275847108</v>
      </c>
      <c r="M54" s="9">
        <f t="shared" ca="1" si="37"/>
        <v>128008.4544196357</v>
      </c>
      <c r="N54" s="9">
        <f t="shared" ca="1" si="37"/>
        <v>78725.199468075967</v>
      </c>
      <c r="O54" s="9">
        <f t="shared" ca="1" si="37"/>
        <v>80693.32945477785</v>
      </c>
      <c r="P54" s="9">
        <f t="shared" ca="1" si="37"/>
        <v>82710.662691147285</v>
      </c>
      <c r="Q54" s="9">
        <f t="shared" ca="1" si="37"/>
        <v>84778.429258425953</v>
      </c>
      <c r="R54" s="9">
        <f t="shared" ca="1" si="37"/>
        <v>86897.889989886637</v>
      </c>
      <c r="S54" s="9">
        <f t="shared" ca="1" si="37"/>
        <v>89070.33723963378</v>
      </c>
      <c r="T54" s="9">
        <f t="shared" ca="1" si="37"/>
        <v>91297.095670624622</v>
      </c>
      <c r="U54" s="9">
        <f t="shared" ca="1" si="37"/>
        <v>85781.229473857733</v>
      </c>
      <c r="V54" s="9">
        <f t="shared" ca="1" si="37"/>
        <v>87925.76021070416</v>
      </c>
      <c r="W54" s="9">
        <f t="shared" ca="1" si="37"/>
        <v>90123.90421597175</v>
      </c>
      <c r="X54" s="9">
        <f t="shared" ca="1" si="37"/>
        <v>92377.001821371043</v>
      </c>
      <c r="Y54" s="9">
        <f t="shared" ca="1" si="37"/>
        <v>94686.426866905327</v>
      </c>
      <c r="Z54" s="9">
        <f t="shared" ca="1" si="37"/>
        <v>97053.587538577965</v>
      </c>
      <c r="AA54" s="9">
        <f t="shared" ca="1" si="37"/>
        <v>99479.927227042383</v>
      </c>
      <c r="AB54" s="9">
        <f t="shared" ca="1" si="37"/>
        <v>101966.92540771843</v>
      </c>
      <c r="AC54" s="9">
        <f t="shared" ca="1" si="37"/>
        <v>104516.09854291138</v>
      </c>
      <c r="AD54" s="9">
        <f t="shared" ca="1" si="37"/>
        <v>107129.00100648416</v>
      </c>
      <c r="AE54" s="9">
        <f t="shared" ca="1" si="37"/>
        <v>99824.750937860241</v>
      </c>
      <c r="AF54" s="9">
        <f t="shared" ca="1" si="37"/>
        <v>102320.36971130676</v>
      </c>
      <c r="AG54" s="9">
        <f t="shared" ca="1" si="37"/>
        <v>104878.37895408941</v>
      </c>
      <c r="AH54" s="9">
        <f t="shared" ca="1" si="37"/>
        <v>107500.33842794166</v>
      </c>
      <c r="AI54" s="9">
        <f t="shared" ca="1" si="37"/>
        <v>110187.84688864017</v>
      </c>
      <c r="AJ54" s="9">
        <f t="shared" ca="1" si="37"/>
        <v>112942.54306085619</v>
      </c>
      <c r="AK54" s="9">
        <f t="shared" ca="1" si="37"/>
        <v>115766.10663737757</v>
      </c>
      <c r="AL54" s="9">
        <f t="shared" ca="1" si="37"/>
        <v>118660.25930331199</v>
      </c>
      <c r="AM54" s="9">
        <f t="shared" ca="1" si="37"/>
        <v>121626.76578589482</v>
      </c>
    </row>
    <row r="55" spans="1:39" x14ac:dyDescent="0.2">
      <c r="A55" s="4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  <c r="AD55" s="7"/>
      <c r="AE55" s="7"/>
      <c r="AF55" s="7"/>
      <c r="AG55" s="7"/>
      <c r="AH55" s="7"/>
      <c r="AI55" s="7"/>
      <c r="AJ55" s="7"/>
      <c r="AK55" s="7"/>
      <c r="AL55" s="7"/>
      <c r="AM55" s="7"/>
    </row>
    <row r="56" spans="1:39" ht="19" x14ac:dyDescent="0.25">
      <c r="A56" s="12" t="s">
        <v>19</v>
      </c>
      <c r="C56" s="7">
        <f t="shared" ref="C56:AM56" ca="1" si="38">C21-C54</f>
        <v>23136.875000000015</v>
      </c>
      <c r="D56" s="7">
        <f t="shared" ca="1" si="38"/>
        <v>24004.028125000012</v>
      </c>
      <c r="E56" s="7">
        <f t="shared" ca="1" si="38"/>
        <v>30618.530703125012</v>
      </c>
      <c r="F56" s="7">
        <f t="shared" ca="1" si="38"/>
        <v>11340.742583252606</v>
      </c>
      <c r="G56" s="7">
        <f t="shared" ca="1" si="38"/>
        <v>43048.72371370242</v>
      </c>
      <c r="H56" s="7">
        <f t="shared" ca="1" si="38"/>
        <v>49929.155498029271</v>
      </c>
      <c r="I56" s="7">
        <f t="shared" ca="1" si="38"/>
        <v>73958.126800225786</v>
      </c>
      <c r="J56" s="7">
        <f t="shared" ca="1" si="38"/>
        <v>73048.304426931703</v>
      </c>
      <c r="K56" s="7">
        <f t="shared" ca="1" si="38"/>
        <v>59885.751766682617</v>
      </c>
      <c r="L56" s="7">
        <f t="shared" ca="1" si="38"/>
        <v>147566.63342156282</v>
      </c>
      <c r="M56" s="7">
        <f t="shared" ca="1" si="38"/>
        <v>59115.358812410384</v>
      </c>
      <c r="N56" s="7">
        <f t="shared" ca="1" si="38"/>
        <v>112966.65186039731</v>
      </c>
      <c r="O56" s="7">
        <f t="shared" ca="1" si="38"/>
        <v>119014.41559742665</v>
      </c>
      <c r="P56" s="7">
        <f t="shared" ca="1" si="38"/>
        <v>125318.05227754345</v>
      </c>
      <c r="Q56" s="7">
        <f t="shared" ca="1" si="38"/>
        <v>131887.298362976</v>
      </c>
      <c r="R56" s="7">
        <f t="shared" ca="1" si="38"/>
        <v>138732.23889849652</v>
      </c>
      <c r="S56" s="7">
        <f t="shared" ca="1" si="38"/>
        <v>145863.31950566097</v>
      </c>
      <c r="T56" s="7">
        <f t="shared" ca="1" si="38"/>
        <v>44060.916395463879</v>
      </c>
      <c r="U56" s="7">
        <f t="shared" ca="1" si="38"/>
        <v>53561.965558399155</v>
      </c>
      <c r="V56" s="7">
        <f t="shared" ca="1" si="38"/>
        <v>55623.438172275972</v>
      </c>
      <c r="W56" s="7">
        <f t="shared" ca="1" si="38"/>
        <v>57763.449952021634</v>
      </c>
      <c r="X56" s="7">
        <f t="shared" ca="1" si="38"/>
        <v>59984.907688455321</v>
      </c>
      <c r="Y56" s="7">
        <f t="shared" ca="1" si="38"/>
        <v>41373.729991947737</v>
      </c>
      <c r="Z56" s="7">
        <f t="shared" ca="1" si="38"/>
        <v>42721.366230474581</v>
      </c>
      <c r="AA56" s="7">
        <f t="shared" ca="1" si="38"/>
        <v>44120.589733446686</v>
      </c>
      <c r="AB56" s="7">
        <f t="shared" ca="1" si="38"/>
        <v>45573.439512450132</v>
      </c>
      <c r="AC56" s="7">
        <f t="shared" ca="1" si="38"/>
        <v>47082.03334524043</v>
      </c>
      <c r="AD56" s="7">
        <f t="shared" ca="1" si="38"/>
        <v>48648.570711397668</v>
      </c>
      <c r="AE56" s="7">
        <f t="shared" ca="1" si="38"/>
        <v>60382.591866145769</v>
      </c>
      <c r="AF56" s="7">
        <f t="shared" ca="1" si="38"/>
        <v>62577.319662903581</v>
      </c>
      <c r="AG56" s="7">
        <f t="shared" ca="1" si="38"/>
        <v>64856.061712211129</v>
      </c>
      <c r="AH56" s="7">
        <f t="shared" ca="1" si="38"/>
        <v>67222.007531301642</v>
      </c>
      <c r="AI56" s="7">
        <f t="shared" ca="1" si="38"/>
        <v>69678.464419646771</v>
      </c>
      <c r="AJ56" s="7">
        <f t="shared" ca="1" si="38"/>
        <v>72228.861679078298</v>
      </c>
      <c r="AK56" s="7">
        <f t="shared" ca="1" si="38"/>
        <v>74876.754981036691</v>
      </c>
      <c r="AL56" s="7">
        <f t="shared" ca="1" si="38"/>
        <v>77625.830885955715</v>
      </c>
      <c r="AM56" s="7">
        <f t="shared" ca="1" si="38"/>
        <v>80479.911519961897</v>
      </c>
    </row>
    <row r="57" spans="1:39" x14ac:dyDescent="0.2">
      <c r="A57" s="4" t="s">
        <v>10</v>
      </c>
      <c r="C57" s="7">
        <f>Inputs!B8</f>
        <v>50000</v>
      </c>
      <c r="D57" s="7">
        <f ca="1">C58</f>
        <v>73136.875000000015</v>
      </c>
      <c r="E57" s="7">
        <f t="shared" ref="E57:AM57" ca="1" si="39">D58</f>
        <v>97140.903125000026</v>
      </c>
      <c r="F57" s="7">
        <f t="shared" ca="1" si="39"/>
        <v>127759.43382812504</v>
      </c>
      <c r="G57" s="7">
        <f t="shared" ca="1" si="39"/>
        <v>139100.17641137764</v>
      </c>
      <c r="H57" s="7">
        <f t="shared" ca="1" si="39"/>
        <v>182148.90012508008</v>
      </c>
      <c r="I57" s="7">
        <f t="shared" ca="1" si="39"/>
        <v>232078.05562310934</v>
      </c>
      <c r="J57" s="7">
        <f t="shared" ca="1" si="39"/>
        <v>306036.18242333515</v>
      </c>
      <c r="K57" s="7">
        <f t="shared" ca="1" si="39"/>
        <v>379084.48685026687</v>
      </c>
      <c r="L57" s="7">
        <f t="shared" ca="1" si="39"/>
        <v>438970.23861694947</v>
      </c>
      <c r="M57" s="7">
        <f t="shared" ca="1" si="39"/>
        <v>586536.87203851226</v>
      </c>
      <c r="N57" s="7">
        <f t="shared" ca="1" si="39"/>
        <v>645652.23085092264</v>
      </c>
      <c r="O57" s="7">
        <f t="shared" ca="1" si="39"/>
        <v>758618.88271131995</v>
      </c>
      <c r="P57" s="7">
        <f t="shared" ca="1" si="39"/>
        <v>877633.29830874666</v>
      </c>
      <c r="Q57" s="7">
        <f t="shared" ca="1" si="39"/>
        <v>1002951.3505862901</v>
      </c>
      <c r="R57" s="7">
        <f t="shared" ca="1" si="39"/>
        <v>1134838.6489492662</v>
      </c>
      <c r="S57" s="7">
        <f t="shared" ca="1" si="39"/>
        <v>1273570.8878477628</v>
      </c>
      <c r="T57" s="7">
        <f t="shared" ca="1" si="39"/>
        <v>1419434.2073534238</v>
      </c>
      <c r="U57" s="7">
        <f t="shared" ca="1" si="39"/>
        <v>1463495.1237488878</v>
      </c>
      <c r="V57" s="7">
        <f t="shared" ca="1" si="39"/>
        <v>1517057.089307287</v>
      </c>
      <c r="W57" s="7">
        <f t="shared" ca="1" si="39"/>
        <v>1572680.5274795629</v>
      </c>
      <c r="X57" s="7">
        <f t="shared" ca="1" si="39"/>
        <v>1630443.9774315846</v>
      </c>
      <c r="Y57" s="7">
        <f t="shared" ca="1" si="39"/>
        <v>1690428.88512004</v>
      </c>
      <c r="Z57" s="7">
        <f t="shared" ca="1" si="39"/>
        <v>1731802.6151119878</v>
      </c>
      <c r="AA57" s="7">
        <f t="shared" ca="1" si="39"/>
        <v>1774523.9813424624</v>
      </c>
      <c r="AB57" s="7">
        <f t="shared" ca="1" si="39"/>
        <v>1818644.5710759091</v>
      </c>
      <c r="AC57" s="7">
        <f t="shared" ca="1" si="39"/>
        <v>1864218.0105883591</v>
      </c>
      <c r="AD57" s="7">
        <f t="shared" ca="1" si="39"/>
        <v>1911300.0439335995</v>
      </c>
      <c r="AE57" s="7">
        <f t="shared" ca="1" si="39"/>
        <v>1959948.6146449971</v>
      </c>
      <c r="AF57" s="7">
        <f t="shared" ca="1" si="39"/>
        <v>2020331.2065111429</v>
      </c>
      <c r="AG57" s="7">
        <f t="shared" ca="1" si="39"/>
        <v>2082908.5261740466</v>
      </c>
      <c r="AH57" s="7">
        <f t="shared" ca="1" si="39"/>
        <v>2147764.5878862576</v>
      </c>
      <c r="AI57" s="7">
        <f t="shared" ca="1" si="39"/>
        <v>2214986.5954175591</v>
      </c>
      <c r="AJ57" s="7">
        <f t="shared" ca="1" si="39"/>
        <v>2284665.0598372058</v>
      </c>
      <c r="AK57" s="7">
        <f t="shared" ca="1" si="39"/>
        <v>2356893.9215162839</v>
      </c>
      <c r="AL57" s="7">
        <f t="shared" ca="1" si="39"/>
        <v>2431770.6764973206</v>
      </c>
      <c r="AM57" s="7">
        <f t="shared" ca="1" si="39"/>
        <v>2509396.5073832762</v>
      </c>
    </row>
    <row r="58" spans="1:39" x14ac:dyDescent="0.2">
      <c r="A58" s="4" t="s">
        <v>11</v>
      </c>
      <c r="C58" s="9">
        <f ca="1">SUM(C56:C57)</f>
        <v>73136.875000000015</v>
      </c>
      <c r="D58" s="9">
        <f t="shared" ref="D58:AM58" ca="1" si="40">SUM(D56:D57)</f>
        <v>97140.903125000026</v>
      </c>
      <c r="E58" s="9">
        <f t="shared" ca="1" si="40"/>
        <v>127759.43382812504</v>
      </c>
      <c r="F58" s="9">
        <f t="shared" ca="1" si="40"/>
        <v>139100.17641137764</v>
      </c>
      <c r="G58" s="9">
        <f t="shared" ca="1" si="40"/>
        <v>182148.90012508008</v>
      </c>
      <c r="H58" s="9">
        <f t="shared" ca="1" si="40"/>
        <v>232078.05562310934</v>
      </c>
      <c r="I58" s="9">
        <f t="shared" ca="1" si="40"/>
        <v>306036.18242333515</v>
      </c>
      <c r="J58" s="9">
        <f t="shared" ca="1" si="40"/>
        <v>379084.48685026687</v>
      </c>
      <c r="K58" s="9">
        <f t="shared" ca="1" si="40"/>
        <v>438970.23861694947</v>
      </c>
      <c r="L58" s="9">
        <f t="shared" ca="1" si="40"/>
        <v>586536.87203851226</v>
      </c>
      <c r="M58" s="9">
        <f t="shared" ca="1" si="40"/>
        <v>645652.23085092264</v>
      </c>
      <c r="N58" s="9">
        <f t="shared" ca="1" si="40"/>
        <v>758618.88271131995</v>
      </c>
      <c r="O58" s="9">
        <f t="shared" ca="1" si="40"/>
        <v>877633.29830874666</v>
      </c>
      <c r="P58" s="9">
        <f t="shared" ca="1" si="40"/>
        <v>1002951.3505862901</v>
      </c>
      <c r="Q58" s="9">
        <f t="shared" ca="1" si="40"/>
        <v>1134838.6489492662</v>
      </c>
      <c r="R58" s="9">
        <f t="shared" ca="1" si="40"/>
        <v>1273570.8878477628</v>
      </c>
      <c r="S58" s="9">
        <f t="shared" ca="1" si="40"/>
        <v>1419434.2073534238</v>
      </c>
      <c r="T58" s="9">
        <f t="shared" ca="1" si="40"/>
        <v>1463495.1237488878</v>
      </c>
      <c r="U58" s="9">
        <f t="shared" ca="1" si="40"/>
        <v>1517057.089307287</v>
      </c>
      <c r="V58" s="9">
        <f t="shared" ca="1" si="40"/>
        <v>1572680.5274795629</v>
      </c>
      <c r="W58" s="9">
        <f t="shared" ca="1" si="40"/>
        <v>1630443.9774315846</v>
      </c>
      <c r="X58" s="9">
        <f t="shared" ca="1" si="40"/>
        <v>1690428.88512004</v>
      </c>
      <c r="Y58" s="9">
        <f t="shared" ca="1" si="40"/>
        <v>1731802.6151119878</v>
      </c>
      <c r="Z58" s="9">
        <f t="shared" ca="1" si="40"/>
        <v>1774523.9813424624</v>
      </c>
      <c r="AA58" s="9">
        <f t="shared" ca="1" si="40"/>
        <v>1818644.5710759091</v>
      </c>
      <c r="AB58" s="9">
        <f t="shared" ca="1" si="40"/>
        <v>1864218.0105883591</v>
      </c>
      <c r="AC58" s="9">
        <f t="shared" ca="1" si="40"/>
        <v>1911300.0439335995</v>
      </c>
      <c r="AD58" s="9">
        <f t="shared" ca="1" si="40"/>
        <v>1959948.6146449971</v>
      </c>
      <c r="AE58" s="9">
        <f t="shared" ca="1" si="40"/>
        <v>2020331.2065111429</v>
      </c>
      <c r="AF58" s="9">
        <f t="shared" ca="1" si="40"/>
        <v>2082908.5261740466</v>
      </c>
      <c r="AG58" s="9">
        <f t="shared" ca="1" si="40"/>
        <v>2147764.5878862576</v>
      </c>
      <c r="AH58" s="9">
        <f t="shared" ca="1" si="40"/>
        <v>2214986.5954175591</v>
      </c>
      <c r="AI58" s="9">
        <f t="shared" ca="1" si="40"/>
        <v>2284665.0598372058</v>
      </c>
      <c r="AJ58" s="9">
        <f t="shared" ca="1" si="40"/>
        <v>2356893.9215162839</v>
      </c>
      <c r="AK58" s="9">
        <f t="shared" ca="1" si="40"/>
        <v>2431770.6764973206</v>
      </c>
      <c r="AL58" s="9">
        <f t="shared" ca="1" si="40"/>
        <v>2509396.5073832762</v>
      </c>
      <c r="AM58" s="9">
        <f t="shared" ca="1" si="40"/>
        <v>2589876.4189032381</v>
      </c>
    </row>
    <row r="59" spans="1:39" x14ac:dyDescent="0.2"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  <c r="AD59" s="7"/>
      <c r="AE59" s="7"/>
      <c r="AF59" s="7"/>
      <c r="AG59" s="7"/>
      <c r="AH59" s="7"/>
      <c r="AI59" s="7"/>
      <c r="AJ59" s="7"/>
      <c r="AK59" s="7"/>
      <c r="AL59" s="7"/>
      <c r="AM59" s="7"/>
    </row>
    <row r="60" spans="1:39" ht="19" x14ac:dyDescent="0.25">
      <c r="A60" s="25" t="s">
        <v>72</v>
      </c>
      <c r="B60" s="26"/>
      <c r="C60" s="27"/>
      <c r="D60" s="27"/>
      <c r="E60" s="27"/>
      <c r="F60" s="27"/>
      <c r="G60" s="27"/>
      <c r="H60" s="27"/>
      <c r="I60" s="27"/>
      <c r="J60" s="27"/>
      <c r="K60" s="27"/>
      <c r="L60" s="27"/>
      <c r="M60" s="27"/>
      <c r="N60" s="27"/>
      <c r="O60" s="27"/>
      <c r="P60" s="27"/>
      <c r="Q60" s="27"/>
      <c r="R60" s="27"/>
      <c r="S60" s="27"/>
      <c r="T60" s="27"/>
      <c r="U60" s="27"/>
      <c r="V60" s="27"/>
      <c r="W60" s="27"/>
      <c r="X60" s="27"/>
      <c r="Y60" s="27"/>
      <c r="Z60" s="27"/>
      <c r="AA60" s="27"/>
      <c r="AB60" s="27"/>
      <c r="AC60" s="27"/>
      <c r="AD60" s="27"/>
      <c r="AE60" s="27"/>
      <c r="AF60" s="27"/>
      <c r="AG60" s="27"/>
      <c r="AH60" s="27"/>
      <c r="AI60" s="27"/>
      <c r="AJ60" s="27"/>
      <c r="AK60" s="27"/>
      <c r="AL60" s="27"/>
      <c r="AM60" s="27"/>
    </row>
    <row r="61" spans="1:39" x14ac:dyDescent="0.2">
      <c r="A61" s="4" t="s">
        <v>9</v>
      </c>
      <c r="C61" s="7">
        <f t="shared" ref="C61:AM61" ca="1" si="41">C58</f>
        <v>73136.875000000015</v>
      </c>
      <c r="D61" s="7">
        <f t="shared" ca="1" si="41"/>
        <v>97140.903125000026</v>
      </c>
      <c r="E61" s="7">
        <f t="shared" ca="1" si="41"/>
        <v>127759.43382812504</v>
      </c>
      <c r="F61" s="7">
        <f t="shared" ca="1" si="41"/>
        <v>139100.17641137764</v>
      </c>
      <c r="G61" s="7">
        <f t="shared" ca="1" si="41"/>
        <v>182148.90012508008</v>
      </c>
      <c r="H61" s="7">
        <f t="shared" ca="1" si="41"/>
        <v>232078.05562310934</v>
      </c>
      <c r="I61" s="7">
        <f t="shared" ca="1" si="41"/>
        <v>306036.18242333515</v>
      </c>
      <c r="J61" s="7">
        <f t="shared" ca="1" si="41"/>
        <v>379084.48685026687</v>
      </c>
      <c r="K61" s="7">
        <f t="shared" ca="1" si="41"/>
        <v>438970.23861694947</v>
      </c>
      <c r="L61" s="7">
        <f t="shared" ca="1" si="41"/>
        <v>586536.87203851226</v>
      </c>
      <c r="M61" s="7">
        <f t="shared" ca="1" si="41"/>
        <v>645652.23085092264</v>
      </c>
      <c r="N61" s="7">
        <f t="shared" ca="1" si="41"/>
        <v>758618.88271131995</v>
      </c>
      <c r="O61" s="7">
        <f t="shared" ca="1" si="41"/>
        <v>877633.29830874666</v>
      </c>
      <c r="P61" s="7">
        <f t="shared" ca="1" si="41"/>
        <v>1002951.3505862901</v>
      </c>
      <c r="Q61" s="7">
        <f t="shared" ca="1" si="41"/>
        <v>1134838.6489492662</v>
      </c>
      <c r="R61" s="7">
        <f t="shared" ca="1" si="41"/>
        <v>1273570.8878477628</v>
      </c>
      <c r="S61" s="7">
        <f t="shared" ca="1" si="41"/>
        <v>1419434.2073534238</v>
      </c>
      <c r="T61" s="7">
        <f t="shared" ca="1" si="41"/>
        <v>1463495.1237488878</v>
      </c>
      <c r="U61" s="7">
        <f t="shared" ca="1" si="41"/>
        <v>1517057.089307287</v>
      </c>
      <c r="V61" s="7">
        <f t="shared" ca="1" si="41"/>
        <v>1572680.5274795629</v>
      </c>
      <c r="W61" s="7">
        <f t="shared" ca="1" si="41"/>
        <v>1630443.9774315846</v>
      </c>
      <c r="X61" s="7">
        <f t="shared" ca="1" si="41"/>
        <v>1690428.88512004</v>
      </c>
      <c r="Y61" s="7">
        <f t="shared" ca="1" si="41"/>
        <v>1731802.6151119878</v>
      </c>
      <c r="Z61" s="7">
        <f t="shared" ca="1" si="41"/>
        <v>1774523.9813424624</v>
      </c>
      <c r="AA61" s="7">
        <f t="shared" ca="1" si="41"/>
        <v>1818644.5710759091</v>
      </c>
      <c r="AB61" s="7">
        <f t="shared" ca="1" si="41"/>
        <v>1864218.0105883591</v>
      </c>
      <c r="AC61" s="7">
        <f t="shared" ca="1" si="41"/>
        <v>1911300.0439335995</v>
      </c>
      <c r="AD61" s="7">
        <f t="shared" ca="1" si="41"/>
        <v>1959948.6146449971</v>
      </c>
      <c r="AE61" s="7">
        <f t="shared" ca="1" si="41"/>
        <v>2020331.2065111429</v>
      </c>
      <c r="AF61" s="7">
        <f t="shared" ca="1" si="41"/>
        <v>2082908.5261740466</v>
      </c>
      <c r="AG61" s="7">
        <f t="shared" ca="1" si="41"/>
        <v>2147764.5878862576</v>
      </c>
      <c r="AH61" s="7">
        <f t="shared" ca="1" si="41"/>
        <v>2214986.5954175591</v>
      </c>
      <c r="AI61" s="7">
        <f t="shared" ca="1" si="41"/>
        <v>2284665.0598372058</v>
      </c>
      <c r="AJ61" s="7">
        <f t="shared" ca="1" si="41"/>
        <v>2356893.9215162839</v>
      </c>
      <c r="AK61" s="7">
        <f t="shared" ca="1" si="41"/>
        <v>2431770.6764973206</v>
      </c>
      <c r="AL61" s="7">
        <f t="shared" ca="1" si="41"/>
        <v>2509396.5073832762</v>
      </c>
      <c r="AM61" s="7">
        <f t="shared" ca="1" si="41"/>
        <v>2589876.4189032381</v>
      </c>
    </row>
    <row r="62" spans="1:39" x14ac:dyDescent="0.2">
      <c r="A62" s="4" t="s">
        <v>7</v>
      </c>
      <c r="C62" s="7">
        <f ca="1">Inputs!B12*(1+princ)^ProRate</f>
        <v>614962.9305229499</v>
      </c>
      <c r="D62" s="7">
        <f t="shared" ref="D62:AM62" ca="1" si="42">C62*(1+princ)</f>
        <v>633411.81843863847</v>
      </c>
      <c r="E62" s="7">
        <f t="shared" ca="1" si="42"/>
        <v>652414.17299179768</v>
      </c>
      <c r="F62" s="7">
        <f t="shared" ca="1" si="42"/>
        <v>671986.59818155167</v>
      </c>
      <c r="G62" s="7">
        <f t="shared" ca="1" si="42"/>
        <v>692146.19612699829</v>
      </c>
      <c r="H62" s="7">
        <f t="shared" ca="1" si="42"/>
        <v>712910.58201080828</v>
      </c>
      <c r="I62" s="7">
        <f t="shared" ca="1" si="42"/>
        <v>734297.89947113255</v>
      </c>
      <c r="J62" s="7">
        <f t="shared" ca="1" si="42"/>
        <v>756326.83645526657</v>
      </c>
      <c r="K62" s="7">
        <f t="shared" ca="1" si="42"/>
        <v>779016.64154892461</v>
      </c>
      <c r="L62" s="7">
        <f t="shared" ca="1" si="42"/>
        <v>802387.14079539233</v>
      </c>
      <c r="M62" s="7">
        <f t="shared" ca="1" si="42"/>
        <v>826458.75501925417</v>
      </c>
      <c r="N62" s="7">
        <f t="shared" ca="1" si="42"/>
        <v>851252.51766983187</v>
      </c>
      <c r="O62" s="7">
        <f t="shared" ca="1" si="42"/>
        <v>876790.09319992689</v>
      </c>
      <c r="P62" s="7">
        <f t="shared" ca="1" si="42"/>
        <v>903093.79599592474</v>
      </c>
      <c r="Q62" s="7">
        <f t="shared" ca="1" si="42"/>
        <v>930186.60987580253</v>
      </c>
      <c r="R62" s="7">
        <f t="shared" ca="1" si="42"/>
        <v>958092.20817207661</v>
      </c>
      <c r="S62" s="7">
        <f t="shared" ca="1" si="42"/>
        <v>986834.97441723896</v>
      </c>
      <c r="T62" s="7">
        <f t="shared" ca="1" si="42"/>
        <v>1016440.0236497562</v>
      </c>
      <c r="U62" s="7">
        <f t="shared" ca="1" si="42"/>
        <v>1046933.2243592489</v>
      </c>
      <c r="V62" s="7">
        <f t="shared" ca="1" si="42"/>
        <v>1078341.2210900264</v>
      </c>
      <c r="W62" s="7">
        <f t="shared" ca="1" si="42"/>
        <v>1110691.4577227272</v>
      </c>
      <c r="X62" s="7">
        <f t="shared" ca="1" si="42"/>
        <v>1144012.2014544092</v>
      </c>
      <c r="Y62" s="7">
        <f t="shared" ca="1" si="42"/>
        <v>1178332.5674980415</v>
      </c>
      <c r="Z62" s="7">
        <f t="shared" ca="1" si="42"/>
        <v>1213682.5445229828</v>
      </c>
      <c r="AA62" s="7">
        <f t="shared" ca="1" si="42"/>
        <v>1250093.0208586722</v>
      </c>
      <c r="AB62" s="7">
        <f t="shared" ca="1" si="42"/>
        <v>1287595.8114844323</v>
      </c>
      <c r="AC62" s="7">
        <f t="shared" ca="1" si="42"/>
        <v>1326223.6858289654</v>
      </c>
      <c r="AD62" s="7">
        <f t="shared" ca="1" si="42"/>
        <v>1366010.3964038345</v>
      </c>
      <c r="AE62" s="7">
        <f t="shared" ca="1" si="42"/>
        <v>1406990.7082959495</v>
      </c>
      <c r="AF62" s="7">
        <f t="shared" ca="1" si="42"/>
        <v>1449200.4295448281</v>
      </c>
      <c r="AG62" s="7">
        <f t="shared" ca="1" si="42"/>
        <v>1492676.4424311731</v>
      </c>
      <c r="AH62" s="7">
        <f t="shared" ca="1" si="42"/>
        <v>1537456.7357041084</v>
      </c>
      <c r="AI62" s="7">
        <f t="shared" ca="1" si="42"/>
        <v>1583580.4377752317</v>
      </c>
      <c r="AJ62" s="7">
        <f t="shared" ca="1" si="42"/>
        <v>1631087.8509084887</v>
      </c>
      <c r="AK62" s="7">
        <f t="shared" ca="1" si="42"/>
        <v>1680020.4864357435</v>
      </c>
      <c r="AL62" s="7">
        <f t="shared" ca="1" si="42"/>
        <v>1730421.1010288158</v>
      </c>
      <c r="AM62" s="7">
        <f t="shared" ca="1" si="42"/>
        <v>1782333.7340596803</v>
      </c>
    </row>
    <row r="63" spans="1:39" x14ac:dyDescent="0.2">
      <c r="A63" s="4" t="s">
        <v>52</v>
      </c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  <c r="AC63" s="7"/>
      <c r="AD63" s="7"/>
      <c r="AE63" s="7"/>
      <c r="AF63" s="7"/>
      <c r="AG63" s="7"/>
      <c r="AH63" s="7"/>
      <c r="AI63" s="7"/>
      <c r="AJ63" s="7"/>
      <c r="AK63" s="7"/>
      <c r="AL63" s="7"/>
      <c r="AM63" s="7"/>
    </row>
    <row r="64" spans="1:39" x14ac:dyDescent="0.2">
      <c r="A64" s="3" t="str">
        <f>TEXT(Inputs!$B$60,"")</f>
        <v>Sliema</v>
      </c>
      <c r="C64" s="7">
        <f ca="1">Inputs!B61*(1+princ)^ProRate</f>
        <v>307481.46526147495</v>
      </c>
      <c r="D64" s="7">
        <f t="shared" ref="D64:S68" ca="1" si="43">C64*(1+princ)</f>
        <v>316705.90921931923</v>
      </c>
      <c r="E64" s="7">
        <f t="shared" ca="1" si="43"/>
        <v>326207.08649589884</v>
      </c>
      <c r="F64" s="7">
        <f t="shared" ca="1" si="43"/>
        <v>335993.29909077584</v>
      </c>
      <c r="G64" s="7">
        <f t="shared" ca="1" si="43"/>
        <v>346073.09806349914</v>
      </c>
      <c r="H64" s="7">
        <f t="shared" ca="1" si="43"/>
        <v>356455.29100540414</v>
      </c>
      <c r="I64" s="7">
        <f t="shared" ca="1" si="43"/>
        <v>367148.94973556628</v>
      </c>
      <c r="J64" s="7">
        <f t="shared" ca="1" si="43"/>
        <v>378163.41822763329</v>
      </c>
      <c r="K64" s="7">
        <f t="shared" ca="1" si="43"/>
        <v>389508.32077446231</v>
      </c>
      <c r="L64" s="7">
        <f t="shared" ca="1" si="43"/>
        <v>401193.57039769617</v>
      </c>
      <c r="M64" s="7">
        <f t="shared" ca="1" si="43"/>
        <v>413229.37750962708</v>
      </c>
      <c r="N64" s="7">
        <f t="shared" ca="1" si="43"/>
        <v>425626.25883491593</v>
      </c>
      <c r="O64" s="7">
        <f t="shared" ca="1" si="43"/>
        <v>438395.04659996345</v>
      </c>
      <c r="P64" s="7">
        <f t="shared" ca="1" si="43"/>
        <v>451546.89799796237</v>
      </c>
      <c r="Q64" s="7">
        <f t="shared" ca="1" si="43"/>
        <v>465093.30493790127</v>
      </c>
      <c r="R64" s="7">
        <f t="shared" ca="1" si="43"/>
        <v>479046.10408603831</v>
      </c>
      <c r="S64" s="7">
        <f t="shared" ca="1" si="43"/>
        <v>493417.48720861948</v>
      </c>
      <c r="T64" s="7">
        <f t="shared" ref="T64:AI68" ca="1" si="44">S64*(1+princ)</f>
        <v>508220.01182487811</v>
      </c>
      <c r="U64" s="7">
        <f t="shared" ca="1" si="44"/>
        <v>523466.61217962444</v>
      </c>
      <c r="V64" s="7">
        <f t="shared" ca="1" si="44"/>
        <v>539170.61054501322</v>
      </c>
      <c r="W64" s="7">
        <f t="shared" ca="1" si="44"/>
        <v>555345.7288613636</v>
      </c>
      <c r="X64" s="7">
        <f t="shared" ca="1" si="44"/>
        <v>572006.10072720458</v>
      </c>
      <c r="Y64" s="7">
        <f t="shared" ca="1" si="44"/>
        <v>589166.28374902077</v>
      </c>
      <c r="Z64" s="7">
        <f t="shared" ca="1" si="44"/>
        <v>606841.27226149139</v>
      </c>
      <c r="AA64" s="7">
        <f t="shared" ca="1" si="44"/>
        <v>625046.51042933611</v>
      </c>
      <c r="AB64" s="7">
        <f t="shared" ca="1" si="44"/>
        <v>643797.90574221616</v>
      </c>
      <c r="AC64" s="7">
        <f t="shared" ca="1" si="44"/>
        <v>663111.8429144827</v>
      </c>
      <c r="AD64" s="7">
        <f t="shared" ca="1" si="44"/>
        <v>683005.19820191723</v>
      </c>
      <c r="AE64" s="7">
        <f t="shared" ca="1" si="44"/>
        <v>703495.35414797475</v>
      </c>
      <c r="AF64" s="7">
        <f t="shared" ca="1" si="44"/>
        <v>724600.21477241407</v>
      </c>
      <c r="AG64" s="7">
        <f t="shared" ca="1" si="44"/>
        <v>746338.22121558653</v>
      </c>
      <c r="AH64" s="7">
        <f t="shared" ca="1" si="44"/>
        <v>768728.36785205419</v>
      </c>
      <c r="AI64" s="7">
        <f t="shared" ca="1" si="44"/>
        <v>791790.21888761583</v>
      </c>
      <c r="AJ64" s="7">
        <f t="shared" ref="AJ64:AM68" ca="1" si="45">AI64*(1+princ)</f>
        <v>815543.92545424437</v>
      </c>
      <c r="AK64" s="7">
        <f t="shared" ca="1" si="45"/>
        <v>840010.24321787176</v>
      </c>
      <c r="AL64" s="7">
        <f t="shared" ca="1" si="45"/>
        <v>865210.55051440792</v>
      </c>
      <c r="AM64" s="7">
        <f t="shared" ca="1" si="45"/>
        <v>891166.86702984013</v>
      </c>
    </row>
    <row r="65" spans="1:39" x14ac:dyDescent="0.2">
      <c r="A65" s="3" t="str">
        <f>TEXT(Inputs!$B$65,"")</f>
        <v>Gzira</v>
      </c>
      <c r="C65" s="7">
        <f ca="1">Inputs!B66*(1+princ)^ProRate</f>
        <v>153740.73263073748</v>
      </c>
      <c r="D65" s="7">
        <f t="shared" ca="1" si="43"/>
        <v>158352.95460965962</v>
      </c>
      <c r="E65" s="7">
        <f t="shared" ca="1" si="43"/>
        <v>163103.54324794942</v>
      </c>
      <c r="F65" s="7">
        <f t="shared" ca="1" si="43"/>
        <v>167996.64954538792</v>
      </c>
      <c r="G65" s="7">
        <f t="shared" ca="1" si="43"/>
        <v>173036.54903174957</v>
      </c>
      <c r="H65" s="7">
        <f t="shared" ca="1" si="43"/>
        <v>178227.64550270207</v>
      </c>
      <c r="I65" s="7">
        <f t="shared" ca="1" si="43"/>
        <v>183574.47486778314</v>
      </c>
      <c r="J65" s="7">
        <f t="shared" ca="1" si="43"/>
        <v>189081.70911381664</v>
      </c>
      <c r="K65" s="7">
        <f t="shared" ca="1" si="43"/>
        <v>194754.16038723115</v>
      </c>
      <c r="L65" s="7">
        <f t="shared" ca="1" si="43"/>
        <v>200596.78519884808</v>
      </c>
      <c r="M65" s="7">
        <f t="shared" ca="1" si="43"/>
        <v>206614.68875481354</v>
      </c>
      <c r="N65" s="7">
        <f t="shared" ca="1" si="43"/>
        <v>212813.12941745797</v>
      </c>
      <c r="O65" s="7">
        <f t="shared" ca="1" si="43"/>
        <v>219197.52329998172</v>
      </c>
      <c r="P65" s="7">
        <f t="shared" ca="1" si="43"/>
        <v>225773.44899898118</v>
      </c>
      <c r="Q65" s="7">
        <f t="shared" ca="1" si="43"/>
        <v>232546.65246895063</v>
      </c>
      <c r="R65" s="7">
        <f t="shared" ca="1" si="43"/>
        <v>239523.05204301915</v>
      </c>
      <c r="S65" s="7">
        <f t="shared" ca="1" si="43"/>
        <v>246708.74360430974</v>
      </c>
      <c r="T65" s="7">
        <f t="shared" ca="1" si="44"/>
        <v>254110.00591243905</v>
      </c>
      <c r="U65" s="7">
        <f t="shared" ca="1" si="44"/>
        <v>261733.30608981222</v>
      </c>
      <c r="V65" s="7">
        <f t="shared" ca="1" si="44"/>
        <v>269585.30527250661</v>
      </c>
      <c r="W65" s="7">
        <f t="shared" ca="1" si="44"/>
        <v>277672.8644306818</v>
      </c>
      <c r="X65" s="7">
        <f t="shared" ca="1" si="44"/>
        <v>286003.05036360229</v>
      </c>
      <c r="Y65" s="7">
        <f t="shared" ca="1" si="44"/>
        <v>294583.14187451039</v>
      </c>
      <c r="Z65" s="7">
        <f t="shared" ca="1" si="44"/>
        <v>303420.6361307457</v>
      </c>
      <c r="AA65" s="7">
        <f t="shared" ca="1" si="44"/>
        <v>312523.25521466805</v>
      </c>
      <c r="AB65" s="7">
        <f t="shared" ca="1" si="44"/>
        <v>321898.95287110808</v>
      </c>
      <c r="AC65" s="7">
        <f t="shared" ca="1" si="44"/>
        <v>331555.92145724135</v>
      </c>
      <c r="AD65" s="7">
        <f t="shared" ca="1" si="44"/>
        <v>341502.59910095861</v>
      </c>
      <c r="AE65" s="7">
        <f t="shared" ca="1" si="44"/>
        <v>351747.67707398738</v>
      </c>
      <c r="AF65" s="7">
        <f t="shared" ca="1" si="44"/>
        <v>362300.10738620703</v>
      </c>
      <c r="AG65" s="7">
        <f t="shared" ca="1" si="44"/>
        <v>373169.11060779326</v>
      </c>
      <c r="AH65" s="7">
        <f t="shared" ca="1" si="44"/>
        <v>384364.18392602709</v>
      </c>
      <c r="AI65" s="7">
        <f t="shared" ca="1" si="44"/>
        <v>395895.10944380792</v>
      </c>
      <c r="AJ65" s="7">
        <f t="shared" ca="1" si="45"/>
        <v>407771.96272712218</v>
      </c>
      <c r="AK65" s="7">
        <f t="shared" ca="1" si="45"/>
        <v>420005.12160893588</v>
      </c>
      <c r="AL65" s="7">
        <f t="shared" ca="1" si="45"/>
        <v>432605.27525720396</v>
      </c>
      <c r="AM65" s="7">
        <f t="shared" ca="1" si="45"/>
        <v>445583.43351492006</v>
      </c>
    </row>
    <row r="66" spans="1:39" x14ac:dyDescent="0.2">
      <c r="A66" s="3" t="str">
        <f>TEXT(Inputs!$B$70,"")</f>
        <v>Qormi</v>
      </c>
      <c r="C66" s="7">
        <f ca="1">Inputs!B71*(1+princ)^ProRate</f>
        <v>225486.40785841495</v>
      </c>
      <c r="D66" s="7">
        <f t="shared" ca="1" si="43"/>
        <v>232251.00009416742</v>
      </c>
      <c r="E66" s="7">
        <f t="shared" ca="1" si="43"/>
        <v>239218.53009699244</v>
      </c>
      <c r="F66" s="7">
        <f t="shared" ca="1" si="43"/>
        <v>246395.08599990222</v>
      </c>
      <c r="G66" s="7">
        <f t="shared" ca="1" si="43"/>
        <v>253786.93857989929</v>
      </c>
      <c r="H66" s="7">
        <f t="shared" ca="1" si="43"/>
        <v>261400.54673729627</v>
      </c>
      <c r="I66" s="7">
        <f t="shared" ca="1" si="43"/>
        <v>269242.56313941517</v>
      </c>
      <c r="J66" s="7">
        <f t="shared" ca="1" si="43"/>
        <v>277319.84003359766</v>
      </c>
      <c r="K66" s="7">
        <f t="shared" ca="1" si="43"/>
        <v>285639.43523460563</v>
      </c>
      <c r="L66" s="7">
        <f t="shared" ca="1" si="43"/>
        <v>294208.6182916438</v>
      </c>
      <c r="M66" s="7">
        <f t="shared" ca="1" si="43"/>
        <v>303034.87684039312</v>
      </c>
      <c r="N66" s="7">
        <f t="shared" ca="1" si="43"/>
        <v>312125.9231456049</v>
      </c>
      <c r="O66" s="7">
        <f t="shared" ca="1" si="43"/>
        <v>321489.70083997305</v>
      </c>
      <c r="P66" s="7">
        <f t="shared" ca="1" si="43"/>
        <v>331134.39186517225</v>
      </c>
      <c r="Q66" s="7">
        <f t="shared" ca="1" si="43"/>
        <v>341068.42362112744</v>
      </c>
      <c r="R66" s="7">
        <f t="shared" ca="1" si="43"/>
        <v>351300.47632976127</v>
      </c>
      <c r="S66" s="7">
        <f t="shared" ca="1" si="43"/>
        <v>361839.49061965413</v>
      </c>
      <c r="T66" s="7">
        <f t="shared" ca="1" si="44"/>
        <v>372694.67533824377</v>
      </c>
      <c r="U66" s="7">
        <f t="shared" ca="1" si="44"/>
        <v>383875.51559839112</v>
      </c>
      <c r="V66" s="7">
        <f t="shared" ca="1" si="44"/>
        <v>395391.7810663429</v>
      </c>
      <c r="W66" s="7">
        <f t="shared" ca="1" si="44"/>
        <v>407253.53449833317</v>
      </c>
      <c r="X66" s="7">
        <f t="shared" ca="1" si="44"/>
        <v>419471.14053328318</v>
      </c>
      <c r="Y66" s="7">
        <f t="shared" ca="1" si="44"/>
        <v>432055.2747492817</v>
      </c>
      <c r="Z66" s="7">
        <f t="shared" ca="1" si="44"/>
        <v>445016.93299176014</v>
      </c>
      <c r="AA66" s="7">
        <f t="shared" ca="1" si="44"/>
        <v>458367.44098151295</v>
      </c>
      <c r="AB66" s="7">
        <f t="shared" ca="1" si="44"/>
        <v>472118.46421095834</v>
      </c>
      <c r="AC66" s="7">
        <f t="shared" ca="1" si="44"/>
        <v>486282.01813728712</v>
      </c>
      <c r="AD66" s="7">
        <f t="shared" ca="1" si="44"/>
        <v>500870.47868140572</v>
      </c>
      <c r="AE66" s="7">
        <f t="shared" ca="1" si="44"/>
        <v>515896.59304184793</v>
      </c>
      <c r="AF66" s="7">
        <f t="shared" ca="1" si="44"/>
        <v>531373.49083310342</v>
      </c>
      <c r="AG66" s="7">
        <f t="shared" ca="1" si="44"/>
        <v>547314.69555809652</v>
      </c>
      <c r="AH66" s="7">
        <f t="shared" ca="1" si="44"/>
        <v>563734.13642483938</v>
      </c>
      <c r="AI66" s="7">
        <f t="shared" ca="1" si="44"/>
        <v>580646.16051758453</v>
      </c>
      <c r="AJ66" s="7">
        <f t="shared" ca="1" si="45"/>
        <v>598065.54533311212</v>
      </c>
      <c r="AK66" s="7">
        <f t="shared" ca="1" si="45"/>
        <v>616007.51169310545</v>
      </c>
      <c r="AL66" s="7">
        <f t="shared" ca="1" si="45"/>
        <v>634487.73704389867</v>
      </c>
      <c r="AM66" s="7">
        <f t="shared" ca="1" si="45"/>
        <v>653522.36915521568</v>
      </c>
    </row>
    <row r="67" spans="1:39" x14ac:dyDescent="0.2">
      <c r="A67" s="3" t="str">
        <f>TEXT(Inputs!$B$75,"")</f>
        <v>Gudja</v>
      </c>
      <c r="C67" s="7">
        <f ca="1">Inputs!B76*(1+princ)^ProRate</f>
        <v>81995.057403059982</v>
      </c>
      <c r="D67" s="7">
        <f t="shared" ca="1" si="43"/>
        <v>84454.909125151782</v>
      </c>
      <c r="E67" s="7">
        <f t="shared" ca="1" si="43"/>
        <v>86988.556398906338</v>
      </c>
      <c r="F67" s="7">
        <f t="shared" ca="1" si="43"/>
        <v>89598.213090873527</v>
      </c>
      <c r="G67" s="7">
        <f t="shared" ca="1" si="43"/>
        <v>92286.159483599738</v>
      </c>
      <c r="H67" s="7">
        <f t="shared" ca="1" si="43"/>
        <v>95054.744268107737</v>
      </c>
      <c r="I67" s="7">
        <f t="shared" ca="1" si="43"/>
        <v>97906.386596150973</v>
      </c>
      <c r="J67" s="7">
        <f t="shared" ca="1" si="43"/>
        <v>100843.57819403551</v>
      </c>
      <c r="K67" s="7">
        <f t="shared" ca="1" si="43"/>
        <v>103868.88553985658</v>
      </c>
      <c r="L67" s="7">
        <f t="shared" ca="1" si="43"/>
        <v>106984.95210605228</v>
      </c>
      <c r="M67" s="7">
        <f t="shared" ca="1" si="43"/>
        <v>110194.50066923385</v>
      </c>
      <c r="N67" s="7">
        <f t="shared" ca="1" si="43"/>
        <v>113500.33568931087</v>
      </c>
      <c r="O67" s="7">
        <f t="shared" ca="1" si="43"/>
        <v>116905.3457599902</v>
      </c>
      <c r="P67" s="7">
        <f t="shared" ca="1" si="43"/>
        <v>120412.50613278992</v>
      </c>
      <c r="Q67" s="7">
        <f t="shared" ca="1" si="43"/>
        <v>124024.88131677362</v>
      </c>
      <c r="R67" s="7">
        <f t="shared" ca="1" si="43"/>
        <v>127745.62775627684</v>
      </c>
      <c r="S67" s="7">
        <f t="shared" ca="1" si="43"/>
        <v>131577.99658896515</v>
      </c>
      <c r="T67" s="7">
        <f t="shared" ca="1" si="44"/>
        <v>135525.3364866341</v>
      </c>
      <c r="U67" s="7">
        <f t="shared" ca="1" si="44"/>
        <v>139591.09658123311</v>
      </c>
      <c r="V67" s="7">
        <f t="shared" ca="1" si="44"/>
        <v>143778.82947867012</v>
      </c>
      <c r="W67" s="7">
        <f t="shared" ca="1" si="44"/>
        <v>148092.19436303023</v>
      </c>
      <c r="X67" s="7">
        <f t="shared" ca="1" si="44"/>
        <v>152534.96019392114</v>
      </c>
      <c r="Y67" s="7">
        <f t="shared" ca="1" si="44"/>
        <v>157111.00899973878</v>
      </c>
      <c r="Z67" s="7">
        <f t="shared" ca="1" si="44"/>
        <v>161824.33926973096</v>
      </c>
      <c r="AA67" s="7">
        <f t="shared" ca="1" si="44"/>
        <v>166679.0694478229</v>
      </c>
      <c r="AB67" s="7">
        <f t="shared" ca="1" si="44"/>
        <v>171679.44153125759</v>
      </c>
      <c r="AC67" s="7">
        <f t="shared" ca="1" si="44"/>
        <v>176829.82477719532</v>
      </c>
      <c r="AD67" s="7">
        <f t="shared" ca="1" si="44"/>
        <v>182134.71952051119</v>
      </c>
      <c r="AE67" s="7">
        <f t="shared" ca="1" si="44"/>
        <v>187598.76110612653</v>
      </c>
      <c r="AF67" s="7">
        <f t="shared" ca="1" si="44"/>
        <v>193226.72393931032</v>
      </c>
      <c r="AG67" s="7">
        <f t="shared" ca="1" si="44"/>
        <v>199023.52565748963</v>
      </c>
      <c r="AH67" s="7">
        <f t="shared" ca="1" si="44"/>
        <v>204994.23142721434</v>
      </c>
      <c r="AI67" s="7">
        <f t="shared" ca="1" si="44"/>
        <v>211144.05837003078</v>
      </c>
      <c r="AJ67" s="7">
        <f t="shared" ca="1" si="45"/>
        <v>217478.38012113172</v>
      </c>
      <c r="AK67" s="7">
        <f t="shared" ca="1" si="45"/>
        <v>224002.73152476567</v>
      </c>
      <c r="AL67" s="7">
        <f t="shared" ca="1" si="45"/>
        <v>230722.81347050864</v>
      </c>
      <c r="AM67" s="7">
        <f t="shared" ca="1" si="45"/>
        <v>237644.49787462392</v>
      </c>
    </row>
    <row r="68" spans="1:39" x14ac:dyDescent="0.2">
      <c r="A68" s="3" t="str">
        <f>TEXT(Inputs!$B$80,"")</f>
        <v>Marsa</v>
      </c>
      <c r="C68" s="7">
        <f ca="1">Inputs!B81*(1+princ)^ProRate</f>
        <v>122992.58610458997</v>
      </c>
      <c r="D68" s="7">
        <f t="shared" ca="1" si="43"/>
        <v>126682.36368772767</v>
      </c>
      <c r="E68" s="7">
        <f t="shared" ca="1" si="43"/>
        <v>130482.83459835951</v>
      </c>
      <c r="F68" s="7">
        <f t="shared" ca="1" si="43"/>
        <v>134397.31963631031</v>
      </c>
      <c r="G68" s="7">
        <f t="shared" ca="1" si="43"/>
        <v>138429.23922539962</v>
      </c>
      <c r="H68" s="7">
        <f t="shared" ca="1" si="43"/>
        <v>142582.11640216163</v>
      </c>
      <c r="I68" s="7">
        <f t="shared" ca="1" si="43"/>
        <v>146859.57989422648</v>
      </c>
      <c r="J68" s="7">
        <f t="shared" ca="1" si="43"/>
        <v>151265.36729105329</v>
      </c>
      <c r="K68" s="7">
        <f t="shared" ca="1" si="43"/>
        <v>155803.32830978491</v>
      </c>
      <c r="L68" s="7">
        <f t="shared" ca="1" si="43"/>
        <v>160477.42815907847</v>
      </c>
      <c r="M68" s="7">
        <f t="shared" ca="1" si="43"/>
        <v>165291.75100385083</v>
      </c>
      <c r="N68" s="7">
        <f t="shared" ca="1" si="43"/>
        <v>170250.50353396637</v>
      </c>
      <c r="O68" s="7">
        <f t="shared" ca="1" si="43"/>
        <v>175358.01863998536</v>
      </c>
      <c r="P68" s="7">
        <f t="shared" ca="1" si="43"/>
        <v>180618.75919918492</v>
      </c>
      <c r="Q68" s="7">
        <f t="shared" ca="1" si="43"/>
        <v>186037.32197516048</v>
      </c>
      <c r="R68" s="7">
        <f t="shared" ca="1" si="43"/>
        <v>191618.4416344153</v>
      </c>
      <c r="S68" s="7">
        <f t="shared" ca="1" si="43"/>
        <v>197366.99488344777</v>
      </c>
      <c r="T68" s="7">
        <f t="shared" ca="1" si="44"/>
        <v>203288.00472995121</v>
      </c>
      <c r="U68" s="7">
        <f t="shared" ca="1" si="44"/>
        <v>209386.64487184974</v>
      </c>
      <c r="V68" s="7">
        <f t="shared" ca="1" si="44"/>
        <v>215668.24421800525</v>
      </c>
      <c r="W68" s="7">
        <f t="shared" ca="1" si="44"/>
        <v>222138.29154454541</v>
      </c>
      <c r="X68" s="7">
        <f t="shared" ca="1" si="44"/>
        <v>228802.44029088179</v>
      </c>
      <c r="Y68" s="7">
        <f t="shared" ca="1" si="44"/>
        <v>235666.51349960823</v>
      </c>
      <c r="Z68" s="7">
        <f t="shared" ca="1" si="44"/>
        <v>242736.5089045965</v>
      </c>
      <c r="AA68" s="7">
        <f t="shared" ca="1" si="44"/>
        <v>250018.60417173439</v>
      </c>
      <c r="AB68" s="7">
        <f t="shared" ca="1" si="44"/>
        <v>257519.16229688644</v>
      </c>
      <c r="AC68" s="7">
        <f t="shared" ca="1" si="44"/>
        <v>265244.73716579302</v>
      </c>
      <c r="AD68" s="7">
        <f t="shared" ca="1" si="44"/>
        <v>273202.07928076683</v>
      </c>
      <c r="AE68" s="7">
        <f t="shared" ca="1" si="44"/>
        <v>281398.14165918983</v>
      </c>
      <c r="AF68" s="7">
        <f t="shared" ca="1" si="44"/>
        <v>289840.08590896556</v>
      </c>
      <c r="AG68" s="7">
        <f t="shared" ca="1" si="44"/>
        <v>298535.28848623455</v>
      </c>
      <c r="AH68" s="7">
        <f t="shared" ca="1" si="44"/>
        <v>307491.34714082157</v>
      </c>
      <c r="AI68" s="7">
        <f t="shared" ca="1" si="44"/>
        <v>316716.08755504625</v>
      </c>
      <c r="AJ68" s="7">
        <f t="shared" ca="1" si="45"/>
        <v>326217.57018169767</v>
      </c>
      <c r="AK68" s="7">
        <f t="shared" ca="1" si="45"/>
        <v>336004.09728714859</v>
      </c>
      <c r="AL68" s="7">
        <f t="shared" ca="1" si="45"/>
        <v>346084.22020576306</v>
      </c>
      <c r="AM68" s="7">
        <f t="shared" ca="1" si="45"/>
        <v>356466.74681193597</v>
      </c>
    </row>
    <row r="69" spans="1:39" x14ac:dyDescent="0.2">
      <c r="A69" s="4" t="s">
        <v>12</v>
      </c>
      <c r="C69" s="7">
        <f ca="1">Inputs!B10*(1+stinc)^ProRate</f>
        <v>31987.064369139065</v>
      </c>
      <c r="D69" s="7">
        <f ca="1">C69*(1+stinc)</f>
        <v>34546.029518670191</v>
      </c>
      <c r="E69" s="7">
        <f t="shared" ref="E69:AM69" ca="1" si="46">D69*(1+stinc)</f>
        <v>37309.711880163806</v>
      </c>
      <c r="F69" s="7">
        <f t="shared" ca="1" si="46"/>
        <v>40294.488830576913</v>
      </c>
      <c r="G69" s="7">
        <f t="shared" ca="1" si="46"/>
        <v>43518.047937023068</v>
      </c>
      <c r="H69" s="7">
        <f t="shared" ca="1" si="46"/>
        <v>46999.491771984918</v>
      </c>
      <c r="I69" s="7">
        <f t="shared" ca="1" si="46"/>
        <v>50759.451113743715</v>
      </c>
      <c r="J69" s="7">
        <f t="shared" ca="1" si="46"/>
        <v>54820.207202843216</v>
      </c>
      <c r="K69" s="7">
        <f t="shared" ca="1" si="46"/>
        <v>59205.823779070677</v>
      </c>
      <c r="L69" s="7">
        <f t="shared" ca="1" si="46"/>
        <v>63942.289681396338</v>
      </c>
      <c r="M69" s="7">
        <f t="shared" ca="1" si="46"/>
        <v>69057.672855908051</v>
      </c>
      <c r="N69" s="7">
        <f t="shared" ca="1" si="46"/>
        <v>74582.286684380699</v>
      </c>
      <c r="O69" s="7">
        <f t="shared" ca="1" si="46"/>
        <v>80548.869619131161</v>
      </c>
      <c r="P69" s="7">
        <f t="shared" ca="1" si="46"/>
        <v>86992.779188661661</v>
      </c>
      <c r="Q69" s="7">
        <f t="shared" ca="1" si="46"/>
        <v>93952.2015237546</v>
      </c>
      <c r="R69" s="7">
        <f t="shared" ca="1" si="46"/>
        <v>101468.37764565497</v>
      </c>
      <c r="S69" s="7">
        <f t="shared" ca="1" si="46"/>
        <v>109585.84785730737</v>
      </c>
      <c r="T69" s="7">
        <f t="shared" ca="1" si="46"/>
        <v>118352.71568589196</v>
      </c>
      <c r="U69" s="7">
        <f t="shared" ca="1" si="46"/>
        <v>127820.93294076333</v>
      </c>
      <c r="V69" s="7">
        <f t="shared" ca="1" si="46"/>
        <v>138046.6075760244</v>
      </c>
      <c r="W69" s="7">
        <f t="shared" ca="1" si="46"/>
        <v>149090.33618210637</v>
      </c>
      <c r="X69" s="7">
        <f t="shared" ca="1" si="46"/>
        <v>161017.56307667488</v>
      </c>
      <c r="Y69" s="7">
        <f t="shared" ca="1" si="46"/>
        <v>173898.96812280887</v>
      </c>
      <c r="Z69" s="7">
        <f t="shared" ca="1" si="46"/>
        <v>187810.88557263359</v>
      </c>
      <c r="AA69" s="7">
        <f t="shared" ca="1" si="46"/>
        <v>202835.7564184443</v>
      </c>
      <c r="AB69" s="7">
        <f t="shared" ca="1" si="46"/>
        <v>219062.61693191985</v>
      </c>
      <c r="AC69" s="7">
        <f t="shared" ca="1" si="46"/>
        <v>236587.62628647345</v>
      </c>
      <c r="AD69" s="7">
        <f t="shared" ca="1" si="46"/>
        <v>255514.63638939135</v>
      </c>
      <c r="AE69" s="7">
        <f t="shared" ca="1" si="46"/>
        <v>275955.80730054266</v>
      </c>
      <c r="AF69" s="7">
        <f t="shared" ca="1" si="46"/>
        <v>298032.27188458608</v>
      </c>
      <c r="AG69" s="7">
        <f t="shared" ca="1" si="46"/>
        <v>321874.85363535298</v>
      </c>
      <c r="AH69" s="7">
        <f t="shared" ca="1" si="46"/>
        <v>347624.84192618122</v>
      </c>
      <c r="AI69" s="7">
        <f t="shared" ca="1" si="46"/>
        <v>375434.82928027574</v>
      </c>
      <c r="AJ69" s="7">
        <f t="shared" ca="1" si="46"/>
        <v>405469.61562269781</v>
      </c>
      <c r="AK69" s="7">
        <f t="shared" ca="1" si="46"/>
        <v>437907.18487251364</v>
      </c>
      <c r="AL69" s="7">
        <f t="shared" ca="1" si="46"/>
        <v>472939.75966231478</v>
      </c>
      <c r="AM69" s="7">
        <f t="shared" ca="1" si="46"/>
        <v>510774.9404353</v>
      </c>
    </row>
    <row r="70" spans="1:39" x14ac:dyDescent="0.2">
      <c r="A70" s="4" t="s">
        <v>2</v>
      </c>
      <c r="C70" s="7">
        <f ca="1">-MAX(FV(Inputs!$B16/12,C$1*12+MthOff,Inputs!$B17,-Inputs!$B15),0)</f>
        <v>-43173.554028497994</v>
      </c>
      <c r="D70" s="7">
        <f ca="1">-MAX(FV(Inputs!$B16/12,D$1*12+MthOff,Inputs!$B17,-Inputs!$B15),0)</f>
        <v>-34753.61277530963</v>
      </c>
      <c r="E70" s="7">
        <f ca="1">-MAX(FV(Inputs!$B16/12,E$1*12+MthOff,Inputs!$B17,-Inputs!$B15),0)</f>
        <v>-26077.570951749931</v>
      </c>
      <c r="F70" s="7">
        <f ca="1">-MAX(FV(Inputs!$B16/12,F$1*12+MthOff,Inputs!$B17,-Inputs!$B15),0)</f>
        <v>-17137.639013905144</v>
      </c>
      <c r="G70" s="7">
        <f ca="1">-MAX(FV(Inputs!$B16/12,G$1*12+MthOff,Inputs!$B17,-Inputs!$B15),0)</f>
        <v>-7925.7904914290921</v>
      </c>
      <c r="H70" s="7">
        <f ca="1">-MAX(FV(Inputs!$B16/12,H$1*12+MthOff,Inputs!$B17,-Inputs!$B15),0)</f>
        <v>0</v>
      </c>
      <c r="I70" s="7">
        <f ca="1">-MAX(FV(Inputs!$B16/12,I$1*12+MthOff,Inputs!$B17,-Inputs!$B15),0)</f>
        <v>0</v>
      </c>
      <c r="J70" s="7">
        <f ca="1">-MAX(FV(Inputs!$B16/12,J$1*12+MthOff,Inputs!$B17,-Inputs!$B15),0)</f>
        <v>0</v>
      </c>
      <c r="K70" s="7">
        <f ca="1">-MAX(FV(Inputs!$B16/12,K$1*12+MthOff,Inputs!$B17,-Inputs!$B15),0)</f>
        <v>0</v>
      </c>
      <c r="L70" s="7">
        <f ca="1">-MAX(FV(Inputs!$B16/12,L$1*12+MthOff,Inputs!$B17,-Inputs!$B15),0)</f>
        <v>0</v>
      </c>
      <c r="M70" s="7">
        <f ca="1">-MAX(FV(Inputs!$B16/12,M$1*12+MthOff,Inputs!$B17,-Inputs!$B15),0)</f>
        <v>0</v>
      </c>
      <c r="N70" s="7">
        <f ca="1">-MAX(FV(Inputs!$B16/12,N$1*12+MthOff,Inputs!$B17,-Inputs!$B15),0)</f>
        <v>0</v>
      </c>
      <c r="O70" s="7">
        <f ca="1">-MAX(FV(Inputs!$B16/12,O$1*12+MthOff,Inputs!$B17,-Inputs!$B15),0)</f>
        <v>0</v>
      </c>
      <c r="P70" s="7">
        <f ca="1">-MAX(FV(Inputs!$B16/12,P$1*12+MthOff,Inputs!$B17,-Inputs!$B15),0)</f>
        <v>0</v>
      </c>
      <c r="Q70" s="7">
        <f ca="1">-MAX(FV(Inputs!$B16/12,Q$1*12+MthOff,Inputs!$B17,-Inputs!$B15),0)</f>
        <v>0</v>
      </c>
      <c r="R70" s="7">
        <f ca="1">-MAX(FV(Inputs!$B16/12,R$1*12+MthOff,Inputs!$B17,-Inputs!$B15),0)</f>
        <v>0</v>
      </c>
      <c r="S70" s="7">
        <f ca="1">-MAX(FV(Inputs!$B16/12,S$1*12+MthOff,Inputs!$B17,-Inputs!$B15),0)</f>
        <v>0</v>
      </c>
      <c r="T70" s="7">
        <f ca="1">-MAX(FV(Inputs!$B16/12,T$1*12+MthOff,Inputs!$B17,-Inputs!$B15),0)</f>
        <v>0</v>
      </c>
      <c r="U70" s="7">
        <f ca="1">-MAX(FV(Inputs!$B16/12,U$1*12+MthOff,Inputs!$B17,-Inputs!$B15),0)</f>
        <v>0</v>
      </c>
      <c r="V70" s="7">
        <f ca="1">-MAX(FV(Inputs!$B16/12,V$1*12+MthOff,Inputs!$B17,-Inputs!$B15),0)</f>
        <v>0</v>
      </c>
      <c r="W70" s="7">
        <f ca="1">-MAX(FV(Inputs!$B16/12,W$1*12+MthOff,Inputs!$B17,-Inputs!$B15),0)</f>
        <v>0</v>
      </c>
      <c r="X70" s="7">
        <f ca="1">-MAX(FV(Inputs!$B16/12,X$1*12+MthOff,Inputs!$B17,-Inputs!$B15),0)</f>
        <v>0</v>
      </c>
      <c r="Y70" s="7">
        <f ca="1">-MAX(FV(Inputs!$B16/12,Y$1*12+MthOff,Inputs!$B17,-Inputs!$B15),0)</f>
        <v>0</v>
      </c>
      <c r="Z70" s="7">
        <f ca="1">-MAX(FV(Inputs!$B16/12,Z$1*12+MthOff,Inputs!$B17,-Inputs!$B15),0)</f>
        <v>0</v>
      </c>
      <c r="AA70" s="7">
        <f ca="1">-MAX(FV(Inputs!$B16/12,AA$1*12+MthOff,Inputs!$B17,-Inputs!$B15),0)</f>
        <v>0</v>
      </c>
      <c r="AB70" s="7">
        <f ca="1">-MAX(FV(Inputs!$B16/12,AB$1*12+MthOff,Inputs!$B17,-Inputs!$B15),0)</f>
        <v>0</v>
      </c>
      <c r="AC70" s="7">
        <f ca="1">-MAX(FV(Inputs!$B16/12,AC$1*12+MthOff,Inputs!$B17,-Inputs!$B15),0)</f>
        <v>0</v>
      </c>
      <c r="AD70" s="7">
        <f ca="1">-MAX(FV(Inputs!$B16/12,AD$1*12+MthOff,Inputs!$B17,-Inputs!$B15),0)</f>
        <v>0</v>
      </c>
      <c r="AE70" s="7">
        <f ca="1">-MAX(FV(Inputs!$B16/12,AE$1*12+MthOff,Inputs!$B17,-Inputs!$B15),0)</f>
        <v>0</v>
      </c>
      <c r="AF70" s="7">
        <f ca="1">-MAX(FV(Inputs!$B16/12,AF$1*12+MthOff,Inputs!$B17,-Inputs!$B15),0)</f>
        <v>0</v>
      </c>
      <c r="AG70" s="7">
        <f ca="1">-MAX(FV(Inputs!$B16/12,AG$1*12+MthOff,Inputs!$B17,-Inputs!$B15),0)</f>
        <v>0</v>
      </c>
      <c r="AH70" s="7">
        <f ca="1">-MAX(FV(Inputs!$B16/12,AH$1*12+MthOff,Inputs!$B17,-Inputs!$B15),0)</f>
        <v>0</v>
      </c>
      <c r="AI70" s="7">
        <f ca="1">-MAX(FV(Inputs!$B16/12,AI$1*12+MthOff,Inputs!$B17,-Inputs!$B15),0)</f>
        <v>0</v>
      </c>
      <c r="AJ70" s="7">
        <f ca="1">-MAX(FV(Inputs!$B16/12,AJ$1*12+MthOff,Inputs!$B17,-Inputs!$B15),0)</f>
        <v>0</v>
      </c>
      <c r="AK70" s="7">
        <f ca="1">-MAX(FV(Inputs!$B16/12,AK$1*12+MthOff,Inputs!$B17,-Inputs!$B15),0)</f>
        <v>0</v>
      </c>
      <c r="AL70" s="7">
        <f ca="1">-MAX(FV(Inputs!$B16/12,AL$1*12+MthOff,Inputs!$B17,-Inputs!$B15),0)</f>
        <v>0</v>
      </c>
      <c r="AM70" s="7">
        <f ca="1">-MAX(FV(Inputs!$B16/12,AM$1*12+MthOff,Inputs!$B17,-Inputs!$B15),0)</f>
        <v>0</v>
      </c>
    </row>
    <row r="71" spans="1:39" x14ac:dyDescent="0.2">
      <c r="A71" s="4" t="s">
        <v>61</v>
      </c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  <c r="AB71" s="7"/>
      <c r="AC71" s="7"/>
      <c r="AD71" s="7"/>
      <c r="AE71" s="7"/>
      <c r="AF71" s="7"/>
      <c r="AG71" s="7"/>
      <c r="AH71" s="7"/>
      <c r="AI71" s="7"/>
      <c r="AJ71" s="7"/>
      <c r="AK71" s="7"/>
      <c r="AL71" s="7"/>
      <c r="AM71" s="7"/>
    </row>
    <row r="72" spans="1:39" x14ac:dyDescent="0.2">
      <c r="A72" s="3" t="str">
        <f>TEXT(Inputs!$B$60,"")</f>
        <v>Sliema</v>
      </c>
      <c r="C72" s="7">
        <f ca="1">-MAX(FV(Inputs!$B101/12,C$1*12+MthOff,Inputs!$B102,-Inputs!$B100),0)</f>
        <v>-46207.530015832221</v>
      </c>
      <c r="D72" s="7">
        <f ca="1">-MAX(FV(Inputs!$B101/12,D$1*12+MthOff,Inputs!$B102,-Inputs!$B100),0)</f>
        <v>-41529.784875172016</v>
      </c>
      <c r="E72" s="7">
        <f ca="1">-MAX(FV(Inputs!$B101/12,E$1*12+MthOff,Inputs!$B102,-Inputs!$B100),0)</f>
        <v>-36709.76163986107</v>
      </c>
      <c r="F72" s="7">
        <f ca="1">-MAX(FV(Inputs!$B101/12,F$1*12+MthOff,Inputs!$B102,-Inputs!$B100),0)</f>
        <v>-31743.132785502858</v>
      </c>
      <c r="G72" s="7">
        <f ca="1">-MAX(FV(Inputs!$B101/12,G$1*12+MthOff,Inputs!$B102,-Inputs!$B100),0)</f>
        <v>-26625.439161905048</v>
      </c>
      <c r="H72" s="7">
        <f ca="1">-MAX(FV(Inputs!$B101/12,H$1*12+MthOff,Inputs!$B102,-Inputs!$B100),0)</f>
        <v>-21352.085989555409</v>
      </c>
      <c r="I72" s="7">
        <f ca="1">-MAX(FV(Inputs!$B101/12,I$1*12+MthOff,Inputs!$B102,-Inputs!$B100),0)</f>
        <v>-15918.338734325836</v>
      </c>
      <c r="J72" s="7">
        <f ca="1">-MAX(FV(Inputs!$B101/12,J$1*12+MthOff,Inputs!$B102,-Inputs!$B100),0)</f>
        <v>-10319.318856702368</v>
      </c>
      <c r="K72" s="7">
        <f ca="1">-MAX(FV(Inputs!$B101/12,K$1*12+MthOff,Inputs!$B102,-Inputs!$B100),0)</f>
        <v>-4549.9994317232195</v>
      </c>
      <c r="L72" s="7">
        <f ca="1">-MAX(FV(Inputs!$B101/12,L$1*12+MthOff,Inputs!$B102,-Inputs!$B100),0)</f>
        <v>0</v>
      </c>
      <c r="M72" s="7">
        <f ca="1">-MAX(FV(Inputs!$B101/12,M$1*12+MthOff,Inputs!$B102,-Inputs!$B100),0)</f>
        <v>0</v>
      </c>
      <c r="N72" s="7">
        <f ca="1">-MAX(FV(Inputs!$B101/12,N$1*12+MthOff,Inputs!$B102,-Inputs!$B100),0)</f>
        <v>0</v>
      </c>
      <c r="O72" s="7">
        <f ca="1">-MAX(FV(Inputs!$B101/12,O$1*12+MthOff,Inputs!$B102,-Inputs!$B100),0)</f>
        <v>0</v>
      </c>
      <c r="P72" s="7">
        <f ca="1">-MAX(FV(Inputs!$B101/12,P$1*12+MthOff,Inputs!$B102,-Inputs!$B100),0)</f>
        <v>0</v>
      </c>
      <c r="Q72" s="7">
        <f ca="1">-MAX(FV(Inputs!$B101/12,Q$1*12+MthOff,Inputs!$B102,-Inputs!$B100),0)</f>
        <v>0</v>
      </c>
      <c r="R72" s="7">
        <f ca="1">-MAX(FV(Inputs!$B101/12,R$1*12+MthOff,Inputs!$B102,-Inputs!$B100),0)</f>
        <v>0</v>
      </c>
      <c r="S72" s="7">
        <f ca="1">-MAX(FV(Inputs!$B101/12,S$1*12+MthOff,Inputs!$B102,-Inputs!$B100),0)</f>
        <v>0</v>
      </c>
      <c r="T72" s="7">
        <f ca="1">-MAX(FV(Inputs!$B101/12,T$1*12+MthOff,Inputs!$B102,-Inputs!$B100),0)</f>
        <v>0</v>
      </c>
      <c r="U72" s="7">
        <f ca="1">-MAX(FV(Inputs!$B101/12,U$1*12+MthOff,Inputs!$B102,-Inputs!$B100),0)</f>
        <v>0</v>
      </c>
      <c r="V72" s="7">
        <f ca="1">-MAX(FV(Inputs!$B101/12,V$1*12+MthOff,Inputs!$B102,-Inputs!$B100),0)</f>
        <v>0</v>
      </c>
      <c r="W72" s="7">
        <f ca="1">-MAX(FV(Inputs!$B101/12,W$1*12+MthOff,Inputs!$B102,-Inputs!$B100),0)</f>
        <v>0</v>
      </c>
      <c r="X72" s="7">
        <f ca="1">-MAX(FV(Inputs!$B101/12,X$1*12+MthOff,Inputs!$B102,-Inputs!$B100),0)</f>
        <v>0</v>
      </c>
      <c r="Y72" s="7">
        <f ca="1">-MAX(FV(Inputs!$B101/12,Y$1*12+MthOff,Inputs!$B102,-Inputs!$B100),0)</f>
        <v>0</v>
      </c>
      <c r="Z72" s="7">
        <f ca="1">-MAX(FV(Inputs!$B101/12,Z$1*12+MthOff,Inputs!$B102,-Inputs!$B100),0)</f>
        <v>0</v>
      </c>
      <c r="AA72" s="7">
        <f ca="1">-MAX(FV(Inputs!$B101/12,AA$1*12+MthOff,Inputs!$B102,-Inputs!$B100),0)</f>
        <v>0</v>
      </c>
      <c r="AB72" s="7">
        <f ca="1">-MAX(FV(Inputs!$B101/12,AB$1*12+MthOff,Inputs!$B102,-Inputs!$B100),0)</f>
        <v>0</v>
      </c>
      <c r="AC72" s="7">
        <f ca="1">-MAX(FV(Inputs!$B101/12,AC$1*12+MthOff,Inputs!$B102,-Inputs!$B100),0)</f>
        <v>0</v>
      </c>
      <c r="AD72" s="7">
        <f ca="1">-MAX(FV(Inputs!$B101/12,AD$1*12+MthOff,Inputs!$B102,-Inputs!$B100),0)</f>
        <v>0</v>
      </c>
      <c r="AE72" s="7">
        <f ca="1">-MAX(FV(Inputs!$B101/12,AE$1*12+MthOff,Inputs!$B102,-Inputs!$B100),0)</f>
        <v>0</v>
      </c>
      <c r="AF72" s="7">
        <f ca="1">-MAX(FV(Inputs!$B101/12,AF$1*12+MthOff,Inputs!$B102,-Inputs!$B100),0)</f>
        <v>0</v>
      </c>
      <c r="AG72" s="7">
        <f ca="1">-MAX(FV(Inputs!$B101/12,AG$1*12+MthOff,Inputs!$B102,-Inputs!$B100),0)</f>
        <v>0</v>
      </c>
      <c r="AH72" s="7">
        <f ca="1">-MAX(FV(Inputs!$B101/12,AH$1*12+MthOff,Inputs!$B102,-Inputs!$B100),0)</f>
        <v>0</v>
      </c>
      <c r="AI72" s="7">
        <f ca="1">-MAX(FV(Inputs!$B101/12,AI$1*12+MthOff,Inputs!$B102,-Inputs!$B100),0)</f>
        <v>0</v>
      </c>
      <c r="AJ72" s="7">
        <f ca="1">-MAX(FV(Inputs!$B101/12,AJ$1*12+MthOff,Inputs!$B102,-Inputs!$B100),0)</f>
        <v>0</v>
      </c>
      <c r="AK72" s="7">
        <f ca="1">-MAX(FV(Inputs!$B101/12,AK$1*12+MthOff,Inputs!$B102,-Inputs!$B100),0)</f>
        <v>0</v>
      </c>
      <c r="AL72" s="7">
        <f ca="1">-MAX(FV(Inputs!$B101/12,AL$1*12+MthOff,Inputs!$B102,-Inputs!$B100),0)</f>
        <v>0</v>
      </c>
      <c r="AM72" s="7">
        <f ca="1">-MAX(FV(Inputs!$B101/12,AM$1*12+MthOff,Inputs!$B102,-Inputs!$B100),0)</f>
        <v>0</v>
      </c>
    </row>
    <row r="73" spans="1:39" x14ac:dyDescent="0.2">
      <c r="A73" s="3" t="str">
        <f>TEXT(Inputs!$B$65,"")</f>
        <v>Gzira</v>
      </c>
      <c r="C73" s="7">
        <f ca="1">-MAX(FV(Inputs!$B106/12,C$1*12+MthOff,Inputs!$B107,-Inputs!$B105),0)</f>
        <v>-6627.6670411890118</v>
      </c>
      <c r="D73" s="7">
        <f ca="1">-MAX(FV(Inputs!$B106/12,D$1*12+MthOff,Inputs!$B107,-Inputs!$B105),0)</f>
        <v>-4339.3195483066884</v>
      </c>
      <c r="E73" s="7">
        <f ca="1">-MAX(FV(Inputs!$B106/12,E$1*12+MthOff,Inputs!$B107,-Inputs!$B105),0)</f>
        <v>-2004.7832357051393</v>
      </c>
      <c r="F73" s="7">
        <f ca="1">-MAX(FV(Inputs!$B106/12,F$1*12+MthOff,Inputs!$B107,-Inputs!$B105),0)</f>
        <v>0</v>
      </c>
      <c r="G73" s="7">
        <f ca="1">-MAX(FV(Inputs!$B106/12,G$1*12+MthOff,Inputs!$B107,-Inputs!$B105),0)</f>
        <v>0</v>
      </c>
      <c r="H73" s="7">
        <f ca="1">-MAX(FV(Inputs!$B106/12,H$1*12+MthOff,Inputs!$B107,-Inputs!$B105),0)</f>
        <v>0</v>
      </c>
      <c r="I73" s="7">
        <f ca="1">-MAX(FV(Inputs!$B106/12,I$1*12+MthOff,Inputs!$B107,-Inputs!$B105),0)</f>
        <v>0</v>
      </c>
      <c r="J73" s="7">
        <f ca="1">-MAX(FV(Inputs!$B106/12,J$1*12+MthOff,Inputs!$B107,-Inputs!$B105),0)</f>
        <v>0</v>
      </c>
      <c r="K73" s="7">
        <f ca="1">-MAX(FV(Inputs!$B106/12,K$1*12+MthOff,Inputs!$B107,-Inputs!$B105),0)</f>
        <v>0</v>
      </c>
      <c r="L73" s="7">
        <f ca="1">-MAX(FV(Inputs!$B106/12,L$1*12+MthOff,Inputs!$B107,-Inputs!$B105),0)</f>
        <v>0</v>
      </c>
      <c r="M73" s="7">
        <f ca="1">-MAX(FV(Inputs!$B106/12,M$1*12+MthOff,Inputs!$B107,-Inputs!$B105),0)</f>
        <v>0</v>
      </c>
      <c r="N73" s="7">
        <f ca="1">-MAX(FV(Inputs!$B106/12,N$1*12+MthOff,Inputs!$B107,-Inputs!$B105),0)</f>
        <v>0</v>
      </c>
      <c r="O73" s="7">
        <f ca="1">-MAX(FV(Inputs!$B106/12,O$1*12+MthOff,Inputs!$B107,-Inputs!$B105),0)</f>
        <v>0</v>
      </c>
      <c r="P73" s="7">
        <f ca="1">-MAX(FV(Inputs!$B106/12,P$1*12+MthOff,Inputs!$B107,-Inputs!$B105),0)</f>
        <v>0</v>
      </c>
      <c r="Q73" s="7">
        <f ca="1">-MAX(FV(Inputs!$B106/12,Q$1*12+MthOff,Inputs!$B107,-Inputs!$B105),0)</f>
        <v>0</v>
      </c>
      <c r="R73" s="7">
        <f ca="1">-MAX(FV(Inputs!$B106/12,R$1*12+MthOff,Inputs!$B107,-Inputs!$B105),0)</f>
        <v>0</v>
      </c>
      <c r="S73" s="7">
        <f ca="1">-MAX(FV(Inputs!$B106/12,S$1*12+MthOff,Inputs!$B107,-Inputs!$B105),0)</f>
        <v>0</v>
      </c>
      <c r="T73" s="7">
        <f ca="1">-MAX(FV(Inputs!$B106/12,T$1*12+MthOff,Inputs!$B107,-Inputs!$B105),0)</f>
        <v>0</v>
      </c>
      <c r="U73" s="7">
        <f ca="1">-MAX(FV(Inputs!$B106/12,U$1*12+MthOff,Inputs!$B107,-Inputs!$B105),0)</f>
        <v>0</v>
      </c>
      <c r="V73" s="7">
        <f ca="1">-MAX(FV(Inputs!$B106/12,V$1*12+MthOff,Inputs!$B107,-Inputs!$B105),0)</f>
        <v>0</v>
      </c>
      <c r="W73" s="7">
        <f ca="1">-MAX(FV(Inputs!$B106/12,W$1*12+MthOff,Inputs!$B107,-Inputs!$B105),0)</f>
        <v>0</v>
      </c>
      <c r="X73" s="7">
        <f ca="1">-MAX(FV(Inputs!$B106/12,X$1*12+MthOff,Inputs!$B107,-Inputs!$B105),0)</f>
        <v>0</v>
      </c>
      <c r="Y73" s="7">
        <f ca="1">-MAX(FV(Inputs!$B106/12,Y$1*12+MthOff,Inputs!$B107,-Inputs!$B105),0)</f>
        <v>0</v>
      </c>
      <c r="Z73" s="7">
        <f ca="1">-MAX(FV(Inputs!$B106/12,Z$1*12+MthOff,Inputs!$B107,-Inputs!$B105),0)</f>
        <v>0</v>
      </c>
      <c r="AA73" s="7">
        <f ca="1">-MAX(FV(Inputs!$B106/12,AA$1*12+MthOff,Inputs!$B107,-Inputs!$B105),0)</f>
        <v>0</v>
      </c>
      <c r="AB73" s="7">
        <f ca="1">-MAX(FV(Inputs!$B106/12,AB$1*12+MthOff,Inputs!$B107,-Inputs!$B105),0)</f>
        <v>0</v>
      </c>
      <c r="AC73" s="7">
        <f ca="1">-MAX(FV(Inputs!$B106/12,AC$1*12+MthOff,Inputs!$B107,-Inputs!$B105),0)</f>
        <v>0</v>
      </c>
      <c r="AD73" s="7">
        <f ca="1">-MAX(FV(Inputs!$B106/12,AD$1*12+MthOff,Inputs!$B107,-Inputs!$B105),0)</f>
        <v>0</v>
      </c>
      <c r="AE73" s="7">
        <f ca="1">-MAX(FV(Inputs!$B106/12,AE$1*12+MthOff,Inputs!$B107,-Inputs!$B105),0)</f>
        <v>0</v>
      </c>
      <c r="AF73" s="7">
        <f ca="1">-MAX(FV(Inputs!$B106/12,AF$1*12+MthOff,Inputs!$B107,-Inputs!$B105),0)</f>
        <v>0</v>
      </c>
      <c r="AG73" s="7">
        <f ca="1">-MAX(FV(Inputs!$B106/12,AG$1*12+MthOff,Inputs!$B107,-Inputs!$B105),0)</f>
        <v>0</v>
      </c>
      <c r="AH73" s="7">
        <f ca="1">-MAX(FV(Inputs!$B106/12,AH$1*12+MthOff,Inputs!$B107,-Inputs!$B105),0)</f>
        <v>0</v>
      </c>
      <c r="AI73" s="7">
        <f ca="1">-MAX(FV(Inputs!$B106/12,AI$1*12+MthOff,Inputs!$B107,-Inputs!$B105),0)</f>
        <v>0</v>
      </c>
      <c r="AJ73" s="7">
        <f ca="1">-MAX(FV(Inputs!$B106/12,AJ$1*12+MthOff,Inputs!$B107,-Inputs!$B105),0)</f>
        <v>0</v>
      </c>
      <c r="AK73" s="7">
        <f ca="1">-MAX(FV(Inputs!$B106/12,AK$1*12+MthOff,Inputs!$B107,-Inputs!$B105),0)</f>
        <v>0</v>
      </c>
      <c r="AL73" s="7">
        <f ca="1">-MAX(FV(Inputs!$B106/12,AL$1*12+MthOff,Inputs!$B107,-Inputs!$B105),0)</f>
        <v>0</v>
      </c>
      <c r="AM73" s="7">
        <f ca="1">-MAX(FV(Inputs!$B106/12,AM$1*12+MthOff,Inputs!$B107,-Inputs!$B105),0)</f>
        <v>0</v>
      </c>
    </row>
    <row r="74" spans="1:39" x14ac:dyDescent="0.2">
      <c r="A74" s="3" t="str">
        <f>TEXT(Inputs!$B$70,"")</f>
        <v>Qormi</v>
      </c>
      <c r="C74" s="7">
        <f ca="1">-MAX(FV(Inputs!$B111/12,C$1*12+MthOff,Inputs!$B112,-Inputs!$B110),0)</f>
        <v>-13089.450262401593</v>
      </c>
      <c r="D74" s="7">
        <f ca="1">-MAX(FV(Inputs!$B111/12,D$1*12+MthOff,Inputs!$B112,-Inputs!$B110),0)</f>
        <v>-10689.417507150618</v>
      </c>
      <c r="E74" s="7">
        <f ca="1">-MAX(FV(Inputs!$B111/12,E$1*12+MthOff,Inputs!$B112,-Inputs!$B110),0)</f>
        <v>-8166.5945211626622</v>
      </c>
      <c r="F74" s="7">
        <f ca="1">-MAX(FV(Inputs!$B111/12,F$1*12+MthOff,Inputs!$B112,-Inputs!$B110),0)</f>
        <v>-5514.6991231919146</v>
      </c>
      <c r="G74" s="7">
        <f ca="1">-MAX(FV(Inputs!$B111/12,G$1*12+MthOff,Inputs!$B112,-Inputs!$B110),0)</f>
        <v>-2727.1277236771257</v>
      </c>
      <c r="H74" s="7">
        <f ca="1">-MAX(FV(Inputs!$B111/12,H$1*12+MthOff,Inputs!$B112,-Inputs!$B110),0)</f>
        <v>0</v>
      </c>
      <c r="I74" s="7">
        <f ca="1">-MAX(FV(Inputs!$B111/12,I$1*12+MthOff,Inputs!$B112,-Inputs!$B110),0)</f>
        <v>0</v>
      </c>
      <c r="J74" s="7">
        <f ca="1">-MAX(FV(Inputs!$B111/12,J$1*12+MthOff,Inputs!$B112,-Inputs!$B110),0)</f>
        <v>0</v>
      </c>
      <c r="K74" s="7">
        <f ca="1">-MAX(FV(Inputs!$B111/12,K$1*12+MthOff,Inputs!$B112,-Inputs!$B110),0)</f>
        <v>0</v>
      </c>
      <c r="L74" s="7">
        <f ca="1">-MAX(FV(Inputs!$B111/12,L$1*12+MthOff,Inputs!$B112,-Inputs!$B110),0)</f>
        <v>0</v>
      </c>
      <c r="M74" s="7">
        <f ca="1">-MAX(FV(Inputs!$B111/12,M$1*12+MthOff,Inputs!$B112,-Inputs!$B110),0)</f>
        <v>0</v>
      </c>
      <c r="N74" s="7">
        <f ca="1">-MAX(FV(Inputs!$B111/12,N$1*12+MthOff,Inputs!$B112,-Inputs!$B110),0)</f>
        <v>0</v>
      </c>
      <c r="O74" s="7">
        <f ca="1">-MAX(FV(Inputs!$B111/12,O$1*12+MthOff,Inputs!$B112,-Inputs!$B110),0)</f>
        <v>0</v>
      </c>
      <c r="P74" s="7">
        <f ca="1">-MAX(FV(Inputs!$B111/12,P$1*12+MthOff,Inputs!$B112,-Inputs!$B110),0)</f>
        <v>0</v>
      </c>
      <c r="Q74" s="7">
        <f ca="1">-MAX(FV(Inputs!$B111/12,Q$1*12+MthOff,Inputs!$B112,-Inputs!$B110),0)</f>
        <v>0</v>
      </c>
      <c r="R74" s="7">
        <f ca="1">-MAX(FV(Inputs!$B111/12,R$1*12+MthOff,Inputs!$B112,-Inputs!$B110),0)</f>
        <v>0</v>
      </c>
      <c r="S74" s="7">
        <f ca="1">-MAX(FV(Inputs!$B111/12,S$1*12+MthOff,Inputs!$B112,-Inputs!$B110),0)</f>
        <v>0</v>
      </c>
      <c r="T74" s="7">
        <f ca="1">-MAX(FV(Inputs!$B111/12,T$1*12+MthOff,Inputs!$B112,-Inputs!$B110),0)</f>
        <v>0</v>
      </c>
      <c r="U74" s="7">
        <f ca="1">-MAX(FV(Inputs!$B111/12,U$1*12+MthOff,Inputs!$B112,-Inputs!$B110),0)</f>
        <v>0</v>
      </c>
      <c r="V74" s="7">
        <f ca="1">-MAX(FV(Inputs!$B111/12,V$1*12+MthOff,Inputs!$B112,-Inputs!$B110),0)</f>
        <v>0</v>
      </c>
      <c r="W74" s="7">
        <f ca="1">-MAX(FV(Inputs!$B111/12,W$1*12+MthOff,Inputs!$B112,-Inputs!$B110),0)</f>
        <v>0</v>
      </c>
      <c r="X74" s="7">
        <f ca="1">-MAX(FV(Inputs!$B111/12,X$1*12+MthOff,Inputs!$B112,-Inputs!$B110),0)</f>
        <v>0</v>
      </c>
      <c r="Y74" s="7">
        <f ca="1">-MAX(FV(Inputs!$B111/12,Y$1*12+MthOff,Inputs!$B112,-Inputs!$B110),0)</f>
        <v>0</v>
      </c>
      <c r="Z74" s="7">
        <f ca="1">-MAX(FV(Inputs!$B111/12,Z$1*12+MthOff,Inputs!$B112,-Inputs!$B110),0)</f>
        <v>0</v>
      </c>
      <c r="AA74" s="7">
        <f ca="1">-MAX(FV(Inputs!$B111/12,AA$1*12+MthOff,Inputs!$B112,-Inputs!$B110),0)</f>
        <v>0</v>
      </c>
      <c r="AB74" s="7">
        <f ca="1">-MAX(FV(Inputs!$B111/12,AB$1*12+MthOff,Inputs!$B112,-Inputs!$B110),0)</f>
        <v>0</v>
      </c>
      <c r="AC74" s="7">
        <f ca="1">-MAX(FV(Inputs!$B111/12,AC$1*12+MthOff,Inputs!$B112,-Inputs!$B110),0)</f>
        <v>0</v>
      </c>
      <c r="AD74" s="7">
        <f ca="1">-MAX(FV(Inputs!$B111/12,AD$1*12+MthOff,Inputs!$B112,-Inputs!$B110),0)</f>
        <v>0</v>
      </c>
      <c r="AE74" s="7">
        <f ca="1">-MAX(FV(Inputs!$B111/12,AE$1*12+MthOff,Inputs!$B112,-Inputs!$B110),0)</f>
        <v>0</v>
      </c>
      <c r="AF74" s="7">
        <f ca="1">-MAX(FV(Inputs!$B111/12,AF$1*12+MthOff,Inputs!$B112,-Inputs!$B110),0)</f>
        <v>0</v>
      </c>
      <c r="AG74" s="7">
        <f ca="1">-MAX(FV(Inputs!$B111/12,AG$1*12+MthOff,Inputs!$B112,-Inputs!$B110),0)</f>
        <v>0</v>
      </c>
      <c r="AH74" s="7">
        <f ca="1">-MAX(FV(Inputs!$B111/12,AH$1*12+MthOff,Inputs!$B112,-Inputs!$B110),0)</f>
        <v>0</v>
      </c>
      <c r="AI74" s="7">
        <f ca="1">-MAX(FV(Inputs!$B111/12,AI$1*12+MthOff,Inputs!$B112,-Inputs!$B110),0)</f>
        <v>0</v>
      </c>
      <c r="AJ74" s="7">
        <f ca="1">-MAX(FV(Inputs!$B111/12,AJ$1*12+MthOff,Inputs!$B112,-Inputs!$B110),0)</f>
        <v>0</v>
      </c>
      <c r="AK74" s="7">
        <f ca="1">-MAX(FV(Inputs!$B111/12,AK$1*12+MthOff,Inputs!$B112,-Inputs!$B110),0)</f>
        <v>0</v>
      </c>
      <c r="AL74" s="7">
        <f ca="1">-MAX(FV(Inputs!$B111/12,AL$1*12+MthOff,Inputs!$B112,-Inputs!$B110),0)</f>
        <v>0</v>
      </c>
      <c r="AM74" s="7">
        <f ca="1">-MAX(FV(Inputs!$B111/12,AM$1*12+MthOff,Inputs!$B112,-Inputs!$B110),0)</f>
        <v>0</v>
      </c>
    </row>
    <row r="75" spans="1:39" x14ac:dyDescent="0.2">
      <c r="A75" s="3" t="str">
        <f>TEXT(Inputs!$B$75,"")</f>
        <v>Gudja</v>
      </c>
      <c r="C75" s="7">
        <f ca="1">-MAX(FV(Inputs!$B116/12,C$1*12+MthOff,Inputs!$B117,-Inputs!$B115),0)</f>
        <v>-3952.5608629982789</v>
      </c>
      <c r="D75" s="7">
        <f ca="1">-MAX(FV(Inputs!$B116/12,D$1*12+MthOff,Inputs!$B117,-Inputs!$B115),0)</f>
        <v>-3063.4916845977205</v>
      </c>
      <c r="E75" s="7">
        <f ca="1">-MAX(FV(Inputs!$B116/12,E$1*12+MthOff,Inputs!$B117,-Inputs!$B115),0)</f>
        <v>-2156.4772176748579</v>
      </c>
      <c r="F75" s="7">
        <f ca="1">-MAX(FV(Inputs!$B116/12,F$1*12+MthOff,Inputs!$B117,-Inputs!$B115),0)</f>
        <v>-1231.15524814336</v>
      </c>
      <c r="G75" s="7">
        <f ca="1">-MAX(FV(Inputs!$B116/12,G$1*12+MthOff,Inputs!$B117,-Inputs!$B115),0)</f>
        <v>-287.15625085893407</v>
      </c>
      <c r="H75" s="7">
        <f ca="1">-MAX(FV(Inputs!$B116/12,H$1*12+MthOff,Inputs!$B117,-Inputs!$B115),0)</f>
        <v>0</v>
      </c>
      <c r="I75" s="7">
        <f ca="1">-MAX(FV(Inputs!$B116/12,I$1*12+MthOff,Inputs!$B117,-Inputs!$B115),0)</f>
        <v>0</v>
      </c>
      <c r="J75" s="7">
        <f ca="1">-MAX(FV(Inputs!$B116/12,J$1*12+MthOff,Inputs!$B117,-Inputs!$B115),0)</f>
        <v>0</v>
      </c>
      <c r="K75" s="7">
        <f ca="1">-MAX(FV(Inputs!$B116/12,K$1*12+MthOff,Inputs!$B117,-Inputs!$B115),0)</f>
        <v>0</v>
      </c>
      <c r="L75" s="7">
        <f ca="1">-MAX(FV(Inputs!$B116/12,L$1*12+MthOff,Inputs!$B117,-Inputs!$B115),0)</f>
        <v>0</v>
      </c>
      <c r="M75" s="7">
        <f ca="1">-MAX(FV(Inputs!$B116/12,M$1*12+MthOff,Inputs!$B117,-Inputs!$B115),0)</f>
        <v>0</v>
      </c>
      <c r="N75" s="7">
        <f ca="1">-MAX(FV(Inputs!$B116/12,N$1*12+MthOff,Inputs!$B117,-Inputs!$B115),0)</f>
        <v>0</v>
      </c>
      <c r="O75" s="7">
        <f ca="1">-MAX(FV(Inputs!$B116/12,O$1*12+MthOff,Inputs!$B117,-Inputs!$B115),0)</f>
        <v>0</v>
      </c>
      <c r="P75" s="7">
        <f ca="1">-MAX(FV(Inputs!$B116/12,P$1*12+MthOff,Inputs!$B117,-Inputs!$B115),0)</f>
        <v>0</v>
      </c>
      <c r="Q75" s="7">
        <f ca="1">-MAX(FV(Inputs!$B116/12,Q$1*12+MthOff,Inputs!$B117,-Inputs!$B115),0)</f>
        <v>0</v>
      </c>
      <c r="R75" s="7">
        <f ca="1">-MAX(FV(Inputs!$B116/12,R$1*12+MthOff,Inputs!$B117,-Inputs!$B115),0)</f>
        <v>0</v>
      </c>
      <c r="S75" s="7">
        <f ca="1">-MAX(FV(Inputs!$B116/12,S$1*12+MthOff,Inputs!$B117,-Inputs!$B115),0)</f>
        <v>0</v>
      </c>
      <c r="T75" s="7">
        <f ca="1">-MAX(FV(Inputs!$B116/12,T$1*12+MthOff,Inputs!$B117,-Inputs!$B115),0)</f>
        <v>0</v>
      </c>
      <c r="U75" s="7">
        <f ca="1">-MAX(FV(Inputs!$B116/12,U$1*12+MthOff,Inputs!$B117,-Inputs!$B115),0)</f>
        <v>0</v>
      </c>
      <c r="V75" s="7">
        <f ca="1">-MAX(FV(Inputs!$B116/12,V$1*12+MthOff,Inputs!$B117,-Inputs!$B115),0)</f>
        <v>0</v>
      </c>
      <c r="W75" s="7">
        <f ca="1">-MAX(FV(Inputs!$B116/12,W$1*12+MthOff,Inputs!$B117,-Inputs!$B115),0)</f>
        <v>0</v>
      </c>
      <c r="X75" s="7">
        <f ca="1">-MAX(FV(Inputs!$B116/12,X$1*12+MthOff,Inputs!$B117,-Inputs!$B115),0)</f>
        <v>0</v>
      </c>
      <c r="Y75" s="7">
        <f ca="1">-MAX(FV(Inputs!$B116/12,Y$1*12+MthOff,Inputs!$B117,-Inputs!$B115),0)</f>
        <v>0</v>
      </c>
      <c r="Z75" s="7">
        <f ca="1">-MAX(FV(Inputs!$B116/12,Z$1*12+MthOff,Inputs!$B117,-Inputs!$B115),0)</f>
        <v>0</v>
      </c>
      <c r="AA75" s="7">
        <f ca="1">-MAX(FV(Inputs!$B116/12,AA$1*12+MthOff,Inputs!$B117,-Inputs!$B115),0)</f>
        <v>0</v>
      </c>
      <c r="AB75" s="7">
        <f ca="1">-MAX(FV(Inputs!$B116/12,AB$1*12+MthOff,Inputs!$B117,-Inputs!$B115),0)</f>
        <v>0</v>
      </c>
      <c r="AC75" s="7">
        <f ca="1">-MAX(FV(Inputs!$B116/12,AC$1*12+MthOff,Inputs!$B117,-Inputs!$B115),0)</f>
        <v>0</v>
      </c>
      <c r="AD75" s="7">
        <f ca="1">-MAX(FV(Inputs!$B116/12,AD$1*12+MthOff,Inputs!$B117,-Inputs!$B115),0)</f>
        <v>0</v>
      </c>
      <c r="AE75" s="7">
        <f ca="1">-MAX(FV(Inputs!$B116/12,AE$1*12+MthOff,Inputs!$B117,-Inputs!$B115),0)</f>
        <v>0</v>
      </c>
      <c r="AF75" s="7">
        <f ca="1">-MAX(FV(Inputs!$B116/12,AF$1*12+MthOff,Inputs!$B117,-Inputs!$B115),0)</f>
        <v>0</v>
      </c>
      <c r="AG75" s="7">
        <f ca="1">-MAX(FV(Inputs!$B116/12,AG$1*12+MthOff,Inputs!$B117,-Inputs!$B115),0)</f>
        <v>0</v>
      </c>
      <c r="AH75" s="7">
        <f ca="1">-MAX(FV(Inputs!$B116/12,AH$1*12+MthOff,Inputs!$B117,-Inputs!$B115),0)</f>
        <v>0</v>
      </c>
      <c r="AI75" s="7">
        <f ca="1">-MAX(FV(Inputs!$B116/12,AI$1*12+MthOff,Inputs!$B117,-Inputs!$B115),0)</f>
        <v>0</v>
      </c>
      <c r="AJ75" s="7">
        <f ca="1">-MAX(FV(Inputs!$B116/12,AJ$1*12+MthOff,Inputs!$B117,-Inputs!$B115),0)</f>
        <v>0</v>
      </c>
      <c r="AK75" s="7">
        <f ca="1">-MAX(FV(Inputs!$B116/12,AK$1*12+MthOff,Inputs!$B117,-Inputs!$B115),0)</f>
        <v>0</v>
      </c>
      <c r="AL75" s="7">
        <f ca="1">-MAX(FV(Inputs!$B116/12,AL$1*12+MthOff,Inputs!$B117,-Inputs!$B115),0)</f>
        <v>0</v>
      </c>
      <c r="AM75" s="7">
        <f ca="1">-MAX(FV(Inputs!$B116/12,AM$1*12+MthOff,Inputs!$B117,-Inputs!$B115),0)</f>
        <v>0</v>
      </c>
    </row>
    <row r="76" spans="1:39" x14ac:dyDescent="0.2">
      <c r="A76" s="3" t="str">
        <f>TEXT(Inputs!$B$80,"")</f>
        <v>Marsa</v>
      </c>
      <c r="C76" s="7">
        <f ca="1">-MAX(FV(Inputs!$B121/12,C$1*12+MthOff,Inputs!$B122,-Inputs!$B120),0)</f>
        <v>-8551.2061659277369</v>
      </c>
      <c r="D76" s="7">
        <f ca="1">-MAX(FV(Inputs!$B121/12,D$1*12+MthOff,Inputs!$B122,-Inputs!$B120),0)</f>
        <v>-7351.3333523807905</v>
      </c>
      <c r="E76" s="7">
        <f ca="1">-MAX(FV(Inputs!$B121/12,E$1*12+MthOff,Inputs!$B122,-Inputs!$B120),0)</f>
        <v>-6114.965259035298</v>
      </c>
      <c r="F76" s="7">
        <f ca="1">-MAX(FV(Inputs!$B121/12,F$1*12+MthOff,Inputs!$B122,-Inputs!$B120),0)</f>
        <v>-4840.9918470333869</v>
      </c>
      <c r="G76" s="7">
        <f ca="1">-MAX(FV(Inputs!$B121/12,G$1*12+MthOff,Inputs!$B122,-Inputs!$B120),0)</f>
        <v>-3528.2693146230595</v>
      </c>
      <c r="H76" s="7">
        <f ca="1">-MAX(FV(Inputs!$B121/12,H$1*12+MthOff,Inputs!$B122,-Inputs!$B120),0)</f>
        <v>-2175.6190702275599</v>
      </c>
      <c r="I76" s="7">
        <f ca="1">-MAX(FV(Inputs!$B121/12,I$1*12+MthOff,Inputs!$B122,-Inputs!$B120),0)</f>
        <v>-781.82667427947126</v>
      </c>
      <c r="J76" s="7">
        <f ca="1">-MAX(FV(Inputs!$B121/12,J$1*12+MthOff,Inputs!$B122,-Inputs!$B120),0)</f>
        <v>0</v>
      </c>
      <c r="K76" s="7">
        <f ca="1">-MAX(FV(Inputs!$B121/12,K$1*12+MthOff,Inputs!$B122,-Inputs!$B120),0)</f>
        <v>0</v>
      </c>
      <c r="L76" s="7">
        <f ca="1">-MAX(FV(Inputs!$B121/12,L$1*12+MthOff,Inputs!$B122,-Inputs!$B120),0)</f>
        <v>0</v>
      </c>
      <c r="M76" s="7">
        <f ca="1">-MAX(FV(Inputs!$B121/12,M$1*12+MthOff,Inputs!$B122,-Inputs!$B120),0)</f>
        <v>0</v>
      </c>
      <c r="N76" s="7">
        <f ca="1">-MAX(FV(Inputs!$B121/12,N$1*12+MthOff,Inputs!$B122,-Inputs!$B120),0)</f>
        <v>0</v>
      </c>
      <c r="O76" s="7">
        <f ca="1">-MAX(FV(Inputs!$B121/12,O$1*12+MthOff,Inputs!$B122,-Inputs!$B120),0)</f>
        <v>0</v>
      </c>
      <c r="P76" s="7">
        <f ca="1">-MAX(FV(Inputs!$B121/12,P$1*12+MthOff,Inputs!$B122,-Inputs!$B120),0)</f>
        <v>0</v>
      </c>
      <c r="Q76" s="7">
        <f ca="1">-MAX(FV(Inputs!$B121/12,Q$1*12+MthOff,Inputs!$B122,-Inputs!$B120),0)</f>
        <v>0</v>
      </c>
      <c r="R76" s="7">
        <f ca="1">-MAX(FV(Inputs!$B121/12,R$1*12+MthOff,Inputs!$B122,-Inputs!$B120),0)</f>
        <v>0</v>
      </c>
      <c r="S76" s="7">
        <f ca="1">-MAX(FV(Inputs!$B121/12,S$1*12+MthOff,Inputs!$B122,-Inputs!$B120),0)</f>
        <v>0</v>
      </c>
      <c r="T76" s="7">
        <f ca="1">-MAX(FV(Inputs!$B121/12,T$1*12+MthOff,Inputs!$B122,-Inputs!$B120),0)</f>
        <v>0</v>
      </c>
      <c r="U76" s="7">
        <f ca="1">-MAX(FV(Inputs!$B121/12,U$1*12+MthOff,Inputs!$B122,-Inputs!$B120),0)</f>
        <v>0</v>
      </c>
      <c r="V76" s="7">
        <f ca="1">-MAX(FV(Inputs!$B121/12,V$1*12+MthOff,Inputs!$B122,-Inputs!$B120),0)</f>
        <v>0</v>
      </c>
      <c r="W76" s="7">
        <f ca="1">-MAX(FV(Inputs!$B121/12,W$1*12+MthOff,Inputs!$B122,-Inputs!$B120),0)</f>
        <v>0</v>
      </c>
      <c r="X76" s="7">
        <f ca="1">-MAX(FV(Inputs!$B121/12,X$1*12+MthOff,Inputs!$B122,-Inputs!$B120),0)</f>
        <v>0</v>
      </c>
      <c r="Y76" s="7">
        <f ca="1">-MAX(FV(Inputs!$B121/12,Y$1*12+MthOff,Inputs!$B122,-Inputs!$B120),0)</f>
        <v>0</v>
      </c>
      <c r="Z76" s="7">
        <f ca="1">-MAX(FV(Inputs!$B121/12,Z$1*12+MthOff,Inputs!$B122,-Inputs!$B120),0)</f>
        <v>0</v>
      </c>
      <c r="AA76" s="7">
        <f ca="1">-MAX(FV(Inputs!$B121/12,AA$1*12+MthOff,Inputs!$B122,-Inputs!$B120),0)</f>
        <v>0</v>
      </c>
      <c r="AB76" s="7">
        <f ca="1">-MAX(FV(Inputs!$B121/12,AB$1*12+MthOff,Inputs!$B122,-Inputs!$B120),0)</f>
        <v>0</v>
      </c>
      <c r="AC76" s="7">
        <f ca="1">-MAX(FV(Inputs!$B121/12,AC$1*12+MthOff,Inputs!$B122,-Inputs!$B120),0)</f>
        <v>0</v>
      </c>
      <c r="AD76" s="7">
        <f ca="1">-MAX(FV(Inputs!$B121/12,AD$1*12+MthOff,Inputs!$B122,-Inputs!$B120),0)</f>
        <v>0</v>
      </c>
      <c r="AE76" s="7">
        <f ca="1">-MAX(FV(Inputs!$B121/12,AE$1*12+MthOff,Inputs!$B122,-Inputs!$B120),0)</f>
        <v>0</v>
      </c>
      <c r="AF76" s="7">
        <f ca="1">-MAX(FV(Inputs!$B121/12,AF$1*12+MthOff,Inputs!$B122,-Inputs!$B120),0)</f>
        <v>0</v>
      </c>
      <c r="AG76" s="7">
        <f ca="1">-MAX(FV(Inputs!$B121/12,AG$1*12+MthOff,Inputs!$B122,-Inputs!$B120),0)</f>
        <v>0</v>
      </c>
      <c r="AH76" s="7">
        <f ca="1">-MAX(FV(Inputs!$B121/12,AH$1*12+MthOff,Inputs!$B122,-Inputs!$B120),0)</f>
        <v>0</v>
      </c>
      <c r="AI76" s="7">
        <f ca="1">-MAX(FV(Inputs!$B121/12,AI$1*12+MthOff,Inputs!$B122,-Inputs!$B120),0)</f>
        <v>0</v>
      </c>
      <c r="AJ76" s="7">
        <f ca="1">-MAX(FV(Inputs!$B121/12,AJ$1*12+MthOff,Inputs!$B122,-Inputs!$B120),0)</f>
        <v>0</v>
      </c>
      <c r="AK76" s="7">
        <f ca="1">-MAX(FV(Inputs!$B121/12,AK$1*12+MthOff,Inputs!$B122,-Inputs!$B120),0)</f>
        <v>0</v>
      </c>
      <c r="AL76" s="7">
        <f ca="1">-MAX(FV(Inputs!$B121/12,AL$1*12+MthOff,Inputs!$B122,-Inputs!$B120),0)</f>
        <v>0</v>
      </c>
      <c r="AM76" s="7">
        <f ca="1">-MAX(FV(Inputs!$B121/12,AM$1*12+MthOff,Inputs!$B122,-Inputs!$B120),0)</f>
        <v>0</v>
      </c>
    </row>
    <row r="77" spans="1:39" x14ac:dyDescent="0.2">
      <c r="A77" s="4" t="s">
        <v>34</v>
      </c>
      <c r="C77" s="7">
        <f ca="1">-MAX(FV(Inputs!$B126/12,C$1*12+MthOff,Inputs!$B127,-Inputs!$B125),0)</f>
        <v>-3693.1592077552655</v>
      </c>
      <c r="D77" s="7">
        <f ca="1">-MAX(FV(Inputs!$B126/12,D$1*12+MthOff,Inputs!$B127,-Inputs!$B125),0)</f>
        <v>-3304.1670679118561</v>
      </c>
      <c r="E77" s="7">
        <f ca="1">-MAX(FV(Inputs!$B126/12,E$1*12+MthOff,Inputs!$B127,-Inputs!$B125),0)</f>
        <v>-2891.1827440504157</v>
      </c>
      <c r="F77" s="7">
        <f ca="1">-MAX(FV(Inputs!$B126/12,F$1*12+MthOff,Inputs!$B127,-Inputs!$B125),0)</f>
        <v>-2452.7264507588625</v>
      </c>
      <c r="G77" s="7">
        <f ca="1">-MAX(FV(Inputs!$B126/12,G$1*12+MthOff,Inputs!$B127,-Inputs!$B125),0)</f>
        <v>-1987.2271326988684</v>
      </c>
      <c r="H77" s="7">
        <f ca="1">-MAX(FV(Inputs!$B126/12,H$1*12+MthOff,Inputs!$B127,-Inputs!$B125),0)</f>
        <v>-1493.0168352765186</v>
      </c>
      <c r="I77" s="7">
        <f ca="1">-MAX(FV(Inputs!$B126/12,I$1*12+MthOff,Inputs!$B127,-Inputs!$B125),0)</f>
        <v>-968.32472810825493</v>
      </c>
      <c r="J77" s="7">
        <f ca="1">-MAX(FV(Inputs!$B126/12,J$1*12+MthOff,Inputs!$B127,-Inputs!$B125),0)</f>
        <v>-411.2707598672805</v>
      </c>
      <c r="K77" s="7">
        <f ca="1">-MAX(FV(Inputs!$B126/12,K$1*12+MthOff,Inputs!$B127,-Inputs!$B125),0)</f>
        <v>0</v>
      </c>
      <c r="L77" s="7">
        <f ca="1">-MAX(FV(Inputs!$B126/12,L$1*12+MthOff,Inputs!$B127,-Inputs!$B125),0)</f>
        <v>0</v>
      </c>
      <c r="M77" s="7">
        <f ca="1">-MAX(FV(Inputs!$B126/12,M$1*12+MthOff,Inputs!$B127,-Inputs!$B125),0)</f>
        <v>0</v>
      </c>
      <c r="N77" s="7">
        <f ca="1">-MAX(FV(Inputs!$B126/12,N$1*12+MthOff,Inputs!$B127,-Inputs!$B125),0)</f>
        <v>0</v>
      </c>
      <c r="O77" s="7">
        <f ca="1">-MAX(FV(Inputs!$B126/12,O$1*12+MthOff,Inputs!$B127,-Inputs!$B125),0)</f>
        <v>0</v>
      </c>
      <c r="P77" s="7">
        <f ca="1">-MAX(FV(Inputs!$B126/12,P$1*12+MthOff,Inputs!$B127,-Inputs!$B125),0)</f>
        <v>0</v>
      </c>
      <c r="Q77" s="7">
        <f ca="1">-MAX(FV(Inputs!$B126/12,Q$1*12+MthOff,Inputs!$B127,-Inputs!$B125),0)</f>
        <v>0</v>
      </c>
      <c r="R77" s="7">
        <f ca="1">-MAX(FV(Inputs!$B126/12,R$1*12+MthOff,Inputs!$B127,-Inputs!$B125),0)</f>
        <v>0</v>
      </c>
      <c r="S77" s="7">
        <f ca="1">-MAX(FV(Inputs!$B126/12,S$1*12+MthOff,Inputs!$B127,-Inputs!$B125),0)</f>
        <v>0</v>
      </c>
      <c r="T77" s="7">
        <f ca="1">-MAX(FV(Inputs!$B126/12,T$1*12+MthOff,Inputs!$B127,-Inputs!$B125),0)</f>
        <v>0</v>
      </c>
      <c r="U77" s="7">
        <f ca="1">-MAX(FV(Inputs!$B126/12,U$1*12+MthOff,Inputs!$B127,-Inputs!$B125),0)</f>
        <v>0</v>
      </c>
      <c r="V77" s="7">
        <f ca="1">-MAX(FV(Inputs!$B126/12,V$1*12+MthOff,Inputs!$B127,-Inputs!$B125),0)</f>
        <v>0</v>
      </c>
      <c r="W77" s="7">
        <f ca="1">-MAX(FV(Inputs!$B126/12,W$1*12+MthOff,Inputs!$B127,-Inputs!$B125),0)</f>
        <v>0</v>
      </c>
      <c r="X77" s="7">
        <f ca="1">-MAX(FV(Inputs!$B126/12,X$1*12+MthOff,Inputs!$B127,-Inputs!$B125),0)</f>
        <v>0</v>
      </c>
      <c r="Y77" s="7">
        <f ca="1">-MAX(FV(Inputs!$B126/12,Y$1*12+MthOff,Inputs!$B127,-Inputs!$B125),0)</f>
        <v>0</v>
      </c>
      <c r="Z77" s="7">
        <f ca="1">-MAX(FV(Inputs!$B126/12,Z$1*12+MthOff,Inputs!$B127,-Inputs!$B125),0)</f>
        <v>0</v>
      </c>
      <c r="AA77" s="7">
        <f ca="1">-MAX(FV(Inputs!$B126/12,AA$1*12+MthOff,Inputs!$B127,-Inputs!$B125),0)</f>
        <v>0</v>
      </c>
      <c r="AB77" s="7">
        <f ca="1">-MAX(FV(Inputs!$B126/12,AB$1*12+MthOff,Inputs!$B127,-Inputs!$B125),0)</f>
        <v>0</v>
      </c>
      <c r="AC77" s="7">
        <f ca="1">-MAX(FV(Inputs!$B126/12,AC$1*12+MthOff,Inputs!$B127,-Inputs!$B125),0)</f>
        <v>0</v>
      </c>
      <c r="AD77" s="7">
        <f ca="1">-MAX(FV(Inputs!$B126/12,AD$1*12+MthOff,Inputs!$B127,-Inputs!$B125),0)</f>
        <v>0</v>
      </c>
      <c r="AE77" s="7">
        <f ca="1">-MAX(FV(Inputs!$B126/12,AE$1*12+MthOff,Inputs!$B127,-Inputs!$B125),0)</f>
        <v>0</v>
      </c>
      <c r="AF77" s="7">
        <f ca="1">-MAX(FV(Inputs!$B126/12,AF$1*12+MthOff,Inputs!$B127,-Inputs!$B125),0)</f>
        <v>0</v>
      </c>
      <c r="AG77" s="7">
        <f ca="1">-MAX(FV(Inputs!$B126/12,AG$1*12+MthOff,Inputs!$B127,-Inputs!$B125),0)</f>
        <v>0</v>
      </c>
      <c r="AH77" s="7">
        <f ca="1">-MAX(FV(Inputs!$B126/12,AH$1*12+MthOff,Inputs!$B127,-Inputs!$B125),0)</f>
        <v>0</v>
      </c>
      <c r="AI77" s="7">
        <f ca="1">-MAX(FV(Inputs!$B126/12,AI$1*12+MthOff,Inputs!$B127,-Inputs!$B125),0)</f>
        <v>0</v>
      </c>
      <c r="AJ77" s="7">
        <f ca="1">-MAX(FV(Inputs!$B126/12,AJ$1*12+MthOff,Inputs!$B127,-Inputs!$B125),0)</f>
        <v>0</v>
      </c>
      <c r="AK77" s="7">
        <f ca="1">-MAX(FV(Inputs!$B126/12,AK$1*12+MthOff,Inputs!$B127,-Inputs!$B125),0)</f>
        <v>0</v>
      </c>
      <c r="AL77" s="7">
        <f ca="1">-MAX(FV(Inputs!$B126/12,AL$1*12+MthOff,Inputs!$B127,-Inputs!$B125),0)</f>
        <v>0</v>
      </c>
      <c r="AM77" s="7">
        <f ca="1">-MAX(FV(Inputs!$B126/12,AM$1*12+MthOff,Inputs!$B127,-Inputs!$B125),0)</f>
        <v>0</v>
      </c>
    </row>
    <row r="78" spans="1:39" x14ac:dyDescent="0.2">
      <c r="A78" s="4"/>
      <c r="C78" s="9">
        <f t="shared" ref="C78:AM78" ca="1" si="47">SUM(C60:C77)</f>
        <v>1486487.9915657642</v>
      </c>
      <c r="D78" s="9">
        <f t="shared" ca="1" si="47"/>
        <v>1578514.7610075048</v>
      </c>
      <c r="E78" s="9">
        <f t="shared" ca="1" si="47"/>
        <v>1679362.533968953</v>
      </c>
      <c r="F78" s="9">
        <f t="shared" ca="1" si="47"/>
        <v>1762841.4863182209</v>
      </c>
      <c r="G78" s="9">
        <f t="shared" ca="1" si="47"/>
        <v>1878344.1184980569</v>
      </c>
      <c r="H78" s="9">
        <f t="shared" ca="1" si="47"/>
        <v>2000687.7514265149</v>
      </c>
      <c r="I78" s="9">
        <f t="shared" ca="1" si="47"/>
        <v>2138156.9971046397</v>
      </c>
      <c r="J78" s="9">
        <f t="shared" ca="1" si="47"/>
        <v>2276174.8537519434</v>
      </c>
      <c r="K78" s="9">
        <f t="shared" ca="1" si="47"/>
        <v>2402216.8347591623</v>
      </c>
      <c r="L78" s="9">
        <f t="shared" ca="1" si="47"/>
        <v>2616327.6566686197</v>
      </c>
      <c r="M78" s="9">
        <f t="shared" ca="1" si="47"/>
        <v>2739533.8535040035</v>
      </c>
      <c r="N78" s="9">
        <f t="shared" ca="1" si="47"/>
        <v>2918769.8376867888</v>
      </c>
      <c r="O78" s="9">
        <f t="shared" ca="1" si="47"/>
        <v>3106317.8962676986</v>
      </c>
      <c r="P78" s="9">
        <f t="shared" ca="1" si="47"/>
        <v>3302523.9299649675</v>
      </c>
      <c r="Q78" s="9">
        <f t="shared" ca="1" si="47"/>
        <v>3507748.0446687369</v>
      </c>
      <c r="R78" s="9">
        <f t="shared" ca="1" si="47"/>
        <v>3722365.1755150049</v>
      </c>
      <c r="S78" s="9">
        <f t="shared" ca="1" si="47"/>
        <v>3946765.7425329667</v>
      </c>
      <c r="T78" s="9">
        <f t="shared" ca="1" si="47"/>
        <v>4072125.8973766821</v>
      </c>
      <c r="U78" s="9">
        <f t="shared" ca="1" si="47"/>
        <v>4209864.4219282102</v>
      </c>
      <c r="V78" s="9">
        <f t="shared" ca="1" si="47"/>
        <v>4352663.1267261514</v>
      </c>
      <c r="W78" s="9">
        <f t="shared" ca="1" si="47"/>
        <v>4500728.3850343721</v>
      </c>
      <c r="X78" s="9">
        <f t="shared" ca="1" si="47"/>
        <v>4654276.341760017</v>
      </c>
      <c r="Y78" s="9">
        <f t="shared" ca="1" si="47"/>
        <v>4792616.373604998</v>
      </c>
      <c r="Z78" s="9">
        <f t="shared" ca="1" si="47"/>
        <v>4935857.100996404</v>
      </c>
      <c r="AA78" s="9">
        <f t="shared" ca="1" si="47"/>
        <v>5084208.2285981001</v>
      </c>
      <c r="AB78" s="9">
        <f t="shared" ca="1" si="47"/>
        <v>5237890.3656571386</v>
      </c>
      <c r="AC78" s="9">
        <f t="shared" ca="1" si="47"/>
        <v>5397135.7005010378</v>
      </c>
      <c r="AD78" s="9">
        <f t="shared" ca="1" si="47"/>
        <v>5562188.7222237829</v>
      </c>
      <c r="AE78" s="9">
        <f t="shared" ca="1" si="47"/>
        <v>5743414.2491367618</v>
      </c>
      <c r="AF78" s="9">
        <f t="shared" ca="1" si="47"/>
        <v>5931481.8504434619</v>
      </c>
      <c r="AG78" s="9">
        <f t="shared" ca="1" si="47"/>
        <v>6126696.7254779842</v>
      </c>
      <c r="AH78" s="9">
        <f t="shared" ca="1" si="47"/>
        <v>6329380.4398188051</v>
      </c>
      <c r="AI78" s="9">
        <f t="shared" ca="1" si="47"/>
        <v>6539871.9616667982</v>
      </c>
      <c r="AJ78" s="9">
        <f t="shared" ca="1" si="47"/>
        <v>6758528.7718647765</v>
      </c>
      <c r="AK78" s="9">
        <f t="shared" ca="1" si="47"/>
        <v>6985728.0531374048</v>
      </c>
      <c r="AL78" s="9">
        <f t="shared" ca="1" si="47"/>
        <v>7221867.9645661898</v>
      </c>
      <c r="AM78" s="9">
        <f t="shared" ca="1" si="47"/>
        <v>7467369.007784754</v>
      </c>
    </row>
    <row r="79" spans="1:39" x14ac:dyDescent="0.2">
      <c r="A79" s="4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  <c r="AB79" s="7"/>
      <c r="AC79" s="7"/>
      <c r="AD79" s="7"/>
      <c r="AE79" s="7"/>
      <c r="AF79" s="7"/>
      <c r="AG79" s="7"/>
      <c r="AH79" s="7"/>
      <c r="AI79" s="7"/>
      <c r="AJ79" s="7"/>
      <c r="AK79" s="7"/>
      <c r="AL79" s="7"/>
      <c r="AM79" s="7"/>
    </row>
    <row r="80" spans="1:39" x14ac:dyDescent="0.2">
      <c r="A80" s="30" t="s">
        <v>77</v>
      </c>
      <c r="C80" s="7">
        <f t="shared" ref="C80:AM80" ca="1" si="48">C61-buffer</f>
        <v>33136.875000000015</v>
      </c>
      <c r="D80" s="7">
        <f t="shared" ca="1" si="48"/>
        <v>57140.903125000026</v>
      </c>
      <c r="E80" s="7">
        <f t="shared" ca="1" si="48"/>
        <v>87759.433828125038</v>
      </c>
      <c r="F80" s="7">
        <f t="shared" ca="1" si="48"/>
        <v>99100.176411377644</v>
      </c>
      <c r="G80" s="7">
        <f t="shared" ca="1" si="48"/>
        <v>142148.90012508008</v>
      </c>
      <c r="H80" s="7">
        <f t="shared" ca="1" si="48"/>
        <v>192078.05562310934</v>
      </c>
      <c r="I80" s="7">
        <f t="shared" ca="1" si="48"/>
        <v>266036.18242333515</v>
      </c>
      <c r="J80" s="7">
        <f t="shared" ca="1" si="48"/>
        <v>339084.48685026687</v>
      </c>
      <c r="K80" s="7">
        <f t="shared" ca="1" si="48"/>
        <v>398970.23861694947</v>
      </c>
      <c r="L80" s="7">
        <f t="shared" ca="1" si="48"/>
        <v>546536.87203851226</v>
      </c>
      <c r="M80" s="7">
        <f t="shared" ca="1" si="48"/>
        <v>605652.23085092264</v>
      </c>
      <c r="N80" s="7">
        <f t="shared" ca="1" si="48"/>
        <v>718618.88271131995</v>
      </c>
      <c r="O80" s="7">
        <f t="shared" ca="1" si="48"/>
        <v>837633.29830874666</v>
      </c>
      <c r="P80" s="7">
        <f t="shared" ca="1" si="48"/>
        <v>962951.35058629012</v>
      </c>
      <c r="Q80" s="7">
        <f t="shared" ca="1" si="48"/>
        <v>1094838.6489492662</v>
      </c>
      <c r="R80" s="7">
        <f t="shared" ca="1" si="48"/>
        <v>1233570.8878477628</v>
      </c>
      <c r="S80" s="7">
        <f t="shared" ca="1" si="48"/>
        <v>1379434.2073534238</v>
      </c>
      <c r="T80" s="7">
        <f t="shared" ca="1" si="48"/>
        <v>1423495.1237488878</v>
      </c>
      <c r="U80" s="7">
        <f t="shared" ca="1" si="48"/>
        <v>1477057.089307287</v>
      </c>
      <c r="V80" s="7">
        <f t="shared" ca="1" si="48"/>
        <v>1532680.5274795629</v>
      </c>
      <c r="W80" s="7">
        <f t="shared" ca="1" si="48"/>
        <v>1590443.9774315846</v>
      </c>
      <c r="X80" s="7">
        <f t="shared" ca="1" si="48"/>
        <v>1650428.88512004</v>
      </c>
      <c r="Y80" s="7">
        <f t="shared" ca="1" si="48"/>
        <v>1691802.6151119878</v>
      </c>
      <c r="Z80" s="7">
        <f t="shared" ca="1" si="48"/>
        <v>1734523.9813424624</v>
      </c>
      <c r="AA80" s="7">
        <f t="shared" ca="1" si="48"/>
        <v>1778644.5710759091</v>
      </c>
      <c r="AB80" s="7">
        <f t="shared" ca="1" si="48"/>
        <v>1824218.0105883591</v>
      </c>
      <c r="AC80" s="7">
        <f t="shared" ca="1" si="48"/>
        <v>1871300.0439335995</v>
      </c>
      <c r="AD80" s="7">
        <f t="shared" ca="1" si="48"/>
        <v>1919948.6146449971</v>
      </c>
      <c r="AE80" s="7">
        <f t="shared" ca="1" si="48"/>
        <v>1980331.2065111429</v>
      </c>
      <c r="AF80" s="7">
        <f t="shared" ca="1" si="48"/>
        <v>2042908.5261740466</v>
      </c>
      <c r="AG80" s="7">
        <f t="shared" ca="1" si="48"/>
        <v>2107764.5878862576</v>
      </c>
      <c r="AH80" s="7">
        <f t="shared" ca="1" si="48"/>
        <v>2174986.5954175591</v>
      </c>
      <c r="AI80" s="7">
        <f t="shared" ca="1" si="48"/>
        <v>2244665.0598372058</v>
      </c>
      <c r="AJ80" s="7">
        <f t="shared" ca="1" si="48"/>
        <v>2316893.9215162839</v>
      </c>
      <c r="AK80" s="7">
        <f t="shared" ca="1" si="48"/>
        <v>2391770.6764973206</v>
      </c>
      <c r="AL80" s="7">
        <f t="shared" ca="1" si="48"/>
        <v>2469396.5073832762</v>
      </c>
      <c r="AM80" s="7">
        <f t="shared" ca="1" si="48"/>
        <v>2549876.4189032381</v>
      </c>
    </row>
    <row r="81" spans="1:39" x14ac:dyDescent="0.2">
      <c r="A81" s="2" t="s">
        <v>20</v>
      </c>
      <c r="C81" s="7">
        <f ca="1">IF(C80&lt;0,-C80,0)</f>
        <v>0</v>
      </c>
      <c r="D81" s="7">
        <f ca="1">IF(D80+SUM($C81:C81)&lt;0,-(D80+SUM($C81:C81)),0)</f>
        <v>0</v>
      </c>
      <c r="E81" s="7">
        <f ca="1">IF(E80+SUM($C81:D81)&lt;0,-(E80+SUM($C81:D81)),0)</f>
        <v>0</v>
      </c>
      <c r="F81" s="7">
        <f ca="1">IF(F80+SUM($C81:E81)&lt;0,-(F80+SUM($C81:E81)),0)</f>
        <v>0</v>
      </c>
      <c r="G81" s="7">
        <f ca="1">IF(G80+SUM($C81:F81)&lt;0,-(G80+SUM($C81:F81)),0)</f>
        <v>0</v>
      </c>
      <c r="H81" s="7">
        <f ca="1">IF(H80+SUM($C81:G81)&lt;0,-(H80+SUM($C81:G81)),0)</f>
        <v>0</v>
      </c>
      <c r="I81" s="7">
        <f ca="1">IF(I80+SUM($C81:H81)&lt;0,-(I80+SUM($C81:H81)),0)</f>
        <v>0</v>
      </c>
      <c r="J81" s="7">
        <f ca="1">IF(J80+SUM($C81:I81)&lt;0,-(J80+SUM($C81:I81)),0)</f>
        <v>0</v>
      </c>
      <c r="K81" s="7">
        <f ca="1">IF(K80+SUM($C81:J81)&lt;0,-(K80+SUM($C81:J81)),0)</f>
        <v>0</v>
      </c>
      <c r="L81" s="7">
        <f ca="1">IF(L80+SUM($C81:K81)&lt;0,-(L80+SUM($C81:K81)),0)</f>
        <v>0</v>
      </c>
      <c r="M81" s="7">
        <f ca="1">IF(M80+SUM($C81:L81)&lt;0,-(M80+SUM($C81:L81)),0)</f>
        <v>0</v>
      </c>
      <c r="N81" s="7">
        <f ca="1">IF(N80+SUM($C81:M81)&lt;0,-(N80+SUM($C81:M81)),0)</f>
        <v>0</v>
      </c>
      <c r="O81" s="7">
        <f ca="1">IF(O80+SUM($C81:N81)&lt;0,-(O80+SUM($C81:N81)),0)</f>
        <v>0</v>
      </c>
      <c r="P81" s="7">
        <f ca="1">IF(P80+SUM($C81:O81)&lt;0,-(P80+SUM($C81:O81)),0)</f>
        <v>0</v>
      </c>
      <c r="Q81" s="7">
        <f ca="1">IF(Q80+SUM($C81:P81)&lt;0,-(Q80+SUM($C81:P81)),0)</f>
        <v>0</v>
      </c>
      <c r="R81" s="7">
        <f ca="1">IF(R80+SUM($C81:Q81)&lt;0,-(R80+SUM($C81:Q81)),0)</f>
        <v>0</v>
      </c>
      <c r="S81" s="7">
        <f ca="1">IF(S80+SUM($C81:R81)&lt;0,-(S80+SUM($C81:R81)),0)</f>
        <v>0</v>
      </c>
      <c r="T81" s="7">
        <f ca="1">IF(T80+SUM($C81:S81)&lt;0,-(T80+SUM($C81:S81)),0)</f>
        <v>0</v>
      </c>
      <c r="U81" s="7">
        <f ca="1">IF(U80+SUM($C81:T81)&lt;0,-(U80+SUM($C81:T81)),0)</f>
        <v>0</v>
      </c>
      <c r="V81" s="7">
        <f ca="1">IF(V80+SUM($C81:U81)&lt;0,-(V80+SUM($C81:U81)),0)</f>
        <v>0</v>
      </c>
      <c r="W81" s="7">
        <f ca="1">IF(W80+SUM($C81:V81)&lt;0,-(W80+SUM($C81:V81)),0)</f>
        <v>0</v>
      </c>
      <c r="X81" s="7">
        <f ca="1">IF(X80+SUM($C81:W81)&lt;0,-(X80+SUM($C81:W81)),0)</f>
        <v>0</v>
      </c>
      <c r="Y81" s="7">
        <f ca="1">IF(Y80+SUM($C81:X81)&lt;0,-(Y80+SUM($C81:X81)),0)</f>
        <v>0</v>
      </c>
      <c r="Z81" s="7">
        <f ca="1">IF(Z80+SUM($C81:Y81)&lt;0,-(Z80+SUM($C81:Y81)),0)</f>
        <v>0</v>
      </c>
      <c r="AA81" s="7">
        <f ca="1">IF(AA80+SUM($C81:Z81)&lt;0,-(AA80+SUM($C81:Z81)),0)</f>
        <v>0</v>
      </c>
      <c r="AB81" s="7">
        <f ca="1">IF(AB80+SUM($C81:AA81)&lt;0,-(AB80+SUM($C81:AA81)),0)</f>
        <v>0</v>
      </c>
      <c r="AC81" s="7">
        <f ca="1">IF(AC80+SUM($C81:AB81)&lt;0,-(AC80+SUM($C81:AB81)),0)</f>
        <v>0</v>
      </c>
      <c r="AD81" s="7">
        <f ca="1">IF(AD80+SUM($C81:AC81)&lt;0,-(AD80+SUM($C81:AC81)),0)</f>
        <v>0</v>
      </c>
      <c r="AE81" s="7">
        <f ca="1">IF(AE80+SUM($C81:AD81)&lt;0,-(AE80+SUM($C81:AD81)),0)</f>
        <v>0</v>
      </c>
      <c r="AF81" s="7">
        <f ca="1">IF(AF80+SUM($C81:AE81)&lt;0,-(AF80+SUM($C81:AE81)),0)</f>
        <v>0</v>
      </c>
      <c r="AG81" s="7">
        <f ca="1">IF(AG80+SUM($C81:AF81)&lt;0,-(AG80+SUM($C81:AF81)),0)</f>
        <v>0</v>
      </c>
      <c r="AH81" s="7">
        <f ca="1">IF(AH80+SUM($C81:AG81)&lt;0,-(AH80+SUM($C81:AG81)),0)</f>
        <v>0</v>
      </c>
      <c r="AI81" s="7">
        <f ca="1">IF(AI80+SUM($C81:AH81)&lt;0,-(AI80+SUM($C81:AH81)),0)</f>
        <v>0</v>
      </c>
      <c r="AJ81" s="7">
        <f ca="1">IF(AJ80+SUM($C81:AI81)&lt;0,-(AJ80+SUM($C81:AI81)),0)</f>
        <v>0</v>
      </c>
      <c r="AK81" s="7">
        <f ca="1">IF(AK80+SUM($C81:AJ81)&lt;0,-(AK80+SUM($C81:AJ81)),0)</f>
        <v>0</v>
      </c>
      <c r="AL81" s="7">
        <f ca="1">IF(AL80+SUM($C81:AK81)&lt;0,-(AL80+SUM($C81:AK81)),0)</f>
        <v>0</v>
      </c>
      <c r="AM81" s="7">
        <f ca="1">IF(AM80+SUM($C81:AL81)&lt;0,-(AM80+SUM($C81:AL81)),0)</f>
        <v>0</v>
      </c>
    </row>
    <row r="82" spans="1:39" x14ac:dyDescent="0.2"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  <c r="AB82" s="7"/>
      <c r="AC82" s="7"/>
      <c r="AD82" s="7"/>
      <c r="AE82" s="7"/>
      <c r="AF82" s="7"/>
      <c r="AG82" s="7"/>
      <c r="AH82" s="7"/>
      <c r="AI82" s="7"/>
      <c r="AJ82" s="7"/>
      <c r="AK82" s="7"/>
      <c r="AL82" s="7"/>
      <c r="AM82" s="7"/>
    </row>
    <row r="83" spans="1:39" ht="19" x14ac:dyDescent="0.25">
      <c r="A83" s="25" t="s">
        <v>21</v>
      </c>
      <c r="B83" s="26"/>
      <c r="C83" s="27"/>
      <c r="D83" s="28"/>
      <c r="E83" s="27"/>
      <c r="F83" s="27"/>
      <c r="G83" s="27"/>
      <c r="H83" s="27"/>
      <c r="I83" s="27"/>
      <c r="J83" s="27"/>
      <c r="K83" s="27"/>
      <c r="L83" s="27"/>
      <c r="M83" s="27"/>
      <c r="N83" s="27"/>
      <c r="O83" s="27"/>
      <c r="P83" s="27"/>
      <c r="Q83" s="27"/>
      <c r="R83" s="27"/>
      <c r="S83" s="27"/>
      <c r="T83" s="27"/>
      <c r="U83" s="27"/>
      <c r="V83" s="27"/>
      <c r="W83" s="27"/>
      <c r="X83" s="27"/>
      <c r="Y83" s="27"/>
      <c r="Z83" s="27"/>
      <c r="AA83" s="27"/>
      <c r="AB83" s="27"/>
      <c r="AC83" s="27"/>
      <c r="AD83" s="27"/>
      <c r="AE83" s="27"/>
      <c r="AF83" s="27"/>
      <c r="AG83" s="27"/>
      <c r="AH83" s="27"/>
      <c r="AI83" s="27"/>
      <c r="AJ83" s="27"/>
      <c r="AK83" s="27"/>
      <c r="AL83" s="27"/>
      <c r="AM83" s="27"/>
    </row>
    <row r="84" spans="1:39" x14ac:dyDescent="0.2">
      <c r="A84" s="1"/>
      <c r="C84" s="7"/>
      <c r="D84" s="11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  <c r="AC84" s="7"/>
      <c r="AD84" s="7"/>
      <c r="AE84" s="7"/>
      <c r="AF84" s="7"/>
      <c r="AG84" s="7"/>
      <c r="AH84" s="7"/>
      <c r="AI84" s="7"/>
      <c r="AJ84" s="7"/>
      <c r="AK84" s="7"/>
      <c r="AL84" s="7"/>
      <c r="AM84" s="7"/>
    </row>
    <row r="85" spans="1:39" x14ac:dyDescent="0.2">
      <c r="A85" s="24" t="s">
        <v>27</v>
      </c>
      <c r="B85" s="26"/>
      <c r="C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  <c r="AC85" s="7"/>
      <c r="AD85" s="7"/>
      <c r="AE85" s="7"/>
      <c r="AF85" s="7"/>
      <c r="AG85" s="7"/>
      <c r="AH85" s="7"/>
      <c r="AI85" s="7"/>
      <c r="AJ85" s="7"/>
      <c r="AK85" s="7"/>
      <c r="AL85" s="7"/>
      <c r="AM85" s="7"/>
    </row>
    <row r="86" spans="1:39" x14ac:dyDescent="0.2">
      <c r="A86" s="3" t="s">
        <v>22</v>
      </c>
      <c r="C86" s="7">
        <f ca="1">C69</f>
        <v>31987.064369139065</v>
      </c>
      <c r="D86" s="7">
        <f t="shared" ref="D86:AM86" ca="1" si="49">C89</f>
        <v>31987.064369139065</v>
      </c>
      <c r="E86" s="7">
        <f t="shared" ca="1" si="49"/>
        <v>34546.029518670191</v>
      </c>
      <c r="F86" s="7">
        <f t="shared" ca="1" si="49"/>
        <v>37309.711880163806</v>
      </c>
      <c r="G86" s="7">
        <f t="shared" ca="1" si="49"/>
        <v>40294.488830576913</v>
      </c>
      <c r="H86" s="7">
        <f t="shared" ca="1" si="49"/>
        <v>43518.047937023068</v>
      </c>
      <c r="I86" s="7">
        <f t="shared" ca="1" si="49"/>
        <v>46999.491771984911</v>
      </c>
      <c r="J86" s="7">
        <f t="shared" ca="1" si="49"/>
        <v>50759.451113743708</v>
      </c>
      <c r="K86" s="7">
        <f t="shared" ca="1" si="49"/>
        <v>54820.207202843201</v>
      </c>
      <c r="L86" s="7">
        <f t="shared" ca="1" si="49"/>
        <v>59205.823779070655</v>
      </c>
      <c r="M86" s="7">
        <f t="shared" ca="1" si="49"/>
        <v>63942.289681396309</v>
      </c>
      <c r="N86" s="7">
        <f t="shared" ca="1" si="49"/>
        <v>69057.672855908007</v>
      </c>
      <c r="O86" s="7">
        <f t="shared" ca="1" si="49"/>
        <v>74582.286684380641</v>
      </c>
      <c r="P86" s="7">
        <f t="shared" ca="1" si="49"/>
        <v>80548.869619131088</v>
      </c>
      <c r="Q86" s="7">
        <f t="shared" ca="1" si="49"/>
        <v>86992.779188661574</v>
      </c>
      <c r="R86" s="7">
        <f t="shared" ca="1" si="49"/>
        <v>93952.201523754498</v>
      </c>
      <c r="S86" s="7">
        <f t="shared" ca="1" si="49"/>
        <v>101468.37764565487</v>
      </c>
      <c r="T86" s="7">
        <f t="shared" ca="1" si="49"/>
        <v>109585.84785730725</v>
      </c>
      <c r="U86" s="7">
        <f t="shared" ca="1" si="49"/>
        <v>118352.71568589183</v>
      </c>
      <c r="V86" s="7">
        <f t="shared" ca="1" si="49"/>
        <v>127820.93294076317</v>
      </c>
      <c r="W86" s="7">
        <f t="shared" ca="1" si="49"/>
        <v>138046.60757602422</v>
      </c>
      <c r="X86" s="7">
        <f t="shared" ca="1" si="49"/>
        <v>149090.33618210617</v>
      </c>
      <c r="Y86" s="7">
        <f t="shared" ca="1" si="49"/>
        <v>161017.56307667468</v>
      </c>
      <c r="Z86" s="7">
        <f t="shared" ca="1" si="49"/>
        <v>173898.96812280864</v>
      </c>
      <c r="AA86" s="7">
        <f t="shared" ca="1" si="49"/>
        <v>187810.88557263333</v>
      </c>
      <c r="AB86" s="7">
        <f t="shared" ca="1" si="49"/>
        <v>202835.75641844398</v>
      </c>
      <c r="AC86" s="7">
        <f t="shared" ca="1" si="49"/>
        <v>219062.6169319195</v>
      </c>
      <c r="AD86" s="7">
        <f t="shared" ca="1" si="49"/>
        <v>236587.62628647307</v>
      </c>
      <c r="AE86" s="7">
        <f t="shared" ca="1" si="49"/>
        <v>255514.63638939091</v>
      </c>
      <c r="AF86" s="7">
        <f t="shared" ca="1" si="49"/>
        <v>275955.80730054219</v>
      </c>
      <c r="AG86" s="7">
        <f t="shared" ca="1" si="49"/>
        <v>298032.27188458556</v>
      </c>
      <c r="AH86" s="7">
        <f t="shared" ca="1" si="49"/>
        <v>321874.8536353524</v>
      </c>
      <c r="AI86" s="7">
        <f t="shared" ca="1" si="49"/>
        <v>347624.84192618058</v>
      </c>
      <c r="AJ86" s="7">
        <f t="shared" ca="1" si="49"/>
        <v>375434.82928027504</v>
      </c>
      <c r="AK86" s="7">
        <f t="shared" ca="1" si="49"/>
        <v>405469.61562269705</v>
      </c>
      <c r="AL86" s="7">
        <f t="shared" ca="1" si="49"/>
        <v>437907.18487251282</v>
      </c>
      <c r="AM86" s="7">
        <f t="shared" ca="1" si="49"/>
        <v>472939.75966231385</v>
      </c>
    </row>
    <row r="87" spans="1:39" x14ac:dyDescent="0.2">
      <c r="A87" s="3" t="s">
        <v>23</v>
      </c>
      <c r="C87" s="7">
        <f ca="1">-MIN(C86, C81/(1-Inputs!$B$193))</f>
        <v>0</v>
      </c>
      <c r="D87" s="7">
        <f ca="1">-MIN(D86, D81/(1-Inputs!$B$193))</f>
        <v>0</v>
      </c>
      <c r="E87" s="7">
        <f ca="1">-MIN(E86, E81/(1-Inputs!$B$193))</f>
        <v>0</v>
      </c>
      <c r="F87" s="7">
        <f ca="1">-MIN(F86, F81/(1-Inputs!$B$193))</f>
        <v>0</v>
      </c>
      <c r="G87" s="7">
        <f ca="1">-MIN(G86, G81/(1-Inputs!$B$193))</f>
        <v>0</v>
      </c>
      <c r="H87" s="7">
        <f ca="1">-MIN(H86, H81/(1-Inputs!$B$193))</f>
        <v>0</v>
      </c>
      <c r="I87" s="7">
        <f ca="1">-MIN(I86, I81/(1-Inputs!$B$193))</f>
        <v>0</v>
      </c>
      <c r="J87" s="7">
        <f ca="1">-MIN(J86, J81/(1-Inputs!$B$193))</f>
        <v>0</v>
      </c>
      <c r="K87" s="7">
        <f ca="1">-MIN(K86, K81/(1-Inputs!$B$193))</f>
        <v>0</v>
      </c>
      <c r="L87" s="7">
        <f ca="1">-MIN(L86, L81/(1-Inputs!$B$193))</f>
        <v>0</v>
      </c>
      <c r="M87" s="7">
        <f ca="1">-MIN(M86, M81/(1-Inputs!$B$193))</f>
        <v>0</v>
      </c>
      <c r="N87" s="7">
        <f ca="1">-MIN(N86, N81/(1-Inputs!$B$193))</f>
        <v>0</v>
      </c>
      <c r="O87" s="7">
        <f ca="1">-MIN(O86, O81/(1-Inputs!$B$193))</f>
        <v>0</v>
      </c>
      <c r="P87" s="7">
        <f ca="1">-MIN(P86, P81/(1-Inputs!$B$193))</f>
        <v>0</v>
      </c>
      <c r="Q87" s="7">
        <f ca="1">-MIN(Q86, Q81/(1-Inputs!$B$193))</f>
        <v>0</v>
      </c>
      <c r="R87" s="7">
        <f ca="1">-MIN(R86, R81/(1-Inputs!$B$193))</f>
        <v>0</v>
      </c>
      <c r="S87" s="7">
        <f ca="1">-MIN(S86, S81/(1-Inputs!$B$193))</f>
        <v>0</v>
      </c>
      <c r="T87" s="7">
        <f ca="1">-MIN(T86, T81/(1-Inputs!$B$193))</f>
        <v>0</v>
      </c>
      <c r="U87" s="7">
        <f ca="1">-MIN(U86, U81/(1-Inputs!$B$193))</f>
        <v>0</v>
      </c>
      <c r="V87" s="7">
        <f ca="1">-MIN(V86, V81/(1-Inputs!$B$193))</f>
        <v>0</v>
      </c>
      <c r="W87" s="7">
        <f ca="1">-MIN(W86, W81/(1-Inputs!$B$193))</f>
        <v>0</v>
      </c>
      <c r="X87" s="7">
        <f ca="1">-MIN(X86, X81/(1-Inputs!$B$193))</f>
        <v>0</v>
      </c>
      <c r="Y87" s="7">
        <f ca="1">-MIN(Y86, Y81/(1-Inputs!$B$193))</f>
        <v>0</v>
      </c>
      <c r="Z87" s="7">
        <f ca="1">-MIN(Z86, Z81/(1-Inputs!$B$193))</f>
        <v>0</v>
      </c>
      <c r="AA87" s="7">
        <f ca="1">-MIN(AA86, AA81/(1-Inputs!$B$193))</f>
        <v>0</v>
      </c>
      <c r="AB87" s="7">
        <f ca="1">-MIN(AB86, AB81/(1-Inputs!$B$193))</f>
        <v>0</v>
      </c>
      <c r="AC87" s="7">
        <f ca="1">-MIN(AC86, AC81/(1-Inputs!$B$193))</f>
        <v>0</v>
      </c>
      <c r="AD87" s="7">
        <f ca="1">-MIN(AD86, AD81/(1-Inputs!$B$193))</f>
        <v>0</v>
      </c>
      <c r="AE87" s="7">
        <f ca="1">-MIN(AE86, AE81/(1-Inputs!$B$193))</f>
        <v>0</v>
      </c>
      <c r="AF87" s="7">
        <f ca="1">-MIN(AF86, AF81/(1-Inputs!$B$193))</f>
        <v>0</v>
      </c>
      <c r="AG87" s="7">
        <f ca="1">-MIN(AG86, AG81/(1-Inputs!$B$193))</f>
        <v>0</v>
      </c>
      <c r="AH87" s="7">
        <f ca="1">-MIN(AH86, AH81/(1-Inputs!$B$193))</f>
        <v>0</v>
      </c>
      <c r="AI87" s="7">
        <f ca="1">-MIN(AI86, AI81/(1-Inputs!$B$193))</f>
        <v>0</v>
      </c>
      <c r="AJ87" s="7">
        <f ca="1">-MIN(AJ86, AJ81/(1-Inputs!$B$193))</f>
        <v>0</v>
      </c>
      <c r="AK87" s="7">
        <f ca="1">-MIN(AK86, AK81/(1-Inputs!$B$193))</f>
        <v>0</v>
      </c>
      <c r="AL87" s="7">
        <f ca="1">-MIN(AL86, AL81/(1-Inputs!$B$193))</f>
        <v>0</v>
      </c>
      <c r="AM87" s="7">
        <f ca="1">-MIN(AM86, AM81/(1-Inputs!$B$193))</f>
        <v>0</v>
      </c>
    </row>
    <row r="88" spans="1:39" x14ac:dyDescent="0.2">
      <c r="A88" s="3" t="s">
        <v>24</v>
      </c>
      <c r="C88" s="7">
        <v>0</v>
      </c>
      <c r="D88" s="7">
        <f t="shared" ref="D88:G88" ca="1" si="50">SUM(D86:D87)*stinc</f>
        <v>2558.9651495311255</v>
      </c>
      <c r="E88" s="7">
        <f t="shared" ca="1" si="50"/>
        <v>2763.6823614936152</v>
      </c>
      <c r="F88" s="7">
        <f t="shared" ca="1" si="50"/>
        <v>2984.7769504131047</v>
      </c>
      <c r="G88" s="7">
        <f t="shared" ca="1" si="50"/>
        <v>3223.5591064461532</v>
      </c>
      <c r="H88" s="7">
        <f t="shared" ref="H88:I88" ca="1" si="51">SUM(H86:H87)*stinc</f>
        <v>3481.4438349618454</v>
      </c>
      <c r="I88" s="7">
        <f t="shared" ca="1" si="51"/>
        <v>3759.959341758793</v>
      </c>
      <c r="J88" s="7">
        <f t="shared" ref="J88:AM88" ca="1" si="52">SUM(J86:J87)*stinc</f>
        <v>4060.7560890994969</v>
      </c>
      <c r="K88" s="7">
        <f t="shared" ca="1" si="52"/>
        <v>4385.6165762274559</v>
      </c>
      <c r="L88" s="7">
        <f t="shared" ca="1" si="52"/>
        <v>4736.4659023256527</v>
      </c>
      <c r="M88" s="7">
        <f t="shared" ca="1" si="52"/>
        <v>5115.383174511705</v>
      </c>
      <c r="N88" s="7">
        <f t="shared" ca="1" si="52"/>
        <v>5524.6138284726403</v>
      </c>
      <c r="O88" s="7">
        <f t="shared" ca="1" si="52"/>
        <v>5966.5829347504514</v>
      </c>
      <c r="P88" s="7">
        <f t="shared" ca="1" si="52"/>
        <v>6443.9095695304868</v>
      </c>
      <c r="Q88" s="7">
        <f t="shared" ca="1" si="52"/>
        <v>6959.422335092926</v>
      </c>
      <c r="R88" s="7">
        <f t="shared" ca="1" si="52"/>
        <v>7516.1761219003602</v>
      </c>
      <c r="S88" s="7">
        <f t="shared" ca="1" si="52"/>
        <v>8117.4702116523895</v>
      </c>
      <c r="T88" s="7">
        <f t="shared" ca="1" si="52"/>
        <v>8766.8678285845799</v>
      </c>
      <c r="U88" s="7">
        <f t="shared" ca="1" si="52"/>
        <v>9468.2172548713461</v>
      </c>
      <c r="V88" s="7">
        <f t="shared" ca="1" si="52"/>
        <v>10225.674635261053</v>
      </c>
      <c r="W88" s="7">
        <f t="shared" ca="1" si="52"/>
        <v>11043.728606081939</v>
      </c>
      <c r="X88" s="7">
        <f t="shared" ca="1" si="52"/>
        <v>11927.226894568494</v>
      </c>
      <c r="Y88" s="7">
        <f t="shared" ca="1" si="52"/>
        <v>12881.405046133974</v>
      </c>
      <c r="Z88" s="7">
        <f t="shared" ca="1" si="52"/>
        <v>13911.917449824692</v>
      </c>
      <c r="AA88" s="7">
        <f t="shared" ca="1" si="52"/>
        <v>15024.870845810667</v>
      </c>
      <c r="AB88" s="7">
        <f t="shared" ca="1" si="52"/>
        <v>16226.86051347552</v>
      </c>
      <c r="AC88" s="7">
        <f t="shared" ca="1" si="52"/>
        <v>17525.00935455356</v>
      </c>
      <c r="AD88" s="7">
        <f t="shared" ca="1" si="52"/>
        <v>18927.010102917844</v>
      </c>
      <c r="AE88" s="7">
        <f t="shared" ca="1" si="52"/>
        <v>20441.170911151272</v>
      </c>
      <c r="AF88" s="7">
        <f t="shared" ca="1" si="52"/>
        <v>22076.464584043377</v>
      </c>
      <c r="AG88" s="7">
        <f t="shared" ca="1" si="52"/>
        <v>23842.581750766843</v>
      </c>
      <c r="AH88" s="7">
        <f t="shared" ca="1" si="52"/>
        <v>25749.988290828191</v>
      </c>
      <c r="AI88" s="7">
        <f t="shared" ca="1" si="52"/>
        <v>27809.987354094446</v>
      </c>
      <c r="AJ88" s="7">
        <f t="shared" ca="1" si="52"/>
        <v>30034.786342422005</v>
      </c>
      <c r="AK88" s="7">
        <f t="shared" ca="1" si="52"/>
        <v>32437.569249815766</v>
      </c>
      <c r="AL88" s="7">
        <f t="shared" ca="1" si="52"/>
        <v>35032.574789801023</v>
      </c>
      <c r="AM88" s="7">
        <f t="shared" ca="1" si="52"/>
        <v>37835.180772985106</v>
      </c>
    </row>
    <row r="89" spans="1:39" x14ac:dyDescent="0.2">
      <c r="A89" s="3" t="s">
        <v>25</v>
      </c>
      <c r="C89" s="7">
        <f ca="1">SUM(C86:C88)</f>
        <v>31987.064369139065</v>
      </c>
      <c r="D89" s="7">
        <f ca="1">SUM(D86:D88)</f>
        <v>34546.029518670191</v>
      </c>
      <c r="E89" s="7">
        <f t="shared" ref="E89:AM89" ca="1" si="53">SUM(E86:E88)</f>
        <v>37309.711880163806</v>
      </c>
      <c r="F89" s="7">
        <f t="shared" ca="1" si="53"/>
        <v>40294.488830576913</v>
      </c>
      <c r="G89" s="7">
        <f t="shared" ca="1" si="53"/>
        <v>43518.047937023068</v>
      </c>
      <c r="H89" s="7">
        <f t="shared" ca="1" si="53"/>
        <v>46999.491771984911</v>
      </c>
      <c r="I89" s="7">
        <f t="shared" ca="1" si="53"/>
        <v>50759.451113743708</v>
      </c>
      <c r="J89" s="7">
        <f t="shared" ca="1" si="53"/>
        <v>54820.207202843201</v>
      </c>
      <c r="K89" s="7">
        <f t="shared" ca="1" si="53"/>
        <v>59205.823779070655</v>
      </c>
      <c r="L89" s="7">
        <f t="shared" ca="1" si="53"/>
        <v>63942.289681396309</v>
      </c>
      <c r="M89" s="7">
        <f t="shared" ca="1" si="53"/>
        <v>69057.672855908007</v>
      </c>
      <c r="N89" s="7">
        <f t="shared" ca="1" si="53"/>
        <v>74582.286684380641</v>
      </c>
      <c r="O89" s="7">
        <f t="shared" ca="1" si="53"/>
        <v>80548.869619131088</v>
      </c>
      <c r="P89" s="7">
        <f t="shared" ca="1" si="53"/>
        <v>86992.779188661574</v>
      </c>
      <c r="Q89" s="7">
        <f t="shared" ca="1" si="53"/>
        <v>93952.201523754498</v>
      </c>
      <c r="R89" s="7">
        <f t="shared" ca="1" si="53"/>
        <v>101468.37764565487</v>
      </c>
      <c r="S89" s="7">
        <f t="shared" ca="1" si="53"/>
        <v>109585.84785730725</v>
      </c>
      <c r="T89" s="7">
        <f t="shared" ca="1" si="53"/>
        <v>118352.71568589183</v>
      </c>
      <c r="U89" s="7">
        <f t="shared" ca="1" si="53"/>
        <v>127820.93294076317</v>
      </c>
      <c r="V89" s="7">
        <f t="shared" ca="1" si="53"/>
        <v>138046.60757602422</v>
      </c>
      <c r="W89" s="7">
        <f t="shared" ca="1" si="53"/>
        <v>149090.33618210617</v>
      </c>
      <c r="X89" s="7">
        <f t="shared" ca="1" si="53"/>
        <v>161017.56307667468</v>
      </c>
      <c r="Y89" s="7">
        <f t="shared" ca="1" si="53"/>
        <v>173898.96812280864</v>
      </c>
      <c r="Z89" s="7">
        <f t="shared" ca="1" si="53"/>
        <v>187810.88557263333</v>
      </c>
      <c r="AA89" s="7">
        <f t="shared" ca="1" si="53"/>
        <v>202835.75641844398</v>
      </c>
      <c r="AB89" s="7">
        <f t="shared" ca="1" si="53"/>
        <v>219062.6169319195</v>
      </c>
      <c r="AC89" s="7">
        <f t="shared" ca="1" si="53"/>
        <v>236587.62628647307</v>
      </c>
      <c r="AD89" s="7">
        <f t="shared" ca="1" si="53"/>
        <v>255514.63638939091</v>
      </c>
      <c r="AE89" s="7">
        <f t="shared" ca="1" si="53"/>
        <v>275955.80730054219</v>
      </c>
      <c r="AF89" s="7">
        <f t="shared" ca="1" si="53"/>
        <v>298032.27188458556</v>
      </c>
      <c r="AG89" s="7">
        <f t="shared" ca="1" si="53"/>
        <v>321874.8536353524</v>
      </c>
      <c r="AH89" s="7">
        <f t="shared" ca="1" si="53"/>
        <v>347624.84192618058</v>
      </c>
      <c r="AI89" s="7">
        <f t="shared" ca="1" si="53"/>
        <v>375434.82928027504</v>
      </c>
      <c r="AJ89" s="7">
        <f t="shared" ca="1" si="53"/>
        <v>405469.61562269705</v>
      </c>
      <c r="AK89" s="7">
        <f t="shared" ca="1" si="53"/>
        <v>437907.18487251282</v>
      </c>
      <c r="AL89" s="7">
        <f t="shared" ca="1" si="53"/>
        <v>472939.75966231385</v>
      </c>
      <c r="AM89" s="7">
        <f t="shared" ca="1" si="53"/>
        <v>510774.94043529895</v>
      </c>
    </row>
    <row r="90" spans="1:39" x14ac:dyDescent="0.2">
      <c r="A90" s="3" t="s">
        <v>26</v>
      </c>
      <c r="C90" s="7">
        <f ca="1">C87*Inputs!$B$193</f>
        <v>0</v>
      </c>
      <c r="D90" s="7">
        <f ca="1">D87*Inputs!$B$193</f>
        <v>0</v>
      </c>
      <c r="E90" s="7">
        <f ca="1">E87*Inputs!$B$193</f>
        <v>0</v>
      </c>
      <c r="F90" s="7">
        <f ca="1">F87*Inputs!$B$193</f>
        <v>0</v>
      </c>
      <c r="G90" s="7">
        <f ca="1">G87*Inputs!$B$193</f>
        <v>0</v>
      </c>
      <c r="H90" s="7">
        <f ca="1">H87*Inputs!$B$193</f>
        <v>0</v>
      </c>
      <c r="I90" s="7">
        <f ca="1">I87*Inputs!$B$193</f>
        <v>0</v>
      </c>
      <c r="J90" s="7">
        <f ca="1">J87*Inputs!$B$193</f>
        <v>0</v>
      </c>
      <c r="K90" s="7">
        <f ca="1">K87*Inputs!$B$193</f>
        <v>0</v>
      </c>
      <c r="L90" s="7">
        <f ca="1">L87*Inputs!$B$193</f>
        <v>0</v>
      </c>
      <c r="M90" s="7">
        <f ca="1">M87*Inputs!$B$193</f>
        <v>0</v>
      </c>
      <c r="N90" s="7">
        <f ca="1">N87*Inputs!$B$193</f>
        <v>0</v>
      </c>
      <c r="O90" s="7">
        <f ca="1">O87*Inputs!$B$193</f>
        <v>0</v>
      </c>
      <c r="P90" s="7">
        <f ca="1">P87*Inputs!$B$193</f>
        <v>0</v>
      </c>
      <c r="Q90" s="7">
        <f ca="1">Q87*Inputs!$B$193</f>
        <v>0</v>
      </c>
      <c r="R90" s="7">
        <f ca="1">R87*Inputs!$B$193</f>
        <v>0</v>
      </c>
      <c r="S90" s="7">
        <f ca="1">S87*Inputs!$B$193</f>
        <v>0</v>
      </c>
      <c r="T90" s="7">
        <f ca="1">T87*Inputs!$B$193</f>
        <v>0</v>
      </c>
      <c r="U90" s="7">
        <f ca="1">U87*Inputs!$B$193</f>
        <v>0</v>
      </c>
      <c r="V90" s="7">
        <f ca="1">V87*Inputs!$B$193</f>
        <v>0</v>
      </c>
      <c r="W90" s="7">
        <f ca="1">W87*Inputs!$B$193</f>
        <v>0</v>
      </c>
      <c r="X90" s="7">
        <f ca="1">X87*Inputs!$B$193</f>
        <v>0</v>
      </c>
      <c r="Y90" s="7">
        <f ca="1">Y87*Inputs!$B$193</f>
        <v>0</v>
      </c>
      <c r="Z90" s="7">
        <f ca="1">Z87*Inputs!$B$193</f>
        <v>0</v>
      </c>
      <c r="AA90" s="7">
        <f ca="1">AA87*Inputs!$B$193</f>
        <v>0</v>
      </c>
      <c r="AB90" s="7">
        <f ca="1">AB87*Inputs!$B$193</f>
        <v>0</v>
      </c>
      <c r="AC90" s="7">
        <f ca="1">AC87*Inputs!$B$193</f>
        <v>0</v>
      </c>
      <c r="AD90" s="7">
        <f ca="1">AD87*Inputs!$B$193</f>
        <v>0</v>
      </c>
      <c r="AE90" s="7">
        <f ca="1">AE87*Inputs!$B$193</f>
        <v>0</v>
      </c>
      <c r="AF90" s="7">
        <f ca="1">AF87*Inputs!$B$193</f>
        <v>0</v>
      </c>
      <c r="AG90" s="7">
        <f ca="1">AG87*Inputs!$B$193</f>
        <v>0</v>
      </c>
      <c r="AH90" s="7">
        <f ca="1">AH87*Inputs!$B$193</f>
        <v>0</v>
      </c>
      <c r="AI90" s="7">
        <f ca="1">AI87*Inputs!$B$193</f>
        <v>0</v>
      </c>
      <c r="AJ90" s="7">
        <f ca="1">AJ87*Inputs!$B$193</f>
        <v>0</v>
      </c>
      <c r="AK90" s="7">
        <f ca="1">AK87*Inputs!$B$193</f>
        <v>0</v>
      </c>
      <c r="AL90" s="7">
        <f ca="1">AL87*Inputs!$B$193</f>
        <v>0</v>
      </c>
      <c r="AM90" s="7">
        <f ca="1">AM87*Inputs!$B$193</f>
        <v>0</v>
      </c>
    </row>
    <row r="91" spans="1:39" x14ac:dyDescent="0.2">
      <c r="A91" s="3" t="s">
        <v>37</v>
      </c>
      <c r="C91" s="7">
        <f ca="1">-C87+C90</f>
        <v>0</v>
      </c>
      <c r="D91" s="7">
        <f t="shared" ref="D91:AM91" ca="1" si="54">-D87+D90</f>
        <v>0</v>
      </c>
      <c r="E91" s="7">
        <f t="shared" ca="1" si="54"/>
        <v>0</v>
      </c>
      <c r="F91" s="7">
        <f t="shared" ca="1" si="54"/>
        <v>0</v>
      </c>
      <c r="G91" s="7">
        <f t="shared" ca="1" si="54"/>
        <v>0</v>
      </c>
      <c r="H91" s="7">
        <f t="shared" ca="1" si="54"/>
        <v>0</v>
      </c>
      <c r="I91" s="7">
        <f t="shared" ca="1" si="54"/>
        <v>0</v>
      </c>
      <c r="J91" s="7">
        <f t="shared" ca="1" si="54"/>
        <v>0</v>
      </c>
      <c r="K91" s="7">
        <f t="shared" ca="1" si="54"/>
        <v>0</v>
      </c>
      <c r="L91" s="7">
        <f t="shared" ca="1" si="54"/>
        <v>0</v>
      </c>
      <c r="M91" s="7">
        <f t="shared" ca="1" si="54"/>
        <v>0</v>
      </c>
      <c r="N91" s="7">
        <f t="shared" ca="1" si="54"/>
        <v>0</v>
      </c>
      <c r="O91" s="7">
        <f t="shared" ca="1" si="54"/>
        <v>0</v>
      </c>
      <c r="P91" s="7">
        <f t="shared" ca="1" si="54"/>
        <v>0</v>
      </c>
      <c r="Q91" s="7">
        <f t="shared" ca="1" si="54"/>
        <v>0</v>
      </c>
      <c r="R91" s="7">
        <f t="shared" ca="1" si="54"/>
        <v>0</v>
      </c>
      <c r="S91" s="7">
        <f t="shared" ca="1" si="54"/>
        <v>0</v>
      </c>
      <c r="T91" s="7">
        <f t="shared" ca="1" si="54"/>
        <v>0</v>
      </c>
      <c r="U91" s="7">
        <f t="shared" ca="1" si="54"/>
        <v>0</v>
      </c>
      <c r="V91" s="7">
        <f t="shared" ca="1" si="54"/>
        <v>0</v>
      </c>
      <c r="W91" s="7">
        <f t="shared" ca="1" si="54"/>
        <v>0</v>
      </c>
      <c r="X91" s="7">
        <f t="shared" ca="1" si="54"/>
        <v>0</v>
      </c>
      <c r="Y91" s="7">
        <f t="shared" ca="1" si="54"/>
        <v>0</v>
      </c>
      <c r="Z91" s="7">
        <f t="shared" ca="1" si="54"/>
        <v>0</v>
      </c>
      <c r="AA91" s="7">
        <f t="shared" ca="1" si="54"/>
        <v>0</v>
      </c>
      <c r="AB91" s="7">
        <f t="shared" ca="1" si="54"/>
        <v>0</v>
      </c>
      <c r="AC91" s="7">
        <f t="shared" ca="1" si="54"/>
        <v>0</v>
      </c>
      <c r="AD91" s="7">
        <f t="shared" ca="1" si="54"/>
        <v>0</v>
      </c>
      <c r="AE91" s="7">
        <f t="shared" ca="1" si="54"/>
        <v>0</v>
      </c>
      <c r="AF91" s="7">
        <f t="shared" ca="1" si="54"/>
        <v>0</v>
      </c>
      <c r="AG91" s="7">
        <f t="shared" ca="1" si="54"/>
        <v>0</v>
      </c>
      <c r="AH91" s="7">
        <f t="shared" ca="1" si="54"/>
        <v>0</v>
      </c>
      <c r="AI91" s="7">
        <f t="shared" ca="1" si="54"/>
        <v>0</v>
      </c>
      <c r="AJ91" s="7">
        <f t="shared" ca="1" si="54"/>
        <v>0</v>
      </c>
      <c r="AK91" s="7">
        <f t="shared" ca="1" si="54"/>
        <v>0</v>
      </c>
      <c r="AL91" s="7">
        <f t="shared" ca="1" si="54"/>
        <v>0</v>
      </c>
      <c r="AM91" s="7">
        <f t="shared" ca="1" si="54"/>
        <v>0</v>
      </c>
    </row>
    <row r="92" spans="1:39" x14ac:dyDescent="0.2">
      <c r="A92" s="4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  <c r="AB92" s="7"/>
      <c r="AC92" s="7"/>
      <c r="AD92" s="7"/>
      <c r="AE92" s="7"/>
      <c r="AF92" s="7"/>
      <c r="AG92" s="7"/>
      <c r="AH92" s="7"/>
      <c r="AI92" s="7"/>
      <c r="AJ92" s="7"/>
      <c r="AK92" s="7"/>
      <c r="AL92" s="7"/>
      <c r="AM92" s="7"/>
    </row>
    <row r="93" spans="1:39" x14ac:dyDescent="0.2">
      <c r="A93" s="3" t="s">
        <v>77</v>
      </c>
      <c r="C93" s="7">
        <f ca="1">C80+SUM($C91:C91)</f>
        <v>33136.875000000015</v>
      </c>
      <c r="D93" s="7">
        <f ca="1">D80+SUM($C91:D91)</f>
        <v>57140.903125000026</v>
      </c>
      <c r="E93" s="7">
        <f ca="1">E80+SUM($C91:E91)</f>
        <v>87759.433828125038</v>
      </c>
      <c r="F93" s="7">
        <f ca="1">F80+SUM($C91:F91)</f>
        <v>99100.176411377644</v>
      </c>
      <c r="G93" s="7">
        <f ca="1">G80+SUM($C91:G91)</f>
        <v>142148.90012508008</v>
      </c>
      <c r="H93" s="7">
        <f ca="1">H80+SUM($C91:H91)</f>
        <v>192078.05562310934</v>
      </c>
      <c r="I93" s="7">
        <f ca="1">I80+SUM($C91:I91)</f>
        <v>266036.18242333515</v>
      </c>
      <c r="J93" s="7">
        <f ca="1">J80+SUM($C91:J91)</f>
        <v>339084.48685026687</v>
      </c>
      <c r="K93" s="7">
        <f ca="1">K80+SUM($C91:K91)</f>
        <v>398970.23861694947</v>
      </c>
      <c r="L93" s="7">
        <f ca="1">L80+SUM($C91:L91)</f>
        <v>546536.87203851226</v>
      </c>
      <c r="M93" s="7">
        <f ca="1">M80+SUM($C91:M91)</f>
        <v>605652.23085092264</v>
      </c>
      <c r="N93" s="7">
        <f ca="1">N80+SUM($C91:N91)</f>
        <v>718618.88271131995</v>
      </c>
      <c r="O93" s="7">
        <f ca="1">O80+SUM($C91:O91)</f>
        <v>837633.29830874666</v>
      </c>
      <c r="P93" s="7">
        <f ca="1">P80+SUM($C91:P91)</f>
        <v>962951.35058629012</v>
      </c>
      <c r="Q93" s="7">
        <f ca="1">Q80+SUM($C91:Q91)</f>
        <v>1094838.6489492662</v>
      </c>
      <c r="R93" s="7">
        <f ca="1">R80+SUM($C91:R91)</f>
        <v>1233570.8878477628</v>
      </c>
      <c r="S93" s="7">
        <f ca="1">S80+SUM($C91:S91)</f>
        <v>1379434.2073534238</v>
      </c>
      <c r="T93" s="7">
        <f ca="1">T80+SUM($C91:T91)</f>
        <v>1423495.1237488878</v>
      </c>
      <c r="U93" s="7">
        <f ca="1">U80+SUM($C91:U91)</f>
        <v>1477057.089307287</v>
      </c>
      <c r="V93" s="7">
        <f ca="1">V80+SUM($C91:V91)</f>
        <v>1532680.5274795629</v>
      </c>
      <c r="W93" s="7">
        <f ca="1">W80+SUM($C91:W91)</f>
        <v>1590443.9774315846</v>
      </c>
      <c r="X93" s="7">
        <f ca="1">X80+SUM($C91:X91)</f>
        <v>1650428.88512004</v>
      </c>
      <c r="Y93" s="7">
        <f ca="1">Y80+SUM($C91:Y91)</f>
        <v>1691802.6151119878</v>
      </c>
      <c r="Z93" s="7">
        <f ca="1">Z80+SUM($C91:Z91)</f>
        <v>1734523.9813424624</v>
      </c>
      <c r="AA93" s="7">
        <f ca="1">AA80+SUM($C91:AA91)</f>
        <v>1778644.5710759091</v>
      </c>
      <c r="AB93" s="7">
        <f ca="1">AB80+SUM($C91:AB91)</f>
        <v>1824218.0105883591</v>
      </c>
      <c r="AC93" s="7">
        <f ca="1">AC80+SUM($C91:AC91)</f>
        <v>1871300.0439335995</v>
      </c>
      <c r="AD93" s="7">
        <f ca="1">AD80+SUM($C91:AD91)</f>
        <v>1919948.6146449971</v>
      </c>
      <c r="AE93" s="7">
        <f ca="1">AE80+SUM($C91:AE91)</f>
        <v>1980331.2065111429</v>
      </c>
      <c r="AF93" s="7">
        <f ca="1">AF80+SUM($C91:AF91)</f>
        <v>2042908.5261740466</v>
      </c>
      <c r="AG93" s="7">
        <f ca="1">AG80+SUM($C91:AG91)</f>
        <v>2107764.5878862576</v>
      </c>
      <c r="AH93" s="7">
        <f ca="1">AH80+SUM($C91:AH91)</f>
        <v>2174986.5954175591</v>
      </c>
      <c r="AI93" s="7">
        <f ca="1">AI80+SUM($C91:AI91)</f>
        <v>2244665.0598372058</v>
      </c>
      <c r="AJ93" s="7">
        <f ca="1">AJ80+SUM($C91:AJ91)</f>
        <v>2316893.9215162839</v>
      </c>
      <c r="AK93" s="7">
        <f ca="1">AK80+SUM($C91:AK91)</f>
        <v>2391770.6764973206</v>
      </c>
      <c r="AL93" s="7">
        <f ca="1">AL80+SUM($C91:AL91)</f>
        <v>2469396.5073832762</v>
      </c>
      <c r="AM93" s="7">
        <f ca="1">AM80+SUM($C91:AM91)</f>
        <v>2549876.4189032381</v>
      </c>
    </row>
    <row r="94" spans="1:39" x14ac:dyDescent="0.2">
      <c r="A94" s="3" t="s">
        <v>20</v>
      </c>
      <c r="C94" s="7">
        <f ca="1">IF(C93&lt;0,-C93,0)</f>
        <v>0</v>
      </c>
      <c r="D94" s="7">
        <f ca="1">IF(D93+SUM($C94:C94)&lt;0,-(D93+SUM($C94:C94)),0)</f>
        <v>0</v>
      </c>
      <c r="E94" s="7">
        <f ca="1">IF(E93+SUM($C94:D94)&lt;0,-(E93+SUM($C94:D94)),0)</f>
        <v>0</v>
      </c>
      <c r="F94" s="7">
        <f ca="1">IF(F93+SUM($C94:E94)&lt;0,-(F93+SUM($C94:E94)),0)</f>
        <v>0</v>
      </c>
      <c r="G94" s="7">
        <f ca="1">IF(G93+SUM($C94:F94)&lt;0,-(G93+SUM($C94:F94)),0)</f>
        <v>0</v>
      </c>
      <c r="H94" s="7">
        <f ca="1">IF(H93+SUM($C94:G94)&lt;0,-(H93+SUM($C94:G94)),0)</f>
        <v>0</v>
      </c>
      <c r="I94" s="7">
        <f ca="1">IF(I93+SUM($C94:H94)&lt;0,-(I93+SUM($C94:H94)),0)</f>
        <v>0</v>
      </c>
      <c r="J94" s="7">
        <f ca="1">IF(J93+SUM($C94:I94)&lt;0,-(J93+SUM($C94:I94)),0)</f>
        <v>0</v>
      </c>
      <c r="K94" s="7">
        <f ca="1">IF(K93+SUM($C94:J94)&lt;0,-(K93+SUM($C94:J94)),0)</f>
        <v>0</v>
      </c>
      <c r="L94" s="7">
        <f ca="1">IF(L93+SUM($C94:K94)&lt;0,-(L93+SUM($C94:K94)),0)</f>
        <v>0</v>
      </c>
      <c r="M94" s="7">
        <f ca="1">IF(M93+SUM($C94:L94)&lt;0,-(M93+SUM($C94:L94)),0)</f>
        <v>0</v>
      </c>
      <c r="N94" s="7">
        <f ca="1">IF(N93+SUM($C94:M94)&lt;0,-(N93+SUM($C94:M94)),0)</f>
        <v>0</v>
      </c>
      <c r="O94" s="7">
        <f ca="1">IF(O93+SUM($C94:N94)&lt;0,-(O93+SUM($C94:N94)),0)</f>
        <v>0</v>
      </c>
      <c r="P94" s="7">
        <f ca="1">IF(P93+SUM($C94:O94)&lt;0,-(P93+SUM($C94:O94)),0)</f>
        <v>0</v>
      </c>
      <c r="Q94" s="7">
        <f ca="1">IF(Q93+SUM($C94:P94)&lt;0,-(Q93+SUM($C94:P94)),0)</f>
        <v>0</v>
      </c>
      <c r="R94" s="7">
        <f ca="1">IF(R93+SUM($C94:Q94)&lt;0,-(R93+SUM($C94:Q94)),0)</f>
        <v>0</v>
      </c>
      <c r="S94" s="7">
        <f ca="1">IF(S93+SUM($C94:R94)&lt;0,-(S93+SUM($C94:R94)),0)</f>
        <v>0</v>
      </c>
      <c r="T94" s="7">
        <f ca="1">IF(T93+SUM($C94:S94)&lt;0,-(T93+SUM($C94:S94)),0)</f>
        <v>0</v>
      </c>
      <c r="U94" s="7">
        <f ca="1">IF(U93+SUM($C94:T94)&lt;0,-(U93+SUM($C94:T94)),0)</f>
        <v>0</v>
      </c>
      <c r="V94" s="7">
        <f ca="1">IF(V93+SUM($C94:U94)&lt;0,-(V93+SUM($C94:U94)),0)</f>
        <v>0</v>
      </c>
      <c r="W94" s="7">
        <f ca="1">IF(W93+SUM($C94:V94)&lt;0,-(W93+SUM($C94:V94)),0)</f>
        <v>0</v>
      </c>
      <c r="X94" s="7">
        <f ca="1">IF(X93+SUM($C94:W94)&lt;0,-(X93+SUM($C94:W94)),0)</f>
        <v>0</v>
      </c>
      <c r="Y94" s="7">
        <f ca="1">IF(Y93+SUM($C94:X94)&lt;0,-(Y93+SUM($C94:X94)),0)</f>
        <v>0</v>
      </c>
      <c r="Z94" s="7">
        <f ca="1">IF(Z93+SUM($C94:Y94)&lt;0,-(Z93+SUM($C94:Y94)),0)</f>
        <v>0</v>
      </c>
      <c r="AA94" s="7">
        <f ca="1">IF(AA93+SUM($C94:Z94)&lt;0,-(AA93+SUM($C94:Z94)),0)</f>
        <v>0</v>
      </c>
      <c r="AB94" s="7">
        <f ca="1">IF(AB93+SUM($C94:AA94)&lt;0,-(AB93+SUM($C94:AA94)),0)</f>
        <v>0</v>
      </c>
      <c r="AC94" s="7">
        <f ca="1">IF(AC93+SUM($C94:AB94)&lt;0,-(AC93+SUM($C94:AB94)),0)</f>
        <v>0</v>
      </c>
      <c r="AD94" s="7">
        <f ca="1">IF(AD93+SUM($C94:AC94)&lt;0,-(AD93+SUM($C94:AC94)),0)</f>
        <v>0</v>
      </c>
      <c r="AE94" s="7">
        <f ca="1">IF(AE93+SUM($C94:AD94)&lt;0,-(AE93+SUM($C94:AD94)),0)</f>
        <v>0</v>
      </c>
      <c r="AF94" s="7">
        <f ca="1">IF(AF93+SUM($C94:AE94)&lt;0,-(AF93+SUM($C94:AE94)),0)</f>
        <v>0</v>
      </c>
      <c r="AG94" s="7">
        <f ca="1">IF(AG93+SUM($C94:AF94)&lt;0,-(AG93+SUM($C94:AF94)),0)</f>
        <v>0</v>
      </c>
      <c r="AH94" s="7">
        <f ca="1">IF(AH93+SUM($C94:AG94)&lt;0,-(AH93+SUM($C94:AG94)),0)</f>
        <v>0</v>
      </c>
      <c r="AI94" s="7">
        <f ca="1">IF(AI93+SUM($C94:AH94)&lt;0,-(AI93+SUM($C94:AH94)),0)</f>
        <v>0</v>
      </c>
      <c r="AJ94" s="7">
        <f ca="1">IF(AJ93+SUM($C94:AI94)&lt;0,-(AJ93+SUM($C94:AI94)),0)</f>
        <v>0</v>
      </c>
      <c r="AK94" s="7">
        <f ca="1">IF(AK93+SUM($C94:AJ94)&lt;0,-(AK93+SUM($C94:AJ94)),0)</f>
        <v>0</v>
      </c>
      <c r="AL94" s="7">
        <f ca="1">IF(AL93+SUM($C94:AK94)&lt;0,-(AL93+SUM($C94:AK94)),0)</f>
        <v>0</v>
      </c>
      <c r="AM94" s="7">
        <f ca="1">IF(AM93+SUM($C94:AL94)&lt;0,-(AM93+SUM($C94:AL94)),0)</f>
        <v>0</v>
      </c>
    </row>
    <row r="95" spans="1:39" x14ac:dyDescent="0.2">
      <c r="A95" s="3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  <c r="AB95" s="7"/>
      <c r="AC95" s="7"/>
      <c r="AD95" s="7"/>
      <c r="AE95" s="7"/>
      <c r="AF95" s="7"/>
      <c r="AG95" s="7"/>
      <c r="AH95" s="7"/>
      <c r="AI95" s="7"/>
      <c r="AJ95" s="7"/>
      <c r="AK95" s="7"/>
      <c r="AL95" s="7"/>
      <c r="AM95" s="7"/>
    </row>
    <row r="96" spans="1:39" x14ac:dyDescent="0.2">
      <c r="A96" s="24" t="str">
        <f>IF(Inputs!$B$197=6,IFERROR(_xlfn.XLOOKUP($B96,Inputs!$B$198:$B$202,Inputs!$A$198:$A$202,,0,1),""),IFERROR(_xlfn.XLOOKUP($B96,Inputs!$C$198:$C$202,Inputs!$A$198:$A$202,,0,1),""))</f>
        <v>Gudja</v>
      </c>
      <c r="B96" s="26">
        <v>1</v>
      </c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  <c r="AB96" s="7"/>
      <c r="AC96" s="7"/>
      <c r="AD96" s="7"/>
      <c r="AE96" s="7"/>
      <c r="AF96" s="7"/>
      <c r="AG96" s="7"/>
      <c r="AH96" s="7"/>
      <c r="AI96" s="7"/>
      <c r="AJ96" s="7"/>
      <c r="AK96" s="7"/>
      <c r="AL96" s="7"/>
      <c r="AM96" s="7"/>
    </row>
    <row r="97" spans="1:39" x14ac:dyDescent="0.2">
      <c r="A97" s="3" t="s">
        <v>22</v>
      </c>
      <c r="C97" s="7">
        <f ca="1">IFERROR(VLOOKUP($A96,$A$60:$H$78,C$1+2,FALSE),0)</f>
        <v>81995.057403059982</v>
      </c>
      <c r="D97" s="7">
        <f ca="1">C100</f>
        <v>81995.057403059982</v>
      </c>
      <c r="E97" s="7">
        <f t="shared" ref="E97:AM97" ca="1" si="55">D100</f>
        <v>84454.909125151782</v>
      </c>
      <c r="F97" s="7">
        <f t="shared" ca="1" si="55"/>
        <v>86988.556398906338</v>
      </c>
      <c r="G97" s="7">
        <f t="shared" ca="1" si="55"/>
        <v>89598.213090873527</v>
      </c>
      <c r="H97" s="7">
        <f t="shared" ca="1" si="55"/>
        <v>92286.159483599738</v>
      </c>
      <c r="I97" s="7">
        <f t="shared" ca="1" si="55"/>
        <v>95054.744268107737</v>
      </c>
      <c r="J97" s="7">
        <f t="shared" ca="1" si="55"/>
        <v>97906.386596150973</v>
      </c>
      <c r="K97" s="7">
        <f t="shared" ca="1" si="55"/>
        <v>100843.57819403551</v>
      </c>
      <c r="L97" s="7">
        <f t="shared" ca="1" si="55"/>
        <v>103868.88553985658</v>
      </c>
      <c r="M97" s="7">
        <f t="shared" ca="1" si="55"/>
        <v>106984.95210605228</v>
      </c>
      <c r="N97" s="7">
        <f t="shared" ca="1" si="55"/>
        <v>110194.50066923385</v>
      </c>
      <c r="O97" s="7">
        <f t="shared" ca="1" si="55"/>
        <v>113500.33568931087</v>
      </c>
      <c r="P97" s="7">
        <f t="shared" ca="1" si="55"/>
        <v>116905.3457599902</v>
      </c>
      <c r="Q97" s="7">
        <f t="shared" ca="1" si="55"/>
        <v>120412.5061327899</v>
      </c>
      <c r="R97" s="7">
        <f t="shared" ca="1" si="55"/>
        <v>124024.88131677359</v>
      </c>
      <c r="S97" s="7">
        <f t="shared" ca="1" si="55"/>
        <v>127745.62775627681</v>
      </c>
      <c r="T97" s="7">
        <f t="shared" ca="1" si="55"/>
        <v>131577.99658896512</v>
      </c>
      <c r="U97" s="7">
        <f t="shared" ca="1" si="55"/>
        <v>135525.33648663407</v>
      </c>
      <c r="V97" s="7">
        <f t="shared" ca="1" si="55"/>
        <v>139591.09658123308</v>
      </c>
      <c r="W97" s="7">
        <f t="shared" ca="1" si="55"/>
        <v>143778.82947867009</v>
      </c>
      <c r="X97" s="7">
        <f t="shared" ca="1" si="55"/>
        <v>148092.1943630302</v>
      </c>
      <c r="Y97" s="7">
        <f t="shared" ca="1" si="55"/>
        <v>152534.96019392111</v>
      </c>
      <c r="Z97" s="7">
        <f t="shared" ca="1" si="55"/>
        <v>157111.00899973875</v>
      </c>
      <c r="AA97" s="7">
        <f t="shared" ca="1" si="55"/>
        <v>161824.3392697309</v>
      </c>
      <c r="AB97" s="7">
        <f t="shared" ca="1" si="55"/>
        <v>166679.06944782284</v>
      </c>
      <c r="AC97" s="7">
        <f t="shared" ca="1" si="55"/>
        <v>171679.44153125753</v>
      </c>
      <c r="AD97" s="7">
        <f t="shared" ca="1" si="55"/>
        <v>176829.82477719526</v>
      </c>
      <c r="AE97" s="7">
        <f t="shared" ca="1" si="55"/>
        <v>182134.71952051111</v>
      </c>
      <c r="AF97" s="7">
        <f t="shared" ca="1" si="55"/>
        <v>187598.76110612645</v>
      </c>
      <c r="AG97" s="7">
        <f t="shared" ca="1" si="55"/>
        <v>193226.72393931024</v>
      </c>
      <c r="AH97" s="7">
        <f t="shared" ca="1" si="55"/>
        <v>199023.52565748955</v>
      </c>
      <c r="AI97" s="7">
        <f t="shared" ca="1" si="55"/>
        <v>204994.23142721422</v>
      </c>
      <c r="AJ97" s="7">
        <f t="shared" ca="1" si="55"/>
        <v>211144.05837003066</v>
      </c>
      <c r="AK97" s="7">
        <f t="shared" ca="1" si="55"/>
        <v>217478.38012113157</v>
      </c>
      <c r="AL97" s="7">
        <f t="shared" ca="1" si="55"/>
        <v>224002.73152476552</v>
      </c>
      <c r="AM97" s="7">
        <f t="shared" ca="1" si="55"/>
        <v>230722.8134705085</v>
      </c>
    </row>
    <row r="98" spans="1:39" x14ac:dyDescent="0.2">
      <c r="A98" s="3" t="s">
        <v>23</v>
      </c>
      <c r="C98" s="7">
        <f ca="1">-IF(SUM(C94:D94)&gt;0,C97,0)</f>
        <v>0</v>
      </c>
      <c r="D98" s="7">
        <f ca="1">-IF(E94&gt;0,D97,0)</f>
        <v>0</v>
      </c>
      <c r="E98" s="7">
        <f ca="1">-IF(F94&gt;0,E97,0)</f>
        <v>0</v>
      </c>
      <c r="F98" s="7">
        <f ca="1">-IF(G94&gt;0,F97,0)</f>
        <v>0</v>
      </c>
      <c r="G98" s="7">
        <f t="shared" ref="G98:AM98" ca="1" si="56">-IF(H94&gt;0,G97,0)</f>
        <v>0</v>
      </c>
      <c r="H98" s="7">
        <f t="shared" ca="1" si="56"/>
        <v>0</v>
      </c>
      <c r="I98" s="7">
        <f t="shared" ca="1" si="56"/>
        <v>0</v>
      </c>
      <c r="J98" s="7">
        <f t="shared" ca="1" si="56"/>
        <v>0</v>
      </c>
      <c r="K98" s="7">
        <f t="shared" ca="1" si="56"/>
        <v>0</v>
      </c>
      <c r="L98" s="7">
        <f t="shared" ca="1" si="56"/>
        <v>0</v>
      </c>
      <c r="M98" s="7">
        <f t="shared" ca="1" si="56"/>
        <v>0</v>
      </c>
      <c r="N98" s="7">
        <f t="shared" ca="1" si="56"/>
        <v>0</v>
      </c>
      <c r="O98" s="7">
        <f t="shared" ca="1" si="56"/>
        <v>0</v>
      </c>
      <c r="P98" s="7">
        <f t="shared" ca="1" si="56"/>
        <v>0</v>
      </c>
      <c r="Q98" s="7">
        <f t="shared" ca="1" si="56"/>
        <v>0</v>
      </c>
      <c r="R98" s="7">
        <f t="shared" ca="1" si="56"/>
        <v>0</v>
      </c>
      <c r="S98" s="7">
        <f t="shared" ca="1" si="56"/>
        <v>0</v>
      </c>
      <c r="T98" s="7">
        <f t="shared" ca="1" si="56"/>
        <v>0</v>
      </c>
      <c r="U98" s="7">
        <f t="shared" ca="1" si="56"/>
        <v>0</v>
      </c>
      <c r="V98" s="7">
        <f t="shared" ca="1" si="56"/>
        <v>0</v>
      </c>
      <c r="W98" s="7">
        <f t="shared" ca="1" si="56"/>
        <v>0</v>
      </c>
      <c r="X98" s="7">
        <f t="shared" ca="1" si="56"/>
        <v>0</v>
      </c>
      <c r="Y98" s="7">
        <f t="shared" ca="1" si="56"/>
        <v>0</v>
      </c>
      <c r="Z98" s="7">
        <f t="shared" ca="1" si="56"/>
        <v>0</v>
      </c>
      <c r="AA98" s="7">
        <f t="shared" ca="1" si="56"/>
        <v>0</v>
      </c>
      <c r="AB98" s="7">
        <f t="shared" ca="1" si="56"/>
        <v>0</v>
      </c>
      <c r="AC98" s="7">
        <f t="shared" ca="1" si="56"/>
        <v>0</v>
      </c>
      <c r="AD98" s="7">
        <f t="shared" ca="1" si="56"/>
        <v>0</v>
      </c>
      <c r="AE98" s="7">
        <f t="shared" ca="1" si="56"/>
        <v>0</v>
      </c>
      <c r="AF98" s="7">
        <f t="shared" ca="1" si="56"/>
        <v>0</v>
      </c>
      <c r="AG98" s="7">
        <f t="shared" ca="1" si="56"/>
        <v>0</v>
      </c>
      <c r="AH98" s="7">
        <f t="shared" ca="1" si="56"/>
        <v>0</v>
      </c>
      <c r="AI98" s="7">
        <f t="shared" ca="1" si="56"/>
        <v>0</v>
      </c>
      <c r="AJ98" s="7">
        <f t="shared" ca="1" si="56"/>
        <v>0</v>
      </c>
      <c r="AK98" s="7">
        <f t="shared" ca="1" si="56"/>
        <v>0</v>
      </c>
      <c r="AL98" s="7">
        <f t="shared" ca="1" si="56"/>
        <v>0</v>
      </c>
      <c r="AM98" s="7">
        <f t="shared" si="56"/>
        <v>0</v>
      </c>
    </row>
    <row r="99" spans="1:39" x14ac:dyDescent="0.2">
      <c r="A99" s="3" t="s">
        <v>24</v>
      </c>
      <c r="C99" s="7">
        <v>0</v>
      </c>
      <c r="D99" s="7">
        <f t="shared" ref="D99:G99" ca="1" si="57">SUM(D97:D98)*princ</f>
        <v>2459.8517220917993</v>
      </c>
      <c r="E99" s="7">
        <f t="shared" ca="1" si="57"/>
        <v>2533.6472737545532</v>
      </c>
      <c r="F99" s="7">
        <f t="shared" ca="1" si="57"/>
        <v>2609.65669196719</v>
      </c>
      <c r="G99" s="7">
        <f t="shared" ca="1" si="57"/>
        <v>2687.9463927262059</v>
      </c>
      <c r="H99" s="7">
        <f t="shared" ref="H99:I99" ca="1" si="58">SUM(H97:H98)*princ</f>
        <v>2768.584784507992</v>
      </c>
      <c r="I99" s="7">
        <f t="shared" ca="1" si="58"/>
        <v>2851.6423280432318</v>
      </c>
      <c r="J99" s="7">
        <f t="shared" ref="J99:AM99" ca="1" si="59">SUM(J97:J98)*princ</f>
        <v>2937.1915978845291</v>
      </c>
      <c r="K99" s="7">
        <f t="shared" ca="1" si="59"/>
        <v>3025.3073458210652</v>
      </c>
      <c r="L99" s="7">
        <f t="shared" ca="1" si="59"/>
        <v>3116.0665661956973</v>
      </c>
      <c r="M99" s="7">
        <f t="shared" ca="1" si="59"/>
        <v>3209.5485631815682</v>
      </c>
      <c r="N99" s="7">
        <f t="shared" ca="1" si="59"/>
        <v>3305.8350200770155</v>
      </c>
      <c r="O99" s="7">
        <f t="shared" ca="1" si="59"/>
        <v>3405.010070679326</v>
      </c>
      <c r="P99" s="7">
        <f t="shared" ca="1" si="59"/>
        <v>3507.1603727997058</v>
      </c>
      <c r="Q99" s="7">
        <f t="shared" ca="1" si="59"/>
        <v>3612.3751839836968</v>
      </c>
      <c r="R99" s="7">
        <f t="shared" ca="1" si="59"/>
        <v>3720.7464395032075</v>
      </c>
      <c r="S99" s="7">
        <f t="shared" ca="1" si="59"/>
        <v>3832.3688326883039</v>
      </c>
      <c r="T99" s="7">
        <f t="shared" ca="1" si="59"/>
        <v>3947.3398976689537</v>
      </c>
      <c r="U99" s="7">
        <f t="shared" ca="1" si="59"/>
        <v>4065.7600945990221</v>
      </c>
      <c r="V99" s="7">
        <f t="shared" ca="1" si="59"/>
        <v>4187.7328974369921</v>
      </c>
      <c r="W99" s="7">
        <f t="shared" ca="1" si="59"/>
        <v>4313.3648843601022</v>
      </c>
      <c r="X99" s="7">
        <f t="shared" ca="1" si="59"/>
        <v>4442.7658308909058</v>
      </c>
      <c r="Y99" s="7">
        <f t="shared" ca="1" si="59"/>
        <v>4576.0488058176334</v>
      </c>
      <c r="Z99" s="7">
        <f t="shared" ca="1" si="59"/>
        <v>4713.3302699921624</v>
      </c>
      <c r="AA99" s="7">
        <f t="shared" ca="1" si="59"/>
        <v>4854.730178091927</v>
      </c>
      <c r="AB99" s="7">
        <f t="shared" ca="1" si="59"/>
        <v>5000.372083434685</v>
      </c>
      <c r="AC99" s="7">
        <f t="shared" ca="1" si="59"/>
        <v>5150.3832459377254</v>
      </c>
      <c r="AD99" s="7">
        <f t="shared" ca="1" si="59"/>
        <v>5304.8947433158573</v>
      </c>
      <c r="AE99" s="7">
        <f t="shared" ca="1" si="59"/>
        <v>5464.0415856153331</v>
      </c>
      <c r="AF99" s="7">
        <f t="shared" ca="1" si="59"/>
        <v>5627.962833183793</v>
      </c>
      <c r="AG99" s="7">
        <f t="shared" ca="1" si="59"/>
        <v>5796.8017181793066</v>
      </c>
      <c r="AH99" s="7">
        <f t="shared" ca="1" si="59"/>
        <v>5970.7057697246864</v>
      </c>
      <c r="AI99" s="7">
        <f t="shared" ca="1" si="59"/>
        <v>6149.8269428164267</v>
      </c>
      <c r="AJ99" s="7">
        <f t="shared" ca="1" si="59"/>
        <v>6334.3217511009198</v>
      </c>
      <c r="AK99" s="7">
        <f t="shared" ca="1" si="59"/>
        <v>6524.3514036339466</v>
      </c>
      <c r="AL99" s="7">
        <f t="shared" ca="1" si="59"/>
        <v>6720.0819457429652</v>
      </c>
      <c r="AM99" s="7">
        <f t="shared" ca="1" si="59"/>
        <v>6921.6844041152544</v>
      </c>
    </row>
    <row r="100" spans="1:39" x14ac:dyDescent="0.2">
      <c r="A100" s="3" t="s">
        <v>25</v>
      </c>
      <c r="C100" s="7">
        <f ca="1">SUM(C97:C99)</f>
        <v>81995.057403059982</v>
      </c>
      <c r="D100" s="7">
        <f t="shared" ref="D100:AM100" ca="1" si="60">SUM(D97:D99)</f>
        <v>84454.909125151782</v>
      </c>
      <c r="E100" s="7">
        <f t="shared" ca="1" si="60"/>
        <v>86988.556398906338</v>
      </c>
      <c r="F100" s="7">
        <f t="shared" ca="1" si="60"/>
        <v>89598.213090873527</v>
      </c>
      <c r="G100" s="7">
        <f t="shared" ca="1" si="60"/>
        <v>92286.159483599738</v>
      </c>
      <c r="H100" s="7">
        <f t="shared" ca="1" si="60"/>
        <v>95054.744268107737</v>
      </c>
      <c r="I100" s="7">
        <f t="shared" ca="1" si="60"/>
        <v>97906.386596150973</v>
      </c>
      <c r="J100" s="7">
        <f t="shared" ca="1" si="60"/>
        <v>100843.57819403551</v>
      </c>
      <c r="K100" s="7">
        <f t="shared" ca="1" si="60"/>
        <v>103868.88553985658</v>
      </c>
      <c r="L100" s="7">
        <f t="shared" ca="1" si="60"/>
        <v>106984.95210605228</v>
      </c>
      <c r="M100" s="7">
        <f t="shared" ca="1" si="60"/>
        <v>110194.50066923385</v>
      </c>
      <c r="N100" s="7">
        <f t="shared" ca="1" si="60"/>
        <v>113500.33568931087</v>
      </c>
      <c r="O100" s="7">
        <f t="shared" ca="1" si="60"/>
        <v>116905.3457599902</v>
      </c>
      <c r="P100" s="7">
        <f t="shared" ca="1" si="60"/>
        <v>120412.5061327899</v>
      </c>
      <c r="Q100" s="7">
        <f t="shared" ca="1" si="60"/>
        <v>124024.88131677359</v>
      </c>
      <c r="R100" s="7">
        <f t="shared" ca="1" si="60"/>
        <v>127745.62775627681</v>
      </c>
      <c r="S100" s="7">
        <f t="shared" ca="1" si="60"/>
        <v>131577.99658896512</v>
      </c>
      <c r="T100" s="7">
        <f t="shared" ca="1" si="60"/>
        <v>135525.33648663407</v>
      </c>
      <c r="U100" s="7">
        <f t="shared" ca="1" si="60"/>
        <v>139591.09658123308</v>
      </c>
      <c r="V100" s="7">
        <f t="shared" ca="1" si="60"/>
        <v>143778.82947867009</v>
      </c>
      <c r="W100" s="7">
        <f t="shared" ca="1" si="60"/>
        <v>148092.1943630302</v>
      </c>
      <c r="X100" s="7">
        <f t="shared" ca="1" si="60"/>
        <v>152534.96019392111</v>
      </c>
      <c r="Y100" s="7">
        <f t="shared" ca="1" si="60"/>
        <v>157111.00899973875</v>
      </c>
      <c r="Z100" s="7">
        <f t="shared" ca="1" si="60"/>
        <v>161824.3392697309</v>
      </c>
      <c r="AA100" s="7">
        <f t="shared" ca="1" si="60"/>
        <v>166679.06944782284</v>
      </c>
      <c r="AB100" s="7">
        <f t="shared" ca="1" si="60"/>
        <v>171679.44153125753</v>
      </c>
      <c r="AC100" s="7">
        <f t="shared" ca="1" si="60"/>
        <v>176829.82477719526</v>
      </c>
      <c r="AD100" s="7">
        <f t="shared" ca="1" si="60"/>
        <v>182134.71952051111</v>
      </c>
      <c r="AE100" s="7">
        <f t="shared" ca="1" si="60"/>
        <v>187598.76110612645</v>
      </c>
      <c r="AF100" s="7">
        <f t="shared" ca="1" si="60"/>
        <v>193226.72393931024</v>
      </c>
      <c r="AG100" s="7">
        <f t="shared" ca="1" si="60"/>
        <v>199023.52565748955</v>
      </c>
      <c r="AH100" s="7">
        <f t="shared" ca="1" si="60"/>
        <v>204994.23142721422</v>
      </c>
      <c r="AI100" s="7">
        <f t="shared" ca="1" si="60"/>
        <v>211144.05837003066</v>
      </c>
      <c r="AJ100" s="7">
        <f t="shared" ca="1" si="60"/>
        <v>217478.38012113157</v>
      </c>
      <c r="AK100" s="7">
        <f t="shared" ca="1" si="60"/>
        <v>224002.73152476552</v>
      </c>
      <c r="AL100" s="7">
        <f t="shared" ca="1" si="60"/>
        <v>230722.8134705085</v>
      </c>
      <c r="AM100" s="7">
        <f t="shared" ca="1" si="60"/>
        <v>237644.49787462375</v>
      </c>
    </row>
    <row r="101" spans="1:39" x14ac:dyDescent="0.2">
      <c r="A101" s="3" t="s">
        <v>26</v>
      </c>
      <c r="C101" s="7">
        <f ca="1">C98*Inputs!$B$195</f>
        <v>0</v>
      </c>
      <c r="D101" s="7">
        <f ca="1">D98*Inputs!$B$195</f>
        <v>0</v>
      </c>
      <c r="E101" s="7">
        <f ca="1">E98*Inputs!$B$195</f>
        <v>0</v>
      </c>
      <c r="F101" s="7">
        <f ca="1">F98*Inputs!$B$195</f>
        <v>0</v>
      </c>
      <c r="G101" s="7">
        <f ca="1">G98*Inputs!$B$195</f>
        <v>0</v>
      </c>
      <c r="H101" s="7">
        <f ca="1">H98*Inputs!$B$195</f>
        <v>0</v>
      </c>
      <c r="I101" s="7">
        <f ca="1">I98*Inputs!$B$195</f>
        <v>0</v>
      </c>
      <c r="J101" s="7">
        <f ca="1">J98*Inputs!$B$195</f>
        <v>0</v>
      </c>
      <c r="K101" s="7">
        <f ca="1">K98*Inputs!$B$195</f>
        <v>0</v>
      </c>
      <c r="L101" s="7">
        <f ca="1">L98*Inputs!$B$195</f>
        <v>0</v>
      </c>
      <c r="M101" s="7">
        <f ca="1">M98*Inputs!$B$195</f>
        <v>0</v>
      </c>
      <c r="N101" s="7">
        <f ca="1">N98*Inputs!$B$195</f>
        <v>0</v>
      </c>
      <c r="O101" s="7">
        <f ca="1">O98*Inputs!$B$195</f>
        <v>0</v>
      </c>
      <c r="P101" s="7">
        <f ca="1">P98*Inputs!$B$195</f>
        <v>0</v>
      </c>
      <c r="Q101" s="7">
        <f ca="1">Q98*Inputs!$B$195</f>
        <v>0</v>
      </c>
      <c r="R101" s="7">
        <f ca="1">R98*Inputs!$B$195</f>
        <v>0</v>
      </c>
      <c r="S101" s="7">
        <f ca="1">S98*Inputs!$B$195</f>
        <v>0</v>
      </c>
      <c r="T101" s="7">
        <f ca="1">T98*Inputs!$B$195</f>
        <v>0</v>
      </c>
      <c r="U101" s="7">
        <f ca="1">U98*Inputs!$B$195</f>
        <v>0</v>
      </c>
      <c r="V101" s="7">
        <f ca="1">V98*Inputs!$B$195</f>
        <v>0</v>
      </c>
      <c r="W101" s="7">
        <f ca="1">W98*Inputs!$B$195</f>
        <v>0</v>
      </c>
      <c r="X101" s="7">
        <f ca="1">X98*Inputs!$B$195</f>
        <v>0</v>
      </c>
      <c r="Y101" s="7">
        <f ca="1">Y98*Inputs!$B$195</f>
        <v>0</v>
      </c>
      <c r="Z101" s="7">
        <f ca="1">Z98*Inputs!$B$195</f>
        <v>0</v>
      </c>
      <c r="AA101" s="7">
        <f ca="1">AA98*Inputs!$B$195</f>
        <v>0</v>
      </c>
      <c r="AB101" s="7">
        <f ca="1">AB98*Inputs!$B$195</f>
        <v>0</v>
      </c>
      <c r="AC101" s="7">
        <f ca="1">AC98*Inputs!$B$195</f>
        <v>0</v>
      </c>
      <c r="AD101" s="7">
        <f ca="1">AD98*Inputs!$B$195</f>
        <v>0</v>
      </c>
      <c r="AE101" s="7">
        <f ca="1">AE98*Inputs!$B$195</f>
        <v>0</v>
      </c>
      <c r="AF101" s="7">
        <f ca="1">AF98*Inputs!$B$195</f>
        <v>0</v>
      </c>
      <c r="AG101" s="7">
        <f ca="1">AG98*Inputs!$B$195</f>
        <v>0</v>
      </c>
      <c r="AH101" s="7">
        <f ca="1">AH98*Inputs!$B$195</f>
        <v>0</v>
      </c>
      <c r="AI101" s="7">
        <f ca="1">AI98*Inputs!$B$195</f>
        <v>0</v>
      </c>
      <c r="AJ101" s="7">
        <f ca="1">AJ98*Inputs!$B$195</f>
        <v>0</v>
      </c>
      <c r="AK101" s="7">
        <f ca="1">AK98*Inputs!$B$195</f>
        <v>0</v>
      </c>
      <c r="AL101" s="7">
        <f ca="1">AL98*Inputs!$B$195</f>
        <v>0</v>
      </c>
      <c r="AM101" s="7">
        <f>AM98*Inputs!$B$195</f>
        <v>0</v>
      </c>
    </row>
    <row r="102" spans="1:39" x14ac:dyDescent="0.2">
      <c r="A102" s="3" t="s">
        <v>31</v>
      </c>
      <c r="C102" s="7">
        <f t="shared" ref="C102:AM102" ca="1" si="61">IFERROR(-IF(C97=0,VLOOKUP($A96,$8:$12,C$1+2,FALSE),0),0)</f>
        <v>0</v>
      </c>
      <c r="D102" s="7">
        <f t="shared" ca="1" si="61"/>
        <v>0</v>
      </c>
      <c r="E102" s="7">
        <f t="shared" ca="1" si="61"/>
        <v>0</v>
      </c>
      <c r="F102" s="7">
        <f t="shared" ca="1" si="61"/>
        <v>0</v>
      </c>
      <c r="G102" s="7">
        <f t="shared" ca="1" si="61"/>
        <v>0</v>
      </c>
      <c r="H102" s="7">
        <f t="shared" ca="1" si="61"/>
        <v>0</v>
      </c>
      <c r="I102" s="7">
        <f t="shared" ca="1" si="61"/>
        <v>0</v>
      </c>
      <c r="J102" s="7">
        <f t="shared" ca="1" si="61"/>
        <v>0</v>
      </c>
      <c r="K102" s="7">
        <f t="shared" ca="1" si="61"/>
        <v>0</v>
      </c>
      <c r="L102" s="7">
        <f t="shared" ca="1" si="61"/>
        <v>0</v>
      </c>
      <c r="M102" s="7">
        <f t="shared" ca="1" si="61"/>
        <v>0</v>
      </c>
      <c r="N102" s="7">
        <f t="shared" ca="1" si="61"/>
        <v>0</v>
      </c>
      <c r="O102" s="7">
        <f t="shared" ca="1" si="61"/>
        <v>0</v>
      </c>
      <c r="P102" s="7">
        <f t="shared" ca="1" si="61"/>
        <v>0</v>
      </c>
      <c r="Q102" s="7">
        <f t="shared" ca="1" si="61"/>
        <v>0</v>
      </c>
      <c r="R102" s="7">
        <f t="shared" ca="1" si="61"/>
        <v>0</v>
      </c>
      <c r="S102" s="7">
        <f t="shared" ca="1" si="61"/>
        <v>0</v>
      </c>
      <c r="T102" s="7">
        <f t="shared" ca="1" si="61"/>
        <v>0</v>
      </c>
      <c r="U102" s="7">
        <f t="shared" ca="1" si="61"/>
        <v>0</v>
      </c>
      <c r="V102" s="7">
        <f t="shared" ca="1" si="61"/>
        <v>0</v>
      </c>
      <c r="W102" s="7">
        <f t="shared" ca="1" si="61"/>
        <v>0</v>
      </c>
      <c r="X102" s="7">
        <f t="shared" ca="1" si="61"/>
        <v>0</v>
      </c>
      <c r="Y102" s="7">
        <f t="shared" ca="1" si="61"/>
        <v>0</v>
      </c>
      <c r="Z102" s="7">
        <f t="shared" ca="1" si="61"/>
        <v>0</v>
      </c>
      <c r="AA102" s="7">
        <f t="shared" ca="1" si="61"/>
        <v>0</v>
      </c>
      <c r="AB102" s="7">
        <f t="shared" ca="1" si="61"/>
        <v>0</v>
      </c>
      <c r="AC102" s="7">
        <f t="shared" ca="1" si="61"/>
        <v>0</v>
      </c>
      <c r="AD102" s="7">
        <f t="shared" ca="1" si="61"/>
        <v>0</v>
      </c>
      <c r="AE102" s="7">
        <f t="shared" ca="1" si="61"/>
        <v>0</v>
      </c>
      <c r="AF102" s="7">
        <f t="shared" ca="1" si="61"/>
        <v>0</v>
      </c>
      <c r="AG102" s="7">
        <f t="shared" ca="1" si="61"/>
        <v>0</v>
      </c>
      <c r="AH102" s="7">
        <f t="shared" ca="1" si="61"/>
        <v>0</v>
      </c>
      <c r="AI102" s="7">
        <f t="shared" ca="1" si="61"/>
        <v>0</v>
      </c>
      <c r="AJ102" s="7">
        <f t="shared" ca="1" si="61"/>
        <v>0</v>
      </c>
      <c r="AK102" s="7">
        <f t="shared" ca="1" si="61"/>
        <v>0</v>
      </c>
      <c r="AL102" s="7">
        <f t="shared" ca="1" si="61"/>
        <v>0</v>
      </c>
      <c r="AM102" s="7">
        <f t="shared" ca="1" si="61"/>
        <v>0</v>
      </c>
    </row>
    <row r="103" spans="1:39" x14ac:dyDescent="0.2">
      <c r="A103" s="3" t="s">
        <v>50</v>
      </c>
      <c r="C103" s="7">
        <f t="shared" ref="C103:AM103" ca="1" si="62">IFERROR(IF(C97=0,VLOOKUP($A96,$40:$44,C$1+2,FALSE),0),0)</f>
        <v>0</v>
      </c>
      <c r="D103" s="7">
        <f t="shared" ca="1" si="62"/>
        <v>0</v>
      </c>
      <c r="E103" s="7">
        <f t="shared" ca="1" si="62"/>
        <v>0</v>
      </c>
      <c r="F103" s="7">
        <f t="shared" ca="1" si="62"/>
        <v>0</v>
      </c>
      <c r="G103" s="7">
        <f t="shared" ca="1" si="62"/>
        <v>0</v>
      </c>
      <c r="H103" s="7">
        <f t="shared" ca="1" si="62"/>
        <v>0</v>
      </c>
      <c r="I103" s="7">
        <f t="shared" ca="1" si="62"/>
        <v>0</v>
      </c>
      <c r="J103" s="7">
        <f t="shared" ca="1" si="62"/>
        <v>0</v>
      </c>
      <c r="K103" s="7">
        <f t="shared" ca="1" si="62"/>
        <v>0</v>
      </c>
      <c r="L103" s="7">
        <f t="shared" ca="1" si="62"/>
        <v>0</v>
      </c>
      <c r="M103" s="7">
        <f t="shared" ca="1" si="62"/>
        <v>0</v>
      </c>
      <c r="N103" s="7">
        <f t="shared" ca="1" si="62"/>
        <v>0</v>
      </c>
      <c r="O103" s="7">
        <f t="shared" ca="1" si="62"/>
        <v>0</v>
      </c>
      <c r="P103" s="7">
        <f t="shared" ca="1" si="62"/>
        <v>0</v>
      </c>
      <c r="Q103" s="7">
        <f t="shared" ca="1" si="62"/>
        <v>0</v>
      </c>
      <c r="R103" s="7">
        <f t="shared" ca="1" si="62"/>
        <v>0</v>
      </c>
      <c r="S103" s="7">
        <f t="shared" ca="1" si="62"/>
        <v>0</v>
      </c>
      <c r="T103" s="7">
        <f t="shared" ca="1" si="62"/>
        <v>0</v>
      </c>
      <c r="U103" s="7">
        <f t="shared" ca="1" si="62"/>
        <v>0</v>
      </c>
      <c r="V103" s="7">
        <f t="shared" ca="1" si="62"/>
        <v>0</v>
      </c>
      <c r="W103" s="7">
        <f t="shared" ca="1" si="62"/>
        <v>0</v>
      </c>
      <c r="X103" s="7">
        <f t="shared" ca="1" si="62"/>
        <v>0</v>
      </c>
      <c r="Y103" s="7">
        <f t="shared" ca="1" si="62"/>
        <v>0</v>
      </c>
      <c r="Z103" s="7">
        <f t="shared" ca="1" si="62"/>
        <v>0</v>
      </c>
      <c r="AA103" s="7">
        <f t="shared" ca="1" si="62"/>
        <v>0</v>
      </c>
      <c r="AB103" s="7">
        <f t="shared" ca="1" si="62"/>
        <v>0</v>
      </c>
      <c r="AC103" s="7">
        <f t="shared" ca="1" si="62"/>
        <v>0</v>
      </c>
      <c r="AD103" s="7">
        <f t="shared" ca="1" si="62"/>
        <v>0</v>
      </c>
      <c r="AE103" s="7">
        <f t="shared" ca="1" si="62"/>
        <v>0</v>
      </c>
      <c r="AF103" s="7">
        <f t="shared" ca="1" si="62"/>
        <v>0</v>
      </c>
      <c r="AG103" s="7">
        <f t="shared" ca="1" si="62"/>
        <v>0</v>
      </c>
      <c r="AH103" s="7">
        <f t="shared" ca="1" si="62"/>
        <v>0</v>
      </c>
      <c r="AI103" s="7">
        <f t="shared" ca="1" si="62"/>
        <v>0</v>
      </c>
      <c r="AJ103" s="7">
        <f t="shared" ca="1" si="62"/>
        <v>0</v>
      </c>
      <c r="AK103" s="7">
        <f t="shared" ca="1" si="62"/>
        <v>0</v>
      </c>
      <c r="AL103" s="7">
        <f t="shared" ca="1" si="62"/>
        <v>0</v>
      </c>
      <c r="AM103" s="7">
        <f t="shared" ca="1" si="62"/>
        <v>0</v>
      </c>
    </row>
    <row r="104" spans="1:39" x14ac:dyDescent="0.2">
      <c r="A104" s="3" t="s">
        <v>36</v>
      </c>
      <c r="B104" s="14" t="str">
        <f>A96</f>
        <v>Gudja</v>
      </c>
      <c r="C104" s="7">
        <f t="shared" ref="C104:AM104" ca="1" si="63">IF(AND(C97&gt;0,C100=0),VLOOKUP($A96,$72:$76,C$1+2,FALSE),0)</f>
        <v>0</v>
      </c>
      <c r="D104" s="7">
        <f t="shared" ca="1" si="63"/>
        <v>0</v>
      </c>
      <c r="E104" s="7">
        <f t="shared" ca="1" si="63"/>
        <v>0</v>
      </c>
      <c r="F104" s="7">
        <f t="shared" ca="1" si="63"/>
        <v>0</v>
      </c>
      <c r="G104" s="7">
        <f t="shared" ca="1" si="63"/>
        <v>0</v>
      </c>
      <c r="H104" s="7">
        <f t="shared" ca="1" si="63"/>
        <v>0</v>
      </c>
      <c r="I104" s="7">
        <f t="shared" ca="1" si="63"/>
        <v>0</v>
      </c>
      <c r="J104" s="7">
        <f t="shared" ca="1" si="63"/>
        <v>0</v>
      </c>
      <c r="K104" s="7">
        <f t="shared" ca="1" si="63"/>
        <v>0</v>
      </c>
      <c r="L104" s="7">
        <f t="shared" ca="1" si="63"/>
        <v>0</v>
      </c>
      <c r="M104" s="7">
        <f t="shared" ca="1" si="63"/>
        <v>0</v>
      </c>
      <c r="N104" s="7">
        <f t="shared" ca="1" si="63"/>
        <v>0</v>
      </c>
      <c r="O104" s="7">
        <f t="shared" ca="1" si="63"/>
        <v>0</v>
      </c>
      <c r="P104" s="7">
        <f t="shared" ca="1" si="63"/>
        <v>0</v>
      </c>
      <c r="Q104" s="7">
        <f t="shared" ca="1" si="63"/>
        <v>0</v>
      </c>
      <c r="R104" s="7">
        <f t="shared" ca="1" si="63"/>
        <v>0</v>
      </c>
      <c r="S104" s="7">
        <f t="shared" ca="1" si="63"/>
        <v>0</v>
      </c>
      <c r="T104" s="7">
        <f t="shared" ca="1" si="63"/>
        <v>0</v>
      </c>
      <c r="U104" s="7">
        <f t="shared" ca="1" si="63"/>
        <v>0</v>
      </c>
      <c r="V104" s="7">
        <f t="shared" ca="1" si="63"/>
        <v>0</v>
      </c>
      <c r="W104" s="7">
        <f t="shared" ca="1" si="63"/>
        <v>0</v>
      </c>
      <c r="X104" s="7">
        <f t="shared" ca="1" si="63"/>
        <v>0</v>
      </c>
      <c r="Y104" s="7">
        <f t="shared" ca="1" si="63"/>
        <v>0</v>
      </c>
      <c r="Z104" s="7">
        <f t="shared" ca="1" si="63"/>
        <v>0</v>
      </c>
      <c r="AA104" s="7">
        <f t="shared" ca="1" si="63"/>
        <v>0</v>
      </c>
      <c r="AB104" s="7">
        <f t="shared" ca="1" si="63"/>
        <v>0</v>
      </c>
      <c r="AC104" s="7">
        <f t="shared" ca="1" si="63"/>
        <v>0</v>
      </c>
      <c r="AD104" s="7">
        <f t="shared" ca="1" si="63"/>
        <v>0</v>
      </c>
      <c r="AE104" s="7">
        <f t="shared" ca="1" si="63"/>
        <v>0</v>
      </c>
      <c r="AF104" s="7">
        <f t="shared" ca="1" si="63"/>
        <v>0</v>
      </c>
      <c r="AG104" s="7">
        <f t="shared" ca="1" si="63"/>
        <v>0</v>
      </c>
      <c r="AH104" s="7">
        <f t="shared" ca="1" si="63"/>
        <v>0</v>
      </c>
      <c r="AI104" s="7">
        <f t="shared" ca="1" si="63"/>
        <v>0</v>
      </c>
      <c r="AJ104" s="7">
        <f t="shared" ca="1" si="63"/>
        <v>0</v>
      </c>
      <c r="AK104" s="7">
        <f t="shared" ca="1" si="63"/>
        <v>0</v>
      </c>
      <c r="AL104" s="7">
        <f t="shared" ca="1" si="63"/>
        <v>0</v>
      </c>
      <c r="AM104" s="7">
        <f t="shared" ca="1" si="63"/>
        <v>0</v>
      </c>
    </row>
    <row r="105" spans="1:39" x14ac:dyDescent="0.2">
      <c r="A105" s="3" t="s">
        <v>37</v>
      </c>
      <c r="C105" s="7">
        <f ca="1">-C98+SUM(C101:C104)</f>
        <v>0</v>
      </c>
      <c r="D105" s="7">
        <f t="shared" ref="D105" ca="1" si="64">-D98+SUM(D101:D104)</f>
        <v>0</v>
      </c>
      <c r="E105" s="7">
        <f t="shared" ref="E105:AM105" ca="1" si="65">-E98+SUM(E101:E104)</f>
        <v>0</v>
      </c>
      <c r="F105" s="7">
        <f t="shared" ca="1" si="65"/>
        <v>0</v>
      </c>
      <c r="G105" s="7">
        <f t="shared" ca="1" si="65"/>
        <v>0</v>
      </c>
      <c r="H105" s="7">
        <f t="shared" ca="1" si="65"/>
        <v>0</v>
      </c>
      <c r="I105" s="7">
        <f t="shared" ca="1" si="65"/>
        <v>0</v>
      </c>
      <c r="J105" s="7">
        <f t="shared" ca="1" si="65"/>
        <v>0</v>
      </c>
      <c r="K105" s="7">
        <f t="shared" ca="1" si="65"/>
        <v>0</v>
      </c>
      <c r="L105" s="7">
        <f t="shared" ca="1" si="65"/>
        <v>0</v>
      </c>
      <c r="M105" s="7">
        <f t="shared" ca="1" si="65"/>
        <v>0</v>
      </c>
      <c r="N105" s="7">
        <f t="shared" ca="1" si="65"/>
        <v>0</v>
      </c>
      <c r="O105" s="7">
        <f t="shared" ca="1" si="65"/>
        <v>0</v>
      </c>
      <c r="P105" s="7">
        <f t="shared" ca="1" si="65"/>
        <v>0</v>
      </c>
      <c r="Q105" s="7">
        <f t="shared" ca="1" si="65"/>
        <v>0</v>
      </c>
      <c r="R105" s="7">
        <f t="shared" ca="1" si="65"/>
        <v>0</v>
      </c>
      <c r="S105" s="7">
        <f t="shared" ca="1" si="65"/>
        <v>0</v>
      </c>
      <c r="T105" s="7">
        <f t="shared" ca="1" si="65"/>
        <v>0</v>
      </c>
      <c r="U105" s="7">
        <f t="shared" ca="1" si="65"/>
        <v>0</v>
      </c>
      <c r="V105" s="7">
        <f t="shared" ca="1" si="65"/>
        <v>0</v>
      </c>
      <c r="W105" s="7">
        <f t="shared" ca="1" si="65"/>
        <v>0</v>
      </c>
      <c r="X105" s="7">
        <f t="shared" ca="1" si="65"/>
        <v>0</v>
      </c>
      <c r="Y105" s="7">
        <f t="shared" ca="1" si="65"/>
        <v>0</v>
      </c>
      <c r="Z105" s="7">
        <f t="shared" ca="1" si="65"/>
        <v>0</v>
      </c>
      <c r="AA105" s="7">
        <f t="shared" ca="1" si="65"/>
        <v>0</v>
      </c>
      <c r="AB105" s="7">
        <f t="shared" ca="1" si="65"/>
        <v>0</v>
      </c>
      <c r="AC105" s="7">
        <f t="shared" ca="1" si="65"/>
        <v>0</v>
      </c>
      <c r="AD105" s="7">
        <f t="shared" ca="1" si="65"/>
        <v>0</v>
      </c>
      <c r="AE105" s="7">
        <f t="shared" ca="1" si="65"/>
        <v>0</v>
      </c>
      <c r="AF105" s="7">
        <f t="shared" ca="1" si="65"/>
        <v>0</v>
      </c>
      <c r="AG105" s="7">
        <f t="shared" ca="1" si="65"/>
        <v>0</v>
      </c>
      <c r="AH105" s="7">
        <f t="shared" ca="1" si="65"/>
        <v>0</v>
      </c>
      <c r="AI105" s="7">
        <f t="shared" ca="1" si="65"/>
        <v>0</v>
      </c>
      <c r="AJ105" s="7">
        <f t="shared" ca="1" si="65"/>
        <v>0</v>
      </c>
      <c r="AK105" s="7">
        <f t="shared" ca="1" si="65"/>
        <v>0</v>
      </c>
      <c r="AL105" s="7">
        <f t="shared" ca="1" si="65"/>
        <v>0</v>
      </c>
      <c r="AM105" s="7">
        <f t="shared" ca="1" si="65"/>
        <v>0</v>
      </c>
    </row>
    <row r="106" spans="1:39" x14ac:dyDescent="0.2">
      <c r="A106" s="3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  <c r="AB106" s="7"/>
      <c r="AC106" s="7"/>
      <c r="AD106" s="7"/>
      <c r="AE106" s="7"/>
      <c r="AF106" s="7"/>
      <c r="AG106" s="7"/>
      <c r="AH106" s="7"/>
      <c r="AI106" s="7"/>
      <c r="AJ106" s="7"/>
      <c r="AK106" s="7"/>
      <c r="AL106" s="7"/>
      <c r="AM106" s="7"/>
    </row>
    <row r="107" spans="1:39" x14ac:dyDescent="0.2">
      <c r="A107" s="3" t="s">
        <v>77</v>
      </c>
      <c r="C107" s="7">
        <f ca="1">C93+SUM($C105:C105)</f>
        <v>33136.875000000015</v>
      </c>
      <c r="D107" s="7">
        <f ca="1">D93+SUM($C105:D105)</f>
        <v>57140.903125000026</v>
      </c>
      <c r="E107" s="7">
        <f ca="1">E93+SUM($C105:E105)</f>
        <v>87759.433828125038</v>
      </c>
      <c r="F107" s="7">
        <f ca="1">F93+SUM($C105:F105)</f>
        <v>99100.176411377644</v>
      </c>
      <c r="G107" s="7">
        <f ca="1">G93+SUM($C105:G105)</f>
        <v>142148.90012508008</v>
      </c>
      <c r="H107" s="7">
        <f ca="1">H93+SUM($C105:H105)</f>
        <v>192078.05562310934</v>
      </c>
      <c r="I107" s="7">
        <f ca="1">I93+SUM($C105:I105)</f>
        <v>266036.18242333515</v>
      </c>
      <c r="J107" s="7">
        <f ca="1">J93+SUM($C105:J105)</f>
        <v>339084.48685026687</v>
      </c>
      <c r="K107" s="7">
        <f ca="1">K93+SUM($C105:K105)</f>
        <v>398970.23861694947</v>
      </c>
      <c r="L107" s="7">
        <f ca="1">L93+SUM($C105:L105)</f>
        <v>546536.87203851226</v>
      </c>
      <c r="M107" s="7">
        <f ca="1">M93+SUM($C105:M105)</f>
        <v>605652.23085092264</v>
      </c>
      <c r="N107" s="7">
        <f ca="1">N93+SUM($C105:N105)</f>
        <v>718618.88271131995</v>
      </c>
      <c r="O107" s="7">
        <f ca="1">O93+SUM($C105:O105)</f>
        <v>837633.29830874666</v>
      </c>
      <c r="P107" s="7">
        <f ca="1">P93+SUM($C105:P105)</f>
        <v>962951.35058629012</v>
      </c>
      <c r="Q107" s="7">
        <f ca="1">Q93+SUM($C105:Q105)</f>
        <v>1094838.6489492662</v>
      </c>
      <c r="R107" s="7">
        <f ca="1">R93+SUM($C105:R105)</f>
        <v>1233570.8878477628</v>
      </c>
      <c r="S107" s="7">
        <f ca="1">S93+SUM($C105:S105)</f>
        <v>1379434.2073534238</v>
      </c>
      <c r="T107" s="7">
        <f ca="1">T93+SUM($C105:T105)</f>
        <v>1423495.1237488878</v>
      </c>
      <c r="U107" s="7">
        <f ca="1">U93+SUM($C105:U105)</f>
        <v>1477057.089307287</v>
      </c>
      <c r="V107" s="7">
        <f ca="1">V93+SUM($C105:V105)</f>
        <v>1532680.5274795629</v>
      </c>
      <c r="W107" s="7">
        <f ca="1">W93+SUM($C105:W105)</f>
        <v>1590443.9774315846</v>
      </c>
      <c r="X107" s="7">
        <f ca="1">X93+SUM($C105:X105)</f>
        <v>1650428.88512004</v>
      </c>
      <c r="Y107" s="7">
        <f ca="1">Y93+SUM($C105:Y105)</f>
        <v>1691802.6151119878</v>
      </c>
      <c r="Z107" s="7">
        <f ca="1">Z93+SUM($C105:Z105)</f>
        <v>1734523.9813424624</v>
      </c>
      <c r="AA107" s="7">
        <f ca="1">AA93+SUM($C105:AA105)</f>
        <v>1778644.5710759091</v>
      </c>
      <c r="AB107" s="7">
        <f ca="1">AB93+SUM($C105:AB105)</f>
        <v>1824218.0105883591</v>
      </c>
      <c r="AC107" s="7">
        <f ca="1">AC93+SUM($C105:AC105)</f>
        <v>1871300.0439335995</v>
      </c>
      <c r="AD107" s="7">
        <f ca="1">AD93+SUM($C105:AD105)</f>
        <v>1919948.6146449971</v>
      </c>
      <c r="AE107" s="7">
        <f ca="1">AE93+SUM($C105:AE105)</f>
        <v>1980331.2065111429</v>
      </c>
      <c r="AF107" s="7">
        <f ca="1">AF93+SUM($C105:AF105)</f>
        <v>2042908.5261740466</v>
      </c>
      <c r="AG107" s="7">
        <f ca="1">AG93+SUM($C105:AG105)</f>
        <v>2107764.5878862576</v>
      </c>
      <c r="AH107" s="7">
        <f ca="1">AH93+SUM($C105:AH105)</f>
        <v>2174986.5954175591</v>
      </c>
      <c r="AI107" s="7">
        <f ca="1">AI93+SUM($C105:AI105)</f>
        <v>2244665.0598372058</v>
      </c>
      <c r="AJ107" s="7">
        <f ca="1">AJ93+SUM($C105:AJ105)</f>
        <v>2316893.9215162839</v>
      </c>
      <c r="AK107" s="7">
        <f ca="1">AK93+SUM($C105:AK105)</f>
        <v>2391770.6764973206</v>
      </c>
      <c r="AL107" s="7">
        <f ca="1">AL93+SUM($C105:AL105)</f>
        <v>2469396.5073832762</v>
      </c>
      <c r="AM107" s="7">
        <f ca="1">AM93+SUM($C105:AM105)</f>
        <v>2549876.4189032381</v>
      </c>
    </row>
    <row r="108" spans="1:39" x14ac:dyDescent="0.2">
      <c r="A108" s="3" t="s">
        <v>74</v>
      </c>
      <c r="C108" s="7">
        <f t="shared" ref="C108:AM108" ca="1" si="66">MAX(C107+buffer,0)-MAX(C$93+buffer,0)</f>
        <v>0</v>
      </c>
      <c r="D108" s="7">
        <f t="shared" ca="1" si="66"/>
        <v>0</v>
      </c>
      <c r="E108" s="7">
        <f t="shared" ca="1" si="66"/>
        <v>0</v>
      </c>
      <c r="F108" s="7">
        <f t="shared" ca="1" si="66"/>
        <v>0</v>
      </c>
      <c r="G108" s="7">
        <f t="shared" ca="1" si="66"/>
        <v>0</v>
      </c>
      <c r="H108" s="7">
        <f t="shared" ca="1" si="66"/>
        <v>0</v>
      </c>
      <c r="I108" s="7">
        <f t="shared" ca="1" si="66"/>
        <v>0</v>
      </c>
      <c r="J108" s="7">
        <f t="shared" ca="1" si="66"/>
        <v>0</v>
      </c>
      <c r="K108" s="7">
        <f t="shared" ca="1" si="66"/>
        <v>0</v>
      </c>
      <c r="L108" s="7">
        <f t="shared" ca="1" si="66"/>
        <v>0</v>
      </c>
      <c r="M108" s="7">
        <f t="shared" ca="1" si="66"/>
        <v>0</v>
      </c>
      <c r="N108" s="7">
        <f t="shared" ca="1" si="66"/>
        <v>0</v>
      </c>
      <c r="O108" s="7">
        <f t="shared" ca="1" si="66"/>
        <v>0</v>
      </c>
      <c r="P108" s="7">
        <f t="shared" ca="1" si="66"/>
        <v>0</v>
      </c>
      <c r="Q108" s="7">
        <f t="shared" ca="1" si="66"/>
        <v>0</v>
      </c>
      <c r="R108" s="7">
        <f t="shared" ca="1" si="66"/>
        <v>0</v>
      </c>
      <c r="S108" s="7">
        <f t="shared" ca="1" si="66"/>
        <v>0</v>
      </c>
      <c r="T108" s="7">
        <f t="shared" ca="1" si="66"/>
        <v>0</v>
      </c>
      <c r="U108" s="7">
        <f t="shared" ca="1" si="66"/>
        <v>0</v>
      </c>
      <c r="V108" s="7">
        <f t="shared" ca="1" si="66"/>
        <v>0</v>
      </c>
      <c r="W108" s="7">
        <f t="shared" ca="1" si="66"/>
        <v>0</v>
      </c>
      <c r="X108" s="7">
        <f t="shared" ca="1" si="66"/>
        <v>0</v>
      </c>
      <c r="Y108" s="7">
        <f t="shared" ca="1" si="66"/>
        <v>0</v>
      </c>
      <c r="Z108" s="7">
        <f t="shared" ca="1" si="66"/>
        <v>0</v>
      </c>
      <c r="AA108" s="7">
        <f t="shared" ca="1" si="66"/>
        <v>0</v>
      </c>
      <c r="AB108" s="7">
        <f t="shared" ca="1" si="66"/>
        <v>0</v>
      </c>
      <c r="AC108" s="7">
        <f t="shared" ca="1" si="66"/>
        <v>0</v>
      </c>
      <c r="AD108" s="7">
        <f t="shared" ca="1" si="66"/>
        <v>0</v>
      </c>
      <c r="AE108" s="7">
        <f t="shared" ca="1" si="66"/>
        <v>0</v>
      </c>
      <c r="AF108" s="7">
        <f t="shared" ca="1" si="66"/>
        <v>0</v>
      </c>
      <c r="AG108" s="7">
        <f t="shared" ca="1" si="66"/>
        <v>0</v>
      </c>
      <c r="AH108" s="7">
        <f t="shared" ca="1" si="66"/>
        <v>0</v>
      </c>
      <c r="AI108" s="7">
        <f t="shared" ca="1" si="66"/>
        <v>0</v>
      </c>
      <c r="AJ108" s="7">
        <f t="shared" ca="1" si="66"/>
        <v>0</v>
      </c>
      <c r="AK108" s="7">
        <f t="shared" ca="1" si="66"/>
        <v>0</v>
      </c>
      <c r="AL108" s="7">
        <f t="shared" ca="1" si="66"/>
        <v>0</v>
      </c>
      <c r="AM108" s="7">
        <f t="shared" ca="1" si="66"/>
        <v>0</v>
      </c>
    </row>
    <row r="109" spans="1:39" x14ac:dyDescent="0.2">
      <c r="A109" s="3" t="s">
        <v>75</v>
      </c>
      <c r="C109" s="7">
        <f ca="1">C108*Inputs!$B$181</f>
        <v>0</v>
      </c>
      <c r="D109" s="7">
        <f ca="1">D108*Inputs!$B$181</f>
        <v>0</v>
      </c>
      <c r="E109" s="7">
        <f ca="1">E108*Inputs!$B$181</f>
        <v>0</v>
      </c>
      <c r="F109" s="7">
        <f ca="1">F108*Inputs!$B$181</f>
        <v>0</v>
      </c>
      <c r="G109" s="7">
        <f ca="1">G108*Inputs!$B$181</f>
        <v>0</v>
      </c>
      <c r="H109" s="7">
        <f ca="1">H108*Inputs!$B$181</f>
        <v>0</v>
      </c>
      <c r="I109" s="7">
        <f ca="1">I108*Inputs!$B$181</f>
        <v>0</v>
      </c>
      <c r="J109" s="7">
        <f ca="1">J108*Inputs!$B$181</f>
        <v>0</v>
      </c>
      <c r="K109" s="7">
        <f ca="1">K108*Inputs!$B$181</f>
        <v>0</v>
      </c>
      <c r="L109" s="7">
        <f ca="1">L108*Inputs!$B$181</f>
        <v>0</v>
      </c>
      <c r="M109" s="7">
        <f ca="1">M108*Inputs!$B$181</f>
        <v>0</v>
      </c>
      <c r="N109" s="7">
        <f ca="1">N108*Inputs!$B$181</f>
        <v>0</v>
      </c>
      <c r="O109" s="7">
        <f ca="1">O108*Inputs!$B$181</f>
        <v>0</v>
      </c>
      <c r="P109" s="7">
        <f ca="1">P108*Inputs!$B$181</f>
        <v>0</v>
      </c>
      <c r="Q109" s="7">
        <f ca="1">Q108*Inputs!$B$181</f>
        <v>0</v>
      </c>
      <c r="R109" s="7">
        <f ca="1">R108*Inputs!$B$181</f>
        <v>0</v>
      </c>
      <c r="S109" s="7">
        <f ca="1">S108*Inputs!$B$181</f>
        <v>0</v>
      </c>
      <c r="T109" s="7">
        <f ca="1">T108*Inputs!$B$181</f>
        <v>0</v>
      </c>
      <c r="U109" s="7">
        <f ca="1">U108*Inputs!$B$181</f>
        <v>0</v>
      </c>
      <c r="V109" s="7">
        <f ca="1">V108*Inputs!$B$181</f>
        <v>0</v>
      </c>
      <c r="W109" s="7">
        <f ca="1">W108*Inputs!$B$181</f>
        <v>0</v>
      </c>
      <c r="X109" s="7">
        <f ca="1">X108*Inputs!$B$181</f>
        <v>0</v>
      </c>
      <c r="Y109" s="7">
        <f ca="1">Y108*Inputs!$B$181</f>
        <v>0</v>
      </c>
      <c r="Z109" s="7">
        <f ca="1">Z108*Inputs!$B$181</f>
        <v>0</v>
      </c>
      <c r="AA109" s="7">
        <f ca="1">AA108*Inputs!$B$181</f>
        <v>0</v>
      </c>
      <c r="AB109" s="7">
        <f ca="1">AB108*Inputs!$B$181</f>
        <v>0</v>
      </c>
      <c r="AC109" s="7">
        <f ca="1">AC108*Inputs!$B$181</f>
        <v>0</v>
      </c>
      <c r="AD109" s="7">
        <f ca="1">AD108*Inputs!$B$181</f>
        <v>0</v>
      </c>
      <c r="AE109" s="7">
        <f ca="1">AE108*Inputs!$B$181</f>
        <v>0</v>
      </c>
      <c r="AF109" s="7">
        <f ca="1">AF108*Inputs!$B$181</f>
        <v>0</v>
      </c>
      <c r="AG109" s="7">
        <f ca="1">AG108*Inputs!$B$181</f>
        <v>0</v>
      </c>
      <c r="AH109" s="7">
        <f ca="1">AH108*Inputs!$B$181</f>
        <v>0</v>
      </c>
      <c r="AI109" s="7">
        <f ca="1">AI108*Inputs!$B$181</f>
        <v>0</v>
      </c>
      <c r="AJ109" s="7">
        <f ca="1">AJ108*Inputs!$B$181</f>
        <v>0</v>
      </c>
      <c r="AK109" s="7">
        <f ca="1">AK108*Inputs!$B$181</f>
        <v>0</v>
      </c>
      <c r="AL109" s="7">
        <f ca="1">AL108*Inputs!$B$181</f>
        <v>0</v>
      </c>
      <c r="AM109" s="7">
        <f ca="1">AM108*Inputs!$B$181</f>
        <v>0</v>
      </c>
    </row>
    <row r="110" spans="1:39" x14ac:dyDescent="0.2">
      <c r="A110" s="3" t="s">
        <v>158</v>
      </c>
      <c r="C110" s="7">
        <f ca="1">C107+SUM($C109:C109)</f>
        <v>33136.875000000015</v>
      </c>
      <c r="D110" s="7">
        <f ca="1">D107+SUM($C109:D109)</f>
        <v>57140.903125000026</v>
      </c>
      <c r="E110" s="7">
        <f ca="1">E107+SUM($C109:E109)</f>
        <v>87759.433828125038</v>
      </c>
      <c r="F110" s="7">
        <f ca="1">F107+SUM($C109:F109)</f>
        <v>99100.176411377644</v>
      </c>
      <c r="G110" s="7">
        <f ca="1">G107+SUM($C109:G109)</f>
        <v>142148.90012508008</v>
      </c>
      <c r="H110" s="7">
        <f ca="1">H107+SUM($C109:H109)</f>
        <v>192078.05562310934</v>
      </c>
      <c r="I110" s="7">
        <f ca="1">I107+SUM($C109:I109)</f>
        <v>266036.18242333515</v>
      </c>
      <c r="J110" s="7">
        <f ca="1">J107+SUM($C109:J109)</f>
        <v>339084.48685026687</v>
      </c>
      <c r="K110" s="7">
        <f ca="1">K107+SUM($C109:K109)</f>
        <v>398970.23861694947</v>
      </c>
      <c r="L110" s="7">
        <f ca="1">L107+SUM($C109:L109)</f>
        <v>546536.87203851226</v>
      </c>
      <c r="M110" s="7">
        <f ca="1">M107+SUM($C109:M109)</f>
        <v>605652.23085092264</v>
      </c>
      <c r="N110" s="7">
        <f ca="1">N107+SUM($C109:N109)</f>
        <v>718618.88271131995</v>
      </c>
      <c r="O110" s="7">
        <f ca="1">O107+SUM($C109:O109)</f>
        <v>837633.29830874666</v>
      </c>
      <c r="P110" s="7">
        <f ca="1">P107+SUM($C109:P109)</f>
        <v>962951.35058629012</v>
      </c>
      <c r="Q110" s="7">
        <f ca="1">Q107+SUM($C109:Q109)</f>
        <v>1094838.6489492662</v>
      </c>
      <c r="R110" s="7">
        <f ca="1">R107+SUM($C109:R109)</f>
        <v>1233570.8878477628</v>
      </c>
      <c r="S110" s="7">
        <f ca="1">S107+SUM($C109:S109)</f>
        <v>1379434.2073534238</v>
      </c>
      <c r="T110" s="7">
        <f ca="1">T107+SUM($C109:T109)</f>
        <v>1423495.1237488878</v>
      </c>
      <c r="U110" s="7">
        <f ca="1">U107+SUM($C109:U109)</f>
        <v>1477057.089307287</v>
      </c>
      <c r="V110" s="7">
        <f ca="1">V107+SUM($C109:V109)</f>
        <v>1532680.5274795629</v>
      </c>
      <c r="W110" s="7">
        <f ca="1">W107+SUM($C109:W109)</f>
        <v>1590443.9774315846</v>
      </c>
      <c r="X110" s="7">
        <f ca="1">X107+SUM($C109:X109)</f>
        <v>1650428.88512004</v>
      </c>
      <c r="Y110" s="7">
        <f ca="1">Y107+SUM($C109:Y109)</f>
        <v>1691802.6151119878</v>
      </c>
      <c r="Z110" s="7">
        <f ca="1">Z107+SUM($C109:Z109)</f>
        <v>1734523.9813424624</v>
      </c>
      <c r="AA110" s="7">
        <f ca="1">AA107+SUM($C109:AA109)</f>
        <v>1778644.5710759091</v>
      </c>
      <c r="AB110" s="7">
        <f ca="1">AB107+SUM($C109:AB109)</f>
        <v>1824218.0105883591</v>
      </c>
      <c r="AC110" s="7">
        <f ca="1">AC107+SUM($C109:AC109)</f>
        <v>1871300.0439335995</v>
      </c>
      <c r="AD110" s="7">
        <f ca="1">AD107+SUM($C109:AD109)</f>
        <v>1919948.6146449971</v>
      </c>
      <c r="AE110" s="7">
        <f ca="1">AE107+SUM($C109:AE109)</f>
        <v>1980331.2065111429</v>
      </c>
      <c r="AF110" s="7">
        <f ca="1">AF107+SUM($C109:AF109)</f>
        <v>2042908.5261740466</v>
      </c>
      <c r="AG110" s="7">
        <f ca="1">AG107+SUM($C109:AG109)</f>
        <v>2107764.5878862576</v>
      </c>
      <c r="AH110" s="7">
        <f ca="1">AH107+SUM($C109:AH109)</f>
        <v>2174986.5954175591</v>
      </c>
      <c r="AI110" s="7">
        <f ca="1">AI107+SUM($C109:AI109)</f>
        <v>2244665.0598372058</v>
      </c>
      <c r="AJ110" s="7">
        <f ca="1">AJ107+SUM($C109:AJ109)</f>
        <v>2316893.9215162839</v>
      </c>
      <c r="AK110" s="7">
        <f ca="1">AK107+SUM($C109:AK109)</f>
        <v>2391770.6764973206</v>
      </c>
      <c r="AL110" s="7">
        <f ca="1">AL107+SUM($C109:AL109)</f>
        <v>2469396.5073832762</v>
      </c>
      <c r="AM110" s="7">
        <f ca="1">AM107+SUM($C109:AM109)</f>
        <v>2549876.4189032381</v>
      </c>
    </row>
    <row r="111" spans="1:39" x14ac:dyDescent="0.2">
      <c r="A111" s="3" t="s">
        <v>20</v>
      </c>
      <c r="C111" s="7">
        <f ca="1">IF(C110&lt;0,-C110,0)</f>
        <v>0</v>
      </c>
      <c r="D111" s="7">
        <f ca="1">IF(D110+SUM($C111:C111)&lt;0,-(D110+SUM($C111:C111)),0)</f>
        <v>0</v>
      </c>
      <c r="E111" s="7">
        <f ca="1">IF(E110+SUM($C111:D111)&lt;0,-(E110+SUM($C111:D111)),0)</f>
        <v>0</v>
      </c>
      <c r="F111" s="7">
        <f ca="1">IF(F110+SUM($C111:E111)&lt;0,-(F110+SUM($C111:E111)),0)</f>
        <v>0</v>
      </c>
      <c r="G111" s="7">
        <f ca="1">IF(G110+SUM($C111:F111)&lt;0,-(G110+SUM($C111:F111)),0)</f>
        <v>0</v>
      </c>
      <c r="H111" s="7">
        <f ca="1">IF(H110+SUM($C111:G111)&lt;0,-(H110+SUM($C111:G111)),0)</f>
        <v>0</v>
      </c>
      <c r="I111" s="7">
        <f ca="1">IF(I110+SUM($C111:H111)&lt;0,-(I110+SUM($C111:H111)),0)</f>
        <v>0</v>
      </c>
      <c r="J111" s="7">
        <f ca="1">IF(J110+SUM($C111:I111)&lt;0,-(J110+SUM($C111:I111)),0)</f>
        <v>0</v>
      </c>
      <c r="K111" s="7">
        <f ca="1">IF(K110+SUM($C111:J111)&lt;0,-(K110+SUM($C111:J111)),0)</f>
        <v>0</v>
      </c>
      <c r="L111" s="7">
        <f ca="1">IF(L110+SUM($C111:K111)&lt;0,-(L110+SUM($C111:K111)),0)</f>
        <v>0</v>
      </c>
      <c r="M111" s="7">
        <f ca="1">IF(M110+SUM($C111:L111)&lt;0,-(M110+SUM($C111:L111)),0)</f>
        <v>0</v>
      </c>
      <c r="N111" s="7">
        <f ca="1">IF(N110+SUM($C111:M111)&lt;0,-(N110+SUM($C111:M111)),0)</f>
        <v>0</v>
      </c>
      <c r="O111" s="7">
        <f ca="1">IF(O110+SUM($C111:N111)&lt;0,-(O110+SUM($C111:N111)),0)</f>
        <v>0</v>
      </c>
      <c r="P111" s="7">
        <f ca="1">IF(P110+SUM($C111:O111)&lt;0,-(P110+SUM($C111:O111)),0)</f>
        <v>0</v>
      </c>
      <c r="Q111" s="7">
        <f ca="1">IF(Q110+SUM($C111:P111)&lt;0,-(Q110+SUM($C111:P111)),0)</f>
        <v>0</v>
      </c>
      <c r="R111" s="7">
        <f ca="1">IF(R110+SUM($C111:Q111)&lt;0,-(R110+SUM($C111:Q111)),0)</f>
        <v>0</v>
      </c>
      <c r="S111" s="7">
        <f ca="1">IF(S110+SUM($C111:R111)&lt;0,-(S110+SUM($C111:R111)),0)</f>
        <v>0</v>
      </c>
      <c r="T111" s="7">
        <f ca="1">IF(T110+SUM($C111:S111)&lt;0,-(T110+SUM($C111:S111)),0)</f>
        <v>0</v>
      </c>
      <c r="U111" s="7">
        <f ca="1">IF(U110+SUM($C111:T111)&lt;0,-(U110+SUM($C111:T111)),0)</f>
        <v>0</v>
      </c>
      <c r="V111" s="7">
        <f ca="1">IF(V110+SUM($C111:U111)&lt;0,-(V110+SUM($C111:U111)),0)</f>
        <v>0</v>
      </c>
      <c r="W111" s="7">
        <f ca="1">IF(W110+SUM($C111:V111)&lt;0,-(W110+SUM($C111:V111)),0)</f>
        <v>0</v>
      </c>
      <c r="X111" s="7">
        <f ca="1">IF(X110+SUM($C111:W111)&lt;0,-(X110+SUM($C111:W111)),0)</f>
        <v>0</v>
      </c>
      <c r="Y111" s="7">
        <f ca="1">IF(Y110+SUM($C111:X111)&lt;0,-(Y110+SUM($C111:X111)),0)</f>
        <v>0</v>
      </c>
      <c r="Z111" s="7">
        <f ca="1">IF(Z110+SUM($C111:Y111)&lt;0,-(Z110+SUM($C111:Y111)),0)</f>
        <v>0</v>
      </c>
      <c r="AA111" s="7">
        <f ca="1">IF(AA110+SUM($C111:Z111)&lt;0,-(AA110+SUM($C111:Z111)),0)</f>
        <v>0</v>
      </c>
      <c r="AB111" s="7">
        <f ca="1">IF(AB110+SUM($C111:AA111)&lt;0,-(AB110+SUM($C111:AA111)),0)</f>
        <v>0</v>
      </c>
      <c r="AC111" s="7">
        <f ca="1">IF(AC110+SUM($C111:AB111)&lt;0,-(AC110+SUM($C111:AB111)),0)</f>
        <v>0</v>
      </c>
      <c r="AD111" s="7">
        <f ca="1">IF(AD110+SUM($C111:AC111)&lt;0,-(AD110+SUM($C111:AC111)),0)</f>
        <v>0</v>
      </c>
      <c r="AE111" s="7">
        <f ca="1">IF(AE110+SUM($C111:AD111)&lt;0,-(AE110+SUM($C111:AD111)),0)</f>
        <v>0</v>
      </c>
      <c r="AF111" s="7">
        <f ca="1">IF(AF110+SUM($C111:AE111)&lt;0,-(AF110+SUM($C111:AE111)),0)</f>
        <v>0</v>
      </c>
      <c r="AG111" s="7">
        <f ca="1">IF(AG110+SUM($C111:AF111)&lt;0,-(AG110+SUM($C111:AF111)),0)</f>
        <v>0</v>
      </c>
      <c r="AH111" s="7">
        <f ca="1">IF(AH110+SUM($C111:AG111)&lt;0,-(AH110+SUM($C111:AG111)),0)</f>
        <v>0</v>
      </c>
      <c r="AI111" s="7">
        <f ca="1">IF(AI110+SUM($C111:AH111)&lt;0,-(AI110+SUM($C111:AH111)),0)</f>
        <v>0</v>
      </c>
      <c r="AJ111" s="7">
        <f ca="1">IF(AJ110+SUM($C111:AI111)&lt;0,-(AJ110+SUM($C111:AI111)),0)</f>
        <v>0</v>
      </c>
      <c r="AK111" s="7">
        <f ca="1">IF(AK110+SUM($C111:AJ111)&lt;0,-(AK110+SUM($C111:AJ111)),0)</f>
        <v>0</v>
      </c>
      <c r="AL111" s="7">
        <f ca="1">IF(AL110+SUM($C111:AK111)&lt;0,-(AL110+SUM($C111:AK111)),0)</f>
        <v>0</v>
      </c>
      <c r="AM111" s="7">
        <f ca="1">IF(AM110+SUM($C111:AL111)&lt;0,-(AM110+SUM($C111:AL111)),0)</f>
        <v>0</v>
      </c>
    </row>
    <row r="112" spans="1:39" x14ac:dyDescent="0.2"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  <c r="AB112" s="7"/>
      <c r="AC112" s="7"/>
      <c r="AD112" s="7"/>
      <c r="AE112" s="7"/>
      <c r="AF112" s="7"/>
      <c r="AG112" s="7"/>
      <c r="AH112" s="7"/>
      <c r="AI112" s="7"/>
      <c r="AJ112" s="7"/>
      <c r="AK112" s="7"/>
      <c r="AL112" s="7"/>
      <c r="AM112" s="7"/>
    </row>
    <row r="113" spans="1:39" x14ac:dyDescent="0.2">
      <c r="A113" s="24" t="str">
        <f>IF(Inputs!$B$197=6,IFERROR(_xlfn.XLOOKUP($B113,Inputs!$B$198:$B$202,Inputs!$A$198:$A$202,,0,1),""),IFERROR(_xlfn.XLOOKUP($B113,Inputs!$C$198:$C$202,Inputs!$A$198:$A$202,,0,1),""))</f>
        <v>Marsa</v>
      </c>
      <c r="B113" s="26">
        <v>2</v>
      </c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  <c r="AB113" s="7"/>
      <c r="AC113" s="7"/>
      <c r="AD113" s="7"/>
      <c r="AE113" s="7"/>
      <c r="AF113" s="7"/>
      <c r="AG113" s="7"/>
      <c r="AH113" s="7"/>
      <c r="AI113" s="7"/>
      <c r="AJ113" s="7"/>
      <c r="AK113" s="7"/>
      <c r="AL113" s="7"/>
      <c r="AM113" s="7"/>
    </row>
    <row r="114" spans="1:39" x14ac:dyDescent="0.2">
      <c r="A114" s="3" t="s">
        <v>22</v>
      </c>
      <c r="C114" s="7">
        <f ca="1">IFERROR(VLOOKUP($A113,$A$60:$H$78,C$1+2,FALSE),0)</f>
        <v>122992.58610458997</v>
      </c>
      <c r="D114" s="7">
        <f ca="1">C117</f>
        <v>122992.58610458997</v>
      </c>
      <c r="E114" s="7">
        <f t="shared" ref="E114:AM114" ca="1" si="67">D117</f>
        <v>126682.36368772766</v>
      </c>
      <c r="F114" s="7">
        <f t="shared" ca="1" si="67"/>
        <v>130482.83459835949</v>
      </c>
      <c r="G114" s="7">
        <f t="shared" ca="1" si="67"/>
        <v>134397.31963631028</v>
      </c>
      <c r="H114" s="7">
        <f t="shared" ca="1" si="67"/>
        <v>138429.23922539959</v>
      </c>
      <c r="I114" s="7">
        <f t="shared" ca="1" si="67"/>
        <v>142582.11640216157</v>
      </c>
      <c r="J114" s="7">
        <f t="shared" ca="1" si="67"/>
        <v>146859.57989422642</v>
      </c>
      <c r="K114" s="7">
        <f t="shared" ca="1" si="67"/>
        <v>151265.3672910532</v>
      </c>
      <c r="L114" s="7">
        <f t="shared" ca="1" si="67"/>
        <v>155803.32830978479</v>
      </c>
      <c r="M114" s="7">
        <f t="shared" ca="1" si="67"/>
        <v>160477.42815907832</v>
      </c>
      <c r="N114" s="7">
        <f t="shared" ca="1" si="67"/>
        <v>165291.75100385066</v>
      </c>
      <c r="O114" s="7">
        <f t="shared" ca="1" si="67"/>
        <v>170250.50353396617</v>
      </c>
      <c r="P114" s="7">
        <f t="shared" ca="1" si="67"/>
        <v>175358.01863998515</v>
      </c>
      <c r="Q114" s="7">
        <f t="shared" ca="1" si="67"/>
        <v>180618.75919918471</v>
      </c>
      <c r="R114" s="7">
        <f t="shared" ca="1" si="67"/>
        <v>186037.32197516024</v>
      </c>
      <c r="S114" s="7">
        <f t="shared" ca="1" si="67"/>
        <v>191618.44163441504</v>
      </c>
      <c r="T114" s="7">
        <f t="shared" ca="1" si="67"/>
        <v>197366.99488344748</v>
      </c>
      <c r="U114" s="7">
        <f t="shared" ca="1" si="67"/>
        <v>203288.00472995092</v>
      </c>
      <c r="V114" s="7">
        <f t="shared" ca="1" si="67"/>
        <v>209386.64487184945</v>
      </c>
      <c r="W114" s="7">
        <f t="shared" ca="1" si="67"/>
        <v>215668.24421800493</v>
      </c>
      <c r="X114" s="7">
        <f t="shared" ca="1" si="67"/>
        <v>222138.29154454506</v>
      </c>
      <c r="Y114" s="7">
        <f t="shared" ca="1" si="67"/>
        <v>228802.44029088141</v>
      </c>
      <c r="Z114" s="7">
        <f t="shared" ca="1" si="67"/>
        <v>235666.51349960786</v>
      </c>
      <c r="AA114" s="7">
        <f t="shared" ca="1" si="67"/>
        <v>242736.50890459609</v>
      </c>
      <c r="AB114" s="7">
        <f t="shared" ca="1" si="67"/>
        <v>250018.60417173398</v>
      </c>
      <c r="AC114" s="7">
        <f t="shared" ca="1" si="67"/>
        <v>257519.162296886</v>
      </c>
      <c r="AD114" s="7">
        <f t="shared" ca="1" si="67"/>
        <v>265244.73716579255</v>
      </c>
      <c r="AE114" s="7">
        <f t="shared" ca="1" si="67"/>
        <v>273202.07928076631</v>
      </c>
      <c r="AF114" s="7">
        <f t="shared" ca="1" si="67"/>
        <v>281398.14165918931</v>
      </c>
      <c r="AG114" s="7">
        <f t="shared" ca="1" si="67"/>
        <v>289840.08590896497</v>
      </c>
      <c r="AH114" s="7">
        <f t="shared" ca="1" si="67"/>
        <v>298535.28848623391</v>
      </c>
      <c r="AI114" s="7">
        <f t="shared" ca="1" si="67"/>
        <v>307491.34714082093</v>
      </c>
      <c r="AJ114" s="7">
        <f t="shared" ca="1" si="67"/>
        <v>316716.08755504555</v>
      </c>
      <c r="AK114" s="7">
        <f t="shared" ca="1" si="67"/>
        <v>326217.57018169691</v>
      </c>
      <c r="AL114" s="7">
        <f t="shared" ca="1" si="67"/>
        <v>336004.09728714783</v>
      </c>
      <c r="AM114" s="7">
        <f t="shared" ca="1" si="67"/>
        <v>346084.22020576225</v>
      </c>
    </row>
    <row r="115" spans="1:39" x14ac:dyDescent="0.2">
      <c r="A115" s="3" t="s">
        <v>23</v>
      </c>
      <c r="C115" s="7">
        <f ca="1">-IF(SUM(C111:D111)&gt;0,C114,0)</f>
        <v>0</v>
      </c>
      <c r="D115" s="7">
        <f ca="1">-IF(E111&gt;0,D114,0)</f>
        <v>0</v>
      </c>
      <c r="E115" s="7">
        <f ca="1">-IF(F111&gt;0,E114,0)</f>
        <v>0</v>
      </c>
      <c r="F115" s="7">
        <f ca="1">-IF(G111&gt;0,F114,0)</f>
        <v>0</v>
      </c>
      <c r="G115" s="7">
        <f t="shared" ref="G115:AM115" ca="1" si="68">-IF(H111&gt;0,G114,0)</f>
        <v>0</v>
      </c>
      <c r="H115" s="7">
        <f t="shared" ca="1" si="68"/>
        <v>0</v>
      </c>
      <c r="I115" s="7">
        <f t="shared" ca="1" si="68"/>
        <v>0</v>
      </c>
      <c r="J115" s="7">
        <f t="shared" ca="1" si="68"/>
        <v>0</v>
      </c>
      <c r="K115" s="7">
        <f t="shared" ca="1" si="68"/>
        <v>0</v>
      </c>
      <c r="L115" s="7">
        <f t="shared" ca="1" si="68"/>
        <v>0</v>
      </c>
      <c r="M115" s="7">
        <f t="shared" ca="1" si="68"/>
        <v>0</v>
      </c>
      <c r="N115" s="7">
        <f t="shared" ca="1" si="68"/>
        <v>0</v>
      </c>
      <c r="O115" s="7">
        <f t="shared" ca="1" si="68"/>
        <v>0</v>
      </c>
      <c r="P115" s="7">
        <f t="shared" ca="1" si="68"/>
        <v>0</v>
      </c>
      <c r="Q115" s="7">
        <f t="shared" ca="1" si="68"/>
        <v>0</v>
      </c>
      <c r="R115" s="7">
        <f t="shared" ca="1" si="68"/>
        <v>0</v>
      </c>
      <c r="S115" s="7">
        <f t="shared" ca="1" si="68"/>
        <v>0</v>
      </c>
      <c r="T115" s="7">
        <f t="shared" ca="1" si="68"/>
        <v>0</v>
      </c>
      <c r="U115" s="7">
        <f t="shared" ca="1" si="68"/>
        <v>0</v>
      </c>
      <c r="V115" s="7">
        <f t="shared" ca="1" si="68"/>
        <v>0</v>
      </c>
      <c r="W115" s="7">
        <f t="shared" ca="1" si="68"/>
        <v>0</v>
      </c>
      <c r="X115" s="7">
        <f t="shared" ca="1" si="68"/>
        <v>0</v>
      </c>
      <c r="Y115" s="7">
        <f t="shared" ca="1" si="68"/>
        <v>0</v>
      </c>
      <c r="Z115" s="7">
        <f t="shared" ca="1" si="68"/>
        <v>0</v>
      </c>
      <c r="AA115" s="7">
        <f t="shared" ca="1" si="68"/>
        <v>0</v>
      </c>
      <c r="AB115" s="7">
        <f t="shared" ca="1" si="68"/>
        <v>0</v>
      </c>
      <c r="AC115" s="7">
        <f t="shared" ca="1" si="68"/>
        <v>0</v>
      </c>
      <c r="AD115" s="7">
        <f t="shared" ca="1" si="68"/>
        <v>0</v>
      </c>
      <c r="AE115" s="7">
        <f t="shared" ca="1" si="68"/>
        <v>0</v>
      </c>
      <c r="AF115" s="7">
        <f t="shared" ca="1" si="68"/>
        <v>0</v>
      </c>
      <c r="AG115" s="7">
        <f t="shared" ca="1" si="68"/>
        <v>0</v>
      </c>
      <c r="AH115" s="7">
        <f t="shared" ca="1" si="68"/>
        <v>0</v>
      </c>
      <c r="AI115" s="7">
        <f t="shared" ca="1" si="68"/>
        <v>0</v>
      </c>
      <c r="AJ115" s="7">
        <f t="shared" ca="1" si="68"/>
        <v>0</v>
      </c>
      <c r="AK115" s="7">
        <f t="shared" ca="1" si="68"/>
        <v>0</v>
      </c>
      <c r="AL115" s="7">
        <f t="shared" ca="1" si="68"/>
        <v>0</v>
      </c>
      <c r="AM115" s="7">
        <f t="shared" si="68"/>
        <v>0</v>
      </c>
    </row>
    <row r="116" spans="1:39" x14ac:dyDescent="0.2">
      <c r="A116" s="3" t="s">
        <v>24</v>
      </c>
      <c r="C116" s="7">
        <v>0</v>
      </c>
      <c r="D116" s="7">
        <f t="shared" ref="D116:G116" ca="1" si="69">SUM(D114:D115)*princ</f>
        <v>3689.7775831376989</v>
      </c>
      <c r="E116" s="7">
        <f t="shared" ca="1" si="69"/>
        <v>3800.4709106318296</v>
      </c>
      <c r="F116" s="7">
        <f t="shared" ca="1" si="69"/>
        <v>3914.4850379507848</v>
      </c>
      <c r="G116" s="7">
        <f t="shared" ca="1" si="69"/>
        <v>4031.9195890893079</v>
      </c>
      <c r="H116" s="7">
        <f t="shared" ref="H116:I116" ca="1" si="70">SUM(H114:H115)*princ</f>
        <v>4152.8771767619874</v>
      </c>
      <c r="I116" s="7">
        <f t="shared" ca="1" si="70"/>
        <v>4277.4634920648468</v>
      </c>
      <c r="J116" s="7">
        <f t="shared" ref="J116:AM116" ca="1" si="71">SUM(J114:J115)*princ</f>
        <v>4405.7873968267922</v>
      </c>
      <c r="K116" s="7">
        <f t="shared" ca="1" si="71"/>
        <v>4537.9610187315957</v>
      </c>
      <c r="L116" s="7">
        <f t="shared" ca="1" si="71"/>
        <v>4674.0998492935432</v>
      </c>
      <c r="M116" s="7">
        <f t="shared" ca="1" si="71"/>
        <v>4814.3228447723495</v>
      </c>
      <c r="N116" s="7">
        <f t="shared" ca="1" si="71"/>
        <v>4958.7525301155192</v>
      </c>
      <c r="O116" s="7">
        <f t="shared" ca="1" si="71"/>
        <v>5107.5151060189846</v>
      </c>
      <c r="P116" s="7">
        <f t="shared" ca="1" si="71"/>
        <v>5260.7405591995548</v>
      </c>
      <c r="Q116" s="7">
        <f t="shared" ca="1" si="71"/>
        <v>5418.5627759755416</v>
      </c>
      <c r="R116" s="7">
        <f t="shared" ca="1" si="71"/>
        <v>5581.1196592548067</v>
      </c>
      <c r="S116" s="7">
        <f t="shared" ca="1" si="71"/>
        <v>5748.5532490324513</v>
      </c>
      <c r="T116" s="7">
        <f t="shared" ca="1" si="71"/>
        <v>5921.0098465034243</v>
      </c>
      <c r="U116" s="7">
        <f t="shared" ca="1" si="71"/>
        <v>6098.640141898527</v>
      </c>
      <c r="V116" s="7">
        <f t="shared" ca="1" si="71"/>
        <v>6281.5993461554835</v>
      </c>
      <c r="W116" s="7">
        <f t="shared" ca="1" si="71"/>
        <v>6470.0473265401479</v>
      </c>
      <c r="X116" s="7">
        <f t="shared" ca="1" si="71"/>
        <v>6664.1487463363519</v>
      </c>
      <c r="Y116" s="7">
        <f t="shared" ca="1" si="71"/>
        <v>6864.0732087264423</v>
      </c>
      <c r="Z116" s="7">
        <f t="shared" ca="1" si="71"/>
        <v>7069.9954049882354</v>
      </c>
      <c r="AA116" s="7">
        <f t="shared" ca="1" si="71"/>
        <v>7282.0952671378827</v>
      </c>
      <c r="AB116" s="7">
        <f t="shared" ca="1" si="71"/>
        <v>7500.5581251520189</v>
      </c>
      <c r="AC116" s="7">
        <f t="shared" ca="1" si="71"/>
        <v>7725.5748689065795</v>
      </c>
      <c r="AD116" s="7">
        <f t="shared" ca="1" si="71"/>
        <v>7957.342114973776</v>
      </c>
      <c r="AE116" s="7">
        <f t="shared" ca="1" si="71"/>
        <v>8196.0623784229883</v>
      </c>
      <c r="AF116" s="7">
        <f t="shared" ca="1" si="71"/>
        <v>8441.9442497756791</v>
      </c>
      <c r="AG116" s="7">
        <f t="shared" ca="1" si="71"/>
        <v>8695.2025772689485</v>
      </c>
      <c r="AH116" s="7">
        <f t="shared" ca="1" si="71"/>
        <v>8956.0586545870174</v>
      </c>
      <c r="AI116" s="7">
        <f t="shared" ca="1" si="71"/>
        <v>9224.7404142246269</v>
      </c>
      <c r="AJ116" s="7">
        <f t="shared" ca="1" si="71"/>
        <v>9501.4826266513664</v>
      </c>
      <c r="AK116" s="7">
        <f t="shared" ca="1" si="71"/>
        <v>9786.5271054509067</v>
      </c>
      <c r="AL116" s="7">
        <f t="shared" ca="1" si="71"/>
        <v>10080.122918614434</v>
      </c>
      <c r="AM116" s="7">
        <f t="shared" ca="1" si="71"/>
        <v>10382.526606172867</v>
      </c>
    </row>
    <row r="117" spans="1:39" x14ac:dyDescent="0.2">
      <c r="A117" s="3" t="s">
        <v>25</v>
      </c>
      <c r="C117" s="7">
        <f ca="1">SUM(C114:C116)</f>
        <v>122992.58610458997</v>
      </c>
      <c r="D117" s="7">
        <f t="shared" ref="D117:AM117" ca="1" si="72">SUM(D114:D116)</f>
        <v>126682.36368772766</v>
      </c>
      <c r="E117" s="7">
        <f t="shared" ca="1" si="72"/>
        <v>130482.83459835949</v>
      </c>
      <c r="F117" s="7">
        <f t="shared" ca="1" si="72"/>
        <v>134397.31963631028</v>
      </c>
      <c r="G117" s="7">
        <f t="shared" ca="1" si="72"/>
        <v>138429.23922539959</v>
      </c>
      <c r="H117" s="7">
        <f t="shared" ca="1" si="72"/>
        <v>142582.11640216157</v>
      </c>
      <c r="I117" s="7">
        <f t="shared" ca="1" si="72"/>
        <v>146859.57989422642</v>
      </c>
      <c r="J117" s="7">
        <f t="shared" ca="1" si="72"/>
        <v>151265.3672910532</v>
      </c>
      <c r="K117" s="7">
        <f t="shared" ca="1" si="72"/>
        <v>155803.32830978479</v>
      </c>
      <c r="L117" s="7">
        <f t="shared" ca="1" si="72"/>
        <v>160477.42815907832</v>
      </c>
      <c r="M117" s="7">
        <f t="shared" ca="1" si="72"/>
        <v>165291.75100385066</v>
      </c>
      <c r="N117" s="7">
        <f t="shared" ca="1" si="72"/>
        <v>170250.50353396617</v>
      </c>
      <c r="O117" s="7">
        <f t="shared" ca="1" si="72"/>
        <v>175358.01863998515</v>
      </c>
      <c r="P117" s="7">
        <f t="shared" ca="1" si="72"/>
        <v>180618.75919918471</v>
      </c>
      <c r="Q117" s="7">
        <f t="shared" ca="1" si="72"/>
        <v>186037.32197516024</v>
      </c>
      <c r="R117" s="7">
        <f t="shared" ca="1" si="72"/>
        <v>191618.44163441504</v>
      </c>
      <c r="S117" s="7">
        <f t="shared" ca="1" si="72"/>
        <v>197366.99488344748</v>
      </c>
      <c r="T117" s="7">
        <f t="shared" ca="1" si="72"/>
        <v>203288.00472995092</v>
      </c>
      <c r="U117" s="7">
        <f t="shared" ca="1" si="72"/>
        <v>209386.64487184945</v>
      </c>
      <c r="V117" s="7">
        <f t="shared" ca="1" si="72"/>
        <v>215668.24421800493</v>
      </c>
      <c r="W117" s="7">
        <f t="shared" ca="1" si="72"/>
        <v>222138.29154454506</v>
      </c>
      <c r="X117" s="7">
        <f t="shared" ca="1" si="72"/>
        <v>228802.44029088141</v>
      </c>
      <c r="Y117" s="7">
        <f t="shared" ca="1" si="72"/>
        <v>235666.51349960786</v>
      </c>
      <c r="Z117" s="7">
        <f t="shared" ca="1" si="72"/>
        <v>242736.50890459609</v>
      </c>
      <c r="AA117" s="7">
        <f t="shared" ca="1" si="72"/>
        <v>250018.60417173398</v>
      </c>
      <c r="AB117" s="7">
        <f t="shared" ca="1" si="72"/>
        <v>257519.162296886</v>
      </c>
      <c r="AC117" s="7">
        <f t="shared" ca="1" si="72"/>
        <v>265244.73716579255</v>
      </c>
      <c r="AD117" s="7">
        <f t="shared" ca="1" si="72"/>
        <v>273202.07928076631</v>
      </c>
      <c r="AE117" s="7">
        <f t="shared" ca="1" si="72"/>
        <v>281398.14165918931</v>
      </c>
      <c r="AF117" s="7">
        <f t="shared" ca="1" si="72"/>
        <v>289840.08590896497</v>
      </c>
      <c r="AG117" s="7">
        <f t="shared" ca="1" si="72"/>
        <v>298535.28848623391</v>
      </c>
      <c r="AH117" s="7">
        <f t="shared" ca="1" si="72"/>
        <v>307491.34714082093</v>
      </c>
      <c r="AI117" s="7">
        <f t="shared" ca="1" si="72"/>
        <v>316716.08755504555</v>
      </c>
      <c r="AJ117" s="7">
        <f t="shared" ca="1" si="72"/>
        <v>326217.57018169691</v>
      </c>
      <c r="AK117" s="7">
        <f t="shared" ca="1" si="72"/>
        <v>336004.09728714783</v>
      </c>
      <c r="AL117" s="7">
        <f t="shared" ca="1" si="72"/>
        <v>346084.22020576225</v>
      </c>
      <c r="AM117" s="7">
        <f t="shared" ca="1" si="72"/>
        <v>356466.7468119351</v>
      </c>
    </row>
    <row r="118" spans="1:39" x14ac:dyDescent="0.2">
      <c r="A118" s="3" t="s">
        <v>26</v>
      </c>
      <c r="C118" s="7">
        <f ca="1">C115*Inputs!$B$195</f>
        <v>0</v>
      </c>
      <c r="D118" s="7">
        <f ca="1">D115*Inputs!$B$195</f>
        <v>0</v>
      </c>
      <c r="E118" s="7">
        <f ca="1">E115*Inputs!$B$195</f>
        <v>0</v>
      </c>
      <c r="F118" s="7">
        <f ca="1">F115*Inputs!$B$195</f>
        <v>0</v>
      </c>
      <c r="G118" s="7">
        <f ca="1">G115*Inputs!$B$195</f>
        <v>0</v>
      </c>
      <c r="H118" s="7">
        <f ca="1">H115*Inputs!$B$195</f>
        <v>0</v>
      </c>
      <c r="I118" s="7">
        <f ca="1">I115*Inputs!$B$195</f>
        <v>0</v>
      </c>
      <c r="J118" s="7">
        <f ca="1">J115*Inputs!$B$195</f>
        <v>0</v>
      </c>
      <c r="K118" s="7">
        <f ca="1">K115*Inputs!$B$195</f>
        <v>0</v>
      </c>
      <c r="L118" s="7">
        <f ca="1">L115*Inputs!$B$195</f>
        <v>0</v>
      </c>
      <c r="M118" s="7">
        <f ca="1">M115*Inputs!$B$195</f>
        <v>0</v>
      </c>
      <c r="N118" s="7">
        <f ca="1">N115*Inputs!$B$195</f>
        <v>0</v>
      </c>
      <c r="O118" s="7">
        <f ca="1">O115*Inputs!$B$195</f>
        <v>0</v>
      </c>
      <c r="P118" s="7">
        <f ca="1">P115*Inputs!$B$195</f>
        <v>0</v>
      </c>
      <c r="Q118" s="7">
        <f ca="1">Q115*Inputs!$B$195</f>
        <v>0</v>
      </c>
      <c r="R118" s="7">
        <f ca="1">R115*Inputs!$B$195</f>
        <v>0</v>
      </c>
      <c r="S118" s="7">
        <f ca="1">S115*Inputs!$B$195</f>
        <v>0</v>
      </c>
      <c r="T118" s="7">
        <f ca="1">T115*Inputs!$B$195</f>
        <v>0</v>
      </c>
      <c r="U118" s="7">
        <f ca="1">U115*Inputs!$B$195</f>
        <v>0</v>
      </c>
      <c r="V118" s="7">
        <f ca="1">V115*Inputs!$B$195</f>
        <v>0</v>
      </c>
      <c r="W118" s="7">
        <f ca="1">W115*Inputs!$B$195</f>
        <v>0</v>
      </c>
      <c r="X118" s="7">
        <f ca="1">X115*Inputs!$B$195</f>
        <v>0</v>
      </c>
      <c r="Y118" s="7">
        <f ca="1">Y115*Inputs!$B$195</f>
        <v>0</v>
      </c>
      <c r="Z118" s="7">
        <f ca="1">Z115*Inputs!$B$195</f>
        <v>0</v>
      </c>
      <c r="AA118" s="7">
        <f ca="1">AA115*Inputs!$B$195</f>
        <v>0</v>
      </c>
      <c r="AB118" s="7">
        <f ca="1">AB115*Inputs!$B$195</f>
        <v>0</v>
      </c>
      <c r="AC118" s="7">
        <f ca="1">AC115*Inputs!$B$195</f>
        <v>0</v>
      </c>
      <c r="AD118" s="7">
        <f ca="1">AD115*Inputs!$B$195</f>
        <v>0</v>
      </c>
      <c r="AE118" s="7">
        <f ca="1">AE115*Inputs!$B$195</f>
        <v>0</v>
      </c>
      <c r="AF118" s="7">
        <f ca="1">AF115*Inputs!$B$195</f>
        <v>0</v>
      </c>
      <c r="AG118" s="7">
        <f ca="1">AG115*Inputs!$B$195</f>
        <v>0</v>
      </c>
      <c r="AH118" s="7">
        <f ca="1">AH115*Inputs!$B$195</f>
        <v>0</v>
      </c>
      <c r="AI118" s="7">
        <f ca="1">AI115*Inputs!$B$195</f>
        <v>0</v>
      </c>
      <c r="AJ118" s="7">
        <f ca="1">AJ115*Inputs!$B$195</f>
        <v>0</v>
      </c>
      <c r="AK118" s="7">
        <f ca="1">AK115*Inputs!$B$195</f>
        <v>0</v>
      </c>
      <c r="AL118" s="7">
        <f ca="1">AL115*Inputs!$B$195</f>
        <v>0</v>
      </c>
      <c r="AM118" s="7">
        <f>AM115*Inputs!$B$195</f>
        <v>0</v>
      </c>
    </row>
    <row r="119" spans="1:39" x14ac:dyDescent="0.2">
      <c r="A119" s="3" t="s">
        <v>31</v>
      </c>
      <c r="C119" s="7">
        <f t="shared" ref="C119:AM119" ca="1" si="73">IFERROR(-IF(C114=0,VLOOKUP($A113,$8:$12,C$1+2,FALSE),0),0)</f>
        <v>0</v>
      </c>
      <c r="D119" s="7">
        <f t="shared" ca="1" si="73"/>
        <v>0</v>
      </c>
      <c r="E119" s="7">
        <f t="shared" ca="1" si="73"/>
        <v>0</v>
      </c>
      <c r="F119" s="7">
        <f t="shared" ca="1" si="73"/>
        <v>0</v>
      </c>
      <c r="G119" s="7">
        <f t="shared" ca="1" si="73"/>
        <v>0</v>
      </c>
      <c r="H119" s="7">
        <f t="shared" ca="1" si="73"/>
        <v>0</v>
      </c>
      <c r="I119" s="7">
        <f t="shared" ca="1" si="73"/>
        <v>0</v>
      </c>
      <c r="J119" s="7">
        <f t="shared" ca="1" si="73"/>
        <v>0</v>
      </c>
      <c r="K119" s="7">
        <f t="shared" ca="1" si="73"/>
        <v>0</v>
      </c>
      <c r="L119" s="7">
        <f t="shared" ca="1" si="73"/>
        <v>0</v>
      </c>
      <c r="M119" s="7">
        <f t="shared" ca="1" si="73"/>
        <v>0</v>
      </c>
      <c r="N119" s="7">
        <f t="shared" ca="1" si="73"/>
        <v>0</v>
      </c>
      <c r="O119" s="7">
        <f t="shared" ca="1" si="73"/>
        <v>0</v>
      </c>
      <c r="P119" s="7">
        <f t="shared" ca="1" si="73"/>
        <v>0</v>
      </c>
      <c r="Q119" s="7">
        <f t="shared" ca="1" si="73"/>
        <v>0</v>
      </c>
      <c r="R119" s="7">
        <f t="shared" ca="1" si="73"/>
        <v>0</v>
      </c>
      <c r="S119" s="7">
        <f t="shared" ca="1" si="73"/>
        <v>0</v>
      </c>
      <c r="T119" s="7">
        <f t="shared" ca="1" si="73"/>
        <v>0</v>
      </c>
      <c r="U119" s="7">
        <f t="shared" ca="1" si="73"/>
        <v>0</v>
      </c>
      <c r="V119" s="7">
        <f t="shared" ca="1" si="73"/>
        <v>0</v>
      </c>
      <c r="W119" s="7">
        <f t="shared" ca="1" si="73"/>
        <v>0</v>
      </c>
      <c r="X119" s="7">
        <f t="shared" ca="1" si="73"/>
        <v>0</v>
      </c>
      <c r="Y119" s="7">
        <f t="shared" ca="1" si="73"/>
        <v>0</v>
      </c>
      <c r="Z119" s="7">
        <f t="shared" ca="1" si="73"/>
        <v>0</v>
      </c>
      <c r="AA119" s="7">
        <f t="shared" ca="1" si="73"/>
        <v>0</v>
      </c>
      <c r="AB119" s="7">
        <f t="shared" ca="1" si="73"/>
        <v>0</v>
      </c>
      <c r="AC119" s="7">
        <f t="shared" ca="1" si="73"/>
        <v>0</v>
      </c>
      <c r="AD119" s="7">
        <f t="shared" ca="1" si="73"/>
        <v>0</v>
      </c>
      <c r="AE119" s="7">
        <f t="shared" ca="1" si="73"/>
        <v>0</v>
      </c>
      <c r="AF119" s="7">
        <f t="shared" ca="1" si="73"/>
        <v>0</v>
      </c>
      <c r="AG119" s="7">
        <f t="shared" ca="1" si="73"/>
        <v>0</v>
      </c>
      <c r="AH119" s="7">
        <f t="shared" ca="1" si="73"/>
        <v>0</v>
      </c>
      <c r="AI119" s="7">
        <f t="shared" ca="1" si="73"/>
        <v>0</v>
      </c>
      <c r="AJ119" s="7">
        <f t="shared" ca="1" si="73"/>
        <v>0</v>
      </c>
      <c r="AK119" s="7">
        <f t="shared" ca="1" si="73"/>
        <v>0</v>
      </c>
      <c r="AL119" s="7">
        <f t="shared" ca="1" si="73"/>
        <v>0</v>
      </c>
      <c r="AM119" s="7">
        <f t="shared" ca="1" si="73"/>
        <v>0</v>
      </c>
    </row>
    <row r="120" spans="1:39" x14ac:dyDescent="0.2">
      <c r="A120" s="3" t="s">
        <v>50</v>
      </c>
      <c r="C120" s="7">
        <f t="shared" ref="C120:AM120" ca="1" si="74">IFERROR(IF(C114=0,VLOOKUP($A113,$40:$44,C$1+2,FALSE),0),0)</f>
        <v>0</v>
      </c>
      <c r="D120" s="7">
        <f t="shared" ca="1" si="74"/>
        <v>0</v>
      </c>
      <c r="E120" s="7">
        <f t="shared" ca="1" si="74"/>
        <v>0</v>
      </c>
      <c r="F120" s="7">
        <f t="shared" ca="1" si="74"/>
        <v>0</v>
      </c>
      <c r="G120" s="7">
        <f t="shared" ca="1" si="74"/>
        <v>0</v>
      </c>
      <c r="H120" s="7">
        <f t="shared" ca="1" si="74"/>
        <v>0</v>
      </c>
      <c r="I120" s="7">
        <f t="shared" ca="1" si="74"/>
        <v>0</v>
      </c>
      <c r="J120" s="7">
        <f t="shared" ca="1" si="74"/>
        <v>0</v>
      </c>
      <c r="K120" s="7">
        <f t="shared" ca="1" si="74"/>
        <v>0</v>
      </c>
      <c r="L120" s="7">
        <f t="shared" ca="1" si="74"/>
        <v>0</v>
      </c>
      <c r="M120" s="7">
        <f t="shared" ca="1" si="74"/>
        <v>0</v>
      </c>
      <c r="N120" s="7">
        <f t="shared" ca="1" si="74"/>
        <v>0</v>
      </c>
      <c r="O120" s="7">
        <f t="shared" ca="1" si="74"/>
        <v>0</v>
      </c>
      <c r="P120" s="7">
        <f t="shared" ca="1" si="74"/>
        <v>0</v>
      </c>
      <c r="Q120" s="7">
        <f t="shared" ca="1" si="74"/>
        <v>0</v>
      </c>
      <c r="R120" s="7">
        <f t="shared" ca="1" si="74"/>
        <v>0</v>
      </c>
      <c r="S120" s="7">
        <f t="shared" ca="1" si="74"/>
        <v>0</v>
      </c>
      <c r="T120" s="7">
        <f t="shared" ca="1" si="74"/>
        <v>0</v>
      </c>
      <c r="U120" s="7">
        <f t="shared" ca="1" si="74"/>
        <v>0</v>
      </c>
      <c r="V120" s="7">
        <f t="shared" ca="1" si="74"/>
        <v>0</v>
      </c>
      <c r="W120" s="7">
        <f t="shared" ca="1" si="74"/>
        <v>0</v>
      </c>
      <c r="X120" s="7">
        <f t="shared" ca="1" si="74"/>
        <v>0</v>
      </c>
      <c r="Y120" s="7">
        <f t="shared" ca="1" si="74"/>
        <v>0</v>
      </c>
      <c r="Z120" s="7">
        <f t="shared" ca="1" si="74"/>
        <v>0</v>
      </c>
      <c r="AA120" s="7">
        <f t="shared" ca="1" si="74"/>
        <v>0</v>
      </c>
      <c r="AB120" s="7">
        <f t="shared" ca="1" si="74"/>
        <v>0</v>
      </c>
      <c r="AC120" s="7">
        <f t="shared" ca="1" si="74"/>
        <v>0</v>
      </c>
      <c r="AD120" s="7">
        <f t="shared" ca="1" si="74"/>
        <v>0</v>
      </c>
      <c r="AE120" s="7">
        <f t="shared" ca="1" si="74"/>
        <v>0</v>
      </c>
      <c r="AF120" s="7">
        <f t="shared" ca="1" si="74"/>
        <v>0</v>
      </c>
      <c r="AG120" s="7">
        <f t="shared" ca="1" si="74"/>
        <v>0</v>
      </c>
      <c r="AH120" s="7">
        <f t="shared" ca="1" si="74"/>
        <v>0</v>
      </c>
      <c r="AI120" s="7">
        <f t="shared" ca="1" si="74"/>
        <v>0</v>
      </c>
      <c r="AJ120" s="7">
        <f t="shared" ca="1" si="74"/>
        <v>0</v>
      </c>
      <c r="AK120" s="7">
        <f t="shared" ca="1" si="74"/>
        <v>0</v>
      </c>
      <c r="AL120" s="7">
        <f t="shared" ca="1" si="74"/>
        <v>0</v>
      </c>
      <c r="AM120" s="7">
        <f t="shared" ca="1" si="74"/>
        <v>0</v>
      </c>
    </row>
    <row r="121" spans="1:39" x14ac:dyDescent="0.2">
      <c r="A121" s="3" t="s">
        <v>36</v>
      </c>
      <c r="B121" s="14" t="str">
        <f>A113</f>
        <v>Marsa</v>
      </c>
      <c r="C121" s="7">
        <f t="shared" ref="C121:AM121" ca="1" si="75">IF(AND(C114&gt;0,C117=0),VLOOKUP($A113,$72:$76,C$1+2,FALSE),0)</f>
        <v>0</v>
      </c>
      <c r="D121" s="7">
        <f t="shared" ca="1" si="75"/>
        <v>0</v>
      </c>
      <c r="E121" s="7">
        <f t="shared" ca="1" si="75"/>
        <v>0</v>
      </c>
      <c r="F121" s="7">
        <f t="shared" ca="1" si="75"/>
        <v>0</v>
      </c>
      <c r="G121" s="7">
        <f t="shared" ca="1" si="75"/>
        <v>0</v>
      </c>
      <c r="H121" s="7">
        <f t="shared" ca="1" si="75"/>
        <v>0</v>
      </c>
      <c r="I121" s="7">
        <f t="shared" ca="1" si="75"/>
        <v>0</v>
      </c>
      <c r="J121" s="7">
        <f t="shared" ca="1" si="75"/>
        <v>0</v>
      </c>
      <c r="K121" s="7">
        <f t="shared" ca="1" si="75"/>
        <v>0</v>
      </c>
      <c r="L121" s="7">
        <f t="shared" ca="1" si="75"/>
        <v>0</v>
      </c>
      <c r="M121" s="7">
        <f t="shared" ca="1" si="75"/>
        <v>0</v>
      </c>
      <c r="N121" s="7">
        <f t="shared" ca="1" si="75"/>
        <v>0</v>
      </c>
      <c r="O121" s="7">
        <f t="shared" ca="1" si="75"/>
        <v>0</v>
      </c>
      <c r="P121" s="7">
        <f t="shared" ca="1" si="75"/>
        <v>0</v>
      </c>
      <c r="Q121" s="7">
        <f t="shared" ca="1" si="75"/>
        <v>0</v>
      </c>
      <c r="R121" s="7">
        <f t="shared" ca="1" si="75"/>
        <v>0</v>
      </c>
      <c r="S121" s="7">
        <f t="shared" ca="1" si="75"/>
        <v>0</v>
      </c>
      <c r="T121" s="7">
        <f t="shared" ca="1" si="75"/>
        <v>0</v>
      </c>
      <c r="U121" s="7">
        <f t="shared" ca="1" si="75"/>
        <v>0</v>
      </c>
      <c r="V121" s="7">
        <f t="shared" ca="1" si="75"/>
        <v>0</v>
      </c>
      <c r="W121" s="7">
        <f t="shared" ca="1" si="75"/>
        <v>0</v>
      </c>
      <c r="X121" s="7">
        <f t="shared" ca="1" si="75"/>
        <v>0</v>
      </c>
      <c r="Y121" s="7">
        <f t="shared" ca="1" si="75"/>
        <v>0</v>
      </c>
      <c r="Z121" s="7">
        <f t="shared" ca="1" si="75"/>
        <v>0</v>
      </c>
      <c r="AA121" s="7">
        <f t="shared" ca="1" si="75"/>
        <v>0</v>
      </c>
      <c r="AB121" s="7">
        <f t="shared" ca="1" si="75"/>
        <v>0</v>
      </c>
      <c r="AC121" s="7">
        <f t="shared" ca="1" si="75"/>
        <v>0</v>
      </c>
      <c r="AD121" s="7">
        <f t="shared" ca="1" si="75"/>
        <v>0</v>
      </c>
      <c r="AE121" s="7">
        <f t="shared" ca="1" si="75"/>
        <v>0</v>
      </c>
      <c r="AF121" s="7">
        <f t="shared" ca="1" si="75"/>
        <v>0</v>
      </c>
      <c r="AG121" s="7">
        <f t="shared" ca="1" si="75"/>
        <v>0</v>
      </c>
      <c r="AH121" s="7">
        <f t="shared" ca="1" si="75"/>
        <v>0</v>
      </c>
      <c r="AI121" s="7">
        <f t="shared" ca="1" si="75"/>
        <v>0</v>
      </c>
      <c r="AJ121" s="7">
        <f t="shared" ca="1" si="75"/>
        <v>0</v>
      </c>
      <c r="AK121" s="7">
        <f t="shared" ca="1" si="75"/>
        <v>0</v>
      </c>
      <c r="AL121" s="7">
        <f t="shared" ca="1" si="75"/>
        <v>0</v>
      </c>
      <c r="AM121" s="7">
        <f t="shared" ca="1" si="75"/>
        <v>0</v>
      </c>
    </row>
    <row r="122" spans="1:39" x14ac:dyDescent="0.2">
      <c r="A122" s="3" t="s">
        <v>37</v>
      </c>
      <c r="C122" s="7">
        <f ca="1">-C115+SUM(C118:C121)</f>
        <v>0</v>
      </c>
      <c r="D122" s="7">
        <f t="shared" ref="D122" ca="1" si="76">-D115+SUM(D118:D121)</f>
        <v>0</v>
      </c>
      <c r="E122" s="7">
        <f t="shared" ref="E122:AM122" ca="1" si="77">-E115+SUM(E118:E121)</f>
        <v>0</v>
      </c>
      <c r="F122" s="7">
        <f t="shared" ca="1" si="77"/>
        <v>0</v>
      </c>
      <c r="G122" s="7">
        <f t="shared" ca="1" si="77"/>
        <v>0</v>
      </c>
      <c r="H122" s="7">
        <f t="shared" ca="1" si="77"/>
        <v>0</v>
      </c>
      <c r="I122" s="7">
        <f t="shared" ca="1" si="77"/>
        <v>0</v>
      </c>
      <c r="J122" s="7">
        <f t="shared" ca="1" si="77"/>
        <v>0</v>
      </c>
      <c r="K122" s="7">
        <f t="shared" ca="1" si="77"/>
        <v>0</v>
      </c>
      <c r="L122" s="7">
        <f t="shared" ca="1" si="77"/>
        <v>0</v>
      </c>
      <c r="M122" s="7">
        <f t="shared" ca="1" si="77"/>
        <v>0</v>
      </c>
      <c r="N122" s="7">
        <f t="shared" ca="1" si="77"/>
        <v>0</v>
      </c>
      <c r="O122" s="7">
        <f t="shared" ca="1" si="77"/>
        <v>0</v>
      </c>
      <c r="P122" s="7">
        <f t="shared" ca="1" si="77"/>
        <v>0</v>
      </c>
      <c r="Q122" s="7">
        <f t="shared" ca="1" si="77"/>
        <v>0</v>
      </c>
      <c r="R122" s="7">
        <f t="shared" ca="1" si="77"/>
        <v>0</v>
      </c>
      <c r="S122" s="7">
        <f t="shared" ca="1" si="77"/>
        <v>0</v>
      </c>
      <c r="T122" s="7">
        <f t="shared" ca="1" si="77"/>
        <v>0</v>
      </c>
      <c r="U122" s="7">
        <f t="shared" ca="1" si="77"/>
        <v>0</v>
      </c>
      <c r="V122" s="7">
        <f t="shared" ca="1" si="77"/>
        <v>0</v>
      </c>
      <c r="W122" s="7">
        <f t="shared" ca="1" si="77"/>
        <v>0</v>
      </c>
      <c r="X122" s="7">
        <f t="shared" ca="1" si="77"/>
        <v>0</v>
      </c>
      <c r="Y122" s="7">
        <f t="shared" ca="1" si="77"/>
        <v>0</v>
      </c>
      <c r="Z122" s="7">
        <f t="shared" ca="1" si="77"/>
        <v>0</v>
      </c>
      <c r="AA122" s="7">
        <f t="shared" ca="1" si="77"/>
        <v>0</v>
      </c>
      <c r="AB122" s="7">
        <f t="shared" ca="1" si="77"/>
        <v>0</v>
      </c>
      <c r="AC122" s="7">
        <f t="shared" ca="1" si="77"/>
        <v>0</v>
      </c>
      <c r="AD122" s="7">
        <f t="shared" ca="1" si="77"/>
        <v>0</v>
      </c>
      <c r="AE122" s="7">
        <f t="shared" ca="1" si="77"/>
        <v>0</v>
      </c>
      <c r="AF122" s="7">
        <f t="shared" ca="1" si="77"/>
        <v>0</v>
      </c>
      <c r="AG122" s="7">
        <f t="shared" ca="1" si="77"/>
        <v>0</v>
      </c>
      <c r="AH122" s="7">
        <f t="shared" ca="1" si="77"/>
        <v>0</v>
      </c>
      <c r="AI122" s="7">
        <f t="shared" ca="1" si="77"/>
        <v>0</v>
      </c>
      <c r="AJ122" s="7">
        <f t="shared" ca="1" si="77"/>
        <v>0</v>
      </c>
      <c r="AK122" s="7">
        <f t="shared" ca="1" si="77"/>
        <v>0</v>
      </c>
      <c r="AL122" s="7">
        <f t="shared" ca="1" si="77"/>
        <v>0</v>
      </c>
      <c r="AM122" s="7">
        <f t="shared" ca="1" si="77"/>
        <v>0</v>
      </c>
    </row>
    <row r="123" spans="1:39" x14ac:dyDescent="0.2">
      <c r="A123" s="3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7"/>
      <c r="AC123" s="7"/>
      <c r="AD123" s="7"/>
      <c r="AE123" s="7"/>
      <c r="AF123" s="7"/>
      <c r="AG123" s="7"/>
      <c r="AH123" s="7"/>
      <c r="AI123" s="7"/>
      <c r="AJ123" s="7"/>
      <c r="AK123" s="7"/>
      <c r="AL123" s="7"/>
      <c r="AM123" s="7"/>
    </row>
    <row r="124" spans="1:39" x14ac:dyDescent="0.2">
      <c r="A124" s="3" t="s">
        <v>77</v>
      </c>
      <c r="C124" s="7">
        <f ca="1">C110+SUM($C122:C122)</f>
        <v>33136.875000000015</v>
      </c>
      <c r="D124" s="7">
        <f ca="1">D110+SUM($C122:D122)</f>
        <v>57140.903125000026</v>
      </c>
      <c r="E124" s="7">
        <f ca="1">E110+SUM($C122:E122)</f>
        <v>87759.433828125038</v>
      </c>
      <c r="F124" s="7">
        <f ca="1">F110+SUM($C122:F122)</f>
        <v>99100.176411377644</v>
      </c>
      <c r="G124" s="7">
        <f ca="1">G110+SUM($C122:G122)</f>
        <v>142148.90012508008</v>
      </c>
      <c r="H124" s="7">
        <f ca="1">H110+SUM($C122:H122)</f>
        <v>192078.05562310934</v>
      </c>
      <c r="I124" s="7">
        <f ca="1">I110+SUM($C122:I122)</f>
        <v>266036.18242333515</v>
      </c>
      <c r="J124" s="7">
        <f ca="1">J110+SUM($C122:J122)</f>
        <v>339084.48685026687</v>
      </c>
      <c r="K124" s="7">
        <f ca="1">K110+SUM($C122:K122)</f>
        <v>398970.23861694947</v>
      </c>
      <c r="L124" s="7">
        <f ca="1">L110+SUM($C122:L122)</f>
        <v>546536.87203851226</v>
      </c>
      <c r="M124" s="7">
        <f ca="1">M110+SUM($C122:M122)</f>
        <v>605652.23085092264</v>
      </c>
      <c r="N124" s="7">
        <f ca="1">N110+SUM($C122:N122)</f>
        <v>718618.88271131995</v>
      </c>
      <c r="O124" s="7">
        <f ca="1">O110+SUM($C122:O122)</f>
        <v>837633.29830874666</v>
      </c>
      <c r="P124" s="7">
        <f ca="1">P110+SUM($C122:P122)</f>
        <v>962951.35058629012</v>
      </c>
      <c r="Q124" s="7">
        <f ca="1">Q110+SUM($C122:Q122)</f>
        <v>1094838.6489492662</v>
      </c>
      <c r="R124" s="7">
        <f ca="1">R110+SUM($C122:R122)</f>
        <v>1233570.8878477628</v>
      </c>
      <c r="S124" s="7">
        <f ca="1">S110+SUM($C122:S122)</f>
        <v>1379434.2073534238</v>
      </c>
      <c r="T124" s="7">
        <f ca="1">T110+SUM($C122:T122)</f>
        <v>1423495.1237488878</v>
      </c>
      <c r="U124" s="7">
        <f ca="1">U110+SUM($C122:U122)</f>
        <v>1477057.089307287</v>
      </c>
      <c r="V124" s="7">
        <f ca="1">V110+SUM($C122:V122)</f>
        <v>1532680.5274795629</v>
      </c>
      <c r="W124" s="7">
        <f ca="1">W110+SUM($C122:W122)</f>
        <v>1590443.9774315846</v>
      </c>
      <c r="X124" s="7">
        <f ca="1">X110+SUM($C122:X122)</f>
        <v>1650428.88512004</v>
      </c>
      <c r="Y124" s="7">
        <f ca="1">Y110+SUM($C122:Y122)</f>
        <v>1691802.6151119878</v>
      </c>
      <c r="Z124" s="7">
        <f ca="1">Z110+SUM($C122:Z122)</f>
        <v>1734523.9813424624</v>
      </c>
      <c r="AA124" s="7">
        <f ca="1">AA110+SUM($C122:AA122)</f>
        <v>1778644.5710759091</v>
      </c>
      <c r="AB124" s="7">
        <f ca="1">AB110+SUM($C122:AB122)</f>
        <v>1824218.0105883591</v>
      </c>
      <c r="AC124" s="7">
        <f ca="1">AC110+SUM($C122:AC122)</f>
        <v>1871300.0439335995</v>
      </c>
      <c r="AD124" s="7">
        <f ca="1">AD110+SUM($C122:AD122)</f>
        <v>1919948.6146449971</v>
      </c>
      <c r="AE124" s="7">
        <f ca="1">AE110+SUM($C122:AE122)</f>
        <v>1980331.2065111429</v>
      </c>
      <c r="AF124" s="7">
        <f ca="1">AF110+SUM($C122:AF122)</f>
        <v>2042908.5261740466</v>
      </c>
      <c r="AG124" s="7">
        <f ca="1">AG110+SUM($C122:AG122)</f>
        <v>2107764.5878862576</v>
      </c>
      <c r="AH124" s="7">
        <f ca="1">AH110+SUM($C122:AH122)</f>
        <v>2174986.5954175591</v>
      </c>
      <c r="AI124" s="7">
        <f ca="1">AI110+SUM($C122:AI122)</f>
        <v>2244665.0598372058</v>
      </c>
      <c r="AJ124" s="7">
        <f ca="1">AJ110+SUM($C122:AJ122)</f>
        <v>2316893.9215162839</v>
      </c>
      <c r="AK124" s="7">
        <f ca="1">AK110+SUM($C122:AK122)</f>
        <v>2391770.6764973206</v>
      </c>
      <c r="AL124" s="7">
        <f ca="1">AL110+SUM($C122:AL122)</f>
        <v>2469396.5073832762</v>
      </c>
      <c r="AM124" s="7">
        <f ca="1">AM110+SUM($C122:AM122)</f>
        <v>2549876.4189032381</v>
      </c>
    </row>
    <row r="125" spans="1:39" x14ac:dyDescent="0.2">
      <c r="A125" s="3" t="s">
        <v>74</v>
      </c>
      <c r="C125" s="7">
        <f t="shared" ref="C125:AM125" ca="1" si="78">MAX(C124+buffer,0)-MAX(C110+buffer,0)</f>
        <v>0</v>
      </c>
      <c r="D125" s="7">
        <f t="shared" ca="1" si="78"/>
        <v>0</v>
      </c>
      <c r="E125" s="7">
        <f t="shared" ca="1" si="78"/>
        <v>0</v>
      </c>
      <c r="F125" s="7">
        <f t="shared" ca="1" si="78"/>
        <v>0</v>
      </c>
      <c r="G125" s="7">
        <f t="shared" ca="1" si="78"/>
        <v>0</v>
      </c>
      <c r="H125" s="7">
        <f t="shared" ca="1" si="78"/>
        <v>0</v>
      </c>
      <c r="I125" s="7">
        <f t="shared" ca="1" si="78"/>
        <v>0</v>
      </c>
      <c r="J125" s="7">
        <f t="shared" ca="1" si="78"/>
        <v>0</v>
      </c>
      <c r="K125" s="7">
        <f t="shared" ca="1" si="78"/>
        <v>0</v>
      </c>
      <c r="L125" s="7">
        <f t="shared" ca="1" si="78"/>
        <v>0</v>
      </c>
      <c r="M125" s="7">
        <f t="shared" ca="1" si="78"/>
        <v>0</v>
      </c>
      <c r="N125" s="7">
        <f t="shared" ca="1" si="78"/>
        <v>0</v>
      </c>
      <c r="O125" s="7">
        <f t="shared" ca="1" si="78"/>
        <v>0</v>
      </c>
      <c r="P125" s="7">
        <f t="shared" ca="1" si="78"/>
        <v>0</v>
      </c>
      <c r="Q125" s="7">
        <f t="shared" ca="1" si="78"/>
        <v>0</v>
      </c>
      <c r="R125" s="7">
        <f t="shared" ca="1" si="78"/>
        <v>0</v>
      </c>
      <c r="S125" s="7">
        <f t="shared" ca="1" si="78"/>
        <v>0</v>
      </c>
      <c r="T125" s="7">
        <f t="shared" ca="1" si="78"/>
        <v>0</v>
      </c>
      <c r="U125" s="7">
        <f t="shared" ca="1" si="78"/>
        <v>0</v>
      </c>
      <c r="V125" s="7">
        <f t="shared" ca="1" si="78"/>
        <v>0</v>
      </c>
      <c r="W125" s="7">
        <f t="shared" ca="1" si="78"/>
        <v>0</v>
      </c>
      <c r="X125" s="7">
        <f t="shared" ca="1" si="78"/>
        <v>0</v>
      </c>
      <c r="Y125" s="7">
        <f t="shared" ca="1" si="78"/>
        <v>0</v>
      </c>
      <c r="Z125" s="7">
        <f t="shared" ca="1" si="78"/>
        <v>0</v>
      </c>
      <c r="AA125" s="7">
        <f t="shared" ca="1" si="78"/>
        <v>0</v>
      </c>
      <c r="AB125" s="7">
        <f t="shared" ca="1" si="78"/>
        <v>0</v>
      </c>
      <c r="AC125" s="7">
        <f t="shared" ca="1" si="78"/>
        <v>0</v>
      </c>
      <c r="AD125" s="7">
        <f t="shared" ca="1" si="78"/>
        <v>0</v>
      </c>
      <c r="AE125" s="7">
        <f t="shared" ca="1" si="78"/>
        <v>0</v>
      </c>
      <c r="AF125" s="7">
        <f t="shared" ca="1" si="78"/>
        <v>0</v>
      </c>
      <c r="AG125" s="7">
        <f t="shared" ca="1" si="78"/>
        <v>0</v>
      </c>
      <c r="AH125" s="7">
        <f t="shared" ca="1" si="78"/>
        <v>0</v>
      </c>
      <c r="AI125" s="7">
        <f t="shared" ca="1" si="78"/>
        <v>0</v>
      </c>
      <c r="AJ125" s="7">
        <f t="shared" ca="1" si="78"/>
        <v>0</v>
      </c>
      <c r="AK125" s="7">
        <f t="shared" ca="1" si="78"/>
        <v>0</v>
      </c>
      <c r="AL125" s="7">
        <f t="shared" ca="1" si="78"/>
        <v>0</v>
      </c>
      <c r="AM125" s="7">
        <f t="shared" ca="1" si="78"/>
        <v>0</v>
      </c>
    </row>
    <row r="126" spans="1:39" x14ac:dyDescent="0.2">
      <c r="A126" s="3" t="s">
        <v>75</v>
      </c>
      <c r="C126" s="7">
        <f ca="1">C125*Inputs!$B$181</f>
        <v>0</v>
      </c>
      <c r="D126" s="7">
        <f ca="1">D125*Inputs!$B$181</f>
        <v>0</v>
      </c>
      <c r="E126" s="7">
        <f ca="1">E125*Inputs!$B$181</f>
        <v>0</v>
      </c>
      <c r="F126" s="7">
        <f ca="1">F125*Inputs!$B$181</f>
        <v>0</v>
      </c>
      <c r="G126" s="7">
        <f ca="1">G125*Inputs!$B$181</f>
        <v>0</v>
      </c>
      <c r="H126" s="7">
        <f ca="1">H125*Inputs!$B$181</f>
        <v>0</v>
      </c>
      <c r="I126" s="7">
        <f ca="1">I125*Inputs!$B$181</f>
        <v>0</v>
      </c>
      <c r="J126" s="7">
        <f ca="1">J125*Inputs!$B$181</f>
        <v>0</v>
      </c>
      <c r="K126" s="7">
        <f ca="1">K125*Inputs!$B$181</f>
        <v>0</v>
      </c>
      <c r="L126" s="7">
        <f ca="1">L125*Inputs!$B$181</f>
        <v>0</v>
      </c>
      <c r="M126" s="7">
        <f ca="1">M125*Inputs!$B$181</f>
        <v>0</v>
      </c>
      <c r="N126" s="7">
        <f ca="1">N125*Inputs!$B$181</f>
        <v>0</v>
      </c>
      <c r="O126" s="7">
        <f ca="1">O125*Inputs!$B$181</f>
        <v>0</v>
      </c>
      <c r="P126" s="7">
        <f ca="1">P125*Inputs!$B$181</f>
        <v>0</v>
      </c>
      <c r="Q126" s="7">
        <f ca="1">Q125*Inputs!$B$181</f>
        <v>0</v>
      </c>
      <c r="R126" s="7">
        <f ca="1">R125*Inputs!$B$181</f>
        <v>0</v>
      </c>
      <c r="S126" s="7">
        <f ca="1">S125*Inputs!$B$181</f>
        <v>0</v>
      </c>
      <c r="T126" s="7">
        <f ca="1">T125*Inputs!$B$181</f>
        <v>0</v>
      </c>
      <c r="U126" s="7">
        <f ca="1">U125*Inputs!$B$181</f>
        <v>0</v>
      </c>
      <c r="V126" s="7">
        <f ca="1">V125*Inputs!$B$181</f>
        <v>0</v>
      </c>
      <c r="W126" s="7">
        <f ca="1">W125*Inputs!$B$181</f>
        <v>0</v>
      </c>
      <c r="X126" s="7">
        <f ca="1">X125*Inputs!$B$181</f>
        <v>0</v>
      </c>
      <c r="Y126" s="7">
        <f ca="1">Y125*Inputs!$B$181</f>
        <v>0</v>
      </c>
      <c r="Z126" s="7">
        <f ca="1">Z125*Inputs!$B$181</f>
        <v>0</v>
      </c>
      <c r="AA126" s="7">
        <f ca="1">AA125*Inputs!$B$181</f>
        <v>0</v>
      </c>
      <c r="AB126" s="7">
        <f ca="1">AB125*Inputs!$B$181</f>
        <v>0</v>
      </c>
      <c r="AC126" s="7">
        <f ca="1">AC125*Inputs!$B$181</f>
        <v>0</v>
      </c>
      <c r="AD126" s="7">
        <f ca="1">AD125*Inputs!$B$181</f>
        <v>0</v>
      </c>
      <c r="AE126" s="7">
        <f ca="1">AE125*Inputs!$B$181</f>
        <v>0</v>
      </c>
      <c r="AF126" s="7">
        <f ca="1">AF125*Inputs!$B$181</f>
        <v>0</v>
      </c>
      <c r="AG126" s="7">
        <f ca="1">AG125*Inputs!$B$181</f>
        <v>0</v>
      </c>
      <c r="AH126" s="7">
        <f ca="1">AH125*Inputs!$B$181</f>
        <v>0</v>
      </c>
      <c r="AI126" s="7">
        <f ca="1">AI125*Inputs!$B$181</f>
        <v>0</v>
      </c>
      <c r="AJ126" s="7">
        <f ca="1">AJ125*Inputs!$B$181</f>
        <v>0</v>
      </c>
      <c r="AK126" s="7">
        <f ca="1">AK125*Inputs!$B$181</f>
        <v>0</v>
      </c>
      <c r="AL126" s="7">
        <f ca="1">AL125*Inputs!$B$181</f>
        <v>0</v>
      </c>
      <c r="AM126" s="7">
        <f ca="1">AM125*Inputs!$B$181</f>
        <v>0</v>
      </c>
    </row>
    <row r="127" spans="1:39" x14ac:dyDescent="0.2">
      <c r="A127" s="3" t="s">
        <v>158</v>
      </c>
      <c r="C127" s="7">
        <f ca="1">C124+SUM($C126:C126)</f>
        <v>33136.875000000015</v>
      </c>
      <c r="D127" s="7">
        <f ca="1">D124+SUM($C126:D126)</f>
        <v>57140.903125000026</v>
      </c>
      <c r="E127" s="7">
        <f ca="1">E124+SUM($C126:E126)</f>
        <v>87759.433828125038</v>
      </c>
      <c r="F127" s="7">
        <f ca="1">F124+SUM($C126:F126)</f>
        <v>99100.176411377644</v>
      </c>
      <c r="G127" s="7">
        <f ca="1">G124+SUM($C126:G126)</f>
        <v>142148.90012508008</v>
      </c>
      <c r="H127" s="7">
        <f ca="1">H124+SUM($C126:H126)</f>
        <v>192078.05562310934</v>
      </c>
      <c r="I127" s="7">
        <f ca="1">I124+SUM($C126:I126)</f>
        <v>266036.18242333515</v>
      </c>
      <c r="J127" s="7">
        <f ca="1">J124+SUM($C126:J126)</f>
        <v>339084.48685026687</v>
      </c>
      <c r="K127" s="7">
        <f ca="1">K124+SUM($C126:K126)</f>
        <v>398970.23861694947</v>
      </c>
      <c r="L127" s="7">
        <f ca="1">L124+SUM($C126:L126)</f>
        <v>546536.87203851226</v>
      </c>
      <c r="M127" s="7">
        <f ca="1">M124+SUM($C126:M126)</f>
        <v>605652.23085092264</v>
      </c>
      <c r="N127" s="7">
        <f ca="1">N124+SUM($C126:N126)</f>
        <v>718618.88271131995</v>
      </c>
      <c r="O127" s="7">
        <f ca="1">O124+SUM($C126:O126)</f>
        <v>837633.29830874666</v>
      </c>
      <c r="P127" s="7">
        <f ca="1">P124+SUM($C126:P126)</f>
        <v>962951.35058629012</v>
      </c>
      <c r="Q127" s="7">
        <f ca="1">Q124+SUM($C126:Q126)</f>
        <v>1094838.6489492662</v>
      </c>
      <c r="R127" s="7">
        <f ca="1">R124+SUM($C126:R126)</f>
        <v>1233570.8878477628</v>
      </c>
      <c r="S127" s="7">
        <f ca="1">S124+SUM($C126:S126)</f>
        <v>1379434.2073534238</v>
      </c>
      <c r="T127" s="7">
        <f ca="1">T124+SUM($C126:T126)</f>
        <v>1423495.1237488878</v>
      </c>
      <c r="U127" s="7">
        <f ca="1">U124+SUM($C126:U126)</f>
        <v>1477057.089307287</v>
      </c>
      <c r="V127" s="7">
        <f ca="1">V124+SUM($C126:V126)</f>
        <v>1532680.5274795629</v>
      </c>
      <c r="W127" s="7">
        <f ca="1">W124+SUM($C126:W126)</f>
        <v>1590443.9774315846</v>
      </c>
      <c r="X127" s="7">
        <f ca="1">X124+SUM($C126:X126)</f>
        <v>1650428.88512004</v>
      </c>
      <c r="Y127" s="7">
        <f ca="1">Y124+SUM($C126:Y126)</f>
        <v>1691802.6151119878</v>
      </c>
      <c r="Z127" s="7">
        <f ca="1">Z124+SUM($C126:Z126)</f>
        <v>1734523.9813424624</v>
      </c>
      <c r="AA127" s="7">
        <f ca="1">AA124+SUM($C126:AA126)</f>
        <v>1778644.5710759091</v>
      </c>
      <c r="AB127" s="7">
        <f ca="1">AB124+SUM($C126:AB126)</f>
        <v>1824218.0105883591</v>
      </c>
      <c r="AC127" s="7">
        <f ca="1">AC124+SUM($C126:AC126)</f>
        <v>1871300.0439335995</v>
      </c>
      <c r="AD127" s="7">
        <f ca="1">AD124+SUM($C126:AD126)</f>
        <v>1919948.6146449971</v>
      </c>
      <c r="AE127" s="7">
        <f ca="1">AE124+SUM($C126:AE126)</f>
        <v>1980331.2065111429</v>
      </c>
      <c r="AF127" s="7">
        <f ca="1">AF124+SUM($C126:AF126)</f>
        <v>2042908.5261740466</v>
      </c>
      <c r="AG127" s="7">
        <f ca="1">AG124+SUM($C126:AG126)</f>
        <v>2107764.5878862576</v>
      </c>
      <c r="AH127" s="7">
        <f ca="1">AH124+SUM($C126:AH126)</f>
        <v>2174986.5954175591</v>
      </c>
      <c r="AI127" s="7">
        <f ca="1">AI124+SUM($C126:AI126)</f>
        <v>2244665.0598372058</v>
      </c>
      <c r="AJ127" s="7">
        <f ca="1">AJ124+SUM($C126:AJ126)</f>
        <v>2316893.9215162839</v>
      </c>
      <c r="AK127" s="7">
        <f ca="1">AK124+SUM($C126:AK126)</f>
        <v>2391770.6764973206</v>
      </c>
      <c r="AL127" s="7">
        <f ca="1">AL124+SUM($C126:AL126)</f>
        <v>2469396.5073832762</v>
      </c>
      <c r="AM127" s="7">
        <f ca="1">AM124+SUM($C126:AM126)</f>
        <v>2549876.4189032381</v>
      </c>
    </row>
    <row r="128" spans="1:39" x14ac:dyDescent="0.2">
      <c r="A128" s="3" t="s">
        <v>20</v>
      </c>
      <c r="C128" s="7">
        <f ca="1">IF(C127&lt;0,-C127,0)</f>
        <v>0</v>
      </c>
      <c r="D128" s="7">
        <f ca="1">IF(D127+SUM($C128:C128)&lt;0,-(D127+SUM($C128:C128)),0)</f>
        <v>0</v>
      </c>
      <c r="E128" s="7">
        <f ca="1">IF(E127+SUM($C128:D128)&lt;0,-(E127+SUM($C128:D128)),0)</f>
        <v>0</v>
      </c>
      <c r="F128" s="7">
        <f ca="1">IF(F127+SUM($C128:E128)&lt;0,-(F127+SUM($C128:E128)),0)</f>
        <v>0</v>
      </c>
      <c r="G128" s="7">
        <f ca="1">IF(G127+SUM($C128:F128)&lt;0,-(G127+SUM($C128:F128)),0)</f>
        <v>0</v>
      </c>
      <c r="H128" s="7">
        <f ca="1">IF(H127+SUM($C128:G128)&lt;0,-(H127+SUM($C128:G128)),0)</f>
        <v>0</v>
      </c>
      <c r="I128" s="7">
        <f ca="1">IF(I127+SUM($C128:H128)&lt;0,-(I127+SUM($C128:H128)),0)</f>
        <v>0</v>
      </c>
      <c r="J128" s="7">
        <f ca="1">IF(J127+SUM($C128:I128)&lt;0,-(J127+SUM($C128:I128)),0)</f>
        <v>0</v>
      </c>
      <c r="K128" s="7">
        <f ca="1">IF(K127+SUM($C128:J128)&lt;0,-(K127+SUM($C128:J128)),0)</f>
        <v>0</v>
      </c>
      <c r="L128" s="7">
        <f ca="1">IF(L127+SUM($C128:K128)&lt;0,-(L127+SUM($C128:K128)),0)</f>
        <v>0</v>
      </c>
      <c r="M128" s="7">
        <f ca="1">IF(M127+SUM($C128:L128)&lt;0,-(M127+SUM($C128:L128)),0)</f>
        <v>0</v>
      </c>
      <c r="N128" s="7">
        <f ca="1">IF(N127+SUM($C128:M128)&lt;0,-(N127+SUM($C128:M128)),0)</f>
        <v>0</v>
      </c>
      <c r="O128" s="7">
        <f ca="1">IF(O127+SUM($C128:N128)&lt;0,-(O127+SUM($C128:N128)),0)</f>
        <v>0</v>
      </c>
      <c r="P128" s="7">
        <f ca="1">IF(P127+SUM($C128:O128)&lt;0,-(P127+SUM($C128:O128)),0)</f>
        <v>0</v>
      </c>
      <c r="Q128" s="7">
        <f ca="1">IF(Q127+SUM($C128:P128)&lt;0,-(Q127+SUM($C128:P128)),0)</f>
        <v>0</v>
      </c>
      <c r="R128" s="7">
        <f ca="1">IF(R127+SUM($C128:Q128)&lt;0,-(R127+SUM($C128:Q128)),0)</f>
        <v>0</v>
      </c>
      <c r="S128" s="7">
        <f ca="1">IF(S127+SUM($C128:R128)&lt;0,-(S127+SUM($C128:R128)),0)</f>
        <v>0</v>
      </c>
      <c r="T128" s="7">
        <f ca="1">IF(T127+SUM($C128:S128)&lt;0,-(T127+SUM($C128:S128)),0)</f>
        <v>0</v>
      </c>
      <c r="U128" s="7">
        <f ca="1">IF(U127+SUM($C128:T128)&lt;0,-(U127+SUM($C128:T128)),0)</f>
        <v>0</v>
      </c>
      <c r="V128" s="7">
        <f ca="1">IF(V127+SUM($C128:U128)&lt;0,-(V127+SUM($C128:U128)),0)</f>
        <v>0</v>
      </c>
      <c r="W128" s="7">
        <f ca="1">IF(W127+SUM($C128:V128)&lt;0,-(W127+SUM($C128:V128)),0)</f>
        <v>0</v>
      </c>
      <c r="X128" s="7">
        <f ca="1">IF(X127+SUM($C128:W128)&lt;0,-(X127+SUM($C128:W128)),0)</f>
        <v>0</v>
      </c>
      <c r="Y128" s="7">
        <f ca="1">IF(Y127+SUM($C128:X128)&lt;0,-(Y127+SUM($C128:X128)),0)</f>
        <v>0</v>
      </c>
      <c r="Z128" s="7">
        <f ca="1">IF(Z127+SUM($C128:Y128)&lt;0,-(Z127+SUM($C128:Y128)),0)</f>
        <v>0</v>
      </c>
      <c r="AA128" s="7">
        <f ca="1">IF(AA127+SUM($C128:Z128)&lt;0,-(AA127+SUM($C128:Z128)),0)</f>
        <v>0</v>
      </c>
      <c r="AB128" s="7">
        <f ca="1">IF(AB127+SUM($C128:AA128)&lt;0,-(AB127+SUM($C128:AA128)),0)</f>
        <v>0</v>
      </c>
      <c r="AC128" s="7">
        <f ca="1">IF(AC127+SUM($C128:AB128)&lt;0,-(AC127+SUM($C128:AB128)),0)</f>
        <v>0</v>
      </c>
      <c r="AD128" s="7">
        <f ca="1">IF(AD127+SUM($C128:AC128)&lt;0,-(AD127+SUM($C128:AC128)),0)</f>
        <v>0</v>
      </c>
      <c r="AE128" s="7">
        <f ca="1">IF(AE127+SUM($C128:AD128)&lt;0,-(AE127+SUM($C128:AD128)),0)</f>
        <v>0</v>
      </c>
      <c r="AF128" s="7">
        <f ca="1">IF(AF127+SUM($C128:AE128)&lt;0,-(AF127+SUM($C128:AE128)),0)</f>
        <v>0</v>
      </c>
      <c r="AG128" s="7">
        <f ca="1">IF(AG127+SUM($C128:AF128)&lt;0,-(AG127+SUM($C128:AF128)),0)</f>
        <v>0</v>
      </c>
      <c r="AH128" s="7">
        <f ca="1">IF(AH127+SUM($C128:AG128)&lt;0,-(AH127+SUM($C128:AG128)),0)</f>
        <v>0</v>
      </c>
      <c r="AI128" s="7">
        <f ca="1">IF(AI127+SUM($C128:AH128)&lt;0,-(AI127+SUM($C128:AH128)),0)</f>
        <v>0</v>
      </c>
      <c r="AJ128" s="7">
        <f ca="1">IF(AJ127+SUM($C128:AI128)&lt;0,-(AJ127+SUM($C128:AI128)),0)</f>
        <v>0</v>
      </c>
      <c r="AK128" s="7">
        <f ca="1">IF(AK127+SUM($C128:AJ128)&lt;0,-(AK127+SUM($C128:AJ128)),0)</f>
        <v>0</v>
      </c>
      <c r="AL128" s="7">
        <f ca="1">IF(AL127+SUM($C128:AK128)&lt;0,-(AL127+SUM($C128:AK128)),0)</f>
        <v>0</v>
      </c>
      <c r="AM128" s="7">
        <f ca="1">IF(AM127+SUM($C128:AL128)&lt;0,-(AM127+SUM($C128:AL128)),0)</f>
        <v>0</v>
      </c>
    </row>
    <row r="129" spans="1:39" x14ac:dyDescent="0.2"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  <c r="AC129" s="7"/>
      <c r="AD129" s="7"/>
      <c r="AE129" s="7"/>
      <c r="AF129" s="7"/>
      <c r="AG129" s="7"/>
      <c r="AH129" s="7"/>
      <c r="AI129" s="7"/>
      <c r="AJ129" s="7"/>
      <c r="AK129" s="7"/>
      <c r="AL129" s="7"/>
      <c r="AM129" s="7"/>
    </row>
    <row r="130" spans="1:39" x14ac:dyDescent="0.2">
      <c r="A130" s="24" t="str">
        <f>IF(Inputs!$B$197=6,IFERROR(_xlfn.XLOOKUP($B130,Inputs!$B$198:$B$202,Inputs!$A$198:$A$202,,0,1),""),IFERROR(_xlfn.XLOOKUP($B130,Inputs!$C$198:$C$202,Inputs!$A$198:$A$202,,0,1),""))</f>
        <v>Gzira</v>
      </c>
      <c r="B130" s="26">
        <v>3</v>
      </c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  <c r="AC130" s="7"/>
      <c r="AD130" s="7"/>
      <c r="AE130" s="7"/>
      <c r="AF130" s="7"/>
      <c r="AG130" s="7"/>
      <c r="AH130" s="7"/>
      <c r="AI130" s="7"/>
      <c r="AJ130" s="7"/>
      <c r="AK130" s="7"/>
      <c r="AL130" s="7"/>
      <c r="AM130" s="7"/>
    </row>
    <row r="131" spans="1:39" x14ac:dyDescent="0.2">
      <c r="A131" s="3" t="s">
        <v>22</v>
      </c>
      <c r="C131" s="7">
        <f ca="1">IFERROR(VLOOKUP($A130,$A$60:$H$78,C$1+2,FALSE),0)</f>
        <v>153740.73263073748</v>
      </c>
      <c r="D131" s="7">
        <f ca="1">C134</f>
        <v>153740.73263073748</v>
      </c>
      <c r="E131" s="7">
        <f t="shared" ref="E131:AM131" ca="1" si="79">D134</f>
        <v>158352.95460965959</v>
      </c>
      <c r="F131" s="7">
        <f t="shared" ca="1" si="79"/>
        <v>163103.54324794936</v>
      </c>
      <c r="G131" s="7">
        <f t="shared" ca="1" si="79"/>
        <v>167996.64954538783</v>
      </c>
      <c r="H131" s="7">
        <f t="shared" ca="1" si="79"/>
        <v>173036.54903174946</v>
      </c>
      <c r="I131" s="7">
        <f t="shared" ca="1" si="79"/>
        <v>178227.64550270193</v>
      </c>
      <c r="J131" s="7">
        <f t="shared" ca="1" si="79"/>
        <v>183574.47486778299</v>
      </c>
      <c r="K131" s="7">
        <f t="shared" ca="1" si="79"/>
        <v>189081.70911381647</v>
      </c>
      <c r="L131" s="7">
        <f t="shared" ca="1" si="79"/>
        <v>194754.16038723095</v>
      </c>
      <c r="M131" s="7">
        <f t="shared" ca="1" si="79"/>
        <v>200596.78519884788</v>
      </c>
      <c r="N131" s="7">
        <f t="shared" ca="1" si="79"/>
        <v>206614.68875481331</v>
      </c>
      <c r="O131" s="7">
        <f t="shared" ca="1" si="79"/>
        <v>212813.12941745771</v>
      </c>
      <c r="P131" s="7">
        <f t="shared" ca="1" si="79"/>
        <v>219197.52329998143</v>
      </c>
      <c r="Q131" s="7">
        <f t="shared" ca="1" si="79"/>
        <v>225773.44899898086</v>
      </c>
      <c r="R131" s="7">
        <f t="shared" ca="1" si="79"/>
        <v>232546.65246895028</v>
      </c>
      <c r="S131" s="7">
        <f t="shared" ca="1" si="79"/>
        <v>239523.0520430188</v>
      </c>
      <c r="T131" s="7">
        <f t="shared" ca="1" si="79"/>
        <v>246708.74360430936</v>
      </c>
      <c r="U131" s="7">
        <f t="shared" ca="1" si="79"/>
        <v>254110.00591243865</v>
      </c>
      <c r="V131" s="7">
        <f t="shared" ca="1" si="79"/>
        <v>261733.30608981181</v>
      </c>
      <c r="W131" s="7">
        <f t="shared" ca="1" si="79"/>
        <v>269585.30527250614</v>
      </c>
      <c r="X131" s="7">
        <f t="shared" ca="1" si="79"/>
        <v>277672.86443068134</v>
      </c>
      <c r="Y131" s="7">
        <f t="shared" ca="1" si="79"/>
        <v>286003.05036360177</v>
      </c>
      <c r="Z131" s="7">
        <f t="shared" ca="1" si="79"/>
        <v>294583.14187450981</v>
      </c>
      <c r="AA131" s="7">
        <f t="shared" ca="1" si="79"/>
        <v>303420.63613074512</v>
      </c>
      <c r="AB131" s="7">
        <f t="shared" ca="1" si="79"/>
        <v>312523.25521466747</v>
      </c>
      <c r="AC131" s="7">
        <f t="shared" ca="1" si="79"/>
        <v>321898.9528711075</v>
      </c>
      <c r="AD131" s="7">
        <f t="shared" ca="1" si="79"/>
        <v>331555.92145724071</v>
      </c>
      <c r="AE131" s="7">
        <f t="shared" ca="1" si="79"/>
        <v>341502.59910095792</v>
      </c>
      <c r="AF131" s="7">
        <f t="shared" ca="1" si="79"/>
        <v>351747.67707398668</v>
      </c>
      <c r="AG131" s="7">
        <f t="shared" ca="1" si="79"/>
        <v>362300.10738620628</v>
      </c>
      <c r="AH131" s="7">
        <f t="shared" ca="1" si="79"/>
        <v>373169.11060779245</v>
      </c>
      <c r="AI131" s="7">
        <f t="shared" ca="1" si="79"/>
        <v>384364.18392602622</v>
      </c>
      <c r="AJ131" s="7">
        <f t="shared" ca="1" si="79"/>
        <v>395895.10944380698</v>
      </c>
      <c r="AK131" s="7">
        <f t="shared" ca="1" si="79"/>
        <v>407771.96272712119</v>
      </c>
      <c r="AL131" s="7">
        <f t="shared" ca="1" si="79"/>
        <v>420005.12160893483</v>
      </c>
      <c r="AM131" s="7">
        <f t="shared" ca="1" si="79"/>
        <v>432605.27525720285</v>
      </c>
    </row>
    <row r="132" spans="1:39" x14ac:dyDescent="0.2">
      <c r="A132" s="3" t="s">
        <v>23</v>
      </c>
      <c r="C132" s="7">
        <f ca="1">-IF(SUM(C128:D128)&gt;0,C131,0)</f>
        <v>0</v>
      </c>
      <c r="D132" s="7">
        <f ca="1">-IF(E128&gt;0,D131,0)</f>
        <v>0</v>
      </c>
      <c r="E132" s="7">
        <f ca="1">-IF(F128&gt;0,E131,0)</f>
        <v>0</v>
      </c>
      <c r="F132" s="7">
        <f ca="1">-IF(G128&gt;0,F131,0)</f>
        <v>0</v>
      </c>
      <c r="G132" s="7">
        <f t="shared" ref="G132:AM132" ca="1" si="80">-IF(H128&gt;0,G131,0)</f>
        <v>0</v>
      </c>
      <c r="H132" s="7">
        <f t="shared" ca="1" si="80"/>
        <v>0</v>
      </c>
      <c r="I132" s="7">
        <f t="shared" ca="1" si="80"/>
        <v>0</v>
      </c>
      <c r="J132" s="7">
        <f t="shared" ca="1" si="80"/>
        <v>0</v>
      </c>
      <c r="K132" s="7">
        <f t="shared" ca="1" si="80"/>
        <v>0</v>
      </c>
      <c r="L132" s="7">
        <f t="shared" ca="1" si="80"/>
        <v>0</v>
      </c>
      <c r="M132" s="7">
        <f t="shared" ca="1" si="80"/>
        <v>0</v>
      </c>
      <c r="N132" s="7">
        <f t="shared" ca="1" si="80"/>
        <v>0</v>
      </c>
      <c r="O132" s="7">
        <f t="shared" ca="1" si="80"/>
        <v>0</v>
      </c>
      <c r="P132" s="7">
        <f t="shared" ca="1" si="80"/>
        <v>0</v>
      </c>
      <c r="Q132" s="7">
        <f t="shared" ca="1" si="80"/>
        <v>0</v>
      </c>
      <c r="R132" s="7">
        <f t="shared" ca="1" si="80"/>
        <v>0</v>
      </c>
      <c r="S132" s="7">
        <f t="shared" ca="1" si="80"/>
        <v>0</v>
      </c>
      <c r="T132" s="7">
        <f t="shared" ca="1" si="80"/>
        <v>0</v>
      </c>
      <c r="U132" s="7">
        <f t="shared" ca="1" si="80"/>
        <v>0</v>
      </c>
      <c r="V132" s="7">
        <f t="shared" ca="1" si="80"/>
        <v>0</v>
      </c>
      <c r="W132" s="7">
        <f t="shared" ca="1" si="80"/>
        <v>0</v>
      </c>
      <c r="X132" s="7">
        <f t="shared" ca="1" si="80"/>
        <v>0</v>
      </c>
      <c r="Y132" s="7">
        <f t="shared" ca="1" si="80"/>
        <v>0</v>
      </c>
      <c r="Z132" s="7">
        <f t="shared" ca="1" si="80"/>
        <v>0</v>
      </c>
      <c r="AA132" s="7">
        <f t="shared" ca="1" si="80"/>
        <v>0</v>
      </c>
      <c r="AB132" s="7">
        <f t="shared" ca="1" si="80"/>
        <v>0</v>
      </c>
      <c r="AC132" s="7">
        <f t="shared" ca="1" si="80"/>
        <v>0</v>
      </c>
      <c r="AD132" s="7">
        <f t="shared" ca="1" si="80"/>
        <v>0</v>
      </c>
      <c r="AE132" s="7">
        <f t="shared" ca="1" si="80"/>
        <v>0</v>
      </c>
      <c r="AF132" s="7">
        <f t="shared" ca="1" si="80"/>
        <v>0</v>
      </c>
      <c r="AG132" s="7">
        <f t="shared" ca="1" si="80"/>
        <v>0</v>
      </c>
      <c r="AH132" s="7">
        <f t="shared" ca="1" si="80"/>
        <v>0</v>
      </c>
      <c r="AI132" s="7">
        <f t="shared" ca="1" si="80"/>
        <v>0</v>
      </c>
      <c r="AJ132" s="7">
        <f t="shared" ca="1" si="80"/>
        <v>0</v>
      </c>
      <c r="AK132" s="7">
        <f t="shared" ca="1" si="80"/>
        <v>0</v>
      </c>
      <c r="AL132" s="7">
        <f t="shared" ca="1" si="80"/>
        <v>0</v>
      </c>
      <c r="AM132" s="7">
        <f t="shared" si="80"/>
        <v>0</v>
      </c>
    </row>
    <row r="133" spans="1:39" x14ac:dyDescent="0.2">
      <c r="A133" s="3" t="s">
        <v>24</v>
      </c>
      <c r="C133" s="7">
        <v>0</v>
      </c>
      <c r="D133" s="7">
        <f t="shared" ref="D133:G133" ca="1" si="81">SUM(D131:D132)*princ</f>
        <v>4612.2219789221244</v>
      </c>
      <c r="E133" s="7">
        <f t="shared" ca="1" si="81"/>
        <v>4750.588638289787</v>
      </c>
      <c r="F133" s="7">
        <f t="shared" ca="1" si="81"/>
        <v>4893.1062974384804</v>
      </c>
      <c r="G133" s="7">
        <f t="shared" ca="1" si="81"/>
        <v>5039.8994863616344</v>
      </c>
      <c r="H133" s="7">
        <f t="shared" ref="H133:I133" ca="1" si="82">SUM(H131:H132)*princ</f>
        <v>5191.0964709524833</v>
      </c>
      <c r="I133" s="7">
        <f t="shared" ca="1" si="82"/>
        <v>5346.8293650810574</v>
      </c>
      <c r="J133" s="7">
        <f t="shared" ref="J133:AM133" ca="1" si="83">SUM(J131:J132)*princ</f>
        <v>5507.2342460334894</v>
      </c>
      <c r="K133" s="7">
        <f t="shared" ca="1" si="83"/>
        <v>5672.4512734144937</v>
      </c>
      <c r="L133" s="7">
        <f t="shared" ca="1" si="83"/>
        <v>5842.6248116169281</v>
      </c>
      <c r="M133" s="7">
        <f t="shared" ca="1" si="83"/>
        <v>6017.9035559654358</v>
      </c>
      <c r="N133" s="7">
        <f t="shared" ca="1" si="83"/>
        <v>6198.4406626443988</v>
      </c>
      <c r="O133" s="7">
        <f t="shared" ca="1" si="83"/>
        <v>6384.393882523731</v>
      </c>
      <c r="P133" s="7">
        <f t="shared" ca="1" si="83"/>
        <v>6575.9256989994428</v>
      </c>
      <c r="Q133" s="7">
        <f t="shared" ca="1" si="83"/>
        <v>6773.2034699694259</v>
      </c>
      <c r="R133" s="7">
        <f t="shared" ca="1" si="83"/>
        <v>6976.3995740685086</v>
      </c>
      <c r="S133" s="7">
        <f t="shared" ca="1" si="83"/>
        <v>7185.6915612905641</v>
      </c>
      <c r="T133" s="7">
        <f t="shared" ca="1" si="83"/>
        <v>7401.2623081292804</v>
      </c>
      <c r="U133" s="7">
        <f t="shared" ca="1" si="83"/>
        <v>7623.3001773731594</v>
      </c>
      <c r="V133" s="7">
        <f t="shared" ca="1" si="83"/>
        <v>7851.9991826943542</v>
      </c>
      <c r="W133" s="7">
        <f t="shared" ca="1" si="83"/>
        <v>8087.5591581751842</v>
      </c>
      <c r="X133" s="7">
        <f t="shared" ca="1" si="83"/>
        <v>8330.1859329204399</v>
      </c>
      <c r="Y133" s="7">
        <f t="shared" ca="1" si="83"/>
        <v>8580.0915109080524</v>
      </c>
      <c r="Z133" s="7">
        <f t="shared" ca="1" si="83"/>
        <v>8837.4942562352935</v>
      </c>
      <c r="AA133" s="7">
        <f t="shared" ca="1" si="83"/>
        <v>9102.6190839223527</v>
      </c>
      <c r="AB133" s="7">
        <f t="shared" ca="1" si="83"/>
        <v>9375.6976564400229</v>
      </c>
      <c r="AC133" s="7">
        <f t="shared" ca="1" si="83"/>
        <v>9656.9685861332237</v>
      </c>
      <c r="AD133" s="7">
        <f t="shared" ca="1" si="83"/>
        <v>9946.6776437172211</v>
      </c>
      <c r="AE133" s="7">
        <f t="shared" ca="1" si="83"/>
        <v>10245.077973028738</v>
      </c>
      <c r="AF133" s="7">
        <f t="shared" ca="1" si="83"/>
        <v>10552.4303122196</v>
      </c>
      <c r="AG133" s="7">
        <f t="shared" ca="1" si="83"/>
        <v>10869.003221586188</v>
      </c>
      <c r="AH133" s="7">
        <f t="shared" ca="1" si="83"/>
        <v>11195.073318233774</v>
      </c>
      <c r="AI133" s="7">
        <f t="shared" ca="1" si="83"/>
        <v>11530.925517780786</v>
      </c>
      <c r="AJ133" s="7">
        <f t="shared" ca="1" si="83"/>
        <v>11876.853283314209</v>
      </c>
      <c r="AK133" s="7">
        <f t="shared" ca="1" si="83"/>
        <v>12233.158881813635</v>
      </c>
      <c r="AL133" s="7">
        <f t="shared" ca="1" si="83"/>
        <v>12600.153648268044</v>
      </c>
      <c r="AM133" s="7">
        <f t="shared" ca="1" si="83"/>
        <v>12978.158257716084</v>
      </c>
    </row>
    <row r="134" spans="1:39" x14ac:dyDescent="0.2">
      <c r="A134" s="3" t="s">
        <v>25</v>
      </c>
      <c r="C134" s="7">
        <f ca="1">SUM(C131:C133)</f>
        <v>153740.73263073748</v>
      </c>
      <c r="D134" s="7">
        <f t="shared" ref="D134:AM134" ca="1" si="84">SUM(D131:D133)</f>
        <v>158352.95460965959</v>
      </c>
      <c r="E134" s="7">
        <f t="shared" ca="1" si="84"/>
        <v>163103.54324794936</v>
      </c>
      <c r="F134" s="7">
        <f t="shared" ca="1" si="84"/>
        <v>167996.64954538783</v>
      </c>
      <c r="G134" s="7">
        <f t="shared" ca="1" si="84"/>
        <v>173036.54903174946</v>
      </c>
      <c r="H134" s="7">
        <f t="shared" ca="1" si="84"/>
        <v>178227.64550270193</v>
      </c>
      <c r="I134" s="7">
        <f t="shared" ca="1" si="84"/>
        <v>183574.47486778299</v>
      </c>
      <c r="J134" s="7">
        <f t="shared" ca="1" si="84"/>
        <v>189081.70911381647</v>
      </c>
      <c r="K134" s="7">
        <f t="shared" ca="1" si="84"/>
        <v>194754.16038723095</v>
      </c>
      <c r="L134" s="7">
        <f t="shared" ca="1" si="84"/>
        <v>200596.78519884788</v>
      </c>
      <c r="M134" s="7">
        <f t="shared" ca="1" si="84"/>
        <v>206614.68875481331</v>
      </c>
      <c r="N134" s="7">
        <f t="shared" ca="1" si="84"/>
        <v>212813.12941745771</v>
      </c>
      <c r="O134" s="7">
        <f t="shared" ca="1" si="84"/>
        <v>219197.52329998143</v>
      </c>
      <c r="P134" s="7">
        <f t="shared" ca="1" si="84"/>
        <v>225773.44899898086</v>
      </c>
      <c r="Q134" s="7">
        <f t="shared" ca="1" si="84"/>
        <v>232546.65246895028</v>
      </c>
      <c r="R134" s="7">
        <f t="shared" ca="1" si="84"/>
        <v>239523.0520430188</v>
      </c>
      <c r="S134" s="7">
        <f t="shared" ca="1" si="84"/>
        <v>246708.74360430936</v>
      </c>
      <c r="T134" s="7">
        <f t="shared" ca="1" si="84"/>
        <v>254110.00591243865</v>
      </c>
      <c r="U134" s="7">
        <f t="shared" ca="1" si="84"/>
        <v>261733.30608981181</v>
      </c>
      <c r="V134" s="7">
        <f t="shared" ca="1" si="84"/>
        <v>269585.30527250614</v>
      </c>
      <c r="W134" s="7">
        <f t="shared" ca="1" si="84"/>
        <v>277672.86443068134</v>
      </c>
      <c r="X134" s="7">
        <f t="shared" ca="1" si="84"/>
        <v>286003.05036360177</v>
      </c>
      <c r="Y134" s="7">
        <f t="shared" ca="1" si="84"/>
        <v>294583.14187450981</v>
      </c>
      <c r="Z134" s="7">
        <f t="shared" ca="1" si="84"/>
        <v>303420.63613074512</v>
      </c>
      <c r="AA134" s="7">
        <f t="shared" ca="1" si="84"/>
        <v>312523.25521466747</v>
      </c>
      <c r="AB134" s="7">
        <f t="shared" ca="1" si="84"/>
        <v>321898.9528711075</v>
      </c>
      <c r="AC134" s="7">
        <f t="shared" ca="1" si="84"/>
        <v>331555.92145724071</v>
      </c>
      <c r="AD134" s="7">
        <f t="shared" ca="1" si="84"/>
        <v>341502.59910095792</v>
      </c>
      <c r="AE134" s="7">
        <f t="shared" ca="1" si="84"/>
        <v>351747.67707398668</v>
      </c>
      <c r="AF134" s="7">
        <f t="shared" ca="1" si="84"/>
        <v>362300.10738620628</v>
      </c>
      <c r="AG134" s="7">
        <f t="shared" ca="1" si="84"/>
        <v>373169.11060779245</v>
      </c>
      <c r="AH134" s="7">
        <f t="shared" ca="1" si="84"/>
        <v>384364.18392602622</v>
      </c>
      <c r="AI134" s="7">
        <f t="shared" ca="1" si="84"/>
        <v>395895.10944380698</v>
      </c>
      <c r="AJ134" s="7">
        <f t="shared" ca="1" si="84"/>
        <v>407771.96272712119</v>
      </c>
      <c r="AK134" s="7">
        <f t="shared" ca="1" si="84"/>
        <v>420005.12160893483</v>
      </c>
      <c r="AL134" s="7">
        <f t="shared" ca="1" si="84"/>
        <v>432605.27525720285</v>
      </c>
      <c r="AM134" s="7">
        <f t="shared" ca="1" si="84"/>
        <v>445583.43351491896</v>
      </c>
    </row>
    <row r="135" spans="1:39" x14ac:dyDescent="0.2">
      <c r="A135" s="3" t="s">
        <v>26</v>
      </c>
      <c r="C135" s="7">
        <f ca="1">C132*Inputs!$B$195</f>
        <v>0</v>
      </c>
      <c r="D135" s="7">
        <f ca="1">D132*Inputs!$B$195</f>
        <v>0</v>
      </c>
      <c r="E135" s="7">
        <f ca="1">E132*Inputs!$B$195</f>
        <v>0</v>
      </c>
      <c r="F135" s="7">
        <f ca="1">F132*Inputs!$B$195</f>
        <v>0</v>
      </c>
      <c r="G135" s="7">
        <f ca="1">G132*Inputs!$B$195</f>
        <v>0</v>
      </c>
      <c r="H135" s="7">
        <f ca="1">H132*Inputs!$B$195</f>
        <v>0</v>
      </c>
      <c r="I135" s="7">
        <f ca="1">I132*Inputs!$B$195</f>
        <v>0</v>
      </c>
      <c r="J135" s="7">
        <f ca="1">J132*Inputs!$B$195</f>
        <v>0</v>
      </c>
      <c r="K135" s="7">
        <f ca="1">K132*Inputs!$B$195</f>
        <v>0</v>
      </c>
      <c r="L135" s="7">
        <f ca="1">L132*Inputs!$B$195</f>
        <v>0</v>
      </c>
      <c r="M135" s="7">
        <f ca="1">M132*Inputs!$B$195</f>
        <v>0</v>
      </c>
      <c r="N135" s="7">
        <f ca="1">N132*Inputs!$B$195</f>
        <v>0</v>
      </c>
      <c r="O135" s="7">
        <f ca="1">O132*Inputs!$B$195</f>
        <v>0</v>
      </c>
      <c r="P135" s="7">
        <f ca="1">P132*Inputs!$B$195</f>
        <v>0</v>
      </c>
      <c r="Q135" s="7">
        <f ca="1">Q132*Inputs!$B$195</f>
        <v>0</v>
      </c>
      <c r="R135" s="7">
        <f ca="1">R132*Inputs!$B$195</f>
        <v>0</v>
      </c>
      <c r="S135" s="7">
        <f ca="1">S132*Inputs!$B$195</f>
        <v>0</v>
      </c>
      <c r="T135" s="7">
        <f ca="1">T132*Inputs!$B$195</f>
        <v>0</v>
      </c>
      <c r="U135" s="7">
        <f ca="1">U132*Inputs!$B$195</f>
        <v>0</v>
      </c>
      <c r="V135" s="7">
        <f ca="1">V132*Inputs!$B$195</f>
        <v>0</v>
      </c>
      <c r="W135" s="7">
        <f ca="1">W132*Inputs!$B$195</f>
        <v>0</v>
      </c>
      <c r="X135" s="7">
        <f ca="1">X132*Inputs!$B$195</f>
        <v>0</v>
      </c>
      <c r="Y135" s="7">
        <f ca="1">Y132*Inputs!$B$195</f>
        <v>0</v>
      </c>
      <c r="Z135" s="7">
        <f ca="1">Z132*Inputs!$B$195</f>
        <v>0</v>
      </c>
      <c r="AA135" s="7">
        <f ca="1">AA132*Inputs!$B$195</f>
        <v>0</v>
      </c>
      <c r="AB135" s="7">
        <f ca="1">AB132*Inputs!$B$195</f>
        <v>0</v>
      </c>
      <c r="AC135" s="7">
        <f ca="1">AC132*Inputs!$B$195</f>
        <v>0</v>
      </c>
      <c r="AD135" s="7">
        <f ca="1">AD132*Inputs!$B$195</f>
        <v>0</v>
      </c>
      <c r="AE135" s="7">
        <f ca="1">AE132*Inputs!$B$195</f>
        <v>0</v>
      </c>
      <c r="AF135" s="7">
        <f ca="1">AF132*Inputs!$B$195</f>
        <v>0</v>
      </c>
      <c r="AG135" s="7">
        <f ca="1">AG132*Inputs!$B$195</f>
        <v>0</v>
      </c>
      <c r="AH135" s="7">
        <f ca="1">AH132*Inputs!$B$195</f>
        <v>0</v>
      </c>
      <c r="AI135" s="7">
        <f ca="1">AI132*Inputs!$B$195</f>
        <v>0</v>
      </c>
      <c r="AJ135" s="7">
        <f ca="1">AJ132*Inputs!$B$195</f>
        <v>0</v>
      </c>
      <c r="AK135" s="7">
        <f ca="1">AK132*Inputs!$B$195</f>
        <v>0</v>
      </c>
      <c r="AL135" s="7">
        <f ca="1">AL132*Inputs!$B$195</f>
        <v>0</v>
      </c>
      <c r="AM135" s="7">
        <f>AM132*Inputs!$B$195</f>
        <v>0</v>
      </c>
    </row>
    <row r="136" spans="1:39" x14ac:dyDescent="0.2">
      <c r="A136" s="3" t="s">
        <v>31</v>
      </c>
      <c r="C136" s="7">
        <f t="shared" ref="C136:AM136" ca="1" si="85">IFERROR(-IF(C131=0,VLOOKUP($A130,$8:$12,C$1+2,FALSE),0),0)</f>
        <v>0</v>
      </c>
      <c r="D136" s="7">
        <f t="shared" ca="1" si="85"/>
        <v>0</v>
      </c>
      <c r="E136" s="7">
        <f t="shared" ca="1" si="85"/>
        <v>0</v>
      </c>
      <c r="F136" s="7">
        <f t="shared" ca="1" si="85"/>
        <v>0</v>
      </c>
      <c r="G136" s="7">
        <f t="shared" ca="1" si="85"/>
        <v>0</v>
      </c>
      <c r="H136" s="7">
        <f t="shared" ca="1" si="85"/>
        <v>0</v>
      </c>
      <c r="I136" s="7">
        <f t="shared" ca="1" si="85"/>
        <v>0</v>
      </c>
      <c r="J136" s="7">
        <f t="shared" ca="1" si="85"/>
        <v>0</v>
      </c>
      <c r="K136" s="7">
        <f t="shared" ca="1" si="85"/>
        <v>0</v>
      </c>
      <c r="L136" s="7">
        <f t="shared" ca="1" si="85"/>
        <v>0</v>
      </c>
      <c r="M136" s="7">
        <f t="shared" ca="1" si="85"/>
        <v>0</v>
      </c>
      <c r="N136" s="7">
        <f t="shared" ca="1" si="85"/>
        <v>0</v>
      </c>
      <c r="O136" s="7">
        <f t="shared" ca="1" si="85"/>
        <v>0</v>
      </c>
      <c r="P136" s="7">
        <f t="shared" ca="1" si="85"/>
        <v>0</v>
      </c>
      <c r="Q136" s="7">
        <f t="shared" ca="1" si="85"/>
        <v>0</v>
      </c>
      <c r="R136" s="7">
        <f t="shared" ca="1" si="85"/>
        <v>0</v>
      </c>
      <c r="S136" s="7">
        <f t="shared" ca="1" si="85"/>
        <v>0</v>
      </c>
      <c r="T136" s="7">
        <f t="shared" ca="1" si="85"/>
        <v>0</v>
      </c>
      <c r="U136" s="7">
        <f t="shared" ca="1" si="85"/>
        <v>0</v>
      </c>
      <c r="V136" s="7">
        <f t="shared" ca="1" si="85"/>
        <v>0</v>
      </c>
      <c r="W136" s="7">
        <f t="shared" ca="1" si="85"/>
        <v>0</v>
      </c>
      <c r="X136" s="7">
        <f t="shared" ca="1" si="85"/>
        <v>0</v>
      </c>
      <c r="Y136" s="7">
        <f t="shared" ca="1" si="85"/>
        <v>0</v>
      </c>
      <c r="Z136" s="7">
        <f t="shared" ca="1" si="85"/>
        <v>0</v>
      </c>
      <c r="AA136" s="7">
        <f t="shared" ca="1" si="85"/>
        <v>0</v>
      </c>
      <c r="AB136" s="7">
        <f t="shared" ca="1" si="85"/>
        <v>0</v>
      </c>
      <c r="AC136" s="7">
        <f t="shared" ca="1" si="85"/>
        <v>0</v>
      </c>
      <c r="AD136" s="7">
        <f t="shared" ca="1" si="85"/>
        <v>0</v>
      </c>
      <c r="AE136" s="7">
        <f t="shared" ca="1" si="85"/>
        <v>0</v>
      </c>
      <c r="AF136" s="7">
        <f t="shared" ca="1" si="85"/>
        <v>0</v>
      </c>
      <c r="AG136" s="7">
        <f t="shared" ca="1" si="85"/>
        <v>0</v>
      </c>
      <c r="AH136" s="7">
        <f t="shared" ca="1" si="85"/>
        <v>0</v>
      </c>
      <c r="AI136" s="7">
        <f t="shared" ca="1" si="85"/>
        <v>0</v>
      </c>
      <c r="AJ136" s="7">
        <f t="shared" ca="1" si="85"/>
        <v>0</v>
      </c>
      <c r="AK136" s="7">
        <f t="shared" ca="1" si="85"/>
        <v>0</v>
      </c>
      <c r="AL136" s="7">
        <f t="shared" ca="1" si="85"/>
        <v>0</v>
      </c>
      <c r="AM136" s="7">
        <f t="shared" ca="1" si="85"/>
        <v>0</v>
      </c>
    </row>
    <row r="137" spans="1:39" x14ac:dyDescent="0.2">
      <c r="A137" s="3" t="s">
        <v>50</v>
      </c>
      <c r="C137" s="7">
        <f t="shared" ref="C137:AM137" ca="1" si="86">IFERROR(IF(C131=0,VLOOKUP($A130,$40:$44,C$1+2,FALSE),0),0)</f>
        <v>0</v>
      </c>
      <c r="D137" s="7">
        <f t="shared" ca="1" si="86"/>
        <v>0</v>
      </c>
      <c r="E137" s="7">
        <f t="shared" ca="1" si="86"/>
        <v>0</v>
      </c>
      <c r="F137" s="7">
        <f t="shared" ca="1" si="86"/>
        <v>0</v>
      </c>
      <c r="G137" s="7">
        <f t="shared" ca="1" si="86"/>
        <v>0</v>
      </c>
      <c r="H137" s="7">
        <f t="shared" ca="1" si="86"/>
        <v>0</v>
      </c>
      <c r="I137" s="7">
        <f t="shared" ca="1" si="86"/>
        <v>0</v>
      </c>
      <c r="J137" s="7">
        <f t="shared" ca="1" si="86"/>
        <v>0</v>
      </c>
      <c r="K137" s="7">
        <f t="shared" ca="1" si="86"/>
        <v>0</v>
      </c>
      <c r="L137" s="7">
        <f t="shared" ca="1" si="86"/>
        <v>0</v>
      </c>
      <c r="M137" s="7">
        <f t="shared" ca="1" si="86"/>
        <v>0</v>
      </c>
      <c r="N137" s="7">
        <f t="shared" ca="1" si="86"/>
        <v>0</v>
      </c>
      <c r="O137" s="7">
        <f t="shared" ca="1" si="86"/>
        <v>0</v>
      </c>
      <c r="P137" s="7">
        <f t="shared" ca="1" si="86"/>
        <v>0</v>
      </c>
      <c r="Q137" s="7">
        <f t="shared" ca="1" si="86"/>
        <v>0</v>
      </c>
      <c r="R137" s="7">
        <f t="shared" ca="1" si="86"/>
        <v>0</v>
      </c>
      <c r="S137" s="7">
        <f t="shared" ca="1" si="86"/>
        <v>0</v>
      </c>
      <c r="T137" s="7">
        <f t="shared" ca="1" si="86"/>
        <v>0</v>
      </c>
      <c r="U137" s="7">
        <f t="shared" ca="1" si="86"/>
        <v>0</v>
      </c>
      <c r="V137" s="7">
        <f t="shared" ca="1" si="86"/>
        <v>0</v>
      </c>
      <c r="W137" s="7">
        <f t="shared" ca="1" si="86"/>
        <v>0</v>
      </c>
      <c r="X137" s="7">
        <f t="shared" ca="1" si="86"/>
        <v>0</v>
      </c>
      <c r="Y137" s="7">
        <f t="shared" ca="1" si="86"/>
        <v>0</v>
      </c>
      <c r="Z137" s="7">
        <f t="shared" ca="1" si="86"/>
        <v>0</v>
      </c>
      <c r="AA137" s="7">
        <f t="shared" ca="1" si="86"/>
        <v>0</v>
      </c>
      <c r="AB137" s="7">
        <f t="shared" ca="1" si="86"/>
        <v>0</v>
      </c>
      <c r="AC137" s="7">
        <f t="shared" ca="1" si="86"/>
        <v>0</v>
      </c>
      <c r="AD137" s="7">
        <f t="shared" ca="1" si="86"/>
        <v>0</v>
      </c>
      <c r="AE137" s="7">
        <f t="shared" ca="1" si="86"/>
        <v>0</v>
      </c>
      <c r="AF137" s="7">
        <f t="shared" ca="1" si="86"/>
        <v>0</v>
      </c>
      <c r="AG137" s="7">
        <f t="shared" ca="1" si="86"/>
        <v>0</v>
      </c>
      <c r="AH137" s="7">
        <f t="shared" ca="1" si="86"/>
        <v>0</v>
      </c>
      <c r="AI137" s="7">
        <f t="shared" ca="1" si="86"/>
        <v>0</v>
      </c>
      <c r="AJ137" s="7">
        <f t="shared" ca="1" si="86"/>
        <v>0</v>
      </c>
      <c r="AK137" s="7">
        <f t="shared" ca="1" si="86"/>
        <v>0</v>
      </c>
      <c r="AL137" s="7">
        <f t="shared" ca="1" si="86"/>
        <v>0</v>
      </c>
      <c r="AM137" s="7">
        <f t="shared" ca="1" si="86"/>
        <v>0</v>
      </c>
    </row>
    <row r="138" spans="1:39" x14ac:dyDescent="0.2">
      <c r="A138" s="3" t="s">
        <v>36</v>
      </c>
      <c r="B138" s="14" t="str">
        <f>A130</f>
        <v>Gzira</v>
      </c>
      <c r="C138" s="7">
        <f t="shared" ref="C138:AM138" ca="1" si="87">IF(AND(C131&gt;0,C134=0),VLOOKUP($A130,$72:$76,C$1+2,FALSE),0)</f>
        <v>0</v>
      </c>
      <c r="D138" s="7">
        <f t="shared" ca="1" si="87"/>
        <v>0</v>
      </c>
      <c r="E138" s="7">
        <f t="shared" ca="1" si="87"/>
        <v>0</v>
      </c>
      <c r="F138" s="7">
        <f t="shared" ca="1" si="87"/>
        <v>0</v>
      </c>
      <c r="G138" s="7">
        <f t="shared" ca="1" si="87"/>
        <v>0</v>
      </c>
      <c r="H138" s="7">
        <f t="shared" ca="1" si="87"/>
        <v>0</v>
      </c>
      <c r="I138" s="7">
        <f t="shared" ca="1" si="87"/>
        <v>0</v>
      </c>
      <c r="J138" s="7">
        <f t="shared" ca="1" si="87"/>
        <v>0</v>
      </c>
      <c r="K138" s="7">
        <f t="shared" ca="1" si="87"/>
        <v>0</v>
      </c>
      <c r="L138" s="7">
        <f t="shared" ca="1" si="87"/>
        <v>0</v>
      </c>
      <c r="M138" s="7">
        <f t="shared" ca="1" si="87"/>
        <v>0</v>
      </c>
      <c r="N138" s="7">
        <f t="shared" ca="1" si="87"/>
        <v>0</v>
      </c>
      <c r="O138" s="7">
        <f t="shared" ca="1" si="87"/>
        <v>0</v>
      </c>
      <c r="P138" s="7">
        <f t="shared" ca="1" si="87"/>
        <v>0</v>
      </c>
      <c r="Q138" s="7">
        <f t="shared" ca="1" si="87"/>
        <v>0</v>
      </c>
      <c r="R138" s="7">
        <f t="shared" ca="1" si="87"/>
        <v>0</v>
      </c>
      <c r="S138" s="7">
        <f t="shared" ca="1" si="87"/>
        <v>0</v>
      </c>
      <c r="T138" s="7">
        <f t="shared" ca="1" si="87"/>
        <v>0</v>
      </c>
      <c r="U138" s="7">
        <f t="shared" ca="1" si="87"/>
        <v>0</v>
      </c>
      <c r="V138" s="7">
        <f t="shared" ca="1" si="87"/>
        <v>0</v>
      </c>
      <c r="W138" s="7">
        <f t="shared" ca="1" si="87"/>
        <v>0</v>
      </c>
      <c r="X138" s="7">
        <f t="shared" ca="1" si="87"/>
        <v>0</v>
      </c>
      <c r="Y138" s="7">
        <f t="shared" ca="1" si="87"/>
        <v>0</v>
      </c>
      <c r="Z138" s="7">
        <f t="shared" ca="1" si="87"/>
        <v>0</v>
      </c>
      <c r="AA138" s="7">
        <f t="shared" ca="1" si="87"/>
        <v>0</v>
      </c>
      <c r="AB138" s="7">
        <f t="shared" ca="1" si="87"/>
        <v>0</v>
      </c>
      <c r="AC138" s="7">
        <f t="shared" ca="1" si="87"/>
        <v>0</v>
      </c>
      <c r="AD138" s="7">
        <f t="shared" ca="1" si="87"/>
        <v>0</v>
      </c>
      <c r="AE138" s="7">
        <f t="shared" ca="1" si="87"/>
        <v>0</v>
      </c>
      <c r="AF138" s="7">
        <f t="shared" ca="1" si="87"/>
        <v>0</v>
      </c>
      <c r="AG138" s="7">
        <f t="shared" ca="1" si="87"/>
        <v>0</v>
      </c>
      <c r="AH138" s="7">
        <f t="shared" ca="1" si="87"/>
        <v>0</v>
      </c>
      <c r="AI138" s="7">
        <f t="shared" ca="1" si="87"/>
        <v>0</v>
      </c>
      <c r="AJ138" s="7">
        <f t="shared" ca="1" si="87"/>
        <v>0</v>
      </c>
      <c r="AK138" s="7">
        <f t="shared" ca="1" si="87"/>
        <v>0</v>
      </c>
      <c r="AL138" s="7">
        <f t="shared" ca="1" si="87"/>
        <v>0</v>
      </c>
      <c r="AM138" s="7">
        <f t="shared" ca="1" si="87"/>
        <v>0</v>
      </c>
    </row>
    <row r="139" spans="1:39" x14ac:dyDescent="0.2">
      <c r="A139" s="3" t="s">
        <v>37</v>
      </c>
      <c r="C139" s="7">
        <f ca="1">-C132+SUM(C135:C138)</f>
        <v>0</v>
      </c>
      <c r="D139" s="7">
        <f t="shared" ref="D139" ca="1" si="88">-D132+SUM(D135:D138)</f>
        <v>0</v>
      </c>
      <c r="E139" s="7">
        <f t="shared" ref="E139:AM139" ca="1" si="89">-E132+SUM(E135:E138)</f>
        <v>0</v>
      </c>
      <c r="F139" s="7">
        <f t="shared" ca="1" si="89"/>
        <v>0</v>
      </c>
      <c r="G139" s="7">
        <f t="shared" ca="1" si="89"/>
        <v>0</v>
      </c>
      <c r="H139" s="7">
        <f t="shared" ca="1" si="89"/>
        <v>0</v>
      </c>
      <c r="I139" s="7">
        <f t="shared" ca="1" si="89"/>
        <v>0</v>
      </c>
      <c r="J139" s="7">
        <f t="shared" ca="1" si="89"/>
        <v>0</v>
      </c>
      <c r="K139" s="7">
        <f t="shared" ca="1" si="89"/>
        <v>0</v>
      </c>
      <c r="L139" s="7">
        <f t="shared" ca="1" si="89"/>
        <v>0</v>
      </c>
      <c r="M139" s="7">
        <f t="shared" ca="1" si="89"/>
        <v>0</v>
      </c>
      <c r="N139" s="7">
        <f t="shared" ca="1" si="89"/>
        <v>0</v>
      </c>
      <c r="O139" s="7">
        <f t="shared" ca="1" si="89"/>
        <v>0</v>
      </c>
      <c r="P139" s="7">
        <f t="shared" ca="1" si="89"/>
        <v>0</v>
      </c>
      <c r="Q139" s="7">
        <f t="shared" ca="1" si="89"/>
        <v>0</v>
      </c>
      <c r="R139" s="7">
        <f t="shared" ca="1" si="89"/>
        <v>0</v>
      </c>
      <c r="S139" s="7">
        <f t="shared" ca="1" si="89"/>
        <v>0</v>
      </c>
      <c r="T139" s="7">
        <f t="shared" ca="1" si="89"/>
        <v>0</v>
      </c>
      <c r="U139" s="7">
        <f t="shared" ca="1" si="89"/>
        <v>0</v>
      </c>
      <c r="V139" s="7">
        <f t="shared" ca="1" si="89"/>
        <v>0</v>
      </c>
      <c r="W139" s="7">
        <f t="shared" ca="1" si="89"/>
        <v>0</v>
      </c>
      <c r="X139" s="7">
        <f t="shared" ca="1" si="89"/>
        <v>0</v>
      </c>
      <c r="Y139" s="7">
        <f t="shared" ca="1" si="89"/>
        <v>0</v>
      </c>
      <c r="Z139" s="7">
        <f t="shared" ca="1" si="89"/>
        <v>0</v>
      </c>
      <c r="AA139" s="7">
        <f t="shared" ca="1" si="89"/>
        <v>0</v>
      </c>
      <c r="AB139" s="7">
        <f t="shared" ca="1" si="89"/>
        <v>0</v>
      </c>
      <c r="AC139" s="7">
        <f t="shared" ca="1" si="89"/>
        <v>0</v>
      </c>
      <c r="AD139" s="7">
        <f t="shared" ca="1" si="89"/>
        <v>0</v>
      </c>
      <c r="AE139" s="7">
        <f t="shared" ca="1" si="89"/>
        <v>0</v>
      </c>
      <c r="AF139" s="7">
        <f t="shared" ca="1" si="89"/>
        <v>0</v>
      </c>
      <c r="AG139" s="7">
        <f t="shared" ca="1" si="89"/>
        <v>0</v>
      </c>
      <c r="AH139" s="7">
        <f t="shared" ca="1" si="89"/>
        <v>0</v>
      </c>
      <c r="AI139" s="7">
        <f t="shared" ca="1" si="89"/>
        <v>0</v>
      </c>
      <c r="AJ139" s="7">
        <f t="shared" ca="1" si="89"/>
        <v>0</v>
      </c>
      <c r="AK139" s="7">
        <f t="shared" ca="1" si="89"/>
        <v>0</v>
      </c>
      <c r="AL139" s="7">
        <f t="shared" ca="1" si="89"/>
        <v>0</v>
      </c>
      <c r="AM139" s="7">
        <f t="shared" ca="1" si="89"/>
        <v>0</v>
      </c>
    </row>
    <row r="140" spans="1:39" x14ac:dyDescent="0.2">
      <c r="A140" s="3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  <c r="AC140" s="7"/>
      <c r="AD140" s="7"/>
      <c r="AE140" s="7"/>
      <c r="AF140" s="7"/>
      <c r="AG140" s="7"/>
      <c r="AH140" s="7"/>
      <c r="AI140" s="7"/>
      <c r="AJ140" s="7"/>
      <c r="AK140" s="7"/>
      <c r="AL140" s="7"/>
      <c r="AM140" s="7"/>
    </row>
    <row r="141" spans="1:39" x14ac:dyDescent="0.2">
      <c r="A141" s="3" t="s">
        <v>77</v>
      </c>
      <c r="C141" s="7">
        <f ca="1">C127+SUM($C139:C139)</f>
        <v>33136.875000000015</v>
      </c>
      <c r="D141" s="7">
        <f ca="1">D127+SUM($C139:D139)</f>
        <v>57140.903125000026</v>
      </c>
      <c r="E141" s="7">
        <f ca="1">E127+SUM($C139:E139)</f>
        <v>87759.433828125038</v>
      </c>
      <c r="F141" s="7">
        <f ca="1">F127+SUM($C139:F139)</f>
        <v>99100.176411377644</v>
      </c>
      <c r="G141" s="7">
        <f ca="1">G127+SUM($C139:G139)</f>
        <v>142148.90012508008</v>
      </c>
      <c r="H141" s="7">
        <f ca="1">H127+SUM($C139:H139)</f>
        <v>192078.05562310934</v>
      </c>
      <c r="I141" s="7">
        <f ca="1">I127+SUM($C139:I139)</f>
        <v>266036.18242333515</v>
      </c>
      <c r="J141" s="7">
        <f ca="1">J127+SUM($C139:J139)</f>
        <v>339084.48685026687</v>
      </c>
      <c r="K141" s="7">
        <f ca="1">K127+SUM($C139:K139)</f>
        <v>398970.23861694947</v>
      </c>
      <c r="L141" s="7">
        <f ca="1">L127+SUM($C139:L139)</f>
        <v>546536.87203851226</v>
      </c>
      <c r="M141" s="7">
        <f ca="1">M127+SUM($C139:M139)</f>
        <v>605652.23085092264</v>
      </c>
      <c r="N141" s="7">
        <f ca="1">N127+SUM($C139:N139)</f>
        <v>718618.88271131995</v>
      </c>
      <c r="O141" s="7">
        <f ca="1">O127+SUM($C139:O139)</f>
        <v>837633.29830874666</v>
      </c>
      <c r="P141" s="7">
        <f ca="1">P127+SUM($C139:P139)</f>
        <v>962951.35058629012</v>
      </c>
      <c r="Q141" s="7">
        <f ca="1">Q127+SUM($C139:Q139)</f>
        <v>1094838.6489492662</v>
      </c>
      <c r="R141" s="7">
        <f ca="1">R127+SUM($C139:R139)</f>
        <v>1233570.8878477628</v>
      </c>
      <c r="S141" s="7">
        <f ca="1">S127+SUM($C139:S139)</f>
        <v>1379434.2073534238</v>
      </c>
      <c r="T141" s="7">
        <f ca="1">T127+SUM($C139:T139)</f>
        <v>1423495.1237488878</v>
      </c>
      <c r="U141" s="7">
        <f ca="1">U127+SUM($C139:U139)</f>
        <v>1477057.089307287</v>
      </c>
      <c r="V141" s="7">
        <f ca="1">V127+SUM($C139:V139)</f>
        <v>1532680.5274795629</v>
      </c>
      <c r="W141" s="7">
        <f ca="1">W127+SUM($C139:W139)</f>
        <v>1590443.9774315846</v>
      </c>
      <c r="X141" s="7">
        <f ca="1">X127+SUM($C139:X139)</f>
        <v>1650428.88512004</v>
      </c>
      <c r="Y141" s="7">
        <f ca="1">Y127+SUM($C139:Y139)</f>
        <v>1691802.6151119878</v>
      </c>
      <c r="Z141" s="7">
        <f ca="1">Z127+SUM($C139:Z139)</f>
        <v>1734523.9813424624</v>
      </c>
      <c r="AA141" s="7">
        <f ca="1">AA127+SUM($C139:AA139)</f>
        <v>1778644.5710759091</v>
      </c>
      <c r="AB141" s="7">
        <f ca="1">AB127+SUM($C139:AB139)</f>
        <v>1824218.0105883591</v>
      </c>
      <c r="AC141" s="7">
        <f ca="1">AC127+SUM($C139:AC139)</f>
        <v>1871300.0439335995</v>
      </c>
      <c r="AD141" s="7">
        <f ca="1">AD127+SUM($C139:AD139)</f>
        <v>1919948.6146449971</v>
      </c>
      <c r="AE141" s="7">
        <f ca="1">AE127+SUM($C139:AE139)</f>
        <v>1980331.2065111429</v>
      </c>
      <c r="AF141" s="7">
        <f ca="1">AF127+SUM($C139:AF139)</f>
        <v>2042908.5261740466</v>
      </c>
      <c r="AG141" s="7">
        <f ca="1">AG127+SUM($C139:AG139)</f>
        <v>2107764.5878862576</v>
      </c>
      <c r="AH141" s="7">
        <f ca="1">AH127+SUM($C139:AH139)</f>
        <v>2174986.5954175591</v>
      </c>
      <c r="AI141" s="7">
        <f ca="1">AI127+SUM($C139:AI139)</f>
        <v>2244665.0598372058</v>
      </c>
      <c r="AJ141" s="7">
        <f ca="1">AJ127+SUM($C139:AJ139)</f>
        <v>2316893.9215162839</v>
      </c>
      <c r="AK141" s="7">
        <f ca="1">AK127+SUM($C139:AK139)</f>
        <v>2391770.6764973206</v>
      </c>
      <c r="AL141" s="7">
        <f ca="1">AL127+SUM($C139:AL139)</f>
        <v>2469396.5073832762</v>
      </c>
      <c r="AM141" s="7">
        <f ca="1">AM127+SUM($C139:AM139)</f>
        <v>2549876.4189032381</v>
      </c>
    </row>
    <row r="142" spans="1:39" x14ac:dyDescent="0.2">
      <c r="A142" s="3" t="s">
        <v>74</v>
      </c>
      <c r="C142" s="7">
        <f t="shared" ref="C142:AM142" ca="1" si="90">MAX(C141+buffer,0)-MAX(C127+buffer,0)</f>
        <v>0</v>
      </c>
      <c r="D142" s="7">
        <f t="shared" ca="1" si="90"/>
        <v>0</v>
      </c>
      <c r="E142" s="7">
        <f t="shared" ca="1" si="90"/>
        <v>0</v>
      </c>
      <c r="F142" s="7">
        <f t="shared" ca="1" si="90"/>
        <v>0</v>
      </c>
      <c r="G142" s="7">
        <f t="shared" ca="1" si="90"/>
        <v>0</v>
      </c>
      <c r="H142" s="7">
        <f t="shared" ca="1" si="90"/>
        <v>0</v>
      </c>
      <c r="I142" s="7">
        <f t="shared" ca="1" si="90"/>
        <v>0</v>
      </c>
      <c r="J142" s="7">
        <f t="shared" ca="1" si="90"/>
        <v>0</v>
      </c>
      <c r="K142" s="7">
        <f t="shared" ca="1" si="90"/>
        <v>0</v>
      </c>
      <c r="L142" s="7">
        <f t="shared" ca="1" si="90"/>
        <v>0</v>
      </c>
      <c r="M142" s="7">
        <f t="shared" ca="1" si="90"/>
        <v>0</v>
      </c>
      <c r="N142" s="7">
        <f t="shared" ca="1" si="90"/>
        <v>0</v>
      </c>
      <c r="O142" s="7">
        <f t="shared" ca="1" si="90"/>
        <v>0</v>
      </c>
      <c r="P142" s="7">
        <f t="shared" ca="1" si="90"/>
        <v>0</v>
      </c>
      <c r="Q142" s="7">
        <f t="shared" ca="1" si="90"/>
        <v>0</v>
      </c>
      <c r="R142" s="7">
        <f t="shared" ca="1" si="90"/>
        <v>0</v>
      </c>
      <c r="S142" s="7">
        <f t="shared" ca="1" si="90"/>
        <v>0</v>
      </c>
      <c r="T142" s="7">
        <f t="shared" ca="1" si="90"/>
        <v>0</v>
      </c>
      <c r="U142" s="7">
        <f t="shared" ca="1" si="90"/>
        <v>0</v>
      </c>
      <c r="V142" s="7">
        <f t="shared" ca="1" si="90"/>
        <v>0</v>
      </c>
      <c r="W142" s="7">
        <f t="shared" ca="1" si="90"/>
        <v>0</v>
      </c>
      <c r="X142" s="7">
        <f t="shared" ca="1" si="90"/>
        <v>0</v>
      </c>
      <c r="Y142" s="7">
        <f t="shared" ca="1" si="90"/>
        <v>0</v>
      </c>
      <c r="Z142" s="7">
        <f t="shared" ca="1" si="90"/>
        <v>0</v>
      </c>
      <c r="AA142" s="7">
        <f t="shared" ca="1" si="90"/>
        <v>0</v>
      </c>
      <c r="AB142" s="7">
        <f t="shared" ca="1" si="90"/>
        <v>0</v>
      </c>
      <c r="AC142" s="7">
        <f t="shared" ca="1" si="90"/>
        <v>0</v>
      </c>
      <c r="AD142" s="7">
        <f t="shared" ca="1" si="90"/>
        <v>0</v>
      </c>
      <c r="AE142" s="7">
        <f t="shared" ca="1" si="90"/>
        <v>0</v>
      </c>
      <c r="AF142" s="7">
        <f t="shared" ca="1" si="90"/>
        <v>0</v>
      </c>
      <c r="AG142" s="7">
        <f t="shared" ca="1" si="90"/>
        <v>0</v>
      </c>
      <c r="AH142" s="7">
        <f t="shared" ca="1" si="90"/>
        <v>0</v>
      </c>
      <c r="AI142" s="7">
        <f t="shared" ca="1" si="90"/>
        <v>0</v>
      </c>
      <c r="AJ142" s="7">
        <f t="shared" ca="1" si="90"/>
        <v>0</v>
      </c>
      <c r="AK142" s="7">
        <f t="shared" ca="1" si="90"/>
        <v>0</v>
      </c>
      <c r="AL142" s="7">
        <f t="shared" ca="1" si="90"/>
        <v>0</v>
      </c>
      <c r="AM142" s="7">
        <f t="shared" ca="1" si="90"/>
        <v>0</v>
      </c>
    </row>
    <row r="143" spans="1:39" x14ac:dyDescent="0.2">
      <c r="A143" s="3" t="s">
        <v>75</v>
      </c>
      <c r="C143" s="7">
        <f ca="1">C142*Inputs!$B$181</f>
        <v>0</v>
      </c>
      <c r="D143" s="7">
        <f ca="1">D142*Inputs!$B$181</f>
        <v>0</v>
      </c>
      <c r="E143" s="7">
        <f ca="1">E142*Inputs!$B$181</f>
        <v>0</v>
      </c>
      <c r="F143" s="7">
        <f ca="1">F142*Inputs!$B$181</f>
        <v>0</v>
      </c>
      <c r="G143" s="7">
        <f ca="1">G142*Inputs!$B$181</f>
        <v>0</v>
      </c>
      <c r="H143" s="7">
        <f ca="1">H142*Inputs!$B$181</f>
        <v>0</v>
      </c>
      <c r="I143" s="7">
        <f ca="1">I142*Inputs!$B$181</f>
        <v>0</v>
      </c>
      <c r="J143" s="7">
        <f ca="1">J142*Inputs!$B$181</f>
        <v>0</v>
      </c>
      <c r="K143" s="7">
        <f ca="1">K142*Inputs!$B$181</f>
        <v>0</v>
      </c>
      <c r="L143" s="7">
        <f ca="1">L142*Inputs!$B$181</f>
        <v>0</v>
      </c>
      <c r="M143" s="7">
        <f ca="1">M142*Inputs!$B$181</f>
        <v>0</v>
      </c>
      <c r="N143" s="7">
        <f ca="1">N142*Inputs!$B$181</f>
        <v>0</v>
      </c>
      <c r="O143" s="7">
        <f ca="1">O142*Inputs!$B$181</f>
        <v>0</v>
      </c>
      <c r="P143" s="7">
        <f ca="1">P142*Inputs!$B$181</f>
        <v>0</v>
      </c>
      <c r="Q143" s="7">
        <f ca="1">Q142*Inputs!$B$181</f>
        <v>0</v>
      </c>
      <c r="R143" s="7">
        <f ca="1">R142*Inputs!$B$181</f>
        <v>0</v>
      </c>
      <c r="S143" s="7">
        <f ca="1">S142*Inputs!$B$181</f>
        <v>0</v>
      </c>
      <c r="T143" s="7">
        <f ca="1">T142*Inputs!$B$181</f>
        <v>0</v>
      </c>
      <c r="U143" s="7">
        <f ca="1">U142*Inputs!$B$181</f>
        <v>0</v>
      </c>
      <c r="V143" s="7">
        <f ca="1">V142*Inputs!$B$181</f>
        <v>0</v>
      </c>
      <c r="W143" s="7">
        <f ca="1">W142*Inputs!$B$181</f>
        <v>0</v>
      </c>
      <c r="X143" s="7">
        <f ca="1">X142*Inputs!$B$181</f>
        <v>0</v>
      </c>
      <c r="Y143" s="7">
        <f ca="1">Y142*Inputs!$B$181</f>
        <v>0</v>
      </c>
      <c r="Z143" s="7">
        <f ca="1">Z142*Inputs!$B$181</f>
        <v>0</v>
      </c>
      <c r="AA143" s="7">
        <f ca="1">AA142*Inputs!$B$181</f>
        <v>0</v>
      </c>
      <c r="AB143" s="7">
        <f ca="1">AB142*Inputs!$B$181</f>
        <v>0</v>
      </c>
      <c r="AC143" s="7">
        <f ca="1">AC142*Inputs!$B$181</f>
        <v>0</v>
      </c>
      <c r="AD143" s="7">
        <f ca="1">AD142*Inputs!$B$181</f>
        <v>0</v>
      </c>
      <c r="AE143" s="7">
        <f ca="1">AE142*Inputs!$B$181</f>
        <v>0</v>
      </c>
      <c r="AF143" s="7">
        <f ca="1">AF142*Inputs!$B$181</f>
        <v>0</v>
      </c>
      <c r="AG143" s="7">
        <f ca="1">AG142*Inputs!$B$181</f>
        <v>0</v>
      </c>
      <c r="AH143" s="7">
        <f ca="1">AH142*Inputs!$B$181</f>
        <v>0</v>
      </c>
      <c r="AI143" s="7">
        <f ca="1">AI142*Inputs!$B$181</f>
        <v>0</v>
      </c>
      <c r="AJ143" s="7">
        <f ca="1">AJ142*Inputs!$B$181</f>
        <v>0</v>
      </c>
      <c r="AK143" s="7">
        <f ca="1">AK142*Inputs!$B$181</f>
        <v>0</v>
      </c>
      <c r="AL143" s="7">
        <f ca="1">AL142*Inputs!$B$181</f>
        <v>0</v>
      </c>
      <c r="AM143" s="7">
        <f ca="1">AM142*Inputs!$B$181</f>
        <v>0</v>
      </c>
    </row>
    <row r="144" spans="1:39" x14ac:dyDescent="0.2">
      <c r="A144" s="3" t="s">
        <v>158</v>
      </c>
      <c r="C144" s="7">
        <f ca="1">C141+SUM($C143:C143)</f>
        <v>33136.875000000015</v>
      </c>
      <c r="D144" s="7">
        <f ca="1">D141+SUM($C143:D143)</f>
        <v>57140.903125000026</v>
      </c>
      <c r="E144" s="7">
        <f ca="1">E141+SUM($C143:E143)</f>
        <v>87759.433828125038</v>
      </c>
      <c r="F144" s="7">
        <f ca="1">F141+SUM($C143:F143)</f>
        <v>99100.176411377644</v>
      </c>
      <c r="G144" s="7">
        <f ca="1">G141+SUM($C143:G143)</f>
        <v>142148.90012508008</v>
      </c>
      <c r="H144" s="7">
        <f ca="1">H141+SUM($C143:H143)</f>
        <v>192078.05562310934</v>
      </c>
      <c r="I144" s="7">
        <f ca="1">I141+SUM($C143:I143)</f>
        <v>266036.18242333515</v>
      </c>
      <c r="J144" s="7">
        <f ca="1">J141+SUM($C143:J143)</f>
        <v>339084.48685026687</v>
      </c>
      <c r="K144" s="7">
        <f ca="1">K141+SUM($C143:K143)</f>
        <v>398970.23861694947</v>
      </c>
      <c r="L144" s="7">
        <f ca="1">L141+SUM($C143:L143)</f>
        <v>546536.87203851226</v>
      </c>
      <c r="M144" s="7">
        <f ca="1">M141+SUM($C143:M143)</f>
        <v>605652.23085092264</v>
      </c>
      <c r="N144" s="7">
        <f ca="1">N141+SUM($C143:N143)</f>
        <v>718618.88271131995</v>
      </c>
      <c r="O144" s="7">
        <f ca="1">O141+SUM($C143:O143)</f>
        <v>837633.29830874666</v>
      </c>
      <c r="P144" s="7">
        <f ca="1">P141+SUM($C143:P143)</f>
        <v>962951.35058629012</v>
      </c>
      <c r="Q144" s="7">
        <f ca="1">Q141+SUM($C143:Q143)</f>
        <v>1094838.6489492662</v>
      </c>
      <c r="R144" s="7">
        <f ca="1">R141+SUM($C143:R143)</f>
        <v>1233570.8878477628</v>
      </c>
      <c r="S144" s="7">
        <f ca="1">S141+SUM($C143:S143)</f>
        <v>1379434.2073534238</v>
      </c>
      <c r="T144" s="7">
        <f ca="1">T141+SUM($C143:T143)</f>
        <v>1423495.1237488878</v>
      </c>
      <c r="U144" s="7">
        <f ca="1">U141+SUM($C143:U143)</f>
        <v>1477057.089307287</v>
      </c>
      <c r="V144" s="7">
        <f ca="1">V141+SUM($C143:V143)</f>
        <v>1532680.5274795629</v>
      </c>
      <c r="W144" s="7">
        <f ca="1">W141+SUM($C143:W143)</f>
        <v>1590443.9774315846</v>
      </c>
      <c r="X144" s="7">
        <f ca="1">X141+SUM($C143:X143)</f>
        <v>1650428.88512004</v>
      </c>
      <c r="Y144" s="7">
        <f ca="1">Y141+SUM($C143:Y143)</f>
        <v>1691802.6151119878</v>
      </c>
      <c r="Z144" s="7">
        <f ca="1">Z141+SUM($C143:Z143)</f>
        <v>1734523.9813424624</v>
      </c>
      <c r="AA144" s="7">
        <f ca="1">AA141+SUM($C143:AA143)</f>
        <v>1778644.5710759091</v>
      </c>
      <c r="AB144" s="7">
        <f ca="1">AB141+SUM($C143:AB143)</f>
        <v>1824218.0105883591</v>
      </c>
      <c r="AC144" s="7">
        <f ca="1">AC141+SUM($C143:AC143)</f>
        <v>1871300.0439335995</v>
      </c>
      <c r="AD144" s="7">
        <f ca="1">AD141+SUM($C143:AD143)</f>
        <v>1919948.6146449971</v>
      </c>
      <c r="AE144" s="7">
        <f ca="1">AE141+SUM($C143:AE143)</f>
        <v>1980331.2065111429</v>
      </c>
      <c r="AF144" s="7">
        <f ca="1">AF141+SUM($C143:AF143)</f>
        <v>2042908.5261740466</v>
      </c>
      <c r="AG144" s="7">
        <f ca="1">AG141+SUM($C143:AG143)</f>
        <v>2107764.5878862576</v>
      </c>
      <c r="AH144" s="7">
        <f ca="1">AH141+SUM($C143:AH143)</f>
        <v>2174986.5954175591</v>
      </c>
      <c r="AI144" s="7">
        <f ca="1">AI141+SUM($C143:AI143)</f>
        <v>2244665.0598372058</v>
      </c>
      <c r="AJ144" s="7">
        <f ca="1">AJ141+SUM($C143:AJ143)</f>
        <v>2316893.9215162839</v>
      </c>
      <c r="AK144" s="7">
        <f ca="1">AK141+SUM($C143:AK143)</f>
        <v>2391770.6764973206</v>
      </c>
      <c r="AL144" s="7">
        <f ca="1">AL141+SUM($C143:AL143)</f>
        <v>2469396.5073832762</v>
      </c>
      <c r="AM144" s="7">
        <f ca="1">AM141+SUM($C143:AM143)</f>
        <v>2549876.4189032381</v>
      </c>
    </row>
    <row r="145" spans="1:39" x14ac:dyDescent="0.2">
      <c r="A145" s="3" t="s">
        <v>20</v>
      </c>
      <c r="C145" s="7">
        <f ca="1">IF(C144&lt;0,-C144,0)</f>
        <v>0</v>
      </c>
      <c r="D145" s="7">
        <f ca="1">IF(D144+SUM($C145:C145)&lt;0,-(D144+SUM($C145:C145)),0)</f>
        <v>0</v>
      </c>
      <c r="E145" s="7">
        <f ca="1">IF(E144+SUM($C145:D145)&lt;0,-(E144+SUM($C145:D145)),0)</f>
        <v>0</v>
      </c>
      <c r="F145" s="7">
        <f ca="1">IF(F144+SUM($C145:E145)&lt;0,-(F144+SUM($C145:E145)),0)</f>
        <v>0</v>
      </c>
      <c r="G145" s="7">
        <f ca="1">IF(G144+SUM($C145:F145)&lt;0,-(G144+SUM($C145:F145)),0)</f>
        <v>0</v>
      </c>
      <c r="H145" s="7">
        <f ca="1">IF(H144+SUM($C145:G145)&lt;0,-(H144+SUM($C145:G145)),0)</f>
        <v>0</v>
      </c>
      <c r="I145" s="7">
        <f ca="1">IF(I144+SUM($C145:H145)&lt;0,-(I144+SUM($C145:H145)),0)</f>
        <v>0</v>
      </c>
      <c r="J145" s="7">
        <f ca="1">IF(J144+SUM($C145:I145)&lt;0,-(J144+SUM($C145:I145)),0)</f>
        <v>0</v>
      </c>
      <c r="K145" s="7">
        <f ca="1">IF(K144+SUM($C145:J145)&lt;0,-(K144+SUM($C145:J145)),0)</f>
        <v>0</v>
      </c>
      <c r="L145" s="7">
        <f ca="1">IF(L144+SUM($C145:K145)&lt;0,-(L144+SUM($C145:K145)),0)</f>
        <v>0</v>
      </c>
      <c r="M145" s="7">
        <f ca="1">IF(M144+SUM($C145:L145)&lt;0,-(M144+SUM($C145:L145)),0)</f>
        <v>0</v>
      </c>
      <c r="N145" s="7">
        <f ca="1">IF(N144+SUM($C145:M145)&lt;0,-(N144+SUM($C145:M145)),0)</f>
        <v>0</v>
      </c>
      <c r="O145" s="7">
        <f ca="1">IF(O144+SUM($C145:N145)&lt;0,-(O144+SUM($C145:N145)),0)</f>
        <v>0</v>
      </c>
      <c r="P145" s="7">
        <f ca="1">IF(P144+SUM($C145:O145)&lt;0,-(P144+SUM($C145:O145)),0)</f>
        <v>0</v>
      </c>
      <c r="Q145" s="7">
        <f ca="1">IF(Q144+SUM($C145:P145)&lt;0,-(Q144+SUM($C145:P145)),0)</f>
        <v>0</v>
      </c>
      <c r="R145" s="7">
        <f ca="1">IF(R144+SUM($C145:Q145)&lt;0,-(R144+SUM($C145:Q145)),0)</f>
        <v>0</v>
      </c>
      <c r="S145" s="7">
        <f ca="1">IF(S144+SUM($C145:R145)&lt;0,-(S144+SUM($C145:R145)),0)</f>
        <v>0</v>
      </c>
      <c r="T145" s="7">
        <f ca="1">IF(T144+SUM($C145:S145)&lt;0,-(T144+SUM($C145:S145)),0)</f>
        <v>0</v>
      </c>
      <c r="U145" s="7">
        <f ca="1">IF(U144+SUM($C145:T145)&lt;0,-(U144+SUM($C145:T145)),0)</f>
        <v>0</v>
      </c>
      <c r="V145" s="7">
        <f ca="1">IF(V144+SUM($C145:U145)&lt;0,-(V144+SUM($C145:U145)),0)</f>
        <v>0</v>
      </c>
      <c r="W145" s="7">
        <f ca="1">IF(W144+SUM($C145:V145)&lt;0,-(W144+SUM($C145:V145)),0)</f>
        <v>0</v>
      </c>
      <c r="X145" s="7">
        <f ca="1">IF(X144+SUM($C145:W145)&lt;0,-(X144+SUM($C145:W145)),0)</f>
        <v>0</v>
      </c>
      <c r="Y145" s="7">
        <f ca="1">IF(Y144+SUM($C145:X145)&lt;0,-(Y144+SUM($C145:X145)),0)</f>
        <v>0</v>
      </c>
      <c r="Z145" s="7">
        <f ca="1">IF(Z144+SUM($C145:Y145)&lt;0,-(Z144+SUM($C145:Y145)),0)</f>
        <v>0</v>
      </c>
      <c r="AA145" s="7">
        <f ca="1">IF(AA144+SUM($C145:Z145)&lt;0,-(AA144+SUM($C145:Z145)),0)</f>
        <v>0</v>
      </c>
      <c r="AB145" s="7">
        <f ca="1">IF(AB144+SUM($C145:AA145)&lt;0,-(AB144+SUM($C145:AA145)),0)</f>
        <v>0</v>
      </c>
      <c r="AC145" s="7">
        <f ca="1">IF(AC144+SUM($C145:AB145)&lt;0,-(AC144+SUM($C145:AB145)),0)</f>
        <v>0</v>
      </c>
      <c r="AD145" s="7">
        <f ca="1">IF(AD144+SUM($C145:AC145)&lt;0,-(AD144+SUM($C145:AC145)),0)</f>
        <v>0</v>
      </c>
      <c r="AE145" s="7">
        <f ca="1">IF(AE144+SUM($C145:AD145)&lt;0,-(AE144+SUM($C145:AD145)),0)</f>
        <v>0</v>
      </c>
      <c r="AF145" s="7">
        <f ca="1">IF(AF144+SUM($C145:AE145)&lt;0,-(AF144+SUM($C145:AE145)),0)</f>
        <v>0</v>
      </c>
      <c r="AG145" s="7">
        <f ca="1">IF(AG144+SUM($C145:AF145)&lt;0,-(AG144+SUM($C145:AF145)),0)</f>
        <v>0</v>
      </c>
      <c r="AH145" s="7">
        <f ca="1">IF(AH144+SUM($C145:AG145)&lt;0,-(AH144+SUM($C145:AG145)),0)</f>
        <v>0</v>
      </c>
      <c r="AI145" s="7">
        <f ca="1">IF(AI144+SUM($C145:AH145)&lt;0,-(AI144+SUM($C145:AH145)),0)</f>
        <v>0</v>
      </c>
      <c r="AJ145" s="7">
        <f ca="1">IF(AJ144+SUM($C145:AI145)&lt;0,-(AJ144+SUM($C145:AI145)),0)</f>
        <v>0</v>
      </c>
      <c r="AK145" s="7">
        <f ca="1">IF(AK144+SUM($C145:AJ145)&lt;0,-(AK144+SUM($C145:AJ145)),0)</f>
        <v>0</v>
      </c>
      <c r="AL145" s="7">
        <f ca="1">IF(AL144+SUM($C145:AK145)&lt;0,-(AL144+SUM($C145:AK145)),0)</f>
        <v>0</v>
      </c>
      <c r="AM145" s="7">
        <f ca="1">IF(AM144+SUM($C145:AL145)&lt;0,-(AM144+SUM($C145:AL145)),0)</f>
        <v>0</v>
      </c>
    </row>
    <row r="146" spans="1:39" x14ac:dyDescent="0.2"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  <c r="AB146" s="7"/>
      <c r="AC146" s="7"/>
      <c r="AD146" s="7"/>
      <c r="AE146" s="7"/>
      <c r="AF146" s="7"/>
      <c r="AG146" s="7"/>
      <c r="AH146" s="7"/>
      <c r="AI146" s="7"/>
      <c r="AJ146" s="7"/>
      <c r="AK146" s="7"/>
      <c r="AL146" s="7"/>
      <c r="AM146" s="7"/>
    </row>
    <row r="147" spans="1:39" x14ac:dyDescent="0.2">
      <c r="A147" s="24" t="str">
        <f>IF(Inputs!$B$197=6,IFERROR(_xlfn.XLOOKUP($B147,Inputs!$B$198:$B$202,Inputs!$A$198:$A$202,,0,1),""),IFERROR(_xlfn.XLOOKUP($B147,Inputs!$C$198:$C$202,Inputs!$A$198:$A$202,,0,1),""))</f>
        <v>Qormi</v>
      </c>
      <c r="B147" s="26">
        <v>4</v>
      </c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  <c r="AB147" s="7"/>
      <c r="AC147" s="7"/>
      <c r="AD147" s="7"/>
      <c r="AE147" s="7"/>
      <c r="AF147" s="7"/>
      <c r="AG147" s="7"/>
      <c r="AH147" s="7"/>
      <c r="AI147" s="7"/>
      <c r="AJ147" s="7"/>
      <c r="AK147" s="7"/>
      <c r="AL147" s="7"/>
      <c r="AM147" s="7"/>
    </row>
    <row r="148" spans="1:39" x14ac:dyDescent="0.2">
      <c r="A148" s="3" t="s">
        <v>22</v>
      </c>
      <c r="C148" s="7">
        <f ca="1">IFERROR(VLOOKUP($A147,$A$60:$H$78,C$1+2,FALSE),0)</f>
        <v>225486.40785841495</v>
      </c>
      <c r="D148" s="7">
        <f ca="1">C151</f>
        <v>225486.40785841495</v>
      </c>
      <c r="E148" s="7">
        <f t="shared" ref="E148:AM148" ca="1" si="91">D151</f>
        <v>232251.00009416739</v>
      </c>
      <c r="F148" s="7">
        <f t="shared" ca="1" si="91"/>
        <v>239218.53009699241</v>
      </c>
      <c r="G148" s="7">
        <f t="shared" ca="1" si="91"/>
        <v>246395.08599990219</v>
      </c>
      <c r="H148" s="7">
        <f t="shared" ca="1" si="91"/>
        <v>253786.93857989926</v>
      </c>
      <c r="I148" s="7">
        <f t="shared" ca="1" si="91"/>
        <v>261400.54673729624</v>
      </c>
      <c r="J148" s="7">
        <f t="shared" ca="1" si="91"/>
        <v>269242.56313941511</v>
      </c>
      <c r="K148" s="7">
        <f t="shared" ca="1" si="91"/>
        <v>277319.84003359755</v>
      </c>
      <c r="L148" s="7">
        <f t="shared" ca="1" si="91"/>
        <v>285639.43523460545</v>
      </c>
      <c r="M148" s="7">
        <f t="shared" ca="1" si="91"/>
        <v>294208.61829164362</v>
      </c>
      <c r="N148" s="7">
        <f t="shared" ca="1" si="91"/>
        <v>303034.87684039294</v>
      </c>
      <c r="O148" s="7">
        <f t="shared" ca="1" si="91"/>
        <v>312125.92314560473</v>
      </c>
      <c r="P148" s="7">
        <f t="shared" ca="1" si="91"/>
        <v>321489.70083997288</v>
      </c>
      <c r="Q148" s="7">
        <f t="shared" ca="1" si="91"/>
        <v>331134.39186517207</v>
      </c>
      <c r="R148" s="7">
        <f t="shared" ca="1" si="91"/>
        <v>341068.42362112727</v>
      </c>
      <c r="S148" s="7">
        <f t="shared" ca="1" si="91"/>
        <v>351300.47632976109</v>
      </c>
      <c r="T148" s="7">
        <f t="shared" ca="1" si="91"/>
        <v>361839.49061965395</v>
      </c>
      <c r="U148" s="7">
        <f t="shared" ca="1" si="91"/>
        <v>372694.6753382436</v>
      </c>
      <c r="V148" s="7">
        <f t="shared" ca="1" si="91"/>
        <v>383875.51559839089</v>
      </c>
      <c r="W148" s="7">
        <f t="shared" ca="1" si="91"/>
        <v>395391.78106634261</v>
      </c>
      <c r="X148" s="7">
        <f t="shared" ca="1" si="91"/>
        <v>407253.53449833288</v>
      </c>
      <c r="Y148" s="7">
        <f t="shared" ca="1" si="91"/>
        <v>419471.14053328289</v>
      </c>
      <c r="Z148" s="7">
        <f t="shared" ca="1" si="91"/>
        <v>432055.27474928135</v>
      </c>
      <c r="AA148" s="7">
        <f t="shared" ca="1" si="91"/>
        <v>445016.93299175979</v>
      </c>
      <c r="AB148" s="7">
        <f t="shared" ca="1" si="91"/>
        <v>458367.4409815126</v>
      </c>
      <c r="AC148" s="7">
        <f t="shared" ca="1" si="91"/>
        <v>472118.46421095799</v>
      </c>
      <c r="AD148" s="7">
        <f t="shared" ca="1" si="91"/>
        <v>486282.01813728671</v>
      </c>
      <c r="AE148" s="7">
        <f t="shared" ca="1" si="91"/>
        <v>500870.47868140531</v>
      </c>
      <c r="AF148" s="7">
        <f t="shared" ca="1" si="91"/>
        <v>515896.59304184746</v>
      </c>
      <c r="AG148" s="7">
        <f t="shared" ca="1" si="91"/>
        <v>531373.49083310284</v>
      </c>
      <c r="AH148" s="7">
        <f t="shared" ca="1" si="91"/>
        <v>547314.69555809593</v>
      </c>
      <c r="AI148" s="7">
        <f t="shared" ca="1" si="91"/>
        <v>563734.1364248388</v>
      </c>
      <c r="AJ148" s="7">
        <f t="shared" ca="1" si="91"/>
        <v>580646.16051758395</v>
      </c>
      <c r="AK148" s="7">
        <f t="shared" ca="1" si="91"/>
        <v>598065.54533311143</v>
      </c>
      <c r="AL148" s="7">
        <f t="shared" ca="1" si="91"/>
        <v>616007.51169310475</v>
      </c>
      <c r="AM148" s="7">
        <f t="shared" ca="1" si="91"/>
        <v>634487.73704389785</v>
      </c>
    </row>
    <row r="149" spans="1:39" x14ac:dyDescent="0.2">
      <c r="A149" s="3" t="s">
        <v>23</v>
      </c>
      <c r="C149" s="7">
        <f ca="1">-IF(SUM(C145:D145)&gt;0,C148,0)</f>
        <v>0</v>
      </c>
      <c r="D149" s="7">
        <f ca="1">-IF(E145&gt;0,D148,0)</f>
        <v>0</v>
      </c>
      <c r="E149" s="7">
        <f ca="1">-IF(F145&gt;0,E148,0)</f>
        <v>0</v>
      </c>
      <c r="F149" s="7">
        <f ca="1">-IF(G145&gt;0,F148,0)</f>
        <v>0</v>
      </c>
      <c r="G149" s="7">
        <f t="shared" ref="G149:AM149" ca="1" si="92">-IF(H145&gt;0,G148,0)</f>
        <v>0</v>
      </c>
      <c r="H149" s="7">
        <f t="shared" ca="1" si="92"/>
        <v>0</v>
      </c>
      <c r="I149" s="7">
        <f t="shared" ca="1" si="92"/>
        <v>0</v>
      </c>
      <c r="J149" s="7">
        <f t="shared" ca="1" si="92"/>
        <v>0</v>
      </c>
      <c r="K149" s="7">
        <f t="shared" ca="1" si="92"/>
        <v>0</v>
      </c>
      <c r="L149" s="7">
        <f t="shared" ca="1" si="92"/>
        <v>0</v>
      </c>
      <c r="M149" s="7">
        <f t="shared" ca="1" si="92"/>
        <v>0</v>
      </c>
      <c r="N149" s="7">
        <f t="shared" ca="1" si="92"/>
        <v>0</v>
      </c>
      <c r="O149" s="7">
        <f t="shared" ca="1" si="92"/>
        <v>0</v>
      </c>
      <c r="P149" s="7">
        <f t="shared" ca="1" si="92"/>
        <v>0</v>
      </c>
      <c r="Q149" s="7">
        <f t="shared" ca="1" si="92"/>
        <v>0</v>
      </c>
      <c r="R149" s="7">
        <f t="shared" ca="1" si="92"/>
        <v>0</v>
      </c>
      <c r="S149" s="7">
        <f t="shared" ca="1" si="92"/>
        <v>0</v>
      </c>
      <c r="T149" s="7">
        <f t="shared" ca="1" si="92"/>
        <v>0</v>
      </c>
      <c r="U149" s="7">
        <f t="shared" ca="1" si="92"/>
        <v>0</v>
      </c>
      <c r="V149" s="7">
        <f t="shared" ca="1" si="92"/>
        <v>0</v>
      </c>
      <c r="W149" s="7">
        <f t="shared" ca="1" si="92"/>
        <v>0</v>
      </c>
      <c r="X149" s="7">
        <f t="shared" ca="1" si="92"/>
        <v>0</v>
      </c>
      <c r="Y149" s="7">
        <f t="shared" ca="1" si="92"/>
        <v>0</v>
      </c>
      <c r="Z149" s="7">
        <f t="shared" ca="1" si="92"/>
        <v>0</v>
      </c>
      <c r="AA149" s="7">
        <f t="shared" ca="1" si="92"/>
        <v>0</v>
      </c>
      <c r="AB149" s="7">
        <f t="shared" ca="1" si="92"/>
        <v>0</v>
      </c>
      <c r="AC149" s="7">
        <f t="shared" ca="1" si="92"/>
        <v>0</v>
      </c>
      <c r="AD149" s="7">
        <f t="shared" ca="1" si="92"/>
        <v>0</v>
      </c>
      <c r="AE149" s="7">
        <f t="shared" ca="1" si="92"/>
        <v>0</v>
      </c>
      <c r="AF149" s="7">
        <f t="shared" ca="1" si="92"/>
        <v>0</v>
      </c>
      <c r="AG149" s="7">
        <f t="shared" ca="1" si="92"/>
        <v>0</v>
      </c>
      <c r="AH149" s="7">
        <f t="shared" ca="1" si="92"/>
        <v>0</v>
      </c>
      <c r="AI149" s="7">
        <f t="shared" ca="1" si="92"/>
        <v>0</v>
      </c>
      <c r="AJ149" s="7">
        <f t="shared" ca="1" si="92"/>
        <v>0</v>
      </c>
      <c r="AK149" s="7">
        <f t="shared" ca="1" si="92"/>
        <v>0</v>
      </c>
      <c r="AL149" s="7">
        <f t="shared" ca="1" si="92"/>
        <v>0</v>
      </c>
      <c r="AM149" s="7">
        <f t="shared" si="92"/>
        <v>0</v>
      </c>
    </row>
    <row r="150" spans="1:39" x14ac:dyDescent="0.2">
      <c r="A150" s="3" t="s">
        <v>24</v>
      </c>
      <c r="C150" s="7">
        <v>0</v>
      </c>
      <c r="D150" s="7">
        <f t="shared" ref="D150:G150" ca="1" si="93">SUM(D148:D149)*princ</f>
        <v>6764.5922357524487</v>
      </c>
      <c r="E150" s="7">
        <f t="shared" ca="1" si="93"/>
        <v>6967.5300028250213</v>
      </c>
      <c r="F150" s="7">
        <f t="shared" ca="1" si="93"/>
        <v>7176.5559029097722</v>
      </c>
      <c r="G150" s="7">
        <f t="shared" ca="1" si="93"/>
        <v>7391.8525799970657</v>
      </c>
      <c r="H150" s="7">
        <f t="shared" ref="H150:I150" ca="1" si="94">SUM(H148:H149)*princ</f>
        <v>7613.6081573969777</v>
      </c>
      <c r="I150" s="7">
        <f t="shared" ca="1" si="94"/>
        <v>7842.0164021188866</v>
      </c>
      <c r="J150" s="7">
        <f t="shared" ref="J150:AM150" ca="1" si="95">SUM(J148:J149)*princ</f>
        <v>8077.2768941824534</v>
      </c>
      <c r="K150" s="7">
        <f t="shared" ca="1" si="95"/>
        <v>8319.5952010079254</v>
      </c>
      <c r="L150" s="7">
        <f t="shared" ca="1" si="95"/>
        <v>8569.1830570381626</v>
      </c>
      <c r="M150" s="7">
        <f t="shared" ca="1" si="95"/>
        <v>8826.2585487493088</v>
      </c>
      <c r="N150" s="7">
        <f t="shared" ca="1" si="95"/>
        <v>9091.0463052117884</v>
      </c>
      <c r="O150" s="7">
        <f t="shared" ca="1" si="95"/>
        <v>9363.777694368142</v>
      </c>
      <c r="P150" s="7">
        <f t="shared" ca="1" si="95"/>
        <v>9644.6910251991867</v>
      </c>
      <c r="Q150" s="7">
        <f t="shared" ca="1" si="95"/>
        <v>9934.0317559551622</v>
      </c>
      <c r="R150" s="7">
        <f t="shared" ca="1" si="95"/>
        <v>10232.052708633817</v>
      </c>
      <c r="S150" s="7">
        <f t="shared" ca="1" si="95"/>
        <v>10539.014289892832</v>
      </c>
      <c r="T150" s="7">
        <f t="shared" ca="1" si="95"/>
        <v>10855.184718589619</v>
      </c>
      <c r="U150" s="7">
        <f t="shared" ca="1" si="95"/>
        <v>11180.840260147308</v>
      </c>
      <c r="V150" s="7">
        <f t="shared" ca="1" si="95"/>
        <v>11516.265467951725</v>
      </c>
      <c r="W150" s="7">
        <f t="shared" ca="1" si="95"/>
        <v>11861.753431990277</v>
      </c>
      <c r="X150" s="7">
        <f t="shared" ca="1" si="95"/>
        <v>12217.606034949986</v>
      </c>
      <c r="Y150" s="7">
        <f t="shared" ca="1" si="95"/>
        <v>12584.134215998487</v>
      </c>
      <c r="Z150" s="7">
        <f t="shared" ca="1" si="95"/>
        <v>12961.658242478439</v>
      </c>
      <c r="AA150" s="7">
        <f t="shared" ca="1" si="95"/>
        <v>13350.507989752794</v>
      </c>
      <c r="AB150" s="7">
        <f t="shared" ca="1" si="95"/>
        <v>13751.023229445378</v>
      </c>
      <c r="AC150" s="7">
        <f t="shared" ca="1" si="95"/>
        <v>14163.553926328739</v>
      </c>
      <c r="AD150" s="7">
        <f t="shared" ca="1" si="95"/>
        <v>14588.460544118601</v>
      </c>
      <c r="AE150" s="7">
        <f t="shared" ca="1" si="95"/>
        <v>15026.11436044216</v>
      </c>
      <c r="AF150" s="7">
        <f t="shared" ca="1" si="95"/>
        <v>15476.897791255424</v>
      </c>
      <c r="AG150" s="7">
        <f t="shared" ca="1" si="95"/>
        <v>15941.204724993084</v>
      </c>
      <c r="AH150" s="7">
        <f t="shared" ca="1" si="95"/>
        <v>16419.440866742876</v>
      </c>
      <c r="AI150" s="7">
        <f t="shared" ca="1" si="95"/>
        <v>16912.024092745163</v>
      </c>
      <c r="AJ150" s="7">
        <f t="shared" ca="1" si="95"/>
        <v>17419.384815527519</v>
      </c>
      <c r="AK150" s="7">
        <f t="shared" ca="1" si="95"/>
        <v>17941.966359993341</v>
      </c>
      <c r="AL150" s="7">
        <f t="shared" ca="1" si="95"/>
        <v>18480.225350793142</v>
      </c>
      <c r="AM150" s="7">
        <f t="shared" ca="1" si="95"/>
        <v>19034.632111316936</v>
      </c>
    </row>
    <row r="151" spans="1:39" x14ac:dyDescent="0.2">
      <c r="A151" s="3" t="s">
        <v>25</v>
      </c>
      <c r="C151" s="7">
        <f ca="1">SUM(C148:C150)</f>
        <v>225486.40785841495</v>
      </c>
      <c r="D151" s="7">
        <f t="shared" ref="D151:AM151" ca="1" si="96">SUM(D148:D150)</f>
        <v>232251.00009416739</v>
      </c>
      <c r="E151" s="7">
        <f t="shared" ca="1" si="96"/>
        <v>239218.53009699241</v>
      </c>
      <c r="F151" s="7">
        <f t="shared" ca="1" si="96"/>
        <v>246395.08599990219</v>
      </c>
      <c r="G151" s="7">
        <f t="shared" ca="1" si="96"/>
        <v>253786.93857989926</v>
      </c>
      <c r="H151" s="7">
        <f t="shared" ca="1" si="96"/>
        <v>261400.54673729624</v>
      </c>
      <c r="I151" s="7">
        <f t="shared" ca="1" si="96"/>
        <v>269242.56313941511</v>
      </c>
      <c r="J151" s="7">
        <f t="shared" ca="1" si="96"/>
        <v>277319.84003359755</v>
      </c>
      <c r="K151" s="7">
        <f t="shared" ca="1" si="96"/>
        <v>285639.43523460545</v>
      </c>
      <c r="L151" s="7">
        <f t="shared" ca="1" si="96"/>
        <v>294208.61829164362</v>
      </c>
      <c r="M151" s="7">
        <f t="shared" ca="1" si="96"/>
        <v>303034.87684039294</v>
      </c>
      <c r="N151" s="7">
        <f t="shared" ca="1" si="96"/>
        <v>312125.92314560473</v>
      </c>
      <c r="O151" s="7">
        <f t="shared" ca="1" si="96"/>
        <v>321489.70083997288</v>
      </c>
      <c r="P151" s="7">
        <f t="shared" ca="1" si="96"/>
        <v>331134.39186517207</v>
      </c>
      <c r="Q151" s="7">
        <f t="shared" ca="1" si="96"/>
        <v>341068.42362112727</v>
      </c>
      <c r="R151" s="7">
        <f t="shared" ca="1" si="96"/>
        <v>351300.47632976109</v>
      </c>
      <c r="S151" s="7">
        <f t="shared" ca="1" si="96"/>
        <v>361839.49061965395</v>
      </c>
      <c r="T151" s="7">
        <f t="shared" ca="1" si="96"/>
        <v>372694.6753382436</v>
      </c>
      <c r="U151" s="7">
        <f t="shared" ca="1" si="96"/>
        <v>383875.51559839089</v>
      </c>
      <c r="V151" s="7">
        <f t="shared" ca="1" si="96"/>
        <v>395391.78106634261</v>
      </c>
      <c r="W151" s="7">
        <f t="shared" ca="1" si="96"/>
        <v>407253.53449833288</v>
      </c>
      <c r="X151" s="7">
        <f t="shared" ca="1" si="96"/>
        <v>419471.14053328289</v>
      </c>
      <c r="Y151" s="7">
        <f t="shared" ca="1" si="96"/>
        <v>432055.27474928135</v>
      </c>
      <c r="Z151" s="7">
        <f t="shared" ca="1" si="96"/>
        <v>445016.93299175979</v>
      </c>
      <c r="AA151" s="7">
        <f t="shared" ca="1" si="96"/>
        <v>458367.4409815126</v>
      </c>
      <c r="AB151" s="7">
        <f t="shared" ca="1" si="96"/>
        <v>472118.46421095799</v>
      </c>
      <c r="AC151" s="7">
        <f t="shared" ca="1" si="96"/>
        <v>486282.01813728671</v>
      </c>
      <c r="AD151" s="7">
        <f t="shared" ca="1" si="96"/>
        <v>500870.47868140531</v>
      </c>
      <c r="AE151" s="7">
        <f t="shared" ca="1" si="96"/>
        <v>515896.59304184746</v>
      </c>
      <c r="AF151" s="7">
        <f t="shared" ca="1" si="96"/>
        <v>531373.49083310284</v>
      </c>
      <c r="AG151" s="7">
        <f t="shared" ca="1" si="96"/>
        <v>547314.69555809593</v>
      </c>
      <c r="AH151" s="7">
        <f t="shared" ca="1" si="96"/>
        <v>563734.1364248388</v>
      </c>
      <c r="AI151" s="7">
        <f t="shared" ca="1" si="96"/>
        <v>580646.16051758395</v>
      </c>
      <c r="AJ151" s="7">
        <f t="shared" ca="1" si="96"/>
        <v>598065.54533311143</v>
      </c>
      <c r="AK151" s="7">
        <f t="shared" ca="1" si="96"/>
        <v>616007.51169310475</v>
      </c>
      <c r="AL151" s="7">
        <f t="shared" ca="1" si="96"/>
        <v>634487.73704389785</v>
      </c>
      <c r="AM151" s="7">
        <f t="shared" ca="1" si="96"/>
        <v>653522.36915521475</v>
      </c>
    </row>
    <row r="152" spans="1:39" x14ac:dyDescent="0.2">
      <c r="A152" s="3" t="s">
        <v>26</v>
      </c>
      <c r="C152" s="7">
        <f ca="1">C149*Inputs!$B$195</f>
        <v>0</v>
      </c>
      <c r="D152" s="7">
        <f ca="1">D149*Inputs!$B$195</f>
        <v>0</v>
      </c>
      <c r="E152" s="7">
        <f ca="1">E149*Inputs!$B$195</f>
        <v>0</v>
      </c>
      <c r="F152" s="7">
        <f ca="1">F149*Inputs!$B$195</f>
        <v>0</v>
      </c>
      <c r="G152" s="7">
        <f ca="1">G149*Inputs!$B$195</f>
        <v>0</v>
      </c>
      <c r="H152" s="7">
        <f ca="1">H149*Inputs!$B$195</f>
        <v>0</v>
      </c>
      <c r="I152" s="7">
        <f ca="1">I149*Inputs!$B$195</f>
        <v>0</v>
      </c>
      <c r="J152" s="7">
        <f ca="1">J149*Inputs!$B$195</f>
        <v>0</v>
      </c>
      <c r="K152" s="7">
        <f ca="1">K149*Inputs!$B$195</f>
        <v>0</v>
      </c>
      <c r="L152" s="7">
        <f ca="1">L149*Inputs!$B$195</f>
        <v>0</v>
      </c>
      <c r="M152" s="7">
        <f ca="1">M149*Inputs!$B$195</f>
        <v>0</v>
      </c>
      <c r="N152" s="7">
        <f ca="1">N149*Inputs!$B$195</f>
        <v>0</v>
      </c>
      <c r="O152" s="7">
        <f ca="1">O149*Inputs!$B$195</f>
        <v>0</v>
      </c>
      <c r="P152" s="7">
        <f ca="1">P149*Inputs!$B$195</f>
        <v>0</v>
      </c>
      <c r="Q152" s="7">
        <f ca="1">Q149*Inputs!$B$195</f>
        <v>0</v>
      </c>
      <c r="R152" s="7">
        <f ca="1">R149*Inputs!$B$195</f>
        <v>0</v>
      </c>
      <c r="S152" s="7">
        <f ca="1">S149*Inputs!$B$195</f>
        <v>0</v>
      </c>
      <c r="T152" s="7">
        <f ca="1">T149*Inputs!$B$195</f>
        <v>0</v>
      </c>
      <c r="U152" s="7">
        <f ca="1">U149*Inputs!$B$195</f>
        <v>0</v>
      </c>
      <c r="V152" s="7">
        <f ca="1">V149*Inputs!$B$195</f>
        <v>0</v>
      </c>
      <c r="W152" s="7">
        <f ca="1">W149*Inputs!$B$195</f>
        <v>0</v>
      </c>
      <c r="X152" s="7">
        <f ca="1">X149*Inputs!$B$195</f>
        <v>0</v>
      </c>
      <c r="Y152" s="7">
        <f ca="1">Y149*Inputs!$B$195</f>
        <v>0</v>
      </c>
      <c r="Z152" s="7">
        <f ca="1">Z149*Inputs!$B$195</f>
        <v>0</v>
      </c>
      <c r="AA152" s="7">
        <f ca="1">AA149*Inputs!$B$195</f>
        <v>0</v>
      </c>
      <c r="AB152" s="7">
        <f ca="1">AB149*Inputs!$B$195</f>
        <v>0</v>
      </c>
      <c r="AC152" s="7">
        <f ca="1">AC149*Inputs!$B$195</f>
        <v>0</v>
      </c>
      <c r="AD152" s="7">
        <f ca="1">AD149*Inputs!$B$195</f>
        <v>0</v>
      </c>
      <c r="AE152" s="7">
        <f ca="1">AE149*Inputs!$B$195</f>
        <v>0</v>
      </c>
      <c r="AF152" s="7">
        <f ca="1">AF149*Inputs!$B$195</f>
        <v>0</v>
      </c>
      <c r="AG152" s="7">
        <f ca="1">AG149*Inputs!$B$195</f>
        <v>0</v>
      </c>
      <c r="AH152" s="7">
        <f ca="1">AH149*Inputs!$B$195</f>
        <v>0</v>
      </c>
      <c r="AI152" s="7">
        <f ca="1">AI149*Inputs!$B$195</f>
        <v>0</v>
      </c>
      <c r="AJ152" s="7">
        <f ca="1">AJ149*Inputs!$B$195</f>
        <v>0</v>
      </c>
      <c r="AK152" s="7">
        <f ca="1">AK149*Inputs!$B$195</f>
        <v>0</v>
      </c>
      <c r="AL152" s="7">
        <f ca="1">AL149*Inputs!$B$195</f>
        <v>0</v>
      </c>
      <c r="AM152" s="7">
        <f>AM149*Inputs!$B$195</f>
        <v>0</v>
      </c>
    </row>
    <row r="153" spans="1:39" x14ac:dyDescent="0.2">
      <c r="A153" s="3" t="s">
        <v>31</v>
      </c>
      <c r="C153" s="7">
        <f t="shared" ref="C153:AM153" ca="1" si="97">IFERROR(-IF(C148=0,VLOOKUP($A147,$8:$12,C$1+2,FALSE),0),0)</f>
        <v>0</v>
      </c>
      <c r="D153" s="7">
        <f t="shared" ca="1" si="97"/>
        <v>0</v>
      </c>
      <c r="E153" s="7">
        <f t="shared" ca="1" si="97"/>
        <v>0</v>
      </c>
      <c r="F153" s="7">
        <f t="shared" ca="1" si="97"/>
        <v>0</v>
      </c>
      <c r="G153" s="7">
        <f t="shared" ca="1" si="97"/>
        <v>0</v>
      </c>
      <c r="H153" s="7">
        <f t="shared" ca="1" si="97"/>
        <v>0</v>
      </c>
      <c r="I153" s="7">
        <f t="shared" ca="1" si="97"/>
        <v>0</v>
      </c>
      <c r="J153" s="7">
        <f t="shared" ca="1" si="97"/>
        <v>0</v>
      </c>
      <c r="K153" s="7">
        <f t="shared" ca="1" si="97"/>
        <v>0</v>
      </c>
      <c r="L153" s="7">
        <f t="shared" ca="1" si="97"/>
        <v>0</v>
      </c>
      <c r="M153" s="7">
        <f t="shared" ca="1" si="97"/>
        <v>0</v>
      </c>
      <c r="N153" s="7">
        <f t="shared" ca="1" si="97"/>
        <v>0</v>
      </c>
      <c r="O153" s="7">
        <f t="shared" ca="1" si="97"/>
        <v>0</v>
      </c>
      <c r="P153" s="7">
        <f t="shared" ca="1" si="97"/>
        <v>0</v>
      </c>
      <c r="Q153" s="7">
        <f t="shared" ca="1" si="97"/>
        <v>0</v>
      </c>
      <c r="R153" s="7">
        <f t="shared" ca="1" si="97"/>
        <v>0</v>
      </c>
      <c r="S153" s="7">
        <f t="shared" ca="1" si="97"/>
        <v>0</v>
      </c>
      <c r="T153" s="7">
        <f t="shared" ca="1" si="97"/>
        <v>0</v>
      </c>
      <c r="U153" s="7">
        <f t="shared" ca="1" si="97"/>
        <v>0</v>
      </c>
      <c r="V153" s="7">
        <f t="shared" ca="1" si="97"/>
        <v>0</v>
      </c>
      <c r="W153" s="7">
        <f t="shared" ca="1" si="97"/>
        <v>0</v>
      </c>
      <c r="X153" s="7">
        <f t="shared" ca="1" si="97"/>
        <v>0</v>
      </c>
      <c r="Y153" s="7">
        <f t="shared" ca="1" si="97"/>
        <v>0</v>
      </c>
      <c r="Z153" s="7">
        <f t="shared" ca="1" si="97"/>
        <v>0</v>
      </c>
      <c r="AA153" s="7">
        <f t="shared" ca="1" si="97"/>
        <v>0</v>
      </c>
      <c r="AB153" s="7">
        <f t="shared" ca="1" si="97"/>
        <v>0</v>
      </c>
      <c r="AC153" s="7">
        <f t="shared" ca="1" si="97"/>
        <v>0</v>
      </c>
      <c r="AD153" s="7">
        <f t="shared" ca="1" si="97"/>
        <v>0</v>
      </c>
      <c r="AE153" s="7">
        <f t="shared" ca="1" si="97"/>
        <v>0</v>
      </c>
      <c r="AF153" s="7">
        <f t="shared" ca="1" si="97"/>
        <v>0</v>
      </c>
      <c r="AG153" s="7">
        <f t="shared" ca="1" si="97"/>
        <v>0</v>
      </c>
      <c r="AH153" s="7">
        <f t="shared" ca="1" si="97"/>
        <v>0</v>
      </c>
      <c r="AI153" s="7">
        <f t="shared" ca="1" si="97"/>
        <v>0</v>
      </c>
      <c r="AJ153" s="7">
        <f t="shared" ca="1" si="97"/>
        <v>0</v>
      </c>
      <c r="AK153" s="7">
        <f t="shared" ca="1" si="97"/>
        <v>0</v>
      </c>
      <c r="AL153" s="7">
        <f t="shared" ca="1" si="97"/>
        <v>0</v>
      </c>
      <c r="AM153" s="7">
        <f t="shared" ca="1" si="97"/>
        <v>0</v>
      </c>
    </row>
    <row r="154" spans="1:39" x14ac:dyDescent="0.2">
      <c r="A154" s="3" t="s">
        <v>50</v>
      </c>
      <c r="C154" s="7">
        <f t="shared" ref="C154:AM154" ca="1" si="98">IFERROR(IF(C148=0,VLOOKUP($A147,$40:$44,C$1+2,FALSE),0),0)</f>
        <v>0</v>
      </c>
      <c r="D154" s="7">
        <f t="shared" ca="1" si="98"/>
        <v>0</v>
      </c>
      <c r="E154" s="7">
        <f t="shared" ca="1" si="98"/>
        <v>0</v>
      </c>
      <c r="F154" s="7">
        <f t="shared" ca="1" si="98"/>
        <v>0</v>
      </c>
      <c r="G154" s="7">
        <f t="shared" ca="1" si="98"/>
        <v>0</v>
      </c>
      <c r="H154" s="7">
        <f t="shared" ca="1" si="98"/>
        <v>0</v>
      </c>
      <c r="I154" s="7">
        <f t="shared" ca="1" si="98"/>
        <v>0</v>
      </c>
      <c r="J154" s="7">
        <f t="shared" ca="1" si="98"/>
        <v>0</v>
      </c>
      <c r="K154" s="7">
        <f t="shared" ca="1" si="98"/>
        <v>0</v>
      </c>
      <c r="L154" s="7">
        <f t="shared" ca="1" si="98"/>
        <v>0</v>
      </c>
      <c r="M154" s="7">
        <f t="shared" ca="1" si="98"/>
        <v>0</v>
      </c>
      <c r="N154" s="7">
        <f t="shared" ca="1" si="98"/>
        <v>0</v>
      </c>
      <c r="O154" s="7">
        <f t="shared" ca="1" si="98"/>
        <v>0</v>
      </c>
      <c r="P154" s="7">
        <f t="shared" ca="1" si="98"/>
        <v>0</v>
      </c>
      <c r="Q154" s="7">
        <f t="shared" ca="1" si="98"/>
        <v>0</v>
      </c>
      <c r="R154" s="7">
        <f t="shared" ca="1" si="98"/>
        <v>0</v>
      </c>
      <c r="S154" s="7">
        <f t="shared" ca="1" si="98"/>
        <v>0</v>
      </c>
      <c r="T154" s="7">
        <f t="shared" ca="1" si="98"/>
        <v>0</v>
      </c>
      <c r="U154" s="7">
        <f t="shared" ca="1" si="98"/>
        <v>0</v>
      </c>
      <c r="V154" s="7">
        <f t="shared" ca="1" si="98"/>
        <v>0</v>
      </c>
      <c r="W154" s="7">
        <f t="shared" ca="1" si="98"/>
        <v>0</v>
      </c>
      <c r="X154" s="7">
        <f t="shared" ca="1" si="98"/>
        <v>0</v>
      </c>
      <c r="Y154" s="7">
        <f t="shared" ca="1" si="98"/>
        <v>0</v>
      </c>
      <c r="Z154" s="7">
        <f t="shared" ca="1" si="98"/>
        <v>0</v>
      </c>
      <c r="AA154" s="7">
        <f t="shared" ca="1" si="98"/>
        <v>0</v>
      </c>
      <c r="AB154" s="7">
        <f t="shared" ca="1" si="98"/>
        <v>0</v>
      </c>
      <c r="AC154" s="7">
        <f t="shared" ca="1" si="98"/>
        <v>0</v>
      </c>
      <c r="AD154" s="7">
        <f t="shared" ca="1" si="98"/>
        <v>0</v>
      </c>
      <c r="AE154" s="7">
        <f t="shared" ca="1" si="98"/>
        <v>0</v>
      </c>
      <c r="AF154" s="7">
        <f t="shared" ca="1" si="98"/>
        <v>0</v>
      </c>
      <c r="AG154" s="7">
        <f t="shared" ca="1" si="98"/>
        <v>0</v>
      </c>
      <c r="AH154" s="7">
        <f t="shared" ca="1" si="98"/>
        <v>0</v>
      </c>
      <c r="AI154" s="7">
        <f t="shared" ca="1" si="98"/>
        <v>0</v>
      </c>
      <c r="AJ154" s="7">
        <f t="shared" ca="1" si="98"/>
        <v>0</v>
      </c>
      <c r="AK154" s="7">
        <f t="shared" ca="1" si="98"/>
        <v>0</v>
      </c>
      <c r="AL154" s="7">
        <f t="shared" ca="1" si="98"/>
        <v>0</v>
      </c>
      <c r="AM154" s="7">
        <f t="shared" ca="1" si="98"/>
        <v>0</v>
      </c>
    </row>
    <row r="155" spans="1:39" x14ac:dyDescent="0.2">
      <c r="A155" s="3" t="s">
        <v>36</v>
      </c>
      <c r="B155" s="14" t="str">
        <f>A147</f>
        <v>Qormi</v>
      </c>
      <c r="C155" s="7">
        <f t="shared" ref="C155:AM155" ca="1" si="99">IF(AND(C148&gt;0,C151=0),VLOOKUP($A147,$72:$76,C$1+2,FALSE),0)</f>
        <v>0</v>
      </c>
      <c r="D155" s="7">
        <f t="shared" ca="1" si="99"/>
        <v>0</v>
      </c>
      <c r="E155" s="7">
        <f t="shared" ca="1" si="99"/>
        <v>0</v>
      </c>
      <c r="F155" s="7">
        <f t="shared" ca="1" si="99"/>
        <v>0</v>
      </c>
      <c r="G155" s="7">
        <f t="shared" ca="1" si="99"/>
        <v>0</v>
      </c>
      <c r="H155" s="7">
        <f t="shared" ca="1" si="99"/>
        <v>0</v>
      </c>
      <c r="I155" s="7">
        <f t="shared" ca="1" si="99"/>
        <v>0</v>
      </c>
      <c r="J155" s="7">
        <f t="shared" ca="1" si="99"/>
        <v>0</v>
      </c>
      <c r="K155" s="7">
        <f t="shared" ca="1" si="99"/>
        <v>0</v>
      </c>
      <c r="L155" s="7">
        <f t="shared" ca="1" si="99"/>
        <v>0</v>
      </c>
      <c r="M155" s="7">
        <f t="shared" ca="1" si="99"/>
        <v>0</v>
      </c>
      <c r="N155" s="7">
        <f t="shared" ca="1" si="99"/>
        <v>0</v>
      </c>
      <c r="O155" s="7">
        <f t="shared" ca="1" si="99"/>
        <v>0</v>
      </c>
      <c r="P155" s="7">
        <f t="shared" ca="1" si="99"/>
        <v>0</v>
      </c>
      <c r="Q155" s="7">
        <f t="shared" ca="1" si="99"/>
        <v>0</v>
      </c>
      <c r="R155" s="7">
        <f t="shared" ca="1" si="99"/>
        <v>0</v>
      </c>
      <c r="S155" s="7">
        <f t="shared" ca="1" si="99"/>
        <v>0</v>
      </c>
      <c r="T155" s="7">
        <f t="shared" ca="1" si="99"/>
        <v>0</v>
      </c>
      <c r="U155" s="7">
        <f t="shared" ca="1" si="99"/>
        <v>0</v>
      </c>
      <c r="V155" s="7">
        <f t="shared" ca="1" si="99"/>
        <v>0</v>
      </c>
      <c r="W155" s="7">
        <f t="shared" ca="1" si="99"/>
        <v>0</v>
      </c>
      <c r="X155" s="7">
        <f t="shared" ca="1" si="99"/>
        <v>0</v>
      </c>
      <c r="Y155" s="7">
        <f t="shared" ca="1" si="99"/>
        <v>0</v>
      </c>
      <c r="Z155" s="7">
        <f t="shared" ca="1" si="99"/>
        <v>0</v>
      </c>
      <c r="AA155" s="7">
        <f t="shared" ca="1" si="99"/>
        <v>0</v>
      </c>
      <c r="AB155" s="7">
        <f t="shared" ca="1" si="99"/>
        <v>0</v>
      </c>
      <c r="AC155" s="7">
        <f t="shared" ca="1" si="99"/>
        <v>0</v>
      </c>
      <c r="AD155" s="7">
        <f t="shared" ca="1" si="99"/>
        <v>0</v>
      </c>
      <c r="AE155" s="7">
        <f t="shared" ca="1" si="99"/>
        <v>0</v>
      </c>
      <c r="AF155" s="7">
        <f t="shared" ca="1" si="99"/>
        <v>0</v>
      </c>
      <c r="AG155" s="7">
        <f t="shared" ca="1" si="99"/>
        <v>0</v>
      </c>
      <c r="AH155" s="7">
        <f t="shared" ca="1" si="99"/>
        <v>0</v>
      </c>
      <c r="AI155" s="7">
        <f t="shared" ca="1" si="99"/>
        <v>0</v>
      </c>
      <c r="AJ155" s="7">
        <f t="shared" ca="1" si="99"/>
        <v>0</v>
      </c>
      <c r="AK155" s="7">
        <f t="shared" ca="1" si="99"/>
        <v>0</v>
      </c>
      <c r="AL155" s="7">
        <f t="shared" ca="1" si="99"/>
        <v>0</v>
      </c>
      <c r="AM155" s="7">
        <f t="shared" ca="1" si="99"/>
        <v>0</v>
      </c>
    </row>
    <row r="156" spans="1:39" x14ac:dyDescent="0.2">
      <c r="A156" s="3" t="s">
        <v>37</v>
      </c>
      <c r="C156" s="7">
        <f ca="1">-C149+SUM(C152:C155)</f>
        <v>0</v>
      </c>
      <c r="D156" s="7">
        <f t="shared" ref="D156" ca="1" si="100">-D149+SUM(D152:D155)</f>
        <v>0</v>
      </c>
      <c r="E156" s="7">
        <f t="shared" ref="E156:AM156" ca="1" si="101">-E149+SUM(E152:E155)</f>
        <v>0</v>
      </c>
      <c r="F156" s="7">
        <f t="shared" ca="1" si="101"/>
        <v>0</v>
      </c>
      <c r="G156" s="7">
        <f t="shared" ca="1" si="101"/>
        <v>0</v>
      </c>
      <c r="H156" s="7">
        <f t="shared" ca="1" si="101"/>
        <v>0</v>
      </c>
      <c r="I156" s="7">
        <f t="shared" ca="1" si="101"/>
        <v>0</v>
      </c>
      <c r="J156" s="7">
        <f t="shared" ca="1" si="101"/>
        <v>0</v>
      </c>
      <c r="K156" s="7">
        <f t="shared" ca="1" si="101"/>
        <v>0</v>
      </c>
      <c r="L156" s="7">
        <f t="shared" ca="1" si="101"/>
        <v>0</v>
      </c>
      <c r="M156" s="7">
        <f t="shared" ca="1" si="101"/>
        <v>0</v>
      </c>
      <c r="N156" s="7">
        <f t="shared" ca="1" si="101"/>
        <v>0</v>
      </c>
      <c r="O156" s="7">
        <f t="shared" ca="1" si="101"/>
        <v>0</v>
      </c>
      <c r="P156" s="7">
        <f t="shared" ca="1" si="101"/>
        <v>0</v>
      </c>
      <c r="Q156" s="7">
        <f t="shared" ca="1" si="101"/>
        <v>0</v>
      </c>
      <c r="R156" s="7">
        <f t="shared" ca="1" si="101"/>
        <v>0</v>
      </c>
      <c r="S156" s="7">
        <f t="shared" ca="1" si="101"/>
        <v>0</v>
      </c>
      <c r="T156" s="7">
        <f t="shared" ca="1" si="101"/>
        <v>0</v>
      </c>
      <c r="U156" s="7">
        <f t="shared" ca="1" si="101"/>
        <v>0</v>
      </c>
      <c r="V156" s="7">
        <f t="shared" ca="1" si="101"/>
        <v>0</v>
      </c>
      <c r="W156" s="7">
        <f t="shared" ca="1" si="101"/>
        <v>0</v>
      </c>
      <c r="X156" s="7">
        <f t="shared" ca="1" si="101"/>
        <v>0</v>
      </c>
      <c r="Y156" s="7">
        <f t="shared" ca="1" si="101"/>
        <v>0</v>
      </c>
      <c r="Z156" s="7">
        <f t="shared" ca="1" si="101"/>
        <v>0</v>
      </c>
      <c r="AA156" s="7">
        <f t="shared" ca="1" si="101"/>
        <v>0</v>
      </c>
      <c r="AB156" s="7">
        <f t="shared" ca="1" si="101"/>
        <v>0</v>
      </c>
      <c r="AC156" s="7">
        <f t="shared" ca="1" si="101"/>
        <v>0</v>
      </c>
      <c r="AD156" s="7">
        <f t="shared" ca="1" si="101"/>
        <v>0</v>
      </c>
      <c r="AE156" s="7">
        <f t="shared" ca="1" si="101"/>
        <v>0</v>
      </c>
      <c r="AF156" s="7">
        <f t="shared" ca="1" si="101"/>
        <v>0</v>
      </c>
      <c r="AG156" s="7">
        <f t="shared" ca="1" si="101"/>
        <v>0</v>
      </c>
      <c r="AH156" s="7">
        <f t="shared" ca="1" si="101"/>
        <v>0</v>
      </c>
      <c r="AI156" s="7">
        <f t="shared" ca="1" si="101"/>
        <v>0</v>
      </c>
      <c r="AJ156" s="7">
        <f t="shared" ca="1" si="101"/>
        <v>0</v>
      </c>
      <c r="AK156" s="7">
        <f t="shared" ca="1" si="101"/>
        <v>0</v>
      </c>
      <c r="AL156" s="7">
        <f t="shared" ca="1" si="101"/>
        <v>0</v>
      </c>
      <c r="AM156" s="7">
        <f t="shared" ca="1" si="101"/>
        <v>0</v>
      </c>
    </row>
    <row r="157" spans="1:39" x14ac:dyDescent="0.2">
      <c r="A157" s="3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  <c r="AB157" s="7"/>
      <c r="AC157" s="7"/>
      <c r="AD157" s="7"/>
      <c r="AE157" s="7"/>
      <c r="AF157" s="7"/>
      <c r="AG157" s="7"/>
      <c r="AH157" s="7"/>
      <c r="AI157" s="7"/>
      <c r="AJ157" s="7"/>
      <c r="AK157" s="7"/>
      <c r="AL157" s="7"/>
      <c r="AM157" s="7"/>
    </row>
    <row r="158" spans="1:39" x14ac:dyDescent="0.2">
      <c r="A158" s="3" t="s">
        <v>77</v>
      </c>
      <c r="C158" s="7">
        <f ca="1">C144+SUM($C156:C156)</f>
        <v>33136.875000000015</v>
      </c>
      <c r="D158" s="7">
        <f ca="1">D144+SUM($C156:D156)</f>
        <v>57140.903125000026</v>
      </c>
      <c r="E158" s="7">
        <f ca="1">E144+SUM($C156:E156)</f>
        <v>87759.433828125038</v>
      </c>
      <c r="F158" s="7">
        <f ca="1">F144+SUM($C156:F156)</f>
        <v>99100.176411377644</v>
      </c>
      <c r="G158" s="7">
        <f ca="1">G144+SUM($C156:G156)</f>
        <v>142148.90012508008</v>
      </c>
      <c r="H158" s="7">
        <f ca="1">H144+SUM($C156:H156)</f>
        <v>192078.05562310934</v>
      </c>
      <c r="I158" s="7">
        <f ca="1">I144+SUM($C156:I156)</f>
        <v>266036.18242333515</v>
      </c>
      <c r="J158" s="7">
        <f ca="1">J144+SUM($C156:J156)</f>
        <v>339084.48685026687</v>
      </c>
      <c r="K158" s="7">
        <f ca="1">K144+SUM($C156:K156)</f>
        <v>398970.23861694947</v>
      </c>
      <c r="L158" s="7">
        <f ca="1">L144+SUM($C156:L156)</f>
        <v>546536.87203851226</v>
      </c>
      <c r="M158" s="7">
        <f ca="1">M144+SUM($C156:M156)</f>
        <v>605652.23085092264</v>
      </c>
      <c r="N158" s="7">
        <f ca="1">N144+SUM($C156:N156)</f>
        <v>718618.88271131995</v>
      </c>
      <c r="O158" s="7">
        <f ca="1">O144+SUM($C156:O156)</f>
        <v>837633.29830874666</v>
      </c>
      <c r="P158" s="7">
        <f ca="1">P144+SUM($C156:P156)</f>
        <v>962951.35058629012</v>
      </c>
      <c r="Q158" s="7">
        <f ca="1">Q144+SUM($C156:Q156)</f>
        <v>1094838.6489492662</v>
      </c>
      <c r="R158" s="7">
        <f ca="1">R144+SUM($C156:R156)</f>
        <v>1233570.8878477628</v>
      </c>
      <c r="S158" s="7">
        <f ca="1">S144+SUM($C156:S156)</f>
        <v>1379434.2073534238</v>
      </c>
      <c r="T158" s="7">
        <f ca="1">T144+SUM($C156:T156)</f>
        <v>1423495.1237488878</v>
      </c>
      <c r="U158" s="7">
        <f ca="1">U144+SUM($C156:U156)</f>
        <v>1477057.089307287</v>
      </c>
      <c r="V158" s="7">
        <f ca="1">V144+SUM($C156:V156)</f>
        <v>1532680.5274795629</v>
      </c>
      <c r="W158" s="7">
        <f ca="1">W144+SUM($C156:W156)</f>
        <v>1590443.9774315846</v>
      </c>
      <c r="X158" s="7">
        <f ca="1">X144+SUM($C156:X156)</f>
        <v>1650428.88512004</v>
      </c>
      <c r="Y158" s="7">
        <f ca="1">Y144+SUM($C156:Y156)</f>
        <v>1691802.6151119878</v>
      </c>
      <c r="Z158" s="7">
        <f ca="1">Z144+SUM($C156:Z156)</f>
        <v>1734523.9813424624</v>
      </c>
      <c r="AA158" s="7">
        <f ca="1">AA144+SUM($C156:AA156)</f>
        <v>1778644.5710759091</v>
      </c>
      <c r="AB158" s="7">
        <f ca="1">AB144+SUM($C156:AB156)</f>
        <v>1824218.0105883591</v>
      </c>
      <c r="AC158" s="7">
        <f ca="1">AC144+SUM($C156:AC156)</f>
        <v>1871300.0439335995</v>
      </c>
      <c r="AD158" s="7">
        <f ca="1">AD144+SUM($C156:AD156)</f>
        <v>1919948.6146449971</v>
      </c>
      <c r="AE158" s="7">
        <f ca="1">AE144+SUM($C156:AE156)</f>
        <v>1980331.2065111429</v>
      </c>
      <c r="AF158" s="7">
        <f ca="1">AF144+SUM($C156:AF156)</f>
        <v>2042908.5261740466</v>
      </c>
      <c r="AG158" s="7">
        <f ca="1">AG144+SUM($C156:AG156)</f>
        <v>2107764.5878862576</v>
      </c>
      <c r="AH158" s="7">
        <f ca="1">AH144+SUM($C156:AH156)</f>
        <v>2174986.5954175591</v>
      </c>
      <c r="AI158" s="7">
        <f ca="1">AI144+SUM($C156:AI156)</f>
        <v>2244665.0598372058</v>
      </c>
      <c r="AJ158" s="7">
        <f ca="1">AJ144+SUM($C156:AJ156)</f>
        <v>2316893.9215162839</v>
      </c>
      <c r="AK158" s="7">
        <f ca="1">AK144+SUM($C156:AK156)</f>
        <v>2391770.6764973206</v>
      </c>
      <c r="AL158" s="7">
        <f ca="1">AL144+SUM($C156:AL156)</f>
        <v>2469396.5073832762</v>
      </c>
      <c r="AM158" s="7">
        <f ca="1">AM144+SUM($C156:AM156)</f>
        <v>2549876.4189032381</v>
      </c>
    </row>
    <row r="159" spans="1:39" x14ac:dyDescent="0.2">
      <c r="A159" s="3" t="s">
        <v>74</v>
      </c>
      <c r="C159" s="7">
        <f t="shared" ref="C159:AM159" ca="1" si="102">MAX(C158+buffer,0)-MAX(C144+buffer,0)</f>
        <v>0</v>
      </c>
      <c r="D159" s="7">
        <f t="shared" ca="1" si="102"/>
        <v>0</v>
      </c>
      <c r="E159" s="7">
        <f t="shared" ca="1" si="102"/>
        <v>0</v>
      </c>
      <c r="F159" s="7">
        <f t="shared" ca="1" si="102"/>
        <v>0</v>
      </c>
      <c r="G159" s="7">
        <f t="shared" ca="1" si="102"/>
        <v>0</v>
      </c>
      <c r="H159" s="7">
        <f t="shared" ca="1" si="102"/>
        <v>0</v>
      </c>
      <c r="I159" s="7">
        <f t="shared" ca="1" si="102"/>
        <v>0</v>
      </c>
      <c r="J159" s="7">
        <f t="shared" ca="1" si="102"/>
        <v>0</v>
      </c>
      <c r="K159" s="7">
        <f t="shared" ca="1" si="102"/>
        <v>0</v>
      </c>
      <c r="L159" s="7">
        <f t="shared" ca="1" si="102"/>
        <v>0</v>
      </c>
      <c r="M159" s="7">
        <f t="shared" ca="1" si="102"/>
        <v>0</v>
      </c>
      <c r="N159" s="7">
        <f t="shared" ca="1" si="102"/>
        <v>0</v>
      </c>
      <c r="O159" s="7">
        <f t="shared" ca="1" si="102"/>
        <v>0</v>
      </c>
      <c r="P159" s="7">
        <f t="shared" ca="1" si="102"/>
        <v>0</v>
      </c>
      <c r="Q159" s="7">
        <f t="shared" ca="1" si="102"/>
        <v>0</v>
      </c>
      <c r="R159" s="7">
        <f t="shared" ca="1" si="102"/>
        <v>0</v>
      </c>
      <c r="S159" s="7">
        <f t="shared" ca="1" si="102"/>
        <v>0</v>
      </c>
      <c r="T159" s="7">
        <f t="shared" ca="1" si="102"/>
        <v>0</v>
      </c>
      <c r="U159" s="7">
        <f t="shared" ca="1" si="102"/>
        <v>0</v>
      </c>
      <c r="V159" s="7">
        <f t="shared" ca="1" si="102"/>
        <v>0</v>
      </c>
      <c r="W159" s="7">
        <f t="shared" ca="1" si="102"/>
        <v>0</v>
      </c>
      <c r="X159" s="7">
        <f t="shared" ca="1" si="102"/>
        <v>0</v>
      </c>
      <c r="Y159" s="7">
        <f t="shared" ca="1" si="102"/>
        <v>0</v>
      </c>
      <c r="Z159" s="7">
        <f t="shared" ca="1" si="102"/>
        <v>0</v>
      </c>
      <c r="AA159" s="7">
        <f t="shared" ca="1" si="102"/>
        <v>0</v>
      </c>
      <c r="AB159" s="7">
        <f t="shared" ca="1" si="102"/>
        <v>0</v>
      </c>
      <c r="AC159" s="7">
        <f t="shared" ca="1" si="102"/>
        <v>0</v>
      </c>
      <c r="AD159" s="7">
        <f t="shared" ca="1" si="102"/>
        <v>0</v>
      </c>
      <c r="AE159" s="7">
        <f t="shared" ca="1" si="102"/>
        <v>0</v>
      </c>
      <c r="AF159" s="7">
        <f t="shared" ca="1" si="102"/>
        <v>0</v>
      </c>
      <c r="AG159" s="7">
        <f t="shared" ca="1" si="102"/>
        <v>0</v>
      </c>
      <c r="AH159" s="7">
        <f t="shared" ca="1" si="102"/>
        <v>0</v>
      </c>
      <c r="AI159" s="7">
        <f t="shared" ca="1" si="102"/>
        <v>0</v>
      </c>
      <c r="AJ159" s="7">
        <f t="shared" ca="1" si="102"/>
        <v>0</v>
      </c>
      <c r="AK159" s="7">
        <f t="shared" ca="1" si="102"/>
        <v>0</v>
      </c>
      <c r="AL159" s="7">
        <f t="shared" ca="1" si="102"/>
        <v>0</v>
      </c>
      <c r="AM159" s="7">
        <f t="shared" ca="1" si="102"/>
        <v>0</v>
      </c>
    </row>
    <row r="160" spans="1:39" x14ac:dyDescent="0.2">
      <c r="A160" s="3" t="s">
        <v>75</v>
      </c>
      <c r="C160" s="7">
        <f ca="1">C159*Inputs!$B$181</f>
        <v>0</v>
      </c>
      <c r="D160" s="7">
        <f ca="1">D159*Inputs!$B$181</f>
        <v>0</v>
      </c>
      <c r="E160" s="7">
        <f ca="1">E159*Inputs!$B$181</f>
        <v>0</v>
      </c>
      <c r="F160" s="7">
        <f ca="1">F159*Inputs!$B$181</f>
        <v>0</v>
      </c>
      <c r="G160" s="7">
        <f ca="1">G159*Inputs!$B$181</f>
        <v>0</v>
      </c>
      <c r="H160" s="7">
        <f ca="1">H159*Inputs!$B$181</f>
        <v>0</v>
      </c>
      <c r="I160" s="7">
        <f ca="1">I159*Inputs!$B$181</f>
        <v>0</v>
      </c>
      <c r="J160" s="7">
        <f ca="1">J159*Inputs!$B$181</f>
        <v>0</v>
      </c>
      <c r="K160" s="7">
        <f ca="1">K159*Inputs!$B$181</f>
        <v>0</v>
      </c>
      <c r="L160" s="7">
        <f ca="1">L159*Inputs!$B$181</f>
        <v>0</v>
      </c>
      <c r="M160" s="7">
        <f ca="1">M159*Inputs!$B$181</f>
        <v>0</v>
      </c>
      <c r="N160" s="7">
        <f ca="1">N159*Inputs!$B$181</f>
        <v>0</v>
      </c>
      <c r="O160" s="7">
        <f ca="1">O159*Inputs!$B$181</f>
        <v>0</v>
      </c>
      <c r="P160" s="7">
        <f ca="1">P159*Inputs!$B$181</f>
        <v>0</v>
      </c>
      <c r="Q160" s="7">
        <f ca="1">Q159*Inputs!$B$181</f>
        <v>0</v>
      </c>
      <c r="R160" s="7">
        <f ca="1">R159*Inputs!$B$181</f>
        <v>0</v>
      </c>
      <c r="S160" s="7">
        <f ca="1">S159*Inputs!$B$181</f>
        <v>0</v>
      </c>
      <c r="T160" s="7">
        <f ca="1">T159*Inputs!$B$181</f>
        <v>0</v>
      </c>
      <c r="U160" s="7">
        <f ca="1">U159*Inputs!$B$181</f>
        <v>0</v>
      </c>
      <c r="V160" s="7">
        <f ca="1">V159*Inputs!$B$181</f>
        <v>0</v>
      </c>
      <c r="W160" s="7">
        <f ca="1">W159*Inputs!$B$181</f>
        <v>0</v>
      </c>
      <c r="X160" s="7">
        <f ca="1">X159*Inputs!$B$181</f>
        <v>0</v>
      </c>
      <c r="Y160" s="7">
        <f ca="1">Y159*Inputs!$B$181</f>
        <v>0</v>
      </c>
      <c r="Z160" s="7">
        <f ca="1">Z159*Inputs!$B$181</f>
        <v>0</v>
      </c>
      <c r="AA160" s="7">
        <f ca="1">AA159*Inputs!$B$181</f>
        <v>0</v>
      </c>
      <c r="AB160" s="7">
        <f ca="1">AB159*Inputs!$B$181</f>
        <v>0</v>
      </c>
      <c r="AC160" s="7">
        <f ca="1">AC159*Inputs!$B$181</f>
        <v>0</v>
      </c>
      <c r="AD160" s="7">
        <f ca="1">AD159*Inputs!$B$181</f>
        <v>0</v>
      </c>
      <c r="AE160" s="7">
        <f ca="1">AE159*Inputs!$B$181</f>
        <v>0</v>
      </c>
      <c r="AF160" s="7">
        <f ca="1">AF159*Inputs!$B$181</f>
        <v>0</v>
      </c>
      <c r="AG160" s="7">
        <f ca="1">AG159*Inputs!$B$181</f>
        <v>0</v>
      </c>
      <c r="AH160" s="7">
        <f ca="1">AH159*Inputs!$B$181</f>
        <v>0</v>
      </c>
      <c r="AI160" s="7">
        <f ca="1">AI159*Inputs!$B$181</f>
        <v>0</v>
      </c>
      <c r="AJ160" s="7">
        <f ca="1">AJ159*Inputs!$B$181</f>
        <v>0</v>
      </c>
      <c r="AK160" s="7">
        <f ca="1">AK159*Inputs!$B$181</f>
        <v>0</v>
      </c>
      <c r="AL160" s="7">
        <f ca="1">AL159*Inputs!$B$181</f>
        <v>0</v>
      </c>
      <c r="AM160" s="7">
        <f ca="1">AM159*Inputs!$B$181</f>
        <v>0</v>
      </c>
    </row>
    <row r="161" spans="1:39" x14ac:dyDescent="0.2">
      <c r="A161" s="3" t="s">
        <v>158</v>
      </c>
      <c r="C161" s="7">
        <f ca="1">C158+SUM($C160:C160)</f>
        <v>33136.875000000015</v>
      </c>
      <c r="D161" s="7">
        <f ca="1">D158+SUM($C160:D160)</f>
        <v>57140.903125000026</v>
      </c>
      <c r="E161" s="7">
        <f ca="1">E158+SUM($C160:E160)</f>
        <v>87759.433828125038</v>
      </c>
      <c r="F161" s="7">
        <f ca="1">F158+SUM($C160:F160)</f>
        <v>99100.176411377644</v>
      </c>
      <c r="G161" s="7">
        <f ca="1">G158+SUM($C160:G160)</f>
        <v>142148.90012508008</v>
      </c>
      <c r="H161" s="7">
        <f ca="1">H158+SUM($C160:H160)</f>
        <v>192078.05562310934</v>
      </c>
      <c r="I161" s="7">
        <f ca="1">I158+SUM($C160:I160)</f>
        <v>266036.18242333515</v>
      </c>
      <c r="J161" s="7">
        <f ca="1">J158+SUM($C160:J160)</f>
        <v>339084.48685026687</v>
      </c>
      <c r="K161" s="7">
        <f ca="1">K158+SUM($C160:K160)</f>
        <v>398970.23861694947</v>
      </c>
      <c r="L161" s="7">
        <f ca="1">L158+SUM($C160:L160)</f>
        <v>546536.87203851226</v>
      </c>
      <c r="M161" s="7">
        <f ca="1">M158+SUM($C160:M160)</f>
        <v>605652.23085092264</v>
      </c>
      <c r="N161" s="7">
        <f ca="1">N158+SUM($C160:N160)</f>
        <v>718618.88271131995</v>
      </c>
      <c r="O161" s="7">
        <f ca="1">O158+SUM($C160:O160)</f>
        <v>837633.29830874666</v>
      </c>
      <c r="P161" s="7">
        <f ca="1">P158+SUM($C160:P160)</f>
        <v>962951.35058629012</v>
      </c>
      <c r="Q161" s="7">
        <f ca="1">Q158+SUM($C160:Q160)</f>
        <v>1094838.6489492662</v>
      </c>
      <c r="R161" s="7">
        <f ca="1">R158+SUM($C160:R160)</f>
        <v>1233570.8878477628</v>
      </c>
      <c r="S161" s="7">
        <f ca="1">S158+SUM($C160:S160)</f>
        <v>1379434.2073534238</v>
      </c>
      <c r="T161" s="7">
        <f ca="1">T158+SUM($C160:T160)</f>
        <v>1423495.1237488878</v>
      </c>
      <c r="U161" s="7">
        <f ca="1">U158+SUM($C160:U160)</f>
        <v>1477057.089307287</v>
      </c>
      <c r="V161" s="7">
        <f ca="1">V158+SUM($C160:V160)</f>
        <v>1532680.5274795629</v>
      </c>
      <c r="W161" s="7">
        <f ca="1">W158+SUM($C160:W160)</f>
        <v>1590443.9774315846</v>
      </c>
      <c r="X161" s="7">
        <f ca="1">X158+SUM($C160:X160)</f>
        <v>1650428.88512004</v>
      </c>
      <c r="Y161" s="7">
        <f ca="1">Y158+SUM($C160:Y160)</f>
        <v>1691802.6151119878</v>
      </c>
      <c r="Z161" s="7">
        <f ca="1">Z158+SUM($C160:Z160)</f>
        <v>1734523.9813424624</v>
      </c>
      <c r="AA161" s="7">
        <f ca="1">AA158+SUM($C160:AA160)</f>
        <v>1778644.5710759091</v>
      </c>
      <c r="AB161" s="7">
        <f ca="1">AB158+SUM($C160:AB160)</f>
        <v>1824218.0105883591</v>
      </c>
      <c r="AC161" s="7">
        <f ca="1">AC158+SUM($C160:AC160)</f>
        <v>1871300.0439335995</v>
      </c>
      <c r="AD161" s="7">
        <f ca="1">AD158+SUM($C160:AD160)</f>
        <v>1919948.6146449971</v>
      </c>
      <c r="AE161" s="7">
        <f ca="1">AE158+SUM($C160:AE160)</f>
        <v>1980331.2065111429</v>
      </c>
      <c r="AF161" s="7">
        <f ca="1">AF158+SUM($C160:AF160)</f>
        <v>2042908.5261740466</v>
      </c>
      <c r="AG161" s="7">
        <f ca="1">AG158+SUM($C160:AG160)</f>
        <v>2107764.5878862576</v>
      </c>
      <c r="AH161" s="7">
        <f ca="1">AH158+SUM($C160:AH160)</f>
        <v>2174986.5954175591</v>
      </c>
      <c r="AI161" s="7">
        <f ca="1">AI158+SUM($C160:AI160)</f>
        <v>2244665.0598372058</v>
      </c>
      <c r="AJ161" s="7">
        <f ca="1">AJ158+SUM($C160:AJ160)</f>
        <v>2316893.9215162839</v>
      </c>
      <c r="AK161" s="7">
        <f ca="1">AK158+SUM($C160:AK160)</f>
        <v>2391770.6764973206</v>
      </c>
      <c r="AL161" s="7">
        <f ca="1">AL158+SUM($C160:AL160)</f>
        <v>2469396.5073832762</v>
      </c>
      <c r="AM161" s="7">
        <f ca="1">AM158+SUM($C160:AM160)</f>
        <v>2549876.4189032381</v>
      </c>
    </row>
    <row r="162" spans="1:39" x14ac:dyDescent="0.2">
      <c r="A162" s="3" t="s">
        <v>20</v>
      </c>
      <c r="C162" s="7">
        <f ca="1">IF(C161&lt;0,-C161,0)</f>
        <v>0</v>
      </c>
      <c r="D162" s="7">
        <f ca="1">IF(D161+SUM($C162:C162)&lt;0,-(D161+SUM($C162:C162)),0)</f>
        <v>0</v>
      </c>
      <c r="E162" s="7">
        <f ca="1">IF(E161+SUM($C162:D162)&lt;0,-(E161+SUM($C162:D162)),0)</f>
        <v>0</v>
      </c>
      <c r="F162" s="7">
        <f ca="1">IF(F161+SUM($C162:E162)&lt;0,-(F161+SUM($C162:E162)),0)</f>
        <v>0</v>
      </c>
      <c r="G162" s="7">
        <f ca="1">IF(G161+SUM($C162:F162)&lt;0,-(G161+SUM($C162:F162)),0)</f>
        <v>0</v>
      </c>
      <c r="H162" s="7">
        <f ca="1">IF(H161+SUM($C162:G162)&lt;0,-(H161+SUM($C162:G162)),0)</f>
        <v>0</v>
      </c>
      <c r="I162" s="7">
        <f ca="1">IF(I161+SUM($C162:H162)&lt;0,-(I161+SUM($C162:H162)),0)</f>
        <v>0</v>
      </c>
      <c r="J162" s="7">
        <f ca="1">IF(J161+SUM($C162:I162)&lt;0,-(J161+SUM($C162:I162)),0)</f>
        <v>0</v>
      </c>
      <c r="K162" s="7">
        <f ca="1">IF(K161+SUM($C162:J162)&lt;0,-(K161+SUM($C162:J162)),0)</f>
        <v>0</v>
      </c>
      <c r="L162" s="7">
        <f ca="1">IF(L161+SUM($C162:K162)&lt;0,-(L161+SUM($C162:K162)),0)</f>
        <v>0</v>
      </c>
      <c r="M162" s="7">
        <f ca="1">IF(M161+SUM($C162:L162)&lt;0,-(M161+SUM($C162:L162)),0)</f>
        <v>0</v>
      </c>
      <c r="N162" s="7">
        <f ca="1">IF(N161+SUM($C162:M162)&lt;0,-(N161+SUM($C162:M162)),0)</f>
        <v>0</v>
      </c>
      <c r="O162" s="7">
        <f ca="1">IF(O161+SUM($C162:N162)&lt;0,-(O161+SUM($C162:N162)),0)</f>
        <v>0</v>
      </c>
      <c r="P162" s="7">
        <f ca="1">IF(P161+SUM($C162:O162)&lt;0,-(P161+SUM($C162:O162)),0)</f>
        <v>0</v>
      </c>
      <c r="Q162" s="7">
        <f ca="1">IF(Q161+SUM($C162:P162)&lt;0,-(Q161+SUM($C162:P162)),0)</f>
        <v>0</v>
      </c>
      <c r="R162" s="7">
        <f ca="1">IF(R161+SUM($C162:Q162)&lt;0,-(R161+SUM($C162:Q162)),0)</f>
        <v>0</v>
      </c>
      <c r="S162" s="7">
        <f ca="1">IF(S161+SUM($C162:R162)&lt;0,-(S161+SUM($C162:R162)),0)</f>
        <v>0</v>
      </c>
      <c r="T162" s="7">
        <f ca="1">IF(T161+SUM($C162:S162)&lt;0,-(T161+SUM($C162:S162)),0)</f>
        <v>0</v>
      </c>
      <c r="U162" s="7">
        <f ca="1">IF(U161+SUM($C162:T162)&lt;0,-(U161+SUM($C162:T162)),0)</f>
        <v>0</v>
      </c>
      <c r="V162" s="7">
        <f ca="1">IF(V161+SUM($C162:U162)&lt;0,-(V161+SUM($C162:U162)),0)</f>
        <v>0</v>
      </c>
      <c r="W162" s="7">
        <f ca="1">IF(W161+SUM($C162:V162)&lt;0,-(W161+SUM($C162:V162)),0)</f>
        <v>0</v>
      </c>
      <c r="X162" s="7">
        <f ca="1">IF(X161+SUM($C162:W162)&lt;0,-(X161+SUM($C162:W162)),0)</f>
        <v>0</v>
      </c>
      <c r="Y162" s="7">
        <f ca="1">IF(Y161+SUM($C162:X162)&lt;0,-(Y161+SUM($C162:X162)),0)</f>
        <v>0</v>
      </c>
      <c r="Z162" s="7">
        <f ca="1">IF(Z161+SUM($C162:Y162)&lt;0,-(Z161+SUM($C162:Y162)),0)</f>
        <v>0</v>
      </c>
      <c r="AA162" s="7">
        <f ca="1">IF(AA161+SUM($C162:Z162)&lt;0,-(AA161+SUM($C162:Z162)),0)</f>
        <v>0</v>
      </c>
      <c r="AB162" s="7">
        <f ca="1">IF(AB161+SUM($C162:AA162)&lt;0,-(AB161+SUM($C162:AA162)),0)</f>
        <v>0</v>
      </c>
      <c r="AC162" s="7">
        <f ca="1">IF(AC161+SUM($C162:AB162)&lt;0,-(AC161+SUM($C162:AB162)),0)</f>
        <v>0</v>
      </c>
      <c r="AD162" s="7">
        <f ca="1">IF(AD161+SUM($C162:AC162)&lt;0,-(AD161+SUM($C162:AC162)),0)</f>
        <v>0</v>
      </c>
      <c r="AE162" s="7">
        <f ca="1">IF(AE161+SUM($C162:AD162)&lt;0,-(AE161+SUM($C162:AD162)),0)</f>
        <v>0</v>
      </c>
      <c r="AF162" s="7">
        <f ca="1">IF(AF161+SUM($C162:AE162)&lt;0,-(AF161+SUM($C162:AE162)),0)</f>
        <v>0</v>
      </c>
      <c r="AG162" s="7">
        <f ca="1">IF(AG161+SUM($C162:AF162)&lt;0,-(AG161+SUM($C162:AF162)),0)</f>
        <v>0</v>
      </c>
      <c r="AH162" s="7">
        <f ca="1">IF(AH161+SUM($C162:AG162)&lt;0,-(AH161+SUM($C162:AG162)),0)</f>
        <v>0</v>
      </c>
      <c r="AI162" s="7">
        <f ca="1">IF(AI161+SUM($C162:AH162)&lt;0,-(AI161+SUM($C162:AH162)),0)</f>
        <v>0</v>
      </c>
      <c r="AJ162" s="7">
        <f ca="1">IF(AJ161+SUM($C162:AI162)&lt;0,-(AJ161+SUM($C162:AI162)),0)</f>
        <v>0</v>
      </c>
      <c r="AK162" s="7">
        <f ca="1">IF(AK161+SUM($C162:AJ162)&lt;0,-(AK161+SUM($C162:AJ162)),0)</f>
        <v>0</v>
      </c>
      <c r="AL162" s="7">
        <f ca="1">IF(AL161+SUM($C162:AK162)&lt;0,-(AL161+SUM($C162:AK162)),0)</f>
        <v>0</v>
      </c>
      <c r="AM162" s="7">
        <f ca="1">IF(AM161+SUM($C162:AL162)&lt;0,-(AM161+SUM($C162:AL162)),0)</f>
        <v>0</v>
      </c>
    </row>
    <row r="163" spans="1:39" x14ac:dyDescent="0.2"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  <c r="AB163" s="7"/>
      <c r="AC163" s="7"/>
      <c r="AD163" s="7"/>
      <c r="AE163" s="7"/>
      <c r="AF163" s="7"/>
      <c r="AG163" s="7"/>
      <c r="AH163" s="7"/>
      <c r="AI163" s="7"/>
      <c r="AJ163" s="7"/>
      <c r="AK163" s="7"/>
      <c r="AL163" s="7"/>
      <c r="AM163" s="7"/>
    </row>
    <row r="164" spans="1:39" x14ac:dyDescent="0.2">
      <c r="A164" s="24" t="str">
        <f>IF(Inputs!$B$197=6,IFERROR(_xlfn.XLOOKUP($B164,Inputs!$B$198:$B$202,Inputs!$A$198:$A$202,,0,1),""),IFERROR(_xlfn.XLOOKUP($B164,Inputs!$C$198:$C$202,Inputs!$A$198:$A$202,,0,1),""))</f>
        <v>Sliema</v>
      </c>
      <c r="B164" s="26">
        <v>5</v>
      </c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  <c r="AB164" s="7"/>
      <c r="AC164" s="7"/>
      <c r="AD164" s="7"/>
      <c r="AE164" s="7"/>
      <c r="AF164" s="7"/>
      <c r="AG164" s="7"/>
      <c r="AH164" s="7"/>
      <c r="AI164" s="7"/>
      <c r="AJ164" s="7"/>
      <c r="AK164" s="7"/>
      <c r="AL164" s="7"/>
      <c r="AM164" s="7"/>
    </row>
    <row r="165" spans="1:39" x14ac:dyDescent="0.2">
      <c r="A165" s="3" t="s">
        <v>22</v>
      </c>
      <c r="C165" s="7">
        <f ca="1">IFERROR(VLOOKUP($A164,$A$60:$H$78,C$1+2,FALSE),0)</f>
        <v>307481.46526147495</v>
      </c>
      <c r="D165" s="7">
        <f ca="1">C168</f>
        <v>307481.46526147495</v>
      </c>
      <c r="E165" s="7">
        <f t="shared" ref="E165:AM165" ca="1" si="103">D168</f>
        <v>316705.90921931918</v>
      </c>
      <c r="F165" s="7">
        <f t="shared" ca="1" si="103"/>
        <v>326207.08649589872</v>
      </c>
      <c r="G165" s="7">
        <f t="shared" ca="1" si="103"/>
        <v>335993.29909077566</v>
      </c>
      <c r="H165" s="7">
        <f t="shared" ca="1" si="103"/>
        <v>346073.09806349891</v>
      </c>
      <c r="I165" s="7">
        <f t="shared" ca="1" si="103"/>
        <v>356455.29100540385</v>
      </c>
      <c r="J165" s="7">
        <f t="shared" ca="1" si="103"/>
        <v>367148.94973556598</v>
      </c>
      <c r="K165" s="7">
        <f t="shared" ca="1" si="103"/>
        <v>378163.41822763294</v>
      </c>
      <c r="L165" s="7">
        <f t="shared" ca="1" si="103"/>
        <v>389508.3207744619</v>
      </c>
      <c r="M165" s="7">
        <f t="shared" ca="1" si="103"/>
        <v>401193.57039769576</v>
      </c>
      <c r="N165" s="7">
        <f t="shared" ca="1" si="103"/>
        <v>413229.37750962662</v>
      </c>
      <c r="O165" s="7">
        <f t="shared" ca="1" si="103"/>
        <v>425626.25883491541</v>
      </c>
      <c r="P165" s="7">
        <f t="shared" ca="1" si="103"/>
        <v>438395.04659996287</v>
      </c>
      <c r="Q165" s="7">
        <f t="shared" ca="1" si="103"/>
        <v>451546.89799796173</v>
      </c>
      <c r="R165" s="7">
        <f t="shared" ca="1" si="103"/>
        <v>465093.30493790057</v>
      </c>
      <c r="S165" s="7">
        <f t="shared" ca="1" si="103"/>
        <v>479046.10408603761</v>
      </c>
      <c r="T165" s="7">
        <f t="shared" ca="1" si="103"/>
        <v>493417.48720861872</v>
      </c>
      <c r="U165" s="7">
        <f t="shared" ca="1" si="103"/>
        <v>508220.01182487729</v>
      </c>
      <c r="V165" s="7">
        <f t="shared" ca="1" si="103"/>
        <v>523466.61217962363</v>
      </c>
      <c r="W165" s="7">
        <f t="shared" ca="1" si="103"/>
        <v>539170.61054501229</v>
      </c>
      <c r="X165" s="7">
        <f t="shared" ca="1" si="103"/>
        <v>555345.72886136267</v>
      </c>
      <c r="Y165" s="7">
        <f t="shared" ca="1" si="103"/>
        <v>572006.10072720353</v>
      </c>
      <c r="Z165" s="7">
        <f t="shared" ca="1" si="103"/>
        <v>589166.28374901961</v>
      </c>
      <c r="AA165" s="7">
        <f t="shared" ca="1" si="103"/>
        <v>606841.27226149023</v>
      </c>
      <c r="AB165" s="7">
        <f t="shared" ca="1" si="103"/>
        <v>625046.51042933494</v>
      </c>
      <c r="AC165" s="7">
        <f t="shared" ca="1" si="103"/>
        <v>643797.90574221499</v>
      </c>
      <c r="AD165" s="7">
        <f t="shared" ca="1" si="103"/>
        <v>663111.84291448141</v>
      </c>
      <c r="AE165" s="7">
        <f t="shared" ca="1" si="103"/>
        <v>683005.19820191583</v>
      </c>
      <c r="AF165" s="7">
        <f t="shared" ca="1" si="103"/>
        <v>703495.35414797335</v>
      </c>
      <c r="AG165" s="7">
        <f t="shared" ca="1" si="103"/>
        <v>724600.21477241255</v>
      </c>
      <c r="AH165" s="7">
        <f t="shared" ca="1" si="103"/>
        <v>746338.2212155849</v>
      </c>
      <c r="AI165" s="7">
        <f t="shared" ca="1" si="103"/>
        <v>768728.36785205244</v>
      </c>
      <c r="AJ165" s="7">
        <f t="shared" ca="1" si="103"/>
        <v>791790.21888761397</v>
      </c>
      <c r="AK165" s="7">
        <f t="shared" ca="1" si="103"/>
        <v>815543.92545424239</v>
      </c>
      <c r="AL165" s="7">
        <f t="shared" ca="1" si="103"/>
        <v>840010.24321786966</v>
      </c>
      <c r="AM165" s="7">
        <f t="shared" ca="1" si="103"/>
        <v>865210.55051440571</v>
      </c>
    </row>
    <row r="166" spans="1:39" x14ac:dyDescent="0.2">
      <c r="A166" s="3" t="s">
        <v>23</v>
      </c>
      <c r="C166" s="7">
        <f ca="1">-IF(SUM(C162:D162)&gt;0,C165,0)</f>
        <v>0</v>
      </c>
      <c r="D166" s="7">
        <f ca="1">-IF(E162&gt;0,D165,0)</f>
        <v>0</v>
      </c>
      <c r="E166" s="7">
        <f ca="1">-IF(F162&gt;0,E165,0)</f>
        <v>0</v>
      </c>
      <c r="F166" s="7">
        <f ca="1">-IF(G162&gt;0,F165,0)</f>
        <v>0</v>
      </c>
      <c r="G166" s="7">
        <f t="shared" ref="G166" ca="1" si="104">-IF(H162&gt;0,G165,0)</f>
        <v>0</v>
      </c>
      <c r="H166" s="7">
        <f t="shared" ref="H166" ca="1" si="105">-IF(I162&gt;0,H165,0)</f>
        <v>0</v>
      </c>
      <c r="I166" s="7">
        <f t="shared" ref="I166" ca="1" si="106">-IF(J162&gt;0,I165,0)</f>
        <v>0</v>
      </c>
      <c r="J166" s="7">
        <f t="shared" ref="J166" ca="1" si="107">-IF(K162&gt;0,J165,0)</f>
        <v>0</v>
      </c>
      <c r="K166" s="7">
        <f t="shared" ref="K166" ca="1" si="108">-IF(L162&gt;0,K165,0)</f>
        <v>0</v>
      </c>
      <c r="L166" s="7">
        <f t="shared" ref="L166" ca="1" si="109">-IF(M162&gt;0,L165,0)</f>
        <v>0</v>
      </c>
      <c r="M166" s="7">
        <f t="shared" ref="M166" ca="1" si="110">-IF(N162&gt;0,M165,0)</f>
        <v>0</v>
      </c>
      <c r="N166" s="7">
        <f t="shared" ref="N166" ca="1" si="111">-IF(O162&gt;0,N165,0)</f>
        <v>0</v>
      </c>
      <c r="O166" s="7">
        <f t="shared" ref="O166" ca="1" si="112">-IF(P162&gt;0,O165,0)</f>
        <v>0</v>
      </c>
      <c r="P166" s="7">
        <f t="shared" ref="P166" ca="1" si="113">-IF(Q162&gt;0,P165,0)</f>
        <v>0</v>
      </c>
      <c r="Q166" s="7">
        <f t="shared" ref="Q166" ca="1" si="114">-IF(R162&gt;0,Q165,0)</f>
        <v>0</v>
      </c>
      <c r="R166" s="7">
        <f t="shared" ref="R166" ca="1" si="115">-IF(S162&gt;0,R165,0)</f>
        <v>0</v>
      </c>
      <c r="S166" s="7">
        <f t="shared" ref="S166" ca="1" si="116">-IF(T162&gt;0,S165,0)</f>
        <v>0</v>
      </c>
      <c r="T166" s="7">
        <f t="shared" ref="T166" ca="1" si="117">-IF(U162&gt;0,T165,0)</f>
        <v>0</v>
      </c>
      <c r="U166" s="7">
        <f t="shared" ref="U166" ca="1" si="118">-IF(V162&gt;0,U165,0)</f>
        <v>0</v>
      </c>
      <c r="V166" s="7">
        <f t="shared" ref="V166" ca="1" si="119">-IF(W162&gt;0,V165,0)</f>
        <v>0</v>
      </c>
      <c r="W166" s="7">
        <f t="shared" ref="W166" ca="1" si="120">-IF(X162&gt;0,W165,0)</f>
        <v>0</v>
      </c>
      <c r="X166" s="7">
        <f t="shared" ref="X166" ca="1" si="121">-IF(Y162&gt;0,X165,0)</f>
        <v>0</v>
      </c>
      <c r="Y166" s="7">
        <f t="shared" ref="Y166" ca="1" si="122">-IF(Z162&gt;0,Y165,0)</f>
        <v>0</v>
      </c>
      <c r="Z166" s="7">
        <f t="shared" ref="Z166" ca="1" si="123">-IF(AA162&gt;0,Z165,0)</f>
        <v>0</v>
      </c>
      <c r="AA166" s="7">
        <f t="shared" ref="AA166" ca="1" si="124">-IF(AB162&gt;0,AA165,0)</f>
        <v>0</v>
      </c>
      <c r="AB166" s="7">
        <f t="shared" ref="AB166" ca="1" si="125">-IF(AC162&gt;0,AB165,0)</f>
        <v>0</v>
      </c>
      <c r="AC166" s="7">
        <f t="shared" ref="AC166" ca="1" si="126">-IF(AD162&gt;0,AC165,0)</f>
        <v>0</v>
      </c>
      <c r="AD166" s="7">
        <f t="shared" ref="AD166" ca="1" si="127">-IF(AE162&gt;0,AD165,0)</f>
        <v>0</v>
      </c>
      <c r="AE166" s="7">
        <f t="shared" ref="AE166" ca="1" si="128">-IF(AF162&gt;0,AE165,0)</f>
        <v>0</v>
      </c>
      <c r="AF166" s="7">
        <f t="shared" ref="AF166" ca="1" si="129">-IF(AG162&gt;0,AF165,0)</f>
        <v>0</v>
      </c>
      <c r="AG166" s="7">
        <f t="shared" ref="AG166" ca="1" si="130">-IF(AH162&gt;0,AG165,0)</f>
        <v>0</v>
      </c>
      <c r="AH166" s="7">
        <f t="shared" ref="AH166" ca="1" si="131">-IF(AI162&gt;0,AH165,0)</f>
        <v>0</v>
      </c>
      <c r="AI166" s="7">
        <f t="shared" ref="AI166" ca="1" si="132">-IF(AJ162&gt;0,AI165,0)</f>
        <v>0</v>
      </c>
      <c r="AJ166" s="7">
        <f t="shared" ref="AJ166" ca="1" si="133">-IF(AK162&gt;0,AJ165,0)</f>
        <v>0</v>
      </c>
      <c r="AK166" s="7">
        <f t="shared" ref="AK166" ca="1" si="134">-IF(AL162&gt;0,AK165,0)</f>
        <v>0</v>
      </c>
      <c r="AL166" s="7">
        <f t="shared" ref="AL166" ca="1" si="135">-IF(AM162&gt;0,AL165,0)</f>
        <v>0</v>
      </c>
      <c r="AM166" s="7">
        <f t="shared" ref="AM166" si="136">-IF(AN162&gt;0,AM165,0)</f>
        <v>0</v>
      </c>
    </row>
    <row r="167" spans="1:39" x14ac:dyDescent="0.2">
      <c r="A167" s="3" t="s">
        <v>24</v>
      </c>
      <c r="C167" s="7">
        <v>0</v>
      </c>
      <c r="D167" s="7">
        <f t="shared" ref="D167:G167" ca="1" si="137">SUM(D165:D166)*princ</f>
        <v>9224.4439578442489</v>
      </c>
      <c r="E167" s="7">
        <f t="shared" ca="1" si="137"/>
        <v>9501.177276579574</v>
      </c>
      <c r="F167" s="7">
        <f t="shared" ca="1" si="137"/>
        <v>9786.2125948769608</v>
      </c>
      <c r="G167" s="7">
        <f t="shared" ca="1" si="137"/>
        <v>10079.798972723269</v>
      </c>
      <c r="H167" s="7">
        <f t="shared" ref="H167:I167" ca="1" si="138">SUM(H165:H166)*princ</f>
        <v>10382.192941904967</v>
      </c>
      <c r="I167" s="7">
        <f t="shared" ca="1" si="138"/>
        <v>10693.658730162115</v>
      </c>
      <c r="J167" s="7">
        <f t="shared" ref="J167:AM167" ca="1" si="139">SUM(J165:J166)*princ</f>
        <v>11014.468492066979</v>
      </c>
      <c r="K167" s="7">
        <f t="shared" ca="1" si="139"/>
        <v>11344.902546828987</v>
      </c>
      <c r="L167" s="7">
        <f t="shared" ca="1" si="139"/>
        <v>11685.249623233856</v>
      </c>
      <c r="M167" s="7">
        <f t="shared" ca="1" si="139"/>
        <v>12035.807111930872</v>
      </c>
      <c r="N167" s="7">
        <f t="shared" ca="1" si="139"/>
        <v>12396.881325288798</v>
      </c>
      <c r="O167" s="7">
        <f t="shared" ca="1" si="139"/>
        <v>12768.787765047462</v>
      </c>
      <c r="P167" s="7">
        <f t="shared" ca="1" si="139"/>
        <v>13151.851397998886</v>
      </c>
      <c r="Q167" s="7">
        <f t="shared" ca="1" si="139"/>
        <v>13546.406939938852</v>
      </c>
      <c r="R167" s="7">
        <f t="shared" ca="1" si="139"/>
        <v>13952.799148137017</v>
      </c>
      <c r="S167" s="7">
        <f t="shared" ca="1" si="139"/>
        <v>14371.383122581128</v>
      </c>
      <c r="T167" s="7">
        <f t="shared" ca="1" si="139"/>
        <v>14802.524616258561</v>
      </c>
      <c r="U167" s="7">
        <f t="shared" ca="1" si="139"/>
        <v>15246.600354746319</v>
      </c>
      <c r="V167" s="7">
        <f t="shared" ca="1" si="139"/>
        <v>15703.998365388708</v>
      </c>
      <c r="W167" s="7">
        <f t="shared" ca="1" si="139"/>
        <v>16175.118316350368</v>
      </c>
      <c r="X167" s="7">
        <f t="shared" ca="1" si="139"/>
        <v>16660.37186584088</v>
      </c>
      <c r="Y167" s="7">
        <f t="shared" ca="1" si="139"/>
        <v>17160.183021816105</v>
      </c>
      <c r="Z167" s="7">
        <f t="shared" ca="1" si="139"/>
        <v>17674.988512470587</v>
      </c>
      <c r="AA167" s="7">
        <f t="shared" ca="1" si="139"/>
        <v>18205.238167844705</v>
      </c>
      <c r="AB167" s="7">
        <f t="shared" ca="1" si="139"/>
        <v>18751.395312880046</v>
      </c>
      <c r="AC167" s="7">
        <f t="shared" ca="1" si="139"/>
        <v>19313.937172266447</v>
      </c>
      <c r="AD167" s="7">
        <f t="shared" ca="1" si="139"/>
        <v>19893.355287434442</v>
      </c>
      <c r="AE167" s="7">
        <f t="shared" ca="1" si="139"/>
        <v>20490.155946057475</v>
      </c>
      <c r="AF167" s="7">
        <f t="shared" ca="1" si="139"/>
        <v>21104.860624439199</v>
      </c>
      <c r="AG167" s="7">
        <f t="shared" ca="1" si="139"/>
        <v>21738.006443172377</v>
      </c>
      <c r="AH167" s="7">
        <f t="shared" ca="1" si="139"/>
        <v>22390.146636467547</v>
      </c>
      <c r="AI167" s="7">
        <f t="shared" ca="1" si="139"/>
        <v>23061.851035561573</v>
      </c>
      <c r="AJ167" s="7">
        <f t="shared" ca="1" si="139"/>
        <v>23753.706566628418</v>
      </c>
      <c r="AK167" s="7">
        <f t="shared" ca="1" si="139"/>
        <v>24466.31776362727</v>
      </c>
      <c r="AL167" s="7">
        <f t="shared" ca="1" si="139"/>
        <v>25200.307296536088</v>
      </c>
      <c r="AM167" s="7">
        <f t="shared" ca="1" si="139"/>
        <v>25956.316515432169</v>
      </c>
    </row>
    <row r="168" spans="1:39" x14ac:dyDescent="0.2">
      <c r="A168" s="3" t="s">
        <v>25</v>
      </c>
      <c r="C168" s="7">
        <f ca="1">SUM(C165:C167)</f>
        <v>307481.46526147495</v>
      </c>
      <c r="D168" s="7">
        <f t="shared" ref="D168:AM168" ca="1" si="140">SUM(D165:D167)</f>
        <v>316705.90921931918</v>
      </c>
      <c r="E168" s="7">
        <f t="shared" ca="1" si="140"/>
        <v>326207.08649589872</v>
      </c>
      <c r="F168" s="7">
        <f t="shared" ca="1" si="140"/>
        <v>335993.29909077566</v>
      </c>
      <c r="G168" s="7">
        <f t="shared" ca="1" si="140"/>
        <v>346073.09806349891</v>
      </c>
      <c r="H168" s="7">
        <f t="shared" ca="1" si="140"/>
        <v>356455.29100540385</v>
      </c>
      <c r="I168" s="7">
        <f t="shared" ca="1" si="140"/>
        <v>367148.94973556598</v>
      </c>
      <c r="J168" s="7">
        <f t="shared" ca="1" si="140"/>
        <v>378163.41822763294</v>
      </c>
      <c r="K168" s="7">
        <f t="shared" ca="1" si="140"/>
        <v>389508.3207744619</v>
      </c>
      <c r="L168" s="7">
        <f t="shared" ca="1" si="140"/>
        <v>401193.57039769576</v>
      </c>
      <c r="M168" s="7">
        <f t="shared" ca="1" si="140"/>
        <v>413229.37750962662</v>
      </c>
      <c r="N168" s="7">
        <f t="shared" ca="1" si="140"/>
        <v>425626.25883491541</v>
      </c>
      <c r="O168" s="7">
        <f t="shared" ca="1" si="140"/>
        <v>438395.04659996287</v>
      </c>
      <c r="P168" s="7">
        <f t="shared" ca="1" si="140"/>
        <v>451546.89799796173</v>
      </c>
      <c r="Q168" s="7">
        <f t="shared" ca="1" si="140"/>
        <v>465093.30493790057</v>
      </c>
      <c r="R168" s="7">
        <f t="shared" ca="1" si="140"/>
        <v>479046.10408603761</v>
      </c>
      <c r="S168" s="7">
        <f t="shared" ca="1" si="140"/>
        <v>493417.48720861872</v>
      </c>
      <c r="T168" s="7">
        <f t="shared" ca="1" si="140"/>
        <v>508220.01182487729</v>
      </c>
      <c r="U168" s="7">
        <f t="shared" ca="1" si="140"/>
        <v>523466.61217962363</v>
      </c>
      <c r="V168" s="7">
        <f t="shared" ca="1" si="140"/>
        <v>539170.61054501229</v>
      </c>
      <c r="W168" s="7">
        <f t="shared" ca="1" si="140"/>
        <v>555345.72886136267</v>
      </c>
      <c r="X168" s="7">
        <f t="shared" ca="1" si="140"/>
        <v>572006.10072720353</v>
      </c>
      <c r="Y168" s="7">
        <f t="shared" ca="1" si="140"/>
        <v>589166.28374901961</v>
      </c>
      <c r="Z168" s="7">
        <f t="shared" ca="1" si="140"/>
        <v>606841.27226149023</v>
      </c>
      <c r="AA168" s="7">
        <f t="shared" ca="1" si="140"/>
        <v>625046.51042933494</v>
      </c>
      <c r="AB168" s="7">
        <f t="shared" ca="1" si="140"/>
        <v>643797.90574221499</v>
      </c>
      <c r="AC168" s="7">
        <f t="shared" ca="1" si="140"/>
        <v>663111.84291448141</v>
      </c>
      <c r="AD168" s="7">
        <f t="shared" ca="1" si="140"/>
        <v>683005.19820191583</v>
      </c>
      <c r="AE168" s="7">
        <f t="shared" ca="1" si="140"/>
        <v>703495.35414797335</v>
      </c>
      <c r="AF168" s="7">
        <f t="shared" ca="1" si="140"/>
        <v>724600.21477241255</v>
      </c>
      <c r="AG168" s="7">
        <f t="shared" ca="1" si="140"/>
        <v>746338.2212155849</v>
      </c>
      <c r="AH168" s="7">
        <f t="shared" ca="1" si="140"/>
        <v>768728.36785205244</v>
      </c>
      <c r="AI168" s="7">
        <f t="shared" ca="1" si="140"/>
        <v>791790.21888761397</v>
      </c>
      <c r="AJ168" s="7">
        <f t="shared" ca="1" si="140"/>
        <v>815543.92545424239</v>
      </c>
      <c r="AK168" s="7">
        <f t="shared" ca="1" si="140"/>
        <v>840010.24321786966</v>
      </c>
      <c r="AL168" s="7">
        <f t="shared" ca="1" si="140"/>
        <v>865210.55051440571</v>
      </c>
      <c r="AM168" s="7">
        <f t="shared" ca="1" si="140"/>
        <v>891166.86702983791</v>
      </c>
    </row>
    <row r="169" spans="1:39" x14ac:dyDescent="0.2">
      <c r="A169" s="3" t="s">
        <v>26</v>
      </c>
      <c r="C169" s="7">
        <f ca="1">C166*Inputs!$B$195</f>
        <v>0</v>
      </c>
      <c r="D169" s="7">
        <f ca="1">D166*Inputs!$B$195</f>
        <v>0</v>
      </c>
      <c r="E169" s="7">
        <f ca="1">E166*Inputs!$B$195</f>
        <v>0</v>
      </c>
      <c r="F169" s="7">
        <f ca="1">F166*Inputs!$B$195</f>
        <v>0</v>
      </c>
      <c r="G169" s="7">
        <f ca="1">G166*Inputs!$B$195</f>
        <v>0</v>
      </c>
      <c r="H169" s="7">
        <f ca="1">H166*Inputs!$B$195</f>
        <v>0</v>
      </c>
      <c r="I169" s="7">
        <f ca="1">I166*Inputs!$B$195</f>
        <v>0</v>
      </c>
      <c r="J169" s="7">
        <f ca="1">J166*Inputs!$B$195</f>
        <v>0</v>
      </c>
      <c r="K169" s="7">
        <f ca="1">K166*Inputs!$B$195</f>
        <v>0</v>
      </c>
      <c r="L169" s="7">
        <f ca="1">L166*Inputs!$B$195</f>
        <v>0</v>
      </c>
      <c r="M169" s="7">
        <f ca="1">M166*Inputs!$B$195</f>
        <v>0</v>
      </c>
      <c r="N169" s="7">
        <f ca="1">N166*Inputs!$B$195</f>
        <v>0</v>
      </c>
      <c r="O169" s="7">
        <f ca="1">O166*Inputs!$B$195</f>
        <v>0</v>
      </c>
      <c r="P169" s="7">
        <f ca="1">P166*Inputs!$B$195</f>
        <v>0</v>
      </c>
      <c r="Q169" s="7">
        <f ca="1">Q166*Inputs!$B$195</f>
        <v>0</v>
      </c>
      <c r="R169" s="7">
        <f ca="1">R166*Inputs!$B$195</f>
        <v>0</v>
      </c>
      <c r="S169" s="7">
        <f ca="1">S166*Inputs!$B$195</f>
        <v>0</v>
      </c>
      <c r="T169" s="7">
        <f ca="1">T166*Inputs!$B$195</f>
        <v>0</v>
      </c>
      <c r="U169" s="7">
        <f ca="1">U166*Inputs!$B$195</f>
        <v>0</v>
      </c>
      <c r="V169" s="7">
        <f ca="1">V166*Inputs!$B$195</f>
        <v>0</v>
      </c>
      <c r="W169" s="7">
        <f ca="1">W166*Inputs!$B$195</f>
        <v>0</v>
      </c>
      <c r="X169" s="7">
        <f ca="1">X166*Inputs!$B$195</f>
        <v>0</v>
      </c>
      <c r="Y169" s="7">
        <f ca="1">Y166*Inputs!$B$195</f>
        <v>0</v>
      </c>
      <c r="Z169" s="7">
        <f ca="1">Z166*Inputs!$B$195</f>
        <v>0</v>
      </c>
      <c r="AA169" s="7">
        <f ca="1">AA166*Inputs!$B$195</f>
        <v>0</v>
      </c>
      <c r="AB169" s="7">
        <f ca="1">AB166*Inputs!$B$195</f>
        <v>0</v>
      </c>
      <c r="AC169" s="7">
        <f ca="1">AC166*Inputs!$B$195</f>
        <v>0</v>
      </c>
      <c r="AD169" s="7">
        <f ca="1">AD166*Inputs!$B$195</f>
        <v>0</v>
      </c>
      <c r="AE169" s="7">
        <f ca="1">AE166*Inputs!$B$195</f>
        <v>0</v>
      </c>
      <c r="AF169" s="7">
        <f ca="1">AF166*Inputs!$B$195</f>
        <v>0</v>
      </c>
      <c r="AG169" s="7">
        <f ca="1">AG166*Inputs!$B$195</f>
        <v>0</v>
      </c>
      <c r="AH169" s="7">
        <f ca="1">AH166*Inputs!$B$195</f>
        <v>0</v>
      </c>
      <c r="AI169" s="7">
        <f ca="1">AI166*Inputs!$B$195</f>
        <v>0</v>
      </c>
      <c r="AJ169" s="7">
        <f ca="1">AJ166*Inputs!$B$195</f>
        <v>0</v>
      </c>
      <c r="AK169" s="7">
        <f ca="1">AK166*Inputs!$B$195</f>
        <v>0</v>
      </c>
      <c r="AL169" s="7">
        <f ca="1">AL166*Inputs!$B$195</f>
        <v>0</v>
      </c>
      <c r="AM169" s="7">
        <f>AM166*Inputs!$B$195</f>
        <v>0</v>
      </c>
    </row>
    <row r="170" spans="1:39" x14ac:dyDescent="0.2">
      <c r="A170" s="3" t="s">
        <v>31</v>
      </c>
      <c r="C170" s="7">
        <f t="shared" ref="C170:AM170" ca="1" si="141">IFERROR(-IF(C165=0,VLOOKUP($A164,$8:$12,C$1+2,FALSE),0),0)</f>
        <v>0</v>
      </c>
      <c r="D170" s="7">
        <f t="shared" ca="1" si="141"/>
        <v>0</v>
      </c>
      <c r="E170" s="7">
        <f t="shared" ca="1" si="141"/>
        <v>0</v>
      </c>
      <c r="F170" s="7">
        <f t="shared" ca="1" si="141"/>
        <v>0</v>
      </c>
      <c r="G170" s="7">
        <f t="shared" ca="1" si="141"/>
        <v>0</v>
      </c>
      <c r="H170" s="7">
        <f t="shared" ca="1" si="141"/>
        <v>0</v>
      </c>
      <c r="I170" s="7">
        <f t="shared" ca="1" si="141"/>
        <v>0</v>
      </c>
      <c r="J170" s="7">
        <f t="shared" ca="1" si="141"/>
        <v>0</v>
      </c>
      <c r="K170" s="7">
        <f t="shared" ca="1" si="141"/>
        <v>0</v>
      </c>
      <c r="L170" s="7">
        <f t="shared" ca="1" si="141"/>
        <v>0</v>
      </c>
      <c r="M170" s="7">
        <f t="shared" ca="1" si="141"/>
        <v>0</v>
      </c>
      <c r="N170" s="7">
        <f t="shared" ca="1" si="141"/>
        <v>0</v>
      </c>
      <c r="O170" s="7">
        <f t="shared" ca="1" si="141"/>
        <v>0</v>
      </c>
      <c r="P170" s="7">
        <f t="shared" ca="1" si="141"/>
        <v>0</v>
      </c>
      <c r="Q170" s="7">
        <f t="shared" ca="1" si="141"/>
        <v>0</v>
      </c>
      <c r="R170" s="7">
        <f t="shared" ca="1" si="141"/>
        <v>0</v>
      </c>
      <c r="S170" s="7">
        <f t="shared" ca="1" si="141"/>
        <v>0</v>
      </c>
      <c r="T170" s="7">
        <f t="shared" ca="1" si="141"/>
        <v>0</v>
      </c>
      <c r="U170" s="7">
        <f t="shared" ca="1" si="141"/>
        <v>0</v>
      </c>
      <c r="V170" s="7">
        <f t="shared" ca="1" si="141"/>
        <v>0</v>
      </c>
      <c r="W170" s="7">
        <f t="shared" ca="1" si="141"/>
        <v>0</v>
      </c>
      <c r="X170" s="7">
        <f t="shared" ca="1" si="141"/>
        <v>0</v>
      </c>
      <c r="Y170" s="7">
        <f t="shared" ca="1" si="141"/>
        <v>0</v>
      </c>
      <c r="Z170" s="7">
        <f t="shared" ca="1" si="141"/>
        <v>0</v>
      </c>
      <c r="AA170" s="7">
        <f t="shared" ca="1" si="141"/>
        <v>0</v>
      </c>
      <c r="AB170" s="7">
        <f t="shared" ca="1" si="141"/>
        <v>0</v>
      </c>
      <c r="AC170" s="7">
        <f t="shared" ca="1" si="141"/>
        <v>0</v>
      </c>
      <c r="AD170" s="7">
        <f t="shared" ca="1" si="141"/>
        <v>0</v>
      </c>
      <c r="AE170" s="7">
        <f t="shared" ca="1" si="141"/>
        <v>0</v>
      </c>
      <c r="AF170" s="7">
        <f t="shared" ca="1" si="141"/>
        <v>0</v>
      </c>
      <c r="AG170" s="7">
        <f t="shared" ca="1" si="141"/>
        <v>0</v>
      </c>
      <c r="AH170" s="7">
        <f t="shared" ca="1" si="141"/>
        <v>0</v>
      </c>
      <c r="AI170" s="7">
        <f t="shared" ca="1" si="141"/>
        <v>0</v>
      </c>
      <c r="AJ170" s="7">
        <f t="shared" ca="1" si="141"/>
        <v>0</v>
      </c>
      <c r="AK170" s="7">
        <f t="shared" ca="1" si="141"/>
        <v>0</v>
      </c>
      <c r="AL170" s="7">
        <f t="shared" ca="1" si="141"/>
        <v>0</v>
      </c>
      <c r="AM170" s="7">
        <f t="shared" ca="1" si="141"/>
        <v>0</v>
      </c>
    </row>
    <row r="171" spans="1:39" x14ac:dyDescent="0.2">
      <c r="A171" s="3" t="s">
        <v>50</v>
      </c>
      <c r="C171" s="7">
        <f t="shared" ref="C171:AM171" ca="1" si="142">IFERROR(IF(C165=0,VLOOKUP($A164,$40:$44,C$1+2,FALSE),0),0)</f>
        <v>0</v>
      </c>
      <c r="D171" s="7">
        <f t="shared" ca="1" si="142"/>
        <v>0</v>
      </c>
      <c r="E171" s="7">
        <f t="shared" ca="1" si="142"/>
        <v>0</v>
      </c>
      <c r="F171" s="7">
        <f t="shared" ca="1" si="142"/>
        <v>0</v>
      </c>
      <c r="G171" s="7">
        <f t="shared" ca="1" si="142"/>
        <v>0</v>
      </c>
      <c r="H171" s="7">
        <f t="shared" ca="1" si="142"/>
        <v>0</v>
      </c>
      <c r="I171" s="7">
        <f t="shared" ca="1" si="142"/>
        <v>0</v>
      </c>
      <c r="J171" s="7">
        <f t="shared" ca="1" si="142"/>
        <v>0</v>
      </c>
      <c r="K171" s="7">
        <f t="shared" ca="1" si="142"/>
        <v>0</v>
      </c>
      <c r="L171" s="7">
        <f t="shared" ca="1" si="142"/>
        <v>0</v>
      </c>
      <c r="M171" s="7">
        <f t="shared" ca="1" si="142"/>
        <v>0</v>
      </c>
      <c r="N171" s="7">
        <f t="shared" ca="1" si="142"/>
        <v>0</v>
      </c>
      <c r="O171" s="7">
        <f t="shared" ca="1" si="142"/>
        <v>0</v>
      </c>
      <c r="P171" s="7">
        <f t="shared" ca="1" si="142"/>
        <v>0</v>
      </c>
      <c r="Q171" s="7">
        <f t="shared" ca="1" si="142"/>
        <v>0</v>
      </c>
      <c r="R171" s="7">
        <f t="shared" ca="1" si="142"/>
        <v>0</v>
      </c>
      <c r="S171" s="7">
        <f t="shared" ca="1" si="142"/>
        <v>0</v>
      </c>
      <c r="T171" s="7">
        <f t="shared" ca="1" si="142"/>
        <v>0</v>
      </c>
      <c r="U171" s="7">
        <f t="shared" ca="1" si="142"/>
        <v>0</v>
      </c>
      <c r="V171" s="7">
        <f t="shared" ca="1" si="142"/>
        <v>0</v>
      </c>
      <c r="W171" s="7">
        <f t="shared" ca="1" si="142"/>
        <v>0</v>
      </c>
      <c r="X171" s="7">
        <f t="shared" ca="1" si="142"/>
        <v>0</v>
      </c>
      <c r="Y171" s="7">
        <f t="shared" ca="1" si="142"/>
        <v>0</v>
      </c>
      <c r="Z171" s="7">
        <f t="shared" ca="1" si="142"/>
        <v>0</v>
      </c>
      <c r="AA171" s="7">
        <f t="shared" ca="1" si="142"/>
        <v>0</v>
      </c>
      <c r="AB171" s="7">
        <f t="shared" ca="1" si="142"/>
        <v>0</v>
      </c>
      <c r="AC171" s="7">
        <f t="shared" ca="1" si="142"/>
        <v>0</v>
      </c>
      <c r="AD171" s="7">
        <f t="shared" ca="1" si="142"/>
        <v>0</v>
      </c>
      <c r="AE171" s="7">
        <f t="shared" ca="1" si="142"/>
        <v>0</v>
      </c>
      <c r="AF171" s="7">
        <f t="shared" ca="1" si="142"/>
        <v>0</v>
      </c>
      <c r="AG171" s="7">
        <f t="shared" ca="1" si="142"/>
        <v>0</v>
      </c>
      <c r="AH171" s="7">
        <f t="shared" ca="1" si="142"/>
        <v>0</v>
      </c>
      <c r="AI171" s="7">
        <f t="shared" ca="1" si="142"/>
        <v>0</v>
      </c>
      <c r="AJ171" s="7">
        <f t="shared" ca="1" si="142"/>
        <v>0</v>
      </c>
      <c r="AK171" s="7">
        <f t="shared" ca="1" si="142"/>
        <v>0</v>
      </c>
      <c r="AL171" s="7">
        <f t="shared" ca="1" si="142"/>
        <v>0</v>
      </c>
      <c r="AM171" s="7">
        <f t="shared" ca="1" si="142"/>
        <v>0</v>
      </c>
    </row>
    <row r="172" spans="1:39" x14ac:dyDescent="0.2">
      <c r="A172" s="3" t="s">
        <v>36</v>
      </c>
      <c r="B172" s="14" t="str">
        <f>A164</f>
        <v>Sliema</v>
      </c>
      <c r="C172" s="7">
        <f t="shared" ref="C172:AM172" ca="1" si="143">IF(AND(C165&gt;0,C168=0),VLOOKUP($A164,$72:$76,C$1+2,FALSE),0)</f>
        <v>0</v>
      </c>
      <c r="D172" s="7">
        <f t="shared" ca="1" si="143"/>
        <v>0</v>
      </c>
      <c r="E172" s="7">
        <f t="shared" ca="1" si="143"/>
        <v>0</v>
      </c>
      <c r="F172" s="7">
        <f t="shared" ca="1" si="143"/>
        <v>0</v>
      </c>
      <c r="G172" s="7">
        <f t="shared" ca="1" si="143"/>
        <v>0</v>
      </c>
      <c r="H172" s="7">
        <f t="shared" ca="1" si="143"/>
        <v>0</v>
      </c>
      <c r="I172" s="7">
        <f t="shared" ca="1" si="143"/>
        <v>0</v>
      </c>
      <c r="J172" s="7">
        <f t="shared" ca="1" si="143"/>
        <v>0</v>
      </c>
      <c r="K172" s="7">
        <f t="shared" ca="1" si="143"/>
        <v>0</v>
      </c>
      <c r="L172" s="7">
        <f t="shared" ca="1" si="143"/>
        <v>0</v>
      </c>
      <c r="M172" s="7">
        <f t="shared" ca="1" si="143"/>
        <v>0</v>
      </c>
      <c r="N172" s="7">
        <f t="shared" ca="1" si="143"/>
        <v>0</v>
      </c>
      <c r="O172" s="7">
        <f t="shared" ca="1" si="143"/>
        <v>0</v>
      </c>
      <c r="P172" s="7">
        <f t="shared" ca="1" si="143"/>
        <v>0</v>
      </c>
      <c r="Q172" s="7">
        <f t="shared" ca="1" si="143"/>
        <v>0</v>
      </c>
      <c r="R172" s="7">
        <f t="shared" ca="1" si="143"/>
        <v>0</v>
      </c>
      <c r="S172" s="7">
        <f t="shared" ca="1" si="143"/>
        <v>0</v>
      </c>
      <c r="T172" s="7">
        <f t="shared" ca="1" si="143"/>
        <v>0</v>
      </c>
      <c r="U172" s="7">
        <f t="shared" ca="1" si="143"/>
        <v>0</v>
      </c>
      <c r="V172" s="7">
        <f t="shared" ca="1" si="143"/>
        <v>0</v>
      </c>
      <c r="W172" s="7">
        <f t="shared" ca="1" si="143"/>
        <v>0</v>
      </c>
      <c r="X172" s="7">
        <f t="shared" ca="1" si="143"/>
        <v>0</v>
      </c>
      <c r="Y172" s="7">
        <f t="shared" ca="1" si="143"/>
        <v>0</v>
      </c>
      <c r="Z172" s="7">
        <f t="shared" ca="1" si="143"/>
        <v>0</v>
      </c>
      <c r="AA172" s="7">
        <f t="shared" ca="1" si="143"/>
        <v>0</v>
      </c>
      <c r="AB172" s="7">
        <f t="shared" ca="1" si="143"/>
        <v>0</v>
      </c>
      <c r="AC172" s="7">
        <f t="shared" ca="1" si="143"/>
        <v>0</v>
      </c>
      <c r="AD172" s="7">
        <f t="shared" ca="1" si="143"/>
        <v>0</v>
      </c>
      <c r="AE172" s="7">
        <f t="shared" ca="1" si="143"/>
        <v>0</v>
      </c>
      <c r="AF172" s="7">
        <f t="shared" ca="1" si="143"/>
        <v>0</v>
      </c>
      <c r="AG172" s="7">
        <f t="shared" ca="1" si="143"/>
        <v>0</v>
      </c>
      <c r="AH172" s="7">
        <f t="shared" ca="1" si="143"/>
        <v>0</v>
      </c>
      <c r="AI172" s="7">
        <f t="shared" ca="1" si="143"/>
        <v>0</v>
      </c>
      <c r="AJ172" s="7">
        <f t="shared" ca="1" si="143"/>
        <v>0</v>
      </c>
      <c r="AK172" s="7">
        <f t="shared" ca="1" si="143"/>
        <v>0</v>
      </c>
      <c r="AL172" s="7">
        <f t="shared" ca="1" si="143"/>
        <v>0</v>
      </c>
      <c r="AM172" s="7">
        <f t="shared" ca="1" si="143"/>
        <v>0</v>
      </c>
    </row>
    <row r="173" spans="1:39" x14ac:dyDescent="0.2">
      <c r="A173" s="3" t="s">
        <v>37</v>
      </c>
      <c r="C173" s="7">
        <f ca="1">-C166+SUM(C169:C172)</f>
        <v>0</v>
      </c>
      <c r="D173" s="7">
        <f t="shared" ref="D173" ca="1" si="144">-D166+SUM(D169:D172)</f>
        <v>0</v>
      </c>
      <c r="E173" s="7">
        <f t="shared" ref="E173:AM173" ca="1" si="145">-E166+SUM(E169:E172)</f>
        <v>0</v>
      </c>
      <c r="F173" s="7">
        <f t="shared" ca="1" si="145"/>
        <v>0</v>
      </c>
      <c r="G173" s="7">
        <f t="shared" ca="1" si="145"/>
        <v>0</v>
      </c>
      <c r="H173" s="7">
        <f t="shared" ca="1" si="145"/>
        <v>0</v>
      </c>
      <c r="I173" s="7">
        <f t="shared" ca="1" si="145"/>
        <v>0</v>
      </c>
      <c r="J173" s="7">
        <f t="shared" ca="1" si="145"/>
        <v>0</v>
      </c>
      <c r="K173" s="7">
        <f t="shared" ca="1" si="145"/>
        <v>0</v>
      </c>
      <c r="L173" s="7">
        <f t="shared" ca="1" si="145"/>
        <v>0</v>
      </c>
      <c r="M173" s="7">
        <f t="shared" ca="1" si="145"/>
        <v>0</v>
      </c>
      <c r="N173" s="7">
        <f t="shared" ca="1" si="145"/>
        <v>0</v>
      </c>
      <c r="O173" s="7">
        <f t="shared" ca="1" si="145"/>
        <v>0</v>
      </c>
      <c r="P173" s="7">
        <f t="shared" ca="1" si="145"/>
        <v>0</v>
      </c>
      <c r="Q173" s="7">
        <f t="shared" ca="1" si="145"/>
        <v>0</v>
      </c>
      <c r="R173" s="7">
        <f t="shared" ca="1" si="145"/>
        <v>0</v>
      </c>
      <c r="S173" s="7">
        <f t="shared" ca="1" si="145"/>
        <v>0</v>
      </c>
      <c r="T173" s="7">
        <f t="shared" ca="1" si="145"/>
        <v>0</v>
      </c>
      <c r="U173" s="7">
        <f t="shared" ca="1" si="145"/>
        <v>0</v>
      </c>
      <c r="V173" s="7">
        <f t="shared" ca="1" si="145"/>
        <v>0</v>
      </c>
      <c r="W173" s="7">
        <f t="shared" ca="1" si="145"/>
        <v>0</v>
      </c>
      <c r="X173" s="7">
        <f t="shared" ca="1" si="145"/>
        <v>0</v>
      </c>
      <c r="Y173" s="7">
        <f t="shared" ca="1" si="145"/>
        <v>0</v>
      </c>
      <c r="Z173" s="7">
        <f t="shared" ca="1" si="145"/>
        <v>0</v>
      </c>
      <c r="AA173" s="7">
        <f t="shared" ca="1" si="145"/>
        <v>0</v>
      </c>
      <c r="AB173" s="7">
        <f t="shared" ca="1" si="145"/>
        <v>0</v>
      </c>
      <c r="AC173" s="7">
        <f t="shared" ca="1" si="145"/>
        <v>0</v>
      </c>
      <c r="AD173" s="7">
        <f t="shared" ca="1" si="145"/>
        <v>0</v>
      </c>
      <c r="AE173" s="7">
        <f t="shared" ca="1" si="145"/>
        <v>0</v>
      </c>
      <c r="AF173" s="7">
        <f t="shared" ca="1" si="145"/>
        <v>0</v>
      </c>
      <c r="AG173" s="7">
        <f t="shared" ca="1" si="145"/>
        <v>0</v>
      </c>
      <c r="AH173" s="7">
        <f t="shared" ca="1" si="145"/>
        <v>0</v>
      </c>
      <c r="AI173" s="7">
        <f t="shared" ca="1" si="145"/>
        <v>0</v>
      </c>
      <c r="AJ173" s="7">
        <f t="shared" ca="1" si="145"/>
        <v>0</v>
      </c>
      <c r="AK173" s="7">
        <f t="shared" ca="1" si="145"/>
        <v>0</v>
      </c>
      <c r="AL173" s="7">
        <f t="shared" ca="1" si="145"/>
        <v>0</v>
      </c>
      <c r="AM173" s="7">
        <f t="shared" ca="1" si="145"/>
        <v>0</v>
      </c>
    </row>
    <row r="174" spans="1:39" x14ac:dyDescent="0.2">
      <c r="A174" s="3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  <c r="AB174" s="7"/>
      <c r="AC174" s="7"/>
      <c r="AD174" s="7"/>
      <c r="AE174" s="7"/>
      <c r="AF174" s="7"/>
      <c r="AG174" s="7"/>
      <c r="AH174" s="7"/>
      <c r="AI174" s="7"/>
      <c r="AJ174" s="7"/>
      <c r="AK174" s="7"/>
      <c r="AL174" s="7"/>
      <c r="AM174" s="7"/>
    </row>
    <row r="175" spans="1:39" x14ac:dyDescent="0.2">
      <c r="A175" s="3" t="s">
        <v>77</v>
      </c>
      <c r="C175" s="7">
        <f ca="1">C161+SUM($C173:C173)</f>
        <v>33136.875000000015</v>
      </c>
      <c r="D175" s="7">
        <f ca="1">D161+SUM($C173:D173)</f>
        <v>57140.903125000026</v>
      </c>
      <c r="E175" s="7">
        <f ca="1">E161+SUM($C173:E173)</f>
        <v>87759.433828125038</v>
      </c>
      <c r="F175" s="7">
        <f ca="1">F161+SUM($C173:F173)</f>
        <v>99100.176411377644</v>
      </c>
      <c r="G175" s="7">
        <f ca="1">G161+SUM($C173:G173)</f>
        <v>142148.90012508008</v>
      </c>
      <c r="H175" s="7">
        <f ca="1">H161+SUM($C173:H173)</f>
        <v>192078.05562310934</v>
      </c>
      <c r="I175" s="7">
        <f ca="1">I161+SUM($C173:I173)</f>
        <v>266036.18242333515</v>
      </c>
      <c r="J175" s="7">
        <f ca="1">J161+SUM($C173:J173)</f>
        <v>339084.48685026687</v>
      </c>
      <c r="K175" s="7">
        <f ca="1">K161+SUM($C173:K173)</f>
        <v>398970.23861694947</v>
      </c>
      <c r="L175" s="7">
        <f ca="1">L161+SUM($C173:L173)</f>
        <v>546536.87203851226</v>
      </c>
      <c r="M175" s="7">
        <f ca="1">M161+SUM($C173:M173)</f>
        <v>605652.23085092264</v>
      </c>
      <c r="N175" s="7">
        <f ca="1">N161+SUM($C173:N173)</f>
        <v>718618.88271131995</v>
      </c>
      <c r="O175" s="7">
        <f ca="1">O161+SUM($C173:O173)</f>
        <v>837633.29830874666</v>
      </c>
      <c r="P175" s="7">
        <f ca="1">P161+SUM($C173:P173)</f>
        <v>962951.35058629012</v>
      </c>
      <c r="Q175" s="7">
        <f ca="1">Q161+SUM($C173:Q173)</f>
        <v>1094838.6489492662</v>
      </c>
      <c r="R175" s="7">
        <f ca="1">R161+SUM($C173:R173)</f>
        <v>1233570.8878477628</v>
      </c>
      <c r="S175" s="7">
        <f ca="1">S161+SUM($C173:S173)</f>
        <v>1379434.2073534238</v>
      </c>
      <c r="T175" s="7">
        <f ca="1">T161+SUM($C173:T173)</f>
        <v>1423495.1237488878</v>
      </c>
      <c r="U175" s="7">
        <f ca="1">U161+SUM($C173:U173)</f>
        <v>1477057.089307287</v>
      </c>
      <c r="V175" s="7">
        <f ca="1">V161+SUM($C173:V173)</f>
        <v>1532680.5274795629</v>
      </c>
      <c r="W175" s="7">
        <f ca="1">W161+SUM($C173:W173)</f>
        <v>1590443.9774315846</v>
      </c>
      <c r="X175" s="7">
        <f ca="1">X161+SUM($C173:X173)</f>
        <v>1650428.88512004</v>
      </c>
      <c r="Y175" s="7">
        <f ca="1">Y161+SUM($C173:Y173)</f>
        <v>1691802.6151119878</v>
      </c>
      <c r="Z175" s="7">
        <f ca="1">Z161+SUM($C173:Z173)</f>
        <v>1734523.9813424624</v>
      </c>
      <c r="AA175" s="7">
        <f ca="1">AA161+SUM($C173:AA173)</f>
        <v>1778644.5710759091</v>
      </c>
      <c r="AB175" s="7">
        <f ca="1">AB161+SUM($C173:AB173)</f>
        <v>1824218.0105883591</v>
      </c>
      <c r="AC175" s="7">
        <f ca="1">AC161+SUM($C173:AC173)</f>
        <v>1871300.0439335995</v>
      </c>
      <c r="AD175" s="7">
        <f ca="1">AD161+SUM($C173:AD173)</f>
        <v>1919948.6146449971</v>
      </c>
      <c r="AE175" s="7">
        <f ca="1">AE161+SUM($C173:AE173)</f>
        <v>1980331.2065111429</v>
      </c>
      <c r="AF175" s="7">
        <f ca="1">AF161+SUM($C173:AF173)</f>
        <v>2042908.5261740466</v>
      </c>
      <c r="AG175" s="7">
        <f ca="1">AG161+SUM($C173:AG173)</f>
        <v>2107764.5878862576</v>
      </c>
      <c r="AH175" s="7">
        <f ca="1">AH161+SUM($C173:AH173)</f>
        <v>2174986.5954175591</v>
      </c>
      <c r="AI175" s="7">
        <f ca="1">AI161+SUM($C173:AI173)</f>
        <v>2244665.0598372058</v>
      </c>
      <c r="AJ175" s="7">
        <f ca="1">AJ161+SUM($C173:AJ173)</f>
        <v>2316893.9215162839</v>
      </c>
      <c r="AK175" s="7">
        <f ca="1">AK161+SUM($C173:AK173)</f>
        <v>2391770.6764973206</v>
      </c>
      <c r="AL175" s="7">
        <f ca="1">AL161+SUM($C173:AL173)</f>
        <v>2469396.5073832762</v>
      </c>
      <c r="AM175" s="7">
        <f ca="1">AM161+SUM($C173:AM173)</f>
        <v>2549876.4189032381</v>
      </c>
    </row>
    <row r="176" spans="1:39" x14ac:dyDescent="0.2">
      <c r="A176" s="3" t="s">
        <v>74</v>
      </c>
      <c r="C176" s="7">
        <f t="shared" ref="C176:AM176" ca="1" si="146">MAX(C175+buffer,0)-MAX(C161+buffer,0)</f>
        <v>0</v>
      </c>
      <c r="D176" s="7">
        <f t="shared" ca="1" si="146"/>
        <v>0</v>
      </c>
      <c r="E176" s="7">
        <f t="shared" ca="1" si="146"/>
        <v>0</v>
      </c>
      <c r="F176" s="7">
        <f t="shared" ca="1" si="146"/>
        <v>0</v>
      </c>
      <c r="G176" s="7">
        <f t="shared" ca="1" si="146"/>
        <v>0</v>
      </c>
      <c r="H176" s="7">
        <f t="shared" ca="1" si="146"/>
        <v>0</v>
      </c>
      <c r="I176" s="7">
        <f t="shared" ca="1" si="146"/>
        <v>0</v>
      </c>
      <c r="J176" s="7">
        <f t="shared" ca="1" si="146"/>
        <v>0</v>
      </c>
      <c r="K176" s="7">
        <f t="shared" ca="1" si="146"/>
        <v>0</v>
      </c>
      <c r="L176" s="7">
        <f t="shared" ca="1" si="146"/>
        <v>0</v>
      </c>
      <c r="M176" s="7">
        <f t="shared" ca="1" si="146"/>
        <v>0</v>
      </c>
      <c r="N176" s="7">
        <f t="shared" ca="1" si="146"/>
        <v>0</v>
      </c>
      <c r="O176" s="7">
        <f t="shared" ca="1" si="146"/>
        <v>0</v>
      </c>
      <c r="P176" s="7">
        <f t="shared" ca="1" si="146"/>
        <v>0</v>
      </c>
      <c r="Q176" s="7">
        <f t="shared" ca="1" si="146"/>
        <v>0</v>
      </c>
      <c r="R176" s="7">
        <f t="shared" ca="1" si="146"/>
        <v>0</v>
      </c>
      <c r="S176" s="7">
        <f t="shared" ca="1" si="146"/>
        <v>0</v>
      </c>
      <c r="T176" s="7">
        <f t="shared" ca="1" si="146"/>
        <v>0</v>
      </c>
      <c r="U176" s="7">
        <f t="shared" ca="1" si="146"/>
        <v>0</v>
      </c>
      <c r="V176" s="7">
        <f t="shared" ca="1" si="146"/>
        <v>0</v>
      </c>
      <c r="W176" s="7">
        <f t="shared" ca="1" si="146"/>
        <v>0</v>
      </c>
      <c r="X176" s="7">
        <f t="shared" ca="1" si="146"/>
        <v>0</v>
      </c>
      <c r="Y176" s="7">
        <f t="shared" ca="1" si="146"/>
        <v>0</v>
      </c>
      <c r="Z176" s="7">
        <f t="shared" ca="1" si="146"/>
        <v>0</v>
      </c>
      <c r="AA176" s="7">
        <f t="shared" ca="1" si="146"/>
        <v>0</v>
      </c>
      <c r="AB176" s="7">
        <f t="shared" ca="1" si="146"/>
        <v>0</v>
      </c>
      <c r="AC176" s="7">
        <f t="shared" ca="1" si="146"/>
        <v>0</v>
      </c>
      <c r="AD176" s="7">
        <f t="shared" ca="1" si="146"/>
        <v>0</v>
      </c>
      <c r="AE176" s="7">
        <f t="shared" ca="1" si="146"/>
        <v>0</v>
      </c>
      <c r="AF176" s="7">
        <f t="shared" ca="1" si="146"/>
        <v>0</v>
      </c>
      <c r="AG176" s="7">
        <f t="shared" ca="1" si="146"/>
        <v>0</v>
      </c>
      <c r="AH176" s="7">
        <f t="shared" ca="1" si="146"/>
        <v>0</v>
      </c>
      <c r="AI176" s="7">
        <f t="shared" ca="1" si="146"/>
        <v>0</v>
      </c>
      <c r="AJ176" s="7">
        <f t="shared" ca="1" si="146"/>
        <v>0</v>
      </c>
      <c r="AK176" s="7">
        <f t="shared" ca="1" si="146"/>
        <v>0</v>
      </c>
      <c r="AL176" s="7">
        <f t="shared" ca="1" si="146"/>
        <v>0</v>
      </c>
      <c r="AM176" s="7">
        <f t="shared" ca="1" si="146"/>
        <v>0</v>
      </c>
    </row>
    <row r="177" spans="1:39" x14ac:dyDescent="0.2">
      <c r="A177" s="3" t="s">
        <v>75</v>
      </c>
      <c r="C177" s="7">
        <f ca="1">C176*Inputs!$B$181</f>
        <v>0</v>
      </c>
      <c r="D177" s="7">
        <f ca="1">D176*Inputs!$B$181</f>
        <v>0</v>
      </c>
      <c r="E177" s="7">
        <f ca="1">E176*Inputs!$B$181</f>
        <v>0</v>
      </c>
      <c r="F177" s="7">
        <f ca="1">F176*Inputs!$B$181</f>
        <v>0</v>
      </c>
      <c r="G177" s="7">
        <f ca="1">G176*Inputs!$B$181</f>
        <v>0</v>
      </c>
      <c r="H177" s="7">
        <f ca="1">H176*Inputs!$B$181</f>
        <v>0</v>
      </c>
      <c r="I177" s="7">
        <f ca="1">I176*Inputs!$B$181</f>
        <v>0</v>
      </c>
      <c r="J177" s="7">
        <f ca="1">J176*Inputs!$B$181</f>
        <v>0</v>
      </c>
      <c r="K177" s="7">
        <f ca="1">K176*Inputs!$B$181</f>
        <v>0</v>
      </c>
      <c r="L177" s="7">
        <f ca="1">L176*Inputs!$B$181</f>
        <v>0</v>
      </c>
      <c r="M177" s="7">
        <f ca="1">M176*Inputs!$B$181</f>
        <v>0</v>
      </c>
      <c r="N177" s="7">
        <f ca="1">N176*Inputs!$B$181</f>
        <v>0</v>
      </c>
      <c r="O177" s="7">
        <f ca="1">O176*Inputs!$B$181</f>
        <v>0</v>
      </c>
      <c r="P177" s="7">
        <f ca="1">P176*Inputs!$B$181</f>
        <v>0</v>
      </c>
      <c r="Q177" s="7">
        <f ca="1">Q176*Inputs!$B$181</f>
        <v>0</v>
      </c>
      <c r="R177" s="7">
        <f ca="1">R176*Inputs!$B$181</f>
        <v>0</v>
      </c>
      <c r="S177" s="7">
        <f ca="1">S176*Inputs!$B$181</f>
        <v>0</v>
      </c>
      <c r="T177" s="7">
        <f ca="1">T176*Inputs!$B$181</f>
        <v>0</v>
      </c>
      <c r="U177" s="7">
        <f ca="1">U176*Inputs!$B$181</f>
        <v>0</v>
      </c>
      <c r="V177" s="7">
        <f ca="1">V176*Inputs!$B$181</f>
        <v>0</v>
      </c>
      <c r="W177" s="7">
        <f ca="1">W176*Inputs!$B$181</f>
        <v>0</v>
      </c>
      <c r="X177" s="7">
        <f ca="1">X176*Inputs!$B$181</f>
        <v>0</v>
      </c>
      <c r="Y177" s="7">
        <f ca="1">Y176*Inputs!$B$181</f>
        <v>0</v>
      </c>
      <c r="Z177" s="7">
        <f ca="1">Z176*Inputs!$B$181</f>
        <v>0</v>
      </c>
      <c r="AA177" s="7">
        <f ca="1">AA176*Inputs!$B$181</f>
        <v>0</v>
      </c>
      <c r="AB177" s="7">
        <f ca="1">AB176*Inputs!$B$181</f>
        <v>0</v>
      </c>
      <c r="AC177" s="7">
        <f ca="1">AC176*Inputs!$B$181</f>
        <v>0</v>
      </c>
      <c r="AD177" s="7">
        <f ca="1">AD176*Inputs!$B$181</f>
        <v>0</v>
      </c>
      <c r="AE177" s="7">
        <f ca="1">AE176*Inputs!$B$181</f>
        <v>0</v>
      </c>
      <c r="AF177" s="7">
        <f ca="1">AF176*Inputs!$B$181</f>
        <v>0</v>
      </c>
      <c r="AG177" s="7">
        <f ca="1">AG176*Inputs!$B$181</f>
        <v>0</v>
      </c>
      <c r="AH177" s="7">
        <f ca="1">AH176*Inputs!$B$181</f>
        <v>0</v>
      </c>
      <c r="AI177" s="7">
        <f ca="1">AI176*Inputs!$B$181</f>
        <v>0</v>
      </c>
      <c r="AJ177" s="7">
        <f ca="1">AJ176*Inputs!$B$181</f>
        <v>0</v>
      </c>
      <c r="AK177" s="7">
        <f ca="1">AK176*Inputs!$B$181</f>
        <v>0</v>
      </c>
      <c r="AL177" s="7">
        <f ca="1">AL176*Inputs!$B$181</f>
        <v>0</v>
      </c>
      <c r="AM177" s="7">
        <f ca="1">AM176*Inputs!$B$181</f>
        <v>0</v>
      </c>
    </row>
    <row r="178" spans="1:39" x14ac:dyDescent="0.2">
      <c r="A178" s="3" t="s">
        <v>158</v>
      </c>
      <c r="C178" s="7">
        <f ca="1">C175+SUM($C177:C177)</f>
        <v>33136.875000000015</v>
      </c>
      <c r="D178" s="7">
        <f ca="1">D175+SUM($C177:D177)</f>
        <v>57140.903125000026</v>
      </c>
      <c r="E178" s="7">
        <f ca="1">E175+SUM($C177:E177)</f>
        <v>87759.433828125038</v>
      </c>
      <c r="F178" s="7">
        <f ca="1">F175+SUM($C177:F177)</f>
        <v>99100.176411377644</v>
      </c>
      <c r="G178" s="7">
        <f ca="1">G175+SUM($C177:G177)</f>
        <v>142148.90012508008</v>
      </c>
      <c r="H178" s="7">
        <f ca="1">H175+SUM($C177:H177)</f>
        <v>192078.05562310934</v>
      </c>
      <c r="I178" s="7">
        <f ca="1">I175+SUM($C177:I177)</f>
        <v>266036.18242333515</v>
      </c>
      <c r="J178" s="7">
        <f ca="1">J175+SUM($C177:J177)</f>
        <v>339084.48685026687</v>
      </c>
      <c r="K178" s="7">
        <f ca="1">K175+SUM($C177:K177)</f>
        <v>398970.23861694947</v>
      </c>
      <c r="L178" s="7">
        <f ca="1">L175+SUM($C177:L177)</f>
        <v>546536.87203851226</v>
      </c>
      <c r="M178" s="7">
        <f ca="1">M175+SUM($C177:M177)</f>
        <v>605652.23085092264</v>
      </c>
      <c r="N178" s="7">
        <f ca="1">N175+SUM($C177:N177)</f>
        <v>718618.88271131995</v>
      </c>
      <c r="O178" s="7">
        <f ca="1">O175+SUM($C177:O177)</f>
        <v>837633.29830874666</v>
      </c>
      <c r="P178" s="7">
        <f ca="1">P175+SUM($C177:P177)</f>
        <v>962951.35058629012</v>
      </c>
      <c r="Q178" s="7">
        <f ca="1">Q175+SUM($C177:Q177)</f>
        <v>1094838.6489492662</v>
      </c>
      <c r="R178" s="7">
        <f ca="1">R175+SUM($C177:R177)</f>
        <v>1233570.8878477628</v>
      </c>
      <c r="S178" s="7">
        <f ca="1">S175+SUM($C177:S177)</f>
        <v>1379434.2073534238</v>
      </c>
      <c r="T178" s="7">
        <f ca="1">T175+SUM($C177:T177)</f>
        <v>1423495.1237488878</v>
      </c>
      <c r="U178" s="7">
        <f ca="1">U175+SUM($C177:U177)</f>
        <v>1477057.089307287</v>
      </c>
      <c r="V178" s="7">
        <f ca="1">V175+SUM($C177:V177)</f>
        <v>1532680.5274795629</v>
      </c>
      <c r="W178" s="7">
        <f ca="1">W175+SUM($C177:W177)</f>
        <v>1590443.9774315846</v>
      </c>
      <c r="X178" s="7">
        <f ca="1">X175+SUM($C177:X177)</f>
        <v>1650428.88512004</v>
      </c>
      <c r="Y178" s="7">
        <f ca="1">Y175+SUM($C177:Y177)</f>
        <v>1691802.6151119878</v>
      </c>
      <c r="Z178" s="7">
        <f ca="1">Z175+SUM($C177:Z177)</f>
        <v>1734523.9813424624</v>
      </c>
      <c r="AA178" s="7">
        <f ca="1">AA175+SUM($C177:AA177)</f>
        <v>1778644.5710759091</v>
      </c>
      <c r="AB178" s="7">
        <f ca="1">AB175+SUM($C177:AB177)</f>
        <v>1824218.0105883591</v>
      </c>
      <c r="AC178" s="7">
        <f ca="1">AC175+SUM($C177:AC177)</f>
        <v>1871300.0439335995</v>
      </c>
      <c r="AD178" s="7">
        <f ca="1">AD175+SUM($C177:AD177)</f>
        <v>1919948.6146449971</v>
      </c>
      <c r="AE178" s="7">
        <f ca="1">AE175+SUM($C177:AE177)</f>
        <v>1980331.2065111429</v>
      </c>
      <c r="AF178" s="7">
        <f ca="1">AF175+SUM($C177:AF177)</f>
        <v>2042908.5261740466</v>
      </c>
      <c r="AG178" s="7">
        <f ca="1">AG175+SUM($C177:AG177)</f>
        <v>2107764.5878862576</v>
      </c>
      <c r="AH178" s="7">
        <f ca="1">AH175+SUM($C177:AH177)</f>
        <v>2174986.5954175591</v>
      </c>
      <c r="AI178" s="7">
        <f ca="1">AI175+SUM($C177:AI177)</f>
        <v>2244665.0598372058</v>
      </c>
      <c r="AJ178" s="7">
        <f ca="1">AJ175+SUM($C177:AJ177)</f>
        <v>2316893.9215162839</v>
      </c>
      <c r="AK178" s="7">
        <f ca="1">AK175+SUM($C177:AK177)</f>
        <v>2391770.6764973206</v>
      </c>
      <c r="AL178" s="7">
        <f ca="1">AL175+SUM($C177:AL177)</f>
        <v>2469396.5073832762</v>
      </c>
      <c r="AM178" s="7">
        <f ca="1">AM175+SUM($C177:AM177)</f>
        <v>2549876.4189032381</v>
      </c>
    </row>
    <row r="179" spans="1:39" x14ac:dyDescent="0.2">
      <c r="A179" s="3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  <c r="AB179" s="7"/>
      <c r="AC179" s="7"/>
      <c r="AD179" s="7"/>
      <c r="AE179" s="7"/>
      <c r="AF179" s="7"/>
      <c r="AG179" s="7"/>
      <c r="AH179" s="7"/>
      <c r="AI179" s="7"/>
      <c r="AJ179" s="7"/>
      <c r="AK179" s="7"/>
      <c r="AL179" s="7"/>
      <c r="AM179" s="7"/>
    </row>
    <row r="180" spans="1:39" x14ac:dyDescent="0.2">
      <c r="A180" s="3" t="s">
        <v>156</v>
      </c>
      <c r="C180" s="7">
        <f t="shared" ref="C180:AM180" ca="1" si="147">C178+buffer</f>
        <v>73136.875000000015</v>
      </c>
      <c r="D180" s="7">
        <f t="shared" ca="1" si="147"/>
        <v>97140.903125000026</v>
      </c>
      <c r="E180" s="7">
        <f t="shared" ca="1" si="147"/>
        <v>127759.43382812504</v>
      </c>
      <c r="F180" s="7">
        <f t="shared" ca="1" si="147"/>
        <v>139100.17641137764</v>
      </c>
      <c r="G180" s="7">
        <f t="shared" ca="1" si="147"/>
        <v>182148.90012508008</v>
      </c>
      <c r="H180" s="7">
        <f t="shared" ca="1" si="147"/>
        <v>232078.05562310934</v>
      </c>
      <c r="I180" s="7">
        <f t="shared" ca="1" si="147"/>
        <v>306036.18242333515</v>
      </c>
      <c r="J180" s="7">
        <f t="shared" ca="1" si="147"/>
        <v>379084.48685026687</v>
      </c>
      <c r="K180" s="7">
        <f t="shared" ca="1" si="147"/>
        <v>438970.23861694947</v>
      </c>
      <c r="L180" s="7">
        <f t="shared" ca="1" si="147"/>
        <v>586536.87203851226</v>
      </c>
      <c r="M180" s="7">
        <f t="shared" ca="1" si="147"/>
        <v>645652.23085092264</v>
      </c>
      <c r="N180" s="7">
        <f t="shared" ca="1" si="147"/>
        <v>758618.88271131995</v>
      </c>
      <c r="O180" s="7">
        <f t="shared" ca="1" si="147"/>
        <v>877633.29830874666</v>
      </c>
      <c r="P180" s="7">
        <f t="shared" ca="1" si="147"/>
        <v>1002951.3505862901</v>
      </c>
      <c r="Q180" s="7">
        <f t="shared" ca="1" si="147"/>
        <v>1134838.6489492662</v>
      </c>
      <c r="R180" s="7">
        <f t="shared" ca="1" si="147"/>
        <v>1273570.8878477628</v>
      </c>
      <c r="S180" s="7">
        <f t="shared" ca="1" si="147"/>
        <v>1419434.2073534238</v>
      </c>
      <c r="T180" s="7">
        <f t="shared" ca="1" si="147"/>
        <v>1463495.1237488878</v>
      </c>
      <c r="U180" s="7">
        <f t="shared" ca="1" si="147"/>
        <v>1517057.089307287</v>
      </c>
      <c r="V180" s="7">
        <f t="shared" ca="1" si="147"/>
        <v>1572680.5274795629</v>
      </c>
      <c r="W180" s="7">
        <f t="shared" ca="1" si="147"/>
        <v>1630443.9774315846</v>
      </c>
      <c r="X180" s="7">
        <f t="shared" ca="1" si="147"/>
        <v>1690428.88512004</v>
      </c>
      <c r="Y180" s="7">
        <f t="shared" ca="1" si="147"/>
        <v>1731802.6151119878</v>
      </c>
      <c r="Z180" s="7">
        <f t="shared" ca="1" si="147"/>
        <v>1774523.9813424624</v>
      </c>
      <c r="AA180" s="7">
        <f t="shared" ca="1" si="147"/>
        <v>1818644.5710759091</v>
      </c>
      <c r="AB180" s="7">
        <f t="shared" ca="1" si="147"/>
        <v>1864218.0105883591</v>
      </c>
      <c r="AC180" s="7">
        <f t="shared" ca="1" si="147"/>
        <v>1911300.0439335995</v>
      </c>
      <c r="AD180" s="7">
        <f t="shared" ca="1" si="147"/>
        <v>1959948.6146449971</v>
      </c>
      <c r="AE180" s="7">
        <f t="shared" ca="1" si="147"/>
        <v>2020331.2065111429</v>
      </c>
      <c r="AF180" s="7">
        <f t="shared" ca="1" si="147"/>
        <v>2082908.5261740466</v>
      </c>
      <c r="AG180" s="7">
        <f t="shared" ca="1" si="147"/>
        <v>2147764.5878862576</v>
      </c>
      <c r="AH180" s="7">
        <f t="shared" ca="1" si="147"/>
        <v>2214986.5954175591</v>
      </c>
      <c r="AI180" s="7">
        <f t="shared" ca="1" si="147"/>
        <v>2284665.0598372058</v>
      </c>
      <c r="AJ180" s="7">
        <f t="shared" ca="1" si="147"/>
        <v>2356893.9215162839</v>
      </c>
      <c r="AK180" s="7">
        <f t="shared" ca="1" si="147"/>
        <v>2431770.6764973206</v>
      </c>
      <c r="AL180" s="7">
        <f t="shared" ca="1" si="147"/>
        <v>2509396.5073832762</v>
      </c>
      <c r="AM180" s="7">
        <f t="shared" ca="1" si="147"/>
        <v>2589876.4189032381</v>
      </c>
    </row>
    <row r="181" spans="1:39" x14ac:dyDescent="0.2">
      <c r="A181" s="4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  <c r="AB181" s="7"/>
      <c r="AC181" s="7"/>
      <c r="AD181" s="7"/>
      <c r="AE181" s="7"/>
      <c r="AF181" s="7"/>
      <c r="AG181" s="7"/>
      <c r="AH181" s="7"/>
      <c r="AI181" s="7"/>
      <c r="AJ181" s="7"/>
      <c r="AK181" s="7"/>
      <c r="AL181" s="7"/>
      <c r="AM181" s="7"/>
    </row>
    <row r="182" spans="1:39" x14ac:dyDescent="0.2">
      <c r="A182" s="29" t="s">
        <v>62</v>
      </c>
      <c r="B182" s="26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  <c r="AB182" s="7"/>
      <c r="AC182" s="7"/>
      <c r="AD182" s="7"/>
      <c r="AE182" s="7"/>
      <c r="AF182" s="7"/>
      <c r="AG182" s="7"/>
      <c r="AH182" s="7"/>
      <c r="AI182" s="7"/>
      <c r="AJ182" s="7"/>
      <c r="AK182" s="7"/>
      <c r="AL182" s="7"/>
      <c r="AM182" s="7"/>
    </row>
    <row r="183" spans="1:39" x14ac:dyDescent="0.2">
      <c r="A183" s="3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  <c r="AB183" s="7"/>
      <c r="AC183" s="7"/>
      <c r="AD183" s="7"/>
      <c r="AE183" s="7"/>
      <c r="AF183" s="7"/>
      <c r="AG183" s="7"/>
      <c r="AH183" s="7"/>
      <c r="AI183" s="7"/>
      <c r="AJ183" s="7"/>
      <c r="AK183" s="7"/>
      <c r="AL183" s="7"/>
      <c r="AM183" s="7"/>
    </row>
    <row r="184" spans="1:39" x14ac:dyDescent="0.2">
      <c r="A184" s="18" t="s">
        <v>65</v>
      </c>
      <c r="B184" s="19"/>
      <c r="C184" s="20"/>
      <c r="D184" s="20"/>
      <c r="E184" s="20"/>
      <c r="F184" s="20"/>
      <c r="G184" s="20"/>
      <c r="H184" s="20"/>
      <c r="I184" s="20"/>
      <c r="J184" s="20"/>
      <c r="K184" s="20"/>
      <c r="L184" s="20"/>
      <c r="M184" s="20"/>
      <c r="N184" s="20"/>
      <c r="O184" s="20"/>
      <c r="P184" s="20"/>
      <c r="Q184" s="20"/>
      <c r="R184" s="20"/>
      <c r="S184" s="20"/>
      <c r="T184" s="20"/>
      <c r="U184" s="20"/>
      <c r="V184" s="20"/>
      <c r="W184" s="20"/>
      <c r="X184" s="20"/>
      <c r="Y184" s="20"/>
      <c r="Z184" s="20"/>
      <c r="AA184" s="20"/>
      <c r="AB184" s="20"/>
      <c r="AC184" s="20"/>
      <c r="AD184" s="20"/>
      <c r="AE184" s="20"/>
      <c r="AF184" s="20"/>
      <c r="AG184" s="20"/>
      <c r="AH184" s="20"/>
      <c r="AI184" s="20"/>
      <c r="AJ184" s="20"/>
      <c r="AK184" s="20"/>
      <c r="AL184" s="20"/>
      <c r="AM184" s="20"/>
    </row>
    <row r="185" spans="1:39" x14ac:dyDescent="0.2">
      <c r="A185" s="22" t="str">
        <f>B$104</f>
        <v>Gudja</v>
      </c>
      <c r="B185" s="19"/>
      <c r="C185" s="20">
        <f ca="1">SUM($C98:C98)</f>
        <v>0</v>
      </c>
      <c r="D185" s="20">
        <f ca="1">SUM($C98:D98)</f>
        <v>0</v>
      </c>
      <c r="E185" s="20">
        <f ca="1">SUM($C98:E98)</f>
        <v>0</v>
      </c>
      <c r="F185" s="20">
        <f ca="1">SUM($C98:F98)</f>
        <v>0</v>
      </c>
      <c r="G185" s="20">
        <f ca="1">SUM($C98:G98)</f>
        <v>0</v>
      </c>
      <c r="H185" s="20">
        <f ca="1">SUM($C98:H98)</f>
        <v>0</v>
      </c>
      <c r="I185" s="20">
        <f ca="1">SUM($C98:I98)</f>
        <v>0</v>
      </c>
      <c r="J185" s="20">
        <f ca="1">SUM($C98:J98)</f>
        <v>0</v>
      </c>
      <c r="K185" s="20">
        <f ca="1">SUM($C98:K98)</f>
        <v>0</v>
      </c>
      <c r="L185" s="20">
        <f ca="1">SUM($C98:L98)</f>
        <v>0</v>
      </c>
      <c r="M185" s="20">
        <f ca="1">SUM($C98:M98)</f>
        <v>0</v>
      </c>
      <c r="N185" s="20">
        <f ca="1">SUM($C98:N98)</f>
        <v>0</v>
      </c>
      <c r="O185" s="20">
        <f ca="1">SUM($C98:O98)</f>
        <v>0</v>
      </c>
      <c r="P185" s="20">
        <f ca="1">SUM($C98:P98)</f>
        <v>0</v>
      </c>
      <c r="Q185" s="20">
        <f ca="1">SUM($C98:Q98)</f>
        <v>0</v>
      </c>
      <c r="R185" s="20">
        <f ca="1">SUM($C98:R98)</f>
        <v>0</v>
      </c>
      <c r="S185" s="20">
        <f ca="1">SUM($C98:S98)</f>
        <v>0</v>
      </c>
      <c r="T185" s="20">
        <f ca="1">SUM($C98:T98)</f>
        <v>0</v>
      </c>
      <c r="U185" s="20">
        <f ca="1">SUM($C98:U98)</f>
        <v>0</v>
      </c>
      <c r="V185" s="20">
        <f ca="1">SUM($C98:V98)</f>
        <v>0</v>
      </c>
      <c r="W185" s="20">
        <f ca="1">SUM($C98:W98)</f>
        <v>0</v>
      </c>
      <c r="X185" s="20">
        <f ca="1">SUM($C98:X98)</f>
        <v>0</v>
      </c>
      <c r="Y185" s="20">
        <f ca="1">SUM($C98:Y98)</f>
        <v>0</v>
      </c>
      <c r="Z185" s="20">
        <f ca="1">SUM($C98:Z98)</f>
        <v>0</v>
      </c>
      <c r="AA185" s="20">
        <f ca="1">SUM($C98:AA98)</f>
        <v>0</v>
      </c>
      <c r="AB185" s="20">
        <f ca="1">SUM($C98:AB98)</f>
        <v>0</v>
      </c>
      <c r="AC185" s="20">
        <f ca="1">SUM($C98:AC98)</f>
        <v>0</v>
      </c>
      <c r="AD185" s="20">
        <f ca="1">SUM($C98:AD98)</f>
        <v>0</v>
      </c>
      <c r="AE185" s="20">
        <f ca="1">SUM($C98:AE98)</f>
        <v>0</v>
      </c>
      <c r="AF185" s="20">
        <f ca="1">SUM($C98:AF98)</f>
        <v>0</v>
      </c>
      <c r="AG185" s="20">
        <f ca="1">SUM($C98:AG98)</f>
        <v>0</v>
      </c>
      <c r="AH185" s="20">
        <f ca="1">SUM($C98:AH98)</f>
        <v>0</v>
      </c>
      <c r="AI185" s="20">
        <f ca="1">SUM($C98:AI98)</f>
        <v>0</v>
      </c>
      <c r="AJ185" s="20">
        <f ca="1">SUM($C98:AJ98)</f>
        <v>0</v>
      </c>
      <c r="AK185" s="20">
        <f ca="1">SUM($C98:AK98)</f>
        <v>0</v>
      </c>
      <c r="AL185" s="20">
        <f ca="1">SUM($C98:AL98)</f>
        <v>0</v>
      </c>
      <c r="AM185" s="20">
        <f ca="1">SUM($C98:AM98)</f>
        <v>0</v>
      </c>
    </row>
    <row r="186" spans="1:39" x14ac:dyDescent="0.2">
      <c r="A186" s="22" t="str">
        <f>B$121</f>
        <v>Marsa</v>
      </c>
      <c r="B186" s="19"/>
      <c r="C186" s="20">
        <f ca="1">SUM($C115:C115)</f>
        <v>0</v>
      </c>
      <c r="D186" s="20">
        <f ca="1">SUM($C115:D115)</f>
        <v>0</v>
      </c>
      <c r="E186" s="20">
        <f ca="1">SUM($C115:E115)</f>
        <v>0</v>
      </c>
      <c r="F186" s="20">
        <f ca="1">SUM($C115:F115)</f>
        <v>0</v>
      </c>
      <c r="G186" s="20">
        <f ca="1">SUM($C115:G115)</f>
        <v>0</v>
      </c>
      <c r="H186" s="20">
        <f ca="1">SUM($C115:H115)</f>
        <v>0</v>
      </c>
      <c r="I186" s="20">
        <f ca="1">SUM($C115:I115)</f>
        <v>0</v>
      </c>
      <c r="J186" s="20">
        <f ca="1">SUM($C115:J115)</f>
        <v>0</v>
      </c>
      <c r="K186" s="20">
        <f ca="1">SUM($C115:K115)</f>
        <v>0</v>
      </c>
      <c r="L186" s="20">
        <f ca="1">SUM($C115:L115)</f>
        <v>0</v>
      </c>
      <c r="M186" s="20">
        <f ca="1">SUM($C115:M115)</f>
        <v>0</v>
      </c>
      <c r="N186" s="20">
        <f ca="1">SUM($C115:N115)</f>
        <v>0</v>
      </c>
      <c r="O186" s="20">
        <f ca="1">SUM($C115:O115)</f>
        <v>0</v>
      </c>
      <c r="P186" s="20">
        <f ca="1">SUM($C115:P115)</f>
        <v>0</v>
      </c>
      <c r="Q186" s="20">
        <f ca="1">SUM($C115:Q115)</f>
        <v>0</v>
      </c>
      <c r="R186" s="20">
        <f ca="1">SUM($C115:R115)</f>
        <v>0</v>
      </c>
      <c r="S186" s="20">
        <f ca="1">SUM($C115:S115)</f>
        <v>0</v>
      </c>
      <c r="T186" s="20">
        <f ca="1">SUM($C115:T115)</f>
        <v>0</v>
      </c>
      <c r="U186" s="20">
        <f ca="1">SUM($C115:U115)</f>
        <v>0</v>
      </c>
      <c r="V186" s="20">
        <f ca="1">SUM($C115:V115)</f>
        <v>0</v>
      </c>
      <c r="W186" s="20">
        <f ca="1">SUM($C115:W115)</f>
        <v>0</v>
      </c>
      <c r="X186" s="20">
        <f ca="1">SUM($C115:X115)</f>
        <v>0</v>
      </c>
      <c r="Y186" s="20">
        <f ca="1">SUM($C115:Y115)</f>
        <v>0</v>
      </c>
      <c r="Z186" s="20">
        <f ca="1">SUM($C115:Z115)</f>
        <v>0</v>
      </c>
      <c r="AA186" s="20">
        <f ca="1">SUM($C115:AA115)</f>
        <v>0</v>
      </c>
      <c r="AB186" s="20">
        <f ca="1">SUM($C115:AB115)</f>
        <v>0</v>
      </c>
      <c r="AC186" s="20">
        <f ca="1">SUM($C115:AC115)</f>
        <v>0</v>
      </c>
      <c r="AD186" s="20">
        <f ca="1">SUM($C115:AD115)</f>
        <v>0</v>
      </c>
      <c r="AE186" s="20">
        <f ca="1">SUM($C115:AE115)</f>
        <v>0</v>
      </c>
      <c r="AF186" s="20">
        <f ca="1">SUM($C115:AF115)</f>
        <v>0</v>
      </c>
      <c r="AG186" s="20">
        <f ca="1">SUM($C115:AG115)</f>
        <v>0</v>
      </c>
      <c r="AH186" s="20">
        <f ca="1">SUM($C115:AH115)</f>
        <v>0</v>
      </c>
      <c r="AI186" s="20">
        <f ca="1">SUM($C115:AI115)</f>
        <v>0</v>
      </c>
      <c r="AJ186" s="20">
        <f ca="1">SUM($C115:AJ115)</f>
        <v>0</v>
      </c>
      <c r="AK186" s="20">
        <f ca="1">SUM($C115:AK115)</f>
        <v>0</v>
      </c>
      <c r="AL186" s="20">
        <f ca="1">SUM($C115:AL115)</f>
        <v>0</v>
      </c>
      <c r="AM186" s="20">
        <f ca="1">SUM($C115:AM115)</f>
        <v>0</v>
      </c>
    </row>
    <row r="187" spans="1:39" x14ac:dyDescent="0.2">
      <c r="A187" s="22" t="str">
        <f>B$138</f>
        <v>Gzira</v>
      </c>
      <c r="B187" s="19"/>
      <c r="C187" s="20">
        <f ca="1">SUM($C132:C132)</f>
        <v>0</v>
      </c>
      <c r="D187" s="20">
        <f ca="1">SUM($C132:D132)</f>
        <v>0</v>
      </c>
      <c r="E187" s="20">
        <f ca="1">SUM($C132:E132)</f>
        <v>0</v>
      </c>
      <c r="F187" s="20">
        <f ca="1">SUM($C132:F132)</f>
        <v>0</v>
      </c>
      <c r="G187" s="20">
        <f ca="1">SUM($C132:G132)</f>
        <v>0</v>
      </c>
      <c r="H187" s="20">
        <f ca="1">SUM($C132:H132)</f>
        <v>0</v>
      </c>
      <c r="I187" s="20">
        <f ca="1">SUM($C132:I132)</f>
        <v>0</v>
      </c>
      <c r="J187" s="20">
        <f ca="1">SUM($C132:J132)</f>
        <v>0</v>
      </c>
      <c r="K187" s="20">
        <f ca="1">SUM($C132:K132)</f>
        <v>0</v>
      </c>
      <c r="L187" s="20">
        <f ca="1">SUM($C132:L132)</f>
        <v>0</v>
      </c>
      <c r="M187" s="20">
        <f ca="1">SUM($C132:M132)</f>
        <v>0</v>
      </c>
      <c r="N187" s="20">
        <f ca="1">SUM($C132:N132)</f>
        <v>0</v>
      </c>
      <c r="O187" s="20">
        <f ca="1">SUM($C132:O132)</f>
        <v>0</v>
      </c>
      <c r="P187" s="20">
        <f ca="1">SUM($C132:P132)</f>
        <v>0</v>
      </c>
      <c r="Q187" s="20">
        <f ca="1">SUM($C132:Q132)</f>
        <v>0</v>
      </c>
      <c r="R187" s="20">
        <f ca="1">SUM($C132:R132)</f>
        <v>0</v>
      </c>
      <c r="S187" s="20">
        <f ca="1">SUM($C132:S132)</f>
        <v>0</v>
      </c>
      <c r="T187" s="20">
        <f ca="1">SUM($C132:T132)</f>
        <v>0</v>
      </c>
      <c r="U187" s="20">
        <f ca="1">SUM($C132:U132)</f>
        <v>0</v>
      </c>
      <c r="V187" s="20">
        <f ca="1">SUM($C132:V132)</f>
        <v>0</v>
      </c>
      <c r="W187" s="20">
        <f ca="1">SUM($C132:W132)</f>
        <v>0</v>
      </c>
      <c r="X187" s="20">
        <f ca="1">SUM($C132:X132)</f>
        <v>0</v>
      </c>
      <c r="Y187" s="20">
        <f ca="1">SUM($C132:Y132)</f>
        <v>0</v>
      </c>
      <c r="Z187" s="20">
        <f ca="1">SUM($C132:Z132)</f>
        <v>0</v>
      </c>
      <c r="AA187" s="20">
        <f ca="1">SUM($C132:AA132)</f>
        <v>0</v>
      </c>
      <c r="AB187" s="20">
        <f ca="1">SUM($C132:AB132)</f>
        <v>0</v>
      </c>
      <c r="AC187" s="20">
        <f ca="1">SUM($C132:AC132)</f>
        <v>0</v>
      </c>
      <c r="AD187" s="20">
        <f ca="1">SUM($C132:AD132)</f>
        <v>0</v>
      </c>
      <c r="AE187" s="20">
        <f ca="1">SUM($C132:AE132)</f>
        <v>0</v>
      </c>
      <c r="AF187" s="20">
        <f ca="1">SUM($C132:AF132)</f>
        <v>0</v>
      </c>
      <c r="AG187" s="20">
        <f ca="1">SUM($C132:AG132)</f>
        <v>0</v>
      </c>
      <c r="AH187" s="20">
        <f ca="1">SUM($C132:AH132)</f>
        <v>0</v>
      </c>
      <c r="AI187" s="20">
        <f ca="1">SUM($C132:AI132)</f>
        <v>0</v>
      </c>
      <c r="AJ187" s="20">
        <f ca="1">SUM($C132:AJ132)</f>
        <v>0</v>
      </c>
      <c r="AK187" s="20">
        <f ca="1">SUM($C132:AK132)</f>
        <v>0</v>
      </c>
      <c r="AL187" s="20">
        <f ca="1">SUM($C132:AL132)</f>
        <v>0</v>
      </c>
      <c r="AM187" s="20">
        <f ca="1">SUM($C132:AM132)</f>
        <v>0</v>
      </c>
    </row>
    <row r="188" spans="1:39" x14ac:dyDescent="0.2">
      <c r="A188" s="22" t="str">
        <f>B$155</f>
        <v>Qormi</v>
      </c>
      <c r="B188" s="19"/>
      <c r="C188" s="20">
        <f ca="1">SUM($C149:C149)</f>
        <v>0</v>
      </c>
      <c r="D188" s="20">
        <f ca="1">SUM($C149:D149)</f>
        <v>0</v>
      </c>
      <c r="E188" s="20">
        <f ca="1">SUM($C149:E149)</f>
        <v>0</v>
      </c>
      <c r="F188" s="20">
        <f ca="1">SUM($C149:F149)</f>
        <v>0</v>
      </c>
      <c r="G188" s="20">
        <f ca="1">SUM($C149:G149)</f>
        <v>0</v>
      </c>
      <c r="H188" s="20">
        <f ca="1">SUM($C149:H149)</f>
        <v>0</v>
      </c>
      <c r="I188" s="20">
        <f ca="1">SUM($C149:I149)</f>
        <v>0</v>
      </c>
      <c r="J188" s="20">
        <f ca="1">SUM($C149:J149)</f>
        <v>0</v>
      </c>
      <c r="K188" s="20">
        <f ca="1">SUM($C149:K149)</f>
        <v>0</v>
      </c>
      <c r="L188" s="20">
        <f ca="1">SUM($C149:L149)</f>
        <v>0</v>
      </c>
      <c r="M188" s="20">
        <f ca="1">SUM($C149:M149)</f>
        <v>0</v>
      </c>
      <c r="N188" s="20">
        <f ca="1">SUM($C149:N149)</f>
        <v>0</v>
      </c>
      <c r="O188" s="20">
        <f ca="1">SUM($C149:O149)</f>
        <v>0</v>
      </c>
      <c r="P188" s="20">
        <f ca="1">SUM($C149:P149)</f>
        <v>0</v>
      </c>
      <c r="Q188" s="20">
        <f ca="1">SUM($C149:Q149)</f>
        <v>0</v>
      </c>
      <c r="R188" s="20">
        <f ca="1">SUM($C149:R149)</f>
        <v>0</v>
      </c>
      <c r="S188" s="20">
        <f ca="1">SUM($C149:S149)</f>
        <v>0</v>
      </c>
      <c r="T188" s="20">
        <f ca="1">SUM($C149:T149)</f>
        <v>0</v>
      </c>
      <c r="U188" s="20">
        <f ca="1">SUM($C149:U149)</f>
        <v>0</v>
      </c>
      <c r="V188" s="20">
        <f ca="1">SUM($C149:V149)</f>
        <v>0</v>
      </c>
      <c r="W188" s="20">
        <f ca="1">SUM($C149:W149)</f>
        <v>0</v>
      </c>
      <c r="X188" s="20">
        <f ca="1">SUM($C149:X149)</f>
        <v>0</v>
      </c>
      <c r="Y188" s="20">
        <f ca="1">SUM($C149:Y149)</f>
        <v>0</v>
      </c>
      <c r="Z188" s="20">
        <f ca="1">SUM($C149:Z149)</f>
        <v>0</v>
      </c>
      <c r="AA188" s="20">
        <f ca="1">SUM($C149:AA149)</f>
        <v>0</v>
      </c>
      <c r="AB188" s="20">
        <f ca="1">SUM($C149:AB149)</f>
        <v>0</v>
      </c>
      <c r="AC188" s="20">
        <f ca="1">SUM($C149:AC149)</f>
        <v>0</v>
      </c>
      <c r="AD188" s="20">
        <f ca="1">SUM($C149:AD149)</f>
        <v>0</v>
      </c>
      <c r="AE188" s="20">
        <f ca="1">SUM($C149:AE149)</f>
        <v>0</v>
      </c>
      <c r="AF188" s="20">
        <f ca="1">SUM($C149:AF149)</f>
        <v>0</v>
      </c>
      <c r="AG188" s="20">
        <f ca="1">SUM($C149:AG149)</f>
        <v>0</v>
      </c>
      <c r="AH188" s="20">
        <f ca="1">SUM($C149:AH149)</f>
        <v>0</v>
      </c>
      <c r="AI188" s="20">
        <f ca="1">SUM($C149:AI149)</f>
        <v>0</v>
      </c>
      <c r="AJ188" s="20">
        <f ca="1">SUM($C149:AJ149)</f>
        <v>0</v>
      </c>
      <c r="AK188" s="20">
        <f ca="1">SUM($C149:AK149)</f>
        <v>0</v>
      </c>
      <c r="AL188" s="20">
        <f ca="1">SUM($C149:AL149)</f>
        <v>0</v>
      </c>
      <c r="AM188" s="20">
        <f ca="1">SUM($C149:AM149)</f>
        <v>0</v>
      </c>
    </row>
    <row r="189" spans="1:39" x14ac:dyDescent="0.2">
      <c r="A189" s="22" t="str">
        <f>B$172</f>
        <v>Sliema</v>
      </c>
      <c r="B189" s="19"/>
      <c r="C189" s="20">
        <f ca="1">SUM($C166:C166)</f>
        <v>0</v>
      </c>
      <c r="D189" s="20">
        <f ca="1">SUM($C166:D166)</f>
        <v>0</v>
      </c>
      <c r="E189" s="20">
        <f ca="1">SUM($C166:E166)</f>
        <v>0</v>
      </c>
      <c r="F189" s="20">
        <f ca="1">SUM($C166:F166)</f>
        <v>0</v>
      </c>
      <c r="G189" s="20">
        <f ca="1">SUM($C166:G166)</f>
        <v>0</v>
      </c>
      <c r="H189" s="20">
        <f ca="1">SUM($C166:H166)</f>
        <v>0</v>
      </c>
      <c r="I189" s="20">
        <f ca="1">SUM($C166:I166)</f>
        <v>0</v>
      </c>
      <c r="J189" s="20">
        <f ca="1">SUM($C166:J166)</f>
        <v>0</v>
      </c>
      <c r="K189" s="20">
        <f ca="1">SUM($C166:K166)</f>
        <v>0</v>
      </c>
      <c r="L189" s="20">
        <f ca="1">SUM($C166:L166)</f>
        <v>0</v>
      </c>
      <c r="M189" s="20">
        <f ca="1">SUM($C166:M166)</f>
        <v>0</v>
      </c>
      <c r="N189" s="20">
        <f ca="1">SUM($C166:N166)</f>
        <v>0</v>
      </c>
      <c r="O189" s="20">
        <f ca="1">SUM($C166:O166)</f>
        <v>0</v>
      </c>
      <c r="P189" s="20">
        <f ca="1">SUM($C166:P166)</f>
        <v>0</v>
      </c>
      <c r="Q189" s="20">
        <f ca="1">SUM($C166:Q166)</f>
        <v>0</v>
      </c>
      <c r="R189" s="20">
        <f ca="1">SUM($C166:R166)</f>
        <v>0</v>
      </c>
      <c r="S189" s="20">
        <f ca="1">SUM($C166:S166)</f>
        <v>0</v>
      </c>
      <c r="T189" s="20">
        <f ca="1">SUM($C166:T166)</f>
        <v>0</v>
      </c>
      <c r="U189" s="20">
        <f ca="1">SUM($C166:U166)</f>
        <v>0</v>
      </c>
      <c r="V189" s="20">
        <f ca="1">SUM($C166:V166)</f>
        <v>0</v>
      </c>
      <c r="W189" s="20">
        <f ca="1">SUM($C166:W166)</f>
        <v>0</v>
      </c>
      <c r="X189" s="20">
        <f ca="1">SUM($C166:X166)</f>
        <v>0</v>
      </c>
      <c r="Y189" s="20">
        <f ca="1">SUM($C166:Y166)</f>
        <v>0</v>
      </c>
      <c r="Z189" s="20">
        <f ca="1">SUM($C166:Z166)</f>
        <v>0</v>
      </c>
      <c r="AA189" s="20">
        <f ca="1">SUM($C166:AA166)</f>
        <v>0</v>
      </c>
      <c r="AB189" s="20">
        <f ca="1">SUM($C166:AB166)</f>
        <v>0</v>
      </c>
      <c r="AC189" s="20">
        <f ca="1">SUM($C166:AC166)</f>
        <v>0</v>
      </c>
      <c r="AD189" s="20">
        <f ca="1">SUM($C166:AD166)</f>
        <v>0</v>
      </c>
      <c r="AE189" s="20">
        <f ca="1">SUM($C166:AE166)</f>
        <v>0</v>
      </c>
      <c r="AF189" s="20">
        <f ca="1">SUM($C166:AF166)</f>
        <v>0</v>
      </c>
      <c r="AG189" s="20">
        <f ca="1">SUM($C166:AG166)</f>
        <v>0</v>
      </c>
      <c r="AH189" s="20">
        <f ca="1">SUM($C166:AH166)</f>
        <v>0</v>
      </c>
      <c r="AI189" s="20">
        <f ca="1">SUM($C166:AI166)</f>
        <v>0</v>
      </c>
      <c r="AJ189" s="20">
        <f ca="1">SUM($C166:AJ166)</f>
        <v>0</v>
      </c>
      <c r="AK189" s="20">
        <f ca="1">SUM($C166:AK166)</f>
        <v>0</v>
      </c>
      <c r="AL189" s="20">
        <f ca="1">SUM($C166:AL166)</f>
        <v>0</v>
      </c>
      <c r="AM189" s="20">
        <f ca="1">SUM($C166:AM166)</f>
        <v>0</v>
      </c>
    </row>
    <row r="190" spans="1:39" x14ac:dyDescent="0.2">
      <c r="A190" s="21"/>
      <c r="B190" s="19"/>
      <c r="C190" s="20"/>
      <c r="D190" s="20"/>
      <c r="E190" s="20"/>
      <c r="F190" s="20"/>
      <c r="G190" s="20"/>
      <c r="H190" s="20"/>
      <c r="I190" s="20"/>
      <c r="J190" s="20"/>
      <c r="K190" s="20"/>
      <c r="L190" s="20"/>
      <c r="M190" s="20"/>
      <c r="N190" s="20"/>
      <c r="O190" s="20"/>
      <c r="P190" s="20"/>
      <c r="Q190" s="20"/>
      <c r="R190" s="20"/>
      <c r="S190" s="20"/>
      <c r="T190" s="20"/>
      <c r="U190" s="20"/>
      <c r="V190" s="20"/>
      <c r="W190" s="20"/>
      <c r="X190" s="20"/>
      <c r="Y190" s="20"/>
      <c r="Z190" s="20"/>
      <c r="AA190" s="20"/>
      <c r="AB190" s="20"/>
      <c r="AC190" s="20"/>
      <c r="AD190" s="20"/>
      <c r="AE190" s="20"/>
      <c r="AF190" s="20"/>
      <c r="AG190" s="20"/>
      <c r="AH190" s="20"/>
      <c r="AI190" s="20"/>
      <c r="AJ190" s="20"/>
      <c r="AK190" s="20"/>
      <c r="AL190" s="20"/>
      <c r="AM190" s="20"/>
    </row>
    <row r="191" spans="1:39" x14ac:dyDescent="0.2">
      <c r="A191" s="18" t="s">
        <v>66</v>
      </c>
      <c r="B191" s="19"/>
      <c r="C191" s="20"/>
      <c r="D191" s="20"/>
      <c r="E191" s="20"/>
      <c r="F191" s="20"/>
      <c r="G191" s="20"/>
      <c r="H191" s="20"/>
      <c r="I191" s="20"/>
      <c r="J191" s="20"/>
      <c r="K191" s="20"/>
      <c r="L191" s="20"/>
      <c r="M191" s="20"/>
      <c r="N191" s="20"/>
      <c r="O191" s="20"/>
      <c r="P191" s="20"/>
      <c r="Q191" s="20"/>
      <c r="R191" s="20"/>
      <c r="S191" s="20"/>
      <c r="T191" s="20"/>
      <c r="U191" s="20"/>
      <c r="V191" s="20"/>
      <c r="W191" s="20"/>
      <c r="X191" s="20"/>
      <c r="Y191" s="20"/>
      <c r="Z191" s="20"/>
      <c r="AA191" s="20"/>
      <c r="AB191" s="20"/>
      <c r="AC191" s="20"/>
      <c r="AD191" s="20"/>
      <c r="AE191" s="20"/>
      <c r="AF191" s="20"/>
      <c r="AG191" s="20"/>
      <c r="AH191" s="20"/>
      <c r="AI191" s="20"/>
      <c r="AJ191" s="20"/>
      <c r="AK191" s="20"/>
      <c r="AL191" s="20"/>
      <c r="AM191" s="20"/>
    </row>
    <row r="192" spans="1:39" x14ac:dyDescent="0.2">
      <c r="A192" s="22" t="str">
        <f>$A64</f>
        <v>Sliema</v>
      </c>
      <c r="B192" s="19"/>
      <c r="C192" s="20">
        <f ca="1">IFERROR(IF(VLOOKUP($A192,$184:$189,C$1+2,FALSE)=0,C64,0),C64)</f>
        <v>307481.46526147495</v>
      </c>
      <c r="D192" s="20">
        <f t="shared" ref="D192:AM196" ca="1" si="148">IFERROR(IF(VLOOKUP($A192,$184:$189,D$1+2,FALSE)=0,D64,0),D64)</f>
        <v>316705.90921931923</v>
      </c>
      <c r="E192" s="20">
        <f t="shared" ca="1" si="148"/>
        <v>326207.08649589884</v>
      </c>
      <c r="F192" s="20">
        <f t="shared" ca="1" si="148"/>
        <v>335993.29909077584</v>
      </c>
      <c r="G192" s="20">
        <f t="shared" ca="1" si="148"/>
        <v>346073.09806349914</v>
      </c>
      <c r="H192" s="20">
        <f t="shared" ca="1" si="148"/>
        <v>356455.29100540414</v>
      </c>
      <c r="I192" s="20">
        <f t="shared" ca="1" si="148"/>
        <v>367148.94973556628</v>
      </c>
      <c r="J192" s="20">
        <f t="shared" ca="1" si="148"/>
        <v>378163.41822763329</v>
      </c>
      <c r="K192" s="20">
        <f t="shared" ca="1" si="148"/>
        <v>389508.32077446231</v>
      </c>
      <c r="L192" s="20">
        <f t="shared" ca="1" si="148"/>
        <v>401193.57039769617</v>
      </c>
      <c r="M192" s="20">
        <f t="shared" ca="1" si="148"/>
        <v>413229.37750962708</v>
      </c>
      <c r="N192" s="20">
        <f t="shared" ca="1" si="148"/>
        <v>425626.25883491593</v>
      </c>
      <c r="O192" s="20">
        <f t="shared" ca="1" si="148"/>
        <v>438395.04659996345</v>
      </c>
      <c r="P192" s="20">
        <f t="shared" ca="1" si="148"/>
        <v>451546.89799796237</v>
      </c>
      <c r="Q192" s="20">
        <f t="shared" ca="1" si="148"/>
        <v>465093.30493790127</v>
      </c>
      <c r="R192" s="20">
        <f t="shared" ca="1" si="148"/>
        <v>479046.10408603831</v>
      </c>
      <c r="S192" s="20">
        <f t="shared" ca="1" si="148"/>
        <v>493417.48720861948</v>
      </c>
      <c r="T192" s="20">
        <f t="shared" ca="1" si="148"/>
        <v>508220.01182487811</v>
      </c>
      <c r="U192" s="20">
        <f t="shared" ca="1" si="148"/>
        <v>523466.61217962444</v>
      </c>
      <c r="V192" s="20">
        <f t="shared" ca="1" si="148"/>
        <v>539170.61054501322</v>
      </c>
      <c r="W192" s="20">
        <f t="shared" ca="1" si="148"/>
        <v>555345.7288613636</v>
      </c>
      <c r="X192" s="20">
        <f t="shared" ca="1" si="148"/>
        <v>572006.10072720458</v>
      </c>
      <c r="Y192" s="20">
        <f t="shared" ca="1" si="148"/>
        <v>589166.28374902077</v>
      </c>
      <c r="Z192" s="20">
        <f t="shared" ca="1" si="148"/>
        <v>606841.27226149139</v>
      </c>
      <c r="AA192" s="20">
        <f t="shared" ca="1" si="148"/>
        <v>625046.51042933611</v>
      </c>
      <c r="AB192" s="20">
        <f t="shared" ca="1" si="148"/>
        <v>643797.90574221616</v>
      </c>
      <c r="AC192" s="20">
        <f t="shared" ca="1" si="148"/>
        <v>663111.8429144827</v>
      </c>
      <c r="AD192" s="20">
        <f t="shared" ca="1" si="148"/>
        <v>683005.19820191723</v>
      </c>
      <c r="AE192" s="20">
        <f t="shared" ca="1" si="148"/>
        <v>703495.35414797475</v>
      </c>
      <c r="AF192" s="20">
        <f t="shared" ca="1" si="148"/>
        <v>724600.21477241407</v>
      </c>
      <c r="AG192" s="20">
        <f t="shared" ca="1" si="148"/>
        <v>746338.22121558653</v>
      </c>
      <c r="AH192" s="20">
        <f t="shared" ca="1" si="148"/>
        <v>768728.36785205419</v>
      </c>
      <c r="AI192" s="20">
        <f t="shared" ca="1" si="148"/>
        <v>791790.21888761583</v>
      </c>
      <c r="AJ192" s="20">
        <f t="shared" ca="1" si="148"/>
        <v>815543.92545424437</v>
      </c>
      <c r="AK192" s="20">
        <f t="shared" ca="1" si="148"/>
        <v>840010.24321787176</v>
      </c>
      <c r="AL192" s="20">
        <f t="shared" ca="1" si="148"/>
        <v>865210.55051440792</v>
      </c>
      <c r="AM192" s="20">
        <f t="shared" ca="1" si="148"/>
        <v>891166.86702984013</v>
      </c>
    </row>
    <row r="193" spans="1:39" x14ac:dyDescent="0.2">
      <c r="A193" s="22" t="str">
        <f>$A65</f>
        <v>Gzira</v>
      </c>
      <c r="B193" s="19"/>
      <c r="C193" s="20">
        <f t="shared" ref="C193:D196" ca="1" si="149">IFERROR(IF(VLOOKUP($A193,$184:$189,C$1+2,FALSE)=0,C65,0),C65)</f>
        <v>153740.73263073748</v>
      </c>
      <c r="D193" s="20">
        <f t="shared" ca="1" si="149"/>
        <v>158352.95460965962</v>
      </c>
      <c r="E193" s="20">
        <f t="shared" ca="1" si="148"/>
        <v>163103.54324794942</v>
      </c>
      <c r="F193" s="20">
        <f t="shared" ca="1" si="148"/>
        <v>167996.64954538792</v>
      </c>
      <c r="G193" s="20">
        <f t="shared" ca="1" si="148"/>
        <v>173036.54903174957</v>
      </c>
      <c r="H193" s="20">
        <f t="shared" ca="1" si="148"/>
        <v>178227.64550270207</v>
      </c>
      <c r="I193" s="20">
        <f t="shared" ca="1" si="148"/>
        <v>183574.47486778314</v>
      </c>
      <c r="J193" s="20">
        <f t="shared" ca="1" si="148"/>
        <v>189081.70911381664</v>
      </c>
      <c r="K193" s="20">
        <f t="shared" ca="1" si="148"/>
        <v>194754.16038723115</v>
      </c>
      <c r="L193" s="20">
        <f t="shared" ca="1" si="148"/>
        <v>200596.78519884808</v>
      </c>
      <c r="M193" s="20">
        <f t="shared" ca="1" si="148"/>
        <v>206614.68875481354</v>
      </c>
      <c r="N193" s="20">
        <f t="shared" ca="1" si="148"/>
        <v>212813.12941745797</v>
      </c>
      <c r="O193" s="20">
        <f t="shared" ca="1" si="148"/>
        <v>219197.52329998172</v>
      </c>
      <c r="P193" s="20">
        <f t="shared" ca="1" si="148"/>
        <v>225773.44899898118</v>
      </c>
      <c r="Q193" s="20">
        <f t="shared" ca="1" si="148"/>
        <v>232546.65246895063</v>
      </c>
      <c r="R193" s="20">
        <f t="shared" ca="1" si="148"/>
        <v>239523.05204301915</v>
      </c>
      <c r="S193" s="20">
        <f t="shared" ca="1" si="148"/>
        <v>246708.74360430974</v>
      </c>
      <c r="T193" s="20">
        <f t="shared" ca="1" si="148"/>
        <v>254110.00591243905</v>
      </c>
      <c r="U193" s="20">
        <f t="shared" ca="1" si="148"/>
        <v>261733.30608981222</v>
      </c>
      <c r="V193" s="20">
        <f t="shared" ca="1" si="148"/>
        <v>269585.30527250661</v>
      </c>
      <c r="W193" s="20">
        <f t="shared" ca="1" si="148"/>
        <v>277672.8644306818</v>
      </c>
      <c r="X193" s="20">
        <f t="shared" ca="1" si="148"/>
        <v>286003.05036360229</v>
      </c>
      <c r="Y193" s="20">
        <f t="shared" ca="1" si="148"/>
        <v>294583.14187451039</v>
      </c>
      <c r="Z193" s="20">
        <f t="shared" ca="1" si="148"/>
        <v>303420.6361307457</v>
      </c>
      <c r="AA193" s="20">
        <f t="shared" ca="1" si="148"/>
        <v>312523.25521466805</v>
      </c>
      <c r="AB193" s="20">
        <f t="shared" ca="1" si="148"/>
        <v>321898.95287110808</v>
      </c>
      <c r="AC193" s="20">
        <f t="shared" ca="1" si="148"/>
        <v>331555.92145724135</v>
      </c>
      <c r="AD193" s="20">
        <f t="shared" ca="1" si="148"/>
        <v>341502.59910095861</v>
      </c>
      <c r="AE193" s="20">
        <f t="shared" ca="1" si="148"/>
        <v>351747.67707398738</v>
      </c>
      <c r="AF193" s="20">
        <f t="shared" ca="1" si="148"/>
        <v>362300.10738620703</v>
      </c>
      <c r="AG193" s="20">
        <f t="shared" ca="1" si="148"/>
        <v>373169.11060779326</v>
      </c>
      <c r="AH193" s="20">
        <f t="shared" ca="1" si="148"/>
        <v>384364.18392602709</v>
      </c>
      <c r="AI193" s="20">
        <f t="shared" ca="1" si="148"/>
        <v>395895.10944380792</v>
      </c>
      <c r="AJ193" s="20">
        <f t="shared" ca="1" si="148"/>
        <v>407771.96272712218</v>
      </c>
      <c r="AK193" s="20">
        <f t="shared" ca="1" si="148"/>
        <v>420005.12160893588</v>
      </c>
      <c r="AL193" s="20">
        <f t="shared" ca="1" si="148"/>
        <v>432605.27525720396</v>
      </c>
      <c r="AM193" s="20">
        <f t="shared" ca="1" si="148"/>
        <v>445583.43351492006</v>
      </c>
    </row>
    <row r="194" spans="1:39" x14ac:dyDescent="0.2">
      <c r="A194" s="22" t="str">
        <f t="shared" ref="A194:A196" si="150">$A66</f>
        <v>Qormi</v>
      </c>
      <c r="B194" s="19"/>
      <c r="C194" s="20">
        <f t="shared" ca="1" si="149"/>
        <v>225486.40785841495</v>
      </c>
      <c r="D194" s="20">
        <f t="shared" ca="1" si="149"/>
        <v>232251.00009416742</v>
      </c>
      <c r="E194" s="20">
        <f t="shared" ca="1" si="148"/>
        <v>239218.53009699244</v>
      </c>
      <c r="F194" s="20">
        <f t="shared" ca="1" si="148"/>
        <v>246395.08599990222</v>
      </c>
      <c r="G194" s="20">
        <f t="shared" ca="1" si="148"/>
        <v>253786.93857989929</v>
      </c>
      <c r="H194" s="20">
        <f t="shared" ca="1" si="148"/>
        <v>261400.54673729627</v>
      </c>
      <c r="I194" s="20">
        <f t="shared" ca="1" si="148"/>
        <v>269242.56313941517</v>
      </c>
      <c r="J194" s="20">
        <f t="shared" ca="1" si="148"/>
        <v>277319.84003359766</v>
      </c>
      <c r="K194" s="20">
        <f t="shared" ca="1" si="148"/>
        <v>285639.43523460563</v>
      </c>
      <c r="L194" s="20">
        <f t="shared" ca="1" si="148"/>
        <v>294208.6182916438</v>
      </c>
      <c r="M194" s="20">
        <f t="shared" ca="1" si="148"/>
        <v>303034.87684039312</v>
      </c>
      <c r="N194" s="20">
        <f t="shared" ca="1" si="148"/>
        <v>312125.9231456049</v>
      </c>
      <c r="O194" s="20">
        <f t="shared" ca="1" si="148"/>
        <v>321489.70083997305</v>
      </c>
      <c r="P194" s="20">
        <f t="shared" ca="1" si="148"/>
        <v>331134.39186517225</v>
      </c>
      <c r="Q194" s="20">
        <f t="shared" ca="1" si="148"/>
        <v>341068.42362112744</v>
      </c>
      <c r="R194" s="20">
        <f t="shared" ca="1" si="148"/>
        <v>351300.47632976127</v>
      </c>
      <c r="S194" s="20">
        <f t="shared" ca="1" si="148"/>
        <v>361839.49061965413</v>
      </c>
      <c r="T194" s="20">
        <f t="shared" ca="1" si="148"/>
        <v>372694.67533824377</v>
      </c>
      <c r="U194" s="20">
        <f t="shared" ca="1" si="148"/>
        <v>383875.51559839112</v>
      </c>
      <c r="V194" s="20">
        <f t="shared" ca="1" si="148"/>
        <v>395391.7810663429</v>
      </c>
      <c r="W194" s="20">
        <f t="shared" ca="1" si="148"/>
        <v>407253.53449833317</v>
      </c>
      <c r="X194" s="20">
        <f t="shared" ca="1" si="148"/>
        <v>419471.14053328318</v>
      </c>
      <c r="Y194" s="20">
        <f t="shared" ca="1" si="148"/>
        <v>432055.2747492817</v>
      </c>
      <c r="Z194" s="20">
        <f t="shared" ca="1" si="148"/>
        <v>445016.93299176014</v>
      </c>
      <c r="AA194" s="20">
        <f t="shared" ca="1" si="148"/>
        <v>458367.44098151295</v>
      </c>
      <c r="AB194" s="20">
        <f t="shared" ca="1" si="148"/>
        <v>472118.46421095834</v>
      </c>
      <c r="AC194" s="20">
        <f t="shared" ca="1" si="148"/>
        <v>486282.01813728712</v>
      </c>
      <c r="AD194" s="20">
        <f t="shared" ca="1" si="148"/>
        <v>500870.47868140572</v>
      </c>
      <c r="AE194" s="20">
        <f t="shared" ca="1" si="148"/>
        <v>515896.59304184793</v>
      </c>
      <c r="AF194" s="20">
        <f t="shared" ca="1" si="148"/>
        <v>531373.49083310342</v>
      </c>
      <c r="AG194" s="20">
        <f t="shared" ca="1" si="148"/>
        <v>547314.69555809652</v>
      </c>
      <c r="AH194" s="20">
        <f t="shared" ca="1" si="148"/>
        <v>563734.13642483938</v>
      </c>
      <c r="AI194" s="20">
        <f t="shared" ca="1" si="148"/>
        <v>580646.16051758453</v>
      </c>
      <c r="AJ194" s="20">
        <f t="shared" ca="1" si="148"/>
        <v>598065.54533311212</v>
      </c>
      <c r="AK194" s="20">
        <f t="shared" ca="1" si="148"/>
        <v>616007.51169310545</v>
      </c>
      <c r="AL194" s="20">
        <f t="shared" ca="1" si="148"/>
        <v>634487.73704389867</v>
      </c>
      <c r="AM194" s="20">
        <f t="shared" ca="1" si="148"/>
        <v>653522.36915521568</v>
      </c>
    </row>
    <row r="195" spans="1:39" x14ac:dyDescent="0.2">
      <c r="A195" s="22" t="str">
        <f t="shared" si="150"/>
        <v>Gudja</v>
      </c>
      <c r="B195" s="19"/>
      <c r="C195" s="20">
        <f t="shared" ca="1" si="149"/>
        <v>81995.057403059982</v>
      </c>
      <c r="D195" s="20">
        <f t="shared" ca="1" si="149"/>
        <v>84454.909125151782</v>
      </c>
      <c r="E195" s="20">
        <f t="shared" ca="1" si="148"/>
        <v>86988.556398906338</v>
      </c>
      <c r="F195" s="20">
        <f t="shared" ca="1" si="148"/>
        <v>89598.213090873527</v>
      </c>
      <c r="G195" s="20">
        <f t="shared" ca="1" si="148"/>
        <v>92286.159483599738</v>
      </c>
      <c r="H195" s="20">
        <f t="shared" ca="1" si="148"/>
        <v>95054.744268107737</v>
      </c>
      <c r="I195" s="20">
        <f t="shared" ca="1" si="148"/>
        <v>97906.386596150973</v>
      </c>
      <c r="J195" s="20">
        <f t="shared" ca="1" si="148"/>
        <v>100843.57819403551</v>
      </c>
      <c r="K195" s="20">
        <f t="shared" ca="1" si="148"/>
        <v>103868.88553985658</v>
      </c>
      <c r="L195" s="20">
        <f t="shared" ca="1" si="148"/>
        <v>106984.95210605228</v>
      </c>
      <c r="M195" s="20">
        <f t="shared" ca="1" si="148"/>
        <v>110194.50066923385</v>
      </c>
      <c r="N195" s="20">
        <f t="shared" ca="1" si="148"/>
        <v>113500.33568931087</v>
      </c>
      <c r="O195" s="20">
        <f t="shared" ca="1" si="148"/>
        <v>116905.3457599902</v>
      </c>
      <c r="P195" s="20">
        <f t="shared" ca="1" si="148"/>
        <v>120412.50613278992</v>
      </c>
      <c r="Q195" s="20">
        <f t="shared" ca="1" si="148"/>
        <v>124024.88131677362</v>
      </c>
      <c r="R195" s="20">
        <f t="shared" ca="1" si="148"/>
        <v>127745.62775627684</v>
      </c>
      <c r="S195" s="20">
        <f t="shared" ca="1" si="148"/>
        <v>131577.99658896515</v>
      </c>
      <c r="T195" s="20">
        <f t="shared" ca="1" si="148"/>
        <v>135525.3364866341</v>
      </c>
      <c r="U195" s="20">
        <f t="shared" ca="1" si="148"/>
        <v>139591.09658123311</v>
      </c>
      <c r="V195" s="20">
        <f t="shared" ca="1" si="148"/>
        <v>143778.82947867012</v>
      </c>
      <c r="W195" s="20">
        <f t="shared" ca="1" si="148"/>
        <v>148092.19436303023</v>
      </c>
      <c r="X195" s="20">
        <f t="shared" ca="1" si="148"/>
        <v>152534.96019392114</v>
      </c>
      <c r="Y195" s="20">
        <f t="shared" ca="1" si="148"/>
        <v>157111.00899973878</v>
      </c>
      <c r="Z195" s="20">
        <f t="shared" ca="1" si="148"/>
        <v>161824.33926973096</v>
      </c>
      <c r="AA195" s="20">
        <f t="shared" ca="1" si="148"/>
        <v>166679.0694478229</v>
      </c>
      <c r="AB195" s="20">
        <f t="shared" ca="1" si="148"/>
        <v>171679.44153125759</v>
      </c>
      <c r="AC195" s="20">
        <f t="shared" ca="1" si="148"/>
        <v>176829.82477719532</v>
      </c>
      <c r="AD195" s="20">
        <f t="shared" ca="1" si="148"/>
        <v>182134.71952051119</v>
      </c>
      <c r="AE195" s="20">
        <f t="shared" ca="1" si="148"/>
        <v>187598.76110612653</v>
      </c>
      <c r="AF195" s="20">
        <f t="shared" ca="1" si="148"/>
        <v>193226.72393931032</v>
      </c>
      <c r="AG195" s="20">
        <f t="shared" ca="1" si="148"/>
        <v>199023.52565748963</v>
      </c>
      <c r="AH195" s="20">
        <f t="shared" ca="1" si="148"/>
        <v>204994.23142721434</v>
      </c>
      <c r="AI195" s="20">
        <f t="shared" ca="1" si="148"/>
        <v>211144.05837003078</v>
      </c>
      <c r="AJ195" s="20">
        <f t="shared" ca="1" si="148"/>
        <v>217478.38012113172</v>
      </c>
      <c r="AK195" s="20">
        <f t="shared" ca="1" si="148"/>
        <v>224002.73152476567</v>
      </c>
      <c r="AL195" s="20">
        <f t="shared" ca="1" si="148"/>
        <v>230722.81347050864</v>
      </c>
      <c r="AM195" s="20">
        <f t="shared" ca="1" si="148"/>
        <v>237644.49787462392</v>
      </c>
    </row>
    <row r="196" spans="1:39" x14ac:dyDescent="0.2">
      <c r="A196" s="22" t="str">
        <f t="shared" si="150"/>
        <v>Marsa</v>
      </c>
      <c r="B196" s="19"/>
      <c r="C196" s="20">
        <f t="shared" ca="1" si="149"/>
        <v>122992.58610458997</v>
      </c>
      <c r="D196" s="20">
        <f t="shared" ca="1" si="149"/>
        <v>126682.36368772767</v>
      </c>
      <c r="E196" s="20">
        <f t="shared" ca="1" si="148"/>
        <v>130482.83459835951</v>
      </c>
      <c r="F196" s="20">
        <f t="shared" ca="1" si="148"/>
        <v>134397.31963631031</v>
      </c>
      <c r="G196" s="20">
        <f t="shared" ca="1" si="148"/>
        <v>138429.23922539962</v>
      </c>
      <c r="H196" s="20">
        <f t="shared" ca="1" si="148"/>
        <v>142582.11640216163</v>
      </c>
      <c r="I196" s="20">
        <f t="shared" ca="1" si="148"/>
        <v>146859.57989422648</v>
      </c>
      <c r="J196" s="20">
        <f t="shared" ca="1" si="148"/>
        <v>151265.36729105329</v>
      </c>
      <c r="K196" s="20">
        <f t="shared" ca="1" si="148"/>
        <v>155803.32830978491</v>
      </c>
      <c r="L196" s="20">
        <f t="shared" ca="1" si="148"/>
        <v>160477.42815907847</v>
      </c>
      <c r="M196" s="20">
        <f t="shared" ca="1" si="148"/>
        <v>165291.75100385083</v>
      </c>
      <c r="N196" s="20">
        <f t="shared" ca="1" si="148"/>
        <v>170250.50353396637</v>
      </c>
      <c r="O196" s="20">
        <f t="shared" ca="1" si="148"/>
        <v>175358.01863998536</v>
      </c>
      <c r="P196" s="20">
        <f t="shared" ca="1" si="148"/>
        <v>180618.75919918492</v>
      </c>
      <c r="Q196" s="20">
        <f t="shared" ca="1" si="148"/>
        <v>186037.32197516048</v>
      </c>
      <c r="R196" s="20">
        <f t="shared" ca="1" si="148"/>
        <v>191618.4416344153</v>
      </c>
      <c r="S196" s="20">
        <f t="shared" ca="1" si="148"/>
        <v>197366.99488344777</v>
      </c>
      <c r="T196" s="20">
        <f t="shared" ca="1" si="148"/>
        <v>203288.00472995121</v>
      </c>
      <c r="U196" s="20">
        <f t="shared" ca="1" si="148"/>
        <v>209386.64487184974</v>
      </c>
      <c r="V196" s="20">
        <f t="shared" ca="1" si="148"/>
        <v>215668.24421800525</v>
      </c>
      <c r="W196" s="20">
        <f t="shared" ca="1" si="148"/>
        <v>222138.29154454541</v>
      </c>
      <c r="X196" s="20">
        <f t="shared" ca="1" si="148"/>
        <v>228802.44029088179</v>
      </c>
      <c r="Y196" s="20">
        <f t="shared" ca="1" si="148"/>
        <v>235666.51349960823</v>
      </c>
      <c r="Z196" s="20">
        <f t="shared" ca="1" si="148"/>
        <v>242736.5089045965</v>
      </c>
      <c r="AA196" s="20">
        <f t="shared" ca="1" si="148"/>
        <v>250018.60417173439</v>
      </c>
      <c r="AB196" s="20">
        <f t="shared" ca="1" si="148"/>
        <v>257519.16229688644</v>
      </c>
      <c r="AC196" s="20">
        <f t="shared" ca="1" si="148"/>
        <v>265244.73716579302</v>
      </c>
      <c r="AD196" s="20">
        <f t="shared" ca="1" si="148"/>
        <v>273202.07928076683</v>
      </c>
      <c r="AE196" s="20">
        <f t="shared" ca="1" si="148"/>
        <v>281398.14165918983</v>
      </c>
      <c r="AF196" s="20">
        <f t="shared" ca="1" si="148"/>
        <v>289840.08590896556</v>
      </c>
      <c r="AG196" s="20">
        <f t="shared" ca="1" si="148"/>
        <v>298535.28848623455</v>
      </c>
      <c r="AH196" s="20">
        <f t="shared" ca="1" si="148"/>
        <v>307491.34714082157</v>
      </c>
      <c r="AI196" s="20">
        <f t="shared" ca="1" si="148"/>
        <v>316716.08755504625</v>
      </c>
      <c r="AJ196" s="20">
        <f t="shared" ca="1" si="148"/>
        <v>326217.57018169767</v>
      </c>
      <c r="AK196" s="20">
        <f t="shared" ca="1" si="148"/>
        <v>336004.09728714859</v>
      </c>
      <c r="AL196" s="20">
        <f t="shared" ca="1" si="148"/>
        <v>346084.22020576306</v>
      </c>
      <c r="AM196" s="20">
        <f t="shared" ca="1" si="148"/>
        <v>356466.74681193597</v>
      </c>
    </row>
    <row r="197" spans="1:39" x14ac:dyDescent="0.2"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  <c r="AA197" s="7"/>
      <c r="AB197" s="7"/>
      <c r="AC197" s="7"/>
      <c r="AD197" s="7"/>
      <c r="AE197" s="7"/>
      <c r="AF197" s="7"/>
      <c r="AG197" s="7"/>
      <c r="AH197" s="7"/>
      <c r="AI197" s="7"/>
      <c r="AJ197" s="7"/>
      <c r="AK197" s="7"/>
      <c r="AL197" s="7"/>
      <c r="AM197" s="7"/>
    </row>
    <row r="198" spans="1:39" x14ac:dyDescent="0.2">
      <c r="A198" s="18" t="s">
        <v>63</v>
      </c>
      <c r="B198" s="19"/>
      <c r="C198" s="20"/>
      <c r="D198" s="20"/>
      <c r="E198" s="20"/>
      <c r="F198" s="20"/>
      <c r="G198" s="20"/>
      <c r="H198" s="20"/>
      <c r="I198" s="20"/>
      <c r="J198" s="20"/>
      <c r="K198" s="20"/>
      <c r="L198" s="20"/>
      <c r="M198" s="20"/>
      <c r="N198" s="20"/>
      <c r="O198" s="20"/>
      <c r="P198" s="20"/>
      <c r="Q198" s="20"/>
      <c r="R198" s="20"/>
      <c r="S198" s="20"/>
      <c r="T198" s="20"/>
      <c r="U198" s="20"/>
      <c r="V198" s="20"/>
      <c r="W198" s="20"/>
      <c r="X198" s="20"/>
      <c r="Y198" s="20"/>
      <c r="Z198" s="20"/>
      <c r="AA198" s="20"/>
      <c r="AB198" s="20"/>
      <c r="AC198" s="20"/>
      <c r="AD198" s="20"/>
      <c r="AE198" s="20"/>
      <c r="AF198" s="20"/>
      <c r="AG198" s="20"/>
      <c r="AH198" s="20"/>
      <c r="AI198" s="20"/>
      <c r="AJ198" s="20"/>
      <c r="AK198" s="20"/>
      <c r="AL198" s="20"/>
      <c r="AM198" s="20"/>
    </row>
    <row r="199" spans="1:39" x14ac:dyDescent="0.2">
      <c r="A199" s="22" t="str">
        <f>B$104</f>
        <v>Gudja</v>
      </c>
      <c r="B199" s="19"/>
      <c r="C199" s="20">
        <f ca="1">SUM($C104:C104)</f>
        <v>0</v>
      </c>
      <c r="D199" s="20">
        <f ca="1">SUM($C104:D104)</f>
        <v>0</v>
      </c>
      <c r="E199" s="20">
        <f ca="1">SUM($C104:E104)</f>
        <v>0</v>
      </c>
      <c r="F199" s="20">
        <f ca="1">SUM($C104:F104)</f>
        <v>0</v>
      </c>
      <c r="G199" s="20">
        <f ca="1">SUM($C104:G104)</f>
        <v>0</v>
      </c>
      <c r="H199" s="20">
        <f ca="1">SUM($C104:H104)</f>
        <v>0</v>
      </c>
      <c r="I199" s="20">
        <f ca="1">SUM($C104:I104)</f>
        <v>0</v>
      </c>
      <c r="J199" s="20">
        <f ca="1">SUM($C104:J104)</f>
        <v>0</v>
      </c>
      <c r="K199" s="20">
        <f ca="1">SUM($C104:K104)</f>
        <v>0</v>
      </c>
      <c r="L199" s="20">
        <f ca="1">SUM($C104:L104)</f>
        <v>0</v>
      </c>
      <c r="M199" s="20">
        <f ca="1">SUM($C104:M104)</f>
        <v>0</v>
      </c>
      <c r="N199" s="20">
        <f ca="1">SUM($C104:N104)</f>
        <v>0</v>
      </c>
      <c r="O199" s="20">
        <f ca="1">SUM($C104:O104)</f>
        <v>0</v>
      </c>
      <c r="P199" s="20">
        <f ca="1">SUM($C104:P104)</f>
        <v>0</v>
      </c>
      <c r="Q199" s="20">
        <f ca="1">SUM($C104:Q104)</f>
        <v>0</v>
      </c>
      <c r="R199" s="20">
        <f ca="1">SUM($C104:R104)</f>
        <v>0</v>
      </c>
      <c r="S199" s="20">
        <f ca="1">SUM($C104:S104)</f>
        <v>0</v>
      </c>
      <c r="T199" s="20">
        <f ca="1">SUM($C104:T104)</f>
        <v>0</v>
      </c>
      <c r="U199" s="20">
        <f ca="1">SUM($C104:U104)</f>
        <v>0</v>
      </c>
      <c r="V199" s="20">
        <f ca="1">SUM($C104:V104)</f>
        <v>0</v>
      </c>
      <c r="W199" s="20">
        <f ca="1">SUM($C104:W104)</f>
        <v>0</v>
      </c>
      <c r="X199" s="20">
        <f ca="1">SUM($C104:X104)</f>
        <v>0</v>
      </c>
      <c r="Y199" s="20">
        <f ca="1">SUM($C104:Y104)</f>
        <v>0</v>
      </c>
      <c r="Z199" s="20">
        <f ca="1">SUM($C104:Z104)</f>
        <v>0</v>
      </c>
      <c r="AA199" s="20">
        <f ca="1">SUM($C104:AA104)</f>
        <v>0</v>
      </c>
      <c r="AB199" s="20">
        <f ca="1">SUM($C104:AB104)</f>
        <v>0</v>
      </c>
      <c r="AC199" s="20">
        <f ca="1">SUM($C104:AC104)</f>
        <v>0</v>
      </c>
      <c r="AD199" s="20">
        <f ca="1">SUM($C104:AD104)</f>
        <v>0</v>
      </c>
      <c r="AE199" s="20">
        <f ca="1">SUM($C104:AE104)</f>
        <v>0</v>
      </c>
      <c r="AF199" s="20">
        <f ca="1">SUM($C104:AF104)</f>
        <v>0</v>
      </c>
      <c r="AG199" s="20">
        <f ca="1">SUM($C104:AG104)</f>
        <v>0</v>
      </c>
      <c r="AH199" s="20">
        <f ca="1">SUM($C104:AH104)</f>
        <v>0</v>
      </c>
      <c r="AI199" s="20">
        <f ca="1">SUM($C104:AI104)</f>
        <v>0</v>
      </c>
      <c r="AJ199" s="20">
        <f ca="1">SUM($C104:AJ104)</f>
        <v>0</v>
      </c>
      <c r="AK199" s="20">
        <f ca="1">SUM($C104:AK104)</f>
        <v>0</v>
      </c>
      <c r="AL199" s="20">
        <f ca="1">SUM($C104:AL104)</f>
        <v>0</v>
      </c>
      <c r="AM199" s="20">
        <f ca="1">SUM($C104:AM104)</f>
        <v>0</v>
      </c>
    </row>
    <row r="200" spans="1:39" x14ac:dyDescent="0.2">
      <c r="A200" s="22" t="str">
        <f>B$121</f>
        <v>Marsa</v>
      </c>
      <c r="B200" s="19"/>
      <c r="C200" s="20">
        <f ca="1">SUM($C121:C121)</f>
        <v>0</v>
      </c>
      <c r="D200" s="20">
        <f ca="1">SUM($C121:D121)</f>
        <v>0</v>
      </c>
      <c r="E200" s="20">
        <f ca="1">SUM($C121:E121)</f>
        <v>0</v>
      </c>
      <c r="F200" s="20">
        <f ca="1">SUM($C121:F121)</f>
        <v>0</v>
      </c>
      <c r="G200" s="20">
        <f ca="1">SUM($C121:G121)</f>
        <v>0</v>
      </c>
      <c r="H200" s="20">
        <f ca="1">SUM($C121:H121)</f>
        <v>0</v>
      </c>
      <c r="I200" s="20">
        <f ca="1">SUM($C121:I121)</f>
        <v>0</v>
      </c>
      <c r="J200" s="20">
        <f ca="1">SUM($C121:J121)</f>
        <v>0</v>
      </c>
      <c r="K200" s="20">
        <f ca="1">SUM($C121:K121)</f>
        <v>0</v>
      </c>
      <c r="L200" s="20">
        <f ca="1">SUM($C121:L121)</f>
        <v>0</v>
      </c>
      <c r="M200" s="20">
        <f ca="1">SUM($C121:M121)</f>
        <v>0</v>
      </c>
      <c r="N200" s="20">
        <f ca="1">SUM($C121:N121)</f>
        <v>0</v>
      </c>
      <c r="O200" s="20">
        <f ca="1">SUM($C121:O121)</f>
        <v>0</v>
      </c>
      <c r="P200" s="20">
        <f ca="1">SUM($C121:P121)</f>
        <v>0</v>
      </c>
      <c r="Q200" s="20">
        <f ca="1">SUM($C121:Q121)</f>
        <v>0</v>
      </c>
      <c r="R200" s="20">
        <f ca="1">SUM($C121:R121)</f>
        <v>0</v>
      </c>
      <c r="S200" s="20">
        <f ca="1">SUM($C121:S121)</f>
        <v>0</v>
      </c>
      <c r="T200" s="20">
        <f ca="1">SUM($C121:T121)</f>
        <v>0</v>
      </c>
      <c r="U200" s="20">
        <f ca="1">SUM($C121:U121)</f>
        <v>0</v>
      </c>
      <c r="V200" s="20">
        <f ca="1">SUM($C121:V121)</f>
        <v>0</v>
      </c>
      <c r="W200" s="20">
        <f ca="1">SUM($C121:W121)</f>
        <v>0</v>
      </c>
      <c r="X200" s="20">
        <f ca="1">SUM($C121:X121)</f>
        <v>0</v>
      </c>
      <c r="Y200" s="20">
        <f ca="1">SUM($C121:Y121)</f>
        <v>0</v>
      </c>
      <c r="Z200" s="20">
        <f ca="1">SUM($C121:Z121)</f>
        <v>0</v>
      </c>
      <c r="AA200" s="20">
        <f ca="1">SUM($C121:AA121)</f>
        <v>0</v>
      </c>
      <c r="AB200" s="20">
        <f ca="1">SUM($C121:AB121)</f>
        <v>0</v>
      </c>
      <c r="AC200" s="20">
        <f ca="1">SUM($C121:AC121)</f>
        <v>0</v>
      </c>
      <c r="AD200" s="20">
        <f ca="1">SUM($C121:AD121)</f>
        <v>0</v>
      </c>
      <c r="AE200" s="20">
        <f ca="1">SUM($C121:AE121)</f>
        <v>0</v>
      </c>
      <c r="AF200" s="20">
        <f ca="1">SUM($C121:AF121)</f>
        <v>0</v>
      </c>
      <c r="AG200" s="20">
        <f ca="1">SUM($C121:AG121)</f>
        <v>0</v>
      </c>
      <c r="AH200" s="20">
        <f ca="1">SUM($C121:AH121)</f>
        <v>0</v>
      </c>
      <c r="AI200" s="20">
        <f ca="1">SUM($C121:AI121)</f>
        <v>0</v>
      </c>
      <c r="AJ200" s="20">
        <f ca="1">SUM($C121:AJ121)</f>
        <v>0</v>
      </c>
      <c r="AK200" s="20">
        <f ca="1">SUM($C121:AK121)</f>
        <v>0</v>
      </c>
      <c r="AL200" s="20">
        <f ca="1">SUM($C121:AL121)</f>
        <v>0</v>
      </c>
      <c r="AM200" s="20">
        <f ca="1">SUM($C121:AM121)</f>
        <v>0</v>
      </c>
    </row>
    <row r="201" spans="1:39" x14ac:dyDescent="0.2">
      <c r="A201" s="22" t="str">
        <f>B$138</f>
        <v>Gzira</v>
      </c>
      <c r="B201" s="19"/>
      <c r="C201" s="20">
        <f ca="1">SUM($C138:C138)</f>
        <v>0</v>
      </c>
      <c r="D201" s="20">
        <f ca="1">SUM($C138:D138)</f>
        <v>0</v>
      </c>
      <c r="E201" s="20">
        <f ca="1">SUM($C138:E138)</f>
        <v>0</v>
      </c>
      <c r="F201" s="20">
        <f ca="1">SUM($C138:F138)</f>
        <v>0</v>
      </c>
      <c r="G201" s="20">
        <f ca="1">SUM($C138:G138)</f>
        <v>0</v>
      </c>
      <c r="H201" s="20">
        <f ca="1">SUM($C138:H138)</f>
        <v>0</v>
      </c>
      <c r="I201" s="20">
        <f ca="1">SUM($C138:I138)</f>
        <v>0</v>
      </c>
      <c r="J201" s="20">
        <f ca="1">SUM($C138:J138)</f>
        <v>0</v>
      </c>
      <c r="K201" s="20">
        <f ca="1">SUM($C138:K138)</f>
        <v>0</v>
      </c>
      <c r="L201" s="20">
        <f ca="1">SUM($C138:L138)</f>
        <v>0</v>
      </c>
      <c r="M201" s="20">
        <f ca="1">SUM($C138:M138)</f>
        <v>0</v>
      </c>
      <c r="N201" s="20">
        <f ca="1">SUM($C138:N138)</f>
        <v>0</v>
      </c>
      <c r="O201" s="20">
        <f ca="1">SUM($C138:O138)</f>
        <v>0</v>
      </c>
      <c r="P201" s="20">
        <f ca="1">SUM($C138:P138)</f>
        <v>0</v>
      </c>
      <c r="Q201" s="20">
        <f ca="1">SUM($C138:Q138)</f>
        <v>0</v>
      </c>
      <c r="R201" s="20">
        <f ca="1">SUM($C138:R138)</f>
        <v>0</v>
      </c>
      <c r="S201" s="20">
        <f ca="1">SUM($C138:S138)</f>
        <v>0</v>
      </c>
      <c r="T201" s="20">
        <f ca="1">SUM($C138:T138)</f>
        <v>0</v>
      </c>
      <c r="U201" s="20">
        <f ca="1">SUM($C138:U138)</f>
        <v>0</v>
      </c>
      <c r="V201" s="20">
        <f ca="1">SUM($C138:V138)</f>
        <v>0</v>
      </c>
      <c r="W201" s="20">
        <f ca="1">SUM($C138:W138)</f>
        <v>0</v>
      </c>
      <c r="X201" s="20">
        <f ca="1">SUM($C138:X138)</f>
        <v>0</v>
      </c>
      <c r="Y201" s="20">
        <f ca="1">SUM($C138:Y138)</f>
        <v>0</v>
      </c>
      <c r="Z201" s="20">
        <f ca="1">SUM($C138:Z138)</f>
        <v>0</v>
      </c>
      <c r="AA201" s="20">
        <f ca="1">SUM($C138:AA138)</f>
        <v>0</v>
      </c>
      <c r="AB201" s="20">
        <f ca="1">SUM($C138:AB138)</f>
        <v>0</v>
      </c>
      <c r="AC201" s="20">
        <f ca="1">SUM($C138:AC138)</f>
        <v>0</v>
      </c>
      <c r="AD201" s="20">
        <f ca="1">SUM($C138:AD138)</f>
        <v>0</v>
      </c>
      <c r="AE201" s="20">
        <f ca="1">SUM($C138:AE138)</f>
        <v>0</v>
      </c>
      <c r="AF201" s="20">
        <f ca="1">SUM($C138:AF138)</f>
        <v>0</v>
      </c>
      <c r="AG201" s="20">
        <f ca="1">SUM($C138:AG138)</f>
        <v>0</v>
      </c>
      <c r="AH201" s="20">
        <f ca="1">SUM($C138:AH138)</f>
        <v>0</v>
      </c>
      <c r="AI201" s="20">
        <f ca="1">SUM($C138:AI138)</f>
        <v>0</v>
      </c>
      <c r="AJ201" s="20">
        <f ca="1">SUM($C138:AJ138)</f>
        <v>0</v>
      </c>
      <c r="AK201" s="20">
        <f ca="1">SUM($C138:AK138)</f>
        <v>0</v>
      </c>
      <c r="AL201" s="20">
        <f ca="1">SUM($C138:AL138)</f>
        <v>0</v>
      </c>
      <c r="AM201" s="20">
        <f ca="1">SUM($C138:AM138)</f>
        <v>0</v>
      </c>
    </row>
    <row r="202" spans="1:39" x14ac:dyDescent="0.2">
      <c r="A202" s="22" t="str">
        <f>B$155</f>
        <v>Qormi</v>
      </c>
      <c r="B202" s="19"/>
      <c r="C202" s="20">
        <f ca="1">SUM($C155:C155)</f>
        <v>0</v>
      </c>
      <c r="D202" s="20">
        <f ca="1">SUM($C155:D155)</f>
        <v>0</v>
      </c>
      <c r="E202" s="20">
        <f ca="1">SUM($C155:E155)</f>
        <v>0</v>
      </c>
      <c r="F202" s="20">
        <f ca="1">SUM($C155:F155)</f>
        <v>0</v>
      </c>
      <c r="G202" s="20">
        <f ca="1">SUM($C155:G155)</f>
        <v>0</v>
      </c>
      <c r="H202" s="20">
        <f ca="1">SUM($C155:H155)</f>
        <v>0</v>
      </c>
      <c r="I202" s="20">
        <f ca="1">SUM($C155:I155)</f>
        <v>0</v>
      </c>
      <c r="J202" s="20">
        <f ca="1">SUM($C155:J155)</f>
        <v>0</v>
      </c>
      <c r="K202" s="20">
        <f ca="1">SUM($C155:K155)</f>
        <v>0</v>
      </c>
      <c r="L202" s="20">
        <f ca="1">SUM($C155:L155)</f>
        <v>0</v>
      </c>
      <c r="M202" s="20">
        <f ca="1">SUM($C155:M155)</f>
        <v>0</v>
      </c>
      <c r="N202" s="20">
        <f ca="1">SUM($C155:N155)</f>
        <v>0</v>
      </c>
      <c r="O202" s="20">
        <f ca="1">SUM($C155:O155)</f>
        <v>0</v>
      </c>
      <c r="P202" s="20">
        <f ca="1">SUM($C155:P155)</f>
        <v>0</v>
      </c>
      <c r="Q202" s="20">
        <f ca="1">SUM($C155:Q155)</f>
        <v>0</v>
      </c>
      <c r="R202" s="20">
        <f ca="1">SUM($C155:R155)</f>
        <v>0</v>
      </c>
      <c r="S202" s="20">
        <f ca="1">SUM($C155:S155)</f>
        <v>0</v>
      </c>
      <c r="T202" s="20">
        <f ca="1">SUM($C155:T155)</f>
        <v>0</v>
      </c>
      <c r="U202" s="20">
        <f ca="1">SUM($C155:U155)</f>
        <v>0</v>
      </c>
      <c r="V202" s="20">
        <f ca="1">SUM($C155:V155)</f>
        <v>0</v>
      </c>
      <c r="W202" s="20">
        <f ca="1">SUM($C155:W155)</f>
        <v>0</v>
      </c>
      <c r="X202" s="20">
        <f ca="1">SUM($C155:X155)</f>
        <v>0</v>
      </c>
      <c r="Y202" s="20">
        <f ca="1">SUM($C155:Y155)</f>
        <v>0</v>
      </c>
      <c r="Z202" s="20">
        <f ca="1">SUM($C155:Z155)</f>
        <v>0</v>
      </c>
      <c r="AA202" s="20">
        <f ca="1">SUM($C155:AA155)</f>
        <v>0</v>
      </c>
      <c r="AB202" s="20">
        <f ca="1">SUM($C155:AB155)</f>
        <v>0</v>
      </c>
      <c r="AC202" s="20">
        <f ca="1">SUM($C155:AC155)</f>
        <v>0</v>
      </c>
      <c r="AD202" s="20">
        <f ca="1">SUM($C155:AD155)</f>
        <v>0</v>
      </c>
      <c r="AE202" s="20">
        <f ca="1">SUM($C155:AE155)</f>
        <v>0</v>
      </c>
      <c r="AF202" s="20">
        <f ca="1">SUM($C155:AF155)</f>
        <v>0</v>
      </c>
      <c r="AG202" s="20">
        <f ca="1">SUM($C155:AG155)</f>
        <v>0</v>
      </c>
      <c r="AH202" s="20">
        <f ca="1">SUM($C155:AH155)</f>
        <v>0</v>
      </c>
      <c r="AI202" s="20">
        <f ca="1">SUM($C155:AI155)</f>
        <v>0</v>
      </c>
      <c r="AJ202" s="20">
        <f ca="1">SUM($C155:AJ155)</f>
        <v>0</v>
      </c>
      <c r="AK202" s="20">
        <f ca="1">SUM($C155:AK155)</f>
        <v>0</v>
      </c>
      <c r="AL202" s="20">
        <f ca="1">SUM($C155:AL155)</f>
        <v>0</v>
      </c>
      <c r="AM202" s="20">
        <f ca="1">SUM($C155:AM155)</f>
        <v>0</v>
      </c>
    </row>
    <row r="203" spans="1:39" x14ac:dyDescent="0.2">
      <c r="A203" s="22" t="str">
        <f>B$172</f>
        <v>Sliema</v>
      </c>
      <c r="B203" s="19"/>
      <c r="C203" s="20">
        <f ca="1">SUM($C172:C172)</f>
        <v>0</v>
      </c>
      <c r="D203" s="20">
        <f ca="1">SUM($C172:D172)</f>
        <v>0</v>
      </c>
      <c r="E203" s="20">
        <f ca="1">SUM($C172:E172)</f>
        <v>0</v>
      </c>
      <c r="F203" s="20">
        <f ca="1">SUM($C172:F172)</f>
        <v>0</v>
      </c>
      <c r="G203" s="20">
        <f ca="1">SUM($C172:G172)</f>
        <v>0</v>
      </c>
      <c r="H203" s="20">
        <f ca="1">SUM($C172:H172)</f>
        <v>0</v>
      </c>
      <c r="I203" s="20">
        <f ca="1">SUM($C172:I172)</f>
        <v>0</v>
      </c>
      <c r="J203" s="20">
        <f ca="1">SUM($C172:J172)</f>
        <v>0</v>
      </c>
      <c r="K203" s="20">
        <f ca="1">SUM($C172:K172)</f>
        <v>0</v>
      </c>
      <c r="L203" s="20">
        <f ca="1">SUM($C172:L172)</f>
        <v>0</v>
      </c>
      <c r="M203" s="20">
        <f ca="1">SUM($C172:M172)</f>
        <v>0</v>
      </c>
      <c r="N203" s="20">
        <f ca="1">SUM($C172:N172)</f>
        <v>0</v>
      </c>
      <c r="O203" s="20">
        <f ca="1">SUM($C172:O172)</f>
        <v>0</v>
      </c>
      <c r="P203" s="20">
        <f ca="1">SUM($C172:P172)</f>
        <v>0</v>
      </c>
      <c r="Q203" s="20">
        <f ca="1">SUM($C172:Q172)</f>
        <v>0</v>
      </c>
      <c r="R203" s="20">
        <f ca="1">SUM($C172:R172)</f>
        <v>0</v>
      </c>
      <c r="S203" s="20">
        <f ca="1">SUM($C172:S172)</f>
        <v>0</v>
      </c>
      <c r="T203" s="20">
        <f ca="1">SUM($C172:T172)</f>
        <v>0</v>
      </c>
      <c r="U203" s="20">
        <f ca="1">SUM($C172:U172)</f>
        <v>0</v>
      </c>
      <c r="V203" s="20">
        <f ca="1">SUM($C172:V172)</f>
        <v>0</v>
      </c>
      <c r="W203" s="20">
        <f ca="1">SUM($C172:W172)</f>
        <v>0</v>
      </c>
      <c r="X203" s="20">
        <f ca="1">SUM($C172:X172)</f>
        <v>0</v>
      </c>
      <c r="Y203" s="20">
        <f ca="1">SUM($C172:Y172)</f>
        <v>0</v>
      </c>
      <c r="Z203" s="20">
        <f ca="1">SUM($C172:Z172)</f>
        <v>0</v>
      </c>
      <c r="AA203" s="20">
        <f ca="1">SUM($C172:AA172)</f>
        <v>0</v>
      </c>
      <c r="AB203" s="20">
        <f ca="1">SUM($C172:AB172)</f>
        <v>0</v>
      </c>
      <c r="AC203" s="20">
        <f ca="1">SUM($C172:AC172)</f>
        <v>0</v>
      </c>
      <c r="AD203" s="20">
        <f ca="1">SUM($C172:AD172)</f>
        <v>0</v>
      </c>
      <c r="AE203" s="20">
        <f ca="1">SUM($C172:AE172)</f>
        <v>0</v>
      </c>
      <c r="AF203" s="20">
        <f ca="1">SUM($C172:AF172)</f>
        <v>0</v>
      </c>
      <c r="AG203" s="20">
        <f ca="1">SUM($C172:AG172)</f>
        <v>0</v>
      </c>
      <c r="AH203" s="20">
        <f ca="1">SUM($C172:AH172)</f>
        <v>0</v>
      </c>
      <c r="AI203" s="20">
        <f ca="1">SUM($C172:AI172)</f>
        <v>0</v>
      </c>
      <c r="AJ203" s="20">
        <f ca="1">SUM($C172:AJ172)</f>
        <v>0</v>
      </c>
      <c r="AK203" s="20">
        <f ca="1">SUM($C172:AK172)</f>
        <v>0</v>
      </c>
      <c r="AL203" s="20">
        <f ca="1">SUM($C172:AL172)</f>
        <v>0</v>
      </c>
      <c r="AM203" s="20">
        <f ca="1">SUM($C172:AM172)</f>
        <v>0</v>
      </c>
    </row>
    <row r="204" spans="1:39" x14ac:dyDescent="0.2">
      <c r="A204" s="21"/>
      <c r="B204" s="19"/>
      <c r="C204" s="20"/>
      <c r="D204" s="20"/>
      <c r="E204" s="20"/>
      <c r="F204" s="20"/>
      <c r="G204" s="20"/>
      <c r="H204" s="20"/>
      <c r="I204" s="20"/>
      <c r="J204" s="20"/>
      <c r="K204" s="20"/>
      <c r="L204" s="20"/>
      <c r="M204" s="20"/>
      <c r="N204" s="20"/>
      <c r="O204" s="20"/>
      <c r="P204" s="20"/>
      <c r="Q204" s="20"/>
      <c r="R204" s="20"/>
      <c r="S204" s="20"/>
      <c r="T204" s="20"/>
      <c r="U204" s="20"/>
      <c r="V204" s="20"/>
      <c r="W204" s="20"/>
      <c r="X204" s="20"/>
      <c r="Y204" s="20"/>
      <c r="Z204" s="20"/>
      <c r="AA204" s="20"/>
      <c r="AB204" s="20"/>
      <c r="AC204" s="20"/>
      <c r="AD204" s="20"/>
      <c r="AE204" s="20"/>
      <c r="AF204" s="20"/>
      <c r="AG204" s="20"/>
      <c r="AH204" s="20"/>
      <c r="AI204" s="20"/>
      <c r="AJ204" s="20"/>
      <c r="AK204" s="20"/>
      <c r="AL204" s="20"/>
      <c r="AM204" s="20"/>
    </row>
    <row r="205" spans="1:39" x14ac:dyDescent="0.2">
      <c r="A205" s="3" t="s">
        <v>51</v>
      </c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  <c r="AB205" s="7"/>
      <c r="AC205" s="7"/>
      <c r="AD205" s="7"/>
      <c r="AE205" s="7"/>
      <c r="AF205" s="7"/>
      <c r="AG205" s="7"/>
      <c r="AH205" s="7"/>
      <c r="AI205" s="7"/>
      <c r="AJ205" s="7"/>
      <c r="AK205" s="7"/>
      <c r="AL205" s="7"/>
      <c r="AM205" s="7"/>
    </row>
    <row r="206" spans="1:39" x14ac:dyDescent="0.2">
      <c r="A206" s="16" t="str">
        <f>$A64</f>
        <v>Sliema</v>
      </c>
      <c r="C206" s="7">
        <f ca="1">IFERROR(IF(VLOOKUP($A206,$198:$203,C$1+2,FALSE)=0,C72,0),C72)</f>
        <v>-46207.530015832221</v>
      </c>
      <c r="D206" s="7">
        <f t="shared" ref="D206:AM206" ca="1" si="151">IFERROR(IF(VLOOKUP($A206,$198:$203,D$1+2,FALSE)=0,D72,0),D72)</f>
        <v>-41529.784875172016</v>
      </c>
      <c r="E206" s="7">
        <f t="shared" ca="1" si="151"/>
        <v>-36709.76163986107</v>
      </c>
      <c r="F206" s="7">
        <f t="shared" ca="1" si="151"/>
        <v>-31743.132785502858</v>
      </c>
      <c r="G206" s="7">
        <f t="shared" ca="1" si="151"/>
        <v>-26625.439161905048</v>
      </c>
      <c r="H206" s="7">
        <f t="shared" ca="1" si="151"/>
        <v>-21352.085989555409</v>
      </c>
      <c r="I206" s="7">
        <f t="shared" ca="1" si="151"/>
        <v>-15918.338734325836</v>
      </c>
      <c r="J206" s="7">
        <f t="shared" ca="1" si="151"/>
        <v>-10319.318856702368</v>
      </c>
      <c r="K206" s="7">
        <f t="shared" ca="1" si="151"/>
        <v>-4549.9994317232195</v>
      </c>
      <c r="L206" s="7">
        <f t="shared" ca="1" si="151"/>
        <v>0</v>
      </c>
      <c r="M206" s="7">
        <f t="shared" ca="1" si="151"/>
        <v>0</v>
      </c>
      <c r="N206" s="7">
        <f t="shared" ca="1" si="151"/>
        <v>0</v>
      </c>
      <c r="O206" s="7">
        <f t="shared" ca="1" si="151"/>
        <v>0</v>
      </c>
      <c r="P206" s="7">
        <f t="shared" ca="1" si="151"/>
        <v>0</v>
      </c>
      <c r="Q206" s="7">
        <f t="shared" ca="1" si="151"/>
        <v>0</v>
      </c>
      <c r="R206" s="7">
        <f t="shared" ca="1" si="151"/>
        <v>0</v>
      </c>
      <c r="S206" s="7">
        <f t="shared" ca="1" si="151"/>
        <v>0</v>
      </c>
      <c r="T206" s="7">
        <f t="shared" ca="1" si="151"/>
        <v>0</v>
      </c>
      <c r="U206" s="7">
        <f t="shared" ca="1" si="151"/>
        <v>0</v>
      </c>
      <c r="V206" s="7">
        <f t="shared" ca="1" si="151"/>
        <v>0</v>
      </c>
      <c r="W206" s="7">
        <f t="shared" ca="1" si="151"/>
        <v>0</v>
      </c>
      <c r="X206" s="7">
        <f t="shared" ca="1" si="151"/>
        <v>0</v>
      </c>
      <c r="Y206" s="7">
        <f t="shared" ca="1" si="151"/>
        <v>0</v>
      </c>
      <c r="Z206" s="7">
        <f t="shared" ca="1" si="151"/>
        <v>0</v>
      </c>
      <c r="AA206" s="7">
        <f t="shared" ca="1" si="151"/>
        <v>0</v>
      </c>
      <c r="AB206" s="7">
        <f t="shared" ca="1" si="151"/>
        <v>0</v>
      </c>
      <c r="AC206" s="7">
        <f t="shared" ca="1" si="151"/>
        <v>0</v>
      </c>
      <c r="AD206" s="7">
        <f t="shared" ca="1" si="151"/>
        <v>0</v>
      </c>
      <c r="AE206" s="7">
        <f t="shared" ca="1" si="151"/>
        <v>0</v>
      </c>
      <c r="AF206" s="7">
        <f t="shared" ca="1" si="151"/>
        <v>0</v>
      </c>
      <c r="AG206" s="7">
        <f t="shared" ca="1" si="151"/>
        <v>0</v>
      </c>
      <c r="AH206" s="7">
        <f t="shared" ca="1" si="151"/>
        <v>0</v>
      </c>
      <c r="AI206" s="7">
        <f t="shared" ca="1" si="151"/>
        <v>0</v>
      </c>
      <c r="AJ206" s="7">
        <f t="shared" ca="1" si="151"/>
        <v>0</v>
      </c>
      <c r="AK206" s="7">
        <f t="shared" ca="1" si="151"/>
        <v>0</v>
      </c>
      <c r="AL206" s="7">
        <f t="shared" ca="1" si="151"/>
        <v>0</v>
      </c>
      <c r="AM206" s="7">
        <f t="shared" ca="1" si="151"/>
        <v>0</v>
      </c>
    </row>
    <row r="207" spans="1:39" x14ac:dyDescent="0.2">
      <c r="A207" s="16" t="str">
        <f t="shared" ref="A207:A210" si="152">$A65</f>
        <v>Gzira</v>
      </c>
      <c r="C207" s="7">
        <f t="shared" ref="C207:AM210" ca="1" si="153">IFERROR(IF(VLOOKUP($A207,$198:$203,C$1+2,FALSE)=0,C73,0),C73)</f>
        <v>-6627.6670411890118</v>
      </c>
      <c r="D207" s="7">
        <f t="shared" ca="1" si="153"/>
        <v>-4339.3195483066884</v>
      </c>
      <c r="E207" s="7">
        <f t="shared" ca="1" si="153"/>
        <v>-2004.7832357051393</v>
      </c>
      <c r="F207" s="7">
        <f t="shared" ca="1" si="153"/>
        <v>0</v>
      </c>
      <c r="G207" s="7">
        <f t="shared" ca="1" si="153"/>
        <v>0</v>
      </c>
      <c r="H207" s="7">
        <f t="shared" ca="1" si="153"/>
        <v>0</v>
      </c>
      <c r="I207" s="7">
        <f t="shared" ca="1" si="153"/>
        <v>0</v>
      </c>
      <c r="J207" s="7">
        <f t="shared" ca="1" si="153"/>
        <v>0</v>
      </c>
      <c r="K207" s="7">
        <f t="shared" ca="1" si="153"/>
        <v>0</v>
      </c>
      <c r="L207" s="7">
        <f t="shared" ca="1" si="153"/>
        <v>0</v>
      </c>
      <c r="M207" s="7">
        <f t="shared" ca="1" si="153"/>
        <v>0</v>
      </c>
      <c r="N207" s="7">
        <f t="shared" ca="1" si="153"/>
        <v>0</v>
      </c>
      <c r="O207" s="7">
        <f t="shared" ca="1" si="153"/>
        <v>0</v>
      </c>
      <c r="P207" s="7">
        <f t="shared" ca="1" si="153"/>
        <v>0</v>
      </c>
      <c r="Q207" s="7">
        <f t="shared" ca="1" si="153"/>
        <v>0</v>
      </c>
      <c r="R207" s="7">
        <f t="shared" ca="1" si="153"/>
        <v>0</v>
      </c>
      <c r="S207" s="7">
        <f t="shared" ca="1" si="153"/>
        <v>0</v>
      </c>
      <c r="T207" s="7">
        <f t="shared" ca="1" si="153"/>
        <v>0</v>
      </c>
      <c r="U207" s="7">
        <f t="shared" ca="1" si="153"/>
        <v>0</v>
      </c>
      <c r="V207" s="7">
        <f t="shared" ca="1" si="153"/>
        <v>0</v>
      </c>
      <c r="W207" s="7">
        <f t="shared" ca="1" si="153"/>
        <v>0</v>
      </c>
      <c r="X207" s="7">
        <f t="shared" ca="1" si="153"/>
        <v>0</v>
      </c>
      <c r="Y207" s="7">
        <f t="shared" ca="1" si="153"/>
        <v>0</v>
      </c>
      <c r="Z207" s="7">
        <f t="shared" ca="1" si="153"/>
        <v>0</v>
      </c>
      <c r="AA207" s="7">
        <f t="shared" ca="1" si="153"/>
        <v>0</v>
      </c>
      <c r="AB207" s="7">
        <f t="shared" ca="1" si="153"/>
        <v>0</v>
      </c>
      <c r="AC207" s="7">
        <f t="shared" ca="1" si="153"/>
        <v>0</v>
      </c>
      <c r="AD207" s="7">
        <f t="shared" ca="1" si="153"/>
        <v>0</v>
      </c>
      <c r="AE207" s="7">
        <f t="shared" ca="1" si="153"/>
        <v>0</v>
      </c>
      <c r="AF207" s="7">
        <f t="shared" ca="1" si="153"/>
        <v>0</v>
      </c>
      <c r="AG207" s="7">
        <f t="shared" ca="1" si="153"/>
        <v>0</v>
      </c>
      <c r="AH207" s="7">
        <f t="shared" ca="1" si="153"/>
        <v>0</v>
      </c>
      <c r="AI207" s="7">
        <f t="shared" ca="1" si="153"/>
        <v>0</v>
      </c>
      <c r="AJ207" s="7">
        <f t="shared" ca="1" si="153"/>
        <v>0</v>
      </c>
      <c r="AK207" s="7">
        <f t="shared" ca="1" si="153"/>
        <v>0</v>
      </c>
      <c r="AL207" s="7">
        <f t="shared" ca="1" si="153"/>
        <v>0</v>
      </c>
      <c r="AM207" s="7">
        <f t="shared" ca="1" si="153"/>
        <v>0</v>
      </c>
    </row>
    <row r="208" spans="1:39" x14ac:dyDescent="0.2">
      <c r="A208" s="16" t="str">
        <f t="shared" si="152"/>
        <v>Qormi</v>
      </c>
      <c r="C208" s="7">
        <f t="shared" ca="1" si="153"/>
        <v>-13089.450262401593</v>
      </c>
      <c r="D208" s="7">
        <f t="shared" ca="1" si="153"/>
        <v>-10689.417507150618</v>
      </c>
      <c r="E208" s="7">
        <f t="shared" ca="1" si="153"/>
        <v>-8166.5945211626622</v>
      </c>
      <c r="F208" s="7">
        <f t="shared" ca="1" si="153"/>
        <v>-5514.6991231919146</v>
      </c>
      <c r="G208" s="7">
        <f t="shared" ca="1" si="153"/>
        <v>-2727.1277236771257</v>
      </c>
      <c r="H208" s="7">
        <f t="shared" ca="1" si="153"/>
        <v>0</v>
      </c>
      <c r="I208" s="7">
        <f t="shared" ca="1" si="153"/>
        <v>0</v>
      </c>
      <c r="J208" s="7">
        <f t="shared" ca="1" si="153"/>
        <v>0</v>
      </c>
      <c r="K208" s="7">
        <f t="shared" ca="1" si="153"/>
        <v>0</v>
      </c>
      <c r="L208" s="7">
        <f t="shared" ca="1" si="153"/>
        <v>0</v>
      </c>
      <c r="M208" s="7">
        <f t="shared" ca="1" si="153"/>
        <v>0</v>
      </c>
      <c r="N208" s="7">
        <f t="shared" ca="1" si="153"/>
        <v>0</v>
      </c>
      <c r="O208" s="7">
        <f t="shared" ca="1" si="153"/>
        <v>0</v>
      </c>
      <c r="P208" s="7">
        <f t="shared" ca="1" si="153"/>
        <v>0</v>
      </c>
      <c r="Q208" s="7">
        <f t="shared" ca="1" si="153"/>
        <v>0</v>
      </c>
      <c r="R208" s="7">
        <f t="shared" ca="1" si="153"/>
        <v>0</v>
      </c>
      <c r="S208" s="7">
        <f t="shared" ca="1" si="153"/>
        <v>0</v>
      </c>
      <c r="T208" s="7">
        <f t="shared" ca="1" si="153"/>
        <v>0</v>
      </c>
      <c r="U208" s="7">
        <f t="shared" ca="1" si="153"/>
        <v>0</v>
      </c>
      <c r="V208" s="7">
        <f t="shared" ca="1" si="153"/>
        <v>0</v>
      </c>
      <c r="W208" s="7">
        <f t="shared" ca="1" si="153"/>
        <v>0</v>
      </c>
      <c r="X208" s="7">
        <f t="shared" ca="1" si="153"/>
        <v>0</v>
      </c>
      <c r="Y208" s="7">
        <f t="shared" ca="1" si="153"/>
        <v>0</v>
      </c>
      <c r="Z208" s="7">
        <f t="shared" ca="1" si="153"/>
        <v>0</v>
      </c>
      <c r="AA208" s="7">
        <f t="shared" ca="1" si="153"/>
        <v>0</v>
      </c>
      <c r="AB208" s="7">
        <f t="shared" ca="1" si="153"/>
        <v>0</v>
      </c>
      <c r="AC208" s="7">
        <f t="shared" ca="1" si="153"/>
        <v>0</v>
      </c>
      <c r="AD208" s="7">
        <f t="shared" ca="1" si="153"/>
        <v>0</v>
      </c>
      <c r="AE208" s="7">
        <f t="shared" ca="1" si="153"/>
        <v>0</v>
      </c>
      <c r="AF208" s="7">
        <f t="shared" ca="1" si="153"/>
        <v>0</v>
      </c>
      <c r="AG208" s="7">
        <f t="shared" ca="1" si="153"/>
        <v>0</v>
      </c>
      <c r="AH208" s="7">
        <f t="shared" ca="1" si="153"/>
        <v>0</v>
      </c>
      <c r="AI208" s="7">
        <f t="shared" ca="1" si="153"/>
        <v>0</v>
      </c>
      <c r="AJ208" s="7">
        <f t="shared" ca="1" si="153"/>
        <v>0</v>
      </c>
      <c r="AK208" s="7">
        <f t="shared" ca="1" si="153"/>
        <v>0</v>
      </c>
      <c r="AL208" s="7">
        <f t="shared" ca="1" si="153"/>
        <v>0</v>
      </c>
      <c r="AM208" s="7">
        <f t="shared" ca="1" si="153"/>
        <v>0</v>
      </c>
    </row>
    <row r="209" spans="1:39" x14ac:dyDescent="0.2">
      <c r="A209" s="16" t="str">
        <f t="shared" si="152"/>
        <v>Gudja</v>
      </c>
      <c r="C209" s="7">
        <f t="shared" ca="1" si="153"/>
        <v>-3952.5608629982789</v>
      </c>
      <c r="D209" s="7">
        <f t="shared" ca="1" si="153"/>
        <v>-3063.4916845977205</v>
      </c>
      <c r="E209" s="7">
        <f t="shared" ca="1" si="153"/>
        <v>-2156.4772176748579</v>
      </c>
      <c r="F209" s="7">
        <f t="shared" ca="1" si="153"/>
        <v>-1231.15524814336</v>
      </c>
      <c r="G209" s="7">
        <f t="shared" ca="1" si="153"/>
        <v>-287.15625085893407</v>
      </c>
      <c r="H209" s="7">
        <f t="shared" ca="1" si="153"/>
        <v>0</v>
      </c>
      <c r="I209" s="7">
        <f t="shared" ca="1" si="153"/>
        <v>0</v>
      </c>
      <c r="J209" s="7">
        <f t="shared" ca="1" si="153"/>
        <v>0</v>
      </c>
      <c r="K209" s="7">
        <f t="shared" ca="1" si="153"/>
        <v>0</v>
      </c>
      <c r="L209" s="7">
        <f t="shared" ca="1" si="153"/>
        <v>0</v>
      </c>
      <c r="M209" s="7">
        <f t="shared" ca="1" si="153"/>
        <v>0</v>
      </c>
      <c r="N209" s="7">
        <f t="shared" ca="1" si="153"/>
        <v>0</v>
      </c>
      <c r="O209" s="7">
        <f t="shared" ca="1" si="153"/>
        <v>0</v>
      </c>
      <c r="P209" s="7">
        <f t="shared" ca="1" si="153"/>
        <v>0</v>
      </c>
      <c r="Q209" s="7">
        <f t="shared" ca="1" si="153"/>
        <v>0</v>
      </c>
      <c r="R209" s="7">
        <f t="shared" ca="1" si="153"/>
        <v>0</v>
      </c>
      <c r="S209" s="7">
        <f t="shared" ca="1" si="153"/>
        <v>0</v>
      </c>
      <c r="T209" s="7">
        <f t="shared" ca="1" si="153"/>
        <v>0</v>
      </c>
      <c r="U209" s="7">
        <f t="shared" ca="1" si="153"/>
        <v>0</v>
      </c>
      <c r="V209" s="7">
        <f t="shared" ca="1" si="153"/>
        <v>0</v>
      </c>
      <c r="W209" s="7">
        <f t="shared" ca="1" si="153"/>
        <v>0</v>
      </c>
      <c r="X209" s="7">
        <f t="shared" ca="1" si="153"/>
        <v>0</v>
      </c>
      <c r="Y209" s="7">
        <f t="shared" ca="1" si="153"/>
        <v>0</v>
      </c>
      <c r="Z209" s="7">
        <f t="shared" ca="1" si="153"/>
        <v>0</v>
      </c>
      <c r="AA209" s="7">
        <f t="shared" ca="1" si="153"/>
        <v>0</v>
      </c>
      <c r="AB209" s="7">
        <f t="shared" ca="1" si="153"/>
        <v>0</v>
      </c>
      <c r="AC209" s="7">
        <f t="shared" ca="1" si="153"/>
        <v>0</v>
      </c>
      <c r="AD209" s="7">
        <f t="shared" ca="1" si="153"/>
        <v>0</v>
      </c>
      <c r="AE209" s="7">
        <f t="shared" ca="1" si="153"/>
        <v>0</v>
      </c>
      <c r="AF209" s="7">
        <f t="shared" ca="1" si="153"/>
        <v>0</v>
      </c>
      <c r="AG209" s="7">
        <f t="shared" ca="1" si="153"/>
        <v>0</v>
      </c>
      <c r="AH209" s="7">
        <f t="shared" ca="1" si="153"/>
        <v>0</v>
      </c>
      <c r="AI209" s="7">
        <f t="shared" ca="1" si="153"/>
        <v>0</v>
      </c>
      <c r="AJ209" s="7">
        <f t="shared" ca="1" si="153"/>
        <v>0</v>
      </c>
      <c r="AK209" s="7">
        <f t="shared" ca="1" si="153"/>
        <v>0</v>
      </c>
      <c r="AL209" s="7">
        <f t="shared" ca="1" si="153"/>
        <v>0</v>
      </c>
      <c r="AM209" s="7">
        <f t="shared" ca="1" si="153"/>
        <v>0</v>
      </c>
    </row>
    <row r="210" spans="1:39" x14ac:dyDescent="0.2">
      <c r="A210" s="16" t="str">
        <f t="shared" si="152"/>
        <v>Marsa</v>
      </c>
      <c r="C210" s="7">
        <f t="shared" ca="1" si="153"/>
        <v>-8551.2061659277369</v>
      </c>
      <c r="D210" s="7">
        <f t="shared" ca="1" si="153"/>
        <v>-7351.3333523807905</v>
      </c>
      <c r="E210" s="7">
        <f t="shared" ca="1" si="153"/>
        <v>-6114.965259035298</v>
      </c>
      <c r="F210" s="7">
        <f t="shared" ca="1" si="153"/>
        <v>-4840.9918470333869</v>
      </c>
      <c r="G210" s="7">
        <f t="shared" ca="1" si="153"/>
        <v>-3528.2693146230595</v>
      </c>
      <c r="H210" s="7">
        <f t="shared" ca="1" si="153"/>
        <v>-2175.6190702275599</v>
      </c>
      <c r="I210" s="7">
        <f t="shared" ca="1" si="153"/>
        <v>-781.82667427947126</v>
      </c>
      <c r="J210" s="7">
        <f t="shared" ca="1" si="153"/>
        <v>0</v>
      </c>
      <c r="K210" s="7">
        <f t="shared" ca="1" si="153"/>
        <v>0</v>
      </c>
      <c r="L210" s="7">
        <f t="shared" ca="1" si="153"/>
        <v>0</v>
      </c>
      <c r="M210" s="7">
        <f t="shared" ca="1" si="153"/>
        <v>0</v>
      </c>
      <c r="N210" s="7">
        <f t="shared" ca="1" si="153"/>
        <v>0</v>
      </c>
      <c r="O210" s="7">
        <f t="shared" ca="1" si="153"/>
        <v>0</v>
      </c>
      <c r="P210" s="7">
        <f t="shared" ca="1" si="153"/>
        <v>0</v>
      </c>
      <c r="Q210" s="7">
        <f t="shared" ca="1" si="153"/>
        <v>0</v>
      </c>
      <c r="R210" s="7">
        <f t="shared" ca="1" si="153"/>
        <v>0</v>
      </c>
      <c r="S210" s="7">
        <f t="shared" ca="1" si="153"/>
        <v>0</v>
      </c>
      <c r="T210" s="7">
        <f t="shared" ca="1" si="153"/>
        <v>0</v>
      </c>
      <c r="U210" s="7">
        <f t="shared" ca="1" si="153"/>
        <v>0</v>
      </c>
      <c r="V210" s="7">
        <f t="shared" ca="1" si="153"/>
        <v>0</v>
      </c>
      <c r="W210" s="7">
        <f t="shared" ca="1" si="153"/>
        <v>0</v>
      </c>
      <c r="X210" s="7">
        <f t="shared" ca="1" si="153"/>
        <v>0</v>
      </c>
      <c r="Y210" s="7">
        <f t="shared" ca="1" si="153"/>
        <v>0</v>
      </c>
      <c r="Z210" s="7">
        <f t="shared" ca="1" si="153"/>
        <v>0</v>
      </c>
      <c r="AA210" s="7">
        <f t="shared" ca="1" si="153"/>
        <v>0</v>
      </c>
      <c r="AB210" s="7">
        <f t="shared" ca="1" si="153"/>
        <v>0</v>
      </c>
      <c r="AC210" s="7">
        <f t="shared" ca="1" si="153"/>
        <v>0</v>
      </c>
      <c r="AD210" s="7">
        <f t="shared" ca="1" si="153"/>
        <v>0</v>
      </c>
      <c r="AE210" s="7">
        <f t="shared" ca="1" si="153"/>
        <v>0</v>
      </c>
      <c r="AF210" s="7">
        <f t="shared" ca="1" si="153"/>
        <v>0</v>
      </c>
      <c r="AG210" s="7">
        <f t="shared" ca="1" si="153"/>
        <v>0</v>
      </c>
      <c r="AH210" s="7">
        <f t="shared" ca="1" si="153"/>
        <v>0</v>
      </c>
      <c r="AI210" s="7">
        <f t="shared" ca="1" si="153"/>
        <v>0</v>
      </c>
      <c r="AJ210" s="7">
        <f t="shared" ca="1" si="153"/>
        <v>0</v>
      </c>
      <c r="AK210" s="7">
        <f t="shared" ca="1" si="153"/>
        <v>0</v>
      </c>
      <c r="AL210" s="7">
        <f t="shared" ca="1" si="153"/>
        <v>0</v>
      </c>
      <c r="AM210" s="7">
        <f t="shared" ca="1" si="153"/>
        <v>0</v>
      </c>
    </row>
    <row r="211" spans="1:39" x14ac:dyDescent="0.2"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  <c r="AB211" s="7"/>
      <c r="AC211" s="7"/>
      <c r="AD211" s="7"/>
      <c r="AE211" s="7"/>
      <c r="AF211" s="7"/>
      <c r="AG211" s="7"/>
      <c r="AH211" s="7"/>
      <c r="AI211" s="7"/>
      <c r="AJ211" s="7"/>
      <c r="AK211" s="7"/>
      <c r="AL211" s="7"/>
      <c r="AM211" s="7"/>
    </row>
    <row r="212" spans="1:39" x14ac:dyDescent="0.2">
      <c r="A212" s="3" t="s">
        <v>64</v>
      </c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  <c r="AA212" s="7"/>
      <c r="AB212" s="7"/>
      <c r="AC212" s="7"/>
      <c r="AD212" s="7"/>
      <c r="AE212" s="7"/>
      <c r="AF212" s="7"/>
      <c r="AG212" s="7"/>
      <c r="AH212" s="7"/>
      <c r="AI212" s="7"/>
      <c r="AJ212" s="7"/>
      <c r="AK212" s="7"/>
      <c r="AL212" s="7"/>
      <c r="AM212" s="7"/>
    </row>
    <row r="213" spans="1:39" x14ac:dyDescent="0.2">
      <c r="A213" s="16" t="str">
        <f t="shared" ref="A213:A218" si="154">A61</f>
        <v>Cash</v>
      </c>
      <c r="C213" s="7">
        <f ca="1">C180</f>
        <v>73136.875000000015</v>
      </c>
      <c r="D213" s="7">
        <f t="shared" ref="D213:AM213" ca="1" si="155">D180</f>
        <v>97140.903125000026</v>
      </c>
      <c r="E213" s="7">
        <f t="shared" ca="1" si="155"/>
        <v>127759.43382812504</v>
      </c>
      <c r="F213" s="7">
        <f t="shared" ca="1" si="155"/>
        <v>139100.17641137764</v>
      </c>
      <c r="G213" s="7">
        <f t="shared" ca="1" si="155"/>
        <v>182148.90012508008</v>
      </c>
      <c r="H213" s="7">
        <f t="shared" ca="1" si="155"/>
        <v>232078.05562310934</v>
      </c>
      <c r="I213" s="7">
        <f t="shared" ca="1" si="155"/>
        <v>306036.18242333515</v>
      </c>
      <c r="J213" s="7">
        <f t="shared" ca="1" si="155"/>
        <v>379084.48685026687</v>
      </c>
      <c r="K213" s="7">
        <f t="shared" ca="1" si="155"/>
        <v>438970.23861694947</v>
      </c>
      <c r="L213" s="7">
        <f t="shared" ca="1" si="155"/>
        <v>586536.87203851226</v>
      </c>
      <c r="M213" s="7">
        <f t="shared" ca="1" si="155"/>
        <v>645652.23085092264</v>
      </c>
      <c r="N213" s="7">
        <f t="shared" ca="1" si="155"/>
        <v>758618.88271131995</v>
      </c>
      <c r="O213" s="7">
        <f t="shared" ca="1" si="155"/>
        <v>877633.29830874666</v>
      </c>
      <c r="P213" s="7">
        <f t="shared" ca="1" si="155"/>
        <v>1002951.3505862901</v>
      </c>
      <c r="Q213" s="7">
        <f t="shared" ca="1" si="155"/>
        <v>1134838.6489492662</v>
      </c>
      <c r="R213" s="7">
        <f t="shared" ca="1" si="155"/>
        <v>1273570.8878477628</v>
      </c>
      <c r="S213" s="7">
        <f t="shared" ca="1" si="155"/>
        <v>1419434.2073534238</v>
      </c>
      <c r="T213" s="7">
        <f t="shared" ca="1" si="155"/>
        <v>1463495.1237488878</v>
      </c>
      <c r="U213" s="7">
        <f t="shared" ca="1" si="155"/>
        <v>1517057.089307287</v>
      </c>
      <c r="V213" s="7">
        <f t="shared" ca="1" si="155"/>
        <v>1572680.5274795629</v>
      </c>
      <c r="W213" s="7">
        <f t="shared" ca="1" si="155"/>
        <v>1630443.9774315846</v>
      </c>
      <c r="X213" s="7">
        <f t="shared" ca="1" si="155"/>
        <v>1690428.88512004</v>
      </c>
      <c r="Y213" s="7">
        <f t="shared" ca="1" si="155"/>
        <v>1731802.6151119878</v>
      </c>
      <c r="Z213" s="7">
        <f t="shared" ca="1" si="155"/>
        <v>1774523.9813424624</v>
      </c>
      <c r="AA213" s="7">
        <f t="shared" ca="1" si="155"/>
        <v>1818644.5710759091</v>
      </c>
      <c r="AB213" s="7">
        <f t="shared" ca="1" si="155"/>
        <v>1864218.0105883591</v>
      </c>
      <c r="AC213" s="7">
        <f t="shared" ca="1" si="155"/>
        <v>1911300.0439335995</v>
      </c>
      <c r="AD213" s="7">
        <f t="shared" ca="1" si="155"/>
        <v>1959948.6146449971</v>
      </c>
      <c r="AE213" s="7">
        <f t="shared" ca="1" si="155"/>
        <v>2020331.2065111429</v>
      </c>
      <c r="AF213" s="7">
        <f t="shared" ca="1" si="155"/>
        <v>2082908.5261740466</v>
      </c>
      <c r="AG213" s="7">
        <f t="shared" ca="1" si="155"/>
        <v>2147764.5878862576</v>
      </c>
      <c r="AH213" s="7">
        <f t="shared" ca="1" si="155"/>
        <v>2214986.5954175591</v>
      </c>
      <c r="AI213" s="7">
        <f t="shared" ca="1" si="155"/>
        <v>2284665.0598372058</v>
      </c>
      <c r="AJ213" s="7">
        <f t="shared" ca="1" si="155"/>
        <v>2356893.9215162839</v>
      </c>
      <c r="AK213" s="7">
        <f t="shared" ca="1" si="155"/>
        <v>2431770.6764973206</v>
      </c>
      <c r="AL213" s="7">
        <f t="shared" ca="1" si="155"/>
        <v>2509396.5073832762</v>
      </c>
      <c r="AM213" s="7">
        <f t="shared" ca="1" si="155"/>
        <v>2589876.4189032381</v>
      </c>
    </row>
    <row r="214" spans="1:39" x14ac:dyDescent="0.2">
      <c r="A214" s="16" t="str">
        <f t="shared" si="154"/>
        <v>Home</v>
      </c>
      <c r="C214" s="7">
        <f t="shared" ref="C214:AM214" ca="1" si="156">C62</f>
        <v>614962.9305229499</v>
      </c>
      <c r="D214" s="7">
        <f t="shared" ca="1" si="156"/>
        <v>633411.81843863847</v>
      </c>
      <c r="E214" s="7">
        <f t="shared" ca="1" si="156"/>
        <v>652414.17299179768</v>
      </c>
      <c r="F214" s="7">
        <f t="shared" ca="1" si="156"/>
        <v>671986.59818155167</v>
      </c>
      <c r="G214" s="7">
        <f t="shared" ca="1" si="156"/>
        <v>692146.19612699829</v>
      </c>
      <c r="H214" s="7">
        <f t="shared" ca="1" si="156"/>
        <v>712910.58201080828</v>
      </c>
      <c r="I214" s="7">
        <f t="shared" ca="1" si="156"/>
        <v>734297.89947113255</v>
      </c>
      <c r="J214" s="7">
        <f t="shared" ca="1" si="156"/>
        <v>756326.83645526657</v>
      </c>
      <c r="K214" s="7">
        <f t="shared" ca="1" si="156"/>
        <v>779016.64154892461</v>
      </c>
      <c r="L214" s="7">
        <f t="shared" ca="1" si="156"/>
        <v>802387.14079539233</v>
      </c>
      <c r="M214" s="7">
        <f t="shared" ca="1" si="156"/>
        <v>826458.75501925417</v>
      </c>
      <c r="N214" s="7">
        <f t="shared" ca="1" si="156"/>
        <v>851252.51766983187</v>
      </c>
      <c r="O214" s="7">
        <f t="shared" ca="1" si="156"/>
        <v>876790.09319992689</v>
      </c>
      <c r="P214" s="7">
        <f t="shared" ca="1" si="156"/>
        <v>903093.79599592474</v>
      </c>
      <c r="Q214" s="7">
        <f t="shared" ca="1" si="156"/>
        <v>930186.60987580253</v>
      </c>
      <c r="R214" s="7">
        <f t="shared" ca="1" si="156"/>
        <v>958092.20817207661</v>
      </c>
      <c r="S214" s="7">
        <f t="shared" ca="1" si="156"/>
        <v>986834.97441723896</v>
      </c>
      <c r="T214" s="7">
        <f t="shared" ca="1" si="156"/>
        <v>1016440.0236497562</v>
      </c>
      <c r="U214" s="7">
        <f t="shared" ca="1" si="156"/>
        <v>1046933.2243592489</v>
      </c>
      <c r="V214" s="7">
        <f t="shared" ca="1" si="156"/>
        <v>1078341.2210900264</v>
      </c>
      <c r="W214" s="7">
        <f t="shared" ca="1" si="156"/>
        <v>1110691.4577227272</v>
      </c>
      <c r="X214" s="7">
        <f t="shared" ca="1" si="156"/>
        <v>1144012.2014544092</v>
      </c>
      <c r="Y214" s="7">
        <f t="shared" ca="1" si="156"/>
        <v>1178332.5674980415</v>
      </c>
      <c r="Z214" s="7">
        <f t="shared" ca="1" si="156"/>
        <v>1213682.5445229828</v>
      </c>
      <c r="AA214" s="7">
        <f t="shared" ca="1" si="156"/>
        <v>1250093.0208586722</v>
      </c>
      <c r="AB214" s="7">
        <f t="shared" ca="1" si="156"/>
        <v>1287595.8114844323</v>
      </c>
      <c r="AC214" s="7">
        <f t="shared" ca="1" si="156"/>
        <v>1326223.6858289654</v>
      </c>
      <c r="AD214" s="7">
        <f t="shared" ca="1" si="156"/>
        <v>1366010.3964038345</v>
      </c>
      <c r="AE214" s="7">
        <f t="shared" ca="1" si="156"/>
        <v>1406990.7082959495</v>
      </c>
      <c r="AF214" s="7">
        <f t="shared" ca="1" si="156"/>
        <v>1449200.4295448281</v>
      </c>
      <c r="AG214" s="7">
        <f t="shared" ca="1" si="156"/>
        <v>1492676.4424311731</v>
      </c>
      <c r="AH214" s="7">
        <f t="shared" ca="1" si="156"/>
        <v>1537456.7357041084</v>
      </c>
      <c r="AI214" s="7">
        <f t="shared" ca="1" si="156"/>
        <v>1583580.4377752317</v>
      </c>
      <c r="AJ214" s="7">
        <f t="shared" ca="1" si="156"/>
        <v>1631087.8509084887</v>
      </c>
      <c r="AK214" s="7">
        <f t="shared" ca="1" si="156"/>
        <v>1680020.4864357435</v>
      </c>
      <c r="AL214" s="7">
        <f t="shared" ca="1" si="156"/>
        <v>1730421.1010288158</v>
      </c>
      <c r="AM214" s="7">
        <f t="shared" ca="1" si="156"/>
        <v>1782333.7340596803</v>
      </c>
    </row>
    <row r="215" spans="1:39" x14ac:dyDescent="0.2">
      <c r="A215" s="16" t="str">
        <f t="shared" si="154"/>
        <v>Other property</v>
      </c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7"/>
      <c r="AB215" s="7"/>
      <c r="AC215" s="7"/>
      <c r="AD215" s="7"/>
      <c r="AE215" s="7"/>
      <c r="AF215" s="7"/>
      <c r="AG215" s="7"/>
      <c r="AH215" s="7"/>
      <c r="AI215" s="7"/>
      <c r="AJ215" s="7"/>
      <c r="AK215" s="7"/>
      <c r="AL215" s="7"/>
      <c r="AM215" s="7"/>
    </row>
    <row r="216" spans="1:39" x14ac:dyDescent="0.2">
      <c r="A216" s="17" t="str">
        <f t="shared" si="154"/>
        <v>Sliema</v>
      </c>
      <c r="C216" s="7">
        <f t="shared" ref="C216:AM220" ca="1" si="157">C192</f>
        <v>307481.46526147495</v>
      </c>
      <c r="D216" s="7">
        <f t="shared" ca="1" si="157"/>
        <v>316705.90921931923</v>
      </c>
      <c r="E216" s="7">
        <f t="shared" ca="1" si="157"/>
        <v>326207.08649589884</v>
      </c>
      <c r="F216" s="7">
        <f t="shared" ca="1" si="157"/>
        <v>335993.29909077584</v>
      </c>
      <c r="G216" s="7">
        <f t="shared" ca="1" si="157"/>
        <v>346073.09806349914</v>
      </c>
      <c r="H216" s="7">
        <f t="shared" ca="1" si="157"/>
        <v>356455.29100540414</v>
      </c>
      <c r="I216" s="7">
        <f t="shared" ca="1" si="157"/>
        <v>367148.94973556628</v>
      </c>
      <c r="J216" s="7">
        <f t="shared" ca="1" si="157"/>
        <v>378163.41822763329</v>
      </c>
      <c r="K216" s="7">
        <f t="shared" ca="1" si="157"/>
        <v>389508.32077446231</v>
      </c>
      <c r="L216" s="7">
        <f t="shared" ca="1" si="157"/>
        <v>401193.57039769617</v>
      </c>
      <c r="M216" s="7">
        <f t="shared" ca="1" si="157"/>
        <v>413229.37750962708</v>
      </c>
      <c r="N216" s="7">
        <f t="shared" ca="1" si="157"/>
        <v>425626.25883491593</v>
      </c>
      <c r="O216" s="7">
        <f t="shared" ca="1" si="157"/>
        <v>438395.04659996345</v>
      </c>
      <c r="P216" s="7">
        <f t="shared" ca="1" si="157"/>
        <v>451546.89799796237</v>
      </c>
      <c r="Q216" s="7">
        <f t="shared" ca="1" si="157"/>
        <v>465093.30493790127</v>
      </c>
      <c r="R216" s="7">
        <f t="shared" ca="1" si="157"/>
        <v>479046.10408603831</v>
      </c>
      <c r="S216" s="7">
        <f t="shared" ca="1" si="157"/>
        <v>493417.48720861948</v>
      </c>
      <c r="T216" s="7">
        <f t="shared" ca="1" si="157"/>
        <v>508220.01182487811</v>
      </c>
      <c r="U216" s="7">
        <f t="shared" ca="1" si="157"/>
        <v>523466.61217962444</v>
      </c>
      <c r="V216" s="7">
        <f t="shared" ca="1" si="157"/>
        <v>539170.61054501322</v>
      </c>
      <c r="W216" s="7">
        <f t="shared" ca="1" si="157"/>
        <v>555345.7288613636</v>
      </c>
      <c r="X216" s="7">
        <f t="shared" ca="1" si="157"/>
        <v>572006.10072720458</v>
      </c>
      <c r="Y216" s="7">
        <f t="shared" ca="1" si="157"/>
        <v>589166.28374902077</v>
      </c>
      <c r="Z216" s="7">
        <f t="shared" ca="1" si="157"/>
        <v>606841.27226149139</v>
      </c>
      <c r="AA216" s="7">
        <f t="shared" ca="1" si="157"/>
        <v>625046.51042933611</v>
      </c>
      <c r="AB216" s="7">
        <f t="shared" ca="1" si="157"/>
        <v>643797.90574221616</v>
      </c>
      <c r="AC216" s="7">
        <f t="shared" ca="1" si="157"/>
        <v>663111.8429144827</v>
      </c>
      <c r="AD216" s="7">
        <f t="shared" ca="1" si="157"/>
        <v>683005.19820191723</v>
      </c>
      <c r="AE216" s="7">
        <f t="shared" ca="1" si="157"/>
        <v>703495.35414797475</v>
      </c>
      <c r="AF216" s="7">
        <f t="shared" ca="1" si="157"/>
        <v>724600.21477241407</v>
      </c>
      <c r="AG216" s="7">
        <f t="shared" ca="1" si="157"/>
        <v>746338.22121558653</v>
      </c>
      <c r="AH216" s="7">
        <f t="shared" ca="1" si="157"/>
        <v>768728.36785205419</v>
      </c>
      <c r="AI216" s="7">
        <f t="shared" ca="1" si="157"/>
        <v>791790.21888761583</v>
      </c>
      <c r="AJ216" s="7">
        <f t="shared" ca="1" si="157"/>
        <v>815543.92545424437</v>
      </c>
      <c r="AK216" s="7">
        <f t="shared" ca="1" si="157"/>
        <v>840010.24321787176</v>
      </c>
      <c r="AL216" s="7">
        <f t="shared" ca="1" si="157"/>
        <v>865210.55051440792</v>
      </c>
      <c r="AM216" s="7">
        <f t="shared" ca="1" si="157"/>
        <v>891166.86702984013</v>
      </c>
    </row>
    <row r="217" spans="1:39" x14ac:dyDescent="0.2">
      <c r="A217" s="17" t="str">
        <f t="shared" si="154"/>
        <v>Gzira</v>
      </c>
      <c r="C217" s="7">
        <f t="shared" ca="1" si="157"/>
        <v>153740.73263073748</v>
      </c>
      <c r="D217" s="7">
        <f t="shared" ca="1" si="157"/>
        <v>158352.95460965962</v>
      </c>
      <c r="E217" s="7">
        <f t="shared" ca="1" si="157"/>
        <v>163103.54324794942</v>
      </c>
      <c r="F217" s="7">
        <f t="shared" ca="1" si="157"/>
        <v>167996.64954538792</v>
      </c>
      <c r="G217" s="7">
        <f t="shared" ca="1" si="157"/>
        <v>173036.54903174957</v>
      </c>
      <c r="H217" s="7">
        <f t="shared" ca="1" si="157"/>
        <v>178227.64550270207</v>
      </c>
      <c r="I217" s="7">
        <f t="shared" ca="1" si="157"/>
        <v>183574.47486778314</v>
      </c>
      <c r="J217" s="7">
        <f t="shared" ca="1" si="157"/>
        <v>189081.70911381664</v>
      </c>
      <c r="K217" s="7">
        <f t="shared" ca="1" si="157"/>
        <v>194754.16038723115</v>
      </c>
      <c r="L217" s="7">
        <f t="shared" ca="1" si="157"/>
        <v>200596.78519884808</v>
      </c>
      <c r="M217" s="7">
        <f t="shared" ca="1" si="157"/>
        <v>206614.68875481354</v>
      </c>
      <c r="N217" s="7">
        <f t="shared" ca="1" si="157"/>
        <v>212813.12941745797</v>
      </c>
      <c r="O217" s="7">
        <f t="shared" ca="1" si="157"/>
        <v>219197.52329998172</v>
      </c>
      <c r="P217" s="7">
        <f t="shared" ca="1" si="157"/>
        <v>225773.44899898118</v>
      </c>
      <c r="Q217" s="7">
        <f t="shared" ca="1" si="157"/>
        <v>232546.65246895063</v>
      </c>
      <c r="R217" s="7">
        <f t="shared" ca="1" si="157"/>
        <v>239523.05204301915</v>
      </c>
      <c r="S217" s="7">
        <f t="shared" ca="1" si="157"/>
        <v>246708.74360430974</v>
      </c>
      <c r="T217" s="7">
        <f t="shared" ca="1" si="157"/>
        <v>254110.00591243905</v>
      </c>
      <c r="U217" s="7">
        <f t="shared" ca="1" si="157"/>
        <v>261733.30608981222</v>
      </c>
      <c r="V217" s="7">
        <f t="shared" ca="1" si="157"/>
        <v>269585.30527250661</v>
      </c>
      <c r="W217" s="7">
        <f t="shared" ca="1" si="157"/>
        <v>277672.8644306818</v>
      </c>
      <c r="X217" s="7">
        <f t="shared" ca="1" si="157"/>
        <v>286003.05036360229</v>
      </c>
      <c r="Y217" s="7">
        <f t="shared" ca="1" si="157"/>
        <v>294583.14187451039</v>
      </c>
      <c r="Z217" s="7">
        <f t="shared" ca="1" si="157"/>
        <v>303420.6361307457</v>
      </c>
      <c r="AA217" s="7">
        <f t="shared" ca="1" si="157"/>
        <v>312523.25521466805</v>
      </c>
      <c r="AB217" s="7">
        <f t="shared" ca="1" si="157"/>
        <v>321898.95287110808</v>
      </c>
      <c r="AC217" s="7">
        <f t="shared" ca="1" si="157"/>
        <v>331555.92145724135</v>
      </c>
      <c r="AD217" s="7">
        <f t="shared" ca="1" si="157"/>
        <v>341502.59910095861</v>
      </c>
      <c r="AE217" s="7">
        <f t="shared" ca="1" si="157"/>
        <v>351747.67707398738</v>
      </c>
      <c r="AF217" s="7">
        <f t="shared" ca="1" si="157"/>
        <v>362300.10738620703</v>
      </c>
      <c r="AG217" s="7">
        <f t="shared" ca="1" si="157"/>
        <v>373169.11060779326</v>
      </c>
      <c r="AH217" s="7">
        <f t="shared" ca="1" si="157"/>
        <v>384364.18392602709</v>
      </c>
      <c r="AI217" s="7">
        <f t="shared" ca="1" si="157"/>
        <v>395895.10944380792</v>
      </c>
      <c r="AJ217" s="7">
        <f t="shared" ca="1" si="157"/>
        <v>407771.96272712218</v>
      </c>
      <c r="AK217" s="7">
        <f t="shared" ca="1" si="157"/>
        <v>420005.12160893588</v>
      </c>
      <c r="AL217" s="7">
        <f t="shared" ca="1" si="157"/>
        <v>432605.27525720396</v>
      </c>
      <c r="AM217" s="7">
        <f t="shared" ca="1" si="157"/>
        <v>445583.43351492006</v>
      </c>
    </row>
    <row r="218" spans="1:39" x14ac:dyDescent="0.2">
      <c r="A218" s="17" t="str">
        <f t="shared" si="154"/>
        <v>Qormi</v>
      </c>
      <c r="C218" s="7">
        <f t="shared" ca="1" si="157"/>
        <v>225486.40785841495</v>
      </c>
      <c r="D218" s="7">
        <f t="shared" ca="1" si="157"/>
        <v>232251.00009416742</v>
      </c>
      <c r="E218" s="7">
        <f t="shared" ca="1" si="157"/>
        <v>239218.53009699244</v>
      </c>
      <c r="F218" s="7">
        <f t="shared" ca="1" si="157"/>
        <v>246395.08599990222</v>
      </c>
      <c r="G218" s="7">
        <f t="shared" ca="1" si="157"/>
        <v>253786.93857989929</v>
      </c>
      <c r="H218" s="7">
        <f t="shared" ca="1" si="157"/>
        <v>261400.54673729627</v>
      </c>
      <c r="I218" s="7">
        <f t="shared" ca="1" si="157"/>
        <v>269242.56313941517</v>
      </c>
      <c r="J218" s="7">
        <f t="shared" ca="1" si="157"/>
        <v>277319.84003359766</v>
      </c>
      <c r="K218" s="7">
        <f t="shared" ca="1" si="157"/>
        <v>285639.43523460563</v>
      </c>
      <c r="L218" s="7">
        <f t="shared" ca="1" si="157"/>
        <v>294208.6182916438</v>
      </c>
      <c r="M218" s="7">
        <f t="shared" ca="1" si="157"/>
        <v>303034.87684039312</v>
      </c>
      <c r="N218" s="7">
        <f t="shared" ca="1" si="157"/>
        <v>312125.9231456049</v>
      </c>
      <c r="O218" s="7">
        <f t="shared" ca="1" si="157"/>
        <v>321489.70083997305</v>
      </c>
      <c r="P218" s="7">
        <f t="shared" ca="1" si="157"/>
        <v>331134.39186517225</v>
      </c>
      <c r="Q218" s="7">
        <f t="shared" ca="1" si="157"/>
        <v>341068.42362112744</v>
      </c>
      <c r="R218" s="7">
        <f t="shared" ca="1" si="157"/>
        <v>351300.47632976127</v>
      </c>
      <c r="S218" s="7">
        <f t="shared" ca="1" si="157"/>
        <v>361839.49061965413</v>
      </c>
      <c r="T218" s="7">
        <f t="shared" ca="1" si="157"/>
        <v>372694.67533824377</v>
      </c>
      <c r="U218" s="7">
        <f t="shared" ca="1" si="157"/>
        <v>383875.51559839112</v>
      </c>
      <c r="V218" s="7">
        <f t="shared" ca="1" si="157"/>
        <v>395391.7810663429</v>
      </c>
      <c r="W218" s="7">
        <f t="shared" ca="1" si="157"/>
        <v>407253.53449833317</v>
      </c>
      <c r="X218" s="7">
        <f t="shared" ca="1" si="157"/>
        <v>419471.14053328318</v>
      </c>
      <c r="Y218" s="7">
        <f t="shared" ca="1" si="157"/>
        <v>432055.2747492817</v>
      </c>
      <c r="Z218" s="7">
        <f t="shared" ca="1" si="157"/>
        <v>445016.93299176014</v>
      </c>
      <c r="AA218" s="7">
        <f t="shared" ca="1" si="157"/>
        <v>458367.44098151295</v>
      </c>
      <c r="AB218" s="7">
        <f t="shared" ca="1" si="157"/>
        <v>472118.46421095834</v>
      </c>
      <c r="AC218" s="7">
        <f t="shared" ca="1" si="157"/>
        <v>486282.01813728712</v>
      </c>
      <c r="AD218" s="7">
        <f t="shared" ca="1" si="157"/>
        <v>500870.47868140572</v>
      </c>
      <c r="AE218" s="7">
        <f t="shared" ca="1" si="157"/>
        <v>515896.59304184793</v>
      </c>
      <c r="AF218" s="7">
        <f t="shared" ca="1" si="157"/>
        <v>531373.49083310342</v>
      </c>
      <c r="AG218" s="7">
        <f t="shared" ca="1" si="157"/>
        <v>547314.69555809652</v>
      </c>
      <c r="AH218" s="7">
        <f t="shared" ca="1" si="157"/>
        <v>563734.13642483938</v>
      </c>
      <c r="AI218" s="7">
        <f t="shared" ca="1" si="157"/>
        <v>580646.16051758453</v>
      </c>
      <c r="AJ218" s="7">
        <f t="shared" ca="1" si="157"/>
        <v>598065.54533311212</v>
      </c>
      <c r="AK218" s="7">
        <f t="shared" ca="1" si="157"/>
        <v>616007.51169310545</v>
      </c>
      <c r="AL218" s="7">
        <f t="shared" ca="1" si="157"/>
        <v>634487.73704389867</v>
      </c>
      <c r="AM218" s="7">
        <f t="shared" ca="1" si="157"/>
        <v>653522.36915521568</v>
      </c>
    </row>
    <row r="219" spans="1:39" x14ac:dyDescent="0.2">
      <c r="A219" s="17" t="str">
        <f t="shared" ref="A219:A220" si="158">A67</f>
        <v>Gudja</v>
      </c>
      <c r="C219" s="7">
        <f t="shared" ca="1" si="157"/>
        <v>81995.057403059982</v>
      </c>
      <c r="D219" s="7">
        <f t="shared" ca="1" si="157"/>
        <v>84454.909125151782</v>
      </c>
      <c r="E219" s="7">
        <f t="shared" ca="1" si="157"/>
        <v>86988.556398906338</v>
      </c>
      <c r="F219" s="7">
        <f t="shared" ca="1" si="157"/>
        <v>89598.213090873527</v>
      </c>
      <c r="G219" s="7">
        <f t="shared" ca="1" si="157"/>
        <v>92286.159483599738</v>
      </c>
      <c r="H219" s="7">
        <f t="shared" ca="1" si="157"/>
        <v>95054.744268107737</v>
      </c>
      <c r="I219" s="7">
        <f t="shared" ca="1" si="157"/>
        <v>97906.386596150973</v>
      </c>
      <c r="J219" s="7">
        <f t="shared" ca="1" si="157"/>
        <v>100843.57819403551</v>
      </c>
      <c r="K219" s="7">
        <f t="shared" ca="1" si="157"/>
        <v>103868.88553985658</v>
      </c>
      <c r="L219" s="7">
        <f t="shared" ca="1" si="157"/>
        <v>106984.95210605228</v>
      </c>
      <c r="M219" s="7">
        <f t="shared" ca="1" si="157"/>
        <v>110194.50066923385</v>
      </c>
      <c r="N219" s="7">
        <f t="shared" ca="1" si="157"/>
        <v>113500.33568931087</v>
      </c>
      <c r="O219" s="7">
        <f t="shared" ca="1" si="157"/>
        <v>116905.3457599902</v>
      </c>
      <c r="P219" s="7">
        <f t="shared" ca="1" si="157"/>
        <v>120412.50613278992</v>
      </c>
      <c r="Q219" s="7">
        <f t="shared" ca="1" si="157"/>
        <v>124024.88131677362</v>
      </c>
      <c r="R219" s="7">
        <f t="shared" ca="1" si="157"/>
        <v>127745.62775627684</v>
      </c>
      <c r="S219" s="7">
        <f t="shared" ca="1" si="157"/>
        <v>131577.99658896515</v>
      </c>
      <c r="T219" s="7">
        <f t="shared" ca="1" si="157"/>
        <v>135525.3364866341</v>
      </c>
      <c r="U219" s="7">
        <f t="shared" ca="1" si="157"/>
        <v>139591.09658123311</v>
      </c>
      <c r="V219" s="7">
        <f t="shared" ca="1" si="157"/>
        <v>143778.82947867012</v>
      </c>
      <c r="W219" s="7">
        <f t="shared" ca="1" si="157"/>
        <v>148092.19436303023</v>
      </c>
      <c r="X219" s="7">
        <f t="shared" ca="1" si="157"/>
        <v>152534.96019392114</v>
      </c>
      <c r="Y219" s="7">
        <f t="shared" ca="1" si="157"/>
        <v>157111.00899973878</v>
      </c>
      <c r="Z219" s="7">
        <f t="shared" ca="1" si="157"/>
        <v>161824.33926973096</v>
      </c>
      <c r="AA219" s="7">
        <f t="shared" ca="1" si="157"/>
        <v>166679.0694478229</v>
      </c>
      <c r="AB219" s="7">
        <f t="shared" ca="1" si="157"/>
        <v>171679.44153125759</v>
      </c>
      <c r="AC219" s="7">
        <f t="shared" ca="1" si="157"/>
        <v>176829.82477719532</v>
      </c>
      <c r="AD219" s="7">
        <f t="shared" ca="1" si="157"/>
        <v>182134.71952051119</v>
      </c>
      <c r="AE219" s="7">
        <f t="shared" ca="1" si="157"/>
        <v>187598.76110612653</v>
      </c>
      <c r="AF219" s="7">
        <f t="shared" ca="1" si="157"/>
        <v>193226.72393931032</v>
      </c>
      <c r="AG219" s="7">
        <f t="shared" ca="1" si="157"/>
        <v>199023.52565748963</v>
      </c>
      <c r="AH219" s="7">
        <f t="shared" ca="1" si="157"/>
        <v>204994.23142721434</v>
      </c>
      <c r="AI219" s="7">
        <f t="shared" ca="1" si="157"/>
        <v>211144.05837003078</v>
      </c>
      <c r="AJ219" s="7">
        <f t="shared" ca="1" si="157"/>
        <v>217478.38012113172</v>
      </c>
      <c r="AK219" s="7">
        <f t="shared" ca="1" si="157"/>
        <v>224002.73152476567</v>
      </c>
      <c r="AL219" s="7">
        <f t="shared" ca="1" si="157"/>
        <v>230722.81347050864</v>
      </c>
      <c r="AM219" s="7">
        <f t="shared" ca="1" si="157"/>
        <v>237644.49787462392</v>
      </c>
    </row>
    <row r="220" spans="1:39" x14ac:dyDescent="0.2">
      <c r="A220" s="17" t="str">
        <f t="shared" si="158"/>
        <v>Marsa</v>
      </c>
      <c r="C220" s="7">
        <f t="shared" ca="1" si="157"/>
        <v>122992.58610458997</v>
      </c>
      <c r="D220" s="7">
        <f t="shared" ca="1" si="157"/>
        <v>126682.36368772767</v>
      </c>
      <c r="E220" s="7">
        <f t="shared" ca="1" si="157"/>
        <v>130482.83459835951</v>
      </c>
      <c r="F220" s="7">
        <f t="shared" ca="1" si="157"/>
        <v>134397.31963631031</v>
      </c>
      <c r="G220" s="7">
        <f t="shared" ca="1" si="157"/>
        <v>138429.23922539962</v>
      </c>
      <c r="H220" s="7">
        <f t="shared" ca="1" si="157"/>
        <v>142582.11640216163</v>
      </c>
      <c r="I220" s="7">
        <f t="shared" ca="1" si="157"/>
        <v>146859.57989422648</v>
      </c>
      <c r="J220" s="7">
        <f t="shared" ca="1" si="157"/>
        <v>151265.36729105329</v>
      </c>
      <c r="K220" s="7">
        <f t="shared" ca="1" si="157"/>
        <v>155803.32830978491</v>
      </c>
      <c r="L220" s="7">
        <f t="shared" ca="1" si="157"/>
        <v>160477.42815907847</v>
      </c>
      <c r="M220" s="7">
        <f t="shared" ca="1" si="157"/>
        <v>165291.75100385083</v>
      </c>
      <c r="N220" s="7">
        <f t="shared" ca="1" si="157"/>
        <v>170250.50353396637</v>
      </c>
      <c r="O220" s="7">
        <f t="shared" ca="1" si="157"/>
        <v>175358.01863998536</v>
      </c>
      <c r="P220" s="7">
        <f t="shared" ca="1" si="157"/>
        <v>180618.75919918492</v>
      </c>
      <c r="Q220" s="7">
        <f t="shared" ca="1" si="157"/>
        <v>186037.32197516048</v>
      </c>
      <c r="R220" s="7">
        <f t="shared" ca="1" si="157"/>
        <v>191618.4416344153</v>
      </c>
      <c r="S220" s="7">
        <f t="shared" ca="1" si="157"/>
        <v>197366.99488344777</v>
      </c>
      <c r="T220" s="7">
        <f t="shared" ca="1" si="157"/>
        <v>203288.00472995121</v>
      </c>
      <c r="U220" s="7">
        <f t="shared" ca="1" si="157"/>
        <v>209386.64487184974</v>
      </c>
      <c r="V220" s="7">
        <f t="shared" ca="1" si="157"/>
        <v>215668.24421800525</v>
      </c>
      <c r="W220" s="7">
        <f t="shared" ca="1" si="157"/>
        <v>222138.29154454541</v>
      </c>
      <c r="X220" s="7">
        <f t="shared" ca="1" si="157"/>
        <v>228802.44029088179</v>
      </c>
      <c r="Y220" s="7">
        <f t="shared" ca="1" si="157"/>
        <v>235666.51349960823</v>
      </c>
      <c r="Z220" s="7">
        <f t="shared" ca="1" si="157"/>
        <v>242736.5089045965</v>
      </c>
      <c r="AA220" s="7">
        <f t="shared" ca="1" si="157"/>
        <v>250018.60417173439</v>
      </c>
      <c r="AB220" s="7">
        <f t="shared" ca="1" si="157"/>
        <v>257519.16229688644</v>
      </c>
      <c r="AC220" s="7">
        <f t="shared" ca="1" si="157"/>
        <v>265244.73716579302</v>
      </c>
      <c r="AD220" s="7">
        <f t="shared" ca="1" si="157"/>
        <v>273202.07928076683</v>
      </c>
      <c r="AE220" s="7">
        <f t="shared" ca="1" si="157"/>
        <v>281398.14165918983</v>
      </c>
      <c r="AF220" s="7">
        <f t="shared" ca="1" si="157"/>
        <v>289840.08590896556</v>
      </c>
      <c r="AG220" s="7">
        <f t="shared" ca="1" si="157"/>
        <v>298535.28848623455</v>
      </c>
      <c r="AH220" s="7">
        <f t="shared" ca="1" si="157"/>
        <v>307491.34714082157</v>
      </c>
      <c r="AI220" s="7">
        <f t="shared" ca="1" si="157"/>
        <v>316716.08755504625</v>
      </c>
      <c r="AJ220" s="7">
        <f t="shared" ca="1" si="157"/>
        <v>326217.57018169767</v>
      </c>
      <c r="AK220" s="7">
        <f t="shared" ca="1" si="157"/>
        <v>336004.09728714859</v>
      </c>
      <c r="AL220" s="7">
        <f t="shared" ca="1" si="157"/>
        <v>346084.22020576306</v>
      </c>
      <c r="AM220" s="7">
        <f t="shared" ca="1" si="157"/>
        <v>356466.74681193597</v>
      </c>
    </row>
    <row r="221" spans="1:39" x14ac:dyDescent="0.2">
      <c r="A221" s="16" t="str">
        <f t="shared" ref="A221:A226" si="159">A69</f>
        <v>Stock market equity investments</v>
      </c>
      <c r="C221" s="7">
        <f t="shared" ref="C221:AM221" ca="1" si="160">C89</f>
        <v>31987.064369139065</v>
      </c>
      <c r="D221" s="7">
        <f t="shared" ca="1" si="160"/>
        <v>34546.029518670191</v>
      </c>
      <c r="E221" s="7">
        <f t="shared" ca="1" si="160"/>
        <v>37309.711880163806</v>
      </c>
      <c r="F221" s="7">
        <f t="shared" ca="1" si="160"/>
        <v>40294.488830576913</v>
      </c>
      <c r="G221" s="7">
        <f t="shared" ca="1" si="160"/>
        <v>43518.047937023068</v>
      </c>
      <c r="H221" s="7">
        <f t="shared" ca="1" si="160"/>
        <v>46999.491771984911</v>
      </c>
      <c r="I221" s="7">
        <f t="shared" ca="1" si="160"/>
        <v>50759.451113743708</v>
      </c>
      <c r="J221" s="7">
        <f t="shared" ca="1" si="160"/>
        <v>54820.207202843201</v>
      </c>
      <c r="K221" s="7">
        <f t="shared" ca="1" si="160"/>
        <v>59205.823779070655</v>
      </c>
      <c r="L221" s="7">
        <f t="shared" ca="1" si="160"/>
        <v>63942.289681396309</v>
      </c>
      <c r="M221" s="7">
        <f t="shared" ca="1" si="160"/>
        <v>69057.672855908007</v>
      </c>
      <c r="N221" s="7">
        <f t="shared" ca="1" si="160"/>
        <v>74582.286684380641</v>
      </c>
      <c r="O221" s="7">
        <f t="shared" ca="1" si="160"/>
        <v>80548.869619131088</v>
      </c>
      <c r="P221" s="7">
        <f t="shared" ca="1" si="160"/>
        <v>86992.779188661574</v>
      </c>
      <c r="Q221" s="7">
        <f t="shared" ca="1" si="160"/>
        <v>93952.201523754498</v>
      </c>
      <c r="R221" s="7">
        <f t="shared" ca="1" si="160"/>
        <v>101468.37764565487</v>
      </c>
      <c r="S221" s="7">
        <f t="shared" ca="1" si="160"/>
        <v>109585.84785730725</v>
      </c>
      <c r="T221" s="7">
        <f t="shared" ca="1" si="160"/>
        <v>118352.71568589183</v>
      </c>
      <c r="U221" s="7">
        <f t="shared" ca="1" si="160"/>
        <v>127820.93294076317</v>
      </c>
      <c r="V221" s="7">
        <f t="shared" ca="1" si="160"/>
        <v>138046.60757602422</v>
      </c>
      <c r="W221" s="7">
        <f t="shared" ca="1" si="160"/>
        <v>149090.33618210617</v>
      </c>
      <c r="X221" s="7">
        <f t="shared" ca="1" si="160"/>
        <v>161017.56307667468</v>
      </c>
      <c r="Y221" s="7">
        <f t="shared" ca="1" si="160"/>
        <v>173898.96812280864</v>
      </c>
      <c r="Z221" s="7">
        <f t="shared" ca="1" si="160"/>
        <v>187810.88557263333</v>
      </c>
      <c r="AA221" s="7">
        <f t="shared" ca="1" si="160"/>
        <v>202835.75641844398</v>
      </c>
      <c r="AB221" s="7">
        <f t="shared" ca="1" si="160"/>
        <v>219062.6169319195</v>
      </c>
      <c r="AC221" s="7">
        <f t="shared" ca="1" si="160"/>
        <v>236587.62628647307</v>
      </c>
      <c r="AD221" s="7">
        <f t="shared" ca="1" si="160"/>
        <v>255514.63638939091</v>
      </c>
      <c r="AE221" s="7">
        <f t="shared" ca="1" si="160"/>
        <v>275955.80730054219</v>
      </c>
      <c r="AF221" s="7">
        <f t="shared" ca="1" si="160"/>
        <v>298032.27188458556</v>
      </c>
      <c r="AG221" s="7">
        <f t="shared" ca="1" si="160"/>
        <v>321874.8536353524</v>
      </c>
      <c r="AH221" s="7">
        <f t="shared" ca="1" si="160"/>
        <v>347624.84192618058</v>
      </c>
      <c r="AI221" s="7">
        <f t="shared" ca="1" si="160"/>
        <v>375434.82928027504</v>
      </c>
      <c r="AJ221" s="7">
        <f t="shared" ca="1" si="160"/>
        <v>405469.61562269705</v>
      </c>
      <c r="AK221" s="7">
        <f t="shared" ca="1" si="160"/>
        <v>437907.18487251282</v>
      </c>
      <c r="AL221" s="7">
        <f t="shared" ca="1" si="160"/>
        <v>472939.75966231385</v>
      </c>
      <c r="AM221" s="7">
        <f t="shared" ca="1" si="160"/>
        <v>510774.94043529895</v>
      </c>
    </row>
    <row r="222" spans="1:39" x14ac:dyDescent="0.2">
      <c r="A222" s="16" t="str">
        <f t="shared" si="159"/>
        <v>Home loan</v>
      </c>
      <c r="C222" s="7">
        <f t="shared" ref="C222:AM222" ca="1" si="161">C70</f>
        <v>-43173.554028497994</v>
      </c>
      <c r="D222" s="7">
        <f t="shared" ca="1" si="161"/>
        <v>-34753.61277530963</v>
      </c>
      <c r="E222" s="7">
        <f t="shared" ca="1" si="161"/>
        <v>-26077.570951749931</v>
      </c>
      <c r="F222" s="7">
        <f t="shared" ca="1" si="161"/>
        <v>-17137.639013905144</v>
      </c>
      <c r="G222" s="7">
        <f t="shared" ca="1" si="161"/>
        <v>-7925.7904914290921</v>
      </c>
      <c r="H222" s="7">
        <f t="shared" ca="1" si="161"/>
        <v>0</v>
      </c>
      <c r="I222" s="7">
        <f t="shared" ca="1" si="161"/>
        <v>0</v>
      </c>
      <c r="J222" s="7">
        <f t="shared" ca="1" si="161"/>
        <v>0</v>
      </c>
      <c r="K222" s="7">
        <f t="shared" ca="1" si="161"/>
        <v>0</v>
      </c>
      <c r="L222" s="7">
        <f t="shared" ca="1" si="161"/>
        <v>0</v>
      </c>
      <c r="M222" s="7">
        <f t="shared" ca="1" si="161"/>
        <v>0</v>
      </c>
      <c r="N222" s="7">
        <f t="shared" ca="1" si="161"/>
        <v>0</v>
      </c>
      <c r="O222" s="7">
        <f t="shared" ca="1" si="161"/>
        <v>0</v>
      </c>
      <c r="P222" s="7">
        <f t="shared" ca="1" si="161"/>
        <v>0</v>
      </c>
      <c r="Q222" s="7">
        <f t="shared" ca="1" si="161"/>
        <v>0</v>
      </c>
      <c r="R222" s="7">
        <f t="shared" ca="1" si="161"/>
        <v>0</v>
      </c>
      <c r="S222" s="7">
        <f t="shared" ca="1" si="161"/>
        <v>0</v>
      </c>
      <c r="T222" s="7">
        <f t="shared" ca="1" si="161"/>
        <v>0</v>
      </c>
      <c r="U222" s="7">
        <f t="shared" ca="1" si="161"/>
        <v>0</v>
      </c>
      <c r="V222" s="7">
        <f t="shared" ca="1" si="161"/>
        <v>0</v>
      </c>
      <c r="W222" s="7">
        <f t="shared" ca="1" si="161"/>
        <v>0</v>
      </c>
      <c r="X222" s="7">
        <f t="shared" ca="1" si="161"/>
        <v>0</v>
      </c>
      <c r="Y222" s="7">
        <f t="shared" ca="1" si="161"/>
        <v>0</v>
      </c>
      <c r="Z222" s="7">
        <f t="shared" ca="1" si="161"/>
        <v>0</v>
      </c>
      <c r="AA222" s="7">
        <f t="shared" ca="1" si="161"/>
        <v>0</v>
      </c>
      <c r="AB222" s="7">
        <f t="shared" ca="1" si="161"/>
        <v>0</v>
      </c>
      <c r="AC222" s="7">
        <f t="shared" ca="1" si="161"/>
        <v>0</v>
      </c>
      <c r="AD222" s="7">
        <f t="shared" ca="1" si="161"/>
        <v>0</v>
      </c>
      <c r="AE222" s="7">
        <f t="shared" ca="1" si="161"/>
        <v>0</v>
      </c>
      <c r="AF222" s="7">
        <f t="shared" ca="1" si="161"/>
        <v>0</v>
      </c>
      <c r="AG222" s="7">
        <f t="shared" ca="1" si="161"/>
        <v>0</v>
      </c>
      <c r="AH222" s="7">
        <f t="shared" ca="1" si="161"/>
        <v>0</v>
      </c>
      <c r="AI222" s="7">
        <f t="shared" ca="1" si="161"/>
        <v>0</v>
      </c>
      <c r="AJ222" s="7">
        <f t="shared" ca="1" si="161"/>
        <v>0</v>
      </c>
      <c r="AK222" s="7">
        <f t="shared" ca="1" si="161"/>
        <v>0</v>
      </c>
      <c r="AL222" s="7">
        <f t="shared" ca="1" si="161"/>
        <v>0</v>
      </c>
      <c r="AM222" s="7">
        <f t="shared" ca="1" si="161"/>
        <v>0</v>
      </c>
    </row>
    <row r="223" spans="1:39" x14ac:dyDescent="0.2">
      <c r="A223" s="16" t="str">
        <f t="shared" si="159"/>
        <v>Other property loans</v>
      </c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  <c r="AA223" s="7"/>
      <c r="AB223" s="7"/>
      <c r="AC223" s="7"/>
      <c r="AD223" s="7"/>
      <c r="AE223" s="7"/>
      <c r="AF223" s="7"/>
      <c r="AG223" s="7"/>
      <c r="AH223" s="7"/>
      <c r="AI223" s="7"/>
      <c r="AJ223" s="7"/>
      <c r="AK223" s="7"/>
      <c r="AL223" s="7"/>
      <c r="AM223" s="7"/>
    </row>
    <row r="224" spans="1:39" x14ac:dyDescent="0.2">
      <c r="A224" s="17" t="str">
        <f t="shared" si="159"/>
        <v>Sliema</v>
      </c>
      <c r="C224" s="7">
        <f ca="1">C206</f>
        <v>-46207.530015832221</v>
      </c>
      <c r="D224" s="7">
        <f t="shared" ref="D224:AM226" ca="1" si="162">D206</f>
        <v>-41529.784875172016</v>
      </c>
      <c r="E224" s="7">
        <f t="shared" ca="1" si="162"/>
        <v>-36709.76163986107</v>
      </c>
      <c r="F224" s="7">
        <f t="shared" ca="1" si="162"/>
        <v>-31743.132785502858</v>
      </c>
      <c r="G224" s="7">
        <f t="shared" ca="1" si="162"/>
        <v>-26625.439161905048</v>
      </c>
      <c r="H224" s="7">
        <f t="shared" ca="1" si="162"/>
        <v>-21352.085989555409</v>
      </c>
      <c r="I224" s="7">
        <f t="shared" ca="1" si="162"/>
        <v>-15918.338734325836</v>
      </c>
      <c r="J224" s="7">
        <f t="shared" ca="1" si="162"/>
        <v>-10319.318856702368</v>
      </c>
      <c r="K224" s="7">
        <f t="shared" ca="1" si="162"/>
        <v>-4549.9994317232195</v>
      </c>
      <c r="L224" s="7">
        <f t="shared" ca="1" si="162"/>
        <v>0</v>
      </c>
      <c r="M224" s="7">
        <f t="shared" ca="1" si="162"/>
        <v>0</v>
      </c>
      <c r="N224" s="7">
        <f t="shared" ca="1" si="162"/>
        <v>0</v>
      </c>
      <c r="O224" s="7">
        <f t="shared" ca="1" si="162"/>
        <v>0</v>
      </c>
      <c r="P224" s="7">
        <f t="shared" ca="1" si="162"/>
        <v>0</v>
      </c>
      <c r="Q224" s="7">
        <f t="shared" ca="1" si="162"/>
        <v>0</v>
      </c>
      <c r="R224" s="7">
        <f t="shared" ca="1" si="162"/>
        <v>0</v>
      </c>
      <c r="S224" s="7">
        <f t="shared" ca="1" si="162"/>
        <v>0</v>
      </c>
      <c r="T224" s="7">
        <f t="shared" ca="1" si="162"/>
        <v>0</v>
      </c>
      <c r="U224" s="7">
        <f t="shared" ca="1" si="162"/>
        <v>0</v>
      </c>
      <c r="V224" s="7">
        <f t="shared" ca="1" si="162"/>
        <v>0</v>
      </c>
      <c r="W224" s="7">
        <f t="shared" ca="1" si="162"/>
        <v>0</v>
      </c>
      <c r="X224" s="7">
        <f t="shared" ca="1" si="162"/>
        <v>0</v>
      </c>
      <c r="Y224" s="7">
        <f t="shared" ca="1" si="162"/>
        <v>0</v>
      </c>
      <c r="Z224" s="7">
        <f t="shared" ca="1" si="162"/>
        <v>0</v>
      </c>
      <c r="AA224" s="7">
        <f t="shared" ca="1" si="162"/>
        <v>0</v>
      </c>
      <c r="AB224" s="7">
        <f t="shared" ca="1" si="162"/>
        <v>0</v>
      </c>
      <c r="AC224" s="7">
        <f t="shared" ca="1" si="162"/>
        <v>0</v>
      </c>
      <c r="AD224" s="7">
        <f t="shared" ca="1" si="162"/>
        <v>0</v>
      </c>
      <c r="AE224" s="7">
        <f t="shared" ca="1" si="162"/>
        <v>0</v>
      </c>
      <c r="AF224" s="7">
        <f t="shared" ca="1" si="162"/>
        <v>0</v>
      </c>
      <c r="AG224" s="7">
        <f t="shared" ca="1" si="162"/>
        <v>0</v>
      </c>
      <c r="AH224" s="7">
        <f t="shared" ca="1" si="162"/>
        <v>0</v>
      </c>
      <c r="AI224" s="7">
        <f t="shared" ca="1" si="162"/>
        <v>0</v>
      </c>
      <c r="AJ224" s="7">
        <f t="shared" ca="1" si="162"/>
        <v>0</v>
      </c>
      <c r="AK224" s="7">
        <f t="shared" ca="1" si="162"/>
        <v>0</v>
      </c>
      <c r="AL224" s="7">
        <f t="shared" ca="1" si="162"/>
        <v>0</v>
      </c>
      <c r="AM224" s="7">
        <f t="shared" ca="1" si="162"/>
        <v>0</v>
      </c>
    </row>
    <row r="225" spans="1:39" x14ac:dyDescent="0.2">
      <c r="A225" s="17" t="str">
        <f t="shared" si="159"/>
        <v>Gzira</v>
      </c>
      <c r="C225" s="7">
        <f ca="1">C207</f>
        <v>-6627.6670411890118</v>
      </c>
      <c r="D225" s="7">
        <f t="shared" ca="1" si="162"/>
        <v>-4339.3195483066884</v>
      </c>
      <c r="E225" s="7">
        <f t="shared" ca="1" si="162"/>
        <v>-2004.7832357051393</v>
      </c>
      <c r="F225" s="7">
        <f t="shared" ca="1" si="162"/>
        <v>0</v>
      </c>
      <c r="G225" s="7">
        <f t="shared" ca="1" si="162"/>
        <v>0</v>
      </c>
      <c r="H225" s="7">
        <f t="shared" ca="1" si="162"/>
        <v>0</v>
      </c>
      <c r="I225" s="7">
        <f t="shared" ca="1" si="162"/>
        <v>0</v>
      </c>
      <c r="J225" s="7">
        <f t="shared" ca="1" si="162"/>
        <v>0</v>
      </c>
      <c r="K225" s="7">
        <f t="shared" ca="1" si="162"/>
        <v>0</v>
      </c>
      <c r="L225" s="7">
        <f t="shared" ca="1" si="162"/>
        <v>0</v>
      </c>
      <c r="M225" s="7">
        <f t="shared" ca="1" si="162"/>
        <v>0</v>
      </c>
      <c r="N225" s="7">
        <f t="shared" ca="1" si="162"/>
        <v>0</v>
      </c>
      <c r="O225" s="7">
        <f t="shared" ca="1" si="162"/>
        <v>0</v>
      </c>
      <c r="P225" s="7">
        <f t="shared" ca="1" si="162"/>
        <v>0</v>
      </c>
      <c r="Q225" s="7">
        <f t="shared" ca="1" si="162"/>
        <v>0</v>
      </c>
      <c r="R225" s="7">
        <f t="shared" ca="1" si="162"/>
        <v>0</v>
      </c>
      <c r="S225" s="7">
        <f t="shared" ca="1" si="162"/>
        <v>0</v>
      </c>
      <c r="T225" s="7">
        <f t="shared" ca="1" si="162"/>
        <v>0</v>
      </c>
      <c r="U225" s="7">
        <f t="shared" ca="1" si="162"/>
        <v>0</v>
      </c>
      <c r="V225" s="7">
        <f t="shared" ca="1" si="162"/>
        <v>0</v>
      </c>
      <c r="W225" s="7">
        <f t="shared" ca="1" si="162"/>
        <v>0</v>
      </c>
      <c r="X225" s="7">
        <f t="shared" ca="1" si="162"/>
        <v>0</v>
      </c>
      <c r="Y225" s="7">
        <f t="shared" ca="1" si="162"/>
        <v>0</v>
      </c>
      <c r="Z225" s="7">
        <f t="shared" ca="1" si="162"/>
        <v>0</v>
      </c>
      <c r="AA225" s="7">
        <f t="shared" ca="1" si="162"/>
        <v>0</v>
      </c>
      <c r="AB225" s="7">
        <f t="shared" ca="1" si="162"/>
        <v>0</v>
      </c>
      <c r="AC225" s="7">
        <f t="shared" ca="1" si="162"/>
        <v>0</v>
      </c>
      <c r="AD225" s="7">
        <f t="shared" ca="1" si="162"/>
        <v>0</v>
      </c>
      <c r="AE225" s="7">
        <f t="shared" ca="1" si="162"/>
        <v>0</v>
      </c>
      <c r="AF225" s="7">
        <f t="shared" ca="1" si="162"/>
        <v>0</v>
      </c>
      <c r="AG225" s="7">
        <f t="shared" ca="1" si="162"/>
        <v>0</v>
      </c>
      <c r="AH225" s="7">
        <f t="shared" ca="1" si="162"/>
        <v>0</v>
      </c>
      <c r="AI225" s="7">
        <f t="shared" ca="1" si="162"/>
        <v>0</v>
      </c>
      <c r="AJ225" s="7">
        <f t="shared" ca="1" si="162"/>
        <v>0</v>
      </c>
      <c r="AK225" s="7">
        <f t="shared" ca="1" si="162"/>
        <v>0</v>
      </c>
      <c r="AL225" s="7">
        <f t="shared" ca="1" si="162"/>
        <v>0</v>
      </c>
      <c r="AM225" s="7">
        <f t="shared" ca="1" si="162"/>
        <v>0</v>
      </c>
    </row>
    <row r="226" spans="1:39" x14ac:dyDescent="0.2">
      <c r="A226" s="17" t="str">
        <f t="shared" si="159"/>
        <v>Qormi</v>
      </c>
      <c r="C226" s="7">
        <f ca="1">C208</f>
        <v>-13089.450262401593</v>
      </c>
      <c r="D226" s="7">
        <f t="shared" ca="1" si="162"/>
        <v>-10689.417507150618</v>
      </c>
      <c r="E226" s="7">
        <f t="shared" ca="1" si="162"/>
        <v>-8166.5945211626622</v>
      </c>
      <c r="F226" s="7">
        <f t="shared" ca="1" si="162"/>
        <v>-5514.6991231919146</v>
      </c>
      <c r="G226" s="7">
        <f t="shared" ca="1" si="162"/>
        <v>-2727.1277236771257</v>
      </c>
      <c r="H226" s="7">
        <f t="shared" ca="1" si="162"/>
        <v>0</v>
      </c>
      <c r="I226" s="7">
        <f t="shared" ca="1" si="162"/>
        <v>0</v>
      </c>
      <c r="J226" s="7">
        <f t="shared" ca="1" si="162"/>
        <v>0</v>
      </c>
      <c r="K226" s="7">
        <f t="shared" ca="1" si="162"/>
        <v>0</v>
      </c>
      <c r="L226" s="7">
        <f t="shared" ca="1" si="162"/>
        <v>0</v>
      </c>
      <c r="M226" s="7">
        <f t="shared" ca="1" si="162"/>
        <v>0</v>
      </c>
      <c r="N226" s="7">
        <f t="shared" ca="1" si="162"/>
        <v>0</v>
      </c>
      <c r="O226" s="7">
        <f t="shared" ca="1" si="162"/>
        <v>0</v>
      </c>
      <c r="P226" s="7">
        <f t="shared" ca="1" si="162"/>
        <v>0</v>
      </c>
      <c r="Q226" s="7">
        <f t="shared" ca="1" si="162"/>
        <v>0</v>
      </c>
      <c r="R226" s="7">
        <f t="shared" ca="1" si="162"/>
        <v>0</v>
      </c>
      <c r="S226" s="7">
        <f t="shared" ca="1" si="162"/>
        <v>0</v>
      </c>
      <c r="T226" s="7">
        <f t="shared" ca="1" si="162"/>
        <v>0</v>
      </c>
      <c r="U226" s="7">
        <f t="shared" ca="1" si="162"/>
        <v>0</v>
      </c>
      <c r="V226" s="7">
        <f t="shared" ca="1" si="162"/>
        <v>0</v>
      </c>
      <c r="W226" s="7">
        <f t="shared" ca="1" si="162"/>
        <v>0</v>
      </c>
      <c r="X226" s="7">
        <f t="shared" ca="1" si="162"/>
        <v>0</v>
      </c>
      <c r="Y226" s="7">
        <f t="shared" ca="1" si="162"/>
        <v>0</v>
      </c>
      <c r="Z226" s="7">
        <f t="shared" ca="1" si="162"/>
        <v>0</v>
      </c>
      <c r="AA226" s="7">
        <f t="shared" ca="1" si="162"/>
        <v>0</v>
      </c>
      <c r="AB226" s="7">
        <f t="shared" ca="1" si="162"/>
        <v>0</v>
      </c>
      <c r="AC226" s="7">
        <f t="shared" ca="1" si="162"/>
        <v>0</v>
      </c>
      <c r="AD226" s="7">
        <f t="shared" ca="1" si="162"/>
        <v>0</v>
      </c>
      <c r="AE226" s="7">
        <f t="shared" ca="1" si="162"/>
        <v>0</v>
      </c>
      <c r="AF226" s="7">
        <f t="shared" ca="1" si="162"/>
        <v>0</v>
      </c>
      <c r="AG226" s="7">
        <f t="shared" ca="1" si="162"/>
        <v>0</v>
      </c>
      <c r="AH226" s="7">
        <f t="shared" ca="1" si="162"/>
        <v>0</v>
      </c>
      <c r="AI226" s="7">
        <f t="shared" ca="1" si="162"/>
        <v>0</v>
      </c>
      <c r="AJ226" s="7">
        <f t="shared" ca="1" si="162"/>
        <v>0</v>
      </c>
      <c r="AK226" s="7">
        <f t="shared" ca="1" si="162"/>
        <v>0</v>
      </c>
      <c r="AL226" s="7">
        <f t="shared" ca="1" si="162"/>
        <v>0</v>
      </c>
      <c r="AM226" s="7">
        <f t="shared" ca="1" si="162"/>
        <v>0</v>
      </c>
    </row>
    <row r="227" spans="1:39" x14ac:dyDescent="0.2">
      <c r="A227" s="17" t="str">
        <f t="shared" ref="A227:A228" si="163">A75</f>
        <v>Gudja</v>
      </c>
      <c r="C227" s="7">
        <f t="shared" ref="C227:AM228" ca="1" si="164">C209</f>
        <v>-3952.5608629982789</v>
      </c>
      <c r="D227" s="7">
        <f t="shared" ca="1" si="164"/>
        <v>-3063.4916845977205</v>
      </c>
      <c r="E227" s="7">
        <f t="shared" ca="1" si="164"/>
        <v>-2156.4772176748579</v>
      </c>
      <c r="F227" s="7">
        <f t="shared" ca="1" si="164"/>
        <v>-1231.15524814336</v>
      </c>
      <c r="G227" s="7">
        <f t="shared" ca="1" si="164"/>
        <v>-287.15625085893407</v>
      </c>
      <c r="H227" s="7">
        <f t="shared" ca="1" si="164"/>
        <v>0</v>
      </c>
      <c r="I227" s="7">
        <f t="shared" ca="1" si="164"/>
        <v>0</v>
      </c>
      <c r="J227" s="7">
        <f t="shared" ca="1" si="164"/>
        <v>0</v>
      </c>
      <c r="K227" s="7">
        <f t="shared" ca="1" si="164"/>
        <v>0</v>
      </c>
      <c r="L227" s="7">
        <f t="shared" ca="1" si="164"/>
        <v>0</v>
      </c>
      <c r="M227" s="7">
        <f t="shared" ca="1" si="164"/>
        <v>0</v>
      </c>
      <c r="N227" s="7">
        <f t="shared" ca="1" si="164"/>
        <v>0</v>
      </c>
      <c r="O227" s="7">
        <f t="shared" ca="1" si="164"/>
        <v>0</v>
      </c>
      <c r="P227" s="7">
        <f t="shared" ca="1" si="164"/>
        <v>0</v>
      </c>
      <c r="Q227" s="7">
        <f t="shared" ca="1" si="164"/>
        <v>0</v>
      </c>
      <c r="R227" s="7">
        <f t="shared" ca="1" si="164"/>
        <v>0</v>
      </c>
      <c r="S227" s="7">
        <f t="shared" ca="1" si="164"/>
        <v>0</v>
      </c>
      <c r="T227" s="7">
        <f t="shared" ca="1" si="164"/>
        <v>0</v>
      </c>
      <c r="U227" s="7">
        <f t="shared" ca="1" si="164"/>
        <v>0</v>
      </c>
      <c r="V227" s="7">
        <f t="shared" ca="1" si="164"/>
        <v>0</v>
      </c>
      <c r="W227" s="7">
        <f t="shared" ca="1" si="164"/>
        <v>0</v>
      </c>
      <c r="X227" s="7">
        <f t="shared" ca="1" si="164"/>
        <v>0</v>
      </c>
      <c r="Y227" s="7">
        <f t="shared" ca="1" si="164"/>
        <v>0</v>
      </c>
      <c r="Z227" s="7">
        <f t="shared" ca="1" si="164"/>
        <v>0</v>
      </c>
      <c r="AA227" s="7">
        <f t="shared" ca="1" si="164"/>
        <v>0</v>
      </c>
      <c r="AB227" s="7">
        <f t="shared" ca="1" si="164"/>
        <v>0</v>
      </c>
      <c r="AC227" s="7">
        <f t="shared" ca="1" si="164"/>
        <v>0</v>
      </c>
      <c r="AD227" s="7">
        <f t="shared" ca="1" si="164"/>
        <v>0</v>
      </c>
      <c r="AE227" s="7">
        <f t="shared" ca="1" si="164"/>
        <v>0</v>
      </c>
      <c r="AF227" s="7">
        <f t="shared" ca="1" si="164"/>
        <v>0</v>
      </c>
      <c r="AG227" s="7">
        <f t="shared" ca="1" si="164"/>
        <v>0</v>
      </c>
      <c r="AH227" s="7">
        <f t="shared" ca="1" si="164"/>
        <v>0</v>
      </c>
      <c r="AI227" s="7">
        <f t="shared" ca="1" si="164"/>
        <v>0</v>
      </c>
      <c r="AJ227" s="7">
        <f t="shared" ca="1" si="164"/>
        <v>0</v>
      </c>
      <c r="AK227" s="7">
        <f t="shared" ca="1" si="164"/>
        <v>0</v>
      </c>
      <c r="AL227" s="7">
        <f t="shared" ca="1" si="164"/>
        <v>0</v>
      </c>
      <c r="AM227" s="7">
        <f t="shared" ca="1" si="164"/>
        <v>0</v>
      </c>
    </row>
    <row r="228" spans="1:39" x14ac:dyDescent="0.2">
      <c r="A228" s="17" t="str">
        <f t="shared" si="163"/>
        <v>Marsa</v>
      </c>
      <c r="C228" s="7">
        <f t="shared" ca="1" si="164"/>
        <v>-8551.2061659277369</v>
      </c>
      <c r="D228" s="7">
        <f t="shared" ca="1" si="164"/>
        <v>-7351.3333523807905</v>
      </c>
      <c r="E228" s="7">
        <f t="shared" ca="1" si="164"/>
        <v>-6114.965259035298</v>
      </c>
      <c r="F228" s="7">
        <f t="shared" ca="1" si="164"/>
        <v>-4840.9918470333869</v>
      </c>
      <c r="G228" s="7">
        <f t="shared" ca="1" si="164"/>
        <v>-3528.2693146230595</v>
      </c>
      <c r="H228" s="7">
        <f t="shared" ca="1" si="164"/>
        <v>-2175.6190702275599</v>
      </c>
      <c r="I228" s="7">
        <f t="shared" ca="1" si="164"/>
        <v>-781.82667427947126</v>
      </c>
      <c r="J228" s="7">
        <f t="shared" ca="1" si="164"/>
        <v>0</v>
      </c>
      <c r="K228" s="7">
        <f t="shared" ca="1" si="164"/>
        <v>0</v>
      </c>
      <c r="L228" s="7">
        <f t="shared" ca="1" si="164"/>
        <v>0</v>
      </c>
      <c r="M228" s="7">
        <f t="shared" ca="1" si="164"/>
        <v>0</v>
      </c>
      <c r="N228" s="7">
        <f t="shared" ca="1" si="164"/>
        <v>0</v>
      </c>
      <c r="O228" s="7">
        <f t="shared" ca="1" si="164"/>
        <v>0</v>
      </c>
      <c r="P228" s="7">
        <f t="shared" ca="1" si="164"/>
        <v>0</v>
      </c>
      <c r="Q228" s="7">
        <f t="shared" ca="1" si="164"/>
        <v>0</v>
      </c>
      <c r="R228" s="7">
        <f t="shared" ca="1" si="164"/>
        <v>0</v>
      </c>
      <c r="S228" s="7">
        <f t="shared" ca="1" si="164"/>
        <v>0</v>
      </c>
      <c r="T228" s="7">
        <f t="shared" ca="1" si="164"/>
        <v>0</v>
      </c>
      <c r="U228" s="7">
        <f t="shared" ca="1" si="164"/>
        <v>0</v>
      </c>
      <c r="V228" s="7">
        <f t="shared" ca="1" si="164"/>
        <v>0</v>
      </c>
      <c r="W228" s="7">
        <f t="shared" ca="1" si="164"/>
        <v>0</v>
      </c>
      <c r="X228" s="7">
        <f t="shared" ca="1" si="164"/>
        <v>0</v>
      </c>
      <c r="Y228" s="7">
        <f t="shared" ca="1" si="164"/>
        <v>0</v>
      </c>
      <c r="Z228" s="7">
        <f t="shared" ca="1" si="164"/>
        <v>0</v>
      </c>
      <c r="AA228" s="7">
        <f t="shared" ca="1" si="164"/>
        <v>0</v>
      </c>
      <c r="AB228" s="7">
        <f t="shared" ca="1" si="164"/>
        <v>0</v>
      </c>
      <c r="AC228" s="7">
        <f t="shared" ca="1" si="164"/>
        <v>0</v>
      </c>
      <c r="AD228" s="7">
        <f t="shared" ca="1" si="164"/>
        <v>0</v>
      </c>
      <c r="AE228" s="7">
        <f t="shared" ca="1" si="164"/>
        <v>0</v>
      </c>
      <c r="AF228" s="7">
        <f t="shared" ca="1" si="164"/>
        <v>0</v>
      </c>
      <c r="AG228" s="7">
        <f t="shared" ca="1" si="164"/>
        <v>0</v>
      </c>
      <c r="AH228" s="7">
        <f t="shared" ca="1" si="164"/>
        <v>0</v>
      </c>
      <c r="AI228" s="7">
        <f t="shared" ca="1" si="164"/>
        <v>0</v>
      </c>
      <c r="AJ228" s="7">
        <f t="shared" ca="1" si="164"/>
        <v>0</v>
      </c>
      <c r="AK228" s="7">
        <f t="shared" ca="1" si="164"/>
        <v>0</v>
      </c>
      <c r="AL228" s="7">
        <f t="shared" ca="1" si="164"/>
        <v>0</v>
      </c>
      <c r="AM228" s="7">
        <f t="shared" ca="1" si="164"/>
        <v>0</v>
      </c>
    </row>
    <row r="229" spans="1:39" x14ac:dyDescent="0.2">
      <c r="A229" s="16" t="str">
        <f>A77</f>
        <v>Other loan</v>
      </c>
      <c r="C229" s="7">
        <f t="shared" ref="C229:AM229" ca="1" si="165">C77</f>
        <v>-3693.1592077552655</v>
      </c>
      <c r="D229" s="7">
        <f t="shared" ca="1" si="165"/>
        <v>-3304.1670679118561</v>
      </c>
      <c r="E229" s="7">
        <f t="shared" ca="1" si="165"/>
        <v>-2891.1827440504157</v>
      </c>
      <c r="F229" s="7">
        <f t="shared" ca="1" si="165"/>
        <v>-2452.7264507588625</v>
      </c>
      <c r="G229" s="7">
        <f t="shared" ca="1" si="165"/>
        <v>-1987.2271326988684</v>
      </c>
      <c r="H229" s="7">
        <f t="shared" ca="1" si="165"/>
        <v>-1493.0168352765186</v>
      </c>
      <c r="I229" s="7">
        <f t="shared" ca="1" si="165"/>
        <v>-968.32472810825493</v>
      </c>
      <c r="J229" s="7">
        <f t="shared" ca="1" si="165"/>
        <v>-411.2707598672805</v>
      </c>
      <c r="K229" s="7">
        <f t="shared" ca="1" si="165"/>
        <v>0</v>
      </c>
      <c r="L229" s="7">
        <f t="shared" ca="1" si="165"/>
        <v>0</v>
      </c>
      <c r="M229" s="7">
        <f t="shared" ca="1" si="165"/>
        <v>0</v>
      </c>
      <c r="N229" s="7">
        <f t="shared" ca="1" si="165"/>
        <v>0</v>
      </c>
      <c r="O229" s="7">
        <f t="shared" ca="1" si="165"/>
        <v>0</v>
      </c>
      <c r="P229" s="7">
        <f t="shared" ca="1" si="165"/>
        <v>0</v>
      </c>
      <c r="Q229" s="7">
        <f t="shared" ca="1" si="165"/>
        <v>0</v>
      </c>
      <c r="R229" s="7">
        <f t="shared" ca="1" si="165"/>
        <v>0</v>
      </c>
      <c r="S229" s="7">
        <f t="shared" ca="1" si="165"/>
        <v>0</v>
      </c>
      <c r="T229" s="7">
        <f t="shared" ca="1" si="165"/>
        <v>0</v>
      </c>
      <c r="U229" s="7">
        <f t="shared" ca="1" si="165"/>
        <v>0</v>
      </c>
      <c r="V229" s="7">
        <f t="shared" ca="1" si="165"/>
        <v>0</v>
      </c>
      <c r="W229" s="7">
        <f t="shared" ca="1" si="165"/>
        <v>0</v>
      </c>
      <c r="X229" s="7">
        <f t="shared" ca="1" si="165"/>
        <v>0</v>
      </c>
      <c r="Y229" s="7">
        <f t="shared" ca="1" si="165"/>
        <v>0</v>
      </c>
      <c r="Z229" s="7">
        <f t="shared" ca="1" si="165"/>
        <v>0</v>
      </c>
      <c r="AA229" s="7">
        <f t="shared" ca="1" si="165"/>
        <v>0</v>
      </c>
      <c r="AB229" s="7">
        <f t="shared" ca="1" si="165"/>
        <v>0</v>
      </c>
      <c r="AC229" s="7">
        <f t="shared" ca="1" si="165"/>
        <v>0</v>
      </c>
      <c r="AD229" s="7">
        <f t="shared" ca="1" si="165"/>
        <v>0</v>
      </c>
      <c r="AE229" s="7">
        <f t="shared" ca="1" si="165"/>
        <v>0</v>
      </c>
      <c r="AF229" s="7">
        <f t="shared" ca="1" si="165"/>
        <v>0</v>
      </c>
      <c r="AG229" s="7">
        <f t="shared" ca="1" si="165"/>
        <v>0</v>
      </c>
      <c r="AH229" s="7">
        <f t="shared" ca="1" si="165"/>
        <v>0</v>
      </c>
      <c r="AI229" s="7">
        <f t="shared" ca="1" si="165"/>
        <v>0</v>
      </c>
      <c r="AJ229" s="7">
        <f t="shared" ca="1" si="165"/>
        <v>0</v>
      </c>
      <c r="AK229" s="7">
        <f t="shared" ca="1" si="165"/>
        <v>0</v>
      </c>
      <c r="AL229" s="7">
        <f t="shared" ca="1" si="165"/>
        <v>0</v>
      </c>
      <c r="AM229" s="7">
        <f t="shared" ca="1" si="165"/>
        <v>0</v>
      </c>
    </row>
    <row r="230" spans="1:39" x14ac:dyDescent="0.2">
      <c r="A230" s="4"/>
      <c r="C230" s="9">
        <f ca="1">SUM(C212:C229)</f>
        <v>1486487.9915657642</v>
      </c>
      <c r="D230" s="9">
        <f t="shared" ref="D230:AM230" ca="1" si="166">SUM(D212:D229)</f>
        <v>1578514.7610075048</v>
      </c>
      <c r="E230" s="9">
        <f t="shared" ca="1" si="166"/>
        <v>1679362.533968953</v>
      </c>
      <c r="F230" s="9">
        <f t="shared" ca="1" si="166"/>
        <v>1762841.4863182209</v>
      </c>
      <c r="G230" s="9">
        <f t="shared" ca="1" si="166"/>
        <v>1878344.1184980569</v>
      </c>
      <c r="H230" s="9">
        <f t="shared" ca="1" si="166"/>
        <v>2000687.7514265149</v>
      </c>
      <c r="I230" s="9">
        <f t="shared" ca="1" si="166"/>
        <v>2138156.9971046397</v>
      </c>
      <c r="J230" s="9">
        <f t="shared" ca="1" si="166"/>
        <v>2276174.8537519434</v>
      </c>
      <c r="K230" s="9">
        <f t="shared" ca="1" si="166"/>
        <v>2402216.8347591623</v>
      </c>
      <c r="L230" s="9">
        <f t="shared" ca="1" si="166"/>
        <v>2616327.6566686197</v>
      </c>
      <c r="M230" s="9">
        <f t="shared" ca="1" si="166"/>
        <v>2739533.8535040035</v>
      </c>
      <c r="N230" s="9">
        <f t="shared" ca="1" si="166"/>
        <v>2918769.8376867888</v>
      </c>
      <c r="O230" s="9">
        <f t="shared" ca="1" si="166"/>
        <v>3106317.8962676986</v>
      </c>
      <c r="P230" s="9">
        <f t="shared" ca="1" si="166"/>
        <v>3302523.9299649671</v>
      </c>
      <c r="Q230" s="9">
        <f t="shared" ca="1" si="166"/>
        <v>3507748.0446687364</v>
      </c>
      <c r="R230" s="9">
        <f t="shared" ca="1" si="166"/>
        <v>3722365.1755150049</v>
      </c>
      <c r="S230" s="9">
        <f t="shared" ca="1" si="166"/>
        <v>3946765.7425329667</v>
      </c>
      <c r="T230" s="9">
        <f t="shared" ca="1" si="166"/>
        <v>4072125.8973766821</v>
      </c>
      <c r="U230" s="9">
        <f t="shared" ca="1" si="166"/>
        <v>4209864.4219282102</v>
      </c>
      <c r="V230" s="9">
        <f t="shared" ca="1" si="166"/>
        <v>4352663.1267261505</v>
      </c>
      <c r="W230" s="9">
        <f t="shared" ca="1" si="166"/>
        <v>4500728.3850343721</v>
      </c>
      <c r="X230" s="9">
        <f t="shared" ca="1" si="166"/>
        <v>4654276.341760017</v>
      </c>
      <c r="Y230" s="9">
        <f t="shared" ca="1" si="166"/>
        <v>4792616.3736049971</v>
      </c>
      <c r="Z230" s="9">
        <f t="shared" ca="1" si="166"/>
        <v>4935857.100996404</v>
      </c>
      <c r="AA230" s="9">
        <f t="shared" ca="1" si="166"/>
        <v>5084208.2285981001</v>
      </c>
      <c r="AB230" s="9">
        <f t="shared" ca="1" si="166"/>
        <v>5237890.3656571386</v>
      </c>
      <c r="AC230" s="9">
        <f t="shared" ca="1" si="166"/>
        <v>5397135.7005010378</v>
      </c>
      <c r="AD230" s="9">
        <f t="shared" ca="1" si="166"/>
        <v>5562188.722223782</v>
      </c>
      <c r="AE230" s="9">
        <f t="shared" ca="1" si="166"/>
        <v>5743414.2491367618</v>
      </c>
      <c r="AF230" s="9">
        <f t="shared" ca="1" si="166"/>
        <v>5931481.8504434619</v>
      </c>
      <c r="AG230" s="9">
        <f t="shared" ca="1" si="166"/>
        <v>6126696.7254779832</v>
      </c>
      <c r="AH230" s="9">
        <f t="shared" ca="1" si="166"/>
        <v>6329380.4398188051</v>
      </c>
      <c r="AI230" s="9">
        <f t="shared" ca="1" si="166"/>
        <v>6539871.9616667973</v>
      </c>
      <c r="AJ230" s="9">
        <f t="shared" ca="1" si="166"/>
        <v>6758528.7718647765</v>
      </c>
      <c r="AK230" s="9">
        <f t="shared" ca="1" si="166"/>
        <v>6985728.0531374039</v>
      </c>
      <c r="AL230" s="9">
        <f t="shared" ca="1" si="166"/>
        <v>7221867.9645661879</v>
      </c>
      <c r="AM230" s="9">
        <f t="shared" ca="1" si="166"/>
        <v>7467369.0077847531</v>
      </c>
    </row>
    <row r="231" spans="1:39" x14ac:dyDescent="0.2"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  <c r="AA231" s="7"/>
      <c r="AB231" s="7"/>
      <c r="AC231" s="7"/>
      <c r="AD231" s="7"/>
      <c r="AE231" s="7"/>
      <c r="AF231" s="7"/>
      <c r="AG231" s="7"/>
      <c r="AH231" s="7"/>
      <c r="AI231" s="7"/>
      <c r="AJ231" s="7"/>
      <c r="AK231" s="7"/>
      <c r="AL231" s="7"/>
      <c r="AM231" s="7"/>
    </row>
    <row r="232" spans="1:39" ht="19" x14ac:dyDescent="0.25">
      <c r="A232" s="25" t="s">
        <v>78</v>
      </c>
      <c r="B232" s="26"/>
      <c r="C232" s="27"/>
      <c r="D232" s="27"/>
      <c r="E232" s="27"/>
      <c r="F232" s="27"/>
      <c r="G232" s="27"/>
      <c r="H232" s="27"/>
      <c r="I232" s="27"/>
      <c r="J232" s="27"/>
      <c r="K232" s="27"/>
      <c r="L232" s="27"/>
      <c r="M232" s="27"/>
      <c r="N232" s="27"/>
      <c r="O232" s="27"/>
      <c r="P232" s="27"/>
      <c r="Q232" s="27"/>
      <c r="R232" s="27"/>
      <c r="S232" s="27"/>
      <c r="T232" s="27"/>
      <c r="U232" s="27"/>
      <c r="V232" s="27"/>
      <c r="W232" s="27"/>
      <c r="X232" s="27"/>
      <c r="Y232" s="27"/>
      <c r="Z232" s="27"/>
      <c r="AA232" s="27"/>
      <c r="AB232" s="27"/>
      <c r="AC232" s="27"/>
      <c r="AD232" s="27"/>
      <c r="AE232" s="27"/>
      <c r="AF232" s="27"/>
      <c r="AG232" s="27"/>
      <c r="AH232" s="27"/>
      <c r="AI232" s="27"/>
      <c r="AJ232" s="27"/>
      <c r="AK232" s="27"/>
      <c r="AL232" s="27"/>
      <c r="AM232" s="27"/>
    </row>
    <row r="233" spans="1:39" x14ac:dyDescent="0.2"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  <c r="AA233" s="7"/>
      <c r="AB233" s="7"/>
      <c r="AC233" s="7"/>
      <c r="AD233" s="7"/>
      <c r="AE233" s="7"/>
      <c r="AF233" s="7"/>
      <c r="AG233" s="7"/>
      <c r="AH233" s="7"/>
      <c r="AI233" s="7"/>
      <c r="AJ233" s="7"/>
      <c r="AK233" s="7"/>
      <c r="AL233" s="7"/>
      <c r="AM233" s="7"/>
    </row>
    <row r="234" spans="1:39" x14ac:dyDescent="0.2">
      <c r="A234" s="15" t="s">
        <v>67</v>
      </c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  <c r="AA234" s="7"/>
      <c r="AB234" s="7"/>
      <c r="AC234" s="7"/>
      <c r="AD234" s="7"/>
      <c r="AE234" s="7"/>
      <c r="AF234" s="7"/>
      <c r="AG234" s="7"/>
      <c r="AH234" s="7"/>
      <c r="AI234" s="7"/>
      <c r="AJ234" s="7"/>
      <c r="AK234" s="7"/>
      <c r="AL234" s="7"/>
      <c r="AM234" s="7"/>
    </row>
    <row r="235" spans="1:39" x14ac:dyDescent="0.2">
      <c r="A235" s="3" t="s">
        <v>9</v>
      </c>
      <c r="C235" s="7">
        <f t="shared" ref="C235:AM235" ca="1" si="167">C61</f>
        <v>73136.875000000015</v>
      </c>
      <c r="D235" s="7">
        <f t="shared" ca="1" si="167"/>
        <v>97140.903125000026</v>
      </c>
      <c r="E235" s="7">
        <f t="shared" ca="1" si="167"/>
        <v>127759.43382812504</v>
      </c>
      <c r="F235" s="7">
        <f t="shared" ca="1" si="167"/>
        <v>139100.17641137764</v>
      </c>
      <c r="G235" s="7">
        <f t="shared" ca="1" si="167"/>
        <v>182148.90012508008</v>
      </c>
      <c r="H235" s="7">
        <f t="shared" ca="1" si="167"/>
        <v>232078.05562310934</v>
      </c>
      <c r="I235" s="7">
        <f t="shared" ca="1" si="167"/>
        <v>306036.18242333515</v>
      </c>
      <c r="J235" s="7">
        <f t="shared" ca="1" si="167"/>
        <v>379084.48685026687</v>
      </c>
      <c r="K235" s="7">
        <f t="shared" ca="1" si="167"/>
        <v>438970.23861694947</v>
      </c>
      <c r="L235" s="7">
        <f t="shared" ca="1" si="167"/>
        <v>586536.87203851226</v>
      </c>
      <c r="M235" s="7">
        <f t="shared" ca="1" si="167"/>
        <v>645652.23085092264</v>
      </c>
      <c r="N235" s="7">
        <f t="shared" ca="1" si="167"/>
        <v>758618.88271131995</v>
      </c>
      <c r="O235" s="7">
        <f t="shared" ca="1" si="167"/>
        <v>877633.29830874666</v>
      </c>
      <c r="P235" s="7">
        <f t="shared" ca="1" si="167"/>
        <v>1002951.3505862901</v>
      </c>
      <c r="Q235" s="7">
        <f t="shared" ca="1" si="167"/>
        <v>1134838.6489492662</v>
      </c>
      <c r="R235" s="7">
        <f t="shared" ca="1" si="167"/>
        <v>1273570.8878477628</v>
      </c>
      <c r="S235" s="7">
        <f t="shared" ca="1" si="167"/>
        <v>1419434.2073534238</v>
      </c>
      <c r="T235" s="7">
        <f t="shared" ca="1" si="167"/>
        <v>1463495.1237488878</v>
      </c>
      <c r="U235" s="7">
        <f t="shared" ca="1" si="167"/>
        <v>1517057.089307287</v>
      </c>
      <c r="V235" s="7">
        <f t="shared" ca="1" si="167"/>
        <v>1572680.5274795629</v>
      </c>
      <c r="W235" s="7">
        <f t="shared" ca="1" si="167"/>
        <v>1630443.9774315846</v>
      </c>
      <c r="X235" s="7">
        <f t="shared" ca="1" si="167"/>
        <v>1690428.88512004</v>
      </c>
      <c r="Y235" s="7">
        <f t="shared" ca="1" si="167"/>
        <v>1731802.6151119878</v>
      </c>
      <c r="Z235" s="7">
        <f t="shared" ca="1" si="167"/>
        <v>1774523.9813424624</v>
      </c>
      <c r="AA235" s="7">
        <f t="shared" ca="1" si="167"/>
        <v>1818644.5710759091</v>
      </c>
      <c r="AB235" s="7">
        <f t="shared" ca="1" si="167"/>
        <v>1864218.0105883591</v>
      </c>
      <c r="AC235" s="7">
        <f t="shared" ca="1" si="167"/>
        <v>1911300.0439335995</v>
      </c>
      <c r="AD235" s="7">
        <f t="shared" ca="1" si="167"/>
        <v>1959948.6146449971</v>
      </c>
      <c r="AE235" s="7">
        <f t="shared" ca="1" si="167"/>
        <v>2020331.2065111429</v>
      </c>
      <c r="AF235" s="7">
        <f t="shared" ca="1" si="167"/>
        <v>2082908.5261740466</v>
      </c>
      <c r="AG235" s="7">
        <f t="shared" ca="1" si="167"/>
        <v>2147764.5878862576</v>
      </c>
      <c r="AH235" s="7">
        <f t="shared" ca="1" si="167"/>
        <v>2214986.5954175591</v>
      </c>
      <c r="AI235" s="7">
        <f t="shared" ca="1" si="167"/>
        <v>2284665.0598372058</v>
      </c>
      <c r="AJ235" s="7">
        <f t="shared" ca="1" si="167"/>
        <v>2356893.9215162839</v>
      </c>
      <c r="AK235" s="7">
        <f t="shared" ca="1" si="167"/>
        <v>2431770.6764973206</v>
      </c>
      <c r="AL235" s="7">
        <f t="shared" ca="1" si="167"/>
        <v>2509396.5073832762</v>
      </c>
      <c r="AM235" s="7">
        <f t="shared" ca="1" si="167"/>
        <v>2589876.4189032381</v>
      </c>
    </row>
    <row r="236" spans="1:39" x14ac:dyDescent="0.2">
      <c r="A236" s="3" t="s">
        <v>28</v>
      </c>
      <c r="C236" s="7">
        <f t="shared" ref="C236:AM236" ca="1" si="168">C78</f>
        <v>1486487.9915657642</v>
      </c>
      <c r="D236" s="7">
        <f t="shared" ca="1" si="168"/>
        <v>1578514.7610075048</v>
      </c>
      <c r="E236" s="7">
        <f t="shared" ca="1" si="168"/>
        <v>1679362.533968953</v>
      </c>
      <c r="F236" s="7">
        <f t="shared" ca="1" si="168"/>
        <v>1762841.4863182209</v>
      </c>
      <c r="G236" s="7">
        <f t="shared" ca="1" si="168"/>
        <v>1878344.1184980569</v>
      </c>
      <c r="H236" s="7">
        <f t="shared" ca="1" si="168"/>
        <v>2000687.7514265149</v>
      </c>
      <c r="I236" s="7">
        <f t="shared" ca="1" si="168"/>
        <v>2138156.9971046397</v>
      </c>
      <c r="J236" s="7">
        <f t="shared" ca="1" si="168"/>
        <v>2276174.8537519434</v>
      </c>
      <c r="K236" s="7">
        <f t="shared" ca="1" si="168"/>
        <v>2402216.8347591623</v>
      </c>
      <c r="L236" s="7">
        <f t="shared" ca="1" si="168"/>
        <v>2616327.6566686197</v>
      </c>
      <c r="M236" s="7">
        <f t="shared" ca="1" si="168"/>
        <v>2739533.8535040035</v>
      </c>
      <c r="N236" s="7">
        <f t="shared" ca="1" si="168"/>
        <v>2918769.8376867888</v>
      </c>
      <c r="O236" s="7">
        <f t="shared" ca="1" si="168"/>
        <v>3106317.8962676986</v>
      </c>
      <c r="P236" s="7">
        <f t="shared" ca="1" si="168"/>
        <v>3302523.9299649675</v>
      </c>
      <c r="Q236" s="7">
        <f t="shared" ca="1" si="168"/>
        <v>3507748.0446687369</v>
      </c>
      <c r="R236" s="7">
        <f t="shared" ca="1" si="168"/>
        <v>3722365.1755150049</v>
      </c>
      <c r="S236" s="7">
        <f t="shared" ca="1" si="168"/>
        <v>3946765.7425329667</v>
      </c>
      <c r="T236" s="7">
        <f t="shared" ca="1" si="168"/>
        <v>4072125.8973766821</v>
      </c>
      <c r="U236" s="7">
        <f t="shared" ca="1" si="168"/>
        <v>4209864.4219282102</v>
      </c>
      <c r="V236" s="7">
        <f t="shared" ca="1" si="168"/>
        <v>4352663.1267261514</v>
      </c>
      <c r="W236" s="7">
        <f t="shared" ca="1" si="168"/>
        <v>4500728.3850343721</v>
      </c>
      <c r="X236" s="7">
        <f t="shared" ca="1" si="168"/>
        <v>4654276.341760017</v>
      </c>
      <c r="Y236" s="7">
        <f t="shared" ca="1" si="168"/>
        <v>4792616.373604998</v>
      </c>
      <c r="Z236" s="7">
        <f t="shared" ca="1" si="168"/>
        <v>4935857.100996404</v>
      </c>
      <c r="AA236" s="7">
        <f t="shared" ca="1" si="168"/>
        <v>5084208.2285981001</v>
      </c>
      <c r="AB236" s="7">
        <f t="shared" ca="1" si="168"/>
        <v>5237890.3656571386</v>
      </c>
      <c r="AC236" s="7">
        <f t="shared" ca="1" si="168"/>
        <v>5397135.7005010378</v>
      </c>
      <c r="AD236" s="7">
        <f t="shared" ca="1" si="168"/>
        <v>5562188.7222237829</v>
      </c>
      <c r="AE236" s="7">
        <f t="shared" ca="1" si="168"/>
        <v>5743414.2491367618</v>
      </c>
      <c r="AF236" s="7">
        <f t="shared" ca="1" si="168"/>
        <v>5931481.8504434619</v>
      </c>
      <c r="AG236" s="7">
        <f t="shared" ca="1" si="168"/>
        <v>6126696.7254779842</v>
      </c>
      <c r="AH236" s="7">
        <f t="shared" ca="1" si="168"/>
        <v>6329380.4398188051</v>
      </c>
      <c r="AI236" s="7">
        <f t="shared" ca="1" si="168"/>
        <v>6539871.9616667982</v>
      </c>
      <c r="AJ236" s="7">
        <f t="shared" ca="1" si="168"/>
        <v>6758528.7718647765</v>
      </c>
      <c r="AK236" s="7">
        <f t="shared" ca="1" si="168"/>
        <v>6985728.0531374048</v>
      </c>
      <c r="AL236" s="7">
        <f t="shared" ca="1" si="168"/>
        <v>7221867.9645661898</v>
      </c>
      <c r="AM236" s="7">
        <f t="shared" ca="1" si="168"/>
        <v>7467369.007784754</v>
      </c>
    </row>
    <row r="237" spans="1:39" x14ac:dyDescent="0.2">
      <c r="A237" s="3"/>
      <c r="C237" s="10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  <c r="AA237" s="7"/>
      <c r="AB237" s="7"/>
      <c r="AC237" s="7"/>
      <c r="AD237" s="7"/>
      <c r="AE237" s="7"/>
      <c r="AF237" s="7"/>
      <c r="AG237" s="7"/>
      <c r="AH237" s="7"/>
      <c r="AI237" s="7"/>
      <c r="AJ237" s="7"/>
      <c r="AK237" s="7"/>
      <c r="AL237" s="7"/>
      <c r="AM237" s="7"/>
    </row>
    <row r="238" spans="1:39" x14ac:dyDescent="0.2">
      <c r="A238" s="15" t="s">
        <v>68</v>
      </c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  <c r="AA238" s="7"/>
      <c r="AB238" s="7"/>
      <c r="AC238" s="7"/>
      <c r="AD238" s="7"/>
      <c r="AE238" s="7"/>
      <c r="AF238" s="7"/>
      <c r="AG238" s="7"/>
      <c r="AH238" s="7"/>
      <c r="AI238" s="7"/>
      <c r="AJ238" s="7"/>
      <c r="AK238" s="7"/>
      <c r="AL238" s="7"/>
      <c r="AM238" s="7"/>
    </row>
    <row r="239" spans="1:39" x14ac:dyDescent="0.2">
      <c r="A239" s="3" t="s">
        <v>9</v>
      </c>
      <c r="C239" s="7">
        <f t="shared" ref="C239:AM239" ca="1" si="169">C213</f>
        <v>73136.875000000015</v>
      </c>
      <c r="D239" s="7">
        <f t="shared" ca="1" si="169"/>
        <v>97140.903125000026</v>
      </c>
      <c r="E239" s="7">
        <f t="shared" ca="1" si="169"/>
        <v>127759.43382812504</v>
      </c>
      <c r="F239" s="7">
        <f t="shared" ca="1" si="169"/>
        <v>139100.17641137764</v>
      </c>
      <c r="G239" s="7">
        <f t="shared" ca="1" si="169"/>
        <v>182148.90012508008</v>
      </c>
      <c r="H239" s="7">
        <f t="shared" ca="1" si="169"/>
        <v>232078.05562310934</v>
      </c>
      <c r="I239" s="7">
        <f t="shared" ca="1" si="169"/>
        <v>306036.18242333515</v>
      </c>
      <c r="J239" s="7">
        <f t="shared" ca="1" si="169"/>
        <v>379084.48685026687</v>
      </c>
      <c r="K239" s="7">
        <f t="shared" ca="1" si="169"/>
        <v>438970.23861694947</v>
      </c>
      <c r="L239" s="7">
        <f t="shared" ca="1" si="169"/>
        <v>586536.87203851226</v>
      </c>
      <c r="M239" s="7">
        <f t="shared" ca="1" si="169"/>
        <v>645652.23085092264</v>
      </c>
      <c r="N239" s="7">
        <f t="shared" ca="1" si="169"/>
        <v>758618.88271131995</v>
      </c>
      <c r="O239" s="7">
        <f t="shared" ca="1" si="169"/>
        <v>877633.29830874666</v>
      </c>
      <c r="P239" s="7">
        <f t="shared" ca="1" si="169"/>
        <v>1002951.3505862901</v>
      </c>
      <c r="Q239" s="7">
        <f t="shared" ca="1" si="169"/>
        <v>1134838.6489492662</v>
      </c>
      <c r="R239" s="7">
        <f t="shared" ca="1" si="169"/>
        <v>1273570.8878477628</v>
      </c>
      <c r="S239" s="7">
        <f t="shared" ca="1" si="169"/>
        <v>1419434.2073534238</v>
      </c>
      <c r="T239" s="7">
        <f t="shared" ca="1" si="169"/>
        <v>1463495.1237488878</v>
      </c>
      <c r="U239" s="7">
        <f t="shared" ca="1" si="169"/>
        <v>1517057.089307287</v>
      </c>
      <c r="V239" s="7">
        <f t="shared" ca="1" si="169"/>
        <v>1572680.5274795629</v>
      </c>
      <c r="W239" s="7">
        <f t="shared" ca="1" si="169"/>
        <v>1630443.9774315846</v>
      </c>
      <c r="X239" s="7">
        <f t="shared" ca="1" si="169"/>
        <v>1690428.88512004</v>
      </c>
      <c r="Y239" s="7">
        <f t="shared" ca="1" si="169"/>
        <v>1731802.6151119878</v>
      </c>
      <c r="Z239" s="7">
        <f t="shared" ca="1" si="169"/>
        <v>1774523.9813424624</v>
      </c>
      <c r="AA239" s="7">
        <f t="shared" ca="1" si="169"/>
        <v>1818644.5710759091</v>
      </c>
      <c r="AB239" s="7">
        <f t="shared" ca="1" si="169"/>
        <v>1864218.0105883591</v>
      </c>
      <c r="AC239" s="7">
        <f t="shared" ca="1" si="169"/>
        <v>1911300.0439335995</v>
      </c>
      <c r="AD239" s="7">
        <f t="shared" ca="1" si="169"/>
        <v>1959948.6146449971</v>
      </c>
      <c r="AE239" s="7">
        <f t="shared" ca="1" si="169"/>
        <v>2020331.2065111429</v>
      </c>
      <c r="AF239" s="7">
        <f t="shared" ca="1" si="169"/>
        <v>2082908.5261740466</v>
      </c>
      <c r="AG239" s="7">
        <f t="shared" ca="1" si="169"/>
        <v>2147764.5878862576</v>
      </c>
      <c r="AH239" s="7">
        <f t="shared" ca="1" si="169"/>
        <v>2214986.5954175591</v>
      </c>
      <c r="AI239" s="7">
        <f t="shared" ca="1" si="169"/>
        <v>2284665.0598372058</v>
      </c>
      <c r="AJ239" s="7">
        <f t="shared" ca="1" si="169"/>
        <v>2356893.9215162839</v>
      </c>
      <c r="AK239" s="7">
        <f t="shared" ca="1" si="169"/>
        <v>2431770.6764973206</v>
      </c>
      <c r="AL239" s="7">
        <f t="shared" ca="1" si="169"/>
        <v>2509396.5073832762</v>
      </c>
      <c r="AM239" s="7">
        <f t="shared" ca="1" si="169"/>
        <v>2589876.4189032381</v>
      </c>
    </row>
    <row r="240" spans="1:39" x14ac:dyDescent="0.2">
      <c r="A240" s="3" t="s">
        <v>28</v>
      </c>
      <c r="C240" s="7">
        <f t="shared" ref="C240:AM240" ca="1" si="170">C230</f>
        <v>1486487.9915657642</v>
      </c>
      <c r="D240" s="7">
        <f t="shared" ca="1" si="170"/>
        <v>1578514.7610075048</v>
      </c>
      <c r="E240" s="7">
        <f t="shared" ca="1" si="170"/>
        <v>1679362.533968953</v>
      </c>
      <c r="F240" s="7">
        <f t="shared" ca="1" si="170"/>
        <v>1762841.4863182209</v>
      </c>
      <c r="G240" s="7">
        <f t="shared" ca="1" si="170"/>
        <v>1878344.1184980569</v>
      </c>
      <c r="H240" s="7">
        <f t="shared" ca="1" si="170"/>
        <v>2000687.7514265149</v>
      </c>
      <c r="I240" s="7">
        <f t="shared" ca="1" si="170"/>
        <v>2138156.9971046397</v>
      </c>
      <c r="J240" s="7">
        <f t="shared" ca="1" si="170"/>
        <v>2276174.8537519434</v>
      </c>
      <c r="K240" s="7">
        <f t="shared" ca="1" si="170"/>
        <v>2402216.8347591623</v>
      </c>
      <c r="L240" s="7">
        <f t="shared" ca="1" si="170"/>
        <v>2616327.6566686197</v>
      </c>
      <c r="M240" s="7">
        <f t="shared" ca="1" si="170"/>
        <v>2739533.8535040035</v>
      </c>
      <c r="N240" s="7">
        <f t="shared" ca="1" si="170"/>
        <v>2918769.8376867888</v>
      </c>
      <c r="O240" s="7">
        <f t="shared" ca="1" si="170"/>
        <v>3106317.8962676986</v>
      </c>
      <c r="P240" s="7">
        <f t="shared" ca="1" si="170"/>
        <v>3302523.9299649671</v>
      </c>
      <c r="Q240" s="7">
        <f t="shared" ca="1" si="170"/>
        <v>3507748.0446687364</v>
      </c>
      <c r="R240" s="7">
        <f t="shared" ca="1" si="170"/>
        <v>3722365.1755150049</v>
      </c>
      <c r="S240" s="7">
        <f t="shared" ca="1" si="170"/>
        <v>3946765.7425329667</v>
      </c>
      <c r="T240" s="7">
        <f t="shared" ca="1" si="170"/>
        <v>4072125.8973766821</v>
      </c>
      <c r="U240" s="7">
        <f t="shared" ca="1" si="170"/>
        <v>4209864.4219282102</v>
      </c>
      <c r="V240" s="7">
        <f t="shared" ca="1" si="170"/>
        <v>4352663.1267261505</v>
      </c>
      <c r="W240" s="7">
        <f t="shared" ca="1" si="170"/>
        <v>4500728.3850343721</v>
      </c>
      <c r="X240" s="7">
        <f t="shared" ca="1" si="170"/>
        <v>4654276.341760017</v>
      </c>
      <c r="Y240" s="7">
        <f t="shared" ca="1" si="170"/>
        <v>4792616.3736049971</v>
      </c>
      <c r="Z240" s="7">
        <f t="shared" ca="1" si="170"/>
        <v>4935857.100996404</v>
      </c>
      <c r="AA240" s="7">
        <f t="shared" ca="1" si="170"/>
        <v>5084208.2285981001</v>
      </c>
      <c r="AB240" s="7">
        <f t="shared" ca="1" si="170"/>
        <v>5237890.3656571386</v>
      </c>
      <c r="AC240" s="7">
        <f t="shared" ca="1" si="170"/>
        <v>5397135.7005010378</v>
      </c>
      <c r="AD240" s="7">
        <f t="shared" ca="1" si="170"/>
        <v>5562188.722223782</v>
      </c>
      <c r="AE240" s="7">
        <f t="shared" ca="1" si="170"/>
        <v>5743414.2491367618</v>
      </c>
      <c r="AF240" s="7">
        <f t="shared" ca="1" si="170"/>
        <v>5931481.8504434619</v>
      </c>
      <c r="AG240" s="7">
        <f t="shared" ca="1" si="170"/>
        <v>6126696.7254779832</v>
      </c>
      <c r="AH240" s="7">
        <f t="shared" ca="1" si="170"/>
        <v>6329380.4398188051</v>
      </c>
      <c r="AI240" s="7">
        <f t="shared" ca="1" si="170"/>
        <v>6539871.9616667973</v>
      </c>
      <c r="AJ240" s="7">
        <f t="shared" ca="1" si="170"/>
        <v>6758528.7718647765</v>
      </c>
      <c r="AK240" s="7">
        <f t="shared" ca="1" si="170"/>
        <v>6985728.0531374039</v>
      </c>
      <c r="AL240" s="7">
        <f t="shared" ca="1" si="170"/>
        <v>7221867.9645661879</v>
      </c>
      <c r="AM240" s="7">
        <f t="shared" ca="1" si="170"/>
        <v>7467369.0077847531</v>
      </c>
    </row>
    <row r="241" spans="1:39" x14ac:dyDescent="0.2">
      <c r="A241" s="3"/>
      <c r="C241" s="7"/>
      <c r="D241" s="7"/>
      <c r="E241" s="23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  <c r="AA241" s="7"/>
      <c r="AB241" s="7"/>
      <c r="AC241" s="7"/>
      <c r="AD241" s="7"/>
      <c r="AE241" s="7"/>
      <c r="AF241" s="7"/>
      <c r="AG241" s="7"/>
      <c r="AH241" s="7"/>
      <c r="AI241" s="7"/>
      <c r="AJ241" s="7"/>
      <c r="AK241" s="7"/>
      <c r="AL241" s="7"/>
      <c r="AM241" s="7"/>
    </row>
    <row r="242" spans="1:39" x14ac:dyDescent="0.2">
      <c r="A242" s="15" t="s">
        <v>69</v>
      </c>
      <c r="B242" s="2" t="s">
        <v>1</v>
      </c>
      <c r="C242" s="7">
        <f t="shared" ref="C242:AM242" si="171">C3</f>
        <v>48</v>
      </c>
      <c r="D242" s="7">
        <f t="shared" si="171"/>
        <v>49</v>
      </c>
      <c r="E242" s="7">
        <f t="shared" si="171"/>
        <v>50</v>
      </c>
      <c r="F242" s="7">
        <f t="shared" si="171"/>
        <v>51</v>
      </c>
      <c r="G242" s="7">
        <f t="shared" si="171"/>
        <v>52</v>
      </c>
      <c r="H242" s="7">
        <f t="shared" si="171"/>
        <v>53</v>
      </c>
      <c r="I242" s="7">
        <f t="shared" si="171"/>
        <v>54</v>
      </c>
      <c r="J242" s="7">
        <f t="shared" si="171"/>
        <v>55</v>
      </c>
      <c r="K242" s="7">
        <f t="shared" si="171"/>
        <v>56</v>
      </c>
      <c r="L242" s="7">
        <f t="shared" si="171"/>
        <v>57</v>
      </c>
      <c r="M242" s="7">
        <f t="shared" si="171"/>
        <v>58</v>
      </c>
      <c r="N242" s="7">
        <f t="shared" si="171"/>
        <v>59</v>
      </c>
      <c r="O242" s="7">
        <f t="shared" si="171"/>
        <v>60</v>
      </c>
      <c r="P242" s="7">
        <f t="shared" si="171"/>
        <v>61</v>
      </c>
      <c r="Q242" s="7">
        <f t="shared" si="171"/>
        <v>62</v>
      </c>
      <c r="R242" s="7">
        <f t="shared" si="171"/>
        <v>63</v>
      </c>
      <c r="S242" s="7">
        <f t="shared" si="171"/>
        <v>64</v>
      </c>
      <c r="T242" s="7">
        <f t="shared" si="171"/>
        <v>65</v>
      </c>
      <c r="U242" s="7">
        <f t="shared" si="171"/>
        <v>66</v>
      </c>
      <c r="V242" s="7">
        <f t="shared" si="171"/>
        <v>67</v>
      </c>
      <c r="W242" s="7">
        <f t="shared" si="171"/>
        <v>68</v>
      </c>
      <c r="X242" s="7">
        <f t="shared" si="171"/>
        <v>69</v>
      </c>
      <c r="Y242" s="7">
        <f t="shared" si="171"/>
        <v>70</v>
      </c>
      <c r="Z242" s="7">
        <f t="shared" si="171"/>
        <v>71</v>
      </c>
      <c r="AA242" s="7">
        <f t="shared" si="171"/>
        <v>72</v>
      </c>
      <c r="AB242" s="7">
        <f t="shared" si="171"/>
        <v>73</v>
      </c>
      <c r="AC242" s="7">
        <f t="shared" si="171"/>
        <v>74</v>
      </c>
      <c r="AD242" s="7">
        <f t="shared" si="171"/>
        <v>75</v>
      </c>
      <c r="AE242" s="7">
        <f t="shared" si="171"/>
        <v>76</v>
      </c>
      <c r="AF242" s="7">
        <f t="shared" si="171"/>
        <v>77</v>
      </c>
      <c r="AG242" s="7">
        <f t="shared" si="171"/>
        <v>78</v>
      </c>
      <c r="AH242" s="7">
        <f t="shared" si="171"/>
        <v>79</v>
      </c>
      <c r="AI242" s="7">
        <f t="shared" si="171"/>
        <v>80</v>
      </c>
      <c r="AJ242" s="7">
        <f t="shared" si="171"/>
        <v>81</v>
      </c>
      <c r="AK242" s="7">
        <f t="shared" si="171"/>
        <v>82</v>
      </c>
      <c r="AL242" s="7">
        <f t="shared" si="171"/>
        <v>83</v>
      </c>
      <c r="AM242" s="7">
        <f t="shared" si="171"/>
        <v>84</v>
      </c>
    </row>
    <row r="243" spans="1:39" x14ac:dyDescent="0.2">
      <c r="A243" s="3" t="s">
        <v>67</v>
      </c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  <c r="AA243" s="7"/>
      <c r="AB243" s="7"/>
      <c r="AC243" s="7"/>
      <c r="AD243" s="7"/>
      <c r="AE243" s="7"/>
      <c r="AF243" s="7"/>
      <c r="AG243" s="7"/>
      <c r="AH243" s="7"/>
      <c r="AI243" s="7"/>
      <c r="AJ243" s="7"/>
      <c r="AK243" s="7"/>
      <c r="AL243" s="7"/>
      <c r="AM243" s="7"/>
    </row>
    <row r="244" spans="1:39" x14ac:dyDescent="0.2">
      <c r="A244" s="3" t="s">
        <v>9</v>
      </c>
      <c r="C244" s="7">
        <f t="shared" ref="C244:AM244" ca="1" si="172">C235</f>
        <v>73136.875000000015</v>
      </c>
      <c r="D244" s="7">
        <f t="shared" ca="1" si="172"/>
        <v>97140.903125000026</v>
      </c>
      <c r="E244" s="7">
        <f t="shared" ca="1" si="172"/>
        <v>127759.43382812504</v>
      </c>
      <c r="F244" s="7">
        <f t="shared" ca="1" si="172"/>
        <v>139100.17641137764</v>
      </c>
      <c r="G244" s="7">
        <f t="shared" ca="1" si="172"/>
        <v>182148.90012508008</v>
      </c>
      <c r="H244" s="7">
        <f t="shared" ca="1" si="172"/>
        <v>232078.05562310934</v>
      </c>
      <c r="I244" s="7">
        <f t="shared" ca="1" si="172"/>
        <v>306036.18242333515</v>
      </c>
      <c r="J244" s="7">
        <f t="shared" ca="1" si="172"/>
        <v>379084.48685026687</v>
      </c>
      <c r="K244" s="7">
        <f t="shared" ca="1" si="172"/>
        <v>438970.23861694947</v>
      </c>
      <c r="L244" s="7">
        <f t="shared" ca="1" si="172"/>
        <v>586536.87203851226</v>
      </c>
      <c r="M244" s="7">
        <f t="shared" ca="1" si="172"/>
        <v>645652.23085092264</v>
      </c>
      <c r="N244" s="7">
        <f t="shared" ca="1" si="172"/>
        <v>758618.88271131995</v>
      </c>
      <c r="O244" s="7">
        <f t="shared" ca="1" si="172"/>
        <v>877633.29830874666</v>
      </c>
      <c r="P244" s="7">
        <f t="shared" ca="1" si="172"/>
        <v>1002951.3505862901</v>
      </c>
      <c r="Q244" s="7">
        <f t="shared" ca="1" si="172"/>
        <v>1134838.6489492662</v>
      </c>
      <c r="R244" s="7">
        <f t="shared" ca="1" si="172"/>
        <v>1273570.8878477628</v>
      </c>
      <c r="S244" s="7">
        <f t="shared" ca="1" si="172"/>
        <v>1419434.2073534238</v>
      </c>
      <c r="T244" s="7">
        <f t="shared" ca="1" si="172"/>
        <v>1463495.1237488878</v>
      </c>
      <c r="U244" s="7">
        <f t="shared" ca="1" si="172"/>
        <v>1517057.089307287</v>
      </c>
      <c r="V244" s="7">
        <f t="shared" ca="1" si="172"/>
        <v>1572680.5274795629</v>
      </c>
      <c r="W244" s="7">
        <f t="shared" ca="1" si="172"/>
        <v>1630443.9774315846</v>
      </c>
      <c r="X244" s="7">
        <f t="shared" ca="1" si="172"/>
        <v>1690428.88512004</v>
      </c>
      <c r="Y244" s="7">
        <f t="shared" ca="1" si="172"/>
        <v>1731802.6151119878</v>
      </c>
      <c r="Z244" s="7">
        <f t="shared" ca="1" si="172"/>
        <v>1774523.9813424624</v>
      </c>
      <c r="AA244" s="7">
        <f t="shared" ca="1" si="172"/>
        <v>1818644.5710759091</v>
      </c>
      <c r="AB244" s="7">
        <f t="shared" ca="1" si="172"/>
        <v>1864218.0105883591</v>
      </c>
      <c r="AC244" s="7">
        <f t="shared" ca="1" si="172"/>
        <v>1911300.0439335995</v>
      </c>
      <c r="AD244" s="7">
        <f t="shared" ca="1" si="172"/>
        <v>1959948.6146449971</v>
      </c>
      <c r="AE244" s="7">
        <f t="shared" ca="1" si="172"/>
        <v>2020331.2065111429</v>
      </c>
      <c r="AF244" s="7">
        <f t="shared" ca="1" si="172"/>
        <v>2082908.5261740466</v>
      </c>
      <c r="AG244" s="7">
        <f t="shared" ca="1" si="172"/>
        <v>2147764.5878862576</v>
      </c>
      <c r="AH244" s="7">
        <f t="shared" ca="1" si="172"/>
        <v>2214986.5954175591</v>
      </c>
      <c r="AI244" s="7">
        <f t="shared" ca="1" si="172"/>
        <v>2284665.0598372058</v>
      </c>
      <c r="AJ244" s="7">
        <f t="shared" ca="1" si="172"/>
        <v>2356893.9215162839</v>
      </c>
      <c r="AK244" s="7">
        <f t="shared" ca="1" si="172"/>
        <v>2431770.6764973206</v>
      </c>
      <c r="AL244" s="7">
        <f t="shared" ca="1" si="172"/>
        <v>2509396.5073832762</v>
      </c>
      <c r="AM244" s="7">
        <f t="shared" ca="1" si="172"/>
        <v>2589876.4189032381</v>
      </c>
    </row>
    <row r="245" spans="1:39" x14ac:dyDescent="0.2">
      <c r="A245" s="3" t="s">
        <v>28</v>
      </c>
      <c r="C245" s="7">
        <f t="shared" ref="C245:AM245" ca="1" si="173">C236</f>
        <v>1486487.9915657642</v>
      </c>
      <c r="D245" s="7">
        <f t="shared" ca="1" si="173"/>
        <v>1578514.7610075048</v>
      </c>
      <c r="E245" s="7">
        <f t="shared" ca="1" si="173"/>
        <v>1679362.533968953</v>
      </c>
      <c r="F245" s="7">
        <f t="shared" ca="1" si="173"/>
        <v>1762841.4863182209</v>
      </c>
      <c r="G245" s="7">
        <f t="shared" ca="1" si="173"/>
        <v>1878344.1184980569</v>
      </c>
      <c r="H245" s="7">
        <f t="shared" ca="1" si="173"/>
        <v>2000687.7514265149</v>
      </c>
      <c r="I245" s="7">
        <f t="shared" ca="1" si="173"/>
        <v>2138156.9971046397</v>
      </c>
      <c r="J245" s="7">
        <f t="shared" ca="1" si="173"/>
        <v>2276174.8537519434</v>
      </c>
      <c r="K245" s="7">
        <f t="shared" ca="1" si="173"/>
        <v>2402216.8347591623</v>
      </c>
      <c r="L245" s="7">
        <f t="shared" ca="1" si="173"/>
        <v>2616327.6566686197</v>
      </c>
      <c r="M245" s="7">
        <f t="shared" ca="1" si="173"/>
        <v>2739533.8535040035</v>
      </c>
      <c r="N245" s="7">
        <f t="shared" ca="1" si="173"/>
        <v>2918769.8376867888</v>
      </c>
      <c r="O245" s="7">
        <f t="shared" ca="1" si="173"/>
        <v>3106317.8962676986</v>
      </c>
      <c r="P245" s="7">
        <f t="shared" ca="1" si="173"/>
        <v>3302523.9299649675</v>
      </c>
      <c r="Q245" s="7">
        <f t="shared" ca="1" si="173"/>
        <v>3507748.0446687369</v>
      </c>
      <c r="R245" s="7">
        <f t="shared" ca="1" si="173"/>
        <v>3722365.1755150049</v>
      </c>
      <c r="S245" s="7">
        <f t="shared" ca="1" si="173"/>
        <v>3946765.7425329667</v>
      </c>
      <c r="T245" s="7">
        <f t="shared" ca="1" si="173"/>
        <v>4072125.8973766821</v>
      </c>
      <c r="U245" s="7">
        <f t="shared" ca="1" si="173"/>
        <v>4209864.4219282102</v>
      </c>
      <c r="V245" s="7">
        <f t="shared" ca="1" si="173"/>
        <v>4352663.1267261514</v>
      </c>
      <c r="W245" s="7">
        <f t="shared" ca="1" si="173"/>
        <v>4500728.3850343721</v>
      </c>
      <c r="X245" s="7">
        <f t="shared" ca="1" si="173"/>
        <v>4654276.341760017</v>
      </c>
      <c r="Y245" s="7">
        <f t="shared" ca="1" si="173"/>
        <v>4792616.373604998</v>
      </c>
      <c r="Z245" s="7">
        <f t="shared" ca="1" si="173"/>
        <v>4935857.100996404</v>
      </c>
      <c r="AA245" s="7">
        <f t="shared" ca="1" si="173"/>
        <v>5084208.2285981001</v>
      </c>
      <c r="AB245" s="7">
        <f t="shared" ca="1" si="173"/>
        <v>5237890.3656571386</v>
      </c>
      <c r="AC245" s="7">
        <f t="shared" ca="1" si="173"/>
        <v>5397135.7005010378</v>
      </c>
      <c r="AD245" s="7">
        <f t="shared" ca="1" si="173"/>
        <v>5562188.7222237829</v>
      </c>
      <c r="AE245" s="7">
        <f t="shared" ca="1" si="173"/>
        <v>5743414.2491367618</v>
      </c>
      <c r="AF245" s="7">
        <f t="shared" ca="1" si="173"/>
        <v>5931481.8504434619</v>
      </c>
      <c r="AG245" s="7">
        <f t="shared" ca="1" si="173"/>
        <v>6126696.7254779842</v>
      </c>
      <c r="AH245" s="7">
        <f t="shared" ca="1" si="173"/>
        <v>6329380.4398188051</v>
      </c>
      <c r="AI245" s="7">
        <f t="shared" ca="1" si="173"/>
        <v>6539871.9616667982</v>
      </c>
      <c r="AJ245" s="7">
        <f t="shared" ca="1" si="173"/>
        <v>6758528.7718647765</v>
      </c>
      <c r="AK245" s="7">
        <f t="shared" ca="1" si="173"/>
        <v>6985728.0531374048</v>
      </c>
      <c r="AL245" s="7">
        <f t="shared" ca="1" si="173"/>
        <v>7221867.9645661898</v>
      </c>
      <c r="AM245" s="7">
        <f t="shared" ca="1" si="173"/>
        <v>7467369.007784754</v>
      </c>
    </row>
    <row r="246" spans="1:39" x14ac:dyDescent="0.2">
      <c r="A246" s="3" t="s">
        <v>68</v>
      </c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  <c r="AA246" s="7"/>
      <c r="AB246" s="7"/>
      <c r="AC246" s="7"/>
      <c r="AD246" s="7"/>
      <c r="AE246" s="7"/>
      <c r="AF246" s="7"/>
      <c r="AG246" s="7"/>
      <c r="AH246" s="7"/>
      <c r="AI246" s="7"/>
      <c r="AJ246" s="7"/>
      <c r="AK246" s="7"/>
      <c r="AL246" s="7"/>
      <c r="AM246" s="7"/>
    </row>
    <row r="247" spans="1:39" x14ac:dyDescent="0.2">
      <c r="A247" s="16" t="s">
        <v>9</v>
      </c>
      <c r="C247" s="7">
        <f ca="1">C239</f>
        <v>73136.875000000015</v>
      </c>
      <c r="D247" s="7">
        <f t="shared" ref="D247:G247" ca="1" si="174">D239</f>
        <v>97140.903125000026</v>
      </c>
      <c r="E247" s="7">
        <f t="shared" ca="1" si="174"/>
        <v>127759.43382812504</v>
      </c>
      <c r="F247" s="7">
        <f t="shared" ca="1" si="174"/>
        <v>139100.17641137764</v>
      </c>
      <c r="G247" s="7">
        <f t="shared" ca="1" si="174"/>
        <v>182148.90012508008</v>
      </c>
      <c r="H247" s="7">
        <f t="shared" ref="H247:I247" ca="1" si="175">H239</f>
        <v>232078.05562310934</v>
      </c>
      <c r="I247" s="7">
        <f t="shared" ca="1" si="175"/>
        <v>306036.18242333515</v>
      </c>
      <c r="J247" s="7">
        <f t="shared" ref="J247:AM247" ca="1" si="176">J239</f>
        <v>379084.48685026687</v>
      </c>
      <c r="K247" s="7">
        <f t="shared" ca="1" si="176"/>
        <v>438970.23861694947</v>
      </c>
      <c r="L247" s="7">
        <f t="shared" ca="1" si="176"/>
        <v>586536.87203851226</v>
      </c>
      <c r="M247" s="7">
        <f t="shared" ca="1" si="176"/>
        <v>645652.23085092264</v>
      </c>
      <c r="N247" s="7">
        <f t="shared" ca="1" si="176"/>
        <v>758618.88271131995</v>
      </c>
      <c r="O247" s="7">
        <f t="shared" ca="1" si="176"/>
        <v>877633.29830874666</v>
      </c>
      <c r="P247" s="7">
        <f t="shared" ca="1" si="176"/>
        <v>1002951.3505862901</v>
      </c>
      <c r="Q247" s="7">
        <f t="shared" ca="1" si="176"/>
        <v>1134838.6489492662</v>
      </c>
      <c r="R247" s="7">
        <f t="shared" ca="1" si="176"/>
        <v>1273570.8878477628</v>
      </c>
      <c r="S247" s="7">
        <f t="shared" ca="1" si="176"/>
        <v>1419434.2073534238</v>
      </c>
      <c r="T247" s="7">
        <f t="shared" ca="1" si="176"/>
        <v>1463495.1237488878</v>
      </c>
      <c r="U247" s="7">
        <f t="shared" ca="1" si="176"/>
        <v>1517057.089307287</v>
      </c>
      <c r="V247" s="7">
        <f t="shared" ca="1" si="176"/>
        <v>1572680.5274795629</v>
      </c>
      <c r="W247" s="7">
        <f t="shared" ca="1" si="176"/>
        <v>1630443.9774315846</v>
      </c>
      <c r="X247" s="7">
        <f t="shared" ca="1" si="176"/>
        <v>1690428.88512004</v>
      </c>
      <c r="Y247" s="7">
        <f t="shared" ca="1" si="176"/>
        <v>1731802.6151119878</v>
      </c>
      <c r="Z247" s="7">
        <f t="shared" ca="1" si="176"/>
        <v>1774523.9813424624</v>
      </c>
      <c r="AA247" s="7">
        <f t="shared" ca="1" si="176"/>
        <v>1818644.5710759091</v>
      </c>
      <c r="AB247" s="7">
        <f t="shared" ca="1" si="176"/>
        <v>1864218.0105883591</v>
      </c>
      <c r="AC247" s="7">
        <f t="shared" ca="1" si="176"/>
        <v>1911300.0439335995</v>
      </c>
      <c r="AD247" s="7">
        <f t="shared" ca="1" si="176"/>
        <v>1959948.6146449971</v>
      </c>
      <c r="AE247" s="7">
        <f t="shared" ca="1" si="176"/>
        <v>2020331.2065111429</v>
      </c>
      <c r="AF247" s="7">
        <f t="shared" ca="1" si="176"/>
        <v>2082908.5261740466</v>
      </c>
      <c r="AG247" s="7">
        <f t="shared" ca="1" si="176"/>
        <v>2147764.5878862576</v>
      </c>
      <c r="AH247" s="7">
        <f t="shared" ca="1" si="176"/>
        <v>2214986.5954175591</v>
      </c>
      <c r="AI247" s="7">
        <f t="shared" ca="1" si="176"/>
        <v>2284665.0598372058</v>
      </c>
      <c r="AJ247" s="7">
        <f t="shared" ca="1" si="176"/>
        <v>2356893.9215162839</v>
      </c>
      <c r="AK247" s="7">
        <f t="shared" ca="1" si="176"/>
        <v>2431770.6764973206</v>
      </c>
      <c r="AL247" s="7">
        <f t="shared" ca="1" si="176"/>
        <v>2509396.5073832762</v>
      </c>
      <c r="AM247" s="7">
        <f t="shared" ca="1" si="176"/>
        <v>2589876.4189032381</v>
      </c>
    </row>
    <row r="248" spans="1:39" x14ac:dyDescent="0.2">
      <c r="A248" s="16" t="s">
        <v>28</v>
      </c>
      <c r="C248" s="7">
        <f ca="1">C240</f>
        <v>1486487.9915657642</v>
      </c>
      <c r="D248" s="7">
        <f t="shared" ref="D248:G248" ca="1" si="177">D240</f>
        <v>1578514.7610075048</v>
      </c>
      <c r="E248" s="7">
        <f t="shared" ca="1" si="177"/>
        <v>1679362.533968953</v>
      </c>
      <c r="F248" s="7">
        <f t="shared" ca="1" si="177"/>
        <v>1762841.4863182209</v>
      </c>
      <c r="G248" s="7">
        <f t="shared" ca="1" si="177"/>
        <v>1878344.1184980569</v>
      </c>
      <c r="H248" s="7">
        <f t="shared" ref="H248:I248" ca="1" si="178">H240</f>
        <v>2000687.7514265149</v>
      </c>
      <c r="I248" s="7">
        <f t="shared" ca="1" si="178"/>
        <v>2138156.9971046397</v>
      </c>
      <c r="J248" s="7">
        <f t="shared" ref="J248:AM248" ca="1" si="179">J240</f>
        <v>2276174.8537519434</v>
      </c>
      <c r="K248" s="7">
        <f t="shared" ca="1" si="179"/>
        <v>2402216.8347591623</v>
      </c>
      <c r="L248" s="7">
        <f t="shared" ca="1" si="179"/>
        <v>2616327.6566686197</v>
      </c>
      <c r="M248" s="7">
        <f t="shared" ca="1" si="179"/>
        <v>2739533.8535040035</v>
      </c>
      <c r="N248" s="7">
        <f t="shared" ca="1" si="179"/>
        <v>2918769.8376867888</v>
      </c>
      <c r="O248" s="7">
        <f t="shared" ca="1" si="179"/>
        <v>3106317.8962676986</v>
      </c>
      <c r="P248" s="7">
        <f t="shared" ca="1" si="179"/>
        <v>3302523.9299649671</v>
      </c>
      <c r="Q248" s="7">
        <f t="shared" ca="1" si="179"/>
        <v>3507748.0446687364</v>
      </c>
      <c r="R248" s="7">
        <f t="shared" ca="1" si="179"/>
        <v>3722365.1755150049</v>
      </c>
      <c r="S248" s="7">
        <f t="shared" ca="1" si="179"/>
        <v>3946765.7425329667</v>
      </c>
      <c r="T248" s="7">
        <f t="shared" ca="1" si="179"/>
        <v>4072125.8973766821</v>
      </c>
      <c r="U248" s="7">
        <f t="shared" ca="1" si="179"/>
        <v>4209864.4219282102</v>
      </c>
      <c r="V248" s="7">
        <f t="shared" ca="1" si="179"/>
        <v>4352663.1267261505</v>
      </c>
      <c r="W248" s="7">
        <f t="shared" ca="1" si="179"/>
        <v>4500728.3850343721</v>
      </c>
      <c r="X248" s="7">
        <f t="shared" ca="1" si="179"/>
        <v>4654276.341760017</v>
      </c>
      <c r="Y248" s="7">
        <f t="shared" ca="1" si="179"/>
        <v>4792616.3736049971</v>
      </c>
      <c r="Z248" s="7">
        <f t="shared" ca="1" si="179"/>
        <v>4935857.100996404</v>
      </c>
      <c r="AA248" s="7">
        <f t="shared" ca="1" si="179"/>
        <v>5084208.2285981001</v>
      </c>
      <c r="AB248" s="7">
        <f t="shared" ca="1" si="179"/>
        <v>5237890.3656571386</v>
      </c>
      <c r="AC248" s="7">
        <f t="shared" ca="1" si="179"/>
        <v>5397135.7005010378</v>
      </c>
      <c r="AD248" s="7">
        <f t="shared" ca="1" si="179"/>
        <v>5562188.722223782</v>
      </c>
      <c r="AE248" s="7">
        <f t="shared" ca="1" si="179"/>
        <v>5743414.2491367618</v>
      </c>
      <c r="AF248" s="7">
        <f t="shared" ca="1" si="179"/>
        <v>5931481.8504434619</v>
      </c>
      <c r="AG248" s="7">
        <f t="shared" ca="1" si="179"/>
        <v>6126696.7254779832</v>
      </c>
      <c r="AH248" s="7">
        <f t="shared" ca="1" si="179"/>
        <v>6329380.4398188051</v>
      </c>
      <c r="AI248" s="7">
        <f t="shared" ca="1" si="179"/>
        <v>6539871.9616667973</v>
      </c>
      <c r="AJ248" s="7">
        <f t="shared" ca="1" si="179"/>
        <v>6758528.7718647765</v>
      </c>
      <c r="AK248" s="7">
        <f t="shared" ca="1" si="179"/>
        <v>6985728.0531374039</v>
      </c>
      <c r="AL248" s="7">
        <f t="shared" ca="1" si="179"/>
        <v>7221867.9645661879</v>
      </c>
      <c r="AM248" s="7">
        <f t="shared" ca="1" si="179"/>
        <v>7467369.0077847531</v>
      </c>
    </row>
    <row r="249" spans="1:39" x14ac:dyDescent="0.2">
      <c r="A249" s="4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  <c r="AA249" s="7"/>
      <c r="AB249" s="7"/>
      <c r="AC249" s="7"/>
      <c r="AD249" s="7"/>
      <c r="AE249" s="7"/>
      <c r="AF249" s="7"/>
      <c r="AG249" s="7"/>
      <c r="AH249" s="7"/>
      <c r="AI249" s="7"/>
      <c r="AJ249" s="7"/>
      <c r="AK249" s="7"/>
      <c r="AL249" s="7"/>
      <c r="AM249" s="7"/>
    </row>
    <row r="250" spans="1:39" x14ac:dyDescent="0.2"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  <c r="AA250" s="7"/>
      <c r="AB250" s="7"/>
      <c r="AC250" s="7"/>
      <c r="AD250" s="7"/>
      <c r="AE250" s="7"/>
      <c r="AF250" s="7"/>
      <c r="AG250" s="7"/>
      <c r="AH250" s="7"/>
      <c r="AI250" s="7"/>
      <c r="AJ250" s="7"/>
      <c r="AK250" s="7"/>
      <c r="AL250" s="7"/>
      <c r="AM250" s="7"/>
    </row>
    <row r="251" spans="1:39" x14ac:dyDescent="0.2"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  <c r="AA251" s="7"/>
      <c r="AB251" s="7"/>
      <c r="AC251" s="7"/>
      <c r="AD251" s="7"/>
      <c r="AE251" s="7"/>
      <c r="AF251" s="7"/>
      <c r="AG251" s="7"/>
      <c r="AH251" s="7"/>
      <c r="AI251" s="7"/>
      <c r="AJ251" s="7"/>
      <c r="AK251" s="7"/>
      <c r="AL251" s="7"/>
      <c r="AM251" s="7"/>
    </row>
    <row r="252" spans="1:39" x14ac:dyDescent="0.2"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  <c r="AA252" s="7"/>
      <c r="AB252" s="7"/>
      <c r="AC252" s="7"/>
      <c r="AD252" s="7"/>
      <c r="AE252" s="7"/>
      <c r="AF252" s="7"/>
      <c r="AG252" s="7"/>
      <c r="AH252" s="7"/>
      <c r="AI252" s="7"/>
      <c r="AJ252" s="7"/>
      <c r="AK252" s="7"/>
      <c r="AL252" s="7"/>
      <c r="AM252" s="7"/>
    </row>
    <row r="253" spans="1:39" x14ac:dyDescent="0.2"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  <c r="AA253" s="7"/>
      <c r="AB253" s="7"/>
      <c r="AC253" s="7"/>
      <c r="AD253" s="7"/>
      <c r="AE253" s="7"/>
      <c r="AF253" s="7"/>
      <c r="AG253" s="7"/>
      <c r="AH253" s="7"/>
      <c r="AI253" s="7"/>
      <c r="AJ253" s="7"/>
      <c r="AK253" s="7"/>
      <c r="AL253" s="7"/>
      <c r="AM253" s="7"/>
    </row>
    <row r="254" spans="1:39" x14ac:dyDescent="0.2"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  <c r="AA254" s="7"/>
      <c r="AB254" s="7"/>
      <c r="AC254" s="7"/>
      <c r="AD254" s="7"/>
      <c r="AE254" s="7"/>
      <c r="AF254" s="7"/>
      <c r="AG254" s="7"/>
      <c r="AH254" s="7"/>
      <c r="AI254" s="7"/>
      <c r="AJ254" s="7"/>
      <c r="AK254" s="7"/>
      <c r="AL254" s="7"/>
      <c r="AM254" s="7"/>
    </row>
    <row r="255" spans="1:39" x14ac:dyDescent="0.2"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  <c r="AA255" s="7"/>
      <c r="AB255" s="7"/>
      <c r="AC255" s="7"/>
      <c r="AD255" s="7"/>
      <c r="AE255" s="7"/>
      <c r="AF255" s="7"/>
      <c r="AG255" s="7"/>
      <c r="AH255" s="7"/>
      <c r="AI255" s="7"/>
      <c r="AJ255" s="7"/>
      <c r="AK255" s="7"/>
      <c r="AL255" s="7"/>
      <c r="AM255" s="7"/>
    </row>
    <row r="256" spans="1:39" x14ac:dyDescent="0.2"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  <c r="AA256" s="7"/>
      <c r="AB256" s="7"/>
      <c r="AC256" s="7"/>
      <c r="AD256" s="7"/>
      <c r="AE256" s="7"/>
      <c r="AF256" s="7"/>
      <c r="AG256" s="7"/>
      <c r="AH256" s="7"/>
      <c r="AI256" s="7"/>
      <c r="AJ256" s="7"/>
      <c r="AK256" s="7"/>
      <c r="AL256" s="7"/>
      <c r="AM256" s="7"/>
    </row>
    <row r="257" spans="3:39" x14ac:dyDescent="0.2"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  <c r="AA257" s="7"/>
      <c r="AB257" s="7"/>
      <c r="AC257" s="7"/>
      <c r="AD257" s="7"/>
      <c r="AE257" s="7"/>
      <c r="AF257" s="7"/>
      <c r="AG257" s="7"/>
      <c r="AH257" s="7"/>
      <c r="AI257" s="7"/>
      <c r="AJ257" s="7"/>
      <c r="AK257" s="7"/>
      <c r="AL257" s="7"/>
      <c r="AM257" s="7"/>
    </row>
    <row r="258" spans="3:39" x14ac:dyDescent="0.2"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  <c r="AA258" s="7"/>
      <c r="AB258" s="7"/>
      <c r="AC258" s="7"/>
      <c r="AD258" s="7"/>
      <c r="AE258" s="7"/>
      <c r="AF258" s="7"/>
      <c r="AG258" s="7"/>
      <c r="AH258" s="7"/>
      <c r="AI258" s="7"/>
      <c r="AJ258" s="7"/>
      <c r="AK258" s="7"/>
      <c r="AL258" s="7"/>
      <c r="AM258" s="7"/>
    </row>
    <row r="259" spans="3:39" x14ac:dyDescent="0.2"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  <c r="AA259" s="7"/>
      <c r="AB259" s="7"/>
      <c r="AC259" s="7"/>
      <c r="AD259" s="7"/>
      <c r="AE259" s="7"/>
      <c r="AF259" s="7"/>
      <c r="AG259" s="7"/>
      <c r="AH259" s="7"/>
      <c r="AI259" s="7"/>
      <c r="AJ259" s="7"/>
      <c r="AK259" s="7"/>
      <c r="AL259" s="7"/>
      <c r="AM259" s="7"/>
    </row>
    <row r="260" spans="3:39" x14ac:dyDescent="0.2"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  <c r="AA260" s="7"/>
      <c r="AB260" s="7"/>
      <c r="AC260" s="7"/>
      <c r="AD260" s="7"/>
      <c r="AE260" s="7"/>
      <c r="AF260" s="7"/>
      <c r="AG260" s="7"/>
      <c r="AH260" s="7"/>
      <c r="AI260" s="7"/>
      <c r="AJ260" s="7"/>
      <c r="AK260" s="7"/>
      <c r="AL260" s="7"/>
      <c r="AM260" s="7"/>
    </row>
    <row r="261" spans="3:39" x14ac:dyDescent="0.2"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  <c r="AA261" s="7"/>
      <c r="AB261" s="7"/>
      <c r="AC261" s="7"/>
      <c r="AD261" s="7"/>
      <c r="AE261" s="7"/>
      <c r="AF261" s="7"/>
      <c r="AG261" s="7"/>
      <c r="AH261" s="7"/>
      <c r="AI261" s="7"/>
      <c r="AJ261" s="7"/>
      <c r="AK261" s="7"/>
      <c r="AL261" s="7"/>
      <c r="AM261" s="7"/>
    </row>
    <row r="262" spans="3:39" x14ac:dyDescent="0.2"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  <c r="AA262" s="7"/>
      <c r="AB262" s="7"/>
      <c r="AC262" s="7"/>
      <c r="AD262" s="7"/>
      <c r="AE262" s="7"/>
      <c r="AF262" s="7"/>
      <c r="AG262" s="7"/>
      <c r="AH262" s="7"/>
      <c r="AI262" s="7"/>
      <c r="AJ262" s="7"/>
      <c r="AK262" s="7"/>
      <c r="AL262" s="7"/>
      <c r="AM262" s="7"/>
    </row>
    <row r="263" spans="3:39" x14ac:dyDescent="0.2"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  <c r="AA263" s="7"/>
      <c r="AB263" s="7"/>
      <c r="AC263" s="7"/>
      <c r="AD263" s="7"/>
      <c r="AE263" s="7"/>
      <c r="AF263" s="7"/>
      <c r="AG263" s="7"/>
      <c r="AH263" s="7"/>
      <c r="AI263" s="7"/>
      <c r="AJ263" s="7"/>
      <c r="AK263" s="7"/>
      <c r="AL263" s="7"/>
      <c r="AM263" s="7"/>
    </row>
    <row r="264" spans="3:39" x14ac:dyDescent="0.2"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  <c r="AA264" s="7"/>
      <c r="AB264" s="7"/>
      <c r="AC264" s="7"/>
      <c r="AD264" s="7"/>
      <c r="AE264" s="7"/>
      <c r="AF264" s="7"/>
      <c r="AG264" s="7"/>
      <c r="AH264" s="7"/>
      <c r="AI264" s="7"/>
      <c r="AJ264" s="7"/>
      <c r="AK264" s="7"/>
      <c r="AL264" s="7"/>
      <c r="AM264" s="7"/>
    </row>
    <row r="265" spans="3:39" x14ac:dyDescent="0.2"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  <c r="AA265" s="7"/>
      <c r="AB265" s="7"/>
      <c r="AC265" s="7"/>
      <c r="AD265" s="7"/>
      <c r="AE265" s="7"/>
      <c r="AF265" s="7"/>
      <c r="AG265" s="7"/>
      <c r="AH265" s="7"/>
      <c r="AI265" s="7"/>
      <c r="AJ265" s="7"/>
      <c r="AK265" s="7"/>
      <c r="AL265" s="7"/>
      <c r="AM265" s="7"/>
    </row>
    <row r="266" spans="3:39" x14ac:dyDescent="0.2"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  <c r="AA266" s="7"/>
      <c r="AB266" s="7"/>
      <c r="AC266" s="7"/>
      <c r="AD266" s="7"/>
      <c r="AE266" s="7"/>
      <c r="AF266" s="7"/>
      <c r="AG266" s="7"/>
      <c r="AH266" s="7"/>
      <c r="AI266" s="7"/>
      <c r="AJ266" s="7"/>
      <c r="AK266" s="7"/>
      <c r="AL266" s="7"/>
      <c r="AM266" s="7"/>
    </row>
    <row r="267" spans="3:39" x14ac:dyDescent="0.2"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  <c r="AA267" s="7"/>
      <c r="AB267" s="7"/>
      <c r="AC267" s="7"/>
      <c r="AD267" s="7"/>
      <c r="AE267" s="7"/>
      <c r="AF267" s="7"/>
      <c r="AG267" s="7"/>
      <c r="AH267" s="7"/>
      <c r="AI267" s="7"/>
      <c r="AJ267" s="7"/>
      <c r="AK267" s="7"/>
      <c r="AL267" s="7"/>
      <c r="AM267" s="7"/>
    </row>
    <row r="268" spans="3:39" x14ac:dyDescent="0.2"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  <c r="AA268" s="7"/>
      <c r="AB268" s="7"/>
      <c r="AC268" s="7"/>
      <c r="AD268" s="7"/>
      <c r="AE268" s="7"/>
      <c r="AF268" s="7"/>
      <c r="AG268" s="7"/>
      <c r="AH268" s="7"/>
      <c r="AI268" s="7"/>
      <c r="AJ268" s="7"/>
      <c r="AK268" s="7"/>
      <c r="AL268" s="7"/>
      <c r="AM268" s="7"/>
    </row>
    <row r="269" spans="3:39" x14ac:dyDescent="0.2"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  <c r="AA269" s="7"/>
      <c r="AB269" s="7"/>
      <c r="AC269" s="7"/>
      <c r="AD269" s="7"/>
      <c r="AE269" s="7"/>
      <c r="AF269" s="7"/>
      <c r="AG269" s="7"/>
      <c r="AH269" s="7"/>
      <c r="AI269" s="7"/>
      <c r="AJ269" s="7"/>
      <c r="AK269" s="7"/>
      <c r="AL269" s="7"/>
      <c r="AM269" s="7"/>
    </row>
    <row r="270" spans="3:39" x14ac:dyDescent="0.2"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  <c r="AA270" s="7"/>
      <c r="AB270" s="7"/>
      <c r="AC270" s="7"/>
      <c r="AD270" s="7"/>
      <c r="AE270" s="7"/>
      <c r="AF270" s="7"/>
      <c r="AG270" s="7"/>
      <c r="AH270" s="7"/>
      <c r="AI270" s="7"/>
      <c r="AJ270" s="7"/>
      <c r="AK270" s="7"/>
      <c r="AL270" s="7"/>
      <c r="AM270" s="7"/>
    </row>
    <row r="271" spans="3:39" x14ac:dyDescent="0.2"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  <c r="AA271" s="7"/>
      <c r="AB271" s="7"/>
      <c r="AC271" s="7"/>
      <c r="AD271" s="7"/>
      <c r="AE271" s="7"/>
      <c r="AF271" s="7"/>
      <c r="AG271" s="7"/>
      <c r="AH271" s="7"/>
      <c r="AI271" s="7"/>
      <c r="AJ271" s="7"/>
      <c r="AK271" s="7"/>
      <c r="AL271" s="7"/>
      <c r="AM271" s="7"/>
    </row>
    <row r="272" spans="3:39" x14ac:dyDescent="0.2"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  <c r="AA272" s="7"/>
      <c r="AB272" s="7"/>
      <c r="AC272" s="7"/>
      <c r="AD272" s="7"/>
      <c r="AE272" s="7"/>
      <c r="AF272" s="7"/>
      <c r="AG272" s="7"/>
      <c r="AH272" s="7"/>
      <c r="AI272" s="7"/>
      <c r="AJ272" s="7"/>
      <c r="AK272" s="7"/>
      <c r="AL272" s="7"/>
      <c r="AM272" s="7"/>
    </row>
    <row r="273" spans="3:39" x14ac:dyDescent="0.2"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  <c r="AA273" s="7"/>
      <c r="AB273" s="7"/>
      <c r="AC273" s="7"/>
      <c r="AD273" s="7"/>
      <c r="AE273" s="7"/>
      <c r="AF273" s="7"/>
      <c r="AG273" s="7"/>
      <c r="AH273" s="7"/>
      <c r="AI273" s="7"/>
      <c r="AJ273" s="7"/>
      <c r="AK273" s="7"/>
      <c r="AL273" s="7"/>
      <c r="AM273" s="7"/>
    </row>
    <row r="274" spans="3:39" x14ac:dyDescent="0.2"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  <c r="AA274" s="7"/>
      <c r="AB274" s="7"/>
      <c r="AC274" s="7"/>
      <c r="AD274" s="7"/>
      <c r="AE274" s="7"/>
      <c r="AF274" s="7"/>
      <c r="AG274" s="7"/>
      <c r="AH274" s="7"/>
      <c r="AI274" s="7"/>
      <c r="AJ274" s="7"/>
      <c r="AK274" s="7"/>
      <c r="AL274" s="7"/>
      <c r="AM274" s="7"/>
    </row>
    <row r="275" spans="3:39" x14ac:dyDescent="0.2"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  <c r="AA275" s="7"/>
      <c r="AB275" s="7"/>
      <c r="AC275" s="7"/>
      <c r="AD275" s="7"/>
      <c r="AE275" s="7"/>
      <c r="AF275" s="7"/>
      <c r="AG275" s="7"/>
      <c r="AH275" s="7"/>
      <c r="AI275" s="7"/>
      <c r="AJ275" s="7"/>
      <c r="AK275" s="7"/>
      <c r="AL275" s="7"/>
      <c r="AM275" s="7"/>
    </row>
    <row r="276" spans="3:39" x14ac:dyDescent="0.2"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  <c r="AA276" s="7"/>
      <c r="AB276" s="7"/>
      <c r="AC276" s="7"/>
      <c r="AD276" s="7"/>
      <c r="AE276" s="7"/>
      <c r="AF276" s="7"/>
      <c r="AG276" s="7"/>
      <c r="AH276" s="7"/>
      <c r="AI276" s="7"/>
      <c r="AJ276" s="7"/>
      <c r="AK276" s="7"/>
      <c r="AL276" s="7"/>
      <c r="AM276" s="7"/>
    </row>
    <row r="277" spans="3:39" x14ac:dyDescent="0.2"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  <c r="AA277" s="7"/>
      <c r="AB277" s="7"/>
      <c r="AC277" s="7"/>
      <c r="AD277" s="7"/>
      <c r="AE277" s="7"/>
      <c r="AF277" s="7"/>
      <c r="AG277" s="7"/>
      <c r="AH277" s="7"/>
      <c r="AI277" s="7"/>
      <c r="AJ277" s="7"/>
      <c r="AK277" s="7"/>
      <c r="AL277" s="7"/>
      <c r="AM277" s="7"/>
    </row>
    <row r="278" spans="3:39" x14ac:dyDescent="0.2"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  <c r="AA278" s="7"/>
      <c r="AB278" s="7"/>
      <c r="AC278" s="7"/>
      <c r="AD278" s="7"/>
      <c r="AE278" s="7"/>
      <c r="AF278" s="7"/>
      <c r="AG278" s="7"/>
      <c r="AH278" s="7"/>
      <c r="AI278" s="7"/>
      <c r="AJ278" s="7"/>
      <c r="AK278" s="7"/>
      <c r="AL278" s="7"/>
      <c r="AM278" s="7"/>
    </row>
    <row r="279" spans="3:39" x14ac:dyDescent="0.2"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  <c r="AA279" s="7"/>
      <c r="AB279" s="7"/>
      <c r="AC279" s="7"/>
      <c r="AD279" s="7"/>
      <c r="AE279" s="7"/>
      <c r="AF279" s="7"/>
      <c r="AG279" s="7"/>
      <c r="AH279" s="7"/>
      <c r="AI279" s="7"/>
      <c r="AJ279" s="7"/>
      <c r="AK279" s="7"/>
      <c r="AL279" s="7"/>
      <c r="AM279" s="7"/>
    </row>
    <row r="280" spans="3:39" x14ac:dyDescent="0.2"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  <c r="AA280" s="7"/>
      <c r="AB280" s="7"/>
      <c r="AC280" s="7"/>
      <c r="AD280" s="7"/>
      <c r="AE280" s="7"/>
      <c r="AF280" s="7"/>
      <c r="AG280" s="7"/>
      <c r="AH280" s="7"/>
      <c r="AI280" s="7"/>
      <c r="AJ280" s="7"/>
      <c r="AK280" s="7"/>
      <c r="AL280" s="7"/>
      <c r="AM280" s="7"/>
    </row>
    <row r="281" spans="3:39" x14ac:dyDescent="0.2"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  <c r="AA281" s="7"/>
      <c r="AB281" s="7"/>
      <c r="AC281" s="7"/>
      <c r="AD281" s="7"/>
      <c r="AE281" s="7"/>
      <c r="AF281" s="7"/>
      <c r="AG281" s="7"/>
      <c r="AH281" s="7"/>
      <c r="AI281" s="7"/>
      <c r="AJ281" s="7"/>
      <c r="AK281" s="7"/>
      <c r="AL281" s="7"/>
      <c r="AM281" s="7"/>
    </row>
    <row r="282" spans="3:39" x14ac:dyDescent="0.2"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  <c r="AA282" s="7"/>
      <c r="AB282" s="7"/>
      <c r="AC282" s="7"/>
      <c r="AD282" s="7"/>
      <c r="AE282" s="7"/>
      <c r="AF282" s="7"/>
      <c r="AG282" s="7"/>
      <c r="AH282" s="7"/>
      <c r="AI282" s="7"/>
      <c r="AJ282" s="7"/>
      <c r="AK282" s="7"/>
      <c r="AL282" s="7"/>
      <c r="AM282" s="7"/>
    </row>
    <row r="283" spans="3:39" x14ac:dyDescent="0.2"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  <c r="AA283" s="7"/>
      <c r="AB283" s="7"/>
      <c r="AC283" s="7"/>
      <c r="AD283" s="7"/>
      <c r="AE283" s="7"/>
      <c r="AF283" s="7"/>
      <c r="AG283" s="7"/>
      <c r="AH283" s="7"/>
      <c r="AI283" s="7"/>
      <c r="AJ283" s="7"/>
      <c r="AK283" s="7"/>
      <c r="AL283" s="7"/>
      <c r="AM283" s="7"/>
    </row>
    <row r="284" spans="3:39" x14ac:dyDescent="0.2"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  <c r="AA284" s="7"/>
      <c r="AB284" s="7"/>
      <c r="AC284" s="7"/>
      <c r="AD284" s="7"/>
      <c r="AE284" s="7"/>
      <c r="AF284" s="7"/>
      <c r="AG284" s="7"/>
      <c r="AH284" s="7"/>
      <c r="AI284" s="7"/>
      <c r="AJ284" s="7"/>
      <c r="AK284" s="7"/>
      <c r="AL284" s="7"/>
      <c r="AM284" s="7"/>
    </row>
    <row r="285" spans="3:39" x14ac:dyDescent="0.2"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  <c r="AA285" s="7"/>
      <c r="AB285" s="7"/>
      <c r="AC285" s="7"/>
      <c r="AD285" s="7"/>
      <c r="AE285" s="7"/>
      <c r="AF285" s="7"/>
      <c r="AG285" s="7"/>
      <c r="AH285" s="7"/>
      <c r="AI285" s="7"/>
      <c r="AJ285" s="7"/>
      <c r="AK285" s="7"/>
      <c r="AL285" s="7"/>
      <c r="AM285" s="7"/>
    </row>
    <row r="286" spans="3:39" x14ac:dyDescent="0.2"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  <c r="AA286" s="7"/>
      <c r="AB286" s="7"/>
      <c r="AC286" s="7"/>
      <c r="AD286" s="7"/>
      <c r="AE286" s="7"/>
      <c r="AF286" s="7"/>
      <c r="AG286" s="7"/>
      <c r="AH286" s="7"/>
      <c r="AI286" s="7"/>
      <c r="AJ286" s="7"/>
      <c r="AK286" s="7"/>
      <c r="AL286" s="7"/>
      <c r="AM286" s="7"/>
    </row>
    <row r="287" spans="3:39" x14ac:dyDescent="0.2"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  <c r="AA287" s="7"/>
      <c r="AB287" s="7"/>
      <c r="AC287" s="7"/>
      <c r="AD287" s="7"/>
      <c r="AE287" s="7"/>
      <c r="AF287" s="7"/>
      <c r="AG287" s="7"/>
      <c r="AH287" s="7"/>
      <c r="AI287" s="7"/>
      <c r="AJ287" s="7"/>
      <c r="AK287" s="7"/>
      <c r="AL287" s="7"/>
      <c r="AM287" s="7"/>
    </row>
    <row r="288" spans="3:39" x14ac:dyDescent="0.2"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  <c r="AA288" s="7"/>
      <c r="AB288" s="7"/>
      <c r="AC288" s="7"/>
      <c r="AD288" s="7"/>
      <c r="AE288" s="7"/>
      <c r="AF288" s="7"/>
      <c r="AG288" s="7"/>
      <c r="AH288" s="7"/>
      <c r="AI288" s="7"/>
      <c r="AJ288" s="7"/>
      <c r="AK288" s="7"/>
      <c r="AL288" s="7"/>
      <c r="AM288" s="7"/>
    </row>
    <row r="289" spans="3:39" x14ac:dyDescent="0.2"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  <c r="AA289" s="7"/>
      <c r="AB289" s="7"/>
      <c r="AC289" s="7"/>
      <c r="AD289" s="7"/>
      <c r="AE289" s="7"/>
      <c r="AF289" s="7"/>
      <c r="AG289" s="7"/>
      <c r="AH289" s="7"/>
      <c r="AI289" s="7"/>
      <c r="AJ289" s="7"/>
      <c r="AK289" s="7"/>
      <c r="AL289" s="7"/>
      <c r="AM289" s="7"/>
    </row>
    <row r="290" spans="3:39" x14ac:dyDescent="0.2"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  <c r="AA290" s="7"/>
      <c r="AB290" s="7"/>
      <c r="AC290" s="7"/>
      <c r="AD290" s="7"/>
      <c r="AE290" s="7"/>
      <c r="AF290" s="7"/>
      <c r="AG290" s="7"/>
      <c r="AH290" s="7"/>
      <c r="AI290" s="7"/>
      <c r="AJ290" s="7"/>
      <c r="AK290" s="7"/>
      <c r="AL290" s="7"/>
      <c r="AM290" s="7"/>
    </row>
    <row r="291" spans="3:39" x14ac:dyDescent="0.2"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  <c r="AA291" s="7"/>
      <c r="AB291" s="7"/>
      <c r="AC291" s="7"/>
      <c r="AD291" s="7"/>
      <c r="AE291" s="7"/>
      <c r="AF291" s="7"/>
      <c r="AG291" s="7"/>
      <c r="AH291" s="7"/>
      <c r="AI291" s="7"/>
      <c r="AJ291" s="7"/>
      <c r="AK291" s="7"/>
      <c r="AL291" s="7"/>
      <c r="AM291" s="7"/>
    </row>
    <row r="292" spans="3:39" x14ac:dyDescent="0.2"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  <c r="AA292" s="7"/>
      <c r="AB292" s="7"/>
      <c r="AC292" s="7"/>
      <c r="AD292" s="7"/>
      <c r="AE292" s="7"/>
      <c r="AF292" s="7"/>
      <c r="AG292" s="7"/>
      <c r="AH292" s="7"/>
      <c r="AI292" s="7"/>
      <c r="AJ292" s="7"/>
      <c r="AK292" s="7"/>
      <c r="AL292" s="7"/>
      <c r="AM292" s="7"/>
    </row>
    <row r="293" spans="3:39" x14ac:dyDescent="0.2"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  <c r="AA293" s="7"/>
      <c r="AB293" s="7"/>
      <c r="AC293" s="7"/>
      <c r="AD293" s="7"/>
      <c r="AE293" s="7"/>
      <c r="AF293" s="7"/>
      <c r="AG293" s="7"/>
      <c r="AH293" s="7"/>
      <c r="AI293" s="7"/>
      <c r="AJ293" s="7"/>
      <c r="AK293" s="7"/>
      <c r="AL293" s="7"/>
      <c r="AM293" s="7"/>
    </row>
    <row r="294" spans="3:39" x14ac:dyDescent="0.2"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  <c r="AA294" s="7"/>
      <c r="AB294" s="7"/>
      <c r="AC294" s="7"/>
      <c r="AD294" s="7"/>
      <c r="AE294" s="7"/>
      <c r="AF294" s="7"/>
      <c r="AG294" s="7"/>
      <c r="AH294" s="7"/>
      <c r="AI294" s="7"/>
      <c r="AJ294" s="7"/>
      <c r="AK294" s="7"/>
      <c r="AL294" s="7"/>
      <c r="AM294" s="7"/>
    </row>
    <row r="295" spans="3:39" x14ac:dyDescent="0.2"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  <c r="AA295" s="7"/>
      <c r="AB295" s="7"/>
      <c r="AC295" s="7"/>
      <c r="AD295" s="7"/>
      <c r="AE295" s="7"/>
      <c r="AF295" s="7"/>
      <c r="AG295" s="7"/>
      <c r="AH295" s="7"/>
      <c r="AI295" s="7"/>
      <c r="AJ295" s="7"/>
      <c r="AK295" s="7"/>
      <c r="AL295" s="7"/>
      <c r="AM295" s="7"/>
    </row>
    <row r="296" spans="3:39" x14ac:dyDescent="0.2"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  <c r="AA296" s="7"/>
      <c r="AB296" s="7"/>
      <c r="AC296" s="7"/>
      <c r="AD296" s="7"/>
      <c r="AE296" s="7"/>
      <c r="AF296" s="7"/>
      <c r="AG296" s="7"/>
      <c r="AH296" s="7"/>
      <c r="AI296" s="7"/>
      <c r="AJ296" s="7"/>
      <c r="AK296" s="7"/>
      <c r="AL296" s="7"/>
      <c r="AM296" s="7"/>
    </row>
    <row r="297" spans="3:39" x14ac:dyDescent="0.2"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  <c r="AA297" s="7"/>
      <c r="AB297" s="7"/>
      <c r="AC297" s="7"/>
      <c r="AD297" s="7"/>
      <c r="AE297" s="7"/>
      <c r="AF297" s="7"/>
      <c r="AG297" s="7"/>
      <c r="AH297" s="7"/>
      <c r="AI297" s="7"/>
      <c r="AJ297" s="7"/>
      <c r="AK297" s="7"/>
      <c r="AL297" s="7"/>
      <c r="AM297" s="7"/>
    </row>
    <row r="298" spans="3:39" x14ac:dyDescent="0.2"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  <c r="AA298" s="7"/>
      <c r="AB298" s="7"/>
      <c r="AC298" s="7"/>
      <c r="AD298" s="7"/>
      <c r="AE298" s="7"/>
      <c r="AF298" s="7"/>
      <c r="AG298" s="7"/>
      <c r="AH298" s="7"/>
      <c r="AI298" s="7"/>
      <c r="AJ298" s="7"/>
      <c r="AK298" s="7"/>
      <c r="AL298" s="7"/>
      <c r="AM298" s="7"/>
    </row>
    <row r="299" spans="3:39" x14ac:dyDescent="0.2"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  <c r="AA299" s="7"/>
      <c r="AB299" s="7"/>
      <c r="AC299" s="7"/>
      <c r="AD299" s="7"/>
      <c r="AE299" s="7"/>
      <c r="AF299" s="7"/>
      <c r="AG299" s="7"/>
      <c r="AH299" s="7"/>
      <c r="AI299" s="7"/>
      <c r="AJ299" s="7"/>
      <c r="AK299" s="7"/>
      <c r="AL299" s="7"/>
      <c r="AM299" s="7"/>
    </row>
    <row r="300" spans="3:39" x14ac:dyDescent="0.2"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  <c r="AA300" s="7"/>
      <c r="AB300" s="7"/>
      <c r="AC300" s="7"/>
      <c r="AD300" s="7"/>
      <c r="AE300" s="7"/>
      <c r="AF300" s="7"/>
      <c r="AG300" s="7"/>
      <c r="AH300" s="7"/>
      <c r="AI300" s="7"/>
      <c r="AJ300" s="7"/>
      <c r="AK300" s="7"/>
      <c r="AL300" s="7"/>
      <c r="AM300" s="7"/>
    </row>
    <row r="301" spans="3:39" x14ac:dyDescent="0.2"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  <c r="AA301" s="7"/>
      <c r="AB301" s="7"/>
      <c r="AC301" s="7"/>
      <c r="AD301" s="7"/>
      <c r="AE301" s="7"/>
      <c r="AF301" s="7"/>
      <c r="AG301" s="7"/>
      <c r="AH301" s="7"/>
      <c r="AI301" s="7"/>
      <c r="AJ301" s="7"/>
      <c r="AK301" s="7"/>
      <c r="AL301" s="7"/>
      <c r="AM301" s="7"/>
    </row>
    <row r="302" spans="3:39" x14ac:dyDescent="0.2"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  <c r="AA302" s="7"/>
      <c r="AB302" s="7"/>
      <c r="AC302" s="7"/>
      <c r="AD302" s="7"/>
      <c r="AE302" s="7"/>
      <c r="AF302" s="7"/>
      <c r="AG302" s="7"/>
      <c r="AH302" s="7"/>
      <c r="AI302" s="7"/>
      <c r="AJ302" s="7"/>
      <c r="AK302" s="7"/>
      <c r="AL302" s="7"/>
      <c r="AM302" s="7"/>
    </row>
    <row r="303" spans="3:39" x14ac:dyDescent="0.2"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  <c r="AA303" s="7"/>
      <c r="AB303" s="7"/>
      <c r="AC303" s="7"/>
      <c r="AD303" s="7"/>
      <c r="AE303" s="7"/>
      <c r="AF303" s="7"/>
      <c r="AG303" s="7"/>
      <c r="AH303" s="7"/>
      <c r="AI303" s="7"/>
      <c r="AJ303" s="7"/>
      <c r="AK303" s="7"/>
      <c r="AL303" s="7"/>
      <c r="AM303" s="7"/>
    </row>
    <row r="304" spans="3:39" x14ac:dyDescent="0.2"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  <c r="AA304" s="7"/>
      <c r="AB304" s="7"/>
      <c r="AC304" s="7"/>
      <c r="AD304" s="7"/>
      <c r="AE304" s="7"/>
      <c r="AF304" s="7"/>
      <c r="AG304" s="7"/>
      <c r="AH304" s="7"/>
      <c r="AI304" s="7"/>
      <c r="AJ304" s="7"/>
      <c r="AK304" s="7"/>
      <c r="AL304" s="7"/>
      <c r="AM304" s="7"/>
    </row>
    <row r="305" spans="3:39" x14ac:dyDescent="0.2"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  <c r="AA305" s="7"/>
      <c r="AB305" s="7"/>
      <c r="AC305" s="7"/>
      <c r="AD305" s="7"/>
      <c r="AE305" s="7"/>
      <c r="AF305" s="7"/>
      <c r="AG305" s="7"/>
      <c r="AH305" s="7"/>
      <c r="AI305" s="7"/>
      <c r="AJ305" s="7"/>
      <c r="AK305" s="7"/>
      <c r="AL305" s="7"/>
      <c r="AM305" s="7"/>
    </row>
    <row r="306" spans="3:39" x14ac:dyDescent="0.2"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  <c r="AA306" s="7"/>
      <c r="AB306" s="7"/>
      <c r="AC306" s="7"/>
      <c r="AD306" s="7"/>
      <c r="AE306" s="7"/>
      <c r="AF306" s="7"/>
      <c r="AG306" s="7"/>
      <c r="AH306" s="7"/>
      <c r="AI306" s="7"/>
      <c r="AJ306" s="7"/>
      <c r="AK306" s="7"/>
      <c r="AL306" s="7"/>
      <c r="AM306" s="7"/>
    </row>
    <row r="307" spans="3:39" x14ac:dyDescent="0.2"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  <c r="AA307" s="7"/>
      <c r="AB307" s="7"/>
      <c r="AC307" s="7"/>
      <c r="AD307" s="7"/>
      <c r="AE307" s="7"/>
      <c r="AF307" s="7"/>
      <c r="AG307" s="7"/>
      <c r="AH307" s="7"/>
      <c r="AI307" s="7"/>
      <c r="AJ307" s="7"/>
      <c r="AK307" s="7"/>
      <c r="AL307" s="7"/>
      <c r="AM307" s="7"/>
    </row>
    <row r="308" spans="3:39" x14ac:dyDescent="0.2"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  <c r="AA308" s="7"/>
      <c r="AB308" s="7"/>
      <c r="AC308" s="7"/>
      <c r="AD308" s="7"/>
      <c r="AE308" s="7"/>
      <c r="AF308" s="7"/>
      <c r="AG308" s="7"/>
      <c r="AH308" s="7"/>
      <c r="AI308" s="7"/>
      <c r="AJ308" s="7"/>
      <c r="AK308" s="7"/>
      <c r="AL308" s="7"/>
      <c r="AM308" s="7"/>
    </row>
    <row r="309" spans="3:39" x14ac:dyDescent="0.2"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  <c r="AA309" s="7"/>
      <c r="AB309" s="7"/>
      <c r="AC309" s="7"/>
      <c r="AD309" s="7"/>
      <c r="AE309" s="7"/>
      <c r="AF309" s="7"/>
      <c r="AG309" s="7"/>
      <c r="AH309" s="7"/>
      <c r="AI309" s="7"/>
      <c r="AJ309" s="7"/>
      <c r="AK309" s="7"/>
      <c r="AL309" s="7"/>
      <c r="AM309" s="7"/>
    </row>
    <row r="310" spans="3:39" x14ac:dyDescent="0.2"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  <c r="AA310" s="7"/>
      <c r="AB310" s="7"/>
      <c r="AC310" s="7"/>
      <c r="AD310" s="7"/>
      <c r="AE310" s="7"/>
      <c r="AF310" s="7"/>
      <c r="AG310" s="7"/>
      <c r="AH310" s="7"/>
      <c r="AI310" s="7"/>
      <c r="AJ310" s="7"/>
      <c r="AK310" s="7"/>
      <c r="AL310" s="7"/>
      <c r="AM310" s="7"/>
    </row>
    <row r="311" spans="3:39" x14ac:dyDescent="0.2"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  <c r="AA311" s="7"/>
      <c r="AB311" s="7"/>
      <c r="AC311" s="7"/>
      <c r="AD311" s="7"/>
      <c r="AE311" s="7"/>
      <c r="AF311" s="7"/>
      <c r="AG311" s="7"/>
      <c r="AH311" s="7"/>
      <c r="AI311" s="7"/>
      <c r="AJ311" s="7"/>
      <c r="AK311" s="7"/>
      <c r="AL311" s="7"/>
      <c r="AM311" s="7"/>
    </row>
    <row r="312" spans="3:39" x14ac:dyDescent="0.2"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  <c r="AA312" s="7"/>
      <c r="AB312" s="7"/>
      <c r="AC312" s="7"/>
      <c r="AD312" s="7"/>
      <c r="AE312" s="7"/>
      <c r="AF312" s="7"/>
      <c r="AG312" s="7"/>
      <c r="AH312" s="7"/>
      <c r="AI312" s="7"/>
      <c r="AJ312" s="7"/>
      <c r="AK312" s="7"/>
      <c r="AL312" s="7"/>
      <c r="AM312" s="7"/>
    </row>
    <row r="313" spans="3:39" x14ac:dyDescent="0.2"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  <c r="AA313" s="7"/>
      <c r="AB313" s="7"/>
      <c r="AC313" s="7"/>
      <c r="AD313" s="7"/>
      <c r="AE313" s="7"/>
      <c r="AF313" s="7"/>
      <c r="AG313" s="7"/>
      <c r="AH313" s="7"/>
      <c r="AI313" s="7"/>
      <c r="AJ313" s="7"/>
      <c r="AK313" s="7"/>
      <c r="AL313" s="7"/>
      <c r="AM313" s="7"/>
    </row>
    <row r="314" spans="3:39" x14ac:dyDescent="0.2"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  <c r="AA314" s="7"/>
      <c r="AB314" s="7"/>
      <c r="AC314" s="7"/>
      <c r="AD314" s="7"/>
      <c r="AE314" s="7"/>
      <c r="AF314" s="7"/>
      <c r="AG314" s="7"/>
      <c r="AH314" s="7"/>
      <c r="AI314" s="7"/>
      <c r="AJ314" s="7"/>
      <c r="AK314" s="7"/>
      <c r="AL314" s="7"/>
      <c r="AM314" s="7"/>
    </row>
    <row r="315" spans="3:39" x14ac:dyDescent="0.2"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  <c r="AA315" s="7"/>
      <c r="AB315" s="7"/>
      <c r="AC315" s="7"/>
      <c r="AD315" s="7"/>
      <c r="AE315" s="7"/>
      <c r="AF315" s="7"/>
      <c r="AG315" s="7"/>
      <c r="AH315" s="7"/>
      <c r="AI315" s="7"/>
      <c r="AJ315" s="7"/>
      <c r="AK315" s="7"/>
      <c r="AL315" s="7"/>
      <c r="AM315" s="7"/>
    </row>
    <row r="316" spans="3:39" x14ac:dyDescent="0.2"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  <c r="AA316" s="7"/>
      <c r="AB316" s="7"/>
      <c r="AC316" s="7"/>
      <c r="AD316" s="7"/>
      <c r="AE316" s="7"/>
      <c r="AF316" s="7"/>
      <c r="AG316" s="7"/>
      <c r="AH316" s="7"/>
      <c r="AI316" s="7"/>
      <c r="AJ316" s="7"/>
      <c r="AK316" s="7"/>
      <c r="AL316" s="7"/>
      <c r="AM316" s="7"/>
    </row>
    <row r="317" spans="3:39" x14ac:dyDescent="0.2"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  <c r="AA317" s="7"/>
      <c r="AB317" s="7"/>
      <c r="AC317" s="7"/>
      <c r="AD317" s="7"/>
      <c r="AE317" s="7"/>
      <c r="AF317" s="7"/>
      <c r="AG317" s="7"/>
      <c r="AH317" s="7"/>
      <c r="AI317" s="7"/>
      <c r="AJ317" s="7"/>
      <c r="AK317" s="7"/>
      <c r="AL317" s="7"/>
      <c r="AM317" s="7"/>
    </row>
    <row r="318" spans="3:39" x14ac:dyDescent="0.2"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  <c r="AA318" s="7"/>
      <c r="AB318" s="7"/>
      <c r="AC318" s="7"/>
      <c r="AD318" s="7"/>
      <c r="AE318" s="7"/>
      <c r="AF318" s="7"/>
      <c r="AG318" s="7"/>
      <c r="AH318" s="7"/>
      <c r="AI318" s="7"/>
      <c r="AJ318" s="7"/>
      <c r="AK318" s="7"/>
      <c r="AL318" s="7"/>
      <c r="AM318" s="7"/>
    </row>
    <row r="319" spans="3:39" x14ac:dyDescent="0.2"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  <c r="AA319" s="7"/>
      <c r="AB319" s="7"/>
      <c r="AC319" s="7"/>
      <c r="AD319" s="7"/>
      <c r="AE319" s="7"/>
      <c r="AF319" s="7"/>
      <c r="AG319" s="7"/>
      <c r="AH319" s="7"/>
      <c r="AI319" s="7"/>
      <c r="AJ319" s="7"/>
      <c r="AK319" s="7"/>
      <c r="AL319" s="7"/>
      <c r="AM319" s="7"/>
    </row>
    <row r="320" spans="3:39" x14ac:dyDescent="0.2"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  <c r="AA320" s="7"/>
      <c r="AB320" s="7"/>
      <c r="AC320" s="7"/>
      <c r="AD320" s="7"/>
      <c r="AE320" s="7"/>
      <c r="AF320" s="7"/>
      <c r="AG320" s="7"/>
      <c r="AH320" s="7"/>
      <c r="AI320" s="7"/>
      <c r="AJ320" s="7"/>
      <c r="AK320" s="7"/>
      <c r="AL320" s="7"/>
      <c r="AM320" s="7"/>
    </row>
    <row r="321" spans="3:39" x14ac:dyDescent="0.2"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  <c r="AA321" s="7"/>
      <c r="AB321" s="7"/>
      <c r="AC321" s="7"/>
      <c r="AD321" s="7"/>
      <c r="AE321" s="7"/>
      <c r="AF321" s="7"/>
      <c r="AG321" s="7"/>
      <c r="AH321" s="7"/>
      <c r="AI321" s="7"/>
      <c r="AJ321" s="7"/>
      <c r="AK321" s="7"/>
      <c r="AL321" s="7"/>
      <c r="AM321" s="7"/>
    </row>
    <row r="322" spans="3:39" x14ac:dyDescent="0.2"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  <c r="AA322" s="7"/>
      <c r="AB322" s="7"/>
      <c r="AC322" s="7"/>
      <c r="AD322" s="7"/>
      <c r="AE322" s="7"/>
      <c r="AF322" s="7"/>
      <c r="AG322" s="7"/>
      <c r="AH322" s="7"/>
      <c r="AI322" s="7"/>
      <c r="AJ322" s="7"/>
      <c r="AK322" s="7"/>
      <c r="AL322" s="7"/>
      <c r="AM322" s="7"/>
    </row>
    <row r="323" spans="3:39" x14ac:dyDescent="0.2"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  <c r="AA323" s="7"/>
      <c r="AB323" s="7"/>
      <c r="AC323" s="7"/>
      <c r="AD323" s="7"/>
      <c r="AE323" s="7"/>
      <c r="AF323" s="7"/>
      <c r="AG323" s="7"/>
      <c r="AH323" s="7"/>
      <c r="AI323" s="7"/>
      <c r="AJ323" s="7"/>
      <c r="AK323" s="7"/>
      <c r="AL323" s="7"/>
      <c r="AM323" s="7"/>
    </row>
    <row r="324" spans="3:39" x14ac:dyDescent="0.2"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  <c r="AA324" s="7"/>
      <c r="AB324" s="7"/>
      <c r="AC324" s="7"/>
      <c r="AD324" s="7"/>
      <c r="AE324" s="7"/>
      <c r="AF324" s="7"/>
      <c r="AG324" s="7"/>
      <c r="AH324" s="7"/>
      <c r="AI324" s="7"/>
      <c r="AJ324" s="7"/>
      <c r="AK324" s="7"/>
      <c r="AL324" s="7"/>
      <c r="AM324" s="7"/>
    </row>
    <row r="325" spans="3:39" x14ac:dyDescent="0.2"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  <c r="AA325" s="7"/>
      <c r="AB325" s="7"/>
      <c r="AC325" s="7"/>
      <c r="AD325" s="7"/>
      <c r="AE325" s="7"/>
      <c r="AF325" s="7"/>
      <c r="AG325" s="7"/>
      <c r="AH325" s="7"/>
      <c r="AI325" s="7"/>
      <c r="AJ325" s="7"/>
      <c r="AK325" s="7"/>
      <c r="AL325" s="7"/>
      <c r="AM325" s="7"/>
    </row>
    <row r="326" spans="3:39" x14ac:dyDescent="0.2"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  <c r="AA326" s="7"/>
      <c r="AB326" s="7"/>
      <c r="AC326" s="7"/>
      <c r="AD326" s="7"/>
      <c r="AE326" s="7"/>
      <c r="AF326" s="7"/>
      <c r="AG326" s="7"/>
      <c r="AH326" s="7"/>
      <c r="AI326" s="7"/>
      <c r="AJ326" s="7"/>
      <c r="AK326" s="7"/>
      <c r="AL326" s="7"/>
      <c r="AM326" s="7"/>
    </row>
    <row r="327" spans="3:39" x14ac:dyDescent="0.2"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  <c r="AA327" s="7"/>
      <c r="AB327" s="7"/>
      <c r="AC327" s="7"/>
      <c r="AD327" s="7"/>
      <c r="AE327" s="7"/>
      <c r="AF327" s="7"/>
      <c r="AG327" s="7"/>
      <c r="AH327" s="7"/>
      <c r="AI327" s="7"/>
      <c r="AJ327" s="7"/>
      <c r="AK327" s="7"/>
      <c r="AL327" s="7"/>
      <c r="AM327" s="7"/>
    </row>
    <row r="328" spans="3:39" x14ac:dyDescent="0.2"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  <c r="AA328" s="7"/>
      <c r="AB328" s="7"/>
      <c r="AC328" s="7"/>
      <c r="AD328" s="7"/>
      <c r="AE328" s="7"/>
      <c r="AF328" s="7"/>
      <c r="AG328" s="7"/>
      <c r="AH328" s="7"/>
      <c r="AI328" s="7"/>
      <c r="AJ328" s="7"/>
      <c r="AK328" s="7"/>
      <c r="AL328" s="7"/>
      <c r="AM328" s="7"/>
    </row>
    <row r="329" spans="3:39" x14ac:dyDescent="0.2"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  <c r="AA329" s="7"/>
      <c r="AB329" s="7"/>
      <c r="AC329" s="7"/>
      <c r="AD329" s="7"/>
      <c r="AE329" s="7"/>
      <c r="AF329" s="7"/>
      <c r="AG329" s="7"/>
      <c r="AH329" s="7"/>
      <c r="AI329" s="7"/>
      <c r="AJ329" s="7"/>
      <c r="AK329" s="7"/>
      <c r="AL329" s="7"/>
      <c r="AM329" s="7"/>
    </row>
    <row r="330" spans="3:39" x14ac:dyDescent="0.2"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  <c r="AA330" s="7"/>
      <c r="AB330" s="7"/>
      <c r="AC330" s="7"/>
      <c r="AD330" s="7"/>
      <c r="AE330" s="7"/>
      <c r="AF330" s="7"/>
      <c r="AG330" s="7"/>
      <c r="AH330" s="7"/>
      <c r="AI330" s="7"/>
      <c r="AJ330" s="7"/>
      <c r="AK330" s="7"/>
      <c r="AL330" s="7"/>
      <c r="AM330" s="7"/>
    </row>
    <row r="331" spans="3:39" x14ac:dyDescent="0.2"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  <c r="AA331" s="7"/>
      <c r="AB331" s="7"/>
      <c r="AC331" s="7"/>
      <c r="AD331" s="7"/>
      <c r="AE331" s="7"/>
      <c r="AF331" s="7"/>
      <c r="AG331" s="7"/>
      <c r="AH331" s="7"/>
      <c r="AI331" s="7"/>
      <c r="AJ331" s="7"/>
      <c r="AK331" s="7"/>
      <c r="AL331" s="7"/>
      <c r="AM331" s="7"/>
    </row>
    <row r="332" spans="3:39" x14ac:dyDescent="0.2"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  <c r="AA332" s="7"/>
      <c r="AB332" s="7"/>
      <c r="AC332" s="7"/>
      <c r="AD332" s="7"/>
      <c r="AE332" s="7"/>
      <c r="AF332" s="7"/>
      <c r="AG332" s="7"/>
      <c r="AH332" s="7"/>
      <c r="AI332" s="7"/>
      <c r="AJ332" s="7"/>
      <c r="AK332" s="7"/>
      <c r="AL332" s="7"/>
      <c r="AM332" s="7"/>
    </row>
    <row r="333" spans="3:39" x14ac:dyDescent="0.2"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  <c r="AA333" s="7"/>
      <c r="AB333" s="7"/>
      <c r="AC333" s="7"/>
      <c r="AD333" s="7"/>
      <c r="AE333" s="7"/>
      <c r="AF333" s="7"/>
      <c r="AG333" s="7"/>
      <c r="AH333" s="7"/>
      <c r="AI333" s="7"/>
      <c r="AJ333" s="7"/>
      <c r="AK333" s="7"/>
      <c r="AL333" s="7"/>
      <c r="AM333" s="7"/>
    </row>
    <row r="334" spans="3:39" x14ac:dyDescent="0.2"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  <c r="AA334" s="7"/>
      <c r="AB334" s="7"/>
      <c r="AC334" s="7"/>
      <c r="AD334" s="7"/>
      <c r="AE334" s="7"/>
      <c r="AF334" s="7"/>
      <c r="AG334" s="7"/>
      <c r="AH334" s="7"/>
      <c r="AI334" s="7"/>
      <c r="AJ334" s="7"/>
      <c r="AK334" s="7"/>
      <c r="AL334" s="7"/>
      <c r="AM334" s="7"/>
    </row>
    <row r="335" spans="3:39" x14ac:dyDescent="0.2"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  <c r="AA335" s="7"/>
      <c r="AB335" s="7"/>
      <c r="AC335" s="7"/>
      <c r="AD335" s="7"/>
      <c r="AE335" s="7"/>
      <c r="AF335" s="7"/>
      <c r="AG335" s="7"/>
      <c r="AH335" s="7"/>
      <c r="AI335" s="7"/>
      <c r="AJ335" s="7"/>
      <c r="AK335" s="7"/>
      <c r="AL335" s="7"/>
      <c r="AM335" s="7"/>
    </row>
    <row r="336" spans="3:39" x14ac:dyDescent="0.2"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  <c r="AA336" s="7"/>
      <c r="AB336" s="7"/>
      <c r="AC336" s="7"/>
      <c r="AD336" s="7"/>
      <c r="AE336" s="7"/>
      <c r="AF336" s="7"/>
      <c r="AG336" s="7"/>
      <c r="AH336" s="7"/>
      <c r="AI336" s="7"/>
      <c r="AJ336" s="7"/>
      <c r="AK336" s="7"/>
      <c r="AL336" s="7"/>
      <c r="AM336" s="7"/>
    </row>
    <row r="337" spans="3:39" x14ac:dyDescent="0.2"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  <c r="AA337" s="7"/>
      <c r="AB337" s="7"/>
      <c r="AC337" s="7"/>
      <c r="AD337" s="7"/>
      <c r="AE337" s="7"/>
      <c r="AF337" s="7"/>
      <c r="AG337" s="7"/>
      <c r="AH337" s="7"/>
      <c r="AI337" s="7"/>
      <c r="AJ337" s="7"/>
      <c r="AK337" s="7"/>
      <c r="AL337" s="7"/>
      <c r="AM337" s="7"/>
    </row>
    <row r="338" spans="3:39" x14ac:dyDescent="0.2"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  <c r="AA338" s="7"/>
      <c r="AB338" s="7"/>
      <c r="AC338" s="7"/>
      <c r="AD338" s="7"/>
      <c r="AE338" s="7"/>
      <c r="AF338" s="7"/>
      <c r="AG338" s="7"/>
      <c r="AH338" s="7"/>
      <c r="AI338" s="7"/>
      <c r="AJ338" s="7"/>
      <c r="AK338" s="7"/>
      <c r="AL338" s="7"/>
      <c r="AM338" s="7"/>
    </row>
    <row r="339" spans="3:39" x14ac:dyDescent="0.2"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  <c r="AA339" s="7"/>
      <c r="AB339" s="7"/>
      <c r="AC339" s="7"/>
      <c r="AD339" s="7"/>
      <c r="AE339" s="7"/>
      <c r="AF339" s="7"/>
      <c r="AG339" s="7"/>
      <c r="AH339" s="7"/>
      <c r="AI339" s="7"/>
      <c r="AJ339" s="7"/>
      <c r="AK339" s="7"/>
      <c r="AL339" s="7"/>
      <c r="AM339" s="7"/>
    </row>
    <row r="340" spans="3:39" x14ac:dyDescent="0.2"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  <c r="AA340" s="7"/>
      <c r="AB340" s="7"/>
      <c r="AC340" s="7"/>
      <c r="AD340" s="7"/>
      <c r="AE340" s="7"/>
      <c r="AF340" s="7"/>
      <c r="AG340" s="7"/>
      <c r="AH340" s="7"/>
      <c r="AI340" s="7"/>
      <c r="AJ340" s="7"/>
      <c r="AK340" s="7"/>
      <c r="AL340" s="7"/>
      <c r="AM340" s="7"/>
    </row>
    <row r="341" spans="3:39" x14ac:dyDescent="0.2"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  <c r="AA341" s="7"/>
      <c r="AB341" s="7"/>
      <c r="AC341" s="7"/>
      <c r="AD341" s="7"/>
      <c r="AE341" s="7"/>
      <c r="AF341" s="7"/>
      <c r="AG341" s="7"/>
      <c r="AH341" s="7"/>
      <c r="AI341" s="7"/>
      <c r="AJ341" s="7"/>
      <c r="AK341" s="7"/>
      <c r="AL341" s="7"/>
      <c r="AM341" s="7"/>
    </row>
    <row r="342" spans="3:39" x14ac:dyDescent="0.2"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  <c r="AA342" s="7"/>
      <c r="AB342" s="7"/>
      <c r="AC342" s="7"/>
      <c r="AD342" s="7"/>
      <c r="AE342" s="7"/>
      <c r="AF342" s="7"/>
      <c r="AG342" s="7"/>
      <c r="AH342" s="7"/>
      <c r="AI342" s="7"/>
      <c r="AJ342" s="7"/>
      <c r="AK342" s="7"/>
      <c r="AL342" s="7"/>
      <c r="AM342" s="7"/>
    </row>
    <row r="343" spans="3:39" x14ac:dyDescent="0.2"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  <c r="AA343" s="7"/>
      <c r="AB343" s="7"/>
      <c r="AC343" s="7"/>
      <c r="AD343" s="7"/>
      <c r="AE343" s="7"/>
      <c r="AF343" s="7"/>
      <c r="AG343" s="7"/>
      <c r="AH343" s="7"/>
      <c r="AI343" s="7"/>
      <c r="AJ343" s="7"/>
      <c r="AK343" s="7"/>
      <c r="AL343" s="7"/>
      <c r="AM343" s="7"/>
    </row>
    <row r="344" spans="3:39" x14ac:dyDescent="0.2"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  <c r="AA344" s="7"/>
      <c r="AB344" s="7"/>
      <c r="AC344" s="7"/>
      <c r="AD344" s="7"/>
      <c r="AE344" s="7"/>
      <c r="AF344" s="7"/>
      <c r="AG344" s="7"/>
      <c r="AH344" s="7"/>
      <c r="AI344" s="7"/>
      <c r="AJ344" s="7"/>
      <c r="AK344" s="7"/>
      <c r="AL344" s="7"/>
      <c r="AM344" s="7"/>
    </row>
    <row r="345" spans="3:39" x14ac:dyDescent="0.2"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  <c r="AA345" s="7"/>
      <c r="AB345" s="7"/>
      <c r="AC345" s="7"/>
      <c r="AD345" s="7"/>
      <c r="AE345" s="7"/>
      <c r="AF345" s="7"/>
      <c r="AG345" s="7"/>
      <c r="AH345" s="7"/>
      <c r="AI345" s="7"/>
      <c r="AJ345" s="7"/>
      <c r="AK345" s="7"/>
      <c r="AL345" s="7"/>
      <c r="AM345" s="7"/>
    </row>
    <row r="346" spans="3:39" x14ac:dyDescent="0.2"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  <c r="AA346" s="7"/>
      <c r="AB346" s="7"/>
      <c r="AC346" s="7"/>
      <c r="AD346" s="7"/>
      <c r="AE346" s="7"/>
      <c r="AF346" s="7"/>
      <c r="AG346" s="7"/>
      <c r="AH346" s="7"/>
      <c r="AI346" s="7"/>
      <c r="AJ346" s="7"/>
      <c r="AK346" s="7"/>
      <c r="AL346" s="7"/>
      <c r="AM346" s="7"/>
    </row>
    <row r="347" spans="3:39" x14ac:dyDescent="0.2"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  <c r="AA347" s="7"/>
      <c r="AB347" s="7"/>
      <c r="AC347" s="7"/>
      <c r="AD347" s="7"/>
      <c r="AE347" s="7"/>
      <c r="AF347" s="7"/>
      <c r="AG347" s="7"/>
      <c r="AH347" s="7"/>
      <c r="AI347" s="7"/>
      <c r="AJ347" s="7"/>
      <c r="AK347" s="7"/>
      <c r="AL347" s="7"/>
      <c r="AM347" s="7"/>
    </row>
    <row r="348" spans="3:39" x14ac:dyDescent="0.2"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  <c r="AA348" s="7"/>
      <c r="AB348" s="7"/>
      <c r="AC348" s="7"/>
      <c r="AD348" s="7"/>
      <c r="AE348" s="7"/>
      <c r="AF348" s="7"/>
      <c r="AG348" s="7"/>
      <c r="AH348" s="7"/>
      <c r="AI348" s="7"/>
      <c r="AJ348" s="7"/>
      <c r="AK348" s="7"/>
      <c r="AL348" s="7"/>
      <c r="AM348" s="7"/>
    </row>
    <row r="349" spans="3:39" x14ac:dyDescent="0.2"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  <c r="AA349" s="7"/>
      <c r="AB349" s="7"/>
      <c r="AC349" s="7"/>
      <c r="AD349" s="7"/>
      <c r="AE349" s="7"/>
      <c r="AF349" s="7"/>
      <c r="AG349" s="7"/>
      <c r="AH349" s="7"/>
      <c r="AI349" s="7"/>
      <c r="AJ349" s="7"/>
      <c r="AK349" s="7"/>
      <c r="AL349" s="7"/>
      <c r="AM349" s="7"/>
    </row>
    <row r="350" spans="3:39" x14ac:dyDescent="0.2"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  <c r="AA350" s="7"/>
      <c r="AB350" s="7"/>
      <c r="AC350" s="7"/>
      <c r="AD350" s="7"/>
      <c r="AE350" s="7"/>
      <c r="AF350" s="7"/>
      <c r="AG350" s="7"/>
      <c r="AH350" s="7"/>
      <c r="AI350" s="7"/>
      <c r="AJ350" s="7"/>
      <c r="AK350" s="7"/>
      <c r="AL350" s="7"/>
      <c r="AM350" s="7"/>
    </row>
    <row r="351" spans="3:39" x14ac:dyDescent="0.2"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  <c r="AA351" s="7"/>
      <c r="AB351" s="7"/>
      <c r="AC351" s="7"/>
      <c r="AD351" s="7"/>
      <c r="AE351" s="7"/>
      <c r="AF351" s="7"/>
      <c r="AG351" s="7"/>
      <c r="AH351" s="7"/>
      <c r="AI351" s="7"/>
      <c r="AJ351" s="7"/>
      <c r="AK351" s="7"/>
      <c r="AL351" s="7"/>
      <c r="AM351" s="7"/>
    </row>
    <row r="352" spans="3:39" x14ac:dyDescent="0.2"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  <c r="AA352" s="7"/>
      <c r="AB352" s="7"/>
      <c r="AC352" s="7"/>
      <c r="AD352" s="7"/>
      <c r="AE352" s="7"/>
      <c r="AF352" s="7"/>
      <c r="AG352" s="7"/>
      <c r="AH352" s="7"/>
      <c r="AI352" s="7"/>
      <c r="AJ352" s="7"/>
      <c r="AK352" s="7"/>
      <c r="AL352" s="7"/>
      <c r="AM352" s="7"/>
    </row>
    <row r="353" spans="3:39" x14ac:dyDescent="0.2"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  <c r="AA353" s="7"/>
      <c r="AB353" s="7"/>
      <c r="AC353" s="7"/>
      <c r="AD353" s="7"/>
      <c r="AE353" s="7"/>
      <c r="AF353" s="7"/>
      <c r="AG353" s="7"/>
      <c r="AH353" s="7"/>
      <c r="AI353" s="7"/>
      <c r="AJ353" s="7"/>
      <c r="AK353" s="7"/>
      <c r="AL353" s="7"/>
      <c r="AM353" s="7"/>
    </row>
    <row r="354" spans="3:39" x14ac:dyDescent="0.2"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  <c r="AA354" s="7"/>
      <c r="AB354" s="7"/>
      <c r="AC354" s="7"/>
      <c r="AD354" s="7"/>
      <c r="AE354" s="7"/>
      <c r="AF354" s="7"/>
      <c r="AG354" s="7"/>
      <c r="AH354" s="7"/>
      <c r="AI354" s="7"/>
      <c r="AJ354" s="7"/>
      <c r="AK354" s="7"/>
      <c r="AL354" s="7"/>
      <c r="AM354" s="7"/>
    </row>
    <row r="355" spans="3:39" x14ac:dyDescent="0.2"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  <c r="AA355" s="7"/>
      <c r="AB355" s="7"/>
      <c r="AC355" s="7"/>
      <c r="AD355" s="7"/>
      <c r="AE355" s="7"/>
      <c r="AF355" s="7"/>
      <c r="AG355" s="7"/>
      <c r="AH355" s="7"/>
      <c r="AI355" s="7"/>
      <c r="AJ355" s="7"/>
      <c r="AK355" s="7"/>
      <c r="AL355" s="7"/>
      <c r="AM355" s="7"/>
    </row>
    <row r="356" spans="3:39" x14ac:dyDescent="0.2"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  <c r="AA356" s="7"/>
      <c r="AB356" s="7"/>
      <c r="AC356" s="7"/>
      <c r="AD356" s="7"/>
      <c r="AE356" s="7"/>
      <c r="AF356" s="7"/>
      <c r="AG356" s="7"/>
      <c r="AH356" s="7"/>
      <c r="AI356" s="7"/>
      <c r="AJ356" s="7"/>
      <c r="AK356" s="7"/>
      <c r="AL356" s="7"/>
      <c r="AM356" s="7"/>
    </row>
    <row r="357" spans="3:39" x14ac:dyDescent="0.2"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  <c r="AA357" s="7"/>
      <c r="AB357" s="7"/>
      <c r="AC357" s="7"/>
      <c r="AD357" s="7"/>
      <c r="AE357" s="7"/>
      <c r="AF357" s="7"/>
      <c r="AG357" s="7"/>
      <c r="AH357" s="7"/>
      <c r="AI357" s="7"/>
      <c r="AJ357" s="7"/>
      <c r="AK357" s="7"/>
      <c r="AL357" s="7"/>
      <c r="AM357" s="7"/>
    </row>
    <row r="358" spans="3:39" x14ac:dyDescent="0.2"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  <c r="AA358" s="7"/>
      <c r="AB358" s="7"/>
      <c r="AC358" s="7"/>
      <c r="AD358" s="7"/>
      <c r="AE358" s="7"/>
      <c r="AF358" s="7"/>
      <c r="AG358" s="7"/>
      <c r="AH358" s="7"/>
      <c r="AI358" s="7"/>
      <c r="AJ358" s="7"/>
      <c r="AK358" s="7"/>
      <c r="AL358" s="7"/>
      <c r="AM358" s="7"/>
    </row>
    <row r="359" spans="3:39" x14ac:dyDescent="0.2"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  <c r="AA359" s="7"/>
      <c r="AB359" s="7"/>
      <c r="AC359" s="7"/>
      <c r="AD359" s="7"/>
      <c r="AE359" s="7"/>
      <c r="AF359" s="7"/>
      <c r="AG359" s="7"/>
      <c r="AH359" s="7"/>
      <c r="AI359" s="7"/>
      <c r="AJ359" s="7"/>
      <c r="AK359" s="7"/>
      <c r="AL359" s="7"/>
      <c r="AM359" s="7"/>
    </row>
    <row r="360" spans="3:39" x14ac:dyDescent="0.2"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  <c r="AA360" s="7"/>
      <c r="AB360" s="7"/>
      <c r="AC360" s="7"/>
      <c r="AD360" s="7"/>
      <c r="AE360" s="7"/>
      <c r="AF360" s="7"/>
      <c r="AG360" s="7"/>
      <c r="AH360" s="7"/>
      <c r="AI360" s="7"/>
      <c r="AJ360" s="7"/>
      <c r="AK360" s="7"/>
      <c r="AL360" s="7"/>
      <c r="AM360" s="7"/>
    </row>
    <row r="361" spans="3:39" x14ac:dyDescent="0.2"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  <c r="AA361" s="7"/>
      <c r="AB361" s="7"/>
      <c r="AC361" s="7"/>
      <c r="AD361" s="7"/>
      <c r="AE361" s="7"/>
      <c r="AF361" s="7"/>
      <c r="AG361" s="7"/>
      <c r="AH361" s="7"/>
      <c r="AI361" s="7"/>
      <c r="AJ361" s="7"/>
      <c r="AK361" s="7"/>
      <c r="AL361" s="7"/>
      <c r="AM361" s="7"/>
    </row>
    <row r="362" spans="3:39" x14ac:dyDescent="0.2"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  <c r="AA362" s="7"/>
      <c r="AB362" s="7"/>
      <c r="AC362" s="7"/>
      <c r="AD362" s="7"/>
      <c r="AE362" s="7"/>
      <c r="AF362" s="7"/>
      <c r="AG362" s="7"/>
      <c r="AH362" s="7"/>
      <c r="AI362" s="7"/>
      <c r="AJ362" s="7"/>
      <c r="AK362" s="7"/>
      <c r="AL362" s="7"/>
      <c r="AM362" s="7"/>
    </row>
    <row r="363" spans="3:39" x14ac:dyDescent="0.2"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  <c r="AA363" s="7"/>
      <c r="AB363" s="7"/>
      <c r="AC363" s="7"/>
      <c r="AD363" s="7"/>
      <c r="AE363" s="7"/>
      <c r="AF363" s="7"/>
      <c r="AG363" s="7"/>
      <c r="AH363" s="7"/>
      <c r="AI363" s="7"/>
      <c r="AJ363" s="7"/>
      <c r="AK363" s="7"/>
      <c r="AL363" s="7"/>
      <c r="AM363" s="7"/>
    </row>
    <row r="364" spans="3:39" x14ac:dyDescent="0.2"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  <c r="AA364" s="7"/>
      <c r="AB364" s="7"/>
      <c r="AC364" s="7"/>
      <c r="AD364" s="7"/>
      <c r="AE364" s="7"/>
      <c r="AF364" s="7"/>
      <c r="AG364" s="7"/>
      <c r="AH364" s="7"/>
      <c r="AI364" s="7"/>
      <c r="AJ364" s="7"/>
      <c r="AK364" s="7"/>
      <c r="AL364" s="7"/>
      <c r="AM364" s="7"/>
    </row>
    <row r="365" spans="3:39" x14ac:dyDescent="0.2"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  <c r="AA365" s="7"/>
      <c r="AB365" s="7"/>
      <c r="AC365" s="7"/>
      <c r="AD365" s="7"/>
      <c r="AE365" s="7"/>
      <c r="AF365" s="7"/>
      <c r="AG365" s="7"/>
      <c r="AH365" s="7"/>
      <c r="AI365" s="7"/>
      <c r="AJ365" s="7"/>
      <c r="AK365" s="7"/>
      <c r="AL365" s="7"/>
      <c r="AM365" s="7"/>
    </row>
    <row r="366" spans="3:39" x14ac:dyDescent="0.2"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  <c r="AA366" s="7"/>
      <c r="AB366" s="7"/>
      <c r="AC366" s="7"/>
      <c r="AD366" s="7"/>
      <c r="AE366" s="7"/>
      <c r="AF366" s="7"/>
      <c r="AG366" s="7"/>
      <c r="AH366" s="7"/>
      <c r="AI366" s="7"/>
      <c r="AJ366" s="7"/>
      <c r="AK366" s="7"/>
      <c r="AL366" s="7"/>
      <c r="AM366" s="7"/>
    </row>
    <row r="367" spans="3:39" x14ac:dyDescent="0.2"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  <c r="AA367" s="7"/>
      <c r="AB367" s="7"/>
      <c r="AC367" s="7"/>
      <c r="AD367" s="7"/>
      <c r="AE367" s="7"/>
      <c r="AF367" s="7"/>
      <c r="AG367" s="7"/>
      <c r="AH367" s="7"/>
      <c r="AI367" s="7"/>
      <c r="AJ367" s="7"/>
      <c r="AK367" s="7"/>
      <c r="AL367" s="7"/>
      <c r="AM367" s="7"/>
    </row>
    <row r="368" spans="3:39" x14ac:dyDescent="0.2"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  <c r="AA368" s="7"/>
      <c r="AB368" s="7"/>
      <c r="AC368" s="7"/>
      <c r="AD368" s="7"/>
      <c r="AE368" s="7"/>
      <c r="AF368" s="7"/>
      <c r="AG368" s="7"/>
      <c r="AH368" s="7"/>
      <c r="AI368" s="7"/>
      <c r="AJ368" s="7"/>
      <c r="AK368" s="7"/>
      <c r="AL368" s="7"/>
      <c r="AM368" s="7"/>
    </row>
    <row r="369" spans="3:39" x14ac:dyDescent="0.2"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  <c r="AA369" s="7"/>
      <c r="AB369" s="7"/>
      <c r="AC369" s="7"/>
      <c r="AD369" s="7"/>
      <c r="AE369" s="7"/>
      <c r="AF369" s="7"/>
      <c r="AG369" s="7"/>
      <c r="AH369" s="7"/>
      <c r="AI369" s="7"/>
      <c r="AJ369" s="7"/>
      <c r="AK369" s="7"/>
      <c r="AL369" s="7"/>
      <c r="AM369" s="7"/>
    </row>
    <row r="370" spans="3:39" x14ac:dyDescent="0.2"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  <c r="AA370" s="7"/>
      <c r="AB370" s="7"/>
      <c r="AC370" s="7"/>
      <c r="AD370" s="7"/>
      <c r="AE370" s="7"/>
      <c r="AF370" s="7"/>
      <c r="AG370" s="7"/>
      <c r="AH370" s="7"/>
      <c r="AI370" s="7"/>
      <c r="AJ370" s="7"/>
      <c r="AK370" s="7"/>
      <c r="AL370" s="7"/>
      <c r="AM370" s="7"/>
    </row>
    <row r="371" spans="3:39" x14ac:dyDescent="0.2"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  <c r="AA371" s="7"/>
      <c r="AB371" s="7"/>
      <c r="AC371" s="7"/>
      <c r="AD371" s="7"/>
      <c r="AE371" s="7"/>
      <c r="AF371" s="7"/>
      <c r="AG371" s="7"/>
      <c r="AH371" s="7"/>
      <c r="AI371" s="7"/>
      <c r="AJ371" s="7"/>
      <c r="AK371" s="7"/>
      <c r="AL371" s="7"/>
      <c r="AM371" s="7"/>
    </row>
    <row r="372" spans="3:39" x14ac:dyDescent="0.2"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  <c r="AA372" s="7"/>
      <c r="AB372" s="7"/>
      <c r="AC372" s="7"/>
      <c r="AD372" s="7"/>
      <c r="AE372" s="7"/>
      <c r="AF372" s="7"/>
      <c r="AG372" s="7"/>
      <c r="AH372" s="7"/>
      <c r="AI372" s="7"/>
      <c r="AJ372" s="7"/>
      <c r="AK372" s="7"/>
      <c r="AL372" s="7"/>
      <c r="AM372" s="7"/>
    </row>
    <row r="373" spans="3:39" x14ac:dyDescent="0.2"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  <c r="AA373" s="7"/>
      <c r="AB373" s="7"/>
      <c r="AC373" s="7"/>
      <c r="AD373" s="7"/>
      <c r="AE373" s="7"/>
      <c r="AF373" s="7"/>
      <c r="AG373" s="7"/>
      <c r="AH373" s="7"/>
      <c r="AI373" s="7"/>
      <c r="AJ373" s="7"/>
      <c r="AK373" s="7"/>
      <c r="AL373" s="7"/>
      <c r="AM373" s="7"/>
    </row>
    <row r="374" spans="3:39" x14ac:dyDescent="0.2"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  <c r="AA374" s="7"/>
      <c r="AB374" s="7"/>
      <c r="AC374" s="7"/>
      <c r="AD374" s="7"/>
      <c r="AE374" s="7"/>
      <c r="AF374" s="7"/>
      <c r="AG374" s="7"/>
      <c r="AH374" s="7"/>
      <c r="AI374" s="7"/>
      <c r="AJ374" s="7"/>
      <c r="AK374" s="7"/>
      <c r="AL374" s="7"/>
      <c r="AM374" s="7"/>
    </row>
    <row r="375" spans="3:39" x14ac:dyDescent="0.2"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  <c r="AA375" s="7"/>
      <c r="AB375" s="7"/>
      <c r="AC375" s="7"/>
      <c r="AD375" s="7"/>
      <c r="AE375" s="7"/>
      <c r="AF375" s="7"/>
      <c r="AG375" s="7"/>
      <c r="AH375" s="7"/>
      <c r="AI375" s="7"/>
      <c r="AJ375" s="7"/>
      <c r="AK375" s="7"/>
      <c r="AL375" s="7"/>
      <c r="AM375" s="7"/>
    </row>
    <row r="376" spans="3:39" x14ac:dyDescent="0.2"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  <c r="AA376" s="7"/>
      <c r="AB376" s="7"/>
      <c r="AC376" s="7"/>
      <c r="AD376" s="7"/>
      <c r="AE376" s="7"/>
      <c r="AF376" s="7"/>
      <c r="AG376" s="7"/>
      <c r="AH376" s="7"/>
      <c r="AI376" s="7"/>
      <c r="AJ376" s="7"/>
      <c r="AK376" s="7"/>
      <c r="AL376" s="7"/>
      <c r="AM376" s="7"/>
    </row>
    <row r="377" spans="3:39" x14ac:dyDescent="0.2"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  <c r="AA377" s="7"/>
      <c r="AB377" s="7"/>
      <c r="AC377" s="7"/>
      <c r="AD377" s="7"/>
      <c r="AE377" s="7"/>
      <c r="AF377" s="7"/>
      <c r="AG377" s="7"/>
      <c r="AH377" s="7"/>
      <c r="AI377" s="7"/>
      <c r="AJ377" s="7"/>
      <c r="AK377" s="7"/>
      <c r="AL377" s="7"/>
      <c r="AM377" s="7"/>
    </row>
    <row r="378" spans="3:39" x14ac:dyDescent="0.2"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  <c r="AA378" s="7"/>
      <c r="AB378" s="7"/>
      <c r="AC378" s="7"/>
      <c r="AD378" s="7"/>
      <c r="AE378" s="7"/>
      <c r="AF378" s="7"/>
      <c r="AG378" s="7"/>
      <c r="AH378" s="7"/>
      <c r="AI378" s="7"/>
      <c r="AJ378" s="7"/>
      <c r="AK378" s="7"/>
      <c r="AL378" s="7"/>
      <c r="AM378" s="7"/>
    </row>
    <row r="379" spans="3:39" x14ac:dyDescent="0.2"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  <c r="AA379" s="7"/>
      <c r="AB379" s="7"/>
      <c r="AC379" s="7"/>
      <c r="AD379" s="7"/>
      <c r="AE379" s="7"/>
      <c r="AF379" s="7"/>
      <c r="AG379" s="7"/>
      <c r="AH379" s="7"/>
      <c r="AI379" s="7"/>
      <c r="AJ379" s="7"/>
      <c r="AK379" s="7"/>
      <c r="AL379" s="7"/>
      <c r="AM379" s="7"/>
    </row>
    <row r="380" spans="3:39" x14ac:dyDescent="0.2"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  <c r="AA380" s="7"/>
      <c r="AB380" s="7"/>
      <c r="AC380" s="7"/>
      <c r="AD380" s="7"/>
      <c r="AE380" s="7"/>
      <c r="AF380" s="7"/>
      <c r="AG380" s="7"/>
      <c r="AH380" s="7"/>
      <c r="AI380" s="7"/>
      <c r="AJ380" s="7"/>
      <c r="AK380" s="7"/>
      <c r="AL380" s="7"/>
      <c r="AM380" s="7"/>
    </row>
    <row r="381" spans="3:39" x14ac:dyDescent="0.2"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  <c r="AA381" s="7"/>
      <c r="AB381" s="7"/>
      <c r="AC381" s="7"/>
      <c r="AD381" s="7"/>
      <c r="AE381" s="7"/>
      <c r="AF381" s="7"/>
      <c r="AG381" s="7"/>
      <c r="AH381" s="7"/>
      <c r="AI381" s="7"/>
      <c r="AJ381" s="7"/>
      <c r="AK381" s="7"/>
      <c r="AL381" s="7"/>
      <c r="AM381" s="7"/>
    </row>
    <row r="382" spans="3:39" x14ac:dyDescent="0.2"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  <c r="AA382" s="7"/>
      <c r="AB382" s="7"/>
      <c r="AC382" s="7"/>
      <c r="AD382" s="7"/>
      <c r="AE382" s="7"/>
      <c r="AF382" s="7"/>
      <c r="AG382" s="7"/>
      <c r="AH382" s="7"/>
      <c r="AI382" s="7"/>
      <c r="AJ382" s="7"/>
      <c r="AK382" s="7"/>
      <c r="AL382" s="7"/>
      <c r="AM382" s="7"/>
    </row>
    <row r="383" spans="3:39" x14ac:dyDescent="0.2"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  <c r="AA383" s="7"/>
      <c r="AB383" s="7"/>
      <c r="AC383" s="7"/>
      <c r="AD383" s="7"/>
      <c r="AE383" s="7"/>
      <c r="AF383" s="7"/>
      <c r="AG383" s="7"/>
      <c r="AH383" s="7"/>
      <c r="AI383" s="7"/>
      <c r="AJ383" s="7"/>
      <c r="AK383" s="7"/>
      <c r="AL383" s="7"/>
      <c r="AM383" s="7"/>
    </row>
    <row r="384" spans="3:39" x14ac:dyDescent="0.2"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  <c r="AA384" s="7"/>
      <c r="AB384" s="7"/>
      <c r="AC384" s="7"/>
      <c r="AD384" s="7"/>
      <c r="AE384" s="7"/>
      <c r="AF384" s="7"/>
      <c r="AG384" s="7"/>
      <c r="AH384" s="7"/>
      <c r="AI384" s="7"/>
      <c r="AJ384" s="7"/>
      <c r="AK384" s="7"/>
      <c r="AL384" s="7"/>
      <c r="AM384" s="7"/>
    </row>
    <row r="385" spans="3:39" x14ac:dyDescent="0.2"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  <c r="AA385" s="7"/>
      <c r="AB385" s="7"/>
      <c r="AC385" s="7"/>
      <c r="AD385" s="7"/>
      <c r="AE385" s="7"/>
      <c r="AF385" s="7"/>
      <c r="AG385" s="7"/>
      <c r="AH385" s="7"/>
      <c r="AI385" s="7"/>
      <c r="AJ385" s="7"/>
      <c r="AK385" s="7"/>
      <c r="AL385" s="7"/>
      <c r="AM385" s="7"/>
    </row>
    <row r="386" spans="3:39" x14ac:dyDescent="0.2"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  <c r="AA386" s="7"/>
      <c r="AB386" s="7"/>
      <c r="AC386" s="7"/>
      <c r="AD386" s="7"/>
      <c r="AE386" s="7"/>
      <c r="AF386" s="7"/>
      <c r="AG386" s="7"/>
      <c r="AH386" s="7"/>
      <c r="AI386" s="7"/>
      <c r="AJ386" s="7"/>
      <c r="AK386" s="7"/>
      <c r="AL386" s="7"/>
      <c r="AM386" s="7"/>
    </row>
    <row r="387" spans="3:39" x14ac:dyDescent="0.2"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  <c r="AA387" s="7"/>
      <c r="AB387" s="7"/>
      <c r="AC387" s="7"/>
      <c r="AD387" s="7"/>
      <c r="AE387" s="7"/>
      <c r="AF387" s="7"/>
      <c r="AG387" s="7"/>
      <c r="AH387" s="7"/>
      <c r="AI387" s="7"/>
      <c r="AJ387" s="7"/>
      <c r="AK387" s="7"/>
      <c r="AL387" s="7"/>
      <c r="AM387" s="7"/>
    </row>
    <row r="388" spans="3:39" x14ac:dyDescent="0.2"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  <c r="AA388" s="7"/>
      <c r="AB388" s="7"/>
      <c r="AC388" s="7"/>
      <c r="AD388" s="7"/>
      <c r="AE388" s="7"/>
      <c r="AF388" s="7"/>
      <c r="AG388" s="7"/>
      <c r="AH388" s="7"/>
      <c r="AI388" s="7"/>
      <c r="AJ388" s="7"/>
      <c r="AK388" s="7"/>
      <c r="AL388" s="7"/>
      <c r="AM388" s="7"/>
    </row>
    <row r="389" spans="3:39" x14ac:dyDescent="0.2"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  <c r="AA389" s="7"/>
      <c r="AB389" s="7"/>
      <c r="AC389" s="7"/>
      <c r="AD389" s="7"/>
      <c r="AE389" s="7"/>
      <c r="AF389" s="7"/>
      <c r="AG389" s="7"/>
      <c r="AH389" s="7"/>
      <c r="AI389" s="7"/>
      <c r="AJ389" s="7"/>
      <c r="AK389" s="7"/>
      <c r="AL389" s="7"/>
      <c r="AM389" s="7"/>
    </row>
    <row r="390" spans="3:39" x14ac:dyDescent="0.2"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  <c r="AA390" s="7"/>
      <c r="AB390" s="7"/>
      <c r="AC390" s="7"/>
      <c r="AD390" s="7"/>
      <c r="AE390" s="7"/>
      <c r="AF390" s="7"/>
      <c r="AG390" s="7"/>
      <c r="AH390" s="7"/>
      <c r="AI390" s="7"/>
      <c r="AJ390" s="7"/>
      <c r="AK390" s="7"/>
      <c r="AL390" s="7"/>
      <c r="AM390" s="7"/>
    </row>
    <row r="391" spans="3:39" x14ac:dyDescent="0.2"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  <c r="AA391" s="7"/>
      <c r="AB391" s="7"/>
      <c r="AC391" s="7"/>
      <c r="AD391" s="7"/>
      <c r="AE391" s="7"/>
      <c r="AF391" s="7"/>
      <c r="AG391" s="7"/>
      <c r="AH391" s="7"/>
      <c r="AI391" s="7"/>
      <c r="AJ391" s="7"/>
      <c r="AK391" s="7"/>
      <c r="AL391" s="7"/>
      <c r="AM391" s="7"/>
    </row>
    <row r="392" spans="3:39" x14ac:dyDescent="0.2"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  <c r="AA392" s="7"/>
      <c r="AB392" s="7"/>
      <c r="AC392" s="7"/>
      <c r="AD392" s="7"/>
      <c r="AE392" s="7"/>
      <c r="AF392" s="7"/>
      <c r="AG392" s="7"/>
      <c r="AH392" s="7"/>
      <c r="AI392" s="7"/>
      <c r="AJ392" s="7"/>
      <c r="AK392" s="7"/>
      <c r="AL392" s="7"/>
      <c r="AM392" s="7"/>
    </row>
    <row r="393" spans="3:39" x14ac:dyDescent="0.2"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  <c r="AA393" s="7"/>
      <c r="AB393" s="7"/>
      <c r="AC393" s="7"/>
      <c r="AD393" s="7"/>
      <c r="AE393" s="7"/>
      <c r="AF393" s="7"/>
      <c r="AG393" s="7"/>
      <c r="AH393" s="7"/>
      <c r="AI393" s="7"/>
      <c r="AJ393" s="7"/>
      <c r="AK393" s="7"/>
      <c r="AL393" s="7"/>
      <c r="AM393" s="7"/>
    </row>
    <row r="394" spans="3:39" x14ac:dyDescent="0.2"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  <c r="AA394" s="7"/>
      <c r="AB394" s="7"/>
      <c r="AC394" s="7"/>
      <c r="AD394" s="7"/>
      <c r="AE394" s="7"/>
      <c r="AF394" s="7"/>
      <c r="AG394" s="7"/>
      <c r="AH394" s="7"/>
      <c r="AI394" s="7"/>
      <c r="AJ394" s="7"/>
      <c r="AK394" s="7"/>
      <c r="AL394" s="7"/>
      <c r="AM394" s="7"/>
    </row>
  </sheetData>
  <phoneticPr fontId="4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414D0C-8E54-FD49-9F91-8069ED82671C}">
  <sheetPr codeName="Sheet5"/>
  <dimension ref="A1:AM394"/>
  <sheetViews>
    <sheetView tabSelected="1" zoomScale="110" zoomScaleNormal="110" workbookViewId="0">
      <pane xSplit="1" ySplit="3" topLeftCell="B4" activePane="bottomRight" state="frozen"/>
      <selection activeCell="A241" sqref="A241:XFD242"/>
      <selection pane="topRight" activeCell="A241" sqref="A241:XFD242"/>
      <selection pane="bottomLeft" activeCell="A241" sqref="A241:XFD242"/>
      <selection pane="bottomRight" activeCell="A2" sqref="A2"/>
    </sheetView>
  </sheetViews>
  <sheetFormatPr baseColWidth="10" defaultRowHeight="16" x14ac:dyDescent="0.2"/>
  <cols>
    <col min="1" max="1" width="39.33203125" style="2" customWidth="1"/>
    <col min="2" max="2" width="4.33203125" style="6" customWidth="1"/>
    <col min="3" max="39" width="11.83203125" style="2" customWidth="1"/>
    <col min="40" max="78" width="11.83203125" customWidth="1"/>
  </cols>
  <sheetData>
    <row r="1" spans="1:39" x14ac:dyDescent="0.2">
      <c r="B1" s="5">
        <v>0</v>
      </c>
      <c r="C1" s="2">
        <v>1</v>
      </c>
      <c r="D1" s="2">
        <f>C1+1</f>
        <v>2</v>
      </c>
      <c r="E1" s="2">
        <f t="shared" ref="E1:H3" si="0">D1+1</f>
        <v>3</v>
      </c>
      <c r="F1" s="2">
        <f t="shared" si="0"/>
        <v>4</v>
      </c>
      <c r="G1" s="2">
        <f t="shared" si="0"/>
        <v>5</v>
      </c>
      <c r="H1" s="2">
        <f t="shared" si="0"/>
        <v>6</v>
      </c>
      <c r="I1" s="2">
        <f t="shared" ref="I1:I3" si="1">H1+1</f>
        <v>7</v>
      </c>
      <c r="J1" s="2">
        <f t="shared" ref="J1:J3" si="2">I1+1</f>
        <v>8</v>
      </c>
      <c r="K1" s="2">
        <f t="shared" ref="K1:K3" si="3">J1+1</f>
        <v>9</v>
      </c>
      <c r="L1" s="2">
        <f t="shared" ref="L1:L3" si="4">K1+1</f>
        <v>10</v>
      </c>
      <c r="M1" s="2">
        <f t="shared" ref="M1:M3" si="5">L1+1</f>
        <v>11</v>
      </c>
      <c r="N1" s="2">
        <f t="shared" ref="N1:N3" si="6">M1+1</f>
        <v>12</v>
      </c>
      <c r="O1" s="2">
        <f t="shared" ref="O1:O3" si="7">N1+1</f>
        <v>13</v>
      </c>
      <c r="P1" s="2">
        <f t="shared" ref="P1:P3" si="8">O1+1</f>
        <v>14</v>
      </c>
      <c r="Q1" s="2">
        <f t="shared" ref="Q1:Q3" si="9">P1+1</f>
        <v>15</v>
      </c>
      <c r="R1" s="2">
        <f t="shared" ref="R1:R3" si="10">Q1+1</f>
        <v>16</v>
      </c>
      <c r="S1" s="2">
        <f t="shared" ref="S1:S3" si="11">R1+1</f>
        <v>17</v>
      </c>
      <c r="T1" s="2">
        <f t="shared" ref="T1:T3" si="12">S1+1</f>
        <v>18</v>
      </c>
      <c r="U1" s="2">
        <f t="shared" ref="U1:U3" si="13">T1+1</f>
        <v>19</v>
      </c>
      <c r="V1" s="2">
        <f t="shared" ref="V1:V3" si="14">U1+1</f>
        <v>20</v>
      </c>
      <c r="W1" s="2">
        <f t="shared" ref="W1:W3" si="15">V1+1</f>
        <v>21</v>
      </c>
      <c r="X1" s="2">
        <f t="shared" ref="X1:X3" si="16">W1+1</f>
        <v>22</v>
      </c>
      <c r="Y1" s="2">
        <f t="shared" ref="Y1:Y3" si="17">X1+1</f>
        <v>23</v>
      </c>
      <c r="Z1" s="2">
        <f t="shared" ref="Z1:Z3" si="18">Y1+1</f>
        <v>24</v>
      </c>
      <c r="AA1" s="2">
        <f t="shared" ref="AA1:AA3" si="19">Z1+1</f>
        <v>25</v>
      </c>
      <c r="AB1" s="2">
        <f t="shared" ref="AB1:AB3" si="20">AA1+1</f>
        <v>26</v>
      </c>
      <c r="AC1" s="2">
        <f t="shared" ref="AC1:AC3" si="21">AB1+1</f>
        <v>27</v>
      </c>
      <c r="AD1" s="2">
        <f t="shared" ref="AD1:AD3" si="22">AC1+1</f>
        <v>28</v>
      </c>
      <c r="AE1" s="2">
        <f t="shared" ref="AE1:AE3" si="23">AD1+1</f>
        <v>29</v>
      </c>
      <c r="AF1" s="2">
        <f t="shared" ref="AF1:AF3" si="24">AE1+1</f>
        <v>30</v>
      </c>
      <c r="AG1" s="2">
        <f t="shared" ref="AG1:AG3" si="25">AF1+1</f>
        <v>31</v>
      </c>
      <c r="AH1" s="2">
        <f t="shared" ref="AH1:AH3" si="26">AG1+1</f>
        <v>32</v>
      </c>
      <c r="AI1" s="2">
        <f t="shared" ref="AI1:AI3" si="27">AH1+1</f>
        <v>33</v>
      </c>
      <c r="AJ1" s="2">
        <f t="shared" ref="AJ1:AJ3" si="28">AI1+1</f>
        <v>34</v>
      </c>
      <c r="AK1" s="2">
        <f t="shared" ref="AK1:AK3" si="29">AJ1+1</f>
        <v>35</v>
      </c>
      <c r="AL1" s="2">
        <f t="shared" ref="AL1:AL3" si="30">AK1+1</f>
        <v>36</v>
      </c>
      <c r="AM1" s="2">
        <f t="shared" ref="AM1:AM3" si="31">AL1+1</f>
        <v>37</v>
      </c>
    </row>
    <row r="2" spans="1:39" x14ac:dyDescent="0.2">
      <c r="A2" s="10"/>
      <c r="B2" s="5" t="s">
        <v>6</v>
      </c>
      <c r="C2" s="2">
        <f ca="1">YEAR(TODAY())</f>
        <v>2026</v>
      </c>
      <c r="D2" s="2">
        <f ca="1">C2+1</f>
        <v>2027</v>
      </c>
      <c r="E2" s="2">
        <f t="shared" ca="1" si="0"/>
        <v>2028</v>
      </c>
      <c r="F2" s="2">
        <f t="shared" ca="1" si="0"/>
        <v>2029</v>
      </c>
      <c r="G2" s="2">
        <f t="shared" ca="1" si="0"/>
        <v>2030</v>
      </c>
      <c r="H2" s="2">
        <f t="shared" ca="1" si="0"/>
        <v>2031</v>
      </c>
      <c r="I2" s="2">
        <f t="shared" ca="1" si="1"/>
        <v>2032</v>
      </c>
      <c r="J2" s="2">
        <f t="shared" ca="1" si="2"/>
        <v>2033</v>
      </c>
      <c r="K2" s="2">
        <f t="shared" ca="1" si="3"/>
        <v>2034</v>
      </c>
      <c r="L2" s="2">
        <f t="shared" ca="1" si="4"/>
        <v>2035</v>
      </c>
      <c r="M2" s="2">
        <f t="shared" ca="1" si="5"/>
        <v>2036</v>
      </c>
      <c r="N2" s="2">
        <f t="shared" ca="1" si="6"/>
        <v>2037</v>
      </c>
      <c r="O2" s="2">
        <f t="shared" ca="1" si="7"/>
        <v>2038</v>
      </c>
      <c r="P2" s="2">
        <f t="shared" ca="1" si="8"/>
        <v>2039</v>
      </c>
      <c r="Q2" s="2">
        <f t="shared" ca="1" si="9"/>
        <v>2040</v>
      </c>
      <c r="R2" s="2">
        <f t="shared" ca="1" si="10"/>
        <v>2041</v>
      </c>
      <c r="S2" s="2">
        <f t="shared" ca="1" si="11"/>
        <v>2042</v>
      </c>
      <c r="T2" s="2">
        <f t="shared" ca="1" si="12"/>
        <v>2043</v>
      </c>
      <c r="U2" s="2">
        <f t="shared" ca="1" si="13"/>
        <v>2044</v>
      </c>
      <c r="V2" s="2">
        <f t="shared" ca="1" si="14"/>
        <v>2045</v>
      </c>
      <c r="W2" s="2">
        <f t="shared" ca="1" si="15"/>
        <v>2046</v>
      </c>
      <c r="X2" s="2">
        <f t="shared" ca="1" si="16"/>
        <v>2047</v>
      </c>
      <c r="Y2" s="2">
        <f t="shared" ca="1" si="17"/>
        <v>2048</v>
      </c>
      <c r="Z2" s="2">
        <f t="shared" ca="1" si="18"/>
        <v>2049</v>
      </c>
      <c r="AA2" s="2">
        <f t="shared" ca="1" si="19"/>
        <v>2050</v>
      </c>
      <c r="AB2" s="2">
        <f t="shared" ca="1" si="20"/>
        <v>2051</v>
      </c>
      <c r="AC2" s="2">
        <f t="shared" ca="1" si="21"/>
        <v>2052</v>
      </c>
      <c r="AD2" s="2">
        <f t="shared" ca="1" si="22"/>
        <v>2053</v>
      </c>
      <c r="AE2" s="2">
        <f t="shared" ca="1" si="23"/>
        <v>2054</v>
      </c>
      <c r="AF2" s="2">
        <f t="shared" ca="1" si="24"/>
        <v>2055</v>
      </c>
      <c r="AG2" s="2">
        <f t="shared" ca="1" si="25"/>
        <v>2056</v>
      </c>
      <c r="AH2" s="2">
        <f t="shared" ca="1" si="26"/>
        <v>2057</v>
      </c>
      <c r="AI2" s="2">
        <f t="shared" ca="1" si="27"/>
        <v>2058</v>
      </c>
      <c r="AJ2" s="2">
        <f t="shared" ca="1" si="28"/>
        <v>2059</v>
      </c>
      <c r="AK2" s="2">
        <f t="shared" ca="1" si="29"/>
        <v>2060</v>
      </c>
      <c r="AL2" s="2">
        <f t="shared" ca="1" si="30"/>
        <v>2061</v>
      </c>
      <c r="AM2" s="2">
        <f t="shared" ca="1" si="31"/>
        <v>2062</v>
      </c>
    </row>
    <row r="3" spans="1:39" x14ac:dyDescent="0.2">
      <c r="A3" s="31"/>
      <c r="B3" s="32">
        <v>52</v>
      </c>
      <c r="C3" s="2">
        <f>Inputs!B4</f>
        <v>48</v>
      </c>
      <c r="D3" s="2">
        <f>C3+1</f>
        <v>49</v>
      </c>
      <c r="E3" s="2">
        <f t="shared" si="0"/>
        <v>50</v>
      </c>
      <c r="F3" s="2">
        <f t="shared" si="0"/>
        <v>51</v>
      </c>
      <c r="G3" s="2">
        <f t="shared" si="0"/>
        <v>52</v>
      </c>
      <c r="H3" s="2">
        <f t="shared" si="0"/>
        <v>53</v>
      </c>
      <c r="I3" s="2">
        <f t="shared" si="1"/>
        <v>54</v>
      </c>
      <c r="J3" s="2">
        <f t="shared" si="2"/>
        <v>55</v>
      </c>
      <c r="K3" s="2">
        <f t="shared" si="3"/>
        <v>56</v>
      </c>
      <c r="L3" s="2">
        <f t="shared" si="4"/>
        <v>57</v>
      </c>
      <c r="M3" s="2">
        <f t="shared" si="5"/>
        <v>58</v>
      </c>
      <c r="N3" s="2">
        <f t="shared" si="6"/>
        <v>59</v>
      </c>
      <c r="O3" s="2">
        <f t="shared" si="7"/>
        <v>60</v>
      </c>
      <c r="P3" s="2">
        <f t="shared" si="8"/>
        <v>61</v>
      </c>
      <c r="Q3" s="2">
        <f t="shared" si="9"/>
        <v>62</v>
      </c>
      <c r="R3" s="2">
        <f t="shared" si="10"/>
        <v>63</v>
      </c>
      <c r="S3" s="2">
        <f t="shared" si="11"/>
        <v>64</v>
      </c>
      <c r="T3" s="2">
        <f t="shared" si="12"/>
        <v>65</v>
      </c>
      <c r="U3" s="2">
        <f t="shared" si="13"/>
        <v>66</v>
      </c>
      <c r="V3" s="2">
        <f t="shared" si="14"/>
        <v>67</v>
      </c>
      <c r="W3" s="2">
        <f t="shared" si="15"/>
        <v>68</v>
      </c>
      <c r="X3" s="2">
        <f t="shared" si="16"/>
        <v>69</v>
      </c>
      <c r="Y3" s="2">
        <f t="shared" si="17"/>
        <v>70</v>
      </c>
      <c r="Z3" s="2">
        <f t="shared" si="18"/>
        <v>71</v>
      </c>
      <c r="AA3" s="2">
        <f t="shared" si="19"/>
        <v>72</v>
      </c>
      <c r="AB3" s="2">
        <f t="shared" si="20"/>
        <v>73</v>
      </c>
      <c r="AC3" s="2">
        <f t="shared" si="21"/>
        <v>74</v>
      </c>
      <c r="AD3" s="2">
        <f t="shared" si="22"/>
        <v>75</v>
      </c>
      <c r="AE3" s="2">
        <f t="shared" si="23"/>
        <v>76</v>
      </c>
      <c r="AF3" s="2">
        <f t="shared" si="24"/>
        <v>77</v>
      </c>
      <c r="AG3" s="2">
        <f t="shared" si="25"/>
        <v>78</v>
      </c>
      <c r="AH3" s="2">
        <f t="shared" si="26"/>
        <v>79</v>
      </c>
      <c r="AI3" s="2">
        <f t="shared" si="27"/>
        <v>80</v>
      </c>
      <c r="AJ3" s="2">
        <f t="shared" si="28"/>
        <v>81</v>
      </c>
      <c r="AK3" s="2">
        <f t="shared" si="29"/>
        <v>82</v>
      </c>
      <c r="AL3" s="2">
        <f t="shared" si="30"/>
        <v>83</v>
      </c>
      <c r="AM3" s="2">
        <f t="shared" si="31"/>
        <v>84</v>
      </c>
    </row>
    <row r="4" spans="1:39" ht="19" x14ac:dyDescent="0.25">
      <c r="A4" s="12" t="s">
        <v>17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</row>
    <row r="5" spans="1:39" x14ac:dyDescent="0.2">
      <c r="A5" s="4" t="s">
        <v>47</v>
      </c>
      <c r="B5" s="8"/>
      <c r="C5" s="7">
        <f ca="1">IF(AND(Inputs!$B$19&gt;C3,$B$3&gt;C3),Inputs!$B$6*(1+sincr)^B1,0)*ProRate</f>
        <v>66666.666666666672</v>
      </c>
      <c r="D5" s="7">
        <f>IF(AND(Inputs!$B$19&gt;D3,$B$3&gt;D3),Inputs!$B$6*(1+sincr)^C1,0)</f>
        <v>82400</v>
      </c>
      <c r="E5" s="7">
        <f>IF(AND(Inputs!$B$19&gt;E3,$B$3&gt;E3),Inputs!$B$6*(1+sincr)^D1,0)</f>
        <v>84872</v>
      </c>
      <c r="F5" s="7">
        <f>IF(AND(Inputs!$B$19&gt;F3,$B$3&gt;F3),Inputs!$B$6*(1+sincr)^E1,0)</f>
        <v>87418.16</v>
      </c>
      <c r="G5" s="7">
        <f>IF(AND(Inputs!$B$19&gt;G3,$B$3&gt;G3),Inputs!$B$6*(1+sincr)^F1,0)</f>
        <v>0</v>
      </c>
      <c r="H5" s="7">
        <f>IF(AND(Inputs!$B$19&gt;H3,$B$3&gt;H3),Inputs!$B$6*(1+sincr)^G1,0)</f>
        <v>0</v>
      </c>
      <c r="I5" s="7">
        <f>IF(AND(Inputs!$B$19&gt;I3,$B$3&gt;I3),Inputs!$B$6*(1+sincr)^H1,0)</f>
        <v>0</v>
      </c>
      <c r="J5" s="7">
        <f>IF(AND(Inputs!$B$19&gt;J3,$B$3&gt;J3),Inputs!$B$6*(1+sincr)^I1,0)</f>
        <v>0</v>
      </c>
      <c r="K5" s="7">
        <f>IF(AND(Inputs!$B$19&gt;K3,$B$3&gt;K3),Inputs!$B$6*(1+sincr)^J1,0)</f>
        <v>0</v>
      </c>
      <c r="L5" s="7">
        <f>IF(AND(Inputs!$B$19&gt;L3,$B$3&gt;L3),Inputs!$B$6*(1+sincr)^K1,0)</f>
        <v>0</v>
      </c>
      <c r="M5" s="7">
        <f>IF(AND(Inputs!$B$19&gt;M3,$B$3&gt;M3),Inputs!$B$6*(1+sincr)^L1,0)</f>
        <v>0</v>
      </c>
      <c r="N5" s="7">
        <f>IF(AND(Inputs!$B$19&gt;N3,$B$3&gt;N3),Inputs!$B$6*(1+sincr)^M1,0)</f>
        <v>0</v>
      </c>
      <c r="O5" s="7">
        <f>IF(AND(Inputs!$B$19&gt;O3,$B$3&gt;O3),Inputs!$B$6*(1+sincr)^N1,0)</f>
        <v>0</v>
      </c>
      <c r="P5" s="7">
        <f>IF(AND(Inputs!$B$19&gt;P3,$B$3&gt;P3),Inputs!$B$6*(1+sincr)^O1,0)</f>
        <v>0</v>
      </c>
      <c r="Q5" s="7">
        <f>IF(AND(Inputs!$B$19&gt;Q3,$B$3&gt;Q3),Inputs!$B$6*(1+sincr)^P1,0)</f>
        <v>0</v>
      </c>
      <c r="R5" s="7">
        <f>IF(AND(Inputs!$B$19&gt;R3,$B$3&gt;R3),Inputs!$B$6*(1+sincr)^Q1,0)</f>
        <v>0</v>
      </c>
      <c r="S5" s="7">
        <f>IF(AND(Inputs!$B$19&gt;S3,$B$3&gt;S3),Inputs!$B$6*(1+sincr)^R1,0)</f>
        <v>0</v>
      </c>
      <c r="T5" s="7">
        <f>IF(AND(Inputs!$B$19&gt;T3,$B$3&gt;T3),Inputs!$B$6*(1+sincr)^S1,0)</f>
        <v>0</v>
      </c>
      <c r="U5" s="7">
        <f>IF(AND(Inputs!$B$19&gt;U3,$B$3&gt;U3),Inputs!$B$6*(1+sincr)^T1,0)</f>
        <v>0</v>
      </c>
      <c r="V5" s="7">
        <f>IF(AND(Inputs!$B$19&gt;V3,$B$3&gt;V3),Inputs!$B$6*(1+sincr)^U1,0)</f>
        <v>0</v>
      </c>
      <c r="W5" s="7">
        <f>IF(AND(Inputs!$B$19&gt;W3,$B$3&gt;W3),Inputs!$B$6*(1+sincr)^V1,0)</f>
        <v>0</v>
      </c>
      <c r="X5" s="7">
        <f>IF(AND(Inputs!$B$19&gt;X3,$B$3&gt;X3),Inputs!$B$6*(1+sincr)^W1,0)</f>
        <v>0</v>
      </c>
      <c r="Y5" s="7">
        <f>IF(AND(Inputs!$B$19&gt;Y3,$B$3&gt;Y3),Inputs!$B$6*(1+sincr)^X1,0)</f>
        <v>0</v>
      </c>
      <c r="Z5" s="7">
        <f>IF(AND(Inputs!$B$19&gt;Z3,$B$3&gt;Z3),Inputs!$B$6*(1+sincr)^Y1,0)</f>
        <v>0</v>
      </c>
      <c r="AA5" s="7">
        <f>IF(AND(Inputs!$B$19&gt;AA3,$B$3&gt;AA3),Inputs!$B$6*(1+sincr)^Z1,0)</f>
        <v>0</v>
      </c>
      <c r="AB5" s="7">
        <f>IF(AND(Inputs!$B$19&gt;AB3,$B$3&gt;AB3),Inputs!$B$6*(1+sincr)^AA1,0)</f>
        <v>0</v>
      </c>
      <c r="AC5" s="7">
        <f>IF(AND(Inputs!$B$19&gt;AC3,$B$3&gt;AC3),Inputs!$B$6*(1+sincr)^AB1,0)</f>
        <v>0</v>
      </c>
      <c r="AD5" s="7">
        <f>IF(AND(Inputs!$B$19&gt;AD3,$B$3&gt;AD3),Inputs!$B$6*(1+sincr)^AC1,0)</f>
        <v>0</v>
      </c>
      <c r="AE5" s="7">
        <f>IF(AND(Inputs!$B$19&gt;AE3,$B$3&gt;AE3),Inputs!$B$6*(1+sincr)^AD1,0)</f>
        <v>0</v>
      </c>
      <c r="AF5" s="7">
        <f>IF(AND(Inputs!$B$19&gt;AF3,$B$3&gt;AF3),Inputs!$B$6*(1+sincr)^AE1,0)</f>
        <v>0</v>
      </c>
      <c r="AG5" s="7">
        <f>IF(AND(Inputs!$B$19&gt;AG3,$B$3&gt;AG3),Inputs!$B$6*(1+sincr)^AF1,0)</f>
        <v>0</v>
      </c>
      <c r="AH5" s="7">
        <f>IF(AND(Inputs!$B$19&gt;AH3,$B$3&gt;AH3),Inputs!$B$6*(1+sincr)^AG1,0)</f>
        <v>0</v>
      </c>
      <c r="AI5" s="7">
        <f>IF(AND(Inputs!$B$19&gt;AI3,$B$3&gt;AI3),Inputs!$B$6*(1+sincr)^AH1,0)</f>
        <v>0</v>
      </c>
      <c r="AJ5" s="7">
        <f>IF(AND(Inputs!$B$19&gt;AJ3,$B$3&gt;AJ3),Inputs!$B$6*(1+sincr)^AI1,0)</f>
        <v>0</v>
      </c>
      <c r="AK5" s="7">
        <f>IF(AND(Inputs!$B$19&gt;AK3,$B$3&gt;AK3),Inputs!$B$6*(1+sincr)^AJ1,0)</f>
        <v>0</v>
      </c>
      <c r="AL5" s="7">
        <f>IF(AND(Inputs!$B$19&gt;AL3,$B$3&gt;AL3),Inputs!$B$6*(1+sincr)^AK1,0)</f>
        <v>0</v>
      </c>
      <c r="AM5" s="7">
        <f>IF(AND(Inputs!$B$19&gt;AM3,$B$3&gt;AM3),Inputs!$B$6*(1+sincr)^AL1,0)</f>
        <v>0</v>
      </c>
    </row>
    <row r="6" spans="1:39" x14ac:dyDescent="0.2">
      <c r="A6" s="4" t="s">
        <v>14</v>
      </c>
      <c r="B6" s="8"/>
      <c r="C6" s="7">
        <f ca="1">IF(C$3&lt;=Inputs!$B$93,Inputs!$B$92,0)*(1+inf)^B$1*ProRate</f>
        <v>1666.6666666666667</v>
      </c>
      <c r="D6" s="7">
        <f>IF(D$3&lt;=Inputs!$B$93,Inputs!$B$92,0)*(1+inf)^C$1</f>
        <v>2050</v>
      </c>
      <c r="E6" s="7">
        <f>IF(E$3&lt;=Inputs!$B$93,Inputs!$B$92,0)*(1+inf)^D$1</f>
        <v>2101.25</v>
      </c>
      <c r="F6" s="7">
        <f>IF(F$3&lt;=Inputs!$B$93,Inputs!$B$92,0)*(1+inf)^E$1</f>
        <v>2153.7812499999995</v>
      </c>
      <c r="G6" s="7">
        <f>IF(G$3&lt;=Inputs!$B$93,Inputs!$B$92,0)*(1+inf)^F$1</f>
        <v>2207.6257812499994</v>
      </c>
      <c r="H6" s="7">
        <f>IF(H$3&lt;=Inputs!$B$93,Inputs!$B$92,0)*(1+inf)^G$1</f>
        <v>2262.8164257812491</v>
      </c>
      <c r="I6" s="7">
        <f>IF(I$3&lt;=Inputs!$B$93,Inputs!$B$92,0)*(1+inf)^H$1</f>
        <v>2319.3868364257805</v>
      </c>
      <c r="J6" s="7">
        <f>IF(J$3&lt;=Inputs!$B$93,Inputs!$B$92,0)*(1+inf)^I$1</f>
        <v>2377.3715073364251</v>
      </c>
      <c r="K6" s="7">
        <f>IF(K$3&lt;=Inputs!$B$93,Inputs!$B$92,0)*(1+inf)^J$1</f>
        <v>2436.8057950198354</v>
      </c>
      <c r="L6" s="7">
        <f>IF(L$3&lt;=Inputs!$B$93,Inputs!$B$92,0)*(1+inf)^K$1</f>
        <v>2497.7259398953311</v>
      </c>
      <c r="M6" s="7">
        <f>IF(M$3&lt;=Inputs!$B$93,Inputs!$B$92,0)*(1+inf)^L$1</f>
        <v>2560.169088392714</v>
      </c>
      <c r="N6" s="7">
        <f>IF(N$3&lt;=Inputs!$B$93,Inputs!$B$92,0)*(1+inf)^M$1</f>
        <v>0</v>
      </c>
      <c r="O6" s="7">
        <f>IF(O$3&lt;=Inputs!$B$93,Inputs!$B$92,0)*(1+inf)^N$1</f>
        <v>0</v>
      </c>
      <c r="P6" s="7">
        <f>IF(P$3&lt;=Inputs!$B$93,Inputs!$B$92,0)*(1+inf)^O$1</f>
        <v>0</v>
      </c>
      <c r="Q6" s="7">
        <f>IF(Q$3&lt;=Inputs!$B$93,Inputs!$B$92,0)*(1+inf)^P$1</f>
        <v>0</v>
      </c>
      <c r="R6" s="7">
        <f>IF(R$3&lt;=Inputs!$B$93,Inputs!$B$92,0)*(1+inf)^Q$1</f>
        <v>0</v>
      </c>
      <c r="S6" s="7">
        <f>IF(S$3&lt;=Inputs!$B$93,Inputs!$B$92,0)*(1+inf)^R$1</f>
        <v>0</v>
      </c>
      <c r="T6" s="7">
        <f>IF(T$3&lt;=Inputs!$B$93,Inputs!$B$92,0)*(1+inf)^S$1</f>
        <v>0</v>
      </c>
      <c r="U6" s="7">
        <f>IF(U$3&lt;=Inputs!$B$93,Inputs!$B$92,0)*(1+inf)^T$1</f>
        <v>0</v>
      </c>
      <c r="V6" s="7">
        <f>IF(V$3&lt;=Inputs!$B$93,Inputs!$B$92,0)*(1+inf)^U$1</f>
        <v>0</v>
      </c>
      <c r="W6" s="7">
        <f>IF(W$3&lt;=Inputs!$B$93,Inputs!$B$92,0)*(1+inf)^V$1</f>
        <v>0</v>
      </c>
      <c r="X6" s="7">
        <f>IF(X$3&lt;=Inputs!$B$93,Inputs!$B$92,0)*(1+inf)^W$1</f>
        <v>0</v>
      </c>
      <c r="Y6" s="7">
        <f>IF(Y$3&lt;=Inputs!$B$93,Inputs!$B$92,0)*(1+inf)^X$1</f>
        <v>0</v>
      </c>
      <c r="Z6" s="7">
        <f>IF(Z$3&lt;=Inputs!$B$93,Inputs!$B$92,0)*(1+inf)^Y$1</f>
        <v>0</v>
      </c>
      <c r="AA6" s="7">
        <f>IF(AA$3&lt;=Inputs!$B$93,Inputs!$B$92,0)*(1+inf)^Z$1</f>
        <v>0</v>
      </c>
      <c r="AB6" s="7">
        <f>IF(AB$3&lt;=Inputs!$B$93,Inputs!$B$92,0)*(1+inf)^AA$1</f>
        <v>0</v>
      </c>
      <c r="AC6" s="7">
        <f>IF(AC$3&lt;=Inputs!$B$93,Inputs!$B$92,0)*(1+inf)^AB$1</f>
        <v>0</v>
      </c>
      <c r="AD6" s="7">
        <f>IF(AD$3&lt;=Inputs!$B$93,Inputs!$B$92,0)*(1+inf)^AC$1</f>
        <v>0</v>
      </c>
      <c r="AE6" s="7">
        <f>IF(AE$3&lt;=Inputs!$B$93,Inputs!$B$92,0)*(1+inf)^AD$1</f>
        <v>0</v>
      </c>
      <c r="AF6" s="7">
        <f>IF(AF$3&lt;=Inputs!$B$93,Inputs!$B$92,0)*(1+inf)^AE$1</f>
        <v>0</v>
      </c>
      <c r="AG6" s="7">
        <f>IF(AG$3&lt;=Inputs!$B$93,Inputs!$B$92,0)*(1+inf)^AF$1</f>
        <v>0</v>
      </c>
      <c r="AH6" s="7">
        <f>IF(AH$3&lt;=Inputs!$B$93,Inputs!$B$92,0)*(1+inf)^AG$1</f>
        <v>0</v>
      </c>
      <c r="AI6" s="7">
        <f>IF(AI$3&lt;=Inputs!$B$93,Inputs!$B$92,0)*(1+inf)^AH$1</f>
        <v>0</v>
      </c>
      <c r="AJ6" s="7">
        <f>IF(AJ$3&lt;=Inputs!$B$93,Inputs!$B$92,0)*(1+inf)^AI$1</f>
        <v>0</v>
      </c>
      <c r="AK6" s="7">
        <f>IF(AK$3&lt;=Inputs!$B$93,Inputs!$B$92,0)*(1+inf)^AJ$1</f>
        <v>0</v>
      </c>
      <c r="AL6" s="7">
        <f>IF(AL$3&lt;=Inputs!$B$93,Inputs!$B$92,0)*(1+inf)^AK$1</f>
        <v>0</v>
      </c>
      <c r="AM6" s="7">
        <f>IF(AM$3&lt;=Inputs!$B$93,Inputs!$B$92,0)*(1+inf)^AL$1</f>
        <v>0</v>
      </c>
    </row>
    <row r="7" spans="1:39" x14ac:dyDescent="0.2">
      <c r="A7" s="4" t="s">
        <v>70</v>
      </c>
      <c r="B7" s="8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</row>
    <row r="8" spans="1:39" x14ac:dyDescent="0.2">
      <c r="A8" s="3" t="str">
        <f>TEXT(Inputs!$B$60,"")</f>
        <v>Sliema</v>
      </c>
      <c r="C8" s="7">
        <f ca="1">Inputs!B86*ProRate</f>
        <v>10000</v>
      </c>
      <c r="D8" s="7">
        <f t="shared" ref="D8:S12" ca="1" si="32">C8*(1+rinc)</f>
        <v>10300</v>
      </c>
      <c r="E8" s="7">
        <f t="shared" ca="1" si="32"/>
        <v>10609</v>
      </c>
      <c r="F8" s="7">
        <f t="shared" ca="1" si="32"/>
        <v>10927.27</v>
      </c>
      <c r="G8" s="7">
        <f t="shared" ca="1" si="32"/>
        <v>11255.088100000001</v>
      </c>
      <c r="H8" s="7">
        <f t="shared" ca="1" si="32"/>
        <v>11592.740743</v>
      </c>
      <c r="I8" s="7">
        <f t="shared" ca="1" si="32"/>
        <v>11940.52296529</v>
      </c>
      <c r="J8" s="7">
        <f t="shared" ca="1" si="32"/>
        <v>12298.7386542487</v>
      </c>
      <c r="K8" s="7">
        <f t="shared" ca="1" si="32"/>
        <v>12667.700813876161</v>
      </c>
      <c r="L8" s="7">
        <f t="shared" ca="1" si="32"/>
        <v>13047.731838292446</v>
      </c>
      <c r="M8" s="7">
        <f t="shared" ca="1" si="32"/>
        <v>13439.163793441219</v>
      </c>
      <c r="N8" s="7">
        <f t="shared" ca="1" si="32"/>
        <v>13842.338707244457</v>
      </c>
      <c r="O8" s="7">
        <f t="shared" ca="1" si="32"/>
        <v>14257.60886846179</v>
      </c>
      <c r="P8" s="7">
        <f t="shared" ca="1" si="32"/>
        <v>14685.337134515645</v>
      </c>
      <c r="Q8" s="7">
        <f t="shared" ca="1" si="32"/>
        <v>15125.897248551115</v>
      </c>
      <c r="R8" s="7">
        <f t="shared" ca="1" si="32"/>
        <v>15579.67416600765</v>
      </c>
      <c r="S8" s="7">
        <f t="shared" ca="1" si="32"/>
        <v>16047.06439098788</v>
      </c>
      <c r="T8" s="7">
        <f t="shared" ref="T8:AI12" ca="1" si="33">S8*(1+rinc)</f>
        <v>16528.476322717517</v>
      </c>
      <c r="U8" s="7">
        <f t="shared" ca="1" si="33"/>
        <v>17024.330612399044</v>
      </c>
      <c r="V8" s="7">
        <f t="shared" ca="1" si="33"/>
        <v>17535.060530771018</v>
      </c>
      <c r="W8" s="7">
        <f t="shared" ca="1" si="33"/>
        <v>18061.11234669415</v>
      </c>
      <c r="X8" s="7">
        <f t="shared" ca="1" si="33"/>
        <v>18602.945717094975</v>
      </c>
      <c r="Y8" s="7">
        <f t="shared" ca="1" si="33"/>
        <v>19161.034088607827</v>
      </c>
      <c r="Z8" s="7">
        <f t="shared" ca="1" si="33"/>
        <v>19735.865111266063</v>
      </c>
      <c r="AA8" s="7">
        <f t="shared" ca="1" si="33"/>
        <v>20327.941064604045</v>
      </c>
      <c r="AB8" s="7">
        <f t="shared" ca="1" si="33"/>
        <v>20937.779296542169</v>
      </c>
      <c r="AC8" s="7">
        <f t="shared" ca="1" si="33"/>
        <v>21565.912675438434</v>
      </c>
      <c r="AD8" s="7">
        <f t="shared" ca="1" si="33"/>
        <v>22212.890055701588</v>
      </c>
      <c r="AE8" s="7">
        <f t="shared" ca="1" si="33"/>
        <v>22879.276757372634</v>
      </c>
      <c r="AF8" s="7">
        <f t="shared" ca="1" si="33"/>
        <v>23565.655060093814</v>
      </c>
      <c r="AG8" s="7">
        <f t="shared" ca="1" si="33"/>
        <v>24272.624711896628</v>
      </c>
      <c r="AH8" s="7">
        <f t="shared" ca="1" si="33"/>
        <v>25000.803453253528</v>
      </c>
      <c r="AI8" s="7">
        <f t="shared" ca="1" si="33"/>
        <v>25750.827556851134</v>
      </c>
      <c r="AJ8" s="7">
        <f t="shared" ref="AJ8:AM12" ca="1" si="34">AI8*(1+rinc)</f>
        <v>26523.35238355667</v>
      </c>
      <c r="AK8" s="7">
        <f t="shared" ca="1" si="34"/>
        <v>27319.052955063373</v>
      </c>
      <c r="AL8" s="7">
        <f t="shared" ca="1" si="34"/>
        <v>28138.624543715276</v>
      </c>
      <c r="AM8" s="7">
        <f t="shared" ca="1" si="34"/>
        <v>28982.783280026735</v>
      </c>
    </row>
    <row r="9" spans="1:39" x14ac:dyDescent="0.2">
      <c r="A9" s="3" t="str">
        <f>TEXT(Inputs!$B$65,"")</f>
        <v>Gzira</v>
      </c>
      <c r="C9" s="7">
        <f ca="1">Inputs!B87*ProRate</f>
        <v>8333.3333333333339</v>
      </c>
      <c r="D9" s="7">
        <f t="shared" ca="1" si="32"/>
        <v>8583.3333333333339</v>
      </c>
      <c r="E9" s="7">
        <f t="shared" ca="1" si="32"/>
        <v>8840.8333333333339</v>
      </c>
      <c r="F9" s="7">
        <f t="shared" ca="1" si="32"/>
        <v>9106.0583333333343</v>
      </c>
      <c r="G9" s="7">
        <f t="shared" ca="1" si="32"/>
        <v>9379.240083333334</v>
      </c>
      <c r="H9" s="7">
        <f t="shared" ca="1" si="32"/>
        <v>9660.6172858333339</v>
      </c>
      <c r="I9" s="7">
        <f t="shared" ca="1" si="32"/>
        <v>9950.4358044083347</v>
      </c>
      <c r="J9" s="7">
        <f t="shared" ca="1" si="32"/>
        <v>10248.948878540585</v>
      </c>
      <c r="K9" s="7">
        <f t="shared" ca="1" si="32"/>
        <v>10556.417344896803</v>
      </c>
      <c r="L9" s="7">
        <f t="shared" ca="1" si="32"/>
        <v>10873.109865243707</v>
      </c>
      <c r="M9" s="7">
        <f t="shared" ca="1" si="32"/>
        <v>11199.303161201018</v>
      </c>
      <c r="N9" s="7">
        <f t="shared" ca="1" si="32"/>
        <v>11535.28225603705</v>
      </c>
      <c r="O9" s="7">
        <f t="shared" ca="1" si="32"/>
        <v>11881.340723718162</v>
      </c>
      <c r="P9" s="7">
        <f t="shared" ca="1" si="32"/>
        <v>12237.780945429708</v>
      </c>
      <c r="Q9" s="7">
        <f t="shared" ca="1" si="32"/>
        <v>12604.914373792599</v>
      </c>
      <c r="R9" s="7">
        <f t="shared" ca="1" si="32"/>
        <v>12983.061805006377</v>
      </c>
      <c r="S9" s="7">
        <f t="shared" ca="1" si="32"/>
        <v>13372.553659156569</v>
      </c>
      <c r="T9" s="7">
        <f t="shared" ca="1" si="33"/>
        <v>13773.730268931266</v>
      </c>
      <c r="U9" s="7">
        <f t="shared" ca="1" si="33"/>
        <v>14186.942176999204</v>
      </c>
      <c r="V9" s="7">
        <f t="shared" ca="1" si="33"/>
        <v>14612.550442309181</v>
      </c>
      <c r="W9" s="7">
        <f t="shared" ca="1" si="33"/>
        <v>15050.926955578456</v>
      </c>
      <c r="X9" s="7">
        <f t="shared" ca="1" si="33"/>
        <v>15502.454764245809</v>
      </c>
      <c r="Y9" s="7">
        <f t="shared" ca="1" si="33"/>
        <v>15967.528407173184</v>
      </c>
      <c r="Z9" s="7">
        <f t="shared" ca="1" si="33"/>
        <v>16446.55425938838</v>
      </c>
      <c r="AA9" s="7">
        <f t="shared" ca="1" si="33"/>
        <v>16939.950887170031</v>
      </c>
      <c r="AB9" s="7">
        <f t="shared" ca="1" si="33"/>
        <v>17448.149413785133</v>
      </c>
      <c r="AC9" s="7">
        <f t="shared" ca="1" si="33"/>
        <v>17971.593896198687</v>
      </c>
      <c r="AD9" s="7">
        <f t="shared" ca="1" si="33"/>
        <v>18510.741713084648</v>
      </c>
      <c r="AE9" s="7">
        <f t="shared" ca="1" si="33"/>
        <v>19066.063964477187</v>
      </c>
      <c r="AF9" s="7">
        <f t="shared" ca="1" si="33"/>
        <v>19638.045883411502</v>
      </c>
      <c r="AG9" s="7">
        <f t="shared" ca="1" si="33"/>
        <v>20227.187259913848</v>
      </c>
      <c r="AH9" s="7">
        <f t="shared" ca="1" si="33"/>
        <v>20834.002877711264</v>
      </c>
      <c r="AI9" s="7">
        <f t="shared" ca="1" si="33"/>
        <v>21459.022964042604</v>
      </c>
      <c r="AJ9" s="7">
        <f t="shared" ca="1" si="34"/>
        <v>22102.793652963883</v>
      </c>
      <c r="AK9" s="7">
        <f t="shared" ca="1" si="34"/>
        <v>22765.877462552799</v>
      </c>
      <c r="AL9" s="7">
        <f t="shared" ca="1" si="34"/>
        <v>23448.853786429383</v>
      </c>
      <c r="AM9" s="7">
        <f t="shared" ca="1" si="34"/>
        <v>24152.319400022265</v>
      </c>
    </row>
    <row r="10" spans="1:39" x14ac:dyDescent="0.2">
      <c r="A10" s="3" t="str">
        <f>TEXT(Inputs!$B$70,"")</f>
        <v>Qormi</v>
      </c>
      <c r="C10" s="7">
        <f ca="1">Inputs!B88*ProRate</f>
        <v>6666.666666666667</v>
      </c>
      <c r="D10" s="7">
        <f t="shared" ca="1" si="32"/>
        <v>6866.666666666667</v>
      </c>
      <c r="E10" s="7">
        <f t="shared" ca="1" si="32"/>
        <v>7072.666666666667</v>
      </c>
      <c r="F10" s="7">
        <f t="shared" ca="1" si="32"/>
        <v>7284.8466666666673</v>
      </c>
      <c r="G10" s="7">
        <f t="shared" ca="1" si="32"/>
        <v>7503.3920666666672</v>
      </c>
      <c r="H10" s="7">
        <f t="shared" ca="1" si="32"/>
        <v>7728.4938286666675</v>
      </c>
      <c r="I10" s="7">
        <f t="shared" ca="1" si="32"/>
        <v>7960.3486435266677</v>
      </c>
      <c r="J10" s="7">
        <f t="shared" ca="1" si="32"/>
        <v>8199.1591028324674</v>
      </c>
      <c r="K10" s="7">
        <f t="shared" ca="1" si="32"/>
        <v>8445.1338759174414</v>
      </c>
      <c r="L10" s="7">
        <f t="shared" ca="1" si="32"/>
        <v>8698.4878921949658</v>
      </c>
      <c r="M10" s="7">
        <f t="shared" ca="1" si="32"/>
        <v>8959.4425289608153</v>
      </c>
      <c r="N10" s="7">
        <f t="shared" ca="1" si="32"/>
        <v>9228.2258048296408</v>
      </c>
      <c r="O10" s="7">
        <f t="shared" ca="1" si="32"/>
        <v>9505.0725789745302</v>
      </c>
      <c r="P10" s="7">
        <f t="shared" ca="1" si="32"/>
        <v>9790.2247563437668</v>
      </c>
      <c r="Q10" s="7">
        <f t="shared" ca="1" si="32"/>
        <v>10083.931499034081</v>
      </c>
      <c r="R10" s="7">
        <f t="shared" ca="1" si="32"/>
        <v>10386.449444005104</v>
      </c>
      <c r="S10" s="7">
        <f t="shared" ca="1" si="32"/>
        <v>10698.042927325258</v>
      </c>
      <c r="T10" s="7">
        <f t="shared" ca="1" si="33"/>
        <v>11018.984215145016</v>
      </c>
      <c r="U10" s="7">
        <f t="shared" ca="1" si="33"/>
        <v>11349.553741599366</v>
      </c>
      <c r="V10" s="7">
        <f t="shared" ca="1" si="33"/>
        <v>11690.040353847347</v>
      </c>
      <c r="W10" s="7">
        <f t="shared" ca="1" si="33"/>
        <v>12040.741564462769</v>
      </c>
      <c r="X10" s="7">
        <f t="shared" ca="1" si="33"/>
        <v>12401.963811396652</v>
      </c>
      <c r="Y10" s="7">
        <f t="shared" ca="1" si="33"/>
        <v>12774.022725738552</v>
      </c>
      <c r="Z10" s="7">
        <f t="shared" ca="1" si="33"/>
        <v>13157.243407510708</v>
      </c>
      <c r="AA10" s="7">
        <f t="shared" ca="1" si="33"/>
        <v>13551.960709736029</v>
      </c>
      <c r="AB10" s="7">
        <f t="shared" ca="1" si="33"/>
        <v>13958.519531028111</v>
      </c>
      <c r="AC10" s="7">
        <f t="shared" ca="1" si="33"/>
        <v>14377.275116958954</v>
      </c>
      <c r="AD10" s="7">
        <f t="shared" ca="1" si="33"/>
        <v>14808.593370467723</v>
      </c>
      <c r="AE10" s="7">
        <f t="shared" ca="1" si="33"/>
        <v>15252.851171581755</v>
      </c>
      <c r="AF10" s="7">
        <f t="shared" ca="1" si="33"/>
        <v>15710.436706729208</v>
      </c>
      <c r="AG10" s="7">
        <f t="shared" ca="1" si="33"/>
        <v>16181.749807931084</v>
      </c>
      <c r="AH10" s="7">
        <f t="shared" ca="1" si="33"/>
        <v>16667.202302169018</v>
      </c>
      <c r="AI10" s="7">
        <f t="shared" ca="1" si="33"/>
        <v>17167.218371234088</v>
      </c>
      <c r="AJ10" s="7">
        <f t="shared" ca="1" si="34"/>
        <v>17682.23492237111</v>
      </c>
      <c r="AK10" s="7">
        <f t="shared" ca="1" si="34"/>
        <v>18212.701970042242</v>
      </c>
      <c r="AL10" s="7">
        <f t="shared" ca="1" si="34"/>
        <v>18759.083029143509</v>
      </c>
      <c r="AM10" s="7">
        <f t="shared" ca="1" si="34"/>
        <v>19321.855520017816</v>
      </c>
    </row>
    <row r="11" spans="1:39" x14ac:dyDescent="0.2">
      <c r="A11" s="3" t="str">
        <f>TEXT(Inputs!$B$75,"")</f>
        <v>Gudja</v>
      </c>
      <c r="C11" s="7">
        <f ca="1">Inputs!B89*ProRate</f>
        <v>4166.666666666667</v>
      </c>
      <c r="D11" s="7">
        <f t="shared" ca="1" si="32"/>
        <v>4291.666666666667</v>
      </c>
      <c r="E11" s="7">
        <f t="shared" ca="1" si="32"/>
        <v>4420.416666666667</v>
      </c>
      <c r="F11" s="7">
        <f t="shared" ca="1" si="32"/>
        <v>4553.0291666666672</v>
      </c>
      <c r="G11" s="7">
        <f t="shared" ca="1" si="32"/>
        <v>4689.620041666667</v>
      </c>
      <c r="H11" s="7">
        <f t="shared" ca="1" si="32"/>
        <v>4830.3086429166669</v>
      </c>
      <c r="I11" s="7">
        <f t="shared" ca="1" si="32"/>
        <v>4975.2179022041673</v>
      </c>
      <c r="J11" s="7">
        <f t="shared" ca="1" si="32"/>
        <v>5124.4744392702924</v>
      </c>
      <c r="K11" s="7">
        <f t="shared" ca="1" si="32"/>
        <v>5278.2086724484016</v>
      </c>
      <c r="L11" s="7">
        <f t="shared" ca="1" si="32"/>
        <v>5436.5549326218534</v>
      </c>
      <c r="M11" s="7">
        <f t="shared" ca="1" si="32"/>
        <v>5599.6515806005091</v>
      </c>
      <c r="N11" s="7">
        <f t="shared" ca="1" si="32"/>
        <v>5767.6411280185248</v>
      </c>
      <c r="O11" s="7">
        <f t="shared" ca="1" si="32"/>
        <v>5940.6703618590809</v>
      </c>
      <c r="P11" s="7">
        <f t="shared" ca="1" si="32"/>
        <v>6118.8904727148538</v>
      </c>
      <c r="Q11" s="7">
        <f t="shared" ca="1" si="32"/>
        <v>6302.4571868962994</v>
      </c>
      <c r="R11" s="7">
        <f t="shared" ca="1" si="32"/>
        <v>6491.5309025031884</v>
      </c>
      <c r="S11" s="7">
        <f t="shared" ca="1" si="32"/>
        <v>6686.2768295782844</v>
      </c>
      <c r="T11" s="7">
        <f t="shared" ca="1" si="33"/>
        <v>6886.8651344656328</v>
      </c>
      <c r="U11" s="7">
        <f t="shared" ca="1" si="33"/>
        <v>7093.471088499602</v>
      </c>
      <c r="V11" s="7">
        <f t="shared" ca="1" si="33"/>
        <v>7306.2752211545903</v>
      </c>
      <c r="W11" s="7">
        <f t="shared" ca="1" si="33"/>
        <v>7525.4634777892279</v>
      </c>
      <c r="X11" s="7">
        <f t="shared" ca="1" si="33"/>
        <v>7751.2273821229046</v>
      </c>
      <c r="Y11" s="7">
        <f t="shared" ca="1" si="33"/>
        <v>7983.764203586592</v>
      </c>
      <c r="Z11" s="7">
        <f t="shared" ca="1" si="33"/>
        <v>8223.2771296941901</v>
      </c>
      <c r="AA11" s="7">
        <f t="shared" ca="1" si="33"/>
        <v>8469.9754435850155</v>
      </c>
      <c r="AB11" s="7">
        <f t="shared" ca="1" si="33"/>
        <v>8724.0747068925666</v>
      </c>
      <c r="AC11" s="7">
        <f t="shared" ca="1" si="33"/>
        <v>8985.7969480993434</v>
      </c>
      <c r="AD11" s="7">
        <f t="shared" ca="1" si="33"/>
        <v>9255.370856542324</v>
      </c>
      <c r="AE11" s="7">
        <f t="shared" ca="1" si="33"/>
        <v>9533.0319822385936</v>
      </c>
      <c r="AF11" s="7">
        <f t="shared" ca="1" si="33"/>
        <v>9819.0229417057508</v>
      </c>
      <c r="AG11" s="7">
        <f t="shared" ca="1" si="33"/>
        <v>10113.593629956924</v>
      </c>
      <c r="AH11" s="7">
        <f t="shared" ca="1" si="33"/>
        <v>10417.001438855632</v>
      </c>
      <c r="AI11" s="7">
        <f t="shared" ca="1" si="33"/>
        <v>10729.511482021302</v>
      </c>
      <c r="AJ11" s="7">
        <f t="shared" ca="1" si="34"/>
        <v>11051.396826481941</v>
      </c>
      <c r="AK11" s="7">
        <f t="shared" ca="1" si="34"/>
        <v>11382.938731276399</v>
      </c>
      <c r="AL11" s="7">
        <f t="shared" ca="1" si="34"/>
        <v>11724.426893214692</v>
      </c>
      <c r="AM11" s="7">
        <f t="shared" ca="1" si="34"/>
        <v>12076.159700011132</v>
      </c>
    </row>
    <row r="12" spans="1:39" x14ac:dyDescent="0.2">
      <c r="A12" s="3" t="str">
        <f>TEXT(Inputs!$B$80,"")</f>
        <v>Marsa</v>
      </c>
      <c r="C12" s="7">
        <f ca="1">Inputs!B90*ProRate</f>
        <v>5416.666666666667</v>
      </c>
      <c r="D12" s="7">
        <f t="shared" ca="1" si="32"/>
        <v>5579.166666666667</v>
      </c>
      <c r="E12" s="7">
        <f t="shared" ca="1" si="32"/>
        <v>5746.541666666667</v>
      </c>
      <c r="F12" s="7">
        <f t="shared" ca="1" si="32"/>
        <v>5918.9379166666668</v>
      </c>
      <c r="G12" s="7">
        <f t="shared" ca="1" si="32"/>
        <v>6096.5060541666671</v>
      </c>
      <c r="H12" s="7">
        <f t="shared" ca="1" si="32"/>
        <v>6279.4012357916672</v>
      </c>
      <c r="I12" s="7">
        <f t="shared" ca="1" si="32"/>
        <v>6467.7832728654175</v>
      </c>
      <c r="J12" s="7">
        <f t="shared" ca="1" si="32"/>
        <v>6661.8167710513799</v>
      </c>
      <c r="K12" s="7">
        <f t="shared" ca="1" si="32"/>
        <v>6861.6712741829215</v>
      </c>
      <c r="L12" s="7">
        <f t="shared" ca="1" si="32"/>
        <v>7067.5214124084096</v>
      </c>
      <c r="M12" s="7">
        <f t="shared" ca="1" si="32"/>
        <v>7279.5470547806617</v>
      </c>
      <c r="N12" s="7">
        <f t="shared" ca="1" si="32"/>
        <v>7497.9334664240814</v>
      </c>
      <c r="O12" s="7">
        <f t="shared" ca="1" si="32"/>
        <v>7722.8714704168042</v>
      </c>
      <c r="P12" s="7">
        <f t="shared" ca="1" si="32"/>
        <v>7954.5576145293089</v>
      </c>
      <c r="Q12" s="7">
        <f t="shared" ca="1" si="32"/>
        <v>8193.1943429651892</v>
      </c>
      <c r="R12" s="7">
        <f t="shared" ca="1" si="32"/>
        <v>8438.9901732541457</v>
      </c>
      <c r="S12" s="7">
        <f t="shared" ca="1" si="32"/>
        <v>8692.1598784517701</v>
      </c>
      <c r="T12" s="7">
        <f t="shared" ca="1" si="33"/>
        <v>8952.9246748053229</v>
      </c>
      <c r="U12" s="7">
        <f t="shared" ca="1" si="33"/>
        <v>9221.512415049483</v>
      </c>
      <c r="V12" s="7">
        <f t="shared" ca="1" si="33"/>
        <v>9498.157787500968</v>
      </c>
      <c r="W12" s="7">
        <f t="shared" ca="1" si="33"/>
        <v>9783.1025211259966</v>
      </c>
      <c r="X12" s="7">
        <f t="shared" ca="1" si="33"/>
        <v>10076.595596759777</v>
      </c>
      <c r="Y12" s="7">
        <f t="shared" ca="1" si="33"/>
        <v>10378.893464662569</v>
      </c>
      <c r="Z12" s="7">
        <f t="shared" ca="1" si="33"/>
        <v>10690.260268602447</v>
      </c>
      <c r="AA12" s="7">
        <f t="shared" ca="1" si="33"/>
        <v>11010.968076660522</v>
      </c>
      <c r="AB12" s="7">
        <f t="shared" ca="1" si="33"/>
        <v>11341.297118960338</v>
      </c>
      <c r="AC12" s="7">
        <f t="shared" ca="1" si="33"/>
        <v>11681.536032529148</v>
      </c>
      <c r="AD12" s="7">
        <f t="shared" ca="1" si="33"/>
        <v>12031.982113505022</v>
      </c>
      <c r="AE12" s="7">
        <f t="shared" ca="1" si="33"/>
        <v>12392.941576910174</v>
      </c>
      <c r="AF12" s="7">
        <f t="shared" ca="1" si="33"/>
        <v>12764.72982421748</v>
      </c>
      <c r="AG12" s="7">
        <f t="shared" ca="1" si="33"/>
        <v>13147.671718944004</v>
      </c>
      <c r="AH12" s="7">
        <f t="shared" ca="1" si="33"/>
        <v>13542.101870512324</v>
      </c>
      <c r="AI12" s="7">
        <f t="shared" ca="1" si="33"/>
        <v>13948.364926627693</v>
      </c>
      <c r="AJ12" s="7">
        <f t="shared" ca="1" si="34"/>
        <v>14366.815874426524</v>
      </c>
      <c r="AK12" s="7">
        <f t="shared" ca="1" si="34"/>
        <v>14797.82035065932</v>
      </c>
      <c r="AL12" s="7">
        <f t="shared" ca="1" si="34"/>
        <v>15241.7549611791</v>
      </c>
      <c r="AM12" s="7">
        <f t="shared" ca="1" si="34"/>
        <v>15699.007610014474</v>
      </c>
    </row>
    <row r="13" spans="1:39" x14ac:dyDescent="0.2">
      <c r="A13" s="4" t="s">
        <v>79</v>
      </c>
      <c r="B13" s="8"/>
      <c r="C13" s="7">
        <f ca="1">IF(C$3&lt;Inputs!$B$19,0,Inputs!$B$21)*(1+inf)^B$1*ProRate</f>
        <v>0</v>
      </c>
      <c r="D13" s="7">
        <f>IF(D$3&lt;Inputs!$B$19,0,Inputs!$B$21)*(1+inf)^C$1</f>
        <v>0</v>
      </c>
      <c r="E13" s="7">
        <f>IF(E$3&lt;Inputs!$B$19,0,Inputs!$B$21)*(1+inf)^D$1</f>
        <v>0</v>
      </c>
      <c r="F13" s="7">
        <f>IF(F$3&lt;Inputs!$B$19,0,Inputs!$B$21)*(1+inf)^E$1</f>
        <v>0</v>
      </c>
      <c r="G13" s="7">
        <f>IF(G$3&lt;Inputs!$B$19,0,Inputs!$B$21)*(1+inf)^F$1</f>
        <v>0</v>
      </c>
      <c r="H13" s="7">
        <f>IF(H$3&lt;Inputs!$B$19,0,Inputs!$B$21)*(1+inf)^G$1</f>
        <v>0</v>
      </c>
      <c r="I13" s="7">
        <f>IF(I$3&lt;Inputs!$B$19,0,Inputs!$B$21)*(1+inf)^H$1</f>
        <v>0</v>
      </c>
      <c r="J13" s="7">
        <f>IF(J$3&lt;Inputs!$B$19,0,Inputs!$B$21)*(1+inf)^I$1</f>
        <v>0</v>
      </c>
      <c r="K13" s="7">
        <f>IF(K$3&lt;Inputs!$B$19,0,Inputs!$B$21)*(1+inf)^J$1</f>
        <v>0</v>
      </c>
      <c r="L13" s="7">
        <f>IF(L$3&lt;Inputs!$B$19,0,Inputs!$B$21)*(1+inf)^K$1</f>
        <v>0</v>
      </c>
      <c r="M13" s="7">
        <f>IF(M$3&lt;Inputs!$B$19,0,Inputs!$B$21)*(1+inf)^L$1</f>
        <v>0</v>
      </c>
      <c r="N13" s="7">
        <f>IF(N$3&lt;Inputs!$B$19,0,Inputs!$B$21)*(1+inf)^M$1</f>
        <v>0</v>
      </c>
      <c r="O13" s="7">
        <f>IF(O$3&lt;Inputs!$B$19,0,Inputs!$B$21)*(1+inf)^N$1</f>
        <v>0</v>
      </c>
      <c r="P13" s="7">
        <f>IF(P$3&lt;Inputs!$B$19,0,Inputs!$B$21)*(1+inf)^O$1</f>
        <v>0</v>
      </c>
      <c r="Q13" s="7">
        <f>IF(Q$3&lt;Inputs!$B$19,0,Inputs!$B$21)*(1+inf)^P$1</f>
        <v>0</v>
      </c>
      <c r="R13" s="7">
        <f>IF(R$3&lt;Inputs!$B$19,0,Inputs!$B$21)*(1+inf)^Q$1</f>
        <v>0</v>
      </c>
      <c r="S13" s="7">
        <f>IF(S$3&lt;Inputs!$B$19,0,Inputs!$B$21)*(1+inf)^R$1</f>
        <v>0</v>
      </c>
      <c r="T13" s="7">
        <f>IF(T$3&lt;Inputs!$B$19,0,Inputs!$B$21)*(1+inf)^S$1</f>
        <v>24345.892178833234</v>
      </c>
      <c r="U13" s="7">
        <f>IF(U$3&lt;Inputs!$B$19,0,Inputs!$B$21)*(1+inf)^T$1</f>
        <v>24954.539483304063</v>
      </c>
      <c r="V13" s="7">
        <f>IF(V$3&lt;Inputs!$B$19,0,Inputs!$B$21)*(1+inf)^U$1</f>
        <v>25578.402970386665</v>
      </c>
      <c r="W13" s="7">
        <f>IF(W$3&lt;Inputs!$B$19,0,Inputs!$B$21)*(1+inf)^V$1</f>
        <v>26217.863044646328</v>
      </c>
      <c r="X13" s="7">
        <f>IF(X$3&lt;Inputs!$B$19,0,Inputs!$B$21)*(1+inf)^W$1</f>
        <v>26873.309620762484</v>
      </c>
      <c r="Y13" s="7">
        <f>IF(Y$3&lt;Inputs!$B$19,0,Inputs!$B$21)*(1+inf)^X$1</f>
        <v>27545.142361281545</v>
      </c>
      <c r="Z13" s="7">
        <f>IF(Z$3&lt;Inputs!$B$19,0,Inputs!$B$21)*(1+inf)^Y$1</f>
        <v>28233.770920313586</v>
      </c>
      <c r="AA13" s="7">
        <f>IF(AA$3&lt;Inputs!$B$19,0,Inputs!$B$21)*(1+inf)^Z$1</f>
        <v>28939.615193321424</v>
      </c>
      <c r="AB13" s="7">
        <f>IF(AB$3&lt;Inputs!$B$19,0,Inputs!$B$21)*(1+inf)^AA$1</f>
        <v>29663.105573154455</v>
      </c>
      <c r="AC13" s="7">
        <f>IF(AC$3&lt;Inputs!$B$19,0,Inputs!$B$21)*(1+inf)^AB$1</f>
        <v>30404.683212483313</v>
      </c>
      <c r="AD13" s="7">
        <f>IF(AD$3&lt;Inputs!$B$19,0,Inputs!$B$21)*(1+inf)^AC$1</f>
        <v>31164.800292795393</v>
      </c>
      <c r="AE13" s="7">
        <f>IF(AE$3&lt;Inputs!$B$19,0,Inputs!$B$21)*(1+inf)^AD$1</f>
        <v>31943.920300115278</v>
      </c>
      <c r="AF13" s="7">
        <f>IF(AF$3&lt;Inputs!$B$19,0,Inputs!$B$21)*(1+inf)^AE$1</f>
        <v>32742.518307618164</v>
      </c>
      <c r="AG13" s="7">
        <f>IF(AG$3&lt;Inputs!$B$19,0,Inputs!$B$21)*(1+inf)^AF$1</f>
        <v>33561.08126530861</v>
      </c>
      <c r="AH13" s="7">
        <f>IF(AH$3&lt;Inputs!$B$19,0,Inputs!$B$21)*(1+inf)^AG$1</f>
        <v>34400.108296941333</v>
      </c>
      <c r="AI13" s="7">
        <f>IF(AI$3&lt;Inputs!$B$19,0,Inputs!$B$21)*(1+inf)^AH$1</f>
        <v>35260.111004364859</v>
      </c>
      <c r="AJ13" s="7">
        <f>IF(AJ$3&lt;Inputs!$B$19,0,Inputs!$B$21)*(1+inf)^AI$1</f>
        <v>36141.613779473977</v>
      </c>
      <c r="AK13" s="7">
        <f>IF(AK$3&lt;Inputs!$B$19,0,Inputs!$B$21)*(1+inf)^AJ$1</f>
        <v>37045.154123960827</v>
      </c>
      <c r="AL13" s="7">
        <f>IF(AL$3&lt;Inputs!$B$19,0,Inputs!$B$21)*(1+inf)^AK$1</f>
        <v>37971.28297705984</v>
      </c>
      <c r="AM13" s="7">
        <f>IF(AM$3&lt;Inputs!$B$19,0,Inputs!$B$21)*(1+inf)^AL$1</f>
        <v>38920.565051486345</v>
      </c>
    </row>
    <row r="14" spans="1:39" x14ac:dyDescent="0.2">
      <c r="A14" s="4" t="s">
        <v>80</v>
      </c>
      <c r="B14" s="8"/>
      <c r="C14" s="7">
        <f ca="1">MIN(0,MAX(-IF(C13=0,0,(Inputs!$B$19-INDEX(3:3,MATCH(0,5:5,0))))*Inputs!$B$189*(1+inf)^B$1*ProRate,-C13))</f>
        <v>0</v>
      </c>
      <c r="D14" s="7">
        <f>MIN(0,MAX(-IF(D13=0,0,(Inputs!$B$19-INDEX(3:3,MATCH(0,5:5,0))))*Inputs!$B$189*(1+inf)^C$1,-D13))</f>
        <v>0</v>
      </c>
      <c r="E14" s="7">
        <f>MIN(0,MAX(-IF(E13=0,0,(Inputs!$B$19-INDEX(3:3,MATCH(0,5:5,0))))*Inputs!$B$189*(1+inf)^D$1,-E13))</f>
        <v>0</v>
      </c>
      <c r="F14" s="7">
        <f>MIN(0,MAX(-IF(F13=0,0,(Inputs!$B$19-INDEX(3:3,MATCH(0,5:5,0))))*Inputs!$B$189*(1+inf)^E$1,-F13))</f>
        <v>0</v>
      </c>
      <c r="G14" s="7">
        <f>MIN(0,MAX(-IF(G13=0,0,(Inputs!$B$19-INDEX(3:3,MATCH(0,5:5,0))))*Inputs!$B$189*(1+inf)^F$1,-G13))</f>
        <v>0</v>
      </c>
      <c r="H14" s="7">
        <f>MIN(0,MAX(-IF(H13=0,0,(Inputs!$B$19-INDEX(3:3,MATCH(0,5:5,0))))*Inputs!$B$189*(1+inf)^G$1,-H13))</f>
        <v>0</v>
      </c>
      <c r="I14" s="7">
        <f>MIN(0,MAX(-IF(I13=0,0,(Inputs!$B$19-INDEX(3:3,MATCH(0,5:5,0))))*Inputs!$B$189*(1+inf)^H$1,-I13))</f>
        <v>0</v>
      </c>
      <c r="J14" s="7">
        <f>MIN(0,MAX(-IF(J13=0,0,(Inputs!$B$19-INDEX(3:3,MATCH(0,5:5,0))))*Inputs!$B$189*(1+inf)^I$1,-J13))</f>
        <v>0</v>
      </c>
      <c r="K14" s="7">
        <f>MIN(0,MAX(-IF(K13=0,0,(Inputs!$B$19-INDEX(3:3,MATCH(0,5:5,0))))*Inputs!$B$189*(1+inf)^J$1,-K13))</f>
        <v>0</v>
      </c>
      <c r="L14" s="7">
        <f>MIN(0,MAX(-IF(L13=0,0,(Inputs!$B$19-INDEX(3:3,MATCH(0,5:5,0))))*Inputs!$B$189*(1+inf)^K$1,-L13))</f>
        <v>0</v>
      </c>
      <c r="M14" s="7">
        <f>MIN(0,MAX(-IF(M13=0,0,(Inputs!$B$19-INDEX(3:3,MATCH(0,5:5,0))))*Inputs!$B$189*(1+inf)^L$1,-M13))</f>
        <v>0</v>
      </c>
      <c r="N14" s="7">
        <f>MIN(0,MAX(-IF(N13=0,0,(Inputs!$B$19-INDEX(3:3,MATCH(0,5:5,0))))*Inputs!$B$189*(1+inf)^M$1,-N13))</f>
        <v>0</v>
      </c>
      <c r="O14" s="7">
        <f>MIN(0,MAX(-IF(O13=0,0,(Inputs!$B$19-INDEX(3:3,MATCH(0,5:5,0))))*Inputs!$B$189*(1+inf)^N$1,-O13))</f>
        <v>0</v>
      </c>
      <c r="P14" s="7">
        <f>MIN(0,MAX(-IF(P13=0,0,(Inputs!$B$19-INDEX(3:3,MATCH(0,5:5,0))))*Inputs!$B$189*(1+inf)^O$1,-P13))</f>
        <v>0</v>
      </c>
      <c r="Q14" s="7">
        <f>MIN(0,MAX(-IF(Q13=0,0,(Inputs!$B$19-INDEX(3:3,MATCH(0,5:5,0))))*Inputs!$B$189*(1+inf)^P$1,-Q13))</f>
        <v>0</v>
      </c>
      <c r="R14" s="7">
        <f>MIN(0,MAX(-IF(R13=0,0,(Inputs!$B$19-INDEX(3:3,MATCH(0,5:5,0))))*Inputs!$B$189*(1+inf)^Q$1,-R13))</f>
        <v>0</v>
      </c>
      <c r="S14" s="7">
        <f>MIN(0,MAX(-IF(S13=0,0,(Inputs!$B$19-INDEX(3:3,MATCH(0,5:5,0))))*Inputs!$B$189*(1+inf)^R$1,-S13))</f>
        <v>0</v>
      </c>
      <c r="T14" s="7">
        <f ca="1">MIN(0,MAX(-IF(T13=0,0,(Inputs!$B$19-INDEX(3:3,MATCH(0,5:5,0))))*Inputs!$B$189*(1+inf)^S$1,-T13))</f>
        <v>-5934.3112185906002</v>
      </c>
      <c r="U14" s="7">
        <f ca="1">MIN(0,MAX(-IF(U13=0,0,(Inputs!$B$19-INDEX(3:3,MATCH(0,5:5,0))))*Inputs!$B$189*(1+inf)^T$1,-U13))</f>
        <v>-6082.6689990553659</v>
      </c>
      <c r="V14" s="7">
        <f ca="1">MIN(0,MAX(-IF(V13=0,0,(Inputs!$B$19-INDEX(3:3,MATCH(0,5:5,0))))*Inputs!$B$189*(1+inf)^U$1,-V13))</f>
        <v>-6234.7357240317497</v>
      </c>
      <c r="W14" s="7">
        <f ca="1">MIN(0,MAX(-IF(W13=0,0,(Inputs!$B$19-INDEX(3:3,MATCH(0,5:5,0))))*Inputs!$B$189*(1+inf)^V$1,-W13))</f>
        <v>-6390.6041171325423</v>
      </c>
      <c r="X14" s="7">
        <f ca="1">MIN(0,MAX(-IF(X13=0,0,(Inputs!$B$19-INDEX(3:3,MATCH(0,5:5,0))))*Inputs!$B$189*(1+inf)^W$1,-X13))</f>
        <v>-6550.3692200608557</v>
      </c>
      <c r="Y14" s="7">
        <f ca="1">MIN(0,MAX(-IF(Y13=0,0,(Inputs!$B$19-INDEX(3:3,MATCH(0,5:5,0))))*Inputs!$B$189*(1+inf)^X$1,-Y13))</f>
        <v>-6714.1284505623771</v>
      </c>
      <c r="Z14" s="7">
        <f ca="1">MIN(0,MAX(-IF(Z13=0,0,(Inputs!$B$19-INDEX(3:3,MATCH(0,5:5,0))))*Inputs!$B$189*(1+inf)^Y$1,-Z13))</f>
        <v>-6881.9816618264367</v>
      </c>
      <c r="AA14" s="7">
        <f ca="1">MIN(0,MAX(-IF(AA13=0,0,(Inputs!$B$19-INDEX(3:3,MATCH(0,5:5,0))))*Inputs!$B$189*(1+inf)^Z$1,-AA13))</f>
        <v>-7054.0312033720966</v>
      </c>
      <c r="AB14" s="7">
        <f ca="1">MIN(0,MAX(-IF(AB13=0,0,(Inputs!$B$19-INDEX(3:3,MATCH(0,5:5,0))))*Inputs!$B$189*(1+inf)^AA$1,-AB13))</f>
        <v>-7230.3819834563983</v>
      </c>
      <c r="AC14" s="7">
        <f ca="1">MIN(0,MAX(-IF(AC13=0,0,(Inputs!$B$19-INDEX(3:3,MATCH(0,5:5,0))))*Inputs!$B$189*(1+inf)^AB$1,-AC13))</f>
        <v>-7411.1415330428072</v>
      </c>
      <c r="AD14" s="7">
        <f ca="1">MIN(0,MAX(-IF(AD13=0,0,(Inputs!$B$19-INDEX(3:3,MATCH(0,5:5,0))))*Inputs!$B$189*(1+inf)^AC$1,-AD13))</f>
        <v>-7596.4200713688779</v>
      </c>
      <c r="AE14" s="7">
        <f ca="1">MIN(0,MAX(-IF(AE13=0,0,(Inputs!$B$19-INDEX(3:3,MATCH(0,5:5,0))))*Inputs!$B$189*(1+inf)^AD$1,-AE13))</f>
        <v>-7786.3305731530991</v>
      </c>
      <c r="AF14" s="7">
        <f ca="1">MIN(0,MAX(-IF(AF13=0,0,(Inputs!$B$19-INDEX(3:3,MATCH(0,5:5,0))))*Inputs!$B$189*(1+inf)^AE$1,-AF13))</f>
        <v>-7980.9888374819275</v>
      </c>
      <c r="AG14" s="7">
        <f ca="1">MIN(0,MAX(-IF(AG13=0,0,(Inputs!$B$19-INDEX(3:3,MATCH(0,5:5,0))))*Inputs!$B$189*(1+inf)^AF$1,-AG13))</f>
        <v>-8180.5135584189729</v>
      </c>
      <c r="AH14" s="7">
        <f ca="1">MIN(0,MAX(-IF(AH13=0,0,(Inputs!$B$19-INDEX(3:3,MATCH(0,5:5,0))))*Inputs!$B$189*(1+inf)^AG$1,-AH13))</f>
        <v>-8385.0263973794499</v>
      </c>
      <c r="AI14" s="7">
        <f ca="1">MIN(0,MAX(-IF(AI13=0,0,(Inputs!$B$19-INDEX(3:3,MATCH(0,5:5,0))))*Inputs!$B$189*(1+inf)^AH$1,-AI13))</f>
        <v>-8594.6520573139351</v>
      </c>
      <c r="AJ14" s="7">
        <f ca="1">MIN(0,MAX(-IF(AJ13=0,0,(Inputs!$B$19-INDEX(3:3,MATCH(0,5:5,0))))*Inputs!$B$189*(1+inf)^AI$1,-AJ13))</f>
        <v>-8809.5183587467818</v>
      </c>
      <c r="AK14" s="7">
        <f ca="1">MIN(0,MAX(-IF(AK13=0,0,(Inputs!$B$19-INDEX(3:3,MATCH(0,5:5,0))))*Inputs!$B$189*(1+inf)^AJ$1,-AK13))</f>
        <v>-9029.7563177154516</v>
      </c>
      <c r="AL14" s="7">
        <f ca="1">MIN(0,MAX(-IF(AL13=0,0,(Inputs!$B$19-INDEX(3:3,MATCH(0,5:5,0))))*Inputs!$B$189*(1+inf)^AK$1,-AL13))</f>
        <v>-9255.5002256583375</v>
      </c>
      <c r="AM14" s="7">
        <f ca="1">MIN(0,MAX(-IF(AM13=0,0,(Inputs!$B$19-INDEX(3:3,MATCH(0,5:5,0))))*Inputs!$B$189*(1+inf)^AL$1,-AM13))</f>
        <v>-9486.8877312997956</v>
      </c>
    </row>
    <row r="15" spans="1:39" x14ac:dyDescent="0.2">
      <c r="A15" s="4" t="s">
        <v>48</v>
      </c>
      <c r="B15" s="8"/>
      <c r="C15" s="7">
        <f ca="1">IF(AND(C$3&gt;=Inputs!$B$174,C$3&lt;=Inputs!$B$175),Inputs!$B$173*(1+inf)^B$1,0)*ProRate</f>
        <v>0</v>
      </c>
      <c r="D15" s="7">
        <f>IF(AND(D$3&gt;=Inputs!$B$174,D$3&lt;=Inputs!$B$175),Inputs!$B$173*(1+inf)^C$1,0)</f>
        <v>0</v>
      </c>
      <c r="E15" s="7">
        <f>IF(AND(E$3&gt;=Inputs!$B$174,E$3&lt;=Inputs!$B$175),Inputs!$B$173*(1+inf)^D$1,0)</f>
        <v>0</v>
      </c>
      <c r="F15" s="7">
        <f>IF(AND(F$3&gt;=Inputs!$B$174,F$3&lt;=Inputs!$B$175),Inputs!$B$173*(1+inf)^E$1,0)</f>
        <v>0</v>
      </c>
      <c r="G15" s="7">
        <f>IF(AND(G$3&gt;=Inputs!$B$174,G$3&lt;=Inputs!$B$175),Inputs!$B$173*(1+inf)^F$1,0)</f>
        <v>0</v>
      </c>
      <c r="H15" s="7">
        <f>IF(AND(H$3&gt;=Inputs!$B$174,H$3&lt;=Inputs!$B$175),Inputs!$B$173*(1+inf)^G$1,0)</f>
        <v>0</v>
      </c>
      <c r="I15" s="7">
        <f>IF(AND(I$3&gt;=Inputs!$B$174,I$3&lt;=Inputs!$B$175),Inputs!$B$173*(1+inf)^H$1,0)</f>
        <v>0</v>
      </c>
      <c r="J15" s="7">
        <f>IF(AND(J$3&gt;=Inputs!$B$174,J$3&lt;=Inputs!$B$175),Inputs!$B$173*(1+inf)^I$1,0)</f>
        <v>0</v>
      </c>
      <c r="K15" s="7">
        <f>IF(AND(K$3&gt;=Inputs!$B$174,K$3&lt;=Inputs!$B$175),Inputs!$B$173*(1+inf)^J$1,0)</f>
        <v>0</v>
      </c>
      <c r="L15" s="7">
        <f>IF(AND(L$3&gt;=Inputs!$B$174,L$3&lt;=Inputs!$B$175),Inputs!$B$173*(1+inf)^K$1,0)</f>
        <v>0</v>
      </c>
      <c r="M15" s="7">
        <f>IF(AND(M$3&gt;=Inputs!$B$174,M$3&lt;=Inputs!$B$175),Inputs!$B$173*(1+inf)^L$1,0)</f>
        <v>15361.014530356286</v>
      </c>
      <c r="N15" s="7">
        <f>IF(AND(N$3&gt;=Inputs!$B$174,N$3&lt;=Inputs!$B$175),Inputs!$B$173*(1+inf)^M$1,0)</f>
        <v>15745.039893615192</v>
      </c>
      <c r="O15" s="7">
        <f>IF(AND(O$3&gt;=Inputs!$B$174,O$3&lt;=Inputs!$B$175),Inputs!$B$173*(1+inf)^N$1,0)</f>
        <v>16138.66589095557</v>
      </c>
      <c r="P15" s="7">
        <f>IF(AND(P$3&gt;=Inputs!$B$174,P$3&lt;=Inputs!$B$175),Inputs!$B$173*(1+inf)^O$1,0)</f>
        <v>16542.13253822946</v>
      </c>
      <c r="Q15" s="7">
        <f>IF(AND(Q$3&gt;=Inputs!$B$174,Q$3&lt;=Inputs!$B$175),Inputs!$B$173*(1+inf)^P$1,0)</f>
        <v>16955.685851685193</v>
      </c>
      <c r="R15" s="7">
        <f>IF(AND(R$3&gt;=Inputs!$B$174,R$3&lt;=Inputs!$B$175),Inputs!$B$173*(1+inf)^Q$1,0)</f>
        <v>17379.577997977325</v>
      </c>
      <c r="S15" s="7">
        <f>IF(AND(S$3&gt;=Inputs!$B$174,S$3&lt;=Inputs!$B$175),Inputs!$B$173*(1+inf)^R$1,0)</f>
        <v>17814.067447926758</v>
      </c>
      <c r="T15" s="7">
        <f>IF(AND(T$3&gt;=Inputs!$B$174,T$3&lt;=Inputs!$B$175),Inputs!$B$173*(1+inf)^S$1,0)</f>
        <v>18259.419134124924</v>
      </c>
      <c r="U15" s="7">
        <f>IF(AND(U$3&gt;=Inputs!$B$174,U$3&lt;=Inputs!$B$175),Inputs!$B$173*(1+inf)^T$1,0)</f>
        <v>18715.904612478047</v>
      </c>
      <c r="V15" s="7">
        <f>IF(AND(V$3&gt;=Inputs!$B$174,V$3&lt;=Inputs!$B$175),Inputs!$B$173*(1+inf)^U$1,0)</f>
        <v>19183.802227789998</v>
      </c>
      <c r="W15" s="7">
        <f>IF(AND(W$3&gt;=Inputs!$B$174,W$3&lt;=Inputs!$B$175),Inputs!$B$173*(1+inf)^V$1,0)</f>
        <v>19663.397283484748</v>
      </c>
      <c r="X15" s="7">
        <f>IF(AND(X$3&gt;=Inputs!$B$174,X$3&lt;=Inputs!$B$175),Inputs!$B$173*(1+inf)^W$1,0)</f>
        <v>20154.982215571865</v>
      </c>
      <c r="Y15" s="7">
        <f>IF(AND(Y$3&gt;=Inputs!$B$174,Y$3&lt;=Inputs!$B$175),Inputs!$B$173*(1+inf)^X$1,0)</f>
        <v>0</v>
      </c>
      <c r="Z15" s="7">
        <f>IF(AND(Z$3&gt;=Inputs!$B$174,Z$3&lt;=Inputs!$B$175),Inputs!$B$173*(1+inf)^Y$1,0)</f>
        <v>0</v>
      </c>
      <c r="AA15" s="7">
        <f>IF(AND(AA$3&gt;=Inputs!$B$174,AA$3&lt;=Inputs!$B$175),Inputs!$B$173*(1+inf)^Z$1,0)</f>
        <v>0</v>
      </c>
      <c r="AB15" s="7">
        <f>IF(AND(AB$3&gt;=Inputs!$B$174,AB$3&lt;=Inputs!$B$175),Inputs!$B$173*(1+inf)^AA$1,0)</f>
        <v>0</v>
      </c>
      <c r="AC15" s="7">
        <f>IF(AND(AC$3&gt;=Inputs!$B$174,AC$3&lt;=Inputs!$B$175),Inputs!$B$173*(1+inf)^AB$1,0)</f>
        <v>0</v>
      </c>
      <c r="AD15" s="7">
        <f>IF(AND(AD$3&gt;=Inputs!$B$174,AD$3&lt;=Inputs!$B$175),Inputs!$B$173*(1+inf)^AC$1,0)</f>
        <v>0</v>
      </c>
      <c r="AE15" s="7">
        <f>IF(AND(AE$3&gt;=Inputs!$B$174,AE$3&lt;=Inputs!$B$175),Inputs!$B$173*(1+inf)^AD$1,0)</f>
        <v>0</v>
      </c>
      <c r="AF15" s="7">
        <f>IF(AND(AF$3&gt;=Inputs!$B$174,AF$3&lt;=Inputs!$B$175),Inputs!$B$173*(1+inf)^AE$1,0)</f>
        <v>0</v>
      </c>
      <c r="AG15" s="7">
        <f>IF(AND(AG$3&gt;=Inputs!$B$174,AG$3&lt;=Inputs!$B$175),Inputs!$B$173*(1+inf)^AF$1,0)</f>
        <v>0</v>
      </c>
      <c r="AH15" s="7">
        <f>IF(AND(AH$3&gt;=Inputs!$B$174,AH$3&lt;=Inputs!$B$175),Inputs!$B$173*(1+inf)^AG$1,0)</f>
        <v>0</v>
      </c>
      <c r="AI15" s="7">
        <f>IF(AND(AI$3&gt;=Inputs!$B$174,AI$3&lt;=Inputs!$B$175),Inputs!$B$173*(1+inf)^AH$1,0)</f>
        <v>0</v>
      </c>
      <c r="AJ15" s="7">
        <f>IF(AND(AJ$3&gt;=Inputs!$B$174,AJ$3&lt;=Inputs!$B$175),Inputs!$B$173*(1+inf)^AI$1,0)</f>
        <v>0</v>
      </c>
      <c r="AK15" s="7">
        <f>IF(AND(AK$3&gt;=Inputs!$B$174,AK$3&lt;=Inputs!$B$175),Inputs!$B$173*(1+inf)^AJ$1,0)</f>
        <v>0</v>
      </c>
      <c r="AL15" s="7">
        <f>IF(AND(AL$3&gt;=Inputs!$B$174,AL$3&lt;=Inputs!$B$175),Inputs!$B$173*(1+inf)^AK$1,0)</f>
        <v>0</v>
      </c>
      <c r="AM15" s="7">
        <f>IF(AND(AM$3&gt;=Inputs!$B$174,AM$3&lt;=Inputs!$B$175),Inputs!$B$173*(1+inf)^AL$1,0)</f>
        <v>0</v>
      </c>
    </row>
    <row r="16" spans="1:39" x14ac:dyDescent="0.2">
      <c r="A16" s="4" t="s">
        <v>139</v>
      </c>
      <c r="B16" s="8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7"/>
    </row>
    <row r="17" spans="1:39" x14ac:dyDescent="0.2">
      <c r="A17" s="3" t="str">
        <f>TEXT(Inputs!B132,"")</f>
        <v>Inheritance</v>
      </c>
      <c r="B17" s="8"/>
      <c r="C17" s="7">
        <f ca="1">IF(C$2=Inputs!$B134,Inputs!$B133,0)*(1+inf)^B$1</f>
        <v>0</v>
      </c>
      <c r="D17" s="7">
        <f ca="1">IF(D$2=Inputs!$B134,Inputs!$B133,0)*(1+inf)^C$1</f>
        <v>0</v>
      </c>
      <c r="E17" s="7">
        <f ca="1">IF(E$2=Inputs!$B134,Inputs!$B133,0)*(1+inf)^D$1</f>
        <v>0</v>
      </c>
      <c r="F17" s="7">
        <f ca="1">IF(F$2=Inputs!$B134,Inputs!$B133,0)*(1+inf)^E$1</f>
        <v>0</v>
      </c>
      <c r="G17" s="7">
        <f ca="1">IF(G$2=Inputs!$B134,Inputs!$B133,0)*(1+inf)^F$1</f>
        <v>0</v>
      </c>
      <c r="H17" s="7">
        <f ca="1">IF(H$2=Inputs!$B134,Inputs!$B133,0)*(1+inf)^G$1</f>
        <v>0</v>
      </c>
      <c r="I17" s="7">
        <f ca="1">IF(I$2=Inputs!$B134,Inputs!$B133,0)*(1+inf)^H$1</f>
        <v>0</v>
      </c>
      <c r="J17" s="7">
        <f ca="1">IF(J$2=Inputs!$B134,Inputs!$B133,0)*(1+inf)^I$1</f>
        <v>0</v>
      </c>
      <c r="K17" s="7">
        <f ca="1">IF(K$2=Inputs!$B134,Inputs!$B133,0)*(1+inf)^J$1</f>
        <v>0</v>
      </c>
      <c r="L17" s="7">
        <f ca="1">IF(L$2=Inputs!$B134,Inputs!$B133,0)*(1+inf)^K$1</f>
        <v>62443.14849738327</v>
      </c>
      <c r="M17" s="7">
        <f ca="1">IF(M$2=Inputs!$B134,Inputs!$B133,0)*(1+inf)^L$1</f>
        <v>0</v>
      </c>
      <c r="N17" s="7">
        <f ca="1">IF(N$2=Inputs!$B134,Inputs!$B133,0)*(1+inf)^M$1</f>
        <v>0</v>
      </c>
      <c r="O17" s="7">
        <f ca="1">IF(O$2=Inputs!$B134,Inputs!$B133,0)*(1+inf)^N$1</f>
        <v>0</v>
      </c>
      <c r="P17" s="7">
        <f ca="1">IF(P$2=Inputs!$B134,Inputs!$B133,0)*(1+inf)^O$1</f>
        <v>0</v>
      </c>
      <c r="Q17" s="7">
        <f ca="1">IF(Q$2=Inputs!$B134,Inputs!$B133,0)*(1+inf)^P$1</f>
        <v>0</v>
      </c>
      <c r="R17" s="7">
        <f ca="1">IF(R$2=Inputs!$B134,Inputs!$B133,0)*(1+inf)^Q$1</f>
        <v>0</v>
      </c>
      <c r="S17" s="7">
        <f ca="1">IF(S$2=Inputs!$B134,Inputs!$B133,0)*(1+inf)^R$1</f>
        <v>0</v>
      </c>
      <c r="T17" s="7">
        <f ca="1">IF(T$2=Inputs!$B134,Inputs!$B133,0)*(1+inf)^S$1</f>
        <v>0</v>
      </c>
      <c r="U17" s="7">
        <f ca="1">IF(U$2=Inputs!$B134,Inputs!$B133,0)*(1+inf)^T$1</f>
        <v>0</v>
      </c>
      <c r="V17" s="7">
        <f ca="1">IF(V$2=Inputs!$B134,Inputs!$B133,0)*(1+inf)^U$1</f>
        <v>0</v>
      </c>
      <c r="W17" s="7">
        <f ca="1">IF(W$2=Inputs!$B134,Inputs!$B133,0)*(1+inf)^V$1</f>
        <v>0</v>
      </c>
      <c r="X17" s="7">
        <f ca="1">IF(X$2=Inputs!$B134,Inputs!$B133,0)*(1+inf)^W$1</f>
        <v>0</v>
      </c>
      <c r="Y17" s="7">
        <f ca="1">IF(Y$2=Inputs!$B134,Inputs!$B133,0)*(1+inf)^X$1</f>
        <v>0</v>
      </c>
      <c r="Z17" s="7">
        <f ca="1">IF(Z$2=Inputs!$B134,Inputs!$B133,0)*(1+inf)^Y$1</f>
        <v>0</v>
      </c>
      <c r="AA17" s="7">
        <f ca="1">IF(AA$2=Inputs!$B134,Inputs!$B133,0)*(1+inf)^Z$1</f>
        <v>0</v>
      </c>
      <c r="AB17" s="7">
        <f ca="1">IF(AB$2=Inputs!$B134,Inputs!$B133,0)*(1+inf)^AA$1</f>
        <v>0</v>
      </c>
      <c r="AC17" s="7">
        <f ca="1">IF(AC$2=Inputs!$B134,Inputs!$B133,0)*(1+inf)^AB$1</f>
        <v>0</v>
      </c>
      <c r="AD17" s="7">
        <f ca="1">IF(AD$2=Inputs!$B134,Inputs!$B133,0)*(1+inf)^AC$1</f>
        <v>0</v>
      </c>
      <c r="AE17" s="7">
        <f ca="1">IF(AE$2=Inputs!$B134,Inputs!$B133,0)*(1+inf)^AD$1</f>
        <v>0</v>
      </c>
      <c r="AF17" s="7">
        <f ca="1">IF(AF$2=Inputs!$B134,Inputs!$B133,0)*(1+inf)^AE$1</f>
        <v>0</v>
      </c>
      <c r="AG17" s="7">
        <f ca="1">IF(AG$2=Inputs!$B134,Inputs!$B133,0)*(1+inf)^AF$1</f>
        <v>0</v>
      </c>
      <c r="AH17" s="7">
        <f ca="1">IF(AH$2=Inputs!$B134,Inputs!$B133,0)*(1+inf)^AG$1</f>
        <v>0</v>
      </c>
      <c r="AI17" s="7">
        <f ca="1">IF(AI$2=Inputs!$B134,Inputs!$B133,0)*(1+inf)^AH$1</f>
        <v>0</v>
      </c>
      <c r="AJ17" s="7">
        <f ca="1">IF(AJ$2=Inputs!$B134,Inputs!$B133,0)*(1+inf)^AI$1</f>
        <v>0</v>
      </c>
      <c r="AK17" s="7">
        <f ca="1">IF(AK$2=Inputs!$B134,Inputs!$B133,0)*(1+inf)^AJ$1</f>
        <v>0</v>
      </c>
      <c r="AL17" s="7">
        <f ca="1">IF(AL$2=Inputs!$B134,Inputs!$B133,0)*(1+inf)^AK$1</f>
        <v>0</v>
      </c>
      <c r="AM17" s="7">
        <f ca="1">IF(AM$2=Inputs!$B134,Inputs!$B133,0)*(1+inf)^AL$1</f>
        <v>0</v>
      </c>
    </row>
    <row r="18" spans="1:39" x14ac:dyDescent="0.2">
      <c r="A18" s="3" t="str">
        <f>TEXT(Inputs!B137,"")</f>
        <v>Sell Painting</v>
      </c>
      <c r="B18" s="8"/>
      <c r="C18" s="7">
        <f ca="1">IF(C$2=Inputs!$B139,Inputs!$B138,0)*(1+inf)^B$1</f>
        <v>0</v>
      </c>
      <c r="D18" s="7">
        <f ca="1">IF(D$2=Inputs!$B139,Inputs!$B138,0)*(1+inf)^C$1</f>
        <v>0</v>
      </c>
      <c r="E18" s="7">
        <f ca="1">IF(E$2=Inputs!$B139,Inputs!$B138,0)*(1+inf)^D$1</f>
        <v>0</v>
      </c>
      <c r="F18" s="7">
        <f ca="1">IF(F$2=Inputs!$B139,Inputs!$B138,0)*(1+inf)^E$1</f>
        <v>10768.906249999998</v>
      </c>
      <c r="G18" s="7">
        <f ca="1">IF(G$2=Inputs!$B139,Inputs!$B138,0)*(1+inf)^F$1</f>
        <v>0</v>
      </c>
      <c r="H18" s="7">
        <f ca="1">IF(H$2=Inputs!$B139,Inputs!$B138,0)*(1+inf)^G$1</f>
        <v>0</v>
      </c>
      <c r="I18" s="7">
        <f ca="1">IF(I$2=Inputs!$B139,Inputs!$B138,0)*(1+inf)^H$1</f>
        <v>0</v>
      </c>
      <c r="J18" s="7">
        <f ca="1">IF(J$2=Inputs!$B139,Inputs!$B138,0)*(1+inf)^I$1</f>
        <v>0</v>
      </c>
      <c r="K18" s="7">
        <f ca="1">IF(K$2=Inputs!$B139,Inputs!$B138,0)*(1+inf)^J$1</f>
        <v>0</v>
      </c>
      <c r="L18" s="7">
        <f ca="1">IF(L$2=Inputs!$B139,Inputs!$B138,0)*(1+inf)^K$1</f>
        <v>0</v>
      </c>
      <c r="M18" s="7">
        <f ca="1">IF(M$2=Inputs!$B139,Inputs!$B138,0)*(1+inf)^L$1</f>
        <v>0</v>
      </c>
      <c r="N18" s="7">
        <f ca="1">IF(N$2=Inputs!$B139,Inputs!$B138,0)*(1+inf)^M$1</f>
        <v>0</v>
      </c>
      <c r="O18" s="7">
        <f ca="1">IF(O$2=Inputs!$B139,Inputs!$B138,0)*(1+inf)^N$1</f>
        <v>0</v>
      </c>
      <c r="P18" s="7">
        <f ca="1">IF(P$2=Inputs!$B139,Inputs!$B138,0)*(1+inf)^O$1</f>
        <v>0</v>
      </c>
      <c r="Q18" s="7">
        <f ca="1">IF(Q$2=Inputs!$B139,Inputs!$B138,0)*(1+inf)^P$1</f>
        <v>0</v>
      </c>
      <c r="R18" s="7">
        <f ca="1">IF(R$2=Inputs!$B139,Inputs!$B138,0)*(1+inf)^Q$1</f>
        <v>0</v>
      </c>
      <c r="S18" s="7">
        <f ca="1">IF(S$2=Inputs!$B139,Inputs!$B138,0)*(1+inf)^R$1</f>
        <v>0</v>
      </c>
      <c r="T18" s="7">
        <f ca="1">IF(T$2=Inputs!$B139,Inputs!$B138,0)*(1+inf)^S$1</f>
        <v>0</v>
      </c>
      <c r="U18" s="7">
        <f ca="1">IF(U$2=Inputs!$B139,Inputs!$B138,0)*(1+inf)^T$1</f>
        <v>0</v>
      </c>
      <c r="V18" s="7">
        <f ca="1">IF(V$2=Inputs!$B139,Inputs!$B138,0)*(1+inf)^U$1</f>
        <v>0</v>
      </c>
      <c r="W18" s="7">
        <f ca="1">IF(W$2=Inputs!$B139,Inputs!$B138,0)*(1+inf)^V$1</f>
        <v>0</v>
      </c>
      <c r="X18" s="7">
        <f ca="1">IF(X$2=Inputs!$B139,Inputs!$B138,0)*(1+inf)^W$1</f>
        <v>0</v>
      </c>
      <c r="Y18" s="7">
        <f ca="1">IF(Y$2=Inputs!$B139,Inputs!$B138,0)*(1+inf)^X$1</f>
        <v>0</v>
      </c>
      <c r="Z18" s="7">
        <f ca="1">IF(Z$2=Inputs!$B139,Inputs!$B138,0)*(1+inf)^Y$1</f>
        <v>0</v>
      </c>
      <c r="AA18" s="7">
        <f ca="1">IF(AA$2=Inputs!$B139,Inputs!$B138,0)*(1+inf)^Z$1</f>
        <v>0</v>
      </c>
      <c r="AB18" s="7">
        <f ca="1">IF(AB$2=Inputs!$B139,Inputs!$B138,0)*(1+inf)^AA$1</f>
        <v>0</v>
      </c>
      <c r="AC18" s="7">
        <f ca="1">IF(AC$2=Inputs!$B139,Inputs!$B138,0)*(1+inf)^AB$1</f>
        <v>0</v>
      </c>
      <c r="AD18" s="7">
        <f ca="1">IF(AD$2=Inputs!$B139,Inputs!$B138,0)*(1+inf)^AC$1</f>
        <v>0</v>
      </c>
      <c r="AE18" s="7">
        <f ca="1">IF(AE$2=Inputs!$B139,Inputs!$B138,0)*(1+inf)^AD$1</f>
        <v>0</v>
      </c>
      <c r="AF18" s="7">
        <f ca="1">IF(AF$2=Inputs!$B139,Inputs!$B138,0)*(1+inf)^AE$1</f>
        <v>0</v>
      </c>
      <c r="AG18" s="7">
        <f ca="1">IF(AG$2=Inputs!$B139,Inputs!$B138,0)*(1+inf)^AF$1</f>
        <v>0</v>
      </c>
      <c r="AH18" s="7">
        <f ca="1">IF(AH$2=Inputs!$B139,Inputs!$B138,0)*(1+inf)^AG$1</f>
        <v>0</v>
      </c>
      <c r="AI18" s="7">
        <f ca="1">IF(AI$2=Inputs!$B139,Inputs!$B138,0)*(1+inf)^AH$1</f>
        <v>0</v>
      </c>
      <c r="AJ18" s="7">
        <f ca="1">IF(AJ$2=Inputs!$B139,Inputs!$B138,0)*(1+inf)^AI$1</f>
        <v>0</v>
      </c>
      <c r="AK18" s="7">
        <f ca="1">IF(AK$2=Inputs!$B139,Inputs!$B138,0)*(1+inf)^AJ$1</f>
        <v>0</v>
      </c>
      <c r="AL18" s="7">
        <f ca="1">IF(AL$2=Inputs!$B139,Inputs!$B138,0)*(1+inf)^AK$1</f>
        <v>0</v>
      </c>
      <c r="AM18" s="7">
        <f ca="1">IF(AM$2=Inputs!$B139,Inputs!$B138,0)*(1+inf)^AL$1</f>
        <v>0</v>
      </c>
    </row>
    <row r="19" spans="1:39" x14ac:dyDescent="0.2">
      <c r="A19" s="3" t="str">
        <f>TEXT(Inputs!B142,"")</f>
        <v>Sell Jewels</v>
      </c>
      <c r="B19" s="8"/>
      <c r="C19" s="7">
        <f ca="1">IF(C$2=Inputs!$B144,Inputs!$B143,0)*(1+inf)^B$1</f>
        <v>0</v>
      </c>
      <c r="D19" s="7">
        <f ca="1">IF(D$2=Inputs!$B144,Inputs!$B143,0)*(1+inf)^C$1</f>
        <v>0</v>
      </c>
      <c r="E19" s="7">
        <f ca="1">IF(E$2=Inputs!$B144,Inputs!$B143,0)*(1+inf)^D$1</f>
        <v>0</v>
      </c>
      <c r="F19" s="7">
        <f ca="1">IF(F$2=Inputs!$B144,Inputs!$B143,0)*(1+inf)^E$1</f>
        <v>0</v>
      </c>
      <c r="G19" s="7">
        <f ca="1">IF(G$2=Inputs!$B144,Inputs!$B143,0)*(1+inf)^F$1</f>
        <v>0</v>
      </c>
      <c r="H19" s="7">
        <f ca="1">IF(H$2=Inputs!$B144,Inputs!$B143,0)*(1+inf)^G$1</f>
        <v>0</v>
      </c>
      <c r="I19" s="7">
        <f ca="1">IF(I$2=Inputs!$B144,Inputs!$B143,0)*(1+inf)^H$1</f>
        <v>5798.4670910644509</v>
      </c>
      <c r="J19" s="7">
        <f ca="1">IF(J$2=Inputs!$B144,Inputs!$B143,0)*(1+inf)^I$1</f>
        <v>0</v>
      </c>
      <c r="K19" s="7">
        <f ca="1">IF(K$2=Inputs!$B144,Inputs!$B143,0)*(1+inf)^J$1</f>
        <v>0</v>
      </c>
      <c r="L19" s="7">
        <f ca="1">IF(L$2=Inputs!$B144,Inputs!$B143,0)*(1+inf)^K$1</f>
        <v>0</v>
      </c>
      <c r="M19" s="7">
        <f ca="1">IF(M$2=Inputs!$B144,Inputs!$B143,0)*(1+inf)^L$1</f>
        <v>0</v>
      </c>
      <c r="N19" s="7">
        <f ca="1">IF(N$2=Inputs!$B144,Inputs!$B143,0)*(1+inf)^M$1</f>
        <v>0</v>
      </c>
      <c r="O19" s="7">
        <f ca="1">IF(O$2=Inputs!$B144,Inputs!$B143,0)*(1+inf)^N$1</f>
        <v>0</v>
      </c>
      <c r="P19" s="7">
        <f ca="1">IF(P$2=Inputs!$B144,Inputs!$B143,0)*(1+inf)^O$1</f>
        <v>0</v>
      </c>
      <c r="Q19" s="7">
        <f ca="1">IF(Q$2=Inputs!$B144,Inputs!$B143,0)*(1+inf)^P$1</f>
        <v>0</v>
      </c>
      <c r="R19" s="7">
        <f ca="1">IF(R$2=Inputs!$B144,Inputs!$B143,0)*(1+inf)^Q$1</f>
        <v>0</v>
      </c>
      <c r="S19" s="7">
        <f ca="1">IF(S$2=Inputs!$B144,Inputs!$B143,0)*(1+inf)^R$1</f>
        <v>0</v>
      </c>
      <c r="T19" s="7">
        <f ca="1">IF(T$2=Inputs!$B144,Inputs!$B143,0)*(1+inf)^S$1</f>
        <v>0</v>
      </c>
      <c r="U19" s="7">
        <f ca="1">IF(U$2=Inputs!$B144,Inputs!$B143,0)*(1+inf)^T$1</f>
        <v>0</v>
      </c>
      <c r="V19" s="7">
        <f ca="1">IF(V$2=Inputs!$B144,Inputs!$B143,0)*(1+inf)^U$1</f>
        <v>0</v>
      </c>
      <c r="W19" s="7">
        <f ca="1">IF(W$2=Inputs!$B144,Inputs!$B143,0)*(1+inf)^V$1</f>
        <v>0</v>
      </c>
      <c r="X19" s="7">
        <f ca="1">IF(X$2=Inputs!$B144,Inputs!$B143,0)*(1+inf)^W$1</f>
        <v>0</v>
      </c>
      <c r="Y19" s="7">
        <f ca="1">IF(Y$2=Inputs!$B144,Inputs!$B143,0)*(1+inf)^X$1</f>
        <v>0</v>
      </c>
      <c r="Z19" s="7">
        <f ca="1">IF(Z$2=Inputs!$B144,Inputs!$B143,0)*(1+inf)^Y$1</f>
        <v>0</v>
      </c>
      <c r="AA19" s="7">
        <f ca="1">IF(AA$2=Inputs!$B144,Inputs!$B143,0)*(1+inf)^Z$1</f>
        <v>0</v>
      </c>
      <c r="AB19" s="7">
        <f ca="1">IF(AB$2=Inputs!$B144,Inputs!$B143,0)*(1+inf)^AA$1</f>
        <v>0</v>
      </c>
      <c r="AC19" s="7">
        <f ca="1">IF(AC$2=Inputs!$B144,Inputs!$B143,0)*(1+inf)^AB$1</f>
        <v>0</v>
      </c>
      <c r="AD19" s="7">
        <f ca="1">IF(AD$2=Inputs!$B144,Inputs!$B143,0)*(1+inf)^AC$1</f>
        <v>0</v>
      </c>
      <c r="AE19" s="7">
        <f ca="1">IF(AE$2=Inputs!$B144,Inputs!$B143,0)*(1+inf)^AD$1</f>
        <v>0</v>
      </c>
      <c r="AF19" s="7">
        <f ca="1">IF(AF$2=Inputs!$B144,Inputs!$B143,0)*(1+inf)^AE$1</f>
        <v>0</v>
      </c>
      <c r="AG19" s="7">
        <f ca="1">IF(AG$2=Inputs!$B144,Inputs!$B143,0)*(1+inf)^AF$1</f>
        <v>0</v>
      </c>
      <c r="AH19" s="7">
        <f ca="1">IF(AH$2=Inputs!$B144,Inputs!$B143,0)*(1+inf)^AG$1</f>
        <v>0</v>
      </c>
      <c r="AI19" s="7">
        <f ca="1">IF(AI$2=Inputs!$B144,Inputs!$B143,0)*(1+inf)^AH$1</f>
        <v>0</v>
      </c>
      <c r="AJ19" s="7">
        <f ca="1">IF(AJ$2=Inputs!$B144,Inputs!$B143,0)*(1+inf)^AI$1</f>
        <v>0</v>
      </c>
      <c r="AK19" s="7">
        <f ca="1">IF(AK$2=Inputs!$B144,Inputs!$B143,0)*(1+inf)^AJ$1</f>
        <v>0</v>
      </c>
      <c r="AL19" s="7">
        <f ca="1">IF(AL$2=Inputs!$B144,Inputs!$B143,0)*(1+inf)^AK$1</f>
        <v>0</v>
      </c>
      <c r="AM19" s="7">
        <f ca="1">IF(AM$2=Inputs!$B144,Inputs!$B143,0)*(1+inf)^AL$1</f>
        <v>0</v>
      </c>
    </row>
    <row r="20" spans="1:39" x14ac:dyDescent="0.2">
      <c r="A20" s="4" t="s">
        <v>8</v>
      </c>
      <c r="C20" s="7">
        <f ca="1">MAX(AVERAGE(C57,C57+SUM(C5:C19)-C54)*Inputs!$B$181,0)</f>
        <v>1520.2083333333337</v>
      </c>
      <c r="D20" s="7">
        <f ca="1">MAX(AVERAGE(D57,D57+SUM(D5:D19)-D54)*Inputs!$B$181,0)</f>
        <v>2102.1947916666672</v>
      </c>
      <c r="E20" s="7">
        <f ca="1">MAX(AVERAGE(E57,E57+SUM(E5:E19)-E54)*Inputs!$B$181,0)</f>
        <v>2776.5473697916677</v>
      </c>
      <c r="F20" s="7">
        <f ca="1">MAX(AVERAGE(F57,F57+SUM(F5:F19)-F54)*Inputs!$B$181,0)</f>
        <v>3294.563089376577</v>
      </c>
      <c r="G20" s="7">
        <f ca="1">MAX(AVERAGE(G57,G57+SUM(G5:G19)-G54)*Inputs!$B$181,0)</f>
        <v>2840.5291719315774</v>
      </c>
      <c r="H20" s="7">
        <f ca="1">MAX(AVERAGE(H57,H57+SUM(H5:H19)-H54)*Inputs!$B$181,0)</f>
        <v>1675.4836193782648</v>
      </c>
      <c r="I20" s="7">
        <f ca="1">MAX(AVERAGE(I57,I57+SUM(I5:I19)-I54)*Inputs!$B$181,0)</f>
        <v>765.66913415162639</v>
      </c>
      <c r="J20" s="7">
        <f ca="1">MAX(AVERAGE(J57,J57+SUM(J5:J19)-J54)*Inputs!$B$181,0)</f>
        <v>9.6942718601439992</v>
      </c>
      <c r="K20" s="7">
        <f ca="1">MAX(AVERAGE(K57,K57+SUM(K5:K19)-K54)*Inputs!$B$181,0)</f>
        <v>0</v>
      </c>
      <c r="L20" s="7">
        <f ca="1">MAX(AVERAGE(L57,L57+SUM(L5:L19)-L54)*Inputs!$B$181,0)</f>
        <v>0</v>
      </c>
      <c r="M20" s="7">
        <f ca="1">MAX(AVERAGE(M57,M57+SUM(M5:M19)-M54)*Inputs!$B$181,0)</f>
        <v>0</v>
      </c>
      <c r="N20" s="7">
        <f ca="1">MAX(AVERAGE(N57,N57+SUM(N5:N19)-N54)*Inputs!$B$181,0)</f>
        <v>0</v>
      </c>
      <c r="O20" s="7">
        <f ca="1">MAX(AVERAGE(O57,O57+SUM(O5:O19)-O54)*Inputs!$B$181,0)</f>
        <v>0</v>
      </c>
      <c r="P20" s="7">
        <f ca="1">MAX(AVERAGE(P57,P57+SUM(P5:P19)-P54)*Inputs!$B$181,0)</f>
        <v>0</v>
      </c>
      <c r="Q20" s="7">
        <f ca="1">MAX(AVERAGE(Q57,Q57+SUM(Q5:Q19)-Q54)*Inputs!$B$181,0)</f>
        <v>0</v>
      </c>
      <c r="R20" s="7">
        <f ca="1">MAX(AVERAGE(R57,R57+SUM(R5:R19)-R54)*Inputs!$B$181,0)</f>
        <v>0</v>
      </c>
      <c r="S20" s="7">
        <f ca="1">MAX(AVERAGE(S57,S57+SUM(S5:S19)-S54)*Inputs!$B$181,0)</f>
        <v>0</v>
      </c>
      <c r="T20" s="7">
        <f ca="1">MAX(AVERAGE(T57,T57+SUM(T5:T19)-T54)*Inputs!$B$181,0)</f>
        <v>0</v>
      </c>
      <c r="U20" s="7">
        <f ca="1">MAX(AVERAGE(U57,U57+SUM(U5:U19)-U54)*Inputs!$B$181,0)</f>
        <v>0</v>
      </c>
      <c r="V20" s="7">
        <f ca="1">MAX(AVERAGE(V57,V57+SUM(V5:V19)-V54)*Inputs!$B$181,0)</f>
        <v>0</v>
      </c>
      <c r="W20" s="7">
        <f ca="1">MAX(AVERAGE(W57,W57+SUM(W5:W19)-W54)*Inputs!$B$181,0)</f>
        <v>0</v>
      </c>
      <c r="X20" s="7">
        <f ca="1">MAX(AVERAGE(X57,X57+SUM(X5:X19)-X54)*Inputs!$B$181,0)</f>
        <v>0</v>
      </c>
      <c r="Y20" s="7">
        <f ca="1">MAX(AVERAGE(Y57,Y57+SUM(Y5:Y19)-Y54)*Inputs!$B$181,0)</f>
        <v>0</v>
      </c>
      <c r="Z20" s="7">
        <f ca="1">MAX(AVERAGE(Z57,Z57+SUM(Z5:Z19)-Z54)*Inputs!$B$181,0)</f>
        <v>0</v>
      </c>
      <c r="AA20" s="7">
        <f ca="1">MAX(AVERAGE(AA57,AA57+SUM(AA5:AA19)-AA54)*Inputs!$B$181,0)</f>
        <v>0</v>
      </c>
      <c r="AB20" s="7">
        <f ca="1">MAX(AVERAGE(AB57,AB57+SUM(AB5:AB19)-AB54)*Inputs!$B$181,0)</f>
        <v>0</v>
      </c>
      <c r="AC20" s="7">
        <f ca="1">MAX(AVERAGE(AC57,AC57+SUM(AC5:AC19)-AC54)*Inputs!$B$181,0)</f>
        <v>0</v>
      </c>
      <c r="AD20" s="7">
        <f ca="1">MAX(AVERAGE(AD57,AD57+SUM(AD5:AD19)-AD54)*Inputs!$B$181,0)</f>
        <v>0</v>
      </c>
      <c r="AE20" s="7">
        <f ca="1">MAX(AVERAGE(AE57,AE57+SUM(AE5:AE19)-AE54)*Inputs!$B$181,0)</f>
        <v>0</v>
      </c>
      <c r="AF20" s="7">
        <f ca="1">MAX(AVERAGE(AF57,AF57+SUM(AF5:AF19)-AF54)*Inputs!$B$181,0)</f>
        <v>0</v>
      </c>
      <c r="AG20" s="7">
        <f ca="1">MAX(AVERAGE(AG57,AG57+SUM(AG5:AG19)-AG54)*Inputs!$B$181,0)</f>
        <v>0</v>
      </c>
      <c r="AH20" s="7">
        <f ca="1">MAX(AVERAGE(AH57,AH57+SUM(AH5:AH19)-AH54)*Inputs!$B$181,0)</f>
        <v>0</v>
      </c>
      <c r="AI20" s="7">
        <f ca="1">MAX(AVERAGE(AI57,AI57+SUM(AI5:AI19)-AI54)*Inputs!$B$181,0)</f>
        <v>0</v>
      </c>
      <c r="AJ20" s="7">
        <f ca="1">MAX(AVERAGE(AJ57,AJ57+SUM(AJ5:AJ19)-AJ54)*Inputs!$B$181,0)</f>
        <v>0</v>
      </c>
      <c r="AK20" s="7">
        <f ca="1">MAX(AVERAGE(AK57,AK57+SUM(AK5:AK19)-AK54)*Inputs!$B$181,0)</f>
        <v>0</v>
      </c>
      <c r="AL20" s="7">
        <f ca="1">MAX(AVERAGE(AL57,AL57+SUM(AL5:AL19)-AL54)*Inputs!$B$181,0)</f>
        <v>0</v>
      </c>
      <c r="AM20" s="7">
        <f ca="1">MAX(AVERAGE(AM57,AM57+SUM(AM5:AM19)-AM54)*Inputs!$B$181,0)</f>
        <v>0</v>
      </c>
    </row>
    <row r="21" spans="1:39" x14ac:dyDescent="0.2">
      <c r="C21" s="9">
        <f ca="1">SUM(C4:C20)</f>
        <v>104436.87500000001</v>
      </c>
      <c r="D21" s="9">
        <f t="shared" ref="D21:AM21" ca="1" si="35">SUM(D4:D20)</f>
        <v>122173.02812500001</v>
      </c>
      <c r="E21" s="9">
        <f t="shared" ca="1" si="35"/>
        <v>126439.255703125</v>
      </c>
      <c r="F21" s="9">
        <f t="shared" ca="1" si="35"/>
        <v>141425.55267270989</v>
      </c>
      <c r="G21" s="9">
        <f t="shared" ca="1" si="35"/>
        <v>43972.001299014919</v>
      </c>
      <c r="H21" s="9">
        <f t="shared" ca="1" si="35"/>
        <v>44029.861781367843</v>
      </c>
      <c r="I21" s="9">
        <f t="shared" ca="1" si="35"/>
        <v>50177.831649936445</v>
      </c>
      <c r="J21" s="9">
        <f t="shared" ca="1" si="35"/>
        <v>44920.203625139991</v>
      </c>
      <c r="K21" s="9">
        <f t="shared" ca="1" si="35"/>
        <v>46245.937776341569</v>
      </c>
      <c r="L21" s="9">
        <f t="shared" ca="1" si="35"/>
        <v>110064.28037803998</v>
      </c>
      <c r="M21" s="9">
        <f t="shared" ca="1" si="35"/>
        <v>64398.29173773322</v>
      </c>
      <c r="N21" s="9">
        <f t="shared" ca="1" si="35"/>
        <v>63616.46125616895</v>
      </c>
      <c r="O21" s="9">
        <f t="shared" ca="1" si="35"/>
        <v>65446.229894385942</v>
      </c>
      <c r="P21" s="9">
        <f t="shared" ca="1" si="35"/>
        <v>67328.923461762737</v>
      </c>
      <c r="Q21" s="9">
        <f t="shared" ca="1" si="35"/>
        <v>69266.08050292448</v>
      </c>
      <c r="R21" s="9">
        <f t="shared" ca="1" si="35"/>
        <v>71259.284488753794</v>
      </c>
      <c r="S21" s="9">
        <f t="shared" ca="1" si="35"/>
        <v>73310.165133426519</v>
      </c>
      <c r="T21" s="9">
        <f t="shared" ca="1" si="35"/>
        <v>93831.980710432312</v>
      </c>
      <c r="U21" s="9">
        <f t="shared" ca="1" si="35"/>
        <v>96463.58513127343</v>
      </c>
      <c r="V21" s="9">
        <f t="shared" ca="1" si="35"/>
        <v>99169.553809728022</v>
      </c>
      <c r="W21" s="9">
        <f t="shared" ca="1" si="35"/>
        <v>101952.00307664913</v>
      </c>
      <c r="X21" s="9">
        <f t="shared" ca="1" si="35"/>
        <v>104813.1098878936</v>
      </c>
      <c r="Y21" s="9">
        <f t="shared" ca="1" si="35"/>
        <v>87096.256800487885</v>
      </c>
      <c r="Z21" s="9">
        <f t="shared" ca="1" si="35"/>
        <v>89604.989434948948</v>
      </c>
      <c r="AA21" s="9">
        <f t="shared" ca="1" si="35"/>
        <v>92186.380171704965</v>
      </c>
      <c r="AB21" s="9">
        <f t="shared" ca="1" si="35"/>
        <v>94842.543656906375</v>
      </c>
      <c r="AC21" s="9">
        <f t="shared" ca="1" si="35"/>
        <v>97575.65634866507</v>
      </c>
      <c r="AD21" s="9">
        <f t="shared" ca="1" si="35"/>
        <v>100387.95833072782</v>
      </c>
      <c r="AE21" s="9">
        <f t="shared" ca="1" si="35"/>
        <v>103281.75517954252</v>
      </c>
      <c r="AF21" s="9">
        <f t="shared" ca="1" si="35"/>
        <v>106259.41988629398</v>
      </c>
      <c r="AG21" s="9">
        <f t="shared" ca="1" si="35"/>
        <v>109323.39483553213</v>
      </c>
      <c r="AH21" s="9">
        <f t="shared" ca="1" si="35"/>
        <v>112476.19384206364</v>
      </c>
      <c r="AI21" s="9">
        <f t="shared" ca="1" si="35"/>
        <v>115720.40424782774</v>
      </c>
      <c r="AJ21" s="9">
        <f t="shared" ca="1" si="35"/>
        <v>119058.68908052733</v>
      </c>
      <c r="AK21" s="9">
        <f t="shared" ca="1" si="35"/>
        <v>122493.78927583949</v>
      </c>
      <c r="AL21" s="9">
        <f t="shared" ca="1" si="35"/>
        <v>126028.52596508346</v>
      </c>
      <c r="AM21" s="9">
        <f t="shared" ca="1" si="35"/>
        <v>129665.80283027899</v>
      </c>
    </row>
    <row r="22" spans="1:39" ht="19" x14ac:dyDescent="0.25">
      <c r="A22" s="12" t="s">
        <v>18</v>
      </c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7"/>
      <c r="AK22" s="7"/>
      <c r="AL22" s="7"/>
      <c r="AM22" s="7"/>
    </row>
    <row r="23" spans="1:39" x14ac:dyDescent="0.2">
      <c r="A23" s="4" t="s">
        <v>71</v>
      </c>
      <c r="C23" s="7">
        <f>Inputs!B97</f>
        <v>1000</v>
      </c>
      <c r="D23" s="7">
        <v>0</v>
      </c>
      <c r="E23" s="7">
        <v>0</v>
      </c>
      <c r="F23" s="7">
        <v>0</v>
      </c>
      <c r="G23" s="7">
        <v>0</v>
      </c>
      <c r="H23" s="7">
        <v>0</v>
      </c>
      <c r="I23" s="7">
        <v>0</v>
      </c>
      <c r="J23" s="7">
        <v>0</v>
      </c>
      <c r="K23" s="7">
        <v>0</v>
      </c>
      <c r="L23" s="7">
        <v>0</v>
      </c>
      <c r="M23" s="7">
        <v>0</v>
      </c>
      <c r="N23" s="7">
        <v>0</v>
      </c>
      <c r="O23" s="7">
        <v>0</v>
      </c>
      <c r="P23" s="7">
        <v>0</v>
      </c>
      <c r="Q23" s="7">
        <v>0</v>
      </c>
      <c r="R23" s="7">
        <v>0</v>
      </c>
      <c r="S23" s="7">
        <v>0</v>
      </c>
      <c r="T23" s="7">
        <v>0</v>
      </c>
      <c r="U23" s="7">
        <v>0</v>
      </c>
      <c r="V23" s="7">
        <v>0</v>
      </c>
      <c r="W23" s="7">
        <v>0</v>
      </c>
      <c r="X23" s="7">
        <v>0</v>
      </c>
      <c r="Y23" s="7">
        <v>0</v>
      </c>
      <c r="Z23" s="7">
        <v>0</v>
      </c>
      <c r="AA23" s="7">
        <v>0</v>
      </c>
      <c r="AB23" s="7">
        <v>0</v>
      </c>
      <c r="AC23" s="7">
        <v>0</v>
      </c>
      <c r="AD23" s="7">
        <v>0</v>
      </c>
      <c r="AE23" s="7">
        <v>0</v>
      </c>
      <c r="AF23" s="7">
        <v>0</v>
      </c>
      <c r="AG23" s="7">
        <v>0</v>
      </c>
      <c r="AH23" s="7">
        <v>0</v>
      </c>
      <c r="AI23" s="7">
        <v>0</v>
      </c>
      <c r="AJ23" s="7">
        <v>0</v>
      </c>
      <c r="AK23" s="7">
        <v>0</v>
      </c>
      <c r="AL23" s="7">
        <v>0</v>
      </c>
      <c r="AM23" s="7">
        <v>0</v>
      </c>
    </row>
    <row r="24" spans="1:39" x14ac:dyDescent="0.2">
      <c r="A24" s="4" t="s">
        <v>13</v>
      </c>
      <c r="C24" s="7">
        <f ca="1">MIN(IF(B$1=0,MthRem,12), MAX(Inputs!$G$15-IF(B$1=0,0,B$1*12+MthOff), 0))*Inputs!$B$17</f>
        <v>8000</v>
      </c>
      <c r="D24" s="7">
        <f ca="1">MIN(IF(C$1=0,MthRem,12), MAX(Inputs!$G$15-IF(C$1=0,0,C$1*12+MthOff), 0))*Inputs!$B$17</f>
        <v>9600</v>
      </c>
      <c r="E24" s="7">
        <f ca="1">MIN(IF(D$1=0,MthRem,12), MAX(Inputs!$G$15-IF(D$1=0,0,D$1*12+MthOff), 0))*Inputs!$B$17</f>
        <v>9600</v>
      </c>
      <c r="F24" s="7">
        <f ca="1">MIN(IF(E$1=0,MthRem,12), MAX(Inputs!$G$15-IF(E$1=0,0,E$1*12+MthOff), 0))*Inputs!$B$17</f>
        <v>9600</v>
      </c>
      <c r="G24" s="7">
        <f ca="1">MIN(IF(F$1=0,MthRem,12), MAX(Inputs!$G$15-IF(F$1=0,0,F$1*12+MthOff), 0))*Inputs!$B$17</f>
        <v>9600</v>
      </c>
      <c r="H24" s="7">
        <f ca="1">MIN(IF(G$1=0,MthRem,12), MAX(Inputs!$G$15-IF(G$1=0,0,G$1*12+MthOff), 0))*Inputs!$B$17</f>
        <v>8035.6231080800517</v>
      </c>
      <c r="I24" s="7">
        <f ca="1">MIN(IF(H$1=0,MthRem,12), MAX(Inputs!$G$15-IF(H$1=0,0,H$1*12+MthOff), 0))*Inputs!$B$17</f>
        <v>0</v>
      </c>
      <c r="J24" s="7">
        <f ca="1">MIN(IF(I$1=0,MthRem,12), MAX(Inputs!$G$15-IF(I$1=0,0,I$1*12+MthOff), 0))*Inputs!$B$17</f>
        <v>0</v>
      </c>
      <c r="K24" s="7">
        <f ca="1">MIN(IF(J$1=0,MthRem,12), MAX(Inputs!$G$15-IF(J$1=0,0,J$1*12+MthOff), 0))*Inputs!$B$17</f>
        <v>0</v>
      </c>
      <c r="L24" s="7">
        <f ca="1">MIN(IF(K$1=0,MthRem,12), MAX(Inputs!$G$15-IF(K$1=0,0,K$1*12+MthOff), 0))*Inputs!$B$17</f>
        <v>0</v>
      </c>
      <c r="M24" s="7">
        <f ca="1">MIN(IF(L$1=0,MthRem,12), MAX(Inputs!$G$15-IF(L$1=0,0,L$1*12+MthOff), 0))*Inputs!$B$17</f>
        <v>0</v>
      </c>
      <c r="N24" s="7">
        <f ca="1">MIN(IF(M$1=0,MthRem,12), MAX(Inputs!$G$15-IF(M$1=0,0,M$1*12+MthOff), 0))*Inputs!$B$17</f>
        <v>0</v>
      </c>
      <c r="O24" s="7">
        <f ca="1">MIN(IF(N$1=0,MthRem,12), MAX(Inputs!$G$15-IF(N$1=0,0,N$1*12+MthOff), 0))*Inputs!$B$17</f>
        <v>0</v>
      </c>
      <c r="P24" s="7">
        <f ca="1">MIN(IF(O$1=0,MthRem,12), MAX(Inputs!$G$15-IF(O$1=0,0,O$1*12+MthOff), 0))*Inputs!$B$17</f>
        <v>0</v>
      </c>
      <c r="Q24" s="7">
        <f ca="1">MIN(IF(P$1=0,MthRem,12), MAX(Inputs!$G$15-IF(P$1=0,0,P$1*12+MthOff), 0))*Inputs!$B$17</f>
        <v>0</v>
      </c>
      <c r="R24" s="7">
        <f ca="1">MIN(IF(Q$1=0,MthRem,12), MAX(Inputs!$G$15-IF(Q$1=0,0,Q$1*12+MthOff), 0))*Inputs!$B$17</f>
        <v>0</v>
      </c>
      <c r="S24" s="7">
        <f ca="1">MIN(IF(R$1=0,MthRem,12), MAX(Inputs!$G$15-IF(R$1=0,0,R$1*12+MthOff), 0))*Inputs!$B$17</f>
        <v>0</v>
      </c>
      <c r="T24" s="7">
        <f ca="1">MIN(IF(S$1=0,MthRem,12), MAX(Inputs!$G$15-IF(S$1=0,0,S$1*12+MthOff), 0))*Inputs!$B$17</f>
        <v>0</v>
      </c>
      <c r="U24" s="7">
        <f ca="1">MIN(IF(T$1=0,MthRem,12), MAX(Inputs!$G$15-IF(T$1=0,0,T$1*12+MthOff), 0))*Inputs!$B$17</f>
        <v>0</v>
      </c>
      <c r="V24" s="7">
        <f ca="1">MIN(IF(U$1=0,MthRem,12), MAX(Inputs!$G$15-IF(U$1=0,0,U$1*12+MthOff), 0))*Inputs!$B$17</f>
        <v>0</v>
      </c>
      <c r="W24" s="7">
        <f ca="1">MIN(IF(V$1=0,MthRem,12), MAX(Inputs!$G$15-IF(V$1=0,0,V$1*12+MthOff), 0))*Inputs!$B$17</f>
        <v>0</v>
      </c>
      <c r="X24" s="7">
        <f ca="1">MIN(IF(W$1=0,MthRem,12), MAX(Inputs!$G$15-IF(W$1=0,0,W$1*12+MthOff), 0))*Inputs!$B$17</f>
        <v>0</v>
      </c>
      <c r="Y24" s="7">
        <f ca="1">MIN(IF(X$1=0,MthRem,12), MAX(Inputs!$G$15-IF(X$1=0,0,X$1*12+MthOff), 0))*Inputs!$B$17</f>
        <v>0</v>
      </c>
      <c r="Z24" s="7">
        <f ca="1">MIN(IF(Y$1=0,MthRem,12), MAX(Inputs!$G$15-IF(Y$1=0,0,Y$1*12+MthOff), 0))*Inputs!$B$17</f>
        <v>0</v>
      </c>
      <c r="AA24" s="7">
        <f ca="1">MIN(IF(Z$1=0,MthRem,12), MAX(Inputs!$G$15-IF(Z$1=0,0,Z$1*12+MthOff), 0))*Inputs!$B$17</f>
        <v>0</v>
      </c>
      <c r="AB24" s="7">
        <f ca="1">MIN(IF(AA$1=0,MthRem,12), MAX(Inputs!$G$15-IF(AA$1=0,0,AA$1*12+MthOff), 0))*Inputs!$B$17</f>
        <v>0</v>
      </c>
      <c r="AC24" s="7">
        <f ca="1">MIN(IF(AB$1=0,MthRem,12), MAX(Inputs!$G$15-IF(AB$1=0,0,AB$1*12+MthOff), 0))*Inputs!$B$17</f>
        <v>0</v>
      </c>
      <c r="AD24" s="7">
        <f ca="1">MIN(IF(AC$1=0,MthRem,12), MAX(Inputs!$G$15-IF(AC$1=0,0,AC$1*12+MthOff), 0))*Inputs!$B$17</f>
        <v>0</v>
      </c>
      <c r="AE24" s="7">
        <f ca="1">MIN(IF(AD$1=0,MthRem,12), MAX(Inputs!$G$15-IF(AD$1=0,0,AD$1*12+MthOff), 0))*Inputs!$B$17</f>
        <v>0</v>
      </c>
      <c r="AF24" s="7">
        <f ca="1">MIN(IF(AE$1=0,MthRem,12), MAX(Inputs!$G$15-IF(AE$1=0,0,AE$1*12+MthOff), 0))*Inputs!$B$17</f>
        <v>0</v>
      </c>
      <c r="AG24" s="7">
        <f ca="1">MIN(IF(AF$1=0,MthRem,12), MAX(Inputs!$G$15-IF(AF$1=0,0,AF$1*12+MthOff), 0))*Inputs!$B$17</f>
        <v>0</v>
      </c>
      <c r="AH24" s="7">
        <f ca="1">MIN(IF(AG$1=0,MthRem,12), MAX(Inputs!$G$15-IF(AG$1=0,0,AG$1*12+MthOff), 0))*Inputs!$B$17</f>
        <v>0</v>
      </c>
      <c r="AI24" s="7">
        <f ca="1">MIN(IF(AH$1=0,MthRem,12), MAX(Inputs!$G$15-IF(AH$1=0,0,AH$1*12+MthOff), 0))*Inputs!$B$17</f>
        <v>0</v>
      </c>
      <c r="AJ24" s="7">
        <f ca="1">MIN(IF(AI$1=0,MthRem,12), MAX(Inputs!$G$15-IF(AI$1=0,0,AI$1*12+MthOff), 0))*Inputs!$B$17</f>
        <v>0</v>
      </c>
      <c r="AK24" s="7">
        <f ca="1">MIN(IF(AJ$1=0,MthRem,12), MAX(Inputs!$G$15-IF(AJ$1=0,0,AJ$1*12+MthOff), 0))*Inputs!$B$17</f>
        <v>0</v>
      </c>
      <c r="AL24" s="7">
        <f ca="1">MIN(IF(AK$1=0,MthRem,12), MAX(Inputs!$G$15-IF(AK$1=0,0,AK$1*12+MthOff), 0))*Inputs!$B$17</f>
        <v>0</v>
      </c>
      <c r="AM24" s="7">
        <f ca="1">MIN(IF(AL$1=0,MthRem,12), MAX(Inputs!$G$15-IF(AL$1=0,0,AL$1*12+MthOff), 0))*Inputs!$B$17</f>
        <v>0</v>
      </c>
    </row>
    <row r="25" spans="1:39" x14ac:dyDescent="0.2">
      <c r="A25" s="4" t="s">
        <v>53</v>
      </c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7"/>
      <c r="AJ25" s="7"/>
      <c r="AK25" s="7"/>
      <c r="AL25" s="7"/>
      <c r="AM25" s="7"/>
    </row>
    <row r="26" spans="1:39" x14ac:dyDescent="0.2">
      <c r="A26" s="3" t="str">
        <f>TEXT(Inputs!$B$60,"")</f>
        <v>Sliema</v>
      </c>
      <c r="C26" s="7">
        <f ca="1">MIN(IF(B$1=0,MthRem,12), MAX(Inputs!$G$100-IF(B$1=0,0,B$1*12+MthOff), 0))*Inputs!$B$102</f>
        <v>5000</v>
      </c>
      <c r="D26" s="7">
        <f ca="1">MIN(IF(C$1=0,MthRem,12), MAX(Inputs!$G$100-IF(C$1=0,0,C$1*12+MthOff), 0))*Inputs!$B$102</f>
        <v>6000</v>
      </c>
      <c r="E26" s="7">
        <f ca="1">MIN(IF(D$1=0,MthRem,12), MAX(Inputs!$G$100-IF(D$1=0,0,D$1*12+MthOff), 0))*Inputs!$B$102</f>
        <v>6000</v>
      </c>
      <c r="F26" s="7">
        <f ca="1">MIN(IF(E$1=0,MthRem,12), MAX(Inputs!$G$100-IF(E$1=0,0,E$1*12+MthOff), 0))*Inputs!$B$102</f>
        <v>6000</v>
      </c>
      <c r="G26" s="7">
        <f ca="1">MIN(IF(F$1=0,MthRem,12), MAX(Inputs!$G$100-IF(F$1=0,0,F$1*12+MthOff), 0))*Inputs!$B$102</f>
        <v>6000</v>
      </c>
      <c r="H26" s="7">
        <f ca="1">MIN(IF(G$1=0,MthRem,12), MAX(Inputs!$G$100-IF(G$1=0,0,G$1*12+MthOff), 0))*Inputs!$B$102</f>
        <v>6000</v>
      </c>
      <c r="I26" s="7">
        <f ca="1">MIN(IF(H$1=0,MthRem,12), MAX(Inputs!$G$100-IF(H$1=0,0,H$1*12+MthOff), 0))*Inputs!$B$102</f>
        <v>6000</v>
      </c>
      <c r="J26" s="7">
        <f ca="1">MIN(IF(I$1=0,MthRem,12), MAX(Inputs!$G$100-IF(I$1=0,0,I$1*12+MthOff), 0))*Inputs!$B$102</f>
        <v>6000</v>
      </c>
      <c r="K26" s="7">
        <f ca="1">MIN(IF(J$1=0,MthRem,12), MAX(Inputs!$G$100-IF(J$1=0,0,J$1*12+MthOff), 0))*Inputs!$B$102</f>
        <v>6000</v>
      </c>
      <c r="L26" s="7">
        <f ca="1">MIN(IF(K$1=0,MthRem,12), MAX(Inputs!$G$100-IF(K$1=0,0,K$1*12+MthOff), 0))*Inputs!$B$102</f>
        <v>4608.3050789871932</v>
      </c>
      <c r="M26" s="7">
        <f ca="1">MIN(IF(L$1=0,MthRem,12), MAX(Inputs!$G$100-IF(L$1=0,0,L$1*12+MthOff), 0))*Inputs!$B$102</f>
        <v>0</v>
      </c>
      <c r="N26" s="7">
        <f ca="1">MIN(IF(M$1=0,MthRem,12), MAX(Inputs!$G$100-IF(M$1=0,0,M$1*12+MthOff), 0))*Inputs!$B$102</f>
        <v>0</v>
      </c>
      <c r="O26" s="7">
        <f ca="1">MIN(IF(N$1=0,MthRem,12), MAX(Inputs!$G$100-IF(N$1=0,0,N$1*12+MthOff), 0))*Inputs!$B$102</f>
        <v>0</v>
      </c>
      <c r="P26" s="7">
        <f ca="1">MIN(IF(O$1=0,MthRem,12), MAX(Inputs!$G$100-IF(O$1=0,0,O$1*12+MthOff), 0))*Inputs!$B$102</f>
        <v>0</v>
      </c>
      <c r="Q26" s="7">
        <f ca="1">MIN(IF(P$1=0,MthRem,12), MAX(Inputs!$G$100-IF(P$1=0,0,P$1*12+MthOff), 0))*Inputs!$B$102</f>
        <v>0</v>
      </c>
      <c r="R26" s="7">
        <f ca="1">MIN(IF(Q$1=0,MthRem,12), MAX(Inputs!$G$100-IF(Q$1=0,0,Q$1*12+MthOff), 0))*Inputs!$B$102</f>
        <v>0</v>
      </c>
      <c r="S26" s="7">
        <f ca="1">MIN(IF(R$1=0,MthRem,12), MAX(Inputs!$G$100-IF(R$1=0,0,R$1*12+MthOff), 0))*Inputs!$B$102</f>
        <v>0</v>
      </c>
      <c r="T26" s="7">
        <f ca="1">MIN(IF(S$1=0,MthRem,12), MAX(Inputs!$G$100-IF(S$1=0,0,S$1*12+MthOff), 0))*Inputs!$B$102</f>
        <v>0</v>
      </c>
      <c r="U26" s="7">
        <f ca="1">MIN(IF(T$1=0,MthRem,12), MAX(Inputs!$G$100-IF(T$1=0,0,T$1*12+MthOff), 0))*Inputs!$B$102</f>
        <v>0</v>
      </c>
      <c r="V26" s="7">
        <f ca="1">MIN(IF(U$1=0,MthRem,12), MAX(Inputs!$G$100-IF(U$1=0,0,U$1*12+MthOff), 0))*Inputs!$B$102</f>
        <v>0</v>
      </c>
      <c r="W26" s="7">
        <f ca="1">MIN(IF(V$1=0,MthRem,12), MAX(Inputs!$G$100-IF(V$1=0,0,V$1*12+MthOff), 0))*Inputs!$B$102</f>
        <v>0</v>
      </c>
      <c r="X26" s="7">
        <f ca="1">MIN(IF(W$1=0,MthRem,12), MAX(Inputs!$G$100-IF(W$1=0,0,W$1*12+MthOff), 0))*Inputs!$B$102</f>
        <v>0</v>
      </c>
      <c r="Y26" s="7">
        <f ca="1">MIN(IF(X$1=0,MthRem,12), MAX(Inputs!$G$100-IF(X$1=0,0,X$1*12+MthOff), 0))*Inputs!$B$102</f>
        <v>0</v>
      </c>
      <c r="Z26" s="7">
        <f ca="1">MIN(IF(Y$1=0,MthRem,12), MAX(Inputs!$G$100-IF(Y$1=0,0,Y$1*12+MthOff), 0))*Inputs!$B$102</f>
        <v>0</v>
      </c>
      <c r="AA26" s="7">
        <f ca="1">MIN(IF(Z$1=0,MthRem,12), MAX(Inputs!$G$100-IF(Z$1=0,0,Z$1*12+MthOff), 0))*Inputs!$B$102</f>
        <v>0</v>
      </c>
      <c r="AB26" s="7">
        <f ca="1">MIN(IF(AA$1=0,MthRem,12), MAX(Inputs!$G$100-IF(AA$1=0,0,AA$1*12+MthOff), 0))*Inputs!$B$102</f>
        <v>0</v>
      </c>
      <c r="AC26" s="7">
        <f ca="1">MIN(IF(AB$1=0,MthRem,12), MAX(Inputs!$G$100-IF(AB$1=0,0,AB$1*12+MthOff), 0))*Inputs!$B$102</f>
        <v>0</v>
      </c>
      <c r="AD26" s="7">
        <f ca="1">MIN(IF(AC$1=0,MthRem,12), MAX(Inputs!$G$100-IF(AC$1=0,0,AC$1*12+MthOff), 0))*Inputs!$B$102</f>
        <v>0</v>
      </c>
      <c r="AE26" s="7">
        <f ca="1">MIN(IF(AD$1=0,MthRem,12), MAX(Inputs!$G$100-IF(AD$1=0,0,AD$1*12+MthOff), 0))*Inputs!$B$102</f>
        <v>0</v>
      </c>
      <c r="AF26" s="7">
        <f ca="1">MIN(IF(AE$1=0,MthRem,12), MAX(Inputs!$G$100-IF(AE$1=0,0,AE$1*12+MthOff), 0))*Inputs!$B$102</f>
        <v>0</v>
      </c>
      <c r="AG26" s="7">
        <f ca="1">MIN(IF(AF$1=0,MthRem,12), MAX(Inputs!$G$100-IF(AF$1=0,0,AF$1*12+MthOff), 0))*Inputs!$B$102</f>
        <v>0</v>
      </c>
      <c r="AH26" s="7">
        <f ca="1">MIN(IF(AG$1=0,MthRem,12), MAX(Inputs!$G$100-IF(AG$1=0,0,AG$1*12+MthOff), 0))*Inputs!$B$102</f>
        <v>0</v>
      </c>
      <c r="AI26" s="7">
        <f ca="1">MIN(IF(AH$1=0,MthRem,12), MAX(Inputs!$G$100-IF(AH$1=0,0,AH$1*12+MthOff), 0))*Inputs!$B$102</f>
        <v>0</v>
      </c>
      <c r="AJ26" s="7">
        <f ca="1">MIN(IF(AI$1=0,MthRem,12), MAX(Inputs!$G$100-IF(AI$1=0,0,AI$1*12+MthOff), 0))*Inputs!$B$102</f>
        <v>0</v>
      </c>
      <c r="AK26" s="7">
        <f ca="1">MIN(IF(AJ$1=0,MthRem,12), MAX(Inputs!$G$100-IF(AJ$1=0,0,AJ$1*12+MthOff), 0))*Inputs!$B$102</f>
        <v>0</v>
      </c>
      <c r="AL26" s="7">
        <f ca="1">MIN(IF(AK$1=0,MthRem,12), MAX(Inputs!$G$100-IF(AK$1=0,0,AK$1*12+MthOff), 0))*Inputs!$B$102</f>
        <v>0</v>
      </c>
      <c r="AM26" s="7">
        <f ca="1">MIN(IF(AL$1=0,MthRem,12), MAX(Inputs!$G$100-IF(AL$1=0,0,AL$1*12+MthOff), 0))*Inputs!$B$102</f>
        <v>0</v>
      </c>
    </row>
    <row r="27" spans="1:39" x14ac:dyDescent="0.2">
      <c r="A27" s="3" t="str">
        <f>TEXT(Inputs!$B$65,"")</f>
        <v>Gzira</v>
      </c>
      <c r="C27" s="7">
        <f ca="1">MIN(IF(B$1=0,MthRem,12), MAX(Inputs!$G$105-IF(B$1=0,0,B$1*12+MthOff), 0))*Inputs!$B$107</f>
        <v>2000</v>
      </c>
      <c r="D27" s="7">
        <f ca="1">MIN(IF(C$1=0,MthRem,12), MAX(Inputs!$G$105-IF(C$1=0,0,C$1*12+MthOff), 0))*Inputs!$B$107</f>
        <v>2400</v>
      </c>
      <c r="E27" s="7">
        <f ca="1">MIN(IF(D$1=0,MthRem,12), MAX(Inputs!$G$105-IF(D$1=0,0,D$1*12+MthOff), 0))*Inputs!$B$107</f>
        <v>2400</v>
      </c>
      <c r="F27" s="7">
        <f ca="1">MIN(IF(E$1=0,MthRem,12), MAX(Inputs!$G$105-IF(E$1=0,0,E$1*12+MthOff), 0))*Inputs!$B$107</f>
        <v>2023.4029019573059</v>
      </c>
      <c r="G27" s="7">
        <f ca="1">MIN(IF(F$1=0,MthRem,12), MAX(Inputs!$G$105-IF(F$1=0,0,F$1*12+MthOff), 0))*Inputs!$B$107</f>
        <v>0</v>
      </c>
      <c r="H27" s="7">
        <f ca="1">MIN(IF(G$1=0,MthRem,12), MAX(Inputs!$G$105-IF(G$1=0,0,G$1*12+MthOff), 0))*Inputs!$B$107</f>
        <v>0</v>
      </c>
      <c r="I27" s="7">
        <f ca="1">MIN(IF(H$1=0,MthRem,12), MAX(Inputs!$G$105-IF(H$1=0,0,H$1*12+MthOff), 0))*Inputs!$B$107</f>
        <v>0</v>
      </c>
      <c r="J27" s="7">
        <f ca="1">MIN(IF(I$1=0,MthRem,12), MAX(Inputs!$G$105-IF(I$1=0,0,I$1*12+MthOff), 0))*Inputs!$B$107</f>
        <v>0</v>
      </c>
      <c r="K27" s="7">
        <f ca="1">MIN(IF(J$1=0,MthRem,12), MAX(Inputs!$G$105-IF(J$1=0,0,J$1*12+MthOff), 0))*Inputs!$B$107</f>
        <v>0</v>
      </c>
      <c r="L27" s="7">
        <f ca="1">MIN(IF(K$1=0,MthRem,12), MAX(Inputs!$G$105-IF(K$1=0,0,K$1*12+MthOff), 0))*Inputs!$B$107</f>
        <v>0</v>
      </c>
      <c r="M27" s="7">
        <f ca="1">MIN(IF(L$1=0,MthRem,12), MAX(Inputs!$G$105-IF(L$1=0,0,L$1*12+MthOff), 0))*Inputs!$B$107</f>
        <v>0</v>
      </c>
      <c r="N27" s="7">
        <f ca="1">MIN(IF(M$1=0,MthRem,12), MAX(Inputs!$G$105-IF(M$1=0,0,M$1*12+MthOff), 0))*Inputs!$B$107</f>
        <v>0</v>
      </c>
      <c r="O27" s="7">
        <f ca="1">MIN(IF(N$1=0,MthRem,12), MAX(Inputs!$G$105-IF(N$1=0,0,N$1*12+MthOff), 0))*Inputs!$B$107</f>
        <v>0</v>
      </c>
      <c r="P27" s="7">
        <f ca="1">MIN(IF(O$1=0,MthRem,12), MAX(Inputs!$G$105-IF(O$1=0,0,O$1*12+MthOff), 0))*Inputs!$B$107</f>
        <v>0</v>
      </c>
      <c r="Q27" s="7">
        <f ca="1">MIN(IF(P$1=0,MthRem,12), MAX(Inputs!$G$105-IF(P$1=0,0,P$1*12+MthOff), 0))*Inputs!$B$107</f>
        <v>0</v>
      </c>
      <c r="R27" s="7">
        <f ca="1">MIN(IF(Q$1=0,MthRem,12), MAX(Inputs!$G$105-IF(Q$1=0,0,Q$1*12+MthOff), 0))*Inputs!$B$107</f>
        <v>0</v>
      </c>
      <c r="S27" s="7">
        <f ca="1">MIN(IF(R$1=0,MthRem,12), MAX(Inputs!$G$105-IF(R$1=0,0,R$1*12+MthOff), 0))*Inputs!$B$107</f>
        <v>0</v>
      </c>
      <c r="T27" s="7">
        <f ca="1">MIN(IF(S$1=0,MthRem,12), MAX(Inputs!$G$105-IF(S$1=0,0,S$1*12+MthOff), 0))*Inputs!$B$107</f>
        <v>0</v>
      </c>
      <c r="U27" s="7">
        <f ca="1">MIN(IF(T$1=0,MthRem,12), MAX(Inputs!$G$105-IF(T$1=0,0,T$1*12+MthOff), 0))*Inputs!$B$107</f>
        <v>0</v>
      </c>
      <c r="V27" s="7">
        <f ca="1">MIN(IF(U$1=0,MthRem,12), MAX(Inputs!$G$105-IF(U$1=0,0,U$1*12+MthOff), 0))*Inputs!$B$107</f>
        <v>0</v>
      </c>
      <c r="W27" s="7">
        <f ca="1">MIN(IF(V$1=0,MthRem,12), MAX(Inputs!$G$105-IF(V$1=0,0,V$1*12+MthOff), 0))*Inputs!$B$107</f>
        <v>0</v>
      </c>
      <c r="X27" s="7">
        <f ca="1">MIN(IF(W$1=0,MthRem,12), MAX(Inputs!$G$105-IF(W$1=0,0,W$1*12+MthOff), 0))*Inputs!$B$107</f>
        <v>0</v>
      </c>
      <c r="Y27" s="7">
        <f ca="1">MIN(IF(X$1=0,MthRem,12), MAX(Inputs!$G$105-IF(X$1=0,0,X$1*12+MthOff), 0))*Inputs!$B$107</f>
        <v>0</v>
      </c>
      <c r="Z27" s="7">
        <f ca="1">MIN(IF(Y$1=0,MthRem,12), MAX(Inputs!$G$105-IF(Y$1=0,0,Y$1*12+MthOff), 0))*Inputs!$B$107</f>
        <v>0</v>
      </c>
      <c r="AA27" s="7">
        <f ca="1">MIN(IF(Z$1=0,MthRem,12), MAX(Inputs!$G$105-IF(Z$1=0,0,Z$1*12+MthOff), 0))*Inputs!$B$107</f>
        <v>0</v>
      </c>
      <c r="AB27" s="7">
        <f ca="1">MIN(IF(AA$1=0,MthRem,12), MAX(Inputs!$G$105-IF(AA$1=0,0,AA$1*12+MthOff), 0))*Inputs!$B$107</f>
        <v>0</v>
      </c>
      <c r="AC27" s="7">
        <f ca="1">MIN(IF(AB$1=0,MthRem,12), MAX(Inputs!$G$105-IF(AB$1=0,0,AB$1*12+MthOff), 0))*Inputs!$B$107</f>
        <v>0</v>
      </c>
      <c r="AD27" s="7">
        <f ca="1">MIN(IF(AC$1=0,MthRem,12), MAX(Inputs!$G$105-IF(AC$1=0,0,AC$1*12+MthOff), 0))*Inputs!$B$107</f>
        <v>0</v>
      </c>
      <c r="AE27" s="7">
        <f ca="1">MIN(IF(AD$1=0,MthRem,12), MAX(Inputs!$G$105-IF(AD$1=0,0,AD$1*12+MthOff), 0))*Inputs!$B$107</f>
        <v>0</v>
      </c>
      <c r="AF27" s="7">
        <f ca="1">MIN(IF(AE$1=0,MthRem,12), MAX(Inputs!$G$105-IF(AE$1=0,0,AE$1*12+MthOff), 0))*Inputs!$B$107</f>
        <v>0</v>
      </c>
      <c r="AG27" s="7">
        <f ca="1">MIN(IF(AF$1=0,MthRem,12), MAX(Inputs!$G$105-IF(AF$1=0,0,AF$1*12+MthOff), 0))*Inputs!$B$107</f>
        <v>0</v>
      </c>
      <c r="AH27" s="7">
        <f ca="1">MIN(IF(AG$1=0,MthRem,12), MAX(Inputs!$G$105-IF(AG$1=0,0,AG$1*12+MthOff), 0))*Inputs!$B$107</f>
        <v>0</v>
      </c>
      <c r="AI27" s="7">
        <f ca="1">MIN(IF(AH$1=0,MthRem,12), MAX(Inputs!$G$105-IF(AH$1=0,0,AH$1*12+MthOff), 0))*Inputs!$B$107</f>
        <v>0</v>
      </c>
      <c r="AJ27" s="7">
        <f ca="1">MIN(IF(AI$1=0,MthRem,12), MAX(Inputs!$G$105-IF(AI$1=0,0,AI$1*12+MthOff), 0))*Inputs!$B$107</f>
        <v>0</v>
      </c>
      <c r="AK27" s="7">
        <f ca="1">MIN(IF(AJ$1=0,MthRem,12), MAX(Inputs!$G$105-IF(AJ$1=0,0,AJ$1*12+MthOff), 0))*Inputs!$B$107</f>
        <v>0</v>
      </c>
      <c r="AL27" s="7">
        <f ca="1">MIN(IF(AK$1=0,MthRem,12), MAX(Inputs!$G$105-IF(AK$1=0,0,AK$1*12+MthOff), 0))*Inputs!$B$107</f>
        <v>0</v>
      </c>
      <c r="AM27" s="7">
        <f ca="1">MIN(IF(AL$1=0,MthRem,12), MAX(Inputs!$G$105-IF(AL$1=0,0,AL$1*12+MthOff), 0))*Inputs!$B$107</f>
        <v>0</v>
      </c>
    </row>
    <row r="28" spans="1:39" x14ac:dyDescent="0.2">
      <c r="A28" s="3" t="str">
        <f>TEXT(Inputs!$B$70,"")</f>
        <v>Qormi</v>
      </c>
      <c r="C28" s="7">
        <f ca="1">MIN(IF(B$1=0,MthRem,12), MAX(Inputs!$G$110-IF(B$1=0,0,B$1*12+MthOff), 0))*Inputs!$B$112</f>
        <v>2500</v>
      </c>
      <c r="D28" s="7">
        <f ca="1">MIN(IF(C$1=0,MthRem,12), MAX(Inputs!$G$110-IF(C$1=0,0,C$1*12+MthOff), 0))*Inputs!$B$112</f>
        <v>3000</v>
      </c>
      <c r="E28" s="7">
        <f ca="1">MIN(IF(D$1=0,MthRem,12), MAX(Inputs!$G$110-IF(D$1=0,0,D$1*12+MthOff), 0))*Inputs!$B$112</f>
        <v>3000</v>
      </c>
      <c r="F28" s="7">
        <f ca="1">MIN(IF(E$1=0,MthRem,12), MAX(Inputs!$G$110-IF(E$1=0,0,E$1*12+MthOff), 0))*Inputs!$B$112</f>
        <v>3000</v>
      </c>
      <c r="G28" s="7">
        <f ca="1">MIN(IF(F$1=0,MthRem,12), MAX(Inputs!$G$110-IF(F$1=0,0,F$1*12+MthOff), 0))*Inputs!$B$112</f>
        <v>3000</v>
      </c>
      <c r="H28" s="7">
        <f ca="1">MIN(IF(G$1=0,MthRem,12), MAX(Inputs!$G$110-IF(G$1=0,0,G$1*12+MthOff), 0))*Inputs!$B$112</f>
        <v>2796.8596856502154</v>
      </c>
      <c r="I28" s="7">
        <f ca="1">MIN(IF(H$1=0,MthRem,12), MAX(Inputs!$G$110-IF(H$1=0,0,H$1*12+MthOff), 0))*Inputs!$B$112</f>
        <v>0</v>
      </c>
      <c r="J28" s="7">
        <f ca="1">MIN(IF(I$1=0,MthRem,12), MAX(Inputs!$G$110-IF(I$1=0,0,I$1*12+MthOff), 0))*Inputs!$B$112</f>
        <v>0</v>
      </c>
      <c r="K28" s="7">
        <f ca="1">MIN(IF(J$1=0,MthRem,12), MAX(Inputs!$G$110-IF(J$1=0,0,J$1*12+MthOff), 0))*Inputs!$B$112</f>
        <v>0</v>
      </c>
      <c r="L28" s="7">
        <f ca="1">MIN(IF(K$1=0,MthRem,12), MAX(Inputs!$G$110-IF(K$1=0,0,K$1*12+MthOff), 0))*Inputs!$B$112</f>
        <v>0</v>
      </c>
      <c r="M28" s="7">
        <f ca="1">MIN(IF(L$1=0,MthRem,12), MAX(Inputs!$G$110-IF(L$1=0,0,L$1*12+MthOff), 0))*Inputs!$B$112</f>
        <v>0</v>
      </c>
      <c r="N28" s="7">
        <f ca="1">MIN(IF(M$1=0,MthRem,12), MAX(Inputs!$G$110-IF(M$1=0,0,M$1*12+MthOff), 0))*Inputs!$B$112</f>
        <v>0</v>
      </c>
      <c r="O28" s="7">
        <f ca="1">MIN(IF(N$1=0,MthRem,12), MAX(Inputs!$G$110-IF(N$1=0,0,N$1*12+MthOff), 0))*Inputs!$B$112</f>
        <v>0</v>
      </c>
      <c r="P28" s="7">
        <f ca="1">MIN(IF(O$1=0,MthRem,12), MAX(Inputs!$G$110-IF(O$1=0,0,O$1*12+MthOff), 0))*Inputs!$B$112</f>
        <v>0</v>
      </c>
      <c r="Q28" s="7">
        <f ca="1">MIN(IF(P$1=0,MthRem,12), MAX(Inputs!$G$110-IF(P$1=0,0,P$1*12+MthOff), 0))*Inputs!$B$112</f>
        <v>0</v>
      </c>
      <c r="R28" s="7">
        <f ca="1">MIN(IF(Q$1=0,MthRem,12), MAX(Inputs!$G$110-IF(Q$1=0,0,Q$1*12+MthOff), 0))*Inputs!$B$112</f>
        <v>0</v>
      </c>
      <c r="S28" s="7">
        <f ca="1">MIN(IF(R$1=0,MthRem,12), MAX(Inputs!$G$110-IF(R$1=0,0,R$1*12+MthOff), 0))*Inputs!$B$112</f>
        <v>0</v>
      </c>
      <c r="T28" s="7">
        <f ca="1">MIN(IF(S$1=0,MthRem,12), MAX(Inputs!$G$110-IF(S$1=0,0,S$1*12+MthOff), 0))*Inputs!$B$112</f>
        <v>0</v>
      </c>
      <c r="U28" s="7">
        <f ca="1">MIN(IF(T$1=0,MthRem,12), MAX(Inputs!$G$110-IF(T$1=0,0,T$1*12+MthOff), 0))*Inputs!$B$112</f>
        <v>0</v>
      </c>
      <c r="V28" s="7">
        <f ca="1">MIN(IF(U$1=0,MthRem,12), MAX(Inputs!$G$110-IF(U$1=0,0,U$1*12+MthOff), 0))*Inputs!$B$112</f>
        <v>0</v>
      </c>
      <c r="W28" s="7">
        <f ca="1">MIN(IF(V$1=0,MthRem,12), MAX(Inputs!$G$110-IF(V$1=0,0,V$1*12+MthOff), 0))*Inputs!$B$112</f>
        <v>0</v>
      </c>
      <c r="X28" s="7">
        <f ca="1">MIN(IF(W$1=0,MthRem,12), MAX(Inputs!$G$110-IF(W$1=0,0,W$1*12+MthOff), 0))*Inputs!$B$112</f>
        <v>0</v>
      </c>
      <c r="Y28" s="7">
        <f ca="1">MIN(IF(X$1=0,MthRem,12), MAX(Inputs!$G$110-IF(X$1=0,0,X$1*12+MthOff), 0))*Inputs!$B$112</f>
        <v>0</v>
      </c>
      <c r="Z28" s="7">
        <f ca="1">MIN(IF(Y$1=0,MthRem,12), MAX(Inputs!$G$110-IF(Y$1=0,0,Y$1*12+MthOff), 0))*Inputs!$B$112</f>
        <v>0</v>
      </c>
      <c r="AA28" s="7">
        <f ca="1">MIN(IF(Z$1=0,MthRem,12), MAX(Inputs!$G$110-IF(Z$1=0,0,Z$1*12+MthOff), 0))*Inputs!$B$112</f>
        <v>0</v>
      </c>
      <c r="AB28" s="7">
        <f ca="1">MIN(IF(AA$1=0,MthRem,12), MAX(Inputs!$G$110-IF(AA$1=0,0,AA$1*12+MthOff), 0))*Inputs!$B$112</f>
        <v>0</v>
      </c>
      <c r="AC28" s="7">
        <f ca="1">MIN(IF(AB$1=0,MthRem,12), MAX(Inputs!$G$110-IF(AB$1=0,0,AB$1*12+MthOff), 0))*Inputs!$B$112</f>
        <v>0</v>
      </c>
      <c r="AD28" s="7">
        <f ca="1">MIN(IF(AC$1=0,MthRem,12), MAX(Inputs!$G$110-IF(AC$1=0,0,AC$1*12+MthOff), 0))*Inputs!$B$112</f>
        <v>0</v>
      </c>
      <c r="AE28" s="7">
        <f ca="1">MIN(IF(AD$1=0,MthRem,12), MAX(Inputs!$G$110-IF(AD$1=0,0,AD$1*12+MthOff), 0))*Inputs!$B$112</f>
        <v>0</v>
      </c>
      <c r="AF28" s="7">
        <f ca="1">MIN(IF(AE$1=0,MthRem,12), MAX(Inputs!$G$110-IF(AE$1=0,0,AE$1*12+MthOff), 0))*Inputs!$B$112</f>
        <v>0</v>
      </c>
      <c r="AG28" s="7">
        <f ca="1">MIN(IF(AF$1=0,MthRem,12), MAX(Inputs!$G$110-IF(AF$1=0,0,AF$1*12+MthOff), 0))*Inputs!$B$112</f>
        <v>0</v>
      </c>
      <c r="AH28" s="7">
        <f ca="1">MIN(IF(AG$1=0,MthRem,12), MAX(Inputs!$G$110-IF(AG$1=0,0,AG$1*12+MthOff), 0))*Inputs!$B$112</f>
        <v>0</v>
      </c>
      <c r="AI28" s="7">
        <f ca="1">MIN(IF(AH$1=0,MthRem,12), MAX(Inputs!$G$110-IF(AH$1=0,0,AH$1*12+MthOff), 0))*Inputs!$B$112</f>
        <v>0</v>
      </c>
      <c r="AJ28" s="7">
        <f ca="1">MIN(IF(AI$1=0,MthRem,12), MAX(Inputs!$G$110-IF(AI$1=0,0,AI$1*12+MthOff), 0))*Inputs!$B$112</f>
        <v>0</v>
      </c>
      <c r="AK28" s="7">
        <f ca="1">MIN(IF(AJ$1=0,MthRem,12), MAX(Inputs!$G$110-IF(AJ$1=0,0,AJ$1*12+MthOff), 0))*Inputs!$B$112</f>
        <v>0</v>
      </c>
      <c r="AL28" s="7">
        <f ca="1">MIN(IF(AK$1=0,MthRem,12), MAX(Inputs!$G$110-IF(AK$1=0,0,AK$1*12+MthOff), 0))*Inputs!$B$112</f>
        <v>0</v>
      </c>
      <c r="AM28" s="7">
        <f ca="1">MIN(IF(AL$1=0,MthRem,12), MAX(Inputs!$G$110-IF(AL$1=0,0,AL$1*12+MthOff), 0))*Inputs!$B$112</f>
        <v>0</v>
      </c>
    </row>
    <row r="29" spans="1:39" x14ac:dyDescent="0.2">
      <c r="A29" s="3" t="str">
        <f>TEXT(Inputs!$B$75,"")</f>
        <v>Gudja</v>
      </c>
      <c r="C29" s="7">
        <f ca="1">MIN(IF(B$1=0,MthRem,12), MAX(Inputs!$G$115-IF(B$1=0,0,B$1*12+MthOff), 0))*Inputs!$B$117</f>
        <v>800</v>
      </c>
      <c r="D29" s="7">
        <f ca="1">MIN(IF(C$1=0,MthRem,12), MAX(Inputs!$G$115-IF(C$1=0,0,C$1*12+MthOff), 0))*Inputs!$B$117</f>
        <v>960</v>
      </c>
      <c r="E29" s="7">
        <f ca="1">MIN(IF(D$1=0,MthRem,12), MAX(Inputs!$G$115-IF(D$1=0,0,D$1*12+MthOff), 0))*Inputs!$B$117</f>
        <v>960</v>
      </c>
      <c r="F29" s="7">
        <f ca="1">MIN(IF(E$1=0,MthRem,12), MAX(Inputs!$G$115-IF(E$1=0,0,E$1*12+MthOff), 0))*Inputs!$B$117</f>
        <v>960</v>
      </c>
      <c r="G29" s="7">
        <f ca="1">MIN(IF(F$1=0,MthRem,12), MAX(Inputs!$G$115-IF(F$1=0,0,F$1*12+MthOff), 0))*Inputs!$B$117</f>
        <v>960</v>
      </c>
      <c r="H29" s="7">
        <f ca="1">MIN(IF(G$1=0,MthRem,12), MAX(Inputs!$G$115-IF(G$1=0,0,G$1*12+MthOff), 0))*Inputs!$B$117</f>
        <v>288.25858585362369</v>
      </c>
      <c r="I29" s="7">
        <f ca="1">MIN(IF(H$1=0,MthRem,12), MAX(Inputs!$G$115-IF(H$1=0,0,H$1*12+MthOff), 0))*Inputs!$B$117</f>
        <v>0</v>
      </c>
      <c r="J29" s="7">
        <f ca="1">MIN(IF(I$1=0,MthRem,12), MAX(Inputs!$G$115-IF(I$1=0,0,I$1*12+MthOff), 0))*Inputs!$B$117</f>
        <v>0</v>
      </c>
      <c r="K29" s="7">
        <f ca="1">MIN(IF(J$1=0,MthRem,12), MAX(Inputs!$G$115-IF(J$1=0,0,J$1*12+MthOff), 0))*Inputs!$B$117</f>
        <v>0</v>
      </c>
      <c r="L29" s="7">
        <f ca="1">MIN(IF(K$1=0,MthRem,12), MAX(Inputs!$G$115-IF(K$1=0,0,K$1*12+MthOff), 0))*Inputs!$B$117</f>
        <v>0</v>
      </c>
      <c r="M29" s="7">
        <f ca="1">MIN(IF(L$1=0,MthRem,12), MAX(Inputs!$G$115-IF(L$1=0,0,L$1*12+MthOff), 0))*Inputs!$B$117</f>
        <v>0</v>
      </c>
      <c r="N29" s="7">
        <f ca="1">MIN(IF(M$1=0,MthRem,12), MAX(Inputs!$G$115-IF(M$1=0,0,M$1*12+MthOff), 0))*Inputs!$B$117</f>
        <v>0</v>
      </c>
      <c r="O29" s="7">
        <f ca="1">MIN(IF(N$1=0,MthRem,12), MAX(Inputs!$G$115-IF(N$1=0,0,N$1*12+MthOff), 0))*Inputs!$B$117</f>
        <v>0</v>
      </c>
      <c r="P29" s="7">
        <f ca="1">MIN(IF(O$1=0,MthRem,12), MAX(Inputs!$G$115-IF(O$1=0,0,O$1*12+MthOff), 0))*Inputs!$B$117</f>
        <v>0</v>
      </c>
      <c r="Q29" s="7">
        <f ca="1">MIN(IF(P$1=0,MthRem,12), MAX(Inputs!$G$115-IF(P$1=0,0,P$1*12+MthOff), 0))*Inputs!$B$117</f>
        <v>0</v>
      </c>
      <c r="R29" s="7">
        <f ca="1">MIN(IF(Q$1=0,MthRem,12), MAX(Inputs!$G$115-IF(Q$1=0,0,Q$1*12+MthOff), 0))*Inputs!$B$117</f>
        <v>0</v>
      </c>
      <c r="S29" s="7">
        <f ca="1">MIN(IF(R$1=0,MthRem,12), MAX(Inputs!$G$115-IF(R$1=0,0,R$1*12+MthOff), 0))*Inputs!$B$117</f>
        <v>0</v>
      </c>
      <c r="T29" s="7">
        <f ca="1">MIN(IF(S$1=0,MthRem,12), MAX(Inputs!$G$115-IF(S$1=0,0,S$1*12+MthOff), 0))*Inputs!$B$117</f>
        <v>0</v>
      </c>
      <c r="U29" s="7">
        <f ca="1">MIN(IF(T$1=0,MthRem,12), MAX(Inputs!$G$115-IF(T$1=0,0,T$1*12+MthOff), 0))*Inputs!$B$117</f>
        <v>0</v>
      </c>
      <c r="V29" s="7">
        <f ca="1">MIN(IF(U$1=0,MthRem,12), MAX(Inputs!$G$115-IF(U$1=0,0,U$1*12+MthOff), 0))*Inputs!$B$117</f>
        <v>0</v>
      </c>
      <c r="W29" s="7">
        <f ca="1">MIN(IF(V$1=0,MthRem,12), MAX(Inputs!$G$115-IF(V$1=0,0,V$1*12+MthOff), 0))*Inputs!$B$117</f>
        <v>0</v>
      </c>
      <c r="X29" s="7">
        <f ca="1">MIN(IF(W$1=0,MthRem,12), MAX(Inputs!$G$115-IF(W$1=0,0,W$1*12+MthOff), 0))*Inputs!$B$117</f>
        <v>0</v>
      </c>
      <c r="Y29" s="7">
        <f ca="1">MIN(IF(X$1=0,MthRem,12), MAX(Inputs!$G$115-IF(X$1=0,0,X$1*12+MthOff), 0))*Inputs!$B$117</f>
        <v>0</v>
      </c>
      <c r="Z29" s="7">
        <f ca="1">MIN(IF(Y$1=0,MthRem,12), MAX(Inputs!$G$115-IF(Y$1=0,0,Y$1*12+MthOff), 0))*Inputs!$B$117</f>
        <v>0</v>
      </c>
      <c r="AA29" s="7">
        <f ca="1">MIN(IF(Z$1=0,MthRem,12), MAX(Inputs!$G$115-IF(Z$1=0,0,Z$1*12+MthOff), 0))*Inputs!$B$117</f>
        <v>0</v>
      </c>
      <c r="AB29" s="7">
        <f ca="1">MIN(IF(AA$1=0,MthRem,12), MAX(Inputs!$G$115-IF(AA$1=0,0,AA$1*12+MthOff), 0))*Inputs!$B$117</f>
        <v>0</v>
      </c>
      <c r="AC29" s="7">
        <f ca="1">MIN(IF(AB$1=0,MthRem,12), MAX(Inputs!$G$115-IF(AB$1=0,0,AB$1*12+MthOff), 0))*Inputs!$B$117</f>
        <v>0</v>
      </c>
      <c r="AD29" s="7">
        <f ca="1">MIN(IF(AC$1=0,MthRem,12), MAX(Inputs!$G$115-IF(AC$1=0,0,AC$1*12+MthOff), 0))*Inputs!$B$117</f>
        <v>0</v>
      </c>
      <c r="AE29" s="7">
        <f ca="1">MIN(IF(AD$1=0,MthRem,12), MAX(Inputs!$G$115-IF(AD$1=0,0,AD$1*12+MthOff), 0))*Inputs!$B$117</f>
        <v>0</v>
      </c>
      <c r="AF29" s="7">
        <f ca="1">MIN(IF(AE$1=0,MthRem,12), MAX(Inputs!$G$115-IF(AE$1=0,0,AE$1*12+MthOff), 0))*Inputs!$B$117</f>
        <v>0</v>
      </c>
      <c r="AG29" s="7">
        <f ca="1">MIN(IF(AF$1=0,MthRem,12), MAX(Inputs!$G$115-IF(AF$1=0,0,AF$1*12+MthOff), 0))*Inputs!$B$117</f>
        <v>0</v>
      </c>
      <c r="AH29" s="7">
        <f ca="1">MIN(IF(AG$1=0,MthRem,12), MAX(Inputs!$G$115-IF(AG$1=0,0,AG$1*12+MthOff), 0))*Inputs!$B$117</f>
        <v>0</v>
      </c>
      <c r="AI29" s="7">
        <f ca="1">MIN(IF(AH$1=0,MthRem,12), MAX(Inputs!$G$115-IF(AH$1=0,0,AH$1*12+MthOff), 0))*Inputs!$B$117</f>
        <v>0</v>
      </c>
      <c r="AJ29" s="7">
        <f ca="1">MIN(IF(AI$1=0,MthRem,12), MAX(Inputs!$G$115-IF(AI$1=0,0,AI$1*12+MthOff), 0))*Inputs!$B$117</f>
        <v>0</v>
      </c>
      <c r="AK29" s="7">
        <f ca="1">MIN(IF(AJ$1=0,MthRem,12), MAX(Inputs!$G$115-IF(AJ$1=0,0,AJ$1*12+MthOff), 0))*Inputs!$B$117</f>
        <v>0</v>
      </c>
      <c r="AL29" s="7">
        <f ca="1">MIN(IF(AK$1=0,MthRem,12), MAX(Inputs!$G$115-IF(AK$1=0,0,AK$1*12+MthOff), 0))*Inputs!$B$117</f>
        <v>0</v>
      </c>
      <c r="AM29" s="7">
        <f ca="1">MIN(IF(AL$1=0,MthRem,12), MAX(Inputs!$G$115-IF(AL$1=0,0,AL$1*12+MthOff), 0))*Inputs!$B$117</f>
        <v>0</v>
      </c>
    </row>
    <row r="30" spans="1:39" x14ac:dyDescent="0.2">
      <c r="A30" s="3" t="str">
        <f>TEXT(Inputs!$B$80,"")</f>
        <v>Marsa</v>
      </c>
      <c r="C30" s="7">
        <f ca="1">MIN(IF(B$1=0,MthRem,12), MAX(Inputs!$G$120-IF(B$1=0,0,B$1*12+MthOff), 0))*Inputs!$B$122</f>
        <v>1200</v>
      </c>
      <c r="D30" s="7">
        <f ca="1">MIN(IF(C$1=0,MthRem,12), MAX(Inputs!$G$120-IF(C$1=0,0,C$1*12+MthOff), 0))*Inputs!$B$122</f>
        <v>1440</v>
      </c>
      <c r="E30" s="7">
        <f ca="1">MIN(IF(D$1=0,MthRem,12), MAX(Inputs!$G$120-IF(D$1=0,0,D$1*12+MthOff), 0))*Inputs!$B$122</f>
        <v>1440</v>
      </c>
      <c r="F30" s="7">
        <f ca="1">MIN(IF(E$1=0,MthRem,12), MAX(Inputs!$G$120-IF(E$1=0,0,E$1*12+MthOff), 0))*Inputs!$B$122</f>
        <v>1440</v>
      </c>
      <c r="G30" s="7">
        <f ca="1">MIN(IF(F$1=0,MthRem,12), MAX(Inputs!$G$120-IF(F$1=0,0,F$1*12+MthOff), 0))*Inputs!$B$122</f>
        <v>1440</v>
      </c>
      <c r="H30" s="7">
        <f ca="1">MIN(IF(G$1=0,MthRem,12), MAX(Inputs!$G$120-IF(G$1=0,0,G$1*12+MthOff), 0))*Inputs!$B$122</f>
        <v>1440</v>
      </c>
      <c r="I30" s="7">
        <f ca="1">MIN(IF(H$1=0,MthRem,12), MAX(Inputs!$G$120-IF(H$1=0,0,H$1*12+MthOff), 0))*Inputs!$B$122</f>
        <v>1440</v>
      </c>
      <c r="J30" s="7">
        <f ca="1">MIN(IF(I$1=0,MthRem,12), MAX(Inputs!$G$120-IF(I$1=0,0,I$1*12+MthOff), 0))*Inputs!$B$122</f>
        <v>789.24880782033654</v>
      </c>
      <c r="K30" s="7">
        <f ca="1">MIN(IF(J$1=0,MthRem,12), MAX(Inputs!$G$120-IF(J$1=0,0,J$1*12+MthOff), 0))*Inputs!$B$122</f>
        <v>0</v>
      </c>
      <c r="L30" s="7">
        <f ca="1">MIN(IF(K$1=0,MthRem,12), MAX(Inputs!$G$120-IF(K$1=0,0,K$1*12+MthOff), 0))*Inputs!$B$122</f>
        <v>0</v>
      </c>
      <c r="M30" s="7">
        <f ca="1">MIN(IF(L$1=0,MthRem,12), MAX(Inputs!$G$120-IF(L$1=0,0,L$1*12+MthOff), 0))*Inputs!$B$122</f>
        <v>0</v>
      </c>
      <c r="N30" s="7">
        <f ca="1">MIN(IF(M$1=0,MthRem,12), MAX(Inputs!$G$120-IF(M$1=0,0,M$1*12+MthOff), 0))*Inputs!$B$122</f>
        <v>0</v>
      </c>
      <c r="O30" s="7">
        <f ca="1">MIN(IF(N$1=0,MthRem,12), MAX(Inputs!$G$120-IF(N$1=0,0,N$1*12+MthOff), 0))*Inputs!$B$122</f>
        <v>0</v>
      </c>
      <c r="P30" s="7">
        <f ca="1">MIN(IF(O$1=0,MthRem,12), MAX(Inputs!$G$120-IF(O$1=0,0,O$1*12+MthOff), 0))*Inputs!$B$122</f>
        <v>0</v>
      </c>
      <c r="Q30" s="7">
        <f ca="1">MIN(IF(P$1=0,MthRem,12), MAX(Inputs!$G$120-IF(P$1=0,0,P$1*12+MthOff), 0))*Inputs!$B$122</f>
        <v>0</v>
      </c>
      <c r="R30" s="7">
        <f ca="1">MIN(IF(Q$1=0,MthRem,12), MAX(Inputs!$G$120-IF(Q$1=0,0,Q$1*12+MthOff), 0))*Inputs!$B$122</f>
        <v>0</v>
      </c>
      <c r="S30" s="7">
        <f ca="1">MIN(IF(R$1=0,MthRem,12), MAX(Inputs!$G$120-IF(R$1=0,0,R$1*12+MthOff), 0))*Inputs!$B$122</f>
        <v>0</v>
      </c>
      <c r="T30" s="7">
        <f ca="1">MIN(IF(S$1=0,MthRem,12), MAX(Inputs!$G$120-IF(S$1=0,0,S$1*12+MthOff), 0))*Inputs!$B$122</f>
        <v>0</v>
      </c>
      <c r="U30" s="7">
        <f ca="1">MIN(IF(T$1=0,MthRem,12), MAX(Inputs!$G$120-IF(T$1=0,0,T$1*12+MthOff), 0))*Inputs!$B$122</f>
        <v>0</v>
      </c>
      <c r="V30" s="7">
        <f ca="1">MIN(IF(U$1=0,MthRem,12), MAX(Inputs!$G$120-IF(U$1=0,0,U$1*12+MthOff), 0))*Inputs!$B$122</f>
        <v>0</v>
      </c>
      <c r="W30" s="7">
        <f ca="1">MIN(IF(V$1=0,MthRem,12), MAX(Inputs!$G$120-IF(V$1=0,0,V$1*12+MthOff), 0))*Inputs!$B$122</f>
        <v>0</v>
      </c>
      <c r="X30" s="7">
        <f ca="1">MIN(IF(W$1=0,MthRem,12), MAX(Inputs!$G$120-IF(W$1=0,0,W$1*12+MthOff), 0))*Inputs!$B$122</f>
        <v>0</v>
      </c>
      <c r="Y30" s="7">
        <f ca="1">MIN(IF(X$1=0,MthRem,12), MAX(Inputs!$G$120-IF(X$1=0,0,X$1*12+MthOff), 0))*Inputs!$B$122</f>
        <v>0</v>
      </c>
      <c r="Z30" s="7">
        <f ca="1">MIN(IF(Y$1=0,MthRem,12), MAX(Inputs!$G$120-IF(Y$1=0,0,Y$1*12+MthOff), 0))*Inputs!$B$122</f>
        <v>0</v>
      </c>
      <c r="AA30" s="7">
        <f ca="1">MIN(IF(Z$1=0,MthRem,12), MAX(Inputs!$G$120-IF(Z$1=0,0,Z$1*12+MthOff), 0))*Inputs!$B$122</f>
        <v>0</v>
      </c>
      <c r="AB30" s="7">
        <f ca="1">MIN(IF(AA$1=0,MthRem,12), MAX(Inputs!$G$120-IF(AA$1=0,0,AA$1*12+MthOff), 0))*Inputs!$B$122</f>
        <v>0</v>
      </c>
      <c r="AC30" s="7">
        <f ca="1">MIN(IF(AB$1=0,MthRem,12), MAX(Inputs!$G$120-IF(AB$1=0,0,AB$1*12+MthOff), 0))*Inputs!$B$122</f>
        <v>0</v>
      </c>
      <c r="AD30" s="7">
        <f ca="1">MIN(IF(AC$1=0,MthRem,12), MAX(Inputs!$G$120-IF(AC$1=0,0,AC$1*12+MthOff), 0))*Inputs!$B$122</f>
        <v>0</v>
      </c>
      <c r="AE30" s="7">
        <f ca="1">MIN(IF(AD$1=0,MthRem,12), MAX(Inputs!$G$120-IF(AD$1=0,0,AD$1*12+MthOff), 0))*Inputs!$B$122</f>
        <v>0</v>
      </c>
      <c r="AF30" s="7">
        <f ca="1">MIN(IF(AE$1=0,MthRem,12), MAX(Inputs!$G$120-IF(AE$1=0,0,AE$1*12+MthOff), 0))*Inputs!$B$122</f>
        <v>0</v>
      </c>
      <c r="AG30" s="7">
        <f ca="1">MIN(IF(AF$1=0,MthRem,12), MAX(Inputs!$G$120-IF(AF$1=0,0,AF$1*12+MthOff), 0))*Inputs!$B$122</f>
        <v>0</v>
      </c>
      <c r="AH30" s="7">
        <f ca="1">MIN(IF(AG$1=0,MthRem,12), MAX(Inputs!$G$120-IF(AG$1=0,0,AG$1*12+MthOff), 0))*Inputs!$B$122</f>
        <v>0</v>
      </c>
      <c r="AI30" s="7">
        <f ca="1">MIN(IF(AH$1=0,MthRem,12), MAX(Inputs!$G$120-IF(AH$1=0,0,AH$1*12+MthOff), 0))*Inputs!$B$122</f>
        <v>0</v>
      </c>
      <c r="AJ30" s="7">
        <f ca="1">MIN(IF(AI$1=0,MthRem,12), MAX(Inputs!$G$120-IF(AI$1=0,0,AI$1*12+MthOff), 0))*Inputs!$B$122</f>
        <v>0</v>
      </c>
      <c r="AK30" s="7">
        <f ca="1">MIN(IF(AJ$1=0,MthRem,12), MAX(Inputs!$G$120-IF(AJ$1=0,0,AJ$1*12+MthOff), 0))*Inputs!$B$122</f>
        <v>0</v>
      </c>
      <c r="AL30" s="7">
        <f ca="1">MIN(IF(AK$1=0,MthRem,12), MAX(Inputs!$G$120-IF(AK$1=0,0,AK$1*12+MthOff), 0))*Inputs!$B$122</f>
        <v>0</v>
      </c>
      <c r="AM30" s="7">
        <f ca="1">MIN(IF(AL$1=0,MthRem,12), MAX(Inputs!$G$120-IF(AL$1=0,0,AL$1*12+MthOff), 0))*Inputs!$B$122</f>
        <v>0</v>
      </c>
    </row>
    <row r="31" spans="1:39" x14ac:dyDescent="0.2">
      <c r="A31" s="4" t="s">
        <v>35</v>
      </c>
      <c r="C31" s="7">
        <f ca="1">MIN(IF(B$1=0,MthRem,12), MAX(Inputs!$G$125-IF(B$1=0,0,B$1*12+MthOff), 0))*Inputs!$B$127</f>
        <v>500</v>
      </c>
      <c r="D31" s="7">
        <f ca="1">MIN(IF(C$1=0,MthRem,12), MAX(Inputs!$G$125-IF(C$1=0,0,C$1*12+MthOff), 0))*Inputs!$B$127</f>
        <v>600</v>
      </c>
      <c r="E31" s="7">
        <f ca="1">MIN(IF(D$1=0,MthRem,12), MAX(Inputs!$G$125-IF(D$1=0,0,D$1*12+MthOff), 0))*Inputs!$B$127</f>
        <v>600</v>
      </c>
      <c r="F31" s="7">
        <f ca="1">MIN(IF(E$1=0,MthRem,12), MAX(Inputs!$G$125-IF(E$1=0,0,E$1*12+MthOff), 0))*Inputs!$B$127</f>
        <v>600</v>
      </c>
      <c r="G31" s="7">
        <f ca="1">MIN(IF(F$1=0,MthRem,12), MAX(Inputs!$G$125-IF(F$1=0,0,F$1*12+MthOff), 0))*Inputs!$B$127</f>
        <v>600</v>
      </c>
      <c r="H31" s="7">
        <f ca="1">MIN(IF(G$1=0,MthRem,12), MAX(Inputs!$G$125-IF(G$1=0,0,G$1*12+MthOff), 0))*Inputs!$B$127</f>
        <v>600</v>
      </c>
      <c r="I31" s="7">
        <f ca="1">MIN(IF(H$1=0,MthRem,12), MAX(Inputs!$G$125-IF(H$1=0,0,H$1*12+MthOff), 0))*Inputs!$B$127</f>
        <v>600</v>
      </c>
      <c r="J31" s="7">
        <f ca="1">MIN(IF(I$1=0,MthRem,12), MAX(Inputs!$G$125-IF(I$1=0,0,I$1*12+MthOff), 0))*Inputs!$B$127</f>
        <v>600</v>
      </c>
      <c r="K31" s="7">
        <f ca="1">MIN(IF(J$1=0,MthRem,12), MAX(Inputs!$G$125-IF(J$1=0,0,J$1*12+MthOff), 0))*Inputs!$B$127</f>
        <v>421.016262575219</v>
      </c>
      <c r="L31" s="7">
        <f ca="1">MIN(IF(K$1=0,MthRem,12), MAX(Inputs!$G$125-IF(K$1=0,0,K$1*12+MthOff), 0))*Inputs!$B$127</f>
        <v>0</v>
      </c>
      <c r="M31" s="7">
        <f ca="1">MIN(IF(L$1=0,MthRem,12), MAX(Inputs!$G$125-IF(L$1=0,0,L$1*12+MthOff), 0))*Inputs!$B$127</f>
        <v>0</v>
      </c>
      <c r="N31" s="7">
        <f ca="1">MIN(IF(M$1=0,MthRem,12), MAX(Inputs!$G$125-IF(M$1=0,0,M$1*12+MthOff), 0))*Inputs!$B$127</f>
        <v>0</v>
      </c>
      <c r="O31" s="7">
        <f ca="1">MIN(IF(N$1=0,MthRem,12), MAX(Inputs!$G$125-IF(N$1=0,0,N$1*12+MthOff), 0))*Inputs!$B$127</f>
        <v>0</v>
      </c>
      <c r="P31" s="7">
        <f ca="1">MIN(IF(O$1=0,MthRem,12), MAX(Inputs!$G$125-IF(O$1=0,0,O$1*12+MthOff), 0))*Inputs!$B$127</f>
        <v>0</v>
      </c>
      <c r="Q31" s="7">
        <f ca="1">MIN(IF(P$1=0,MthRem,12), MAX(Inputs!$G$125-IF(P$1=0,0,P$1*12+MthOff), 0))*Inputs!$B$127</f>
        <v>0</v>
      </c>
      <c r="R31" s="7">
        <f ca="1">MIN(IF(Q$1=0,MthRem,12), MAX(Inputs!$G$125-IF(Q$1=0,0,Q$1*12+MthOff), 0))*Inputs!$B$127</f>
        <v>0</v>
      </c>
      <c r="S31" s="7">
        <f ca="1">MIN(IF(R$1=0,MthRem,12), MAX(Inputs!$G$125-IF(R$1=0,0,R$1*12+MthOff), 0))*Inputs!$B$127</f>
        <v>0</v>
      </c>
      <c r="T31" s="7">
        <f ca="1">MIN(IF(S$1=0,MthRem,12), MAX(Inputs!$G$125-IF(S$1=0,0,S$1*12+MthOff), 0))*Inputs!$B$127</f>
        <v>0</v>
      </c>
      <c r="U31" s="7">
        <f ca="1">MIN(IF(T$1=0,MthRem,12), MAX(Inputs!$G$125-IF(T$1=0,0,T$1*12+MthOff), 0))*Inputs!$B$127</f>
        <v>0</v>
      </c>
      <c r="V31" s="7">
        <f ca="1">MIN(IF(U$1=0,MthRem,12), MAX(Inputs!$G$125-IF(U$1=0,0,U$1*12+MthOff), 0))*Inputs!$B$127</f>
        <v>0</v>
      </c>
      <c r="W31" s="7">
        <f ca="1">MIN(IF(V$1=0,MthRem,12), MAX(Inputs!$G$125-IF(V$1=0,0,V$1*12+MthOff), 0))*Inputs!$B$127</f>
        <v>0</v>
      </c>
      <c r="X31" s="7">
        <f ca="1">MIN(IF(W$1=0,MthRem,12), MAX(Inputs!$G$125-IF(W$1=0,0,W$1*12+MthOff), 0))*Inputs!$B$127</f>
        <v>0</v>
      </c>
      <c r="Y31" s="7">
        <f ca="1">MIN(IF(X$1=0,MthRem,12), MAX(Inputs!$G$125-IF(X$1=0,0,X$1*12+MthOff), 0))*Inputs!$B$127</f>
        <v>0</v>
      </c>
      <c r="Z31" s="7">
        <f ca="1">MIN(IF(Y$1=0,MthRem,12), MAX(Inputs!$G$125-IF(Y$1=0,0,Y$1*12+MthOff), 0))*Inputs!$B$127</f>
        <v>0</v>
      </c>
      <c r="AA31" s="7">
        <f ca="1">MIN(IF(Z$1=0,MthRem,12), MAX(Inputs!$G$125-IF(Z$1=0,0,Z$1*12+MthOff), 0))*Inputs!$B$127</f>
        <v>0</v>
      </c>
      <c r="AB31" s="7">
        <f ca="1">MIN(IF(AA$1=0,MthRem,12), MAX(Inputs!$G$125-IF(AA$1=0,0,AA$1*12+MthOff), 0))*Inputs!$B$127</f>
        <v>0</v>
      </c>
      <c r="AC31" s="7">
        <f ca="1">MIN(IF(AB$1=0,MthRem,12), MAX(Inputs!$G$125-IF(AB$1=0,0,AB$1*12+MthOff), 0))*Inputs!$B$127</f>
        <v>0</v>
      </c>
      <c r="AD31" s="7">
        <f ca="1">MIN(IF(AC$1=0,MthRem,12), MAX(Inputs!$G$125-IF(AC$1=0,0,AC$1*12+MthOff), 0))*Inputs!$B$127</f>
        <v>0</v>
      </c>
      <c r="AE31" s="7">
        <f ca="1">MIN(IF(AD$1=0,MthRem,12), MAX(Inputs!$G$125-IF(AD$1=0,0,AD$1*12+MthOff), 0))*Inputs!$B$127</f>
        <v>0</v>
      </c>
      <c r="AF31" s="7">
        <f ca="1">MIN(IF(AE$1=0,MthRem,12), MAX(Inputs!$G$125-IF(AE$1=0,0,AE$1*12+MthOff), 0))*Inputs!$B$127</f>
        <v>0</v>
      </c>
      <c r="AG31" s="7">
        <f ca="1">MIN(IF(AF$1=0,MthRem,12), MAX(Inputs!$G$125-IF(AF$1=0,0,AF$1*12+MthOff), 0))*Inputs!$B$127</f>
        <v>0</v>
      </c>
      <c r="AH31" s="7">
        <f ca="1">MIN(IF(AG$1=0,MthRem,12), MAX(Inputs!$G$125-IF(AG$1=0,0,AG$1*12+MthOff), 0))*Inputs!$B$127</f>
        <v>0</v>
      </c>
      <c r="AI31" s="7">
        <f ca="1">MIN(IF(AH$1=0,MthRem,12), MAX(Inputs!$G$125-IF(AH$1=0,0,AH$1*12+MthOff), 0))*Inputs!$B$127</f>
        <v>0</v>
      </c>
      <c r="AJ31" s="7">
        <f ca="1">MIN(IF(AI$1=0,MthRem,12), MAX(Inputs!$G$125-IF(AI$1=0,0,AI$1*12+MthOff), 0))*Inputs!$B$127</f>
        <v>0</v>
      </c>
      <c r="AK31" s="7">
        <f ca="1">MIN(IF(AJ$1=0,MthRem,12), MAX(Inputs!$G$125-IF(AJ$1=0,0,AJ$1*12+MthOff), 0))*Inputs!$B$127</f>
        <v>0</v>
      </c>
      <c r="AL31" s="7">
        <f ca="1">MIN(IF(AK$1=0,MthRem,12), MAX(Inputs!$G$125-IF(AK$1=0,0,AK$1*12+MthOff), 0))*Inputs!$B$127</f>
        <v>0</v>
      </c>
      <c r="AM31" s="7">
        <f ca="1">MIN(IF(AL$1=0,MthRem,12), MAX(Inputs!$G$125-IF(AL$1=0,0,AL$1*12+MthOff), 0))*Inputs!$B$127</f>
        <v>0</v>
      </c>
    </row>
    <row r="32" spans="1:39" x14ac:dyDescent="0.2">
      <c r="A32" s="4" t="s">
        <v>54</v>
      </c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7"/>
      <c r="AJ32" s="7"/>
      <c r="AK32" s="7"/>
      <c r="AL32" s="7"/>
      <c r="AM32" s="7"/>
    </row>
    <row r="33" spans="1:39" x14ac:dyDescent="0.2">
      <c r="A33" s="3" t="str">
        <f>TEXT(Inputs!B33,"")</f>
        <v>John</v>
      </c>
      <c r="B33" s="8"/>
      <c r="C33" s="7">
        <f ca="1">IF(Inputs!$B$35&gt;=C$1,Inputs!$B$34,0)*(1+inf)^B$1*ProRate</f>
        <v>1666.6666666666667</v>
      </c>
      <c r="D33" s="7">
        <f>IF(Inputs!$B$35&gt;=D$1,Inputs!$B$34,0)*(1+inf)^C$1</f>
        <v>2050</v>
      </c>
      <c r="E33" s="7">
        <f>IF(Inputs!$B$35&gt;=E$1,Inputs!$B$34,0)*(1+inf)^D$1</f>
        <v>2101.25</v>
      </c>
      <c r="F33" s="7">
        <f>IF(Inputs!$B$35&gt;=F$1,Inputs!$B$34,0)*(1+inf)^E$1</f>
        <v>0</v>
      </c>
      <c r="G33" s="7">
        <f>IF(Inputs!$B$35&gt;=G$1,Inputs!$B$34,0)*(1+inf)^F$1</f>
        <v>0</v>
      </c>
      <c r="H33" s="7">
        <f>IF(Inputs!$B$35&gt;=H$1,Inputs!$B$34,0)*(1+inf)^G$1</f>
        <v>0</v>
      </c>
      <c r="I33" s="7">
        <f>IF(Inputs!$B$35&gt;=I$1,Inputs!$B$34,0)*(1+inf)^H$1</f>
        <v>0</v>
      </c>
      <c r="J33" s="7">
        <f>IF(Inputs!$B$35&gt;=J$1,Inputs!$B$34,0)*(1+inf)^I$1</f>
        <v>0</v>
      </c>
      <c r="K33" s="7">
        <f>IF(Inputs!$B$35&gt;=K$1,Inputs!$B$34,0)*(1+inf)^J$1</f>
        <v>0</v>
      </c>
      <c r="L33" s="7">
        <f>IF(Inputs!$B$35&gt;=L$1,Inputs!$B$34,0)*(1+inf)^K$1</f>
        <v>0</v>
      </c>
      <c r="M33" s="7">
        <f>IF(Inputs!$B$35&gt;=M$1,Inputs!$B$34,0)*(1+inf)^L$1</f>
        <v>0</v>
      </c>
      <c r="N33" s="7">
        <f>IF(Inputs!$B$35&gt;=N$1,Inputs!$B$34,0)*(1+inf)^M$1</f>
        <v>0</v>
      </c>
      <c r="O33" s="7">
        <f>IF(Inputs!$B$35&gt;=O$1,Inputs!$B$34,0)*(1+inf)^N$1</f>
        <v>0</v>
      </c>
      <c r="P33" s="7">
        <f>IF(Inputs!$B$35&gt;=P$1,Inputs!$B$34,0)*(1+inf)^O$1</f>
        <v>0</v>
      </c>
      <c r="Q33" s="7">
        <f>IF(Inputs!$B$35&gt;=Q$1,Inputs!$B$34,0)*(1+inf)^P$1</f>
        <v>0</v>
      </c>
      <c r="R33" s="7">
        <f>IF(Inputs!$B$35&gt;=R$1,Inputs!$B$34,0)*(1+inf)^Q$1</f>
        <v>0</v>
      </c>
      <c r="S33" s="7">
        <f>IF(Inputs!$B$35&gt;=S$1,Inputs!$B$34,0)*(1+inf)^R$1</f>
        <v>0</v>
      </c>
      <c r="T33" s="7">
        <f>IF(Inputs!$B$35&gt;=T$1,Inputs!$B$34,0)*(1+inf)^S$1</f>
        <v>0</v>
      </c>
      <c r="U33" s="7">
        <f>IF(Inputs!$B$35&gt;=U$1,Inputs!$B$34,0)*(1+inf)^T$1</f>
        <v>0</v>
      </c>
      <c r="V33" s="7">
        <f>IF(Inputs!$B$35&gt;=V$1,Inputs!$B$34,0)*(1+inf)^U$1</f>
        <v>0</v>
      </c>
      <c r="W33" s="7">
        <f>IF(Inputs!$B$35&gt;=W$1,Inputs!$B$34,0)*(1+inf)^V$1</f>
        <v>0</v>
      </c>
      <c r="X33" s="7">
        <f>IF(Inputs!$B$35&gt;=X$1,Inputs!$B$34,0)*(1+inf)^W$1</f>
        <v>0</v>
      </c>
      <c r="Y33" s="7">
        <f>IF(Inputs!$B$35&gt;=Y$1,Inputs!$B$34,0)*(1+inf)^X$1</f>
        <v>0</v>
      </c>
      <c r="Z33" s="7">
        <f>IF(Inputs!$B$35&gt;=Z$1,Inputs!$B$34,0)*(1+inf)^Y$1</f>
        <v>0</v>
      </c>
      <c r="AA33" s="7">
        <f>IF(Inputs!$B$35&gt;=AA$1,Inputs!$B$34,0)*(1+inf)^Z$1</f>
        <v>0</v>
      </c>
      <c r="AB33" s="7">
        <f>IF(Inputs!$B$35&gt;=AB$1,Inputs!$B$34,0)*(1+inf)^AA$1</f>
        <v>0</v>
      </c>
      <c r="AC33" s="7">
        <f>IF(Inputs!$B$35&gt;=AC$1,Inputs!$B$34,0)*(1+inf)^AB$1</f>
        <v>0</v>
      </c>
      <c r="AD33" s="7">
        <f>IF(Inputs!$B$35&gt;=AD$1,Inputs!$B$34,0)*(1+inf)^AC$1</f>
        <v>0</v>
      </c>
      <c r="AE33" s="7">
        <f>IF(Inputs!$B$35&gt;=AE$1,Inputs!$B$34,0)*(1+inf)^AD$1</f>
        <v>0</v>
      </c>
      <c r="AF33" s="7">
        <f>IF(Inputs!$B$35&gt;=AF$1,Inputs!$B$34,0)*(1+inf)^AE$1</f>
        <v>0</v>
      </c>
      <c r="AG33" s="7">
        <f>IF(Inputs!$B$35&gt;=AG$1,Inputs!$B$34,0)*(1+inf)^AF$1</f>
        <v>0</v>
      </c>
      <c r="AH33" s="7">
        <f>IF(Inputs!$B$35&gt;=AH$1,Inputs!$B$34,0)*(1+inf)^AG$1</f>
        <v>0</v>
      </c>
      <c r="AI33" s="7">
        <f>IF(Inputs!$B$35&gt;=AI$1,Inputs!$B$34,0)*(1+inf)^AH$1</f>
        <v>0</v>
      </c>
      <c r="AJ33" s="7">
        <f>IF(Inputs!$B$35&gt;=AJ$1,Inputs!$B$34,0)*(1+inf)^AI$1</f>
        <v>0</v>
      </c>
      <c r="AK33" s="7">
        <f>IF(Inputs!$B$35&gt;=AK$1,Inputs!$B$34,0)*(1+inf)^AJ$1</f>
        <v>0</v>
      </c>
      <c r="AL33" s="7">
        <f>IF(Inputs!$B$35&gt;=AL$1,Inputs!$B$34,0)*(1+inf)^AK$1</f>
        <v>0</v>
      </c>
      <c r="AM33" s="7">
        <f>IF(Inputs!$B$35&gt;=AM$1,Inputs!$B$34,0)*(1+inf)^AL$1</f>
        <v>0</v>
      </c>
    </row>
    <row r="34" spans="1:39" x14ac:dyDescent="0.2">
      <c r="A34" s="3" t="str">
        <f>TEXT(Inputs!B38,"")</f>
        <v>Jack</v>
      </c>
      <c r="B34" s="8"/>
      <c r="C34" s="7">
        <f ca="1">IF(Inputs!$B$40&gt;=C$1,Inputs!$B$39,0)*(1+inf)^B$1*ProRate</f>
        <v>833.33333333333337</v>
      </c>
      <c r="D34" s="7">
        <f>IF(Inputs!$B$40&gt;=D$1,Inputs!$B$39,0)*(1+inf)^C$1</f>
        <v>1025</v>
      </c>
      <c r="E34" s="7">
        <f>IF(Inputs!$B$40&gt;=E$1,Inputs!$B$39,0)*(1+inf)^D$1</f>
        <v>1050.625</v>
      </c>
      <c r="F34" s="7">
        <f>IF(Inputs!$B$40&gt;=F$1,Inputs!$B$39,0)*(1+inf)^E$1</f>
        <v>1076.8906249999998</v>
      </c>
      <c r="G34" s="7">
        <f>IF(Inputs!$B$40&gt;=G$1,Inputs!$B$39,0)*(1+inf)^F$1</f>
        <v>1103.8128906249997</v>
      </c>
      <c r="H34" s="7">
        <f>IF(Inputs!$B$40&gt;=H$1,Inputs!$B$39,0)*(1+inf)^G$1</f>
        <v>0</v>
      </c>
      <c r="I34" s="7">
        <f>IF(Inputs!$B$40&gt;=I$1,Inputs!$B$39,0)*(1+inf)^H$1</f>
        <v>0</v>
      </c>
      <c r="J34" s="7">
        <f>IF(Inputs!$B$40&gt;=J$1,Inputs!$B$39,0)*(1+inf)^I$1</f>
        <v>0</v>
      </c>
      <c r="K34" s="7">
        <f>IF(Inputs!$B$40&gt;=K$1,Inputs!$B$39,0)*(1+inf)^J$1</f>
        <v>0</v>
      </c>
      <c r="L34" s="7">
        <f>IF(Inputs!$B$40&gt;=L$1,Inputs!$B$39,0)*(1+inf)^K$1</f>
        <v>0</v>
      </c>
      <c r="M34" s="7">
        <f>IF(Inputs!$B$40&gt;=M$1,Inputs!$B$39,0)*(1+inf)^L$1</f>
        <v>0</v>
      </c>
      <c r="N34" s="7">
        <f>IF(Inputs!$B$40&gt;=N$1,Inputs!$B$39,0)*(1+inf)^M$1</f>
        <v>0</v>
      </c>
      <c r="O34" s="7">
        <f>IF(Inputs!$B$40&gt;=O$1,Inputs!$B$39,0)*(1+inf)^N$1</f>
        <v>0</v>
      </c>
      <c r="P34" s="7">
        <f>IF(Inputs!$B$40&gt;=P$1,Inputs!$B$39,0)*(1+inf)^O$1</f>
        <v>0</v>
      </c>
      <c r="Q34" s="7">
        <f>IF(Inputs!$B$40&gt;=Q$1,Inputs!$B$39,0)*(1+inf)^P$1</f>
        <v>0</v>
      </c>
      <c r="R34" s="7">
        <f>IF(Inputs!$B$40&gt;=R$1,Inputs!$B$39,0)*(1+inf)^Q$1</f>
        <v>0</v>
      </c>
      <c r="S34" s="7">
        <f>IF(Inputs!$B$40&gt;=S$1,Inputs!$B$39,0)*(1+inf)^R$1</f>
        <v>0</v>
      </c>
      <c r="T34" s="7">
        <f>IF(Inputs!$B$40&gt;=T$1,Inputs!$B$39,0)*(1+inf)^S$1</f>
        <v>0</v>
      </c>
      <c r="U34" s="7">
        <f>IF(Inputs!$B$40&gt;=U$1,Inputs!$B$39,0)*(1+inf)^T$1</f>
        <v>0</v>
      </c>
      <c r="V34" s="7">
        <f>IF(Inputs!$B$40&gt;=V$1,Inputs!$B$39,0)*(1+inf)^U$1</f>
        <v>0</v>
      </c>
      <c r="W34" s="7">
        <f>IF(Inputs!$B$40&gt;=W$1,Inputs!$B$39,0)*(1+inf)^V$1</f>
        <v>0</v>
      </c>
      <c r="X34" s="7">
        <f>IF(Inputs!$B$40&gt;=X$1,Inputs!$B$39,0)*(1+inf)^W$1</f>
        <v>0</v>
      </c>
      <c r="Y34" s="7">
        <f>IF(Inputs!$B$40&gt;=Y$1,Inputs!$B$39,0)*(1+inf)^X$1</f>
        <v>0</v>
      </c>
      <c r="Z34" s="7">
        <f>IF(Inputs!$B$40&gt;=Z$1,Inputs!$B$39,0)*(1+inf)^Y$1</f>
        <v>0</v>
      </c>
      <c r="AA34" s="7">
        <f>IF(Inputs!$B$40&gt;=AA$1,Inputs!$B$39,0)*(1+inf)^Z$1</f>
        <v>0</v>
      </c>
      <c r="AB34" s="7">
        <f>IF(Inputs!$B$40&gt;=AB$1,Inputs!$B$39,0)*(1+inf)^AA$1</f>
        <v>0</v>
      </c>
      <c r="AC34" s="7">
        <f>IF(Inputs!$B$40&gt;=AC$1,Inputs!$B$39,0)*(1+inf)^AB$1</f>
        <v>0</v>
      </c>
      <c r="AD34" s="7">
        <f>IF(Inputs!$B$40&gt;=AD$1,Inputs!$B$39,0)*(1+inf)^AC$1</f>
        <v>0</v>
      </c>
      <c r="AE34" s="7">
        <f>IF(Inputs!$B$40&gt;=AE$1,Inputs!$B$39,0)*(1+inf)^AD$1</f>
        <v>0</v>
      </c>
      <c r="AF34" s="7">
        <f>IF(Inputs!$B$40&gt;=AF$1,Inputs!$B$39,0)*(1+inf)^AE$1</f>
        <v>0</v>
      </c>
      <c r="AG34" s="7">
        <f>IF(Inputs!$B$40&gt;=AG$1,Inputs!$B$39,0)*(1+inf)^AF$1</f>
        <v>0</v>
      </c>
      <c r="AH34" s="7">
        <f>IF(Inputs!$B$40&gt;=AH$1,Inputs!$B$39,0)*(1+inf)^AG$1</f>
        <v>0</v>
      </c>
      <c r="AI34" s="7">
        <f>IF(Inputs!$B$40&gt;=AI$1,Inputs!$B$39,0)*(1+inf)^AH$1</f>
        <v>0</v>
      </c>
      <c r="AJ34" s="7">
        <f>IF(Inputs!$B$40&gt;=AJ$1,Inputs!$B$39,0)*(1+inf)^AI$1</f>
        <v>0</v>
      </c>
      <c r="AK34" s="7">
        <f>IF(Inputs!$B$40&gt;=AK$1,Inputs!$B$39,0)*(1+inf)^AJ$1</f>
        <v>0</v>
      </c>
      <c r="AL34" s="7">
        <f>IF(Inputs!$B$40&gt;=AL$1,Inputs!$B$39,0)*(1+inf)^AK$1</f>
        <v>0</v>
      </c>
      <c r="AM34" s="7">
        <f>IF(Inputs!$B$40&gt;=AM$1,Inputs!$B$39,0)*(1+inf)^AL$1</f>
        <v>0</v>
      </c>
    </row>
    <row r="35" spans="1:39" x14ac:dyDescent="0.2">
      <c r="A35" s="3" t="str">
        <f>TEXT(Inputs!B43,"")</f>
        <v>Bill</v>
      </c>
      <c r="B35" s="8"/>
      <c r="C35" s="7">
        <f ca="1">IF(Inputs!$B$45&gt;=C$1,Inputs!$B$44,0)*(1+inf)^B$1*ProRate</f>
        <v>3333.3333333333335</v>
      </c>
      <c r="D35" s="7">
        <f>IF(Inputs!$B$45&gt;=D$1,Inputs!$B$44,0)*(1+inf)^C$1</f>
        <v>4100</v>
      </c>
      <c r="E35" s="7">
        <f>IF(Inputs!$B$45&gt;=E$1,Inputs!$B$44,0)*(1+inf)^D$1</f>
        <v>0</v>
      </c>
      <c r="F35" s="7">
        <f>IF(Inputs!$B$45&gt;=F$1,Inputs!$B$44,0)*(1+inf)^E$1</f>
        <v>0</v>
      </c>
      <c r="G35" s="7">
        <f>IF(Inputs!$B$45&gt;=G$1,Inputs!$B$44,0)*(1+inf)^F$1</f>
        <v>0</v>
      </c>
      <c r="H35" s="7">
        <f>IF(Inputs!$B$45&gt;=H$1,Inputs!$B$44,0)*(1+inf)^G$1</f>
        <v>0</v>
      </c>
      <c r="I35" s="7">
        <f>IF(Inputs!$B$45&gt;=I$1,Inputs!$B$44,0)*(1+inf)^H$1</f>
        <v>0</v>
      </c>
      <c r="J35" s="7">
        <f>IF(Inputs!$B$45&gt;=J$1,Inputs!$B$44,0)*(1+inf)^I$1</f>
        <v>0</v>
      </c>
      <c r="K35" s="7">
        <f>IF(Inputs!$B$45&gt;=K$1,Inputs!$B$44,0)*(1+inf)^J$1</f>
        <v>0</v>
      </c>
      <c r="L35" s="7">
        <f>IF(Inputs!$B$45&gt;=L$1,Inputs!$B$44,0)*(1+inf)^K$1</f>
        <v>0</v>
      </c>
      <c r="M35" s="7">
        <f>IF(Inputs!$B$45&gt;=M$1,Inputs!$B$44,0)*(1+inf)^L$1</f>
        <v>0</v>
      </c>
      <c r="N35" s="7">
        <f>IF(Inputs!$B$45&gt;=N$1,Inputs!$B$44,0)*(1+inf)^M$1</f>
        <v>0</v>
      </c>
      <c r="O35" s="7">
        <f>IF(Inputs!$B$45&gt;=O$1,Inputs!$B$44,0)*(1+inf)^N$1</f>
        <v>0</v>
      </c>
      <c r="P35" s="7">
        <f>IF(Inputs!$B$45&gt;=P$1,Inputs!$B$44,0)*(1+inf)^O$1</f>
        <v>0</v>
      </c>
      <c r="Q35" s="7">
        <f>IF(Inputs!$B$45&gt;=Q$1,Inputs!$B$44,0)*(1+inf)^P$1</f>
        <v>0</v>
      </c>
      <c r="R35" s="7">
        <f>IF(Inputs!$B$45&gt;=R$1,Inputs!$B$44,0)*(1+inf)^Q$1</f>
        <v>0</v>
      </c>
      <c r="S35" s="7">
        <f>IF(Inputs!$B$45&gt;=S$1,Inputs!$B$44,0)*(1+inf)^R$1</f>
        <v>0</v>
      </c>
      <c r="T35" s="7">
        <f>IF(Inputs!$B$45&gt;=T$1,Inputs!$B$44,0)*(1+inf)^S$1</f>
        <v>0</v>
      </c>
      <c r="U35" s="7">
        <f>IF(Inputs!$B$45&gt;=U$1,Inputs!$B$44,0)*(1+inf)^T$1</f>
        <v>0</v>
      </c>
      <c r="V35" s="7">
        <f>IF(Inputs!$B$45&gt;=V$1,Inputs!$B$44,0)*(1+inf)^U$1</f>
        <v>0</v>
      </c>
      <c r="W35" s="7">
        <f>IF(Inputs!$B$45&gt;=W$1,Inputs!$B$44,0)*(1+inf)^V$1</f>
        <v>0</v>
      </c>
      <c r="X35" s="7">
        <f>IF(Inputs!$B$45&gt;=X$1,Inputs!$B$44,0)*(1+inf)^W$1</f>
        <v>0</v>
      </c>
      <c r="Y35" s="7">
        <f>IF(Inputs!$B$45&gt;=Y$1,Inputs!$B$44,0)*(1+inf)^X$1</f>
        <v>0</v>
      </c>
      <c r="Z35" s="7">
        <f>IF(Inputs!$B$45&gt;=Z$1,Inputs!$B$44,0)*(1+inf)^Y$1</f>
        <v>0</v>
      </c>
      <c r="AA35" s="7">
        <f>IF(Inputs!$B$45&gt;=AA$1,Inputs!$B$44,0)*(1+inf)^Z$1</f>
        <v>0</v>
      </c>
      <c r="AB35" s="7">
        <f>IF(Inputs!$B$45&gt;=AB$1,Inputs!$B$44,0)*(1+inf)^AA$1</f>
        <v>0</v>
      </c>
      <c r="AC35" s="7">
        <f>IF(Inputs!$B$45&gt;=AC$1,Inputs!$B$44,0)*(1+inf)^AB$1</f>
        <v>0</v>
      </c>
      <c r="AD35" s="7">
        <f>IF(Inputs!$B$45&gt;=AD$1,Inputs!$B$44,0)*(1+inf)^AC$1</f>
        <v>0</v>
      </c>
      <c r="AE35" s="7">
        <f>IF(Inputs!$B$45&gt;=AE$1,Inputs!$B$44,0)*(1+inf)^AD$1</f>
        <v>0</v>
      </c>
      <c r="AF35" s="7">
        <f>IF(Inputs!$B$45&gt;=AF$1,Inputs!$B$44,0)*(1+inf)^AE$1</f>
        <v>0</v>
      </c>
      <c r="AG35" s="7">
        <f>IF(Inputs!$B$45&gt;=AG$1,Inputs!$B$44,0)*(1+inf)^AF$1</f>
        <v>0</v>
      </c>
      <c r="AH35" s="7">
        <f>IF(Inputs!$B$45&gt;=AH$1,Inputs!$B$44,0)*(1+inf)^AG$1</f>
        <v>0</v>
      </c>
      <c r="AI35" s="7">
        <f>IF(Inputs!$B$45&gt;=AI$1,Inputs!$B$44,0)*(1+inf)^AH$1</f>
        <v>0</v>
      </c>
      <c r="AJ35" s="7">
        <f>IF(Inputs!$B$45&gt;=AJ$1,Inputs!$B$44,0)*(1+inf)^AI$1</f>
        <v>0</v>
      </c>
      <c r="AK35" s="7">
        <f>IF(Inputs!$B$45&gt;=AK$1,Inputs!$B$44,0)*(1+inf)^AJ$1</f>
        <v>0</v>
      </c>
      <c r="AL35" s="7">
        <f>IF(Inputs!$B$45&gt;=AL$1,Inputs!$B$44,0)*(1+inf)^AK$1</f>
        <v>0</v>
      </c>
      <c r="AM35" s="7">
        <f>IF(Inputs!$B$45&gt;=AM$1,Inputs!$B$44,0)*(1+inf)^AL$1</f>
        <v>0</v>
      </c>
    </row>
    <row r="36" spans="1:39" x14ac:dyDescent="0.2">
      <c r="A36" s="3" t="str">
        <f>TEXT(Inputs!B48,"")</f>
        <v>Stephen</v>
      </c>
      <c r="B36" s="8"/>
      <c r="C36" s="7">
        <f ca="1">IF(Inputs!$B$50&gt;=C$1,Inputs!$B$49,0)*(1+inf)^B$1*ProRate</f>
        <v>2083.3333333333335</v>
      </c>
      <c r="D36" s="7">
        <f>IF(Inputs!$B$50&gt;=D$1,Inputs!$B$49,0)*(1+inf)^C$1</f>
        <v>2562.5</v>
      </c>
      <c r="E36" s="7">
        <f>IF(Inputs!$B$50&gt;=E$1,Inputs!$B$49,0)*(1+inf)^D$1</f>
        <v>2626.5625</v>
      </c>
      <c r="F36" s="7">
        <f>IF(Inputs!$B$50&gt;=F$1,Inputs!$B$49,0)*(1+inf)^E$1</f>
        <v>0</v>
      </c>
      <c r="G36" s="7">
        <f>IF(Inputs!$B$50&gt;=G$1,Inputs!$B$49,0)*(1+inf)^F$1</f>
        <v>0</v>
      </c>
      <c r="H36" s="7">
        <f>IF(Inputs!$B$50&gt;=H$1,Inputs!$B$49,0)*(1+inf)^G$1</f>
        <v>0</v>
      </c>
      <c r="I36" s="7">
        <f>IF(Inputs!$B$50&gt;=I$1,Inputs!$B$49,0)*(1+inf)^H$1</f>
        <v>0</v>
      </c>
      <c r="J36" s="7">
        <f>IF(Inputs!$B$50&gt;=J$1,Inputs!$B$49,0)*(1+inf)^I$1</f>
        <v>0</v>
      </c>
      <c r="K36" s="7">
        <f>IF(Inputs!$B$50&gt;=K$1,Inputs!$B$49,0)*(1+inf)^J$1</f>
        <v>0</v>
      </c>
      <c r="L36" s="7">
        <f>IF(Inputs!$B$50&gt;=L$1,Inputs!$B$49,0)*(1+inf)^K$1</f>
        <v>0</v>
      </c>
      <c r="M36" s="7">
        <f>IF(Inputs!$B$50&gt;=M$1,Inputs!$B$49,0)*(1+inf)^L$1</f>
        <v>0</v>
      </c>
      <c r="N36" s="7">
        <f>IF(Inputs!$B$50&gt;=N$1,Inputs!$B$49,0)*(1+inf)^M$1</f>
        <v>0</v>
      </c>
      <c r="O36" s="7">
        <f>IF(Inputs!$B$50&gt;=O$1,Inputs!$B$49,0)*(1+inf)^N$1</f>
        <v>0</v>
      </c>
      <c r="P36" s="7">
        <f>IF(Inputs!$B$50&gt;=P$1,Inputs!$B$49,0)*(1+inf)^O$1</f>
        <v>0</v>
      </c>
      <c r="Q36" s="7">
        <f>IF(Inputs!$B$50&gt;=Q$1,Inputs!$B$49,0)*(1+inf)^P$1</f>
        <v>0</v>
      </c>
      <c r="R36" s="7">
        <f>IF(Inputs!$B$50&gt;=R$1,Inputs!$B$49,0)*(1+inf)^Q$1</f>
        <v>0</v>
      </c>
      <c r="S36" s="7">
        <f>IF(Inputs!$B$50&gt;=S$1,Inputs!$B$49,0)*(1+inf)^R$1</f>
        <v>0</v>
      </c>
      <c r="T36" s="7">
        <f>IF(Inputs!$B$50&gt;=T$1,Inputs!$B$49,0)*(1+inf)^S$1</f>
        <v>0</v>
      </c>
      <c r="U36" s="7">
        <f>IF(Inputs!$B$50&gt;=U$1,Inputs!$B$49,0)*(1+inf)^T$1</f>
        <v>0</v>
      </c>
      <c r="V36" s="7">
        <f>IF(Inputs!$B$50&gt;=V$1,Inputs!$B$49,0)*(1+inf)^U$1</f>
        <v>0</v>
      </c>
      <c r="W36" s="7">
        <f>IF(Inputs!$B$50&gt;=W$1,Inputs!$B$49,0)*(1+inf)^V$1</f>
        <v>0</v>
      </c>
      <c r="X36" s="7">
        <f>IF(Inputs!$B$50&gt;=X$1,Inputs!$B$49,0)*(1+inf)^W$1</f>
        <v>0</v>
      </c>
      <c r="Y36" s="7">
        <f>IF(Inputs!$B$50&gt;=Y$1,Inputs!$B$49,0)*(1+inf)^X$1</f>
        <v>0</v>
      </c>
      <c r="Z36" s="7">
        <f>IF(Inputs!$B$50&gt;=Z$1,Inputs!$B$49,0)*(1+inf)^Y$1</f>
        <v>0</v>
      </c>
      <c r="AA36" s="7">
        <f>IF(Inputs!$B$50&gt;=AA$1,Inputs!$B$49,0)*(1+inf)^Z$1</f>
        <v>0</v>
      </c>
      <c r="AB36" s="7">
        <f>IF(Inputs!$B$50&gt;=AB$1,Inputs!$B$49,0)*(1+inf)^AA$1</f>
        <v>0</v>
      </c>
      <c r="AC36" s="7">
        <f>IF(Inputs!$B$50&gt;=AC$1,Inputs!$B$49,0)*(1+inf)^AB$1</f>
        <v>0</v>
      </c>
      <c r="AD36" s="7">
        <f>IF(Inputs!$B$50&gt;=AD$1,Inputs!$B$49,0)*(1+inf)^AC$1</f>
        <v>0</v>
      </c>
      <c r="AE36" s="7">
        <f>IF(Inputs!$B$50&gt;=AE$1,Inputs!$B$49,0)*(1+inf)^AD$1</f>
        <v>0</v>
      </c>
      <c r="AF36" s="7">
        <f>IF(Inputs!$B$50&gt;=AF$1,Inputs!$B$49,0)*(1+inf)^AE$1</f>
        <v>0</v>
      </c>
      <c r="AG36" s="7">
        <f>IF(Inputs!$B$50&gt;=AG$1,Inputs!$B$49,0)*(1+inf)^AF$1</f>
        <v>0</v>
      </c>
      <c r="AH36" s="7">
        <f>IF(Inputs!$B$50&gt;=AH$1,Inputs!$B$49,0)*(1+inf)^AG$1</f>
        <v>0</v>
      </c>
      <c r="AI36" s="7">
        <f>IF(Inputs!$B$50&gt;=AI$1,Inputs!$B$49,0)*(1+inf)^AH$1</f>
        <v>0</v>
      </c>
      <c r="AJ36" s="7">
        <f>IF(Inputs!$B$50&gt;=AJ$1,Inputs!$B$49,0)*(1+inf)^AI$1</f>
        <v>0</v>
      </c>
      <c r="AK36" s="7">
        <f>IF(Inputs!$B$50&gt;=AK$1,Inputs!$B$49,0)*(1+inf)^AJ$1</f>
        <v>0</v>
      </c>
      <c r="AL36" s="7">
        <f>IF(Inputs!$B$50&gt;=AL$1,Inputs!$B$49,0)*(1+inf)^AK$1</f>
        <v>0</v>
      </c>
      <c r="AM36" s="7">
        <f>IF(Inputs!$B$50&gt;=AM$1,Inputs!$B$49,0)*(1+inf)^AL$1</f>
        <v>0</v>
      </c>
    </row>
    <row r="37" spans="1:39" x14ac:dyDescent="0.2">
      <c r="A37" s="3" t="str">
        <f>TEXT(Inputs!B53,"")</f>
        <v>Jane</v>
      </c>
      <c r="B37" s="8"/>
      <c r="C37" s="7">
        <f ca="1">IF(Inputs!$B$55&gt;=C$1,Inputs!$B$54,0)*(1+inf)^B$1*ProRate</f>
        <v>2383.3333333333335</v>
      </c>
      <c r="D37" s="7">
        <f>IF(Inputs!$B$55&gt;=D$1,Inputs!$B$54,0)*(1+inf)^C$1</f>
        <v>2931.4999999999995</v>
      </c>
      <c r="E37" s="7">
        <f>IF(Inputs!$B$55&gt;=E$1,Inputs!$B$54,0)*(1+inf)^D$1</f>
        <v>3004.7874999999999</v>
      </c>
      <c r="F37" s="7">
        <f>IF(Inputs!$B$55&gt;=F$1,Inputs!$B$54,0)*(1+inf)^E$1</f>
        <v>3079.9071874999995</v>
      </c>
      <c r="G37" s="7">
        <f>IF(Inputs!$B$55&gt;=G$1,Inputs!$B$54,0)*(1+inf)^F$1</f>
        <v>3156.9048671874993</v>
      </c>
      <c r="H37" s="7">
        <f>IF(Inputs!$B$55&gt;=H$1,Inputs!$B$54,0)*(1+inf)^G$1</f>
        <v>3235.8274888671867</v>
      </c>
      <c r="I37" s="7">
        <f>IF(Inputs!$B$55&gt;=I$1,Inputs!$B$54,0)*(1+inf)^H$1</f>
        <v>0</v>
      </c>
      <c r="J37" s="7">
        <f>IF(Inputs!$B$55&gt;=J$1,Inputs!$B$54,0)*(1+inf)^I$1</f>
        <v>0</v>
      </c>
      <c r="K37" s="7">
        <f>IF(Inputs!$B$55&gt;=K$1,Inputs!$B$54,0)*(1+inf)^J$1</f>
        <v>0</v>
      </c>
      <c r="L37" s="7">
        <f>IF(Inputs!$B$55&gt;=L$1,Inputs!$B$54,0)*(1+inf)^K$1</f>
        <v>0</v>
      </c>
      <c r="M37" s="7">
        <f>IF(Inputs!$B$55&gt;=M$1,Inputs!$B$54,0)*(1+inf)^L$1</f>
        <v>0</v>
      </c>
      <c r="N37" s="7">
        <f>IF(Inputs!$B$55&gt;=N$1,Inputs!$B$54,0)*(1+inf)^M$1</f>
        <v>0</v>
      </c>
      <c r="O37" s="7">
        <f>IF(Inputs!$B$55&gt;=O$1,Inputs!$B$54,0)*(1+inf)^N$1</f>
        <v>0</v>
      </c>
      <c r="P37" s="7">
        <f>IF(Inputs!$B$55&gt;=P$1,Inputs!$B$54,0)*(1+inf)^O$1</f>
        <v>0</v>
      </c>
      <c r="Q37" s="7">
        <f>IF(Inputs!$B$55&gt;=Q$1,Inputs!$B$54,0)*(1+inf)^P$1</f>
        <v>0</v>
      </c>
      <c r="R37" s="7">
        <f>IF(Inputs!$B$55&gt;=R$1,Inputs!$B$54,0)*(1+inf)^Q$1</f>
        <v>0</v>
      </c>
      <c r="S37" s="7">
        <f>IF(Inputs!$B$55&gt;=S$1,Inputs!$B$54,0)*(1+inf)^R$1</f>
        <v>0</v>
      </c>
      <c r="T37" s="7">
        <f>IF(Inputs!$B$55&gt;=T$1,Inputs!$B$54,0)*(1+inf)^S$1</f>
        <v>0</v>
      </c>
      <c r="U37" s="7">
        <f>IF(Inputs!$B$55&gt;=U$1,Inputs!$B$54,0)*(1+inf)^T$1</f>
        <v>0</v>
      </c>
      <c r="V37" s="7">
        <f>IF(Inputs!$B$55&gt;=V$1,Inputs!$B$54,0)*(1+inf)^U$1</f>
        <v>0</v>
      </c>
      <c r="W37" s="7">
        <f>IF(Inputs!$B$55&gt;=W$1,Inputs!$B$54,0)*(1+inf)^V$1</f>
        <v>0</v>
      </c>
      <c r="X37" s="7">
        <f>IF(Inputs!$B$55&gt;=X$1,Inputs!$B$54,0)*(1+inf)^W$1</f>
        <v>0</v>
      </c>
      <c r="Y37" s="7">
        <f>IF(Inputs!$B$55&gt;=Y$1,Inputs!$B$54,0)*(1+inf)^X$1</f>
        <v>0</v>
      </c>
      <c r="Z37" s="7">
        <f>IF(Inputs!$B$55&gt;=Z$1,Inputs!$B$54,0)*(1+inf)^Y$1</f>
        <v>0</v>
      </c>
      <c r="AA37" s="7">
        <f>IF(Inputs!$B$55&gt;=AA$1,Inputs!$B$54,0)*(1+inf)^Z$1</f>
        <v>0</v>
      </c>
      <c r="AB37" s="7">
        <f>IF(Inputs!$B$55&gt;=AB$1,Inputs!$B$54,0)*(1+inf)^AA$1</f>
        <v>0</v>
      </c>
      <c r="AC37" s="7">
        <f>IF(Inputs!$B$55&gt;=AC$1,Inputs!$B$54,0)*(1+inf)^AB$1</f>
        <v>0</v>
      </c>
      <c r="AD37" s="7">
        <f>IF(Inputs!$B$55&gt;=AD$1,Inputs!$B$54,0)*(1+inf)^AC$1</f>
        <v>0</v>
      </c>
      <c r="AE37" s="7">
        <f>IF(Inputs!$B$55&gt;=AE$1,Inputs!$B$54,0)*(1+inf)^AD$1</f>
        <v>0</v>
      </c>
      <c r="AF37" s="7">
        <f>IF(Inputs!$B$55&gt;=AF$1,Inputs!$B$54,0)*(1+inf)^AE$1</f>
        <v>0</v>
      </c>
      <c r="AG37" s="7">
        <f>IF(Inputs!$B$55&gt;=AG$1,Inputs!$B$54,0)*(1+inf)^AF$1</f>
        <v>0</v>
      </c>
      <c r="AH37" s="7">
        <f>IF(Inputs!$B$55&gt;=AH$1,Inputs!$B$54,0)*(1+inf)^AG$1</f>
        <v>0</v>
      </c>
      <c r="AI37" s="7">
        <f>IF(Inputs!$B$55&gt;=AI$1,Inputs!$B$54,0)*(1+inf)^AH$1</f>
        <v>0</v>
      </c>
      <c r="AJ37" s="7">
        <f>IF(Inputs!$B$55&gt;=AJ$1,Inputs!$B$54,0)*(1+inf)^AI$1</f>
        <v>0</v>
      </c>
      <c r="AK37" s="7">
        <f>IF(Inputs!$B$55&gt;=AK$1,Inputs!$B$54,0)*(1+inf)^AJ$1</f>
        <v>0</v>
      </c>
      <c r="AL37" s="7">
        <f>IF(Inputs!$B$55&gt;=AL$1,Inputs!$B$54,0)*(1+inf)^AK$1</f>
        <v>0</v>
      </c>
      <c r="AM37" s="7">
        <f>IF(Inputs!$B$55&gt;=AM$1,Inputs!$B$54,0)*(1+inf)^AL$1</f>
        <v>0</v>
      </c>
    </row>
    <row r="38" spans="1:39" x14ac:dyDescent="0.2">
      <c r="A38" s="4" t="s">
        <v>5</v>
      </c>
      <c r="B38" s="8"/>
      <c r="C38" s="7">
        <f ca="1">Inputs!$B$23*(1+inf)^B$1*ProRate</f>
        <v>0</v>
      </c>
      <c r="D38" s="7">
        <f>Inputs!$B$23*(1+inf)^C$1</f>
        <v>0</v>
      </c>
      <c r="E38" s="7">
        <f>Inputs!$B$23*(1+inf)^D$1</f>
        <v>0</v>
      </c>
      <c r="F38" s="7">
        <f>Inputs!$B$23*(1+inf)^E$1</f>
        <v>0</v>
      </c>
      <c r="G38" s="7">
        <f>Inputs!$B$23*(1+inf)^F$1</f>
        <v>0</v>
      </c>
      <c r="H38" s="7">
        <f>Inputs!$B$23*(1+inf)^G$1</f>
        <v>0</v>
      </c>
      <c r="I38" s="7">
        <f>Inputs!$B$23*(1+inf)^H$1</f>
        <v>0</v>
      </c>
      <c r="J38" s="7">
        <f>Inputs!$B$23*(1+inf)^I$1</f>
        <v>0</v>
      </c>
      <c r="K38" s="7">
        <f>Inputs!$B$23*(1+inf)^J$1</f>
        <v>0</v>
      </c>
      <c r="L38" s="7">
        <f>Inputs!$B$23*(1+inf)^K$1</f>
        <v>0</v>
      </c>
      <c r="M38" s="7">
        <f>Inputs!$B$23*(1+inf)^L$1</f>
        <v>0</v>
      </c>
      <c r="N38" s="7">
        <f>Inputs!$B$23*(1+inf)^M$1</f>
        <v>0</v>
      </c>
      <c r="O38" s="7">
        <f>Inputs!$B$23*(1+inf)^N$1</f>
        <v>0</v>
      </c>
      <c r="P38" s="7">
        <f>Inputs!$B$23*(1+inf)^O$1</f>
        <v>0</v>
      </c>
      <c r="Q38" s="7">
        <f>Inputs!$B$23*(1+inf)^P$1</f>
        <v>0</v>
      </c>
      <c r="R38" s="7">
        <f>Inputs!$B$23*(1+inf)^Q$1</f>
        <v>0</v>
      </c>
      <c r="S38" s="7">
        <f>Inputs!$B$23*(1+inf)^R$1</f>
        <v>0</v>
      </c>
      <c r="T38" s="7">
        <f>Inputs!$B$23*(1+inf)^S$1</f>
        <v>0</v>
      </c>
      <c r="U38" s="7">
        <f>Inputs!$B$23*(1+inf)^T$1</f>
        <v>0</v>
      </c>
      <c r="V38" s="7">
        <f>Inputs!$B$23*(1+inf)^U$1</f>
        <v>0</v>
      </c>
      <c r="W38" s="7">
        <f>Inputs!$B$23*(1+inf)^V$1</f>
        <v>0</v>
      </c>
      <c r="X38" s="7">
        <f>Inputs!$B$23*(1+inf)^W$1</f>
        <v>0</v>
      </c>
      <c r="Y38" s="7">
        <f>Inputs!$B$23*(1+inf)^X$1</f>
        <v>0</v>
      </c>
      <c r="Z38" s="7">
        <f>Inputs!$B$23*(1+inf)^Y$1</f>
        <v>0</v>
      </c>
      <c r="AA38" s="7">
        <f>Inputs!$B$23*(1+inf)^Z$1</f>
        <v>0</v>
      </c>
      <c r="AB38" s="7">
        <f>Inputs!$B$23*(1+inf)^AA$1</f>
        <v>0</v>
      </c>
      <c r="AC38" s="7">
        <f>Inputs!$B$23*(1+inf)^AB$1</f>
        <v>0</v>
      </c>
      <c r="AD38" s="7">
        <f>Inputs!$B$23*(1+inf)^AC$1</f>
        <v>0</v>
      </c>
      <c r="AE38" s="7">
        <f>Inputs!$B$23*(1+inf)^AD$1</f>
        <v>0</v>
      </c>
      <c r="AF38" s="7">
        <f>Inputs!$B$23*(1+inf)^AE$1</f>
        <v>0</v>
      </c>
      <c r="AG38" s="7">
        <f>Inputs!$B$23*(1+inf)^AF$1</f>
        <v>0</v>
      </c>
      <c r="AH38" s="7">
        <f>Inputs!$B$23*(1+inf)^AG$1</f>
        <v>0</v>
      </c>
      <c r="AI38" s="7">
        <f>Inputs!$B$23*(1+inf)^AH$1</f>
        <v>0</v>
      </c>
      <c r="AJ38" s="7">
        <f>Inputs!$B$23*(1+inf)^AI$1</f>
        <v>0</v>
      </c>
      <c r="AK38" s="7">
        <f>Inputs!$B$23*(1+inf)^AJ$1</f>
        <v>0</v>
      </c>
      <c r="AL38" s="7">
        <f>Inputs!$B$23*(1+inf)^AK$1</f>
        <v>0</v>
      </c>
      <c r="AM38" s="7">
        <f>Inputs!$B$23*(1+inf)^AL$1</f>
        <v>0</v>
      </c>
    </row>
    <row r="39" spans="1:39" x14ac:dyDescent="0.2">
      <c r="A39" s="4" t="s">
        <v>55</v>
      </c>
      <c r="B39" s="8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  <c r="AC39" s="7"/>
      <c r="AD39" s="7"/>
      <c r="AE39" s="7"/>
      <c r="AF39" s="7"/>
      <c r="AG39" s="7"/>
      <c r="AH39" s="7"/>
      <c r="AI39" s="7"/>
      <c r="AJ39" s="7"/>
      <c r="AK39" s="7"/>
      <c r="AL39" s="7"/>
      <c r="AM39" s="7"/>
    </row>
    <row r="40" spans="1:39" x14ac:dyDescent="0.2">
      <c r="A40" s="3" t="str">
        <f>TEXT(Inputs!$B$60,"")</f>
        <v>Sliema</v>
      </c>
      <c r="B40" s="8"/>
      <c r="C40" s="7">
        <f ca="1">Inputs!$B62*(1+inf)^B$1*ProRate</f>
        <v>4166.666666666667</v>
      </c>
      <c r="D40" s="7">
        <f>Inputs!$B62*(1+inf)^C$1</f>
        <v>5125</v>
      </c>
      <c r="E40" s="7">
        <f>Inputs!$B62*(1+inf)^D$1</f>
        <v>5253.125</v>
      </c>
      <c r="F40" s="7">
        <f>Inputs!$B62*(1+inf)^E$1</f>
        <v>5384.4531249999991</v>
      </c>
      <c r="G40" s="7">
        <f>Inputs!$B62*(1+inf)^F$1</f>
        <v>5519.0644531249991</v>
      </c>
      <c r="H40" s="7">
        <f>Inputs!$B62*(1+inf)^G$1</f>
        <v>5657.041064453123</v>
      </c>
      <c r="I40" s="7">
        <f>Inputs!$B62*(1+inf)^H$1</f>
        <v>5798.4670910644509</v>
      </c>
      <c r="J40" s="7">
        <f>Inputs!$B62*(1+inf)^I$1</f>
        <v>5943.4287683410621</v>
      </c>
      <c r="K40" s="7">
        <f>Inputs!$B62*(1+inf)^J$1</f>
        <v>6092.0144875495889</v>
      </c>
      <c r="L40" s="7">
        <f>Inputs!$B62*(1+inf)^K$1</f>
        <v>6244.3148497383272</v>
      </c>
      <c r="M40" s="7">
        <f>Inputs!$B62*(1+inf)^L$1</f>
        <v>6400.4227209817855</v>
      </c>
      <c r="N40" s="7">
        <f>Inputs!$B62*(1+inf)^M$1</f>
        <v>6560.4332890063297</v>
      </c>
      <c r="O40" s="7">
        <f>Inputs!$B62*(1+inf)^N$1</f>
        <v>6724.4441212314878</v>
      </c>
      <c r="P40" s="7">
        <f>Inputs!$B62*(1+inf)^O$1</f>
        <v>6892.5552242622744</v>
      </c>
      <c r="Q40" s="7">
        <f>Inputs!$B62*(1+inf)^P$1</f>
        <v>7064.8691048688306</v>
      </c>
      <c r="R40" s="7">
        <f>Inputs!$B62*(1+inf)^Q$1</f>
        <v>7241.4908324905527</v>
      </c>
      <c r="S40" s="7">
        <f>Inputs!$B62*(1+inf)^R$1</f>
        <v>7422.5281033028159</v>
      </c>
      <c r="T40" s="7">
        <f>Inputs!$B62*(1+inf)^S$1</f>
        <v>7608.0913058853848</v>
      </c>
      <c r="U40" s="7">
        <f>Inputs!$B62*(1+inf)^T$1</f>
        <v>7798.2935885325196</v>
      </c>
      <c r="V40" s="7">
        <f>Inputs!$B62*(1+inf)^U$1</f>
        <v>7993.2509282458332</v>
      </c>
      <c r="W40" s="7">
        <f>Inputs!$B62*(1+inf)^V$1</f>
        <v>8193.0822014519781</v>
      </c>
      <c r="X40" s="7">
        <f>Inputs!$B62*(1+inf)^W$1</f>
        <v>8397.9092564882758</v>
      </c>
      <c r="Y40" s="7">
        <f>Inputs!$B62*(1+inf)^X$1</f>
        <v>8607.8569879004826</v>
      </c>
      <c r="Z40" s="7">
        <f>Inputs!$B62*(1+inf)^Y$1</f>
        <v>8823.0534125979957</v>
      </c>
      <c r="AA40" s="7">
        <f>Inputs!$B62*(1+inf)^Z$1</f>
        <v>9043.6297479129444</v>
      </c>
      <c r="AB40" s="7">
        <f>Inputs!$B62*(1+inf)^AA$1</f>
        <v>9269.7204916107676</v>
      </c>
      <c r="AC40" s="7">
        <f>Inputs!$B62*(1+inf)^AB$1</f>
        <v>9501.4635039010354</v>
      </c>
      <c r="AD40" s="7">
        <f>Inputs!$B62*(1+inf)^AC$1</f>
        <v>9739.0000914985612</v>
      </c>
      <c r="AE40" s="7">
        <f>Inputs!$B62*(1+inf)^AD$1</f>
        <v>9982.4750937860244</v>
      </c>
      <c r="AF40" s="7">
        <f>Inputs!$B62*(1+inf)^AE$1</f>
        <v>10232.036971130676</v>
      </c>
      <c r="AG40" s="7">
        <f>Inputs!$B62*(1+inf)^AF$1</f>
        <v>10487.83789540894</v>
      </c>
      <c r="AH40" s="7">
        <f>Inputs!$B62*(1+inf)^AG$1</f>
        <v>10750.033842794166</v>
      </c>
      <c r="AI40" s="7">
        <f>Inputs!$B62*(1+inf)^AH$1</f>
        <v>11018.784688864018</v>
      </c>
      <c r="AJ40" s="7">
        <f>Inputs!$B62*(1+inf)^AI$1</f>
        <v>11294.254306085619</v>
      </c>
      <c r="AK40" s="7">
        <f>Inputs!$B62*(1+inf)^AJ$1</f>
        <v>11576.610663737758</v>
      </c>
      <c r="AL40" s="7">
        <f>Inputs!$B62*(1+inf)^AK$1</f>
        <v>11866.025930331201</v>
      </c>
      <c r="AM40" s="7">
        <f>Inputs!$B62*(1+inf)^AL$1</f>
        <v>12162.676578589482</v>
      </c>
    </row>
    <row r="41" spans="1:39" x14ac:dyDescent="0.2">
      <c r="A41" s="3" t="str">
        <f>TEXT(Inputs!$B$65,"")</f>
        <v>Gzira</v>
      </c>
      <c r="B41" s="8"/>
      <c r="C41" s="7">
        <f ca="1">Inputs!$B67*(1+inf)^B$1*ProRate</f>
        <v>1666.6666666666667</v>
      </c>
      <c r="D41" s="7">
        <f>Inputs!$B67*(1+inf)^C$1</f>
        <v>2050</v>
      </c>
      <c r="E41" s="7">
        <f>Inputs!$B67*(1+inf)^D$1</f>
        <v>2101.25</v>
      </c>
      <c r="F41" s="7">
        <f>Inputs!$B67*(1+inf)^E$1</f>
        <v>2153.7812499999995</v>
      </c>
      <c r="G41" s="7">
        <f>Inputs!$B67*(1+inf)^F$1</f>
        <v>2207.6257812499994</v>
      </c>
      <c r="H41" s="7">
        <f>Inputs!$B67*(1+inf)^G$1</f>
        <v>2262.8164257812491</v>
      </c>
      <c r="I41" s="7">
        <f>Inputs!$B67*(1+inf)^H$1</f>
        <v>2319.3868364257805</v>
      </c>
      <c r="J41" s="7">
        <f>Inputs!$B67*(1+inf)^I$1</f>
        <v>2377.3715073364251</v>
      </c>
      <c r="K41" s="7">
        <f>Inputs!$B67*(1+inf)^J$1</f>
        <v>2436.8057950198354</v>
      </c>
      <c r="L41" s="7">
        <f>Inputs!$B67*(1+inf)^K$1</f>
        <v>2497.7259398953311</v>
      </c>
      <c r="M41" s="7">
        <f>Inputs!$B67*(1+inf)^L$1</f>
        <v>2560.169088392714</v>
      </c>
      <c r="N41" s="7">
        <f>Inputs!$B67*(1+inf)^M$1</f>
        <v>2624.1733156025321</v>
      </c>
      <c r="O41" s="7">
        <f>Inputs!$B67*(1+inf)^N$1</f>
        <v>2689.7776484925948</v>
      </c>
      <c r="P41" s="7">
        <f>Inputs!$B67*(1+inf)^O$1</f>
        <v>2757.0220897049098</v>
      </c>
      <c r="Q41" s="7">
        <f>Inputs!$B67*(1+inf)^P$1</f>
        <v>2825.9476419475322</v>
      </c>
      <c r="R41" s="7">
        <f>Inputs!$B67*(1+inf)^Q$1</f>
        <v>2896.596332996221</v>
      </c>
      <c r="S41" s="7">
        <f>Inputs!$B67*(1+inf)^R$1</f>
        <v>2969.0112413211264</v>
      </c>
      <c r="T41" s="7">
        <f>Inputs!$B67*(1+inf)^S$1</f>
        <v>3043.2365223541542</v>
      </c>
      <c r="U41" s="7">
        <f>Inputs!$B67*(1+inf)^T$1</f>
        <v>3119.3174354130078</v>
      </c>
      <c r="V41" s="7">
        <f>Inputs!$B67*(1+inf)^U$1</f>
        <v>3197.3003712983332</v>
      </c>
      <c r="W41" s="7">
        <f>Inputs!$B67*(1+inf)^V$1</f>
        <v>3277.2328805807911</v>
      </c>
      <c r="X41" s="7">
        <f>Inputs!$B67*(1+inf)^W$1</f>
        <v>3359.1637025953105</v>
      </c>
      <c r="Y41" s="7">
        <f>Inputs!$B67*(1+inf)^X$1</f>
        <v>3443.1427951601931</v>
      </c>
      <c r="Z41" s="7">
        <f>Inputs!$B67*(1+inf)^Y$1</f>
        <v>3529.2213650391982</v>
      </c>
      <c r="AA41" s="7">
        <f>Inputs!$B67*(1+inf)^Z$1</f>
        <v>3617.451899165178</v>
      </c>
      <c r="AB41" s="7">
        <f>Inputs!$B67*(1+inf)^AA$1</f>
        <v>3707.8881966443068</v>
      </c>
      <c r="AC41" s="7">
        <f>Inputs!$B67*(1+inf)^AB$1</f>
        <v>3800.5854015604141</v>
      </c>
      <c r="AD41" s="7">
        <f>Inputs!$B67*(1+inf)^AC$1</f>
        <v>3895.6000365994241</v>
      </c>
      <c r="AE41" s="7">
        <f>Inputs!$B67*(1+inf)^AD$1</f>
        <v>3992.9900375144098</v>
      </c>
      <c r="AF41" s="7">
        <f>Inputs!$B67*(1+inf)^AE$1</f>
        <v>4092.8147884522705</v>
      </c>
      <c r="AG41" s="7">
        <f>Inputs!$B67*(1+inf)^AF$1</f>
        <v>4195.1351581635763</v>
      </c>
      <c r="AH41" s="7">
        <f>Inputs!$B67*(1+inf)^AG$1</f>
        <v>4300.0135371176666</v>
      </c>
      <c r="AI41" s="7">
        <f>Inputs!$B67*(1+inf)^AH$1</f>
        <v>4407.5138755456073</v>
      </c>
      <c r="AJ41" s="7">
        <f>Inputs!$B67*(1+inf)^AI$1</f>
        <v>4517.7017224342471</v>
      </c>
      <c r="AK41" s="7">
        <f>Inputs!$B67*(1+inf)^AJ$1</f>
        <v>4630.6442654951034</v>
      </c>
      <c r="AL41" s="7">
        <f>Inputs!$B67*(1+inf)^AK$1</f>
        <v>4746.41037213248</v>
      </c>
      <c r="AM41" s="7">
        <f>Inputs!$B67*(1+inf)^AL$1</f>
        <v>4865.0706314357931</v>
      </c>
    </row>
    <row r="42" spans="1:39" x14ac:dyDescent="0.2">
      <c r="A42" s="3" t="str">
        <f>TEXT(Inputs!$B$70,"")</f>
        <v>Qormi</v>
      </c>
      <c r="B42" s="8"/>
      <c r="C42" s="7">
        <f ca="1">Inputs!$B72*(1+inf)^B$1*ProRate</f>
        <v>1000</v>
      </c>
      <c r="D42" s="7">
        <f>Inputs!$B72*(1+inf)^C$1</f>
        <v>1230</v>
      </c>
      <c r="E42" s="7">
        <f>Inputs!$B72*(1+inf)^D$1</f>
        <v>1260.75</v>
      </c>
      <c r="F42" s="7">
        <f>Inputs!$B72*(1+inf)^E$1</f>
        <v>1292.26875</v>
      </c>
      <c r="G42" s="7">
        <f>Inputs!$B72*(1+inf)^F$1</f>
        <v>1324.5754687499998</v>
      </c>
      <c r="H42" s="7">
        <f>Inputs!$B72*(1+inf)^G$1</f>
        <v>1357.6898554687496</v>
      </c>
      <c r="I42" s="7">
        <f>Inputs!$B72*(1+inf)^H$1</f>
        <v>1391.6321018554681</v>
      </c>
      <c r="J42" s="7">
        <f>Inputs!$B72*(1+inf)^I$1</f>
        <v>1426.422904401855</v>
      </c>
      <c r="K42" s="7">
        <f>Inputs!$B72*(1+inf)^J$1</f>
        <v>1462.0834770119013</v>
      </c>
      <c r="L42" s="7">
        <f>Inputs!$B72*(1+inf)^K$1</f>
        <v>1498.6355639371984</v>
      </c>
      <c r="M42" s="7">
        <f>Inputs!$B72*(1+inf)^L$1</f>
        <v>1536.1014530356285</v>
      </c>
      <c r="N42" s="7">
        <f>Inputs!$B72*(1+inf)^M$1</f>
        <v>1574.5039893615192</v>
      </c>
      <c r="O42" s="7">
        <f>Inputs!$B72*(1+inf)^N$1</f>
        <v>1613.8665890955569</v>
      </c>
      <c r="P42" s="7">
        <f>Inputs!$B72*(1+inf)^O$1</f>
        <v>1654.2132538229459</v>
      </c>
      <c r="Q42" s="7">
        <f>Inputs!$B72*(1+inf)^P$1</f>
        <v>1695.5685851685193</v>
      </c>
      <c r="R42" s="7">
        <f>Inputs!$B72*(1+inf)^Q$1</f>
        <v>1737.9577997977326</v>
      </c>
      <c r="S42" s="7">
        <f>Inputs!$B72*(1+inf)^R$1</f>
        <v>1781.4067447926757</v>
      </c>
      <c r="T42" s="7">
        <f>Inputs!$B72*(1+inf)^S$1</f>
        <v>1825.9419134124923</v>
      </c>
      <c r="U42" s="7">
        <f>Inputs!$B72*(1+inf)^T$1</f>
        <v>1871.5904612478048</v>
      </c>
      <c r="V42" s="7">
        <f>Inputs!$B72*(1+inf)^U$1</f>
        <v>1918.380222779</v>
      </c>
      <c r="W42" s="7">
        <f>Inputs!$B72*(1+inf)^V$1</f>
        <v>1966.3397283484746</v>
      </c>
      <c r="X42" s="7">
        <f>Inputs!$B72*(1+inf)^W$1</f>
        <v>2015.4982215571863</v>
      </c>
      <c r="Y42" s="7">
        <f>Inputs!$B72*(1+inf)^X$1</f>
        <v>2065.8856770961161</v>
      </c>
      <c r="Z42" s="7">
        <f>Inputs!$B72*(1+inf)^Y$1</f>
        <v>2117.5328190235191</v>
      </c>
      <c r="AA42" s="7">
        <f>Inputs!$B72*(1+inf)^Z$1</f>
        <v>2170.4711394991068</v>
      </c>
      <c r="AB42" s="7">
        <f>Inputs!$B72*(1+inf)^AA$1</f>
        <v>2224.7329179865842</v>
      </c>
      <c r="AC42" s="7">
        <f>Inputs!$B72*(1+inf)^AB$1</f>
        <v>2280.3512409362484</v>
      </c>
      <c r="AD42" s="7">
        <f>Inputs!$B72*(1+inf)^AC$1</f>
        <v>2337.3600219596547</v>
      </c>
      <c r="AE42" s="7">
        <f>Inputs!$B72*(1+inf)^AD$1</f>
        <v>2395.7940225086459</v>
      </c>
      <c r="AF42" s="7">
        <f>Inputs!$B72*(1+inf)^AE$1</f>
        <v>2455.6888730713622</v>
      </c>
      <c r="AG42" s="7">
        <f>Inputs!$B72*(1+inf)^AF$1</f>
        <v>2517.0810948981457</v>
      </c>
      <c r="AH42" s="7">
        <f>Inputs!$B72*(1+inf)^AG$1</f>
        <v>2580.0081222705999</v>
      </c>
      <c r="AI42" s="7">
        <f>Inputs!$B72*(1+inf)^AH$1</f>
        <v>2644.5083253273642</v>
      </c>
      <c r="AJ42" s="7">
        <f>Inputs!$B72*(1+inf)^AI$1</f>
        <v>2710.6210334605485</v>
      </c>
      <c r="AK42" s="7">
        <f>Inputs!$B72*(1+inf)^AJ$1</f>
        <v>2778.3865592970619</v>
      </c>
      <c r="AL42" s="7">
        <f>Inputs!$B72*(1+inf)^AK$1</f>
        <v>2847.8462232794882</v>
      </c>
      <c r="AM42" s="7">
        <f>Inputs!$B72*(1+inf)^AL$1</f>
        <v>2919.0423788614758</v>
      </c>
    </row>
    <row r="43" spans="1:39" x14ac:dyDescent="0.2">
      <c r="A43" s="3" t="str">
        <f>TEXT(Inputs!$B$75,"")</f>
        <v>Gudja</v>
      </c>
      <c r="B43" s="8"/>
      <c r="C43" s="7">
        <f ca="1">Inputs!$B77*(1+inf)^B$1*ProRate</f>
        <v>833.33333333333337</v>
      </c>
      <c r="D43" s="7">
        <f>Inputs!$B77*(1+inf)^C$1</f>
        <v>1025</v>
      </c>
      <c r="E43" s="7">
        <f>Inputs!$B77*(1+inf)^D$1</f>
        <v>1050.625</v>
      </c>
      <c r="F43" s="7">
        <f>Inputs!$B77*(1+inf)^E$1</f>
        <v>1076.8906249999998</v>
      </c>
      <c r="G43" s="7">
        <f>Inputs!$B77*(1+inf)^F$1</f>
        <v>1103.8128906249997</v>
      </c>
      <c r="H43" s="7">
        <f>Inputs!$B77*(1+inf)^G$1</f>
        <v>1131.4082128906246</v>
      </c>
      <c r="I43" s="7">
        <f>Inputs!$B77*(1+inf)^H$1</f>
        <v>1159.6934182128903</v>
      </c>
      <c r="J43" s="7">
        <f>Inputs!$B77*(1+inf)^I$1</f>
        <v>1188.6857536682126</v>
      </c>
      <c r="K43" s="7">
        <f>Inputs!$B77*(1+inf)^J$1</f>
        <v>1218.4028975099177</v>
      </c>
      <c r="L43" s="7">
        <f>Inputs!$B77*(1+inf)^K$1</f>
        <v>1248.8629699476655</v>
      </c>
      <c r="M43" s="7">
        <f>Inputs!$B77*(1+inf)^L$1</f>
        <v>1280.084544196357</v>
      </c>
      <c r="N43" s="7">
        <f>Inputs!$B77*(1+inf)^M$1</f>
        <v>1312.086657801266</v>
      </c>
      <c r="O43" s="7">
        <f>Inputs!$B77*(1+inf)^N$1</f>
        <v>1344.8888242462974</v>
      </c>
      <c r="P43" s="7">
        <f>Inputs!$B77*(1+inf)^O$1</f>
        <v>1378.5110448524549</v>
      </c>
      <c r="Q43" s="7">
        <f>Inputs!$B77*(1+inf)^P$1</f>
        <v>1412.9738209737661</v>
      </c>
      <c r="R43" s="7">
        <f>Inputs!$B77*(1+inf)^Q$1</f>
        <v>1448.2981664981105</v>
      </c>
      <c r="S43" s="7">
        <f>Inputs!$B77*(1+inf)^R$1</f>
        <v>1484.5056206605632</v>
      </c>
      <c r="T43" s="7">
        <f>Inputs!$B77*(1+inf)^S$1</f>
        <v>1521.6182611770771</v>
      </c>
      <c r="U43" s="7">
        <f>Inputs!$B77*(1+inf)^T$1</f>
        <v>1559.6587177065039</v>
      </c>
      <c r="V43" s="7">
        <f>Inputs!$B77*(1+inf)^U$1</f>
        <v>1598.6501856491666</v>
      </c>
      <c r="W43" s="7">
        <f>Inputs!$B77*(1+inf)^V$1</f>
        <v>1638.6164402903955</v>
      </c>
      <c r="X43" s="7">
        <f>Inputs!$B77*(1+inf)^W$1</f>
        <v>1679.5818512976552</v>
      </c>
      <c r="Y43" s="7">
        <f>Inputs!$B77*(1+inf)^X$1</f>
        <v>1721.5713975800966</v>
      </c>
      <c r="Z43" s="7">
        <f>Inputs!$B77*(1+inf)^Y$1</f>
        <v>1764.6106825195991</v>
      </c>
      <c r="AA43" s="7">
        <f>Inputs!$B77*(1+inf)^Z$1</f>
        <v>1808.725949582589</v>
      </c>
      <c r="AB43" s="7">
        <f>Inputs!$B77*(1+inf)^AA$1</f>
        <v>1853.9440983221534</v>
      </c>
      <c r="AC43" s="7">
        <f>Inputs!$B77*(1+inf)^AB$1</f>
        <v>1900.292700780207</v>
      </c>
      <c r="AD43" s="7">
        <f>Inputs!$B77*(1+inf)^AC$1</f>
        <v>1947.8000182997121</v>
      </c>
      <c r="AE43" s="7">
        <f>Inputs!$B77*(1+inf)^AD$1</f>
        <v>1996.4950187572049</v>
      </c>
      <c r="AF43" s="7">
        <f>Inputs!$B77*(1+inf)^AE$1</f>
        <v>2046.4073942261352</v>
      </c>
      <c r="AG43" s="7">
        <f>Inputs!$B77*(1+inf)^AF$1</f>
        <v>2097.5675790817882</v>
      </c>
      <c r="AH43" s="7">
        <f>Inputs!$B77*(1+inf)^AG$1</f>
        <v>2150.0067685588333</v>
      </c>
      <c r="AI43" s="7">
        <f>Inputs!$B77*(1+inf)^AH$1</f>
        <v>2203.7569377728037</v>
      </c>
      <c r="AJ43" s="7">
        <f>Inputs!$B77*(1+inf)^AI$1</f>
        <v>2258.8508612171236</v>
      </c>
      <c r="AK43" s="7">
        <f>Inputs!$B77*(1+inf)^AJ$1</f>
        <v>2315.3221327475517</v>
      </c>
      <c r="AL43" s="7">
        <f>Inputs!$B77*(1+inf)^AK$1</f>
        <v>2373.20518606624</v>
      </c>
      <c r="AM43" s="7">
        <f>Inputs!$B77*(1+inf)^AL$1</f>
        <v>2432.5353157178965</v>
      </c>
    </row>
    <row r="44" spans="1:39" x14ac:dyDescent="0.2">
      <c r="A44" s="3" t="str">
        <f>TEXT(Inputs!$B$80,"")</f>
        <v>Marsa</v>
      </c>
      <c r="B44" s="8"/>
      <c r="C44" s="7">
        <f ca="1">Inputs!$B82*(1+inf)^B$1*ProRate</f>
        <v>666.66666666666674</v>
      </c>
      <c r="D44" s="7">
        <f>Inputs!$B82*(1+inf)^C$1</f>
        <v>819.99999999999989</v>
      </c>
      <c r="E44" s="7">
        <f>Inputs!$B82*(1+inf)^D$1</f>
        <v>840.49999999999989</v>
      </c>
      <c r="F44" s="7">
        <f>Inputs!$B82*(1+inf)^E$1</f>
        <v>861.51249999999993</v>
      </c>
      <c r="G44" s="7">
        <f>Inputs!$B82*(1+inf)^F$1</f>
        <v>883.05031249999979</v>
      </c>
      <c r="H44" s="7">
        <f>Inputs!$B82*(1+inf)^G$1</f>
        <v>905.12657031249978</v>
      </c>
      <c r="I44" s="7">
        <f>Inputs!$B82*(1+inf)^H$1</f>
        <v>927.75473457031217</v>
      </c>
      <c r="J44" s="7">
        <f>Inputs!$B82*(1+inf)^I$1</f>
        <v>950.94860293456998</v>
      </c>
      <c r="K44" s="7">
        <f>Inputs!$B82*(1+inf)^J$1</f>
        <v>974.72231800793418</v>
      </c>
      <c r="L44" s="7">
        <f>Inputs!$B82*(1+inf)^K$1</f>
        <v>999.09037595813231</v>
      </c>
      <c r="M44" s="7">
        <f>Inputs!$B82*(1+inf)^L$1</f>
        <v>1024.0676353570857</v>
      </c>
      <c r="N44" s="7">
        <f>Inputs!$B82*(1+inf)^M$1</f>
        <v>1049.6693262410129</v>
      </c>
      <c r="O44" s="7">
        <f>Inputs!$B82*(1+inf)^N$1</f>
        <v>1075.9110593970381</v>
      </c>
      <c r="P44" s="7">
        <f>Inputs!$B82*(1+inf)^O$1</f>
        <v>1102.8088358819639</v>
      </c>
      <c r="Q44" s="7">
        <f>Inputs!$B82*(1+inf)^P$1</f>
        <v>1130.3790567790129</v>
      </c>
      <c r="R44" s="7">
        <f>Inputs!$B82*(1+inf)^Q$1</f>
        <v>1158.6385331984884</v>
      </c>
      <c r="S44" s="7">
        <f>Inputs!$B82*(1+inf)^R$1</f>
        <v>1187.6044965284505</v>
      </c>
      <c r="T44" s="7">
        <f>Inputs!$B82*(1+inf)^S$1</f>
        <v>1217.2946089416616</v>
      </c>
      <c r="U44" s="7">
        <f>Inputs!$B82*(1+inf)^T$1</f>
        <v>1247.7269741652033</v>
      </c>
      <c r="V44" s="7">
        <f>Inputs!$B82*(1+inf)^U$1</f>
        <v>1278.9201485193332</v>
      </c>
      <c r="W44" s="7">
        <f>Inputs!$B82*(1+inf)^V$1</f>
        <v>1310.8931522323164</v>
      </c>
      <c r="X44" s="7">
        <f>Inputs!$B82*(1+inf)^W$1</f>
        <v>1343.6654810381242</v>
      </c>
      <c r="Y44" s="7">
        <f>Inputs!$B82*(1+inf)^X$1</f>
        <v>1377.2571180640773</v>
      </c>
      <c r="Z44" s="7">
        <f>Inputs!$B82*(1+inf)^Y$1</f>
        <v>1411.6885460156793</v>
      </c>
      <c r="AA44" s="7">
        <f>Inputs!$B82*(1+inf)^Z$1</f>
        <v>1446.9807596660712</v>
      </c>
      <c r="AB44" s="7">
        <f>Inputs!$B82*(1+inf)^AA$1</f>
        <v>1483.1552786577226</v>
      </c>
      <c r="AC44" s="7">
        <f>Inputs!$B82*(1+inf)^AB$1</f>
        <v>1520.2341606241657</v>
      </c>
      <c r="AD44" s="7">
        <f>Inputs!$B82*(1+inf)^AC$1</f>
        <v>1558.2400146397697</v>
      </c>
      <c r="AE44" s="7">
        <f>Inputs!$B82*(1+inf)^AD$1</f>
        <v>1597.1960150057639</v>
      </c>
      <c r="AF44" s="7">
        <f>Inputs!$B82*(1+inf)^AE$1</f>
        <v>1637.1259153809081</v>
      </c>
      <c r="AG44" s="7">
        <f>Inputs!$B82*(1+inf)^AF$1</f>
        <v>1678.0540632654304</v>
      </c>
      <c r="AH44" s="7">
        <f>Inputs!$B82*(1+inf)^AG$1</f>
        <v>1720.0054148470667</v>
      </c>
      <c r="AI44" s="7">
        <f>Inputs!$B82*(1+inf)^AH$1</f>
        <v>1763.0055502182429</v>
      </c>
      <c r="AJ44" s="7">
        <f>Inputs!$B82*(1+inf)^AI$1</f>
        <v>1807.0806889736989</v>
      </c>
      <c r="AK44" s="7">
        <f>Inputs!$B82*(1+inf)^AJ$1</f>
        <v>1852.2577061980414</v>
      </c>
      <c r="AL44" s="7">
        <f>Inputs!$B82*(1+inf)^AK$1</f>
        <v>1898.5641488529923</v>
      </c>
      <c r="AM44" s="7">
        <f>Inputs!$B82*(1+inf)^AL$1</f>
        <v>1946.0282525743171</v>
      </c>
    </row>
    <row r="45" spans="1:39" x14ac:dyDescent="0.2">
      <c r="A45" s="4" t="s">
        <v>16</v>
      </c>
      <c r="B45" s="8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  <c r="AE45" s="7"/>
      <c r="AF45" s="7"/>
      <c r="AG45" s="7"/>
      <c r="AH45" s="7"/>
      <c r="AI45" s="7"/>
      <c r="AJ45" s="7"/>
      <c r="AK45" s="7"/>
      <c r="AL45" s="7"/>
      <c r="AM45" s="7"/>
    </row>
    <row r="46" spans="1:39" x14ac:dyDescent="0.2">
      <c r="A46" s="3" t="s">
        <v>56</v>
      </c>
      <c r="B46" s="8"/>
      <c r="C46" s="7">
        <f ca="1">Inputs!$B$25*(1+inf)^B$1*ProRate</f>
        <v>41666.666666666672</v>
      </c>
      <c r="D46" s="7">
        <f>Inputs!$B$25*(1+inf)^C$1</f>
        <v>51249.999999999993</v>
      </c>
      <c r="E46" s="7">
        <f>Inputs!$B$25*(1+inf)^D$1</f>
        <v>52531.249999999993</v>
      </c>
      <c r="F46" s="7">
        <f>Inputs!$B$25*(1+inf)^E$1</f>
        <v>53844.531249999993</v>
      </c>
      <c r="G46" s="7">
        <f>Inputs!$B$25*(1+inf)^F$1</f>
        <v>55190.644531249985</v>
      </c>
      <c r="H46" s="7">
        <f>Inputs!$B$25*(1+inf)^G$1</f>
        <v>56570.410644531235</v>
      </c>
      <c r="I46" s="7">
        <f>Inputs!$B$25*(1+inf)^H$1</f>
        <v>57984.670910644512</v>
      </c>
      <c r="J46" s="7">
        <f>Inputs!$B$25*(1+inf)^I$1</f>
        <v>59434.287683410628</v>
      </c>
      <c r="K46" s="7">
        <f>Inputs!$B$25*(1+inf)^J$1</f>
        <v>60920.144875495884</v>
      </c>
      <c r="L46" s="7">
        <f>Inputs!$B$25*(1+inf)^K$1</f>
        <v>62443.14849738327</v>
      </c>
      <c r="M46" s="7">
        <f>Inputs!$B$25*(1+inf)^L$1</f>
        <v>64004.227209817851</v>
      </c>
      <c r="N46" s="7">
        <f>Inputs!$B$25*(1+inf)^M$1</f>
        <v>65604.332890063306</v>
      </c>
      <c r="O46" s="7">
        <f>Inputs!$B$25*(1+inf)^N$1</f>
        <v>67244.44121231488</v>
      </c>
      <c r="P46" s="7">
        <f>Inputs!$B$25*(1+inf)^O$1</f>
        <v>68925.55224262274</v>
      </c>
      <c r="Q46" s="7">
        <f>Inputs!$B$25*(1+inf)^P$1</f>
        <v>70648.691048688299</v>
      </c>
      <c r="R46" s="7">
        <f>Inputs!$B$25*(1+inf)^Q$1</f>
        <v>72414.908324905526</v>
      </c>
      <c r="S46" s="7">
        <f>Inputs!$B$25*(1+inf)^R$1</f>
        <v>74225.28103302815</v>
      </c>
      <c r="T46" s="7">
        <f>Inputs!$B$25*(1+inf)^S$1</f>
        <v>76080.913058853854</v>
      </c>
      <c r="U46" s="7">
        <f>Inputs!$B$25*(1+inf)^T$1</f>
        <v>77982.935885325205</v>
      </c>
      <c r="V46" s="7">
        <f>Inputs!$B$25*(1+inf)^U$1</f>
        <v>79932.509282458326</v>
      </c>
      <c r="W46" s="7">
        <f>Inputs!$B$25*(1+inf)^V$1</f>
        <v>81930.82201451977</v>
      </c>
      <c r="X46" s="7">
        <f>Inputs!$B$25*(1+inf)^W$1</f>
        <v>83979.092564882769</v>
      </c>
      <c r="Y46" s="7">
        <f>Inputs!$B$25*(1+inf)^X$1</f>
        <v>86078.569879004834</v>
      </c>
      <c r="Z46" s="7">
        <f>Inputs!$B$25*(1+inf)^Y$1</f>
        <v>88230.534125979961</v>
      </c>
      <c r="AA46" s="7">
        <f>Inputs!$B$25*(1+inf)^Z$1</f>
        <v>90436.29747912944</v>
      </c>
      <c r="AB46" s="7">
        <f>Inputs!$B$25*(1+inf)^AA$1</f>
        <v>92697.204916107672</v>
      </c>
      <c r="AC46" s="7">
        <f>Inputs!$B$25*(1+inf)^AB$1</f>
        <v>95014.635039010347</v>
      </c>
      <c r="AD46" s="7">
        <f>Inputs!$B$25*(1+inf)^AC$1</f>
        <v>97390.000914985605</v>
      </c>
      <c r="AE46" s="7">
        <f>Inputs!$B$25*(1+inf)^AD$1</f>
        <v>99824.750937860241</v>
      </c>
      <c r="AF46" s="7">
        <f>Inputs!$B$25*(1+inf)^AE$1</f>
        <v>102320.36971130676</v>
      </c>
      <c r="AG46" s="7">
        <f>Inputs!$B$25*(1+inf)^AF$1</f>
        <v>104878.37895408941</v>
      </c>
      <c r="AH46" s="7">
        <f>Inputs!$B$25*(1+inf)^AG$1</f>
        <v>107500.33842794166</v>
      </c>
      <c r="AI46" s="7">
        <f>Inputs!$B$25*(1+inf)^AH$1</f>
        <v>110187.84688864018</v>
      </c>
      <c r="AJ46" s="7">
        <f>Inputs!$B$25*(1+inf)^AI$1</f>
        <v>112942.54306085619</v>
      </c>
      <c r="AK46" s="7">
        <f>Inputs!$B$25*(1+inf)^AJ$1</f>
        <v>115766.10663737758</v>
      </c>
      <c r="AL46" s="7">
        <f>Inputs!$B$25*(1+inf)^AK$1</f>
        <v>118660.25930331201</v>
      </c>
      <c r="AM46" s="7">
        <f>Inputs!$B$25*(1+inf)^AL$1</f>
        <v>121626.76578589482</v>
      </c>
    </row>
    <row r="47" spans="1:39" x14ac:dyDescent="0.2">
      <c r="A47" s="3" t="str">
        <f>"Adjustment "&amp;Inputs!A169</f>
        <v>Adjustment from now to 65</v>
      </c>
      <c r="B47" s="8"/>
      <c r="C47" s="7">
        <f ca="1">IF(C$3&lt;=65,Inputs!$B$169*C$46,0)</f>
        <v>0</v>
      </c>
      <c r="D47" s="7">
        <f>IF(D$3&lt;=65,Inputs!$B$169*D$46,0)</f>
        <v>0</v>
      </c>
      <c r="E47" s="7">
        <f>IF(E$3&lt;=65,Inputs!$B$169*E$46,0)</f>
        <v>0</v>
      </c>
      <c r="F47" s="7">
        <f>IF(F$3&lt;=65,Inputs!$B$169*F$46,0)</f>
        <v>0</v>
      </c>
      <c r="G47" s="7">
        <f>IF(G$3&lt;=65,Inputs!$B$169*G$46,0)</f>
        <v>0</v>
      </c>
      <c r="H47" s="7">
        <f>IF(H$3&lt;=65,Inputs!$B$169*H$46,0)</f>
        <v>0</v>
      </c>
      <c r="I47" s="7">
        <f>IF(I$3&lt;=65,Inputs!$B$169*I$46,0)</f>
        <v>0</v>
      </c>
      <c r="J47" s="7">
        <f>IF(J$3&lt;=65,Inputs!$B$169*J$46,0)</f>
        <v>0</v>
      </c>
      <c r="K47" s="7">
        <f>IF(K$3&lt;=65,Inputs!$B$169*K$46,0)</f>
        <v>0</v>
      </c>
      <c r="L47" s="7">
        <f>IF(L$3&lt;=65,Inputs!$B$169*L$46,0)</f>
        <v>0</v>
      </c>
      <c r="M47" s="7">
        <f>IF(M$3&lt;=65,Inputs!$B$169*M$46,0)</f>
        <v>0</v>
      </c>
      <c r="N47" s="7">
        <f>IF(N$3&lt;=65,Inputs!$B$169*N$46,0)</f>
        <v>0</v>
      </c>
      <c r="O47" s="7">
        <f>IF(O$3&lt;=65,Inputs!$B$169*O$46,0)</f>
        <v>0</v>
      </c>
      <c r="P47" s="7">
        <f>IF(P$3&lt;=65,Inputs!$B$169*P$46,0)</f>
        <v>0</v>
      </c>
      <c r="Q47" s="7">
        <f>IF(Q$3&lt;=65,Inputs!$B$169*Q$46,0)</f>
        <v>0</v>
      </c>
      <c r="R47" s="7">
        <f>IF(R$3&lt;=65,Inputs!$B$169*R$46,0)</f>
        <v>0</v>
      </c>
      <c r="S47" s="7">
        <f>IF(S$3&lt;=65,Inputs!$B$169*S$46,0)</f>
        <v>0</v>
      </c>
      <c r="T47" s="7">
        <f>IF(T$3&lt;=65,Inputs!$B$169*T$46,0)</f>
        <v>0</v>
      </c>
      <c r="U47" s="7">
        <f>IF(U$3&lt;=65,Inputs!$B$169*U$46,0)</f>
        <v>0</v>
      </c>
      <c r="V47" s="7">
        <f>IF(V$3&lt;=65,Inputs!$B$169*V$46,0)</f>
        <v>0</v>
      </c>
      <c r="W47" s="7">
        <f>IF(W$3&lt;=65,Inputs!$B$169*W$46,0)</f>
        <v>0</v>
      </c>
      <c r="X47" s="7">
        <f>IF(X$3&lt;=65,Inputs!$B$169*X$46,0)</f>
        <v>0</v>
      </c>
      <c r="Y47" s="7">
        <f>IF(Y$3&lt;=65,Inputs!$B$169*Y$46,0)</f>
        <v>0</v>
      </c>
      <c r="Z47" s="7">
        <f>IF(Z$3&lt;=65,Inputs!$B$169*Z$46,0)</f>
        <v>0</v>
      </c>
      <c r="AA47" s="7">
        <f>IF(AA$3&lt;=65,Inputs!$B$169*AA$46,0)</f>
        <v>0</v>
      </c>
      <c r="AB47" s="7">
        <f>IF(AB$3&lt;=65,Inputs!$B$169*AB$46,0)</f>
        <v>0</v>
      </c>
      <c r="AC47" s="7">
        <f>IF(AC$3&lt;=65,Inputs!$B$169*AC$46,0)</f>
        <v>0</v>
      </c>
      <c r="AD47" s="7">
        <f>IF(AD$3&lt;=65,Inputs!$B$169*AD$46,0)</f>
        <v>0</v>
      </c>
      <c r="AE47" s="7">
        <f>IF(AE$3&lt;=65,Inputs!$B$169*AE$46,0)</f>
        <v>0</v>
      </c>
      <c r="AF47" s="7">
        <f>IF(AF$3&lt;=65,Inputs!$B$169*AF$46,0)</f>
        <v>0</v>
      </c>
      <c r="AG47" s="7">
        <f>IF(AG$3&lt;=65,Inputs!$B$169*AG$46,0)</f>
        <v>0</v>
      </c>
      <c r="AH47" s="7">
        <f>IF(AH$3&lt;=65,Inputs!$B$169*AH$46,0)</f>
        <v>0</v>
      </c>
      <c r="AI47" s="7">
        <f>IF(AI$3&lt;=65,Inputs!$B$169*AI$46,0)</f>
        <v>0</v>
      </c>
      <c r="AJ47" s="7">
        <f>IF(AJ$3&lt;=65,Inputs!$B$169*AJ$46,0)</f>
        <v>0</v>
      </c>
      <c r="AK47" s="7">
        <f>IF(AK$3&lt;=65,Inputs!$B$169*AK$46,0)</f>
        <v>0</v>
      </c>
      <c r="AL47" s="7">
        <f>IF(AL$3&lt;=65,Inputs!$B$169*AL$46,0)</f>
        <v>0</v>
      </c>
      <c r="AM47" s="7">
        <f>IF(AM$3&lt;=65,Inputs!$B$169*AM$46,0)</f>
        <v>0</v>
      </c>
    </row>
    <row r="48" spans="1:39" x14ac:dyDescent="0.2">
      <c r="A48" s="3" t="str">
        <f>"Adjustment "&amp;Inputs!A170</f>
        <v>Adjustment from 66-75</v>
      </c>
      <c r="B48" s="8"/>
      <c r="C48" s="7">
        <f>IF(AND(C$3&gt;65,C$3&lt;=75),Inputs!$B$170*C46,0)</f>
        <v>0</v>
      </c>
      <c r="D48" s="7">
        <f>IF(AND(D$3&gt;65,D$3&lt;=75),Inputs!$B$170*D46,0)</f>
        <v>0</v>
      </c>
      <c r="E48" s="7">
        <f>IF(AND(E$3&gt;65,E$3&lt;=75),Inputs!$B$170*E46,0)</f>
        <v>0</v>
      </c>
      <c r="F48" s="7">
        <f>IF(AND(F$3&gt;65,F$3&lt;=75),Inputs!$B$170*F46,0)</f>
        <v>0</v>
      </c>
      <c r="G48" s="7">
        <f>IF(AND(G$3&gt;65,G$3&lt;=75),Inputs!$B$170*G46,0)</f>
        <v>0</v>
      </c>
      <c r="H48" s="7">
        <f>IF(AND(H$3&gt;65,H$3&lt;=75),Inputs!$B$170*H46,0)</f>
        <v>0</v>
      </c>
      <c r="I48" s="7">
        <f>IF(AND(I$3&gt;65,I$3&lt;=75),Inputs!$B$170*I46,0)</f>
        <v>0</v>
      </c>
      <c r="J48" s="7">
        <f>IF(AND(J$3&gt;65,J$3&lt;=75),Inputs!$B$170*J46,0)</f>
        <v>0</v>
      </c>
      <c r="K48" s="7">
        <f>IF(AND(K$3&gt;65,K$3&lt;=75),Inputs!$B$170*K46,0)</f>
        <v>0</v>
      </c>
      <c r="L48" s="7">
        <f>IF(AND(L$3&gt;65,L$3&lt;=75),Inputs!$B$170*L46,0)</f>
        <v>0</v>
      </c>
      <c r="M48" s="7">
        <f>IF(AND(M$3&gt;65,M$3&lt;=75),Inputs!$B$170*M46,0)</f>
        <v>0</v>
      </c>
      <c r="N48" s="7">
        <f>IF(AND(N$3&gt;65,N$3&lt;=75),Inputs!$B$170*N46,0)</f>
        <v>0</v>
      </c>
      <c r="O48" s="7">
        <f>IF(AND(O$3&gt;65,O$3&lt;=75),Inputs!$B$170*O46,0)</f>
        <v>0</v>
      </c>
      <c r="P48" s="7">
        <f>IF(AND(P$3&gt;65,P$3&lt;=75),Inputs!$B$170*P46,0)</f>
        <v>0</v>
      </c>
      <c r="Q48" s="7">
        <f>IF(AND(Q$3&gt;65,Q$3&lt;=75),Inputs!$B$170*Q46,0)</f>
        <v>0</v>
      </c>
      <c r="R48" s="7">
        <f>IF(AND(R$3&gt;65,R$3&lt;=75),Inputs!$B$170*R46,0)</f>
        <v>0</v>
      </c>
      <c r="S48" s="7">
        <f>IF(AND(S$3&gt;65,S$3&lt;=75),Inputs!$B$170*S46,0)</f>
        <v>0</v>
      </c>
      <c r="T48" s="7">
        <f>IF(AND(T$3&gt;65,T$3&lt;=75),Inputs!$B$170*T46,0)</f>
        <v>0</v>
      </c>
      <c r="U48" s="7">
        <f>IF(AND(U$3&gt;65,U$3&lt;=75),Inputs!$B$170*U46,0)</f>
        <v>-7798.2935885325205</v>
      </c>
      <c r="V48" s="7">
        <f>IF(AND(V$3&gt;65,V$3&lt;=75),Inputs!$B$170*V46,0)</f>
        <v>-7993.2509282458332</v>
      </c>
      <c r="W48" s="7">
        <f>IF(AND(W$3&gt;65,W$3&lt;=75),Inputs!$B$170*W46,0)</f>
        <v>-8193.0822014519781</v>
      </c>
      <c r="X48" s="7">
        <f>IF(AND(X$3&gt;65,X$3&lt;=75),Inputs!$B$170*X46,0)</f>
        <v>-8397.9092564882776</v>
      </c>
      <c r="Y48" s="7">
        <f>IF(AND(Y$3&gt;65,Y$3&lt;=75),Inputs!$B$170*Y46,0)</f>
        <v>-8607.8569879004845</v>
      </c>
      <c r="Z48" s="7">
        <f>IF(AND(Z$3&gt;65,Z$3&lt;=75),Inputs!$B$170*Z46,0)</f>
        <v>-8823.0534125979957</v>
      </c>
      <c r="AA48" s="7">
        <f>IF(AND(AA$3&gt;65,AA$3&lt;=75),Inputs!$B$170*AA46,0)</f>
        <v>-9043.6297479129444</v>
      </c>
      <c r="AB48" s="7">
        <f>IF(AND(AB$3&gt;65,AB$3&lt;=75),Inputs!$B$170*AB46,0)</f>
        <v>-9269.7204916107676</v>
      </c>
      <c r="AC48" s="7">
        <f>IF(AND(AC$3&gt;65,AC$3&lt;=75),Inputs!$B$170*AC46,0)</f>
        <v>-9501.4635039010354</v>
      </c>
      <c r="AD48" s="7">
        <f>IF(AND(AD$3&gt;65,AD$3&lt;=75),Inputs!$B$170*AD46,0)</f>
        <v>-9739.0000914985612</v>
      </c>
      <c r="AE48" s="7">
        <f>IF(AND(AE$3&gt;65,AE$3&lt;=75),Inputs!$B$170*AE46,0)</f>
        <v>0</v>
      </c>
      <c r="AF48" s="7">
        <f>IF(AND(AF$3&gt;65,AF$3&lt;=75),Inputs!$B$170*AF46,0)</f>
        <v>0</v>
      </c>
      <c r="AG48" s="7">
        <f>IF(AND(AG$3&gt;65,AG$3&lt;=75),Inputs!$B$170*AG46,0)</f>
        <v>0</v>
      </c>
      <c r="AH48" s="7">
        <f>IF(AND(AH$3&gt;65,AH$3&lt;=75),Inputs!$B$170*AH46,0)</f>
        <v>0</v>
      </c>
      <c r="AI48" s="7">
        <f>IF(AND(AI$3&gt;65,AI$3&lt;=75),Inputs!$B$170*AI46,0)</f>
        <v>0</v>
      </c>
      <c r="AJ48" s="7">
        <f>IF(AND(AJ$3&gt;65,AJ$3&lt;=75),Inputs!$B$170*AJ46,0)</f>
        <v>0</v>
      </c>
      <c r="AK48" s="7">
        <f>IF(AND(AK$3&gt;65,AK$3&lt;=75),Inputs!$B$170*AK46,0)</f>
        <v>0</v>
      </c>
      <c r="AL48" s="7">
        <f>IF(AND(AL$3&gt;65,AL$3&lt;=75),Inputs!$B$170*AL46,0)</f>
        <v>0</v>
      </c>
      <c r="AM48" s="7">
        <f>IF(AND(AM$3&gt;65,AM$3&lt;=75),Inputs!$B$170*AM46,0)</f>
        <v>0</v>
      </c>
    </row>
    <row r="49" spans="1:39" x14ac:dyDescent="0.2">
      <c r="A49" s="3" t="str">
        <f>"Adjustment "&amp;Inputs!A171</f>
        <v>Adjustment from age 76</v>
      </c>
      <c r="B49" s="8"/>
      <c r="C49" s="7">
        <f>IF(C$3&gt;75,Inputs!$B$171*C$46,0)</f>
        <v>0</v>
      </c>
      <c r="D49" s="7">
        <f>IF(D$3&gt;75,Inputs!$B$171*D$46,0)</f>
        <v>0</v>
      </c>
      <c r="E49" s="7">
        <f>IF(E$3&gt;75,Inputs!$B$171*E$46,0)</f>
        <v>0</v>
      </c>
      <c r="F49" s="7">
        <f>IF(F$3&gt;75,Inputs!$B$171*F$46,0)</f>
        <v>0</v>
      </c>
      <c r="G49" s="7">
        <f>IF(G$3&gt;75,Inputs!$B$171*G$46,0)</f>
        <v>0</v>
      </c>
      <c r="H49" s="7">
        <f>IF(H$3&gt;75,Inputs!$B$171*H$46,0)</f>
        <v>0</v>
      </c>
      <c r="I49" s="7">
        <f>IF(I$3&gt;75,Inputs!$B$171*I$46,0)</f>
        <v>0</v>
      </c>
      <c r="J49" s="7">
        <f>IF(J$3&gt;75,Inputs!$B$171*J$46,0)</f>
        <v>0</v>
      </c>
      <c r="K49" s="7">
        <f>IF(K$3&gt;75,Inputs!$B$171*K$46,0)</f>
        <v>0</v>
      </c>
      <c r="L49" s="7">
        <f>IF(L$3&gt;75,Inputs!$B$171*L$46,0)</f>
        <v>0</v>
      </c>
      <c r="M49" s="7">
        <f>IF(M$3&gt;75,Inputs!$B$171*M$46,0)</f>
        <v>0</v>
      </c>
      <c r="N49" s="7">
        <f>IF(N$3&gt;75,Inputs!$B$171*N$46,0)</f>
        <v>0</v>
      </c>
      <c r="O49" s="7">
        <f>IF(O$3&gt;75,Inputs!$B$171*O$46,0)</f>
        <v>0</v>
      </c>
      <c r="P49" s="7">
        <f>IF(P$3&gt;75,Inputs!$B$171*P$46,0)</f>
        <v>0</v>
      </c>
      <c r="Q49" s="7">
        <f>IF(Q$3&gt;75,Inputs!$B$171*Q$46,0)</f>
        <v>0</v>
      </c>
      <c r="R49" s="7">
        <f>IF(R$3&gt;75,Inputs!$B$171*R$46,0)</f>
        <v>0</v>
      </c>
      <c r="S49" s="7">
        <f>IF(S$3&gt;75,Inputs!$B$171*S$46,0)</f>
        <v>0</v>
      </c>
      <c r="T49" s="7">
        <f>IF(T$3&gt;75,Inputs!$B$171*T$46,0)</f>
        <v>0</v>
      </c>
      <c r="U49" s="7">
        <f>IF(U$3&gt;75,Inputs!$B$171*U$46,0)</f>
        <v>0</v>
      </c>
      <c r="V49" s="7">
        <f>IF(V$3&gt;75,Inputs!$B$171*V$46,0)</f>
        <v>0</v>
      </c>
      <c r="W49" s="7">
        <f>IF(W$3&gt;75,Inputs!$B$171*W$46,0)</f>
        <v>0</v>
      </c>
      <c r="X49" s="7">
        <f>IF(X$3&gt;75,Inputs!$B$171*X$46,0)</f>
        <v>0</v>
      </c>
      <c r="Y49" s="7">
        <f>IF(Y$3&gt;75,Inputs!$B$171*Y$46,0)</f>
        <v>0</v>
      </c>
      <c r="Z49" s="7">
        <f>IF(Z$3&gt;75,Inputs!$B$171*Z$46,0)</f>
        <v>0</v>
      </c>
      <c r="AA49" s="7">
        <f>IF(AA$3&gt;75,Inputs!$B$171*AA$46,0)</f>
        <v>0</v>
      </c>
      <c r="AB49" s="7">
        <f>IF(AB$3&gt;75,Inputs!$B$171*AB$46,0)</f>
        <v>0</v>
      </c>
      <c r="AC49" s="7">
        <f>IF(AC$3&gt;75,Inputs!$B$171*AC$46,0)</f>
        <v>0</v>
      </c>
      <c r="AD49" s="7">
        <f>IF(AD$3&gt;75,Inputs!$B$171*AD$46,0)</f>
        <v>0</v>
      </c>
      <c r="AE49" s="7">
        <f>IF(AE$3&gt;75,Inputs!$B$171*AE$46,0)</f>
        <v>-19964.950187572049</v>
      </c>
      <c r="AF49" s="7">
        <f>IF(AF$3&gt;75,Inputs!$B$171*AF$46,0)</f>
        <v>-20464.073942261355</v>
      </c>
      <c r="AG49" s="7">
        <f>IF(AG$3&gt;75,Inputs!$B$171*AG$46,0)</f>
        <v>-20975.675790817884</v>
      </c>
      <c r="AH49" s="7">
        <f>IF(AH$3&gt;75,Inputs!$B$171*AH$46,0)</f>
        <v>-21500.067685588336</v>
      </c>
      <c r="AI49" s="7">
        <f>IF(AI$3&gt;75,Inputs!$B$171*AI$46,0)</f>
        <v>-22037.569377728039</v>
      </c>
      <c r="AJ49" s="7">
        <f>IF(AJ$3&gt;75,Inputs!$B$171*AJ$46,0)</f>
        <v>-22588.508612171237</v>
      </c>
      <c r="AK49" s="7">
        <f>IF(AK$3&gt;75,Inputs!$B$171*AK$46,0)</f>
        <v>-23153.22132747552</v>
      </c>
      <c r="AL49" s="7">
        <f>IF(AL$3&gt;75,Inputs!$B$171*AL$46,0)</f>
        <v>-23732.051860662403</v>
      </c>
      <c r="AM49" s="7">
        <f>IF(AM$3&gt;75,Inputs!$B$171*AM$46,0)</f>
        <v>-24325.353157178964</v>
      </c>
    </row>
    <row r="50" spans="1:39" x14ac:dyDescent="0.2">
      <c r="A50" s="4" t="s">
        <v>60</v>
      </c>
      <c r="B50" s="8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  <c r="AD50" s="7"/>
      <c r="AE50" s="7"/>
      <c r="AF50" s="7"/>
      <c r="AG50" s="7"/>
      <c r="AH50" s="7"/>
      <c r="AI50" s="7"/>
      <c r="AJ50" s="7"/>
      <c r="AK50" s="7"/>
      <c r="AL50" s="7"/>
      <c r="AM50" s="7"/>
    </row>
    <row r="51" spans="1:39" x14ac:dyDescent="0.2">
      <c r="A51" s="3" t="str">
        <f>TEXT(Inputs!$B$149,"")</f>
        <v>Wedding</v>
      </c>
      <c r="B51" s="8"/>
      <c r="C51" s="7">
        <f ca="1">IF(C$2=Inputs!$B151,Inputs!$B150,0)*(1+inf)^B$1</f>
        <v>0</v>
      </c>
      <c r="D51" s="7">
        <f ca="1">IF(D$2=Inputs!$B151,Inputs!$B150,0)*(1+inf)^C$1</f>
        <v>0</v>
      </c>
      <c r="E51" s="7">
        <f ca="1">IF(E$2=Inputs!$B151,Inputs!$B150,0)*(1+inf)^D$1</f>
        <v>0</v>
      </c>
      <c r="F51" s="7">
        <f ca="1">IF(F$2=Inputs!$B151,Inputs!$B150,0)*(1+inf)^E$1</f>
        <v>0</v>
      </c>
      <c r="G51" s="7">
        <f ca="1">IF(G$2=Inputs!$B151,Inputs!$B150,0)*(1+inf)^F$1</f>
        <v>0</v>
      </c>
      <c r="H51" s="7">
        <f ca="1">IF(H$2=Inputs!$B151,Inputs!$B150,0)*(1+inf)^G$1</f>
        <v>0</v>
      </c>
      <c r="I51" s="7">
        <f ca="1">IF(I$2=Inputs!$B151,Inputs!$B150,0)*(1+inf)^H$1</f>
        <v>0</v>
      </c>
      <c r="J51" s="7">
        <f ca="1">IF(J$2=Inputs!$B151,Inputs!$B150,0)*(1+inf)^I$1</f>
        <v>0</v>
      </c>
      <c r="K51" s="7">
        <f ca="1">IF(K$2=Inputs!$B151,Inputs!$B150,0)*(1+inf)^J$1</f>
        <v>0</v>
      </c>
      <c r="L51" s="7">
        <f ca="1">IF(L$2=Inputs!$B151,Inputs!$B150,0)*(1+inf)^K$1</f>
        <v>0</v>
      </c>
      <c r="M51" s="7">
        <f ca="1">IF(M$2=Inputs!$B151,Inputs!$B150,0)*(1+inf)^L$1</f>
        <v>51203.381767854284</v>
      </c>
      <c r="N51" s="7">
        <f ca="1">IF(N$2=Inputs!$B151,Inputs!$B150,0)*(1+inf)^M$1</f>
        <v>0</v>
      </c>
      <c r="O51" s="7">
        <f ca="1">IF(O$2=Inputs!$B151,Inputs!$B150,0)*(1+inf)^N$1</f>
        <v>0</v>
      </c>
      <c r="P51" s="7">
        <f ca="1">IF(P$2=Inputs!$B151,Inputs!$B150,0)*(1+inf)^O$1</f>
        <v>0</v>
      </c>
      <c r="Q51" s="7">
        <f ca="1">IF(Q$2=Inputs!$B151,Inputs!$B150,0)*(1+inf)^P$1</f>
        <v>0</v>
      </c>
      <c r="R51" s="7">
        <f ca="1">IF(R$2=Inputs!$B151,Inputs!$B150,0)*(1+inf)^Q$1</f>
        <v>0</v>
      </c>
      <c r="S51" s="7">
        <f ca="1">IF(S$2=Inputs!$B151,Inputs!$B150,0)*(1+inf)^R$1</f>
        <v>0</v>
      </c>
      <c r="T51" s="7">
        <f ca="1">IF(T$2=Inputs!$B151,Inputs!$B150,0)*(1+inf)^S$1</f>
        <v>0</v>
      </c>
      <c r="U51" s="7">
        <f ca="1">IF(U$2=Inputs!$B151,Inputs!$B150,0)*(1+inf)^T$1</f>
        <v>0</v>
      </c>
      <c r="V51" s="7">
        <f ca="1">IF(V$2=Inputs!$B151,Inputs!$B150,0)*(1+inf)^U$1</f>
        <v>0</v>
      </c>
      <c r="W51" s="7">
        <f ca="1">IF(W$2=Inputs!$B151,Inputs!$B150,0)*(1+inf)^V$1</f>
        <v>0</v>
      </c>
      <c r="X51" s="7">
        <f ca="1">IF(X$2=Inputs!$B151,Inputs!$B150,0)*(1+inf)^W$1</f>
        <v>0</v>
      </c>
      <c r="Y51" s="7">
        <f ca="1">IF(Y$2=Inputs!$B151,Inputs!$B150,0)*(1+inf)^X$1</f>
        <v>0</v>
      </c>
      <c r="Z51" s="7">
        <f ca="1">IF(Z$2=Inputs!$B151,Inputs!$B150,0)*(1+inf)^Y$1</f>
        <v>0</v>
      </c>
      <c r="AA51" s="7">
        <f ca="1">IF(AA$2=Inputs!$B151,Inputs!$B150,0)*(1+inf)^Z$1</f>
        <v>0</v>
      </c>
      <c r="AB51" s="7">
        <f ca="1">IF(AB$2=Inputs!$B151,Inputs!$B150,0)*(1+inf)^AA$1</f>
        <v>0</v>
      </c>
      <c r="AC51" s="7">
        <f ca="1">IF(AC$2=Inputs!$B151,Inputs!$B150,0)*(1+inf)^AB$1</f>
        <v>0</v>
      </c>
      <c r="AD51" s="7">
        <f ca="1">IF(AD$2=Inputs!$B151,Inputs!$B150,0)*(1+inf)^AC$1</f>
        <v>0</v>
      </c>
      <c r="AE51" s="7">
        <f ca="1">IF(AE$2=Inputs!$B151,Inputs!$B150,0)*(1+inf)^AD$1</f>
        <v>0</v>
      </c>
      <c r="AF51" s="7">
        <f ca="1">IF(AF$2=Inputs!$B151,Inputs!$B150,0)*(1+inf)^AE$1</f>
        <v>0</v>
      </c>
      <c r="AG51" s="7">
        <f ca="1">IF(AG$2=Inputs!$B151,Inputs!$B150,0)*(1+inf)^AF$1</f>
        <v>0</v>
      </c>
      <c r="AH51" s="7">
        <f ca="1">IF(AH$2=Inputs!$B151,Inputs!$B150,0)*(1+inf)^AG$1</f>
        <v>0</v>
      </c>
      <c r="AI51" s="7">
        <f ca="1">IF(AI$2=Inputs!$B151,Inputs!$B150,0)*(1+inf)^AH$1</f>
        <v>0</v>
      </c>
      <c r="AJ51" s="7">
        <f ca="1">IF(AJ$2=Inputs!$B151,Inputs!$B150,0)*(1+inf)^AI$1</f>
        <v>0</v>
      </c>
      <c r="AK51" s="7">
        <f ca="1">IF(AK$2=Inputs!$B151,Inputs!$B150,0)*(1+inf)^AJ$1</f>
        <v>0</v>
      </c>
      <c r="AL51" s="7">
        <f ca="1">IF(AL$2=Inputs!$B151,Inputs!$B150,0)*(1+inf)^AK$1</f>
        <v>0</v>
      </c>
      <c r="AM51" s="7">
        <f ca="1">IF(AM$2=Inputs!$B151,Inputs!$B150,0)*(1+inf)^AL$1</f>
        <v>0</v>
      </c>
    </row>
    <row r="52" spans="1:39" x14ac:dyDescent="0.2">
      <c r="A52" s="3" t="str">
        <f>TEXT(Inputs!$B$154,"")</f>
        <v>New Car</v>
      </c>
      <c r="B52" s="8"/>
      <c r="C52" s="7">
        <f ca="1">IF(C$2=Inputs!$B156,Inputs!$B155,0)*(1+inf)^B$1</f>
        <v>0</v>
      </c>
      <c r="D52" s="7">
        <f ca="1">IF(D$2=Inputs!$B156,Inputs!$B155,0)*(1+inf)^C$1</f>
        <v>0</v>
      </c>
      <c r="E52" s="7">
        <f ca="1">IF(E$2=Inputs!$B156,Inputs!$B155,0)*(1+inf)^D$1</f>
        <v>0</v>
      </c>
      <c r="F52" s="7">
        <f ca="1">IF(F$2=Inputs!$B156,Inputs!$B155,0)*(1+inf)^E$1</f>
        <v>37691.171874999993</v>
      </c>
      <c r="G52" s="7">
        <f ca="1">IF(G$2=Inputs!$B156,Inputs!$B155,0)*(1+inf)^F$1</f>
        <v>0</v>
      </c>
      <c r="H52" s="7">
        <f ca="1">IF(H$2=Inputs!$B156,Inputs!$B155,0)*(1+inf)^G$1</f>
        <v>0</v>
      </c>
      <c r="I52" s="7">
        <f ca="1">IF(I$2=Inputs!$B156,Inputs!$B155,0)*(1+inf)^H$1</f>
        <v>0</v>
      </c>
      <c r="J52" s="7">
        <f ca="1">IF(J$2=Inputs!$B156,Inputs!$B155,0)*(1+inf)^I$1</f>
        <v>0</v>
      </c>
      <c r="K52" s="7">
        <f ca="1">IF(K$2=Inputs!$B156,Inputs!$B155,0)*(1+inf)^J$1</f>
        <v>0</v>
      </c>
      <c r="L52" s="7">
        <f ca="1">IF(L$2=Inputs!$B156,Inputs!$B155,0)*(1+inf)^K$1</f>
        <v>0</v>
      </c>
      <c r="M52" s="7">
        <f ca="1">IF(M$2=Inputs!$B156,Inputs!$B155,0)*(1+inf)^L$1</f>
        <v>0</v>
      </c>
      <c r="N52" s="7">
        <f ca="1">IF(N$2=Inputs!$B156,Inputs!$B155,0)*(1+inf)^M$1</f>
        <v>0</v>
      </c>
      <c r="O52" s="7">
        <f ca="1">IF(O$2=Inputs!$B156,Inputs!$B155,0)*(1+inf)^N$1</f>
        <v>0</v>
      </c>
      <c r="P52" s="7">
        <f ca="1">IF(P$2=Inputs!$B156,Inputs!$B155,0)*(1+inf)^O$1</f>
        <v>0</v>
      </c>
      <c r="Q52" s="7">
        <f ca="1">IF(Q$2=Inputs!$B156,Inputs!$B155,0)*(1+inf)^P$1</f>
        <v>0</v>
      </c>
      <c r="R52" s="7">
        <f ca="1">IF(R$2=Inputs!$B156,Inputs!$B155,0)*(1+inf)^Q$1</f>
        <v>0</v>
      </c>
      <c r="S52" s="7">
        <f ca="1">IF(S$2=Inputs!$B156,Inputs!$B155,0)*(1+inf)^R$1</f>
        <v>0</v>
      </c>
      <c r="T52" s="7">
        <f ca="1">IF(T$2=Inputs!$B156,Inputs!$B155,0)*(1+inf)^S$1</f>
        <v>0</v>
      </c>
      <c r="U52" s="7">
        <f ca="1">IF(U$2=Inputs!$B156,Inputs!$B155,0)*(1+inf)^T$1</f>
        <v>0</v>
      </c>
      <c r="V52" s="7">
        <f ca="1">IF(V$2=Inputs!$B156,Inputs!$B155,0)*(1+inf)^U$1</f>
        <v>0</v>
      </c>
      <c r="W52" s="7">
        <f ca="1">IF(W$2=Inputs!$B156,Inputs!$B155,0)*(1+inf)^V$1</f>
        <v>0</v>
      </c>
      <c r="X52" s="7">
        <f ca="1">IF(X$2=Inputs!$B156,Inputs!$B155,0)*(1+inf)^W$1</f>
        <v>0</v>
      </c>
      <c r="Y52" s="7">
        <f ca="1">IF(Y$2=Inputs!$B156,Inputs!$B155,0)*(1+inf)^X$1</f>
        <v>0</v>
      </c>
      <c r="Z52" s="7">
        <f ca="1">IF(Z$2=Inputs!$B156,Inputs!$B155,0)*(1+inf)^Y$1</f>
        <v>0</v>
      </c>
      <c r="AA52" s="7">
        <f ca="1">IF(AA$2=Inputs!$B156,Inputs!$B155,0)*(1+inf)^Z$1</f>
        <v>0</v>
      </c>
      <c r="AB52" s="7">
        <f ca="1">IF(AB$2=Inputs!$B156,Inputs!$B155,0)*(1+inf)^AA$1</f>
        <v>0</v>
      </c>
      <c r="AC52" s="7">
        <f ca="1">IF(AC$2=Inputs!$B156,Inputs!$B155,0)*(1+inf)^AB$1</f>
        <v>0</v>
      </c>
      <c r="AD52" s="7">
        <f ca="1">IF(AD$2=Inputs!$B156,Inputs!$B155,0)*(1+inf)^AC$1</f>
        <v>0</v>
      </c>
      <c r="AE52" s="7">
        <f ca="1">IF(AE$2=Inputs!$B156,Inputs!$B155,0)*(1+inf)^AD$1</f>
        <v>0</v>
      </c>
      <c r="AF52" s="7">
        <f ca="1">IF(AF$2=Inputs!$B156,Inputs!$B155,0)*(1+inf)^AE$1</f>
        <v>0</v>
      </c>
      <c r="AG52" s="7">
        <f ca="1">IF(AG$2=Inputs!$B156,Inputs!$B155,0)*(1+inf)^AF$1</f>
        <v>0</v>
      </c>
      <c r="AH52" s="7">
        <f ca="1">IF(AH$2=Inputs!$B156,Inputs!$B155,0)*(1+inf)^AG$1</f>
        <v>0</v>
      </c>
      <c r="AI52" s="7">
        <f ca="1">IF(AI$2=Inputs!$B156,Inputs!$B155,0)*(1+inf)^AH$1</f>
        <v>0</v>
      </c>
      <c r="AJ52" s="7">
        <f ca="1">IF(AJ$2=Inputs!$B156,Inputs!$B155,0)*(1+inf)^AI$1</f>
        <v>0</v>
      </c>
      <c r="AK52" s="7">
        <f ca="1">IF(AK$2=Inputs!$B156,Inputs!$B155,0)*(1+inf)^AJ$1</f>
        <v>0</v>
      </c>
      <c r="AL52" s="7">
        <f ca="1">IF(AL$2=Inputs!$B156,Inputs!$B155,0)*(1+inf)^AK$1</f>
        <v>0</v>
      </c>
      <c r="AM52" s="7">
        <f ca="1">IF(AM$2=Inputs!$B156,Inputs!$B155,0)*(1+inf)^AL$1</f>
        <v>0</v>
      </c>
    </row>
    <row r="53" spans="1:39" x14ac:dyDescent="0.2">
      <c r="A53" s="3" t="str">
        <f>TEXT(Inputs!$B$159,"")</f>
        <v>New AC</v>
      </c>
      <c r="B53" s="8"/>
      <c r="C53" s="7">
        <f ca="1">IF(C$2=Inputs!$B161,Inputs!$B160,0)*(1+inf)^B$1</f>
        <v>0</v>
      </c>
      <c r="D53" s="7">
        <f ca="1">IF(D$2=Inputs!$B161,Inputs!$B160,0)*(1+inf)^C$1</f>
        <v>0</v>
      </c>
      <c r="E53" s="7">
        <f ca="1">IF(E$2=Inputs!$B161,Inputs!$B160,0)*(1+inf)^D$1</f>
        <v>0</v>
      </c>
      <c r="F53" s="7">
        <f ca="1">IF(F$2=Inputs!$B161,Inputs!$B160,0)*(1+inf)^E$1</f>
        <v>0</v>
      </c>
      <c r="G53" s="7">
        <f ca="1">IF(G$2=Inputs!$B161,Inputs!$B160,0)*(1+inf)^F$1</f>
        <v>0</v>
      </c>
      <c r="H53" s="7">
        <f ca="1">IF(H$2=Inputs!$B161,Inputs!$B160,0)*(1+inf)^G$1</f>
        <v>0</v>
      </c>
      <c r="I53" s="7">
        <f ca="1">IF(I$2=Inputs!$B161,Inputs!$B160,0)*(1+inf)^H$1</f>
        <v>0</v>
      </c>
      <c r="J53" s="7">
        <f ca="1">IF(J$2=Inputs!$B161,Inputs!$B160,0)*(1+inf)^I$1</f>
        <v>0</v>
      </c>
      <c r="K53" s="7">
        <f ca="1">IF(K$2=Inputs!$B161,Inputs!$B160,0)*(1+inf)^J$1</f>
        <v>18276.043462648766</v>
      </c>
      <c r="L53" s="7">
        <f ca="1">IF(L$2=Inputs!$B161,Inputs!$B160,0)*(1+inf)^K$1</f>
        <v>0</v>
      </c>
      <c r="M53" s="7">
        <f ca="1">IF(M$2=Inputs!$B161,Inputs!$B160,0)*(1+inf)^L$1</f>
        <v>0</v>
      </c>
      <c r="N53" s="7">
        <f ca="1">IF(N$2=Inputs!$B161,Inputs!$B160,0)*(1+inf)^M$1</f>
        <v>0</v>
      </c>
      <c r="O53" s="7">
        <f ca="1">IF(O$2=Inputs!$B161,Inputs!$B160,0)*(1+inf)^N$1</f>
        <v>0</v>
      </c>
      <c r="P53" s="7">
        <f ca="1">IF(P$2=Inputs!$B161,Inputs!$B160,0)*(1+inf)^O$1</f>
        <v>0</v>
      </c>
      <c r="Q53" s="7">
        <f ca="1">IF(Q$2=Inputs!$B161,Inputs!$B160,0)*(1+inf)^P$1</f>
        <v>0</v>
      </c>
      <c r="R53" s="7">
        <f ca="1">IF(R$2=Inputs!$B161,Inputs!$B160,0)*(1+inf)^Q$1</f>
        <v>0</v>
      </c>
      <c r="S53" s="7">
        <f ca="1">IF(S$2=Inputs!$B161,Inputs!$B160,0)*(1+inf)^R$1</f>
        <v>0</v>
      </c>
      <c r="T53" s="7">
        <f ca="1">IF(T$2=Inputs!$B161,Inputs!$B160,0)*(1+inf)^S$1</f>
        <v>0</v>
      </c>
      <c r="U53" s="7">
        <f ca="1">IF(U$2=Inputs!$B161,Inputs!$B160,0)*(1+inf)^T$1</f>
        <v>0</v>
      </c>
      <c r="V53" s="7">
        <f ca="1">IF(V$2=Inputs!$B161,Inputs!$B160,0)*(1+inf)^U$1</f>
        <v>0</v>
      </c>
      <c r="W53" s="7">
        <f ca="1">IF(W$2=Inputs!$B161,Inputs!$B160,0)*(1+inf)^V$1</f>
        <v>0</v>
      </c>
      <c r="X53" s="7">
        <f ca="1">IF(X$2=Inputs!$B161,Inputs!$B160,0)*(1+inf)^W$1</f>
        <v>0</v>
      </c>
      <c r="Y53" s="7">
        <f ca="1">IF(Y$2=Inputs!$B161,Inputs!$B160,0)*(1+inf)^X$1</f>
        <v>0</v>
      </c>
      <c r="Z53" s="7">
        <f ca="1">IF(Z$2=Inputs!$B161,Inputs!$B160,0)*(1+inf)^Y$1</f>
        <v>0</v>
      </c>
      <c r="AA53" s="7">
        <f ca="1">IF(AA$2=Inputs!$B161,Inputs!$B160,0)*(1+inf)^Z$1</f>
        <v>0</v>
      </c>
      <c r="AB53" s="7">
        <f ca="1">IF(AB$2=Inputs!$B161,Inputs!$B160,0)*(1+inf)^AA$1</f>
        <v>0</v>
      </c>
      <c r="AC53" s="7">
        <f ca="1">IF(AC$2=Inputs!$B161,Inputs!$B160,0)*(1+inf)^AB$1</f>
        <v>0</v>
      </c>
      <c r="AD53" s="7">
        <f ca="1">IF(AD$2=Inputs!$B161,Inputs!$B160,0)*(1+inf)^AC$1</f>
        <v>0</v>
      </c>
      <c r="AE53" s="7">
        <f ca="1">IF(AE$2=Inputs!$B161,Inputs!$B160,0)*(1+inf)^AD$1</f>
        <v>0</v>
      </c>
      <c r="AF53" s="7">
        <f ca="1">IF(AF$2=Inputs!$B161,Inputs!$B160,0)*(1+inf)^AE$1</f>
        <v>0</v>
      </c>
      <c r="AG53" s="7">
        <f ca="1">IF(AG$2=Inputs!$B161,Inputs!$B160,0)*(1+inf)^AF$1</f>
        <v>0</v>
      </c>
      <c r="AH53" s="7">
        <f ca="1">IF(AH$2=Inputs!$B161,Inputs!$B160,0)*(1+inf)^AG$1</f>
        <v>0</v>
      </c>
      <c r="AI53" s="7">
        <f ca="1">IF(AI$2=Inputs!$B161,Inputs!$B160,0)*(1+inf)^AH$1</f>
        <v>0</v>
      </c>
      <c r="AJ53" s="7">
        <f ca="1">IF(AJ$2=Inputs!$B161,Inputs!$B160,0)*(1+inf)^AI$1</f>
        <v>0</v>
      </c>
      <c r="AK53" s="7">
        <f ca="1">IF(AK$2=Inputs!$B161,Inputs!$B160,0)*(1+inf)^AJ$1</f>
        <v>0</v>
      </c>
      <c r="AL53" s="7">
        <f ca="1">IF(AL$2=Inputs!$B161,Inputs!$B160,0)*(1+inf)^AK$1</f>
        <v>0</v>
      </c>
      <c r="AM53" s="7">
        <f ca="1">IF(AM$2=Inputs!$B161,Inputs!$B160,0)*(1+inf)^AL$1</f>
        <v>0</v>
      </c>
    </row>
    <row r="54" spans="1:39" x14ac:dyDescent="0.2">
      <c r="A54" s="4"/>
      <c r="C54" s="9">
        <f t="shared" ref="C54:G54" ca="1" si="36">SUM(C22:C53)</f>
        <v>81300</v>
      </c>
      <c r="D54" s="9">
        <f t="shared" ca="1" si="36"/>
        <v>98169</v>
      </c>
      <c r="E54" s="9">
        <f t="shared" ca="1" si="36"/>
        <v>95820.724999999991</v>
      </c>
      <c r="F54" s="9">
        <f t="shared" ca="1" si="36"/>
        <v>130084.81008945729</v>
      </c>
      <c r="G54" s="9">
        <f t="shared" ca="1" si="36"/>
        <v>92089.491195312483</v>
      </c>
      <c r="H54" s="9">
        <f t="shared" ref="H54:AM54" ca="1" si="37">SUM(H22:H53)</f>
        <v>90281.061641888562</v>
      </c>
      <c r="I54" s="9">
        <f t="shared" ca="1" si="37"/>
        <v>77621.605092773418</v>
      </c>
      <c r="J54" s="9">
        <f t="shared" ca="1" si="37"/>
        <v>78710.394027913091</v>
      </c>
      <c r="K54" s="9">
        <f t="shared" ca="1" si="37"/>
        <v>97801.233575819046</v>
      </c>
      <c r="L54" s="9">
        <f t="shared" ca="1" si="37"/>
        <v>79540.083275847108</v>
      </c>
      <c r="M54" s="9">
        <f t="shared" ca="1" si="37"/>
        <v>128008.4544196357</v>
      </c>
      <c r="N54" s="9">
        <f t="shared" ca="1" si="37"/>
        <v>78725.199468075967</v>
      </c>
      <c r="O54" s="9">
        <f t="shared" ca="1" si="37"/>
        <v>80693.32945477785</v>
      </c>
      <c r="P54" s="9">
        <f t="shared" ca="1" si="37"/>
        <v>82710.662691147285</v>
      </c>
      <c r="Q54" s="9">
        <f t="shared" ca="1" si="37"/>
        <v>84778.429258425953</v>
      </c>
      <c r="R54" s="9">
        <f t="shared" ca="1" si="37"/>
        <v>86897.889989886637</v>
      </c>
      <c r="S54" s="9">
        <f t="shared" ca="1" si="37"/>
        <v>89070.33723963378</v>
      </c>
      <c r="T54" s="9">
        <f t="shared" ca="1" si="37"/>
        <v>91297.095670624622</v>
      </c>
      <c r="U54" s="9">
        <f t="shared" ca="1" si="37"/>
        <v>85781.229473857733</v>
      </c>
      <c r="V54" s="9">
        <f t="shared" ca="1" si="37"/>
        <v>87925.76021070416</v>
      </c>
      <c r="W54" s="9">
        <f t="shared" ca="1" si="37"/>
        <v>90123.90421597175</v>
      </c>
      <c r="X54" s="9">
        <f t="shared" ca="1" si="37"/>
        <v>92377.001821371043</v>
      </c>
      <c r="Y54" s="9">
        <f t="shared" ca="1" si="37"/>
        <v>94686.426866905327</v>
      </c>
      <c r="Z54" s="9">
        <f t="shared" ca="1" si="37"/>
        <v>97053.587538577965</v>
      </c>
      <c r="AA54" s="9">
        <f t="shared" ca="1" si="37"/>
        <v>99479.927227042383</v>
      </c>
      <c r="AB54" s="9">
        <f t="shared" ca="1" si="37"/>
        <v>101966.92540771843</v>
      </c>
      <c r="AC54" s="9">
        <f t="shared" ca="1" si="37"/>
        <v>104516.09854291138</v>
      </c>
      <c r="AD54" s="9">
        <f t="shared" ca="1" si="37"/>
        <v>107129.00100648416</v>
      </c>
      <c r="AE54" s="9">
        <f t="shared" ca="1" si="37"/>
        <v>99824.750937860241</v>
      </c>
      <c r="AF54" s="9">
        <f t="shared" ca="1" si="37"/>
        <v>102320.36971130676</v>
      </c>
      <c r="AG54" s="9">
        <f t="shared" ca="1" si="37"/>
        <v>104878.37895408941</v>
      </c>
      <c r="AH54" s="9">
        <f t="shared" ca="1" si="37"/>
        <v>107500.33842794166</v>
      </c>
      <c r="AI54" s="9">
        <f t="shared" ca="1" si="37"/>
        <v>110187.84688864017</v>
      </c>
      <c r="AJ54" s="9">
        <f t="shared" ca="1" si="37"/>
        <v>112942.54306085619</v>
      </c>
      <c r="AK54" s="9">
        <f t="shared" ca="1" si="37"/>
        <v>115766.10663737757</v>
      </c>
      <c r="AL54" s="9">
        <f t="shared" ca="1" si="37"/>
        <v>118660.25930331199</v>
      </c>
      <c r="AM54" s="9">
        <f t="shared" ca="1" si="37"/>
        <v>121626.76578589482</v>
      </c>
    </row>
    <row r="55" spans="1:39" x14ac:dyDescent="0.2">
      <c r="A55" s="4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  <c r="AD55" s="7"/>
      <c r="AE55" s="7"/>
      <c r="AF55" s="7"/>
      <c r="AG55" s="7"/>
      <c r="AH55" s="7"/>
      <c r="AI55" s="7"/>
      <c r="AJ55" s="7"/>
      <c r="AK55" s="7"/>
      <c r="AL55" s="7"/>
      <c r="AM55" s="7"/>
    </row>
    <row r="56" spans="1:39" ht="19" x14ac:dyDescent="0.25">
      <c r="A56" s="12" t="s">
        <v>19</v>
      </c>
      <c r="C56" s="7">
        <f t="shared" ref="C56:AM56" ca="1" si="38">C21-C54</f>
        <v>23136.875000000015</v>
      </c>
      <c r="D56" s="7">
        <f t="shared" ca="1" si="38"/>
        <v>24004.028125000012</v>
      </c>
      <c r="E56" s="7">
        <f t="shared" ca="1" si="38"/>
        <v>30618.530703125012</v>
      </c>
      <c r="F56" s="7">
        <f t="shared" ca="1" si="38"/>
        <v>11340.742583252606</v>
      </c>
      <c r="G56" s="7">
        <f t="shared" ca="1" si="38"/>
        <v>-48117.489896297564</v>
      </c>
      <c r="H56" s="7">
        <f t="shared" ca="1" si="38"/>
        <v>-46251.199860520719</v>
      </c>
      <c r="I56" s="7">
        <f t="shared" ca="1" si="38"/>
        <v>-27443.773442836973</v>
      </c>
      <c r="J56" s="7">
        <f t="shared" ca="1" si="38"/>
        <v>-33790.1904027731</v>
      </c>
      <c r="K56" s="7">
        <f t="shared" ca="1" si="38"/>
        <v>-51555.295799477477</v>
      </c>
      <c r="L56" s="7">
        <f t="shared" ca="1" si="38"/>
        <v>30524.197102192877</v>
      </c>
      <c r="M56" s="7">
        <f t="shared" ca="1" si="38"/>
        <v>-63610.162681902482</v>
      </c>
      <c r="N56" s="7">
        <f t="shared" ca="1" si="38"/>
        <v>-15108.738211907017</v>
      </c>
      <c r="O56" s="7">
        <f t="shared" ca="1" si="38"/>
        <v>-15247.099560391907</v>
      </c>
      <c r="P56" s="7">
        <f t="shared" ca="1" si="38"/>
        <v>-15381.739229384548</v>
      </c>
      <c r="Q56" s="7">
        <f t="shared" ca="1" si="38"/>
        <v>-15512.348755501473</v>
      </c>
      <c r="R56" s="7">
        <f t="shared" ca="1" si="38"/>
        <v>-15638.605501132843</v>
      </c>
      <c r="S56" s="7">
        <f t="shared" ca="1" si="38"/>
        <v>-15760.172106207261</v>
      </c>
      <c r="T56" s="7">
        <f t="shared" ca="1" si="38"/>
        <v>2534.8850398076902</v>
      </c>
      <c r="U56" s="7">
        <f t="shared" ca="1" si="38"/>
        <v>10682.355657415697</v>
      </c>
      <c r="V56" s="7">
        <f t="shared" ca="1" si="38"/>
        <v>11243.793599023862</v>
      </c>
      <c r="W56" s="7">
        <f t="shared" ca="1" si="38"/>
        <v>11828.098860677375</v>
      </c>
      <c r="X56" s="7">
        <f t="shared" ca="1" si="38"/>
        <v>12436.10806652256</v>
      </c>
      <c r="Y56" s="7">
        <f t="shared" ca="1" si="38"/>
        <v>-7590.1700664174423</v>
      </c>
      <c r="Z56" s="7">
        <f t="shared" ca="1" si="38"/>
        <v>-7448.5981036290177</v>
      </c>
      <c r="AA56" s="7">
        <f t="shared" ca="1" si="38"/>
        <v>-7293.547055337418</v>
      </c>
      <c r="AB56" s="7">
        <f t="shared" ca="1" si="38"/>
        <v>-7124.3817508120555</v>
      </c>
      <c r="AC56" s="7">
        <f t="shared" ca="1" si="38"/>
        <v>-6940.4421942463086</v>
      </c>
      <c r="AD56" s="7">
        <f t="shared" ca="1" si="38"/>
        <v>-6741.04267575634</v>
      </c>
      <c r="AE56" s="7">
        <f t="shared" ca="1" si="38"/>
        <v>3457.0042416822835</v>
      </c>
      <c r="AF56" s="7">
        <f t="shared" ca="1" si="38"/>
        <v>3939.0501749872201</v>
      </c>
      <c r="AG56" s="7">
        <f t="shared" ca="1" si="38"/>
        <v>4445.0158814427268</v>
      </c>
      <c r="AH56" s="7">
        <f t="shared" ca="1" si="38"/>
        <v>4975.8554141219793</v>
      </c>
      <c r="AI56" s="7">
        <f t="shared" ca="1" si="38"/>
        <v>5532.5573591875727</v>
      </c>
      <c r="AJ56" s="7">
        <f t="shared" ca="1" si="38"/>
        <v>6116.1460196711414</v>
      </c>
      <c r="AK56" s="7">
        <f t="shared" ca="1" si="38"/>
        <v>6727.6826384619199</v>
      </c>
      <c r="AL56" s="7">
        <f t="shared" ca="1" si="38"/>
        <v>7368.2666617714713</v>
      </c>
      <c r="AM56" s="7">
        <f t="shared" ca="1" si="38"/>
        <v>8039.0370443841675</v>
      </c>
    </row>
    <row r="57" spans="1:39" x14ac:dyDescent="0.2">
      <c r="A57" s="4" t="s">
        <v>10</v>
      </c>
      <c r="C57" s="7">
        <f>Inputs!B8</f>
        <v>50000</v>
      </c>
      <c r="D57" s="7">
        <f ca="1">C58</f>
        <v>73136.875000000015</v>
      </c>
      <c r="E57" s="7">
        <f t="shared" ref="E57:AM57" ca="1" si="39">D58</f>
        <v>97140.903125000026</v>
      </c>
      <c r="F57" s="7">
        <f t="shared" ca="1" si="39"/>
        <v>127759.43382812504</v>
      </c>
      <c r="G57" s="7">
        <f t="shared" ca="1" si="39"/>
        <v>139100.17641137764</v>
      </c>
      <c r="H57" s="7">
        <f t="shared" ca="1" si="39"/>
        <v>90982.686515080073</v>
      </c>
      <c r="I57" s="7">
        <f t="shared" ca="1" si="39"/>
        <v>44731.486654559354</v>
      </c>
      <c r="J57" s="7">
        <f t="shared" ca="1" si="39"/>
        <v>17287.713211722381</v>
      </c>
      <c r="K57" s="7">
        <f t="shared" ca="1" si="39"/>
        <v>-16502.477191050719</v>
      </c>
      <c r="L57" s="7">
        <f t="shared" ca="1" si="39"/>
        <v>-68057.772990528203</v>
      </c>
      <c r="M57" s="7">
        <f t="shared" ca="1" si="39"/>
        <v>-37533.575888335326</v>
      </c>
      <c r="N57" s="7">
        <f t="shared" ca="1" si="39"/>
        <v>-101143.73857023781</v>
      </c>
      <c r="O57" s="7">
        <f t="shared" ca="1" si="39"/>
        <v>-116252.47678214483</v>
      </c>
      <c r="P57" s="7">
        <f t="shared" ca="1" si="39"/>
        <v>-131499.57634253675</v>
      </c>
      <c r="Q57" s="7">
        <f t="shared" ca="1" si="39"/>
        <v>-146881.3155719213</v>
      </c>
      <c r="R57" s="7">
        <f t="shared" ca="1" si="39"/>
        <v>-162393.66432742277</v>
      </c>
      <c r="S57" s="7">
        <f t="shared" ca="1" si="39"/>
        <v>-178032.26982855561</v>
      </c>
      <c r="T57" s="7">
        <f t="shared" ca="1" si="39"/>
        <v>-193792.44193476287</v>
      </c>
      <c r="U57" s="7">
        <f t="shared" ca="1" si="39"/>
        <v>-191257.55689495517</v>
      </c>
      <c r="V57" s="7">
        <f t="shared" ca="1" si="39"/>
        <v>-180575.20123753947</v>
      </c>
      <c r="W57" s="7">
        <f t="shared" ca="1" si="39"/>
        <v>-169331.40763851561</v>
      </c>
      <c r="X57" s="7">
        <f t="shared" ca="1" si="39"/>
        <v>-157503.30877783825</v>
      </c>
      <c r="Y57" s="7">
        <f t="shared" ca="1" si="39"/>
        <v>-145067.20071131567</v>
      </c>
      <c r="Z57" s="7">
        <f t="shared" ca="1" si="39"/>
        <v>-152657.3707777331</v>
      </c>
      <c r="AA57" s="7">
        <f t="shared" ca="1" si="39"/>
        <v>-160105.96888136212</v>
      </c>
      <c r="AB57" s="7">
        <f t="shared" ca="1" si="39"/>
        <v>-167399.51593669952</v>
      </c>
      <c r="AC57" s="7">
        <f t="shared" ca="1" si="39"/>
        <v>-174523.89768751158</v>
      </c>
      <c r="AD57" s="7">
        <f t="shared" ca="1" si="39"/>
        <v>-181464.33988175789</v>
      </c>
      <c r="AE57" s="7">
        <f t="shared" ca="1" si="39"/>
        <v>-188205.38255751424</v>
      </c>
      <c r="AF57" s="7">
        <f t="shared" ca="1" si="39"/>
        <v>-184748.37831583194</v>
      </c>
      <c r="AG57" s="7">
        <f t="shared" ca="1" si="39"/>
        <v>-180809.32814084471</v>
      </c>
      <c r="AH57" s="7">
        <f t="shared" ca="1" si="39"/>
        <v>-176364.31225940198</v>
      </c>
      <c r="AI57" s="7">
        <f t="shared" ca="1" si="39"/>
        <v>-171388.45684528002</v>
      </c>
      <c r="AJ57" s="7">
        <f t="shared" ca="1" si="39"/>
        <v>-165855.89948609244</v>
      </c>
      <c r="AK57" s="7">
        <f t="shared" ca="1" si="39"/>
        <v>-159739.7534664213</v>
      </c>
      <c r="AL57" s="7">
        <f t="shared" ca="1" si="39"/>
        <v>-153012.0708279594</v>
      </c>
      <c r="AM57" s="7">
        <f t="shared" ca="1" si="39"/>
        <v>-145643.80416618794</v>
      </c>
    </row>
    <row r="58" spans="1:39" x14ac:dyDescent="0.2">
      <c r="A58" s="4" t="s">
        <v>11</v>
      </c>
      <c r="C58" s="9">
        <f ca="1">SUM(C56:C57)</f>
        <v>73136.875000000015</v>
      </c>
      <c r="D58" s="9">
        <f t="shared" ref="D58:AM58" ca="1" si="40">SUM(D56:D57)</f>
        <v>97140.903125000026</v>
      </c>
      <c r="E58" s="9">
        <f t="shared" ca="1" si="40"/>
        <v>127759.43382812504</v>
      </c>
      <c r="F58" s="9">
        <f t="shared" ca="1" si="40"/>
        <v>139100.17641137764</v>
      </c>
      <c r="G58" s="9">
        <f t="shared" ca="1" si="40"/>
        <v>90982.686515080073</v>
      </c>
      <c r="H58" s="9">
        <f t="shared" ca="1" si="40"/>
        <v>44731.486654559354</v>
      </c>
      <c r="I58" s="9">
        <f t="shared" ca="1" si="40"/>
        <v>17287.713211722381</v>
      </c>
      <c r="J58" s="9">
        <f t="shared" ca="1" si="40"/>
        <v>-16502.477191050719</v>
      </c>
      <c r="K58" s="9">
        <f t="shared" ca="1" si="40"/>
        <v>-68057.772990528203</v>
      </c>
      <c r="L58" s="9">
        <f t="shared" ca="1" si="40"/>
        <v>-37533.575888335326</v>
      </c>
      <c r="M58" s="9">
        <f t="shared" ca="1" si="40"/>
        <v>-101143.73857023781</v>
      </c>
      <c r="N58" s="9">
        <f t="shared" ca="1" si="40"/>
        <v>-116252.47678214483</v>
      </c>
      <c r="O58" s="9">
        <f t="shared" ca="1" si="40"/>
        <v>-131499.57634253675</v>
      </c>
      <c r="P58" s="9">
        <f t="shared" ca="1" si="40"/>
        <v>-146881.3155719213</v>
      </c>
      <c r="Q58" s="9">
        <f t="shared" ca="1" si="40"/>
        <v>-162393.66432742277</v>
      </c>
      <c r="R58" s="9">
        <f t="shared" ca="1" si="40"/>
        <v>-178032.26982855561</v>
      </c>
      <c r="S58" s="9">
        <f t="shared" ca="1" si="40"/>
        <v>-193792.44193476287</v>
      </c>
      <c r="T58" s="9">
        <f t="shared" ca="1" si="40"/>
        <v>-191257.55689495517</v>
      </c>
      <c r="U58" s="9">
        <f t="shared" ca="1" si="40"/>
        <v>-180575.20123753947</v>
      </c>
      <c r="V58" s="9">
        <f t="shared" ca="1" si="40"/>
        <v>-169331.40763851561</v>
      </c>
      <c r="W58" s="9">
        <f t="shared" ca="1" si="40"/>
        <v>-157503.30877783825</v>
      </c>
      <c r="X58" s="9">
        <f t="shared" ca="1" si="40"/>
        <v>-145067.20071131567</v>
      </c>
      <c r="Y58" s="9">
        <f t="shared" ca="1" si="40"/>
        <v>-152657.3707777331</v>
      </c>
      <c r="Z58" s="9">
        <f t="shared" ca="1" si="40"/>
        <v>-160105.96888136212</v>
      </c>
      <c r="AA58" s="9">
        <f t="shared" ca="1" si="40"/>
        <v>-167399.51593669952</v>
      </c>
      <c r="AB58" s="9">
        <f t="shared" ca="1" si="40"/>
        <v>-174523.89768751158</v>
      </c>
      <c r="AC58" s="9">
        <f t="shared" ca="1" si="40"/>
        <v>-181464.33988175789</v>
      </c>
      <c r="AD58" s="9">
        <f t="shared" ca="1" si="40"/>
        <v>-188205.38255751424</v>
      </c>
      <c r="AE58" s="9">
        <f t="shared" ca="1" si="40"/>
        <v>-184748.37831583194</v>
      </c>
      <c r="AF58" s="9">
        <f t="shared" ca="1" si="40"/>
        <v>-180809.32814084471</v>
      </c>
      <c r="AG58" s="9">
        <f t="shared" ca="1" si="40"/>
        <v>-176364.31225940198</v>
      </c>
      <c r="AH58" s="9">
        <f t="shared" ca="1" si="40"/>
        <v>-171388.45684528002</v>
      </c>
      <c r="AI58" s="9">
        <f t="shared" ca="1" si="40"/>
        <v>-165855.89948609244</v>
      </c>
      <c r="AJ58" s="9">
        <f t="shared" ca="1" si="40"/>
        <v>-159739.7534664213</v>
      </c>
      <c r="AK58" s="9">
        <f t="shared" ca="1" si="40"/>
        <v>-153012.0708279594</v>
      </c>
      <c r="AL58" s="9">
        <f t="shared" ca="1" si="40"/>
        <v>-145643.80416618794</v>
      </c>
      <c r="AM58" s="9">
        <f t="shared" ca="1" si="40"/>
        <v>-137604.76712180377</v>
      </c>
    </row>
    <row r="59" spans="1:39" x14ac:dyDescent="0.2"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  <c r="AD59" s="7"/>
      <c r="AE59" s="7"/>
      <c r="AF59" s="7"/>
      <c r="AG59" s="7"/>
      <c r="AH59" s="7"/>
      <c r="AI59" s="7"/>
      <c r="AJ59" s="7"/>
      <c r="AK59" s="7"/>
      <c r="AL59" s="7"/>
      <c r="AM59" s="7"/>
    </row>
    <row r="60" spans="1:39" ht="19" x14ac:dyDescent="0.25">
      <c r="A60" s="25" t="s">
        <v>72</v>
      </c>
      <c r="B60" s="26"/>
      <c r="C60" s="27"/>
      <c r="D60" s="27"/>
      <c r="E60" s="27"/>
      <c r="F60" s="27"/>
      <c r="G60" s="27"/>
      <c r="H60" s="27"/>
      <c r="I60" s="27"/>
      <c r="J60" s="27"/>
      <c r="K60" s="27"/>
      <c r="L60" s="27"/>
      <c r="M60" s="27"/>
      <c r="N60" s="27"/>
      <c r="O60" s="27"/>
      <c r="P60" s="27"/>
      <c r="Q60" s="27"/>
      <c r="R60" s="27"/>
      <c r="S60" s="27"/>
      <c r="T60" s="27"/>
      <c r="U60" s="27"/>
      <c r="V60" s="27"/>
      <c r="W60" s="27"/>
      <c r="X60" s="27"/>
      <c r="Y60" s="27"/>
      <c r="Z60" s="27"/>
      <c r="AA60" s="27"/>
      <c r="AB60" s="27"/>
      <c r="AC60" s="27"/>
      <c r="AD60" s="27"/>
      <c r="AE60" s="27"/>
      <c r="AF60" s="27"/>
      <c r="AG60" s="27"/>
      <c r="AH60" s="27"/>
      <c r="AI60" s="27"/>
      <c r="AJ60" s="27"/>
      <c r="AK60" s="27"/>
      <c r="AL60" s="27"/>
      <c r="AM60" s="27"/>
    </row>
    <row r="61" spans="1:39" x14ac:dyDescent="0.2">
      <c r="A61" s="4" t="s">
        <v>9</v>
      </c>
      <c r="C61" s="7">
        <f t="shared" ref="C61:AM61" ca="1" si="41">C58</f>
        <v>73136.875000000015</v>
      </c>
      <c r="D61" s="7">
        <f t="shared" ca="1" si="41"/>
        <v>97140.903125000026</v>
      </c>
      <c r="E61" s="7">
        <f t="shared" ca="1" si="41"/>
        <v>127759.43382812504</v>
      </c>
      <c r="F61" s="7">
        <f t="shared" ca="1" si="41"/>
        <v>139100.17641137764</v>
      </c>
      <c r="G61" s="7">
        <f t="shared" ca="1" si="41"/>
        <v>90982.686515080073</v>
      </c>
      <c r="H61" s="7">
        <f t="shared" ca="1" si="41"/>
        <v>44731.486654559354</v>
      </c>
      <c r="I61" s="7">
        <f t="shared" ca="1" si="41"/>
        <v>17287.713211722381</v>
      </c>
      <c r="J61" s="7">
        <f t="shared" ca="1" si="41"/>
        <v>-16502.477191050719</v>
      </c>
      <c r="K61" s="7">
        <f t="shared" ca="1" si="41"/>
        <v>-68057.772990528203</v>
      </c>
      <c r="L61" s="7">
        <f t="shared" ca="1" si="41"/>
        <v>-37533.575888335326</v>
      </c>
      <c r="M61" s="7">
        <f t="shared" ca="1" si="41"/>
        <v>-101143.73857023781</v>
      </c>
      <c r="N61" s="7">
        <f t="shared" ca="1" si="41"/>
        <v>-116252.47678214483</v>
      </c>
      <c r="O61" s="7">
        <f t="shared" ca="1" si="41"/>
        <v>-131499.57634253675</v>
      </c>
      <c r="P61" s="7">
        <f t="shared" ca="1" si="41"/>
        <v>-146881.3155719213</v>
      </c>
      <c r="Q61" s="7">
        <f t="shared" ca="1" si="41"/>
        <v>-162393.66432742277</v>
      </c>
      <c r="R61" s="7">
        <f t="shared" ca="1" si="41"/>
        <v>-178032.26982855561</v>
      </c>
      <c r="S61" s="7">
        <f t="shared" ca="1" si="41"/>
        <v>-193792.44193476287</v>
      </c>
      <c r="T61" s="7">
        <f t="shared" ca="1" si="41"/>
        <v>-191257.55689495517</v>
      </c>
      <c r="U61" s="7">
        <f t="shared" ca="1" si="41"/>
        <v>-180575.20123753947</v>
      </c>
      <c r="V61" s="7">
        <f t="shared" ca="1" si="41"/>
        <v>-169331.40763851561</v>
      </c>
      <c r="W61" s="7">
        <f t="shared" ca="1" si="41"/>
        <v>-157503.30877783825</v>
      </c>
      <c r="X61" s="7">
        <f t="shared" ca="1" si="41"/>
        <v>-145067.20071131567</v>
      </c>
      <c r="Y61" s="7">
        <f t="shared" ca="1" si="41"/>
        <v>-152657.3707777331</v>
      </c>
      <c r="Z61" s="7">
        <f t="shared" ca="1" si="41"/>
        <v>-160105.96888136212</v>
      </c>
      <c r="AA61" s="7">
        <f t="shared" ca="1" si="41"/>
        <v>-167399.51593669952</v>
      </c>
      <c r="AB61" s="7">
        <f t="shared" ca="1" si="41"/>
        <v>-174523.89768751158</v>
      </c>
      <c r="AC61" s="7">
        <f t="shared" ca="1" si="41"/>
        <v>-181464.33988175789</v>
      </c>
      <c r="AD61" s="7">
        <f t="shared" ca="1" si="41"/>
        <v>-188205.38255751424</v>
      </c>
      <c r="AE61" s="7">
        <f t="shared" ca="1" si="41"/>
        <v>-184748.37831583194</v>
      </c>
      <c r="AF61" s="7">
        <f t="shared" ca="1" si="41"/>
        <v>-180809.32814084471</v>
      </c>
      <c r="AG61" s="7">
        <f t="shared" ca="1" si="41"/>
        <v>-176364.31225940198</v>
      </c>
      <c r="AH61" s="7">
        <f t="shared" ca="1" si="41"/>
        <v>-171388.45684528002</v>
      </c>
      <c r="AI61" s="7">
        <f t="shared" ca="1" si="41"/>
        <v>-165855.89948609244</v>
      </c>
      <c r="AJ61" s="7">
        <f t="shared" ca="1" si="41"/>
        <v>-159739.7534664213</v>
      </c>
      <c r="AK61" s="7">
        <f t="shared" ca="1" si="41"/>
        <v>-153012.0708279594</v>
      </c>
      <c r="AL61" s="7">
        <f t="shared" ca="1" si="41"/>
        <v>-145643.80416618794</v>
      </c>
      <c r="AM61" s="7">
        <f t="shared" ca="1" si="41"/>
        <v>-137604.76712180377</v>
      </c>
    </row>
    <row r="62" spans="1:39" x14ac:dyDescent="0.2">
      <c r="A62" s="4" t="s">
        <v>7</v>
      </c>
      <c r="C62" s="7">
        <f ca="1">Inputs!B12*(1+princ)^ProRate</f>
        <v>614962.9305229499</v>
      </c>
      <c r="D62" s="7">
        <f t="shared" ref="D62:AM62" ca="1" si="42">C62*(1+princ)</f>
        <v>633411.81843863847</v>
      </c>
      <c r="E62" s="7">
        <f t="shared" ca="1" si="42"/>
        <v>652414.17299179768</v>
      </c>
      <c r="F62" s="7">
        <f t="shared" ca="1" si="42"/>
        <v>671986.59818155167</v>
      </c>
      <c r="G62" s="7">
        <f t="shared" ca="1" si="42"/>
        <v>692146.19612699829</v>
      </c>
      <c r="H62" s="7">
        <f t="shared" ca="1" si="42"/>
        <v>712910.58201080828</v>
      </c>
      <c r="I62" s="7">
        <f t="shared" ca="1" si="42"/>
        <v>734297.89947113255</v>
      </c>
      <c r="J62" s="7">
        <f t="shared" ca="1" si="42"/>
        <v>756326.83645526657</v>
      </c>
      <c r="K62" s="7">
        <f t="shared" ca="1" si="42"/>
        <v>779016.64154892461</v>
      </c>
      <c r="L62" s="7">
        <f t="shared" ca="1" si="42"/>
        <v>802387.14079539233</v>
      </c>
      <c r="M62" s="7">
        <f t="shared" ca="1" si="42"/>
        <v>826458.75501925417</v>
      </c>
      <c r="N62" s="7">
        <f t="shared" ca="1" si="42"/>
        <v>851252.51766983187</v>
      </c>
      <c r="O62" s="7">
        <f t="shared" ca="1" si="42"/>
        <v>876790.09319992689</v>
      </c>
      <c r="P62" s="7">
        <f t="shared" ca="1" si="42"/>
        <v>903093.79599592474</v>
      </c>
      <c r="Q62" s="7">
        <f t="shared" ca="1" si="42"/>
        <v>930186.60987580253</v>
      </c>
      <c r="R62" s="7">
        <f t="shared" ca="1" si="42"/>
        <v>958092.20817207661</v>
      </c>
      <c r="S62" s="7">
        <f t="shared" ca="1" si="42"/>
        <v>986834.97441723896</v>
      </c>
      <c r="T62" s="7">
        <f t="shared" ca="1" si="42"/>
        <v>1016440.0236497562</v>
      </c>
      <c r="U62" s="7">
        <f t="shared" ca="1" si="42"/>
        <v>1046933.2243592489</v>
      </c>
      <c r="V62" s="7">
        <f t="shared" ca="1" si="42"/>
        <v>1078341.2210900264</v>
      </c>
      <c r="W62" s="7">
        <f t="shared" ca="1" si="42"/>
        <v>1110691.4577227272</v>
      </c>
      <c r="X62" s="7">
        <f t="shared" ca="1" si="42"/>
        <v>1144012.2014544092</v>
      </c>
      <c r="Y62" s="7">
        <f t="shared" ca="1" si="42"/>
        <v>1178332.5674980415</v>
      </c>
      <c r="Z62" s="7">
        <f t="shared" ca="1" si="42"/>
        <v>1213682.5445229828</v>
      </c>
      <c r="AA62" s="7">
        <f t="shared" ca="1" si="42"/>
        <v>1250093.0208586722</v>
      </c>
      <c r="AB62" s="7">
        <f t="shared" ca="1" si="42"/>
        <v>1287595.8114844323</v>
      </c>
      <c r="AC62" s="7">
        <f t="shared" ca="1" si="42"/>
        <v>1326223.6858289654</v>
      </c>
      <c r="AD62" s="7">
        <f t="shared" ca="1" si="42"/>
        <v>1366010.3964038345</v>
      </c>
      <c r="AE62" s="7">
        <f t="shared" ca="1" si="42"/>
        <v>1406990.7082959495</v>
      </c>
      <c r="AF62" s="7">
        <f t="shared" ca="1" si="42"/>
        <v>1449200.4295448281</v>
      </c>
      <c r="AG62" s="7">
        <f t="shared" ca="1" si="42"/>
        <v>1492676.4424311731</v>
      </c>
      <c r="AH62" s="7">
        <f t="shared" ca="1" si="42"/>
        <v>1537456.7357041084</v>
      </c>
      <c r="AI62" s="7">
        <f t="shared" ca="1" si="42"/>
        <v>1583580.4377752317</v>
      </c>
      <c r="AJ62" s="7">
        <f t="shared" ca="1" si="42"/>
        <v>1631087.8509084887</v>
      </c>
      <c r="AK62" s="7">
        <f t="shared" ca="1" si="42"/>
        <v>1680020.4864357435</v>
      </c>
      <c r="AL62" s="7">
        <f t="shared" ca="1" si="42"/>
        <v>1730421.1010288158</v>
      </c>
      <c r="AM62" s="7">
        <f t="shared" ca="1" si="42"/>
        <v>1782333.7340596803</v>
      </c>
    </row>
    <row r="63" spans="1:39" x14ac:dyDescent="0.2">
      <c r="A63" s="4" t="s">
        <v>52</v>
      </c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  <c r="AC63" s="7"/>
      <c r="AD63" s="7"/>
      <c r="AE63" s="7"/>
      <c r="AF63" s="7"/>
      <c r="AG63" s="7"/>
      <c r="AH63" s="7"/>
      <c r="AI63" s="7"/>
      <c r="AJ63" s="7"/>
      <c r="AK63" s="7"/>
      <c r="AL63" s="7"/>
      <c r="AM63" s="7"/>
    </row>
    <row r="64" spans="1:39" x14ac:dyDescent="0.2">
      <c r="A64" s="3" t="str">
        <f>TEXT(Inputs!$B$60,"")</f>
        <v>Sliema</v>
      </c>
      <c r="C64" s="7">
        <f ca="1">Inputs!B61*(1+princ)^ProRate</f>
        <v>307481.46526147495</v>
      </c>
      <c r="D64" s="7">
        <f t="shared" ref="D64:S68" ca="1" si="43">C64*(1+princ)</f>
        <v>316705.90921931923</v>
      </c>
      <c r="E64" s="7">
        <f t="shared" ca="1" si="43"/>
        <v>326207.08649589884</v>
      </c>
      <c r="F64" s="7">
        <f t="shared" ca="1" si="43"/>
        <v>335993.29909077584</v>
      </c>
      <c r="G64" s="7">
        <f t="shared" ca="1" si="43"/>
        <v>346073.09806349914</v>
      </c>
      <c r="H64" s="7">
        <f t="shared" ca="1" si="43"/>
        <v>356455.29100540414</v>
      </c>
      <c r="I64" s="7">
        <f t="shared" ca="1" si="43"/>
        <v>367148.94973556628</v>
      </c>
      <c r="J64" s="7">
        <f t="shared" ca="1" si="43"/>
        <v>378163.41822763329</v>
      </c>
      <c r="K64" s="7">
        <f t="shared" ca="1" si="43"/>
        <v>389508.32077446231</v>
      </c>
      <c r="L64" s="7">
        <f t="shared" ca="1" si="43"/>
        <v>401193.57039769617</v>
      </c>
      <c r="M64" s="7">
        <f t="shared" ca="1" si="43"/>
        <v>413229.37750962708</v>
      </c>
      <c r="N64" s="7">
        <f t="shared" ca="1" si="43"/>
        <v>425626.25883491593</v>
      </c>
      <c r="O64" s="7">
        <f t="shared" ca="1" si="43"/>
        <v>438395.04659996345</v>
      </c>
      <c r="P64" s="7">
        <f t="shared" ca="1" si="43"/>
        <v>451546.89799796237</v>
      </c>
      <c r="Q64" s="7">
        <f t="shared" ca="1" si="43"/>
        <v>465093.30493790127</v>
      </c>
      <c r="R64" s="7">
        <f t="shared" ca="1" si="43"/>
        <v>479046.10408603831</v>
      </c>
      <c r="S64" s="7">
        <f t="shared" ca="1" si="43"/>
        <v>493417.48720861948</v>
      </c>
      <c r="T64" s="7">
        <f t="shared" ref="T64:AI68" ca="1" si="44">S64*(1+princ)</f>
        <v>508220.01182487811</v>
      </c>
      <c r="U64" s="7">
        <f t="shared" ca="1" si="44"/>
        <v>523466.61217962444</v>
      </c>
      <c r="V64" s="7">
        <f t="shared" ca="1" si="44"/>
        <v>539170.61054501322</v>
      </c>
      <c r="W64" s="7">
        <f t="shared" ca="1" si="44"/>
        <v>555345.7288613636</v>
      </c>
      <c r="X64" s="7">
        <f t="shared" ca="1" si="44"/>
        <v>572006.10072720458</v>
      </c>
      <c r="Y64" s="7">
        <f t="shared" ca="1" si="44"/>
        <v>589166.28374902077</v>
      </c>
      <c r="Z64" s="7">
        <f t="shared" ca="1" si="44"/>
        <v>606841.27226149139</v>
      </c>
      <c r="AA64" s="7">
        <f t="shared" ca="1" si="44"/>
        <v>625046.51042933611</v>
      </c>
      <c r="AB64" s="7">
        <f t="shared" ca="1" si="44"/>
        <v>643797.90574221616</v>
      </c>
      <c r="AC64" s="7">
        <f t="shared" ca="1" si="44"/>
        <v>663111.8429144827</v>
      </c>
      <c r="AD64" s="7">
        <f t="shared" ca="1" si="44"/>
        <v>683005.19820191723</v>
      </c>
      <c r="AE64" s="7">
        <f t="shared" ca="1" si="44"/>
        <v>703495.35414797475</v>
      </c>
      <c r="AF64" s="7">
        <f t="shared" ca="1" si="44"/>
        <v>724600.21477241407</v>
      </c>
      <c r="AG64" s="7">
        <f t="shared" ca="1" si="44"/>
        <v>746338.22121558653</v>
      </c>
      <c r="AH64" s="7">
        <f t="shared" ca="1" si="44"/>
        <v>768728.36785205419</v>
      </c>
      <c r="AI64" s="7">
        <f t="shared" ca="1" si="44"/>
        <v>791790.21888761583</v>
      </c>
      <c r="AJ64" s="7">
        <f t="shared" ref="AJ64:AM68" ca="1" si="45">AI64*(1+princ)</f>
        <v>815543.92545424437</v>
      </c>
      <c r="AK64" s="7">
        <f t="shared" ca="1" si="45"/>
        <v>840010.24321787176</v>
      </c>
      <c r="AL64" s="7">
        <f t="shared" ca="1" si="45"/>
        <v>865210.55051440792</v>
      </c>
      <c r="AM64" s="7">
        <f t="shared" ca="1" si="45"/>
        <v>891166.86702984013</v>
      </c>
    </row>
    <row r="65" spans="1:39" x14ac:dyDescent="0.2">
      <c r="A65" s="3" t="str">
        <f>TEXT(Inputs!$B$65,"")</f>
        <v>Gzira</v>
      </c>
      <c r="C65" s="7">
        <f ca="1">Inputs!B66*(1+princ)^ProRate</f>
        <v>153740.73263073748</v>
      </c>
      <c r="D65" s="7">
        <f t="shared" ca="1" si="43"/>
        <v>158352.95460965962</v>
      </c>
      <c r="E65" s="7">
        <f t="shared" ca="1" si="43"/>
        <v>163103.54324794942</v>
      </c>
      <c r="F65" s="7">
        <f t="shared" ca="1" si="43"/>
        <v>167996.64954538792</v>
      </c>
      <c r="G65" s="7">
        <f t="shared" ca="1" si="43"/>
        <v>173036.54903174957</v>
      </c>
      <c r="H65" s="7">
        <f t="shared" ca="1" si="43"/>
        <v>178227.64550270207</v>
      </c>
      <c r="I65" s="7">
        <f t="shared" ca="1" si="43"/>
        <v>183574.47486778314</v>
      </c>
      <c r="J65" s="7">
        <f t="shared" ca="1" si="43"/>
        <v>189081.70911381664</v>
      </c>
      <c r="K65" s="7">
        <f t="shared" ca="1" si="43"/>
        <v>194754.16038723115</v>
      </c>
      <c r="L65" s="7">
        <f t="shared" ca="1" si="43"/>
        <v>200596.78519884808</v>
      </c>
      <c r="M65" s="7">
        <f t="shared" ca="1" si="43"/>
        <v>206614.68875481354</v>
      </c>
      <c r="N65" s="7">
        <f t="shared" ca="1" si="43"/>
        <v>212813.12941745797</v>
      </c>
      <c r="O65" s="7">
        <f t="shared" ca="1" si="43"/>
        <v>219197.52329998172</v>
      </c>
      <c r="P65" s="7">
        <f t="shared" ca="1" si="43"/>
        <v>225773.44899898118</v>
      </c>
      <c r="Q65" s="7">
        <f t="shared" ca="1" si="43"/>
        <v>232546.65246895063</v>
      </c>
      <c r="R65" s="7">
        <f t="shared" ca="1" si="43"/>
        <v>239523.05204301915</v>
      </c>
      <c r="S65" s="7">
        <f t="shared" ca="1" si="43"/>
        <v>246708.74360430974</v>
      </c>
      <c r="T65" s="7">
        <f t="shared" ca="1" si="44"/>
        <v>254110.00591243905</v>
      </c>
      <c r="U65" s="7">
        <f t="shared" ca="1" si="44"/>
        <v>261733.30608981222</v>
      </c>
      <c r="V65" s="7">
        <f t="shared" ca="1" si="44"/>
        <v>269585.30527250661</v>
      </c>
      <c r="W65" s="7">
        <f t="shared" ca="1" si="44"/>
        <v>277672.8644306818</v>
      </c>
      <c r="X65" s="7">
        <f t="shared" ca="1" si="44"/>
        <v>286003.05036360229</v>
      </c>
      <c r="Y65" s="7">
        <f t="shared" ca="1" si="44"/>
        <v>294583.14187451039</v>
      </c>
      <c r="Z65" s="7">
        <f t="shared" ca="1" si="44"/>
        <v>303420.6361307457</v>
      </c>
      <c r="AA65" s="7">
        <f t="shared" ca="1" si="44"/>
        <v>312523.25521466805</v>
      </c>
      <c r="AB65" s="7">
        <f t="shared" ca="1" si="44"/>
        <v>321898.95287110808</v>
      </c>
      <c r="AC65" s="7">
        <f t="shared" ca="1" si="44"/>
        <v>331555.92145724135</v>
      </c>
      <c r="AD65" s="7">
        <f t="shared" ca="1" si="44"/>
        <v>341502.59910095861</v>
      </c>
      <c r="AE65" s="7">
        <f t="shared" ca="1" si="44"/>
        <v>351747.67707398738</v>
      </c>
      <c r="AF65" s="7">
        <f t="shared" ca="1" si="44"/>
        <v>362300.10738620703</v>
      </c>
      <c r="AG65" s="7">
        <f t="shared" ca="1" si="44"/>
        <v>373169.11060779326</v>
      </c>
      <c r="AH65" s="7">
        <f t="shared" ca="1" si="44"/>
        <v>384364.18392602709</v>
      </c>
      <c r="AI65" s="7">
        <f t="shared" ca="1" si="44"/>
        <v>395895.10944380792</v>
      </c>
      <c r="AJ65" s="7">
        <f t="shared" ca="1" si="45"/>
        <v>407771.96272712218</v>
      </c>
      <c r="AK65" s="7">
        <f t="shared" ca="1" si="45"/>
        <v>420005.12160893588</v>
      </c>
      <c r="AL65" s="7">
        <f t="shared" ca="1" si="45"/>
        <v>432605.27525720396</v>
      </c>
      <c r="AM65" s="7">
        <f t="shared" ca="1" si="45"/>
        <v>445583.43351492006</v>
      </c>
    </row>
    <row r="66" spans="1:39" x14ac:dyDescent="0.2">
      <c r="A66" s="3" t="str">
        <f>TEXT(Inputs!$B$70,"")</f>
        <v>Qormi</v>
      </c>
      <c r="C66" s="7">
        <f ca="1">Inputs!B71*(1+princ)^ProRate</f>
        <v>225486.40785841495</v>
      </c>
      <c r="D66" s="7">
        <f t="shared" ca="1" si="43"/>
        <v>232251.00009416742</v>
      </c>
      <c r="E66" s="7">
        <f t="shared" ca="1" si="43"/>
        <v>239218.53009699244</v>
      </c>
      <c r="F66" s="7">
        <f t="shared" ca="1" si="43"/>
        <v>246395.08599990222</v>
      </c>
      <c r="G66" s="7">
        <f t="shared" ca="1" si="43"/>
        <v>253786.93857989929</v>
      </c>
      <c r="H66" s="7">
        <f t="shared" ca="1" si="43"/>
        <v>261400.54673729627</v>
      </c>
      <c r="I66" s="7">
        <f t="shared" ca="1" si="43"/>
        <v>269242.56313941517</v>
      </c>
      <c r="J66" s="7">
        <f t="shared" ca="1" si="43"/>
        <v>277319.84003359766</v>
      </c>
      <c r="K66" s="7">
        <f t="shared" ca="1" si="43"/>
        <v>285639.43523460563</v>
      </c>
      <c r="L66" s="7">
        <f t="shared" ca="1" si="43"/>
        <v>294208.6182916438</v>
      </c>
      <c r="M66" s="7">
        <f t="shared" ca="1" si="43"/>
        <v>303034.87684039312</v>
      </c>
      <c r="N66" s="7">
        <f t="shared" ca="1" si="43"/>
        <v>312125.9231456049</v>
      </c>
      <c r="O66" s="7">
        <f t="shared" ca="1" si="43"/>
        <v>321489.70083997305</v>
      </c>
      <c r="P66" s="7">
        <f t="shared" ca="1" si="43"/>
        <v>331134.39186517225</v>
      </c>
      <c r="Q66" s="7">
        <f t="shared" ca="1" si="43"/>
        <v>341068.42362112744</v>
      </c>
      <c r="R66" s="7">
        <f t="shared" ca="1" si="43"/>
        <v>351300.47632976127</v>
      </c>
      <c r="S66" s="7">
        <f t="shared" ca="1" si="43"/>
        <v>361839.49061965413</v>
      </c>
      <c r="T66" s="7">
        <f t="shared" ca="1" si="44"/>
        <v>372694.67533824377</v>
      </c>
      <c r="U66" s="7">
        <f t="shared" ca="1" si="44"/>
        <v>383875.51559839112</v>
      </c>
      <c r="V66" s="7">
        <f t="shared" ca="1" si="44"/>
        <v>395391.7810663429</v>
      </c>
      <c r="W66" s="7">
        <f t="shared" ca="1" si="44"/>
        <v>407253.53449833317</v>
      </c>
      <c r="X66" s="7">
        <f t="shared" ca="1" si="44"/>
        <v>419471.14053328318</v>
      </c>
      <c r="Y66" s="7">
        <f t="shared" ca="1" si="44"/>
        <v>432055.2747492817</v>
      </c>
      <c r="Z66" s="7">
        <f t="shared" ca="1" si="44"/>
        <v>445016.93299176014</v>
      </c>
      <c r="AA66" s="7">
        <f t="shared" ca="1" si="44"/>
        <v>458367.44098151295</v>
      </c>
      <c r="AB66" s="7">
        <f t="shared" ca="1" si="44"/>
        <v>472118.46421095834</v>
      </c>
      <c r="AC66" s="7">
        <f t="shared" ca="1" si="44"/>
        <v>486282.01813728712</v>
      </c>
      <c r="AD66" s="7">
        <f t="shared" ca="1" si="44"/>
        <v>500870.47868140572</v>
      </c>
      <c r="AE66" s="7">
        <f t="shared" ca="1" si="44"/>
        <v>515896.59304184793</v>
      </c>
      <c r="AF66" s="7">
        <f t="shared" ca="1" si="44"/>
        <v>531373.49083310342</v>
      </c>
      <c r="AG66" s="7">
        <f t="shared" ca="1" si="44"/>
        <v>547314.69555809652</v>
      </c>
      <c r="AH66" s="7">
        <f t="shared" ca="1" si="44"/>
        <v>563734.13642483938</v>
      </c>
      <c r="AI66" s="7">
        <f t="shared" ca="1" si="44"/>
        <v>580646.16051758453</v>
      </c>
      <c r="AJ66" s="7">
        <f t="shared" ca="1" si="45"/>
        <v>598065.54533311212</v>
      </c>
      <c r="AK66" s="7">
        <f t="shared" ca="1" si="45"/>
        <v>616007.51169310545</v>
      </c>
      <c r="AL66" s="7">
        <f t="shared" ca="1" si="45"/>
        <v>634487.73704389867</v>
      </c>
      <c r="AM66" s="7">
        <f t="shared" ca="1" si="45"/>
        <v>653522.36915521568</v>
      </c>
    </row>
    <row r="67" spans="1:39" x14ac:dyDescent="0.2">
      <c r="A67" s="3" t="str">
        <f>TEXT(Inputs!$B$75,"")</f>
        <v>Gudja</v>
      </c>
      <c r="C67" s="7">
        <f ca="1">Inputs!B76*(1+princ)^ProRate</f>
        <v>81995.057403059982</v>
      </c>
      <c r="D67" s="7">
        <f t="shared" ca="1" si="43"/>
        <v>84454.909125151782</v>
      </c>
      <c r="E67" s="7">
        <f t="shared" ca="1" si="43"/>
        <v>86988.556398906338</v>
      </c>
      <c r="F67" s="7">
        <f t="shared" ca="1" si="43"/>
        <v>89598.213090873527</v>
      </c>
      <c r="G67" s="7">
        <f t="shared" ca="1" si="43"/>
        <v>92286.159483599738</v>
      </c>
      <c r="H67" s="7">
        <f t="shared" ca="1" si="43"/>
        <v>95054.744268107737</v>
      </c>
      <c r="I67" s="7">
        <f t="shared" ca="1" si="43"/>
        <v>97906.386596150973</v>
      </c>
      <c r="J67" s="7">
        <f t="shared" ca="1" si="43"/>
        <v>100843.57819403551</v>
      </c>
      <c r="K67" s="7">
        <f t="shared" ca="1" si="43"/>
        <v>103868.88553985658</v>
      </c>
      <c r="L67" s="7">
        <f t="shared" ca="1" si="43"/>
        <v>106984.95210605228</v>
      </c>
      <c r="M67" s="7">
        <f t="shared" ca="1" si="43"/>
        <v>110194.50066923385</v>
      </c>
      <c r="N67" s="7">
        <f t="shared" ca="1" si="43"/>
        <v>113500.33568931087</v>
      </c>
      <c r="O67" s="7">
        <f t="shared" ca="1" si="43"/>
        <v>116905.3457599902</v>
      </c>
      <c r="P67" s="7">
        <f t="shared" ca="1" si="43"/>
        <v>120412.50613278992</v>
      </c>
      <c r="Q67" s="7">
        <f t="shared" ca="1" si="43"/>
        <v>124024.88131677362</v>
      </c>
      <c r="R67" s="7">
        <f t="shared" ca="1" si="43"/>
        <v>127745.62775627684</v>
      </c>
      <c r="S67" s="7">
        <f t="shared" ca="1" si="43"/>
        <v>131577.99658896515</v>
      </c>
      <c r="T67" s="7">
        <f t="shared" ca="1" si="44"/>
        <v>135525.3364866341</v>
      </c>
      <c r="U67" s="7">
        <f t="shared" ca="1" si="44"/>
        <v>139591.09658123311</v>
      </c>
      <c r="V67" s="7">
        <f t="shared" ca="1" si="44"/>
        <v>143778.82947867012</v>
      </c>
      <c r="W67" s="7">
        <f t="shared" ca="1" si="44"/>
        <v>148092.19436303023</v>
      </c>
      <c r="X67" s="7">
        <f t="shared" ca="1" si="44"/>
        <v>152534.96019392114</v>
      </c>
      <c r="Y67" s="7">
        <f t="shared" ca="1" si="44"/>
        <v>157111.00899973878</v>
      </c>
      <c r="Z67" s="7">
        <f t="shared" ca="1" si="44"/>
        <v>161824.33926973096</v>
      </c>
      <c r="AA67" s="7">
        <f t="shared" ca="1" si="44"/>
        <v>166679.0694478229</v>
      </c>
      <c r="AB67" s="7">
        <f t="shared" ca="1" si="44"/>
        <v>171679.44153125759</v>
      </c>
      <c r="AC67" s="7">
        <f t="shared" ca="1" si="44"/>
        <v>176829.82477719532</v>
      </c>
      <c r="AD67" s="7">
        <f t="shared" ca="1" si="44"/>
        <v>182134.71952051119</v>
      </c>
      <c r="AE67" s="7">
        <f t="shared" ca="1" si="44"/>
        <v>187598.76110612653</v>
      </c>
      <c r="AF67" s="7">
        <f t="shared" ca="1" si="44"/>
        <v>193226.72393931032</v>
      </c>
      <c r="AG67" s="7">
        <f t="shared" ca="1" si="44"/>
        <v>199023.52565748963</v>
      </c>
      <c r="AH67" s="7">
        <f t="shared" ca="1" si="44"/>
        <v>204994.23142721434</v>
      </c>
      <c r="AI67" s="7">
        <f t="shared" ca="1" si="44"/>
        <v>211144.05837003078</v>
      </c>
      <c r="AJ67" s="7">
        <f t="shared" ca="1" si="45"/>
        <v>217478.38012113172</v>
      </c>
      <c r="AK67" s="7">
        <f t="shared" ca="1" si="45"/>
        <v>224002.73152476567</v>
      </c>
      <c r="AL67" s="7">
        <f t="shared" ca="1" si="45"/>
        <v>230722.81347050864</v>
      </c>
      <c r="AM67" s="7">
        <f t="shared" ca="1" si="45"/>
        <v>237644.49787462392</v>
      </c>
    </row>
    <row r="68" spans="1:39" x14ac:dyDescent="0.2">
      <c r="A68" s="3" t="str">
        <f>TEXT(Inputs!$B$80,"")</f>
        <v>Marsa</v>
      </c>
      <c r="C68" s="7">
        <f ca="1">Inputs!B81*(1+princ)^ProRate</f>
        <v>122992.58610458997</v>
      </c>
      <c r="D68" s="7">
        <f t="shared" ca="1" si="43"/>
        <v>126682.36368772767</v>
      </c>
      <c r="E68" s="7">
        <f t="shared" ca="1" si="43"/>
        <v>130482.83459835951</v>
      </c>
      <c r="F68" s="7">
        <f t="shared" ca="1" si="43"/>
        <v>134397.31963631031</v>
      </c>
      <c r="G68" s="7">
        <f t="shared" ca="1" si="43"/>
        <v>138429.23922539962</v>
      </c>
      <c r="H68" s="7">
        <f t="shared" ca="1" si="43"/>
        <v>142582.11640216163</v>
      </c>
      <c r="I68" s="7">
        <f t="shared" ca="1" si="43"/>
        <v>146859.57989422648</v>
      </c>
      <c r="J68" s="7">
        <f t="shared" ca="1" si="43"/>
        <v>151265.36729105329</v>
      </c>
      <c r="K68" s="7">
        <f t="shared" ca="1" si="43"/>
        <v>155803.32830978491</v>
      </c>
      <c r="L68" s="7">
        <f t="shared" ca="1" si="43"/>
        <v>160477.42815907847</v>
      </c>
      <c r="M68" s="7">
        <f t="shared" ca="1" si="43"/>
        <v>165291.75100385083</v>
      </c>
      <c r="N68" s="7">
        <f t="shared" ca="1" si="43"/>
        <v>170250.50353396637</v>
      </c>
      <c r="O68" s="7">
        <f t="shared" ca="1" si="43"/>
        <v>175358.01863998536</v>
      </c>
      <c r="P68" s="7">
        <f t="shared" ca="1" si="43"/>
        <v>180618.75919918492</v>
      </c>
      <c r="Q68" s="7">
        <f t="shared" ca="1" si="43"/>
        <v>186037.32197516048</v>
      </c>
      <c r="R68" s="7">
        <f t="shared" ca="1" si="43"/>
        <v>191618.4416344153</v>
      </c>
      <c r="S68" s="7">
        <f t="shared" ca="1" si="43"/>
        <v>197366.99488344777</v>
      </c>
      <c r="T68" s="7">
        <f t="shared" ca="1" si="44"/>
        <v>203288.00472995121</v>
      </c>
      <c r="U68" s="7">
        <f t="shared" ca="1" si="44"/>
        <v>209386.64487184974</v>
      </c>
      <c r="V68" s="7">
        <f t="shared" ca="1" si="44"/>
        <v>215668.24421800525</v>
      </c>
      <c r="W68" s="7">
        <f t="shared" ca="1" si="44"/>
        <v>222138.29154454541</v>
      </c>
      <c r="X68" s="7">
        <f t="shared" ca="1" si="44"/>
        <v>228802.44029088179</v>
      </c>
      <c r="Y68" s="7">
        <f t="shared" ca="1" si="44"/>
        <v>235666.51349960823</v>
      </c>
      <c r="Z68" s="7">
        <f t="shared" ca="1" si="44"/>
        <v>242736.5089045965</v>
      </c>
      <c r="AA68" s="7">
        <f t="shared" ca="1" si="44"/>
        <v>250018.60417173439</v>
      </c>
      <c r="AB68" s="7">
        <f t="shared" ca="1" si="44"/>
        <v>257519.16229688644</v>
      </c>
      <c r="AC68" s="7">
        <f t="shared" ca="1" si="44"/>
        <v>265244.73716579302</v>
      </c>
      <c r="AD68" s="7">
        <f t="shared" ca="1" si="44"/>
        <v>273202.07928076683</v>
      </c>
      <c r="AE68" s="7">
        <f t="shared" ca="1" si="44"/>
        <v>281398.14165918983</v>
      </c>
      <c r="AF68" s="7">
        <f t="shared" ca="1" si="44"/>
        <v>289840.08590896556</v>
      </c>
      <c r="AG68" s="7">
        <f t="shared" ca="1" si="44"/>
        <v>298535.28848623455</v>
      </c>
      <c r="AH68" s="7">
        <f t="shared" ca="1" si="44"/>
        <v>307491.34714082157</v>
      </c>
      <c r="AI68" s="7">
        <f t="shared" ca="1" si="44"/>
        <v>316716.08755504625</v>
      </c>
      <c r="AJ68" s="7">
        <f t="shared" ca="1" si="45"/>
        <v>326217.57018169767</v>
      </c>
      <c r="AK68" s="7">
        <f t="shared" ca="1" si="45"/>
        <v>336004.09728714859</v>
      </c>
      <c r="AL68" s="7">
        <f t="shared" ca="1" si="45"/>
        <v>346084.22020576306</v>
      </c>
      <c r="AM68" s="7">
        <f t="shared" ca="1" si="45"/>
        <v>356466.74681193597</v>
      </c>
    </row>
    <row r="69" spans="1:39" x14ac:dyDescent="0.2">
      <c r="A69" s="4" t="s">
        <v>12</v>
      </c>
      <c r="C69" s="7">
        <f ca="1">Inputs!B10*(1+stinc)^ProRate</f>
        <v>31987.064369139065</v>
      </c>
      <c r="D69" s="7">
        <f ca="1">C69*(1+stinc)</f>
        <v>34546.029518670191</v>
      </c>
      <c r="E69" s="7">
        <f t="shared" ref="E69:AM69" ca="1" si="46">D69*(1+stinc)</f>
        <v>37309.711880163806</v>
      </c>
      <c r="F69" s="7">
        <f t="shared" ca="1" si="46"/>
        <v>40294.488830576913</v>
      </c>
      <c r="G69" s="7">
        <f t="shared" ca="1" si="46"/>
        <v>43518.047937023068</v>
      </c>
      <c r="H69" s="7">
        <f t="shared" ca="1" si="46"/>
        <v>46999.491771984918</v>
      </c>
      <c r="I69" s="7">
        <f t="shared" ca="1" si="46"/>
        <v>50759.451113743715</v>
      </c>
      <c r="J69" s="7">
        <f t="shared" ca="1" si="46"/>
        <v>54820.207202843216</v>
      </c>
      <c r="K69" s="7">
        <f t="shared" ca="1" si="46"/>
        <v>59205.823779070677</v>
      </c>
      <c r="L69" s="7">
        <f t="shared" ca="1" si="46"/>
        <v>63942.289681396338</v>
      </c>
      <c r="M69" s="7">
        <f t="shared" ca="1" si="46"/>
        <v>69057.672855908051</v>
      </c>
      <c r="N69" s="7">
        <f t="shared" ca="1" si="46"/>
        <v>74582.286684380699</v>
      </c>
      <c r="O69" s="7">
        <f t="shared" ca="1" si="46"/>
        <v>80548.869619131161</v>
      </c>
      <c r="P69" s="7">
        <f t="shared" ca="1" si="46"/>
        <v>86992.779188661661</v>
      </c>
      <c r="Q69" s="7">
        <f t="shared" ca="1" si="46"/>
        <v>93952.2015237546</v>
      </c>
      <c r="R69" s="7">
        <f t="shared" ca="1" si="46"/>
        <v>101468.37764565497</v>
      </c>
      <c r="S69" s="7">
        <f t="shared" ca="1" si="46"/>
        <v>109585.84785730737</v>
      </c>
      <c r="T69" s="7">
        <f t="shared" ca="1" si="46"/>
        <v>118352.71568589196</v>
      </c>
      <c r="U69" s="7">
        <f t="shared" ca="1" si="46"/>
        <v>127820.93294076333</v>
      </c>
      <c r="V69" s="7">
        <f t="shared" ca="1" si="46"/>
        <v>138046.6075760244</v>
      </c>
      <c r="W69" s="7">
        <f t="shared" ca="1" si="46"/>
        <v>149090.33618210637</v>
      </c>
      <c r="X69" s="7">
        <f t="shared" ca="1" si="46"/>
        <v>161017.56307667488</v>
      </c>
      <c r="Y69" s="7">
        <f t="shared" ca="1" si="46"/>
        <v>173898.96812280887</v>
      </c>
      <c r="Z69" s="7">
        <f t="shared" ca="1" si="46"/>
        <v>187810.88557263359</v>
      </c>
      <c r="AA69" s="7">
        <f t="shared" ca="1" si="46"/>
        <v>202835.7564184443</v>
      </c>
      <c r="AB69" s="7">
        <f t="shared" ca="1" si="46"/>
        <v>219062.61693191985</v>
      </c>
      <c r="AC69" s="7">
        <f t="shared" ca="1" si="46"/>
        <v>236587.62628647345</v>
      </c>
      <c r="AD69" s="7">
        <f t="shared" ca="1" si="46"/>
        <v>255514.63638939135</v>
      </c>
      <c r="AE69" s="7">
        <f t="shared" ca="1" si="46"/>
        <v>275955.80730054266</v>
      </c>
      <c r="AF69" s="7">
        <f t="shared" ca="1" si="46"/>
        <v>298032.27188458608</v>
      </c>
      <c r="AG69" s="7">
        <f t="shared" ca="1" si="46"/>
        <v>321874.85363535298</v>
      </c>
      <c r="AH69" s="7">
        <f t="shared" ca="1" si="46"/>
        <v>347624.84192618122</v>
      </c>
      <c r="AI69" s="7">
        <f t="shared" ca="1" si="46"/>
        <v>375434.82928027574</v>
      </c>
      <c r="AJ69" s="7">
        <f t="shared" ca="1" si="46"/>
        <v>405469.61562269781</v>
      </c>
      <c r="AK69" s="7">
        <f t="shared" ca="1" si="46"/>
        <v>437907.18487251364</v>
      </c>
      <c r="AL69" s="7">
        <f t="shared" ca="1" si="46"/>
        <v>472939.75966231478</v>
      </c>
      <c r="AM69" s="7">
        <f t="shared" ca="1" si="46"/>
        <v>510774.9404353</v>
      </c>
    </row>
    <row r="70" spans="1:39" x14ac:dyDescent="0.2">
      <c r="A70" s="4" t="s">
        <v>2</v>
      </c>
      <c r="C70" s="7">
        <f ca="1">-MAX(FV(Inputs!$B16/12,C$1*12+MthOff,Inputs!$B17,-Inputs!$B15),0)</f>
        <v>-43173.554028497994</v>
      </c>
      <c r="D70" s="7">
        <f ca="1">-MAX(FV(Inputs!$B16/12,D$1*12+MthOff,Inputs!$B17,-Inputs!$B15),0)</f>
        <v>-34753.61277530963</v>
      </c>
      <c r="E70" s="7">
        <f ca="1">-MAX(FV(Inputs!$B16/12,E$1*12+MthOff,Inputs!$B17,-Inputs!$B15),0)</f>
        <v>-26077.570951749931</v>
      </c>
      <c r="F70" s="7">
        <f ca="1">-MAX(FV(Inputs!$B16/12,F$1*12+MthOff,Inputs!$B17,-Inputs!$B15),0)</f>
        <v>-17137.639013905144</v>
      </c>
      <c r="G70" s="7">
        <f ca="1">-MAX(FV(Inputs!$B16/12,G$1*12+MthOff,Inputs!$B17,-Inputs!$B15),0)</f>
        <v>-7925.7904914290921</v>
      </c>
      <c r="H70" s="7">
        <f ca="1">-MAX(FV(Inputs!$B16/12,H$1*12+MthOff,Inputs!$B17,-Inputs!$B15),0)</f>
        <v>0</v>
      </c>
      <c r="I70" s="7">
        <f ca="1">-MAX(FV(Inputs!$B16/12,I$1*12+MthOff,Inputs!$B17,-Inputs!$B15),0)</f>
        <v>0</v>
      </c>
      <c r="J70" s="7">
        <f ca="1">-MAX(FV(Inputs!$B16/12,J$1*12+MthOff,Inputs!$B17,-Inputs!$B15),0)</f>
        <v>0</v>
      </c>
      <c r="K70" s="7">
        <f ca="1">-MAX(FV(Inputs!$B16/12,K$1*12+MthOff,Inputs!$B17,-Inputs!$B15),0)</f>
        <v>0</v>
      </c>
      <c r="L70" s="7">
        <f ca="1">-MAX(FV(Inputs!$B16/12,L$1*12+MthOff,Inputs!$B17,-Inputs!$B15),0)</f>
        <v>0</v>
      </c>
      <c r="M70" s="7">
        <f ca="1">-MAX(FV(Inputs!$B16/12,M$1*12+MthOff,Inputs!$B17,-Inputs!$B15),0)</f>
        <v>0</v>
      </c>
      <c r="N70" s="7">
        <f ca="1">-MAX(FV(Inputs!$B16/12,N$1*12+MthOff,Inputs!$B17,-Inputs!$B15),0)</f>
        <v>0</v>
      </c>
      <c r="O70" s="7">
        <f ca="1">-MAX(FV(Inputs!$B16/12,O$1*12+MthOff,Inputs!$B17,-Inputs!$B15),0)</f>
        <v>0</v>
      </c>
      <c r="P70" s="7">
        <f ca="1">-MAX(FV(Inputs!$B16/12,P$1*12+MthOff,Inputs!$B17,-Inputs!$B15),0)</f>
        <v>0</v>
      </c>
      <c r="Q70" s="7">
        <f ca="1">-MAX(FV(Inputs!$B16/12,Q$1*12+MthOff,Inputs!$B17,-Inputs!$B15),0)</f>
        <v>0</v>
      </c>
      <c r="R70" s="7">
        <f ca="1">-MAX(FV(Inputs!$B16/12,R$1*12+MthOff,Inputs!$B17,-Inputs!$B15),0)</f>
        <v>0</v>
      </c>
      <c r="S70" s="7">
        <f ca="1">-MAX(FV(Inputs!$B16/12,S$1*12+MthOff,Inputs!$B17,-Inputs!$B15),0)</f>
        <v>0</v>
      </c>
      <c r="T70" s="7">
        <f ca="1">-MAX(FV(Inputs!$B16/12,T$1*12+MthOff,Inputs!$B17,-Inputs!$B15),0)</f>
        <v>0</v>
      </c>
      <c r="U70" s="7">
        <f ca="1">-MAX(FV(Inputs!$B16/12,U$1*12+MthOff,Inputs!$B17,-Inputs!$B15),0)</f>
        <v>0</v>
      </c>
      <c r="V70" s="7">
        <f ca="1">-MAX(FV(Inputs!$B16/12,V$1*12+MthOff,Inputs!$B17,-Inputs!$B15),0)</f>
        <v>0</v>
      </c>
      <c r="W70" s="7">
        <f ca="1">-MAX(FV(Inputs!$B16/12,W$1*12+MthOff,Inputs!$B17,-Inputs!$B15),0)</f>
        <v>0</v>
      </c>
      <c r="X70" s="7">
        <f ca="1">-MAX(FV(Inputs!$B16/12,X$1*12+MthOff,Inputs!$B17,-Inputs!$B15),0)</f>
        <v>0</v>
      </c>
      <c r="Y70" s="7">
        <f ca="1">-MAX(FV(Inputs!$B16/12,Y$1*12+MthOff,Inputs!$B17,-Inputs!$B15),0)</f>
        <v>0</v>
      </c>
      <c r="Z70" s="7">
        <f ca="1">-MAX(FV(Inputs!$B16/12,Z$1*12+MthOff,Inputs!$B17,-Inputs!$B15),0)</f>
        <v>0</v>
      </c>
      <c r="AA70" s="7">
        <f ca="1">-MAX(FV(Inputs!$B16/12,AA$1*12+MthOff,Inputs!$B17,-Inputs!$B15),0)</f>
        <v>0</v>
      </c>
      <c r="AB70" s="7">
        <f ca="1">-MAX(FV(Inputs!$B16/12,AB$1*12+MthOff,Inputs!$B17,-Inputs!$B15),0)</f>
        <v>0</v>
      </c>
      <c r="AC70" s="7">
        <f ca="1">-MAX(FV(Inputs!$B16/12,AC$1*12+MthOff,Inputs!$B17,-Inputs!$B15),0)</f>
        <v>0</v>
      </c>
      <c r="AD70" s="7">
        <f ca="1">-MAX(FV(Inputs!$B16/12,AD$1*12+MthOff,Inputs!$B17,-Inputs!$B15),0)</f>
        <v>0</v>
      </c>
      <c r="AE70" s="7">
        <f ca="1">-MAX(FV(Inputs!$B16/12,AE$1*12+MthOff,Inputs!$B17,-Inputs!$B15),0)</f>
        <v>0</v>
      </c>
      <c r="AF70" s="7">
        <f ca="1">-MAX(FV(Inputs!$B16/12,AF$1*12+MthOff,Inputs!$B17,-Inputs!$B15),0)</f>
        <v>0</v>
      </c>
      <c r="AG70" s="7">
        <f ca="1">-MAX(FV(Inputs!$B16/12,AG$1*12+MthOff,Inputs!$B17,-Inputs!$B15),0)</f>
        <v>0</v>
      </c>
      <c r="AH70" s="7">
        <f ca="1">-MAX(FV(Inputs!$B16/12,AH$1*12+MthOff,Inputs!$B17,-Inputs!$B15),0)</f>
        <v>0</v>
      </c>
      <c r="AI70" s="7">
        <f ca="1">-MAX(FV(Inputs!$B16/12,AI$1*12+MthOff,Inputs!$B17,-Inputs!$B15),0)</f>
        <v>0</v>
      </c>
      <c r="AJ70" s="7">
        <f ca="1">-MAX(FV(Inputs!$B16/12,AJ$1*12+MthOff,Inputs!$B17,-Inputs!$B15),0)</f>
        <v>0</v>
      </c>
      <c r="AK70" s="7">
        <f ca="1">-MAX(FV(Inputs!$B16/12,AK$1*12+MthOff,Inputs!$B17,-Inputs!$B15),0)</f>
        <v>0</v>
      </c>
      <c r="AL70" s="7">
        <f ca="1">-MAX(FV(Inputs!$B16/12,AL$1*12+MthOff,Inputs!$B17,-Inputs!$B15),0)</f>
        <v>0</v>
      </c>
      <c r="AM70" s="7">
        <f ca="1">-MAX(FV(Inputs!$B16/12,AM$1*12+MthOff,Inputs!$B17,-Inputs!$B15),0)</f>
        <v>0</v>
      </c>
    </row>
    <row r="71" spans="1:39" x14ac:dyDescent="0.2">
      <c r="A71" s="4" t="s">
        <v>61</v>
      </c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  <c r="AB71" s="7"/>
      <c r="AC71" s="7"/>
      <c r="AD71" s="7"/>
      <c r="AE71" s="7"/>
      <c r="AF71" s="7"/>
      <c r="AG71" s="7"/>
      <c r="AH71" s="7"/>
      <c r="AI71" s="7"/>
      <c r="AJ71" s="7"/>
      <c r="AK71" s="7"/>
      <c r="AL71" s="7"/>
      <c r="AM71" s="7"/>
    </row>
    <row r="72" spans="1:39" x14ac:dyDescent="0.2">
      <c r="A72" s="3" t="str">
        <f>TEXT(Inputs!$B$60,"")</f>
        <v>Sliema</v>
      </c>
      <c r="C72" s="7">
        <f ca="1">-MAX(FV(Inputs!$B101/12,C$1*12+MthOff,Inputs!$B102,-Inputs!$B100),0)</f>
        <v>-46207.530015832221</v>
      </c>
      <c r="D72" s="7">
        <f ca="1">-MAX(FV(Inputs!$B101/12,D$1*12+MthOff,Inputs!$B102,-Inputs!$B100),0)</f>
        <v>-41529.784875172016</v>
      </c>
      <c r="E72" s="7">
        <f ca="1">-MAX(FV(Inputs!$B101/12,E$1*12+MthOff,Inputs!$B102,-Inputs!$B100),0)</f>
        <v>-36709.76163986107</v>
      </c>
      <c r="F72" s="7">
        <f ca="1">-MAX(FV(Inputs!$B101/12,F$1*12+MthOff,Inputs!$B102,-Inputs!$B100),0)</f>
        <v>-31743.132785502858</v>
      </c>
      <c r="G72" s="7">
        <f ca="1">-MAX(FV(Inputs!$B101/12,G$1*12+MthOff,Inputs!$B102,-Inputs!$B100),0)</f>
        <v>-26625.439161905048</v>
      </c>
      <c r="H72" s="7">
        <f ca="1">-MAX(FV(Inputs!$B101/12,H$1*12+MthOff,Inputs!$B102,-Inputs!$B100),0)</f>
        <v>-21352.085989555409</v>
      </c>
      <c r="I72" s="7">
        <f ca="1">-MAX(FV(Inputs!$B101/12,I$1*12+MthOff,Inputs!$B102,-Inputs!$B100),0)</f>
        <v>-15918.338734325836</v>
      </c>
      <c r="J72" s="7">
        <f ca="1">-MAX(FV(Inputs!$B101/12,J$1*12+MthOff,Inputs!$B102,-Inputs!$B100),0)</f>
        <v>-10319.318856702368</v>
      </c>
      <c r="K72" s="7">
        <f ca="1">-MAX(FV(Inputs!$B101/12,K$1*12+MthOff,Inputs!$B102,-Inputs!$B100),0)</f>
        <v>-4549.9994317232195</v>
      </c>
      <c r="L72" s="7">
        <f ca="1">-MAX(FV(Inputs!$B101/12,L$1*12+MthOff,Inputs!$B102,-Inputs!$B100),0)</f>
        <v>0</v>
      </c>
      <c r="M72" s="7">
        <f ca="1">-MAX(FV(Inputs!$B101/12,M$1*12+MthOff,Inputs!$B102,-Inputs!$B100),0)</f>
        <v>0</v>
      </c>
      <c r="N72" s="7">
        <f ca="1">-MAX(FV(Inputs!$B101/12,N$1*12+MthOff,Inputs!$B102,-Inputs!$B100),0)</f>
        <v>0</v>
      </c>
      <c r="O72" s="7">
        <f ca="1">-MAX(FV(Inputs!$B101/12,O$1*12+MthOff,Inputs!$B102,-Inputs!$B100),0)</f>
        <v>0</v>
      </c>
      <c r="P72" s="7">
        <f ca="1">-MAX(FV(Inputs!$B101/12,P$1*12+MthOff,Inputs!$B102,-Inputs!$B100),0)</f>
        <v>0</v>
      </c>
      <c r="Q72" s="7">
        <f ca="1">-MAX(FV(Inputs!$B101/12,Q$1*12+MthOff,Inputs!$B102,-Inputs!$B100),0)</f>
        <v>0</v>
      </c>
      <c r="R72" s="7">
        <f ca="1">-MAX(FV(Inputs!$B101/12,R$1*12+MthOff,Inputs!$B102,-Inputs!$B100),0)</f>
        <v>0</v>
      </c>
      <c r="S72" s="7">
        <f ca="1">-MAX(FV(Inputs!$B101/12,S$1*12+MthOff,Inputs!$B102,-Inputs!$B100),0)</f>
        <v>0</v>
      </c>
      <c r="T72" s="7">
        <f ca="1">-MAX(FV(Inputs!$B101/12,T$1*12+MthOff,Inputs!$B102,-Inputs!$B100),0)</f>
        <v>0</v>
      </c>
      <c r="U72" s="7">
        <f ca="1">-MAX(FV(Inputs!$B101/12,U$1*12+MthOff,Inputs!$B102,-Inputs!$B100),0)</f>
        <v>0</v>
      </c>
      <c r="V72" s="7">
        <f ca="1">-MAX(FV(Inputs!$B101/12,V$1*12+MthOff,Inputs!$B102,-Inputs!$B100),0)</f>
        <v>0</v>
      </c>
      <c r="W72" s="7">
        <f ca="1">-MAX(FV(Inputs!$B101/12,W$1*12+MthOff,Inputs!$B102,-Inputs!$B100),0)</f>
        <v>0</v>
      </c>
      <c r="X72" s="7">
        <f ca="1">-MAX(FV(Inputs!$B101/12,X$1*12+MthOff,Inputs!$B102,-Inputs!$B100),0)</f>
        <v>0</v>
      </c>
      <c r="Y72" s="7">
        <f ca="1">-MAX(FV(Inputs!$B101/12,Y$1*12+MthOff,Inputs!$B102,-Inputs!$B100),0)</f>
        <v>0</v>
      </c>
      <c r="Z72" s="7">
        <f ca="1">-MAX(FV(Inputs!$B101/12,Z$1*12+MthOff,Inputs!$B102,-Inputs!$B100),0)</f>
        <v>0</v>
      </c>
      <c r="AA72" s="7">
        <f ca="1">-MAX(FV(Inputs!$B101/12,AA$1*12+MthOff,Inputs!$B102,-Inputs!$B100),0)</f>
        <v>0</v>
      </c>
      <c r="AB72" s="7">
        <f ca="1">-MAX(FV(Inputs!$B101/12,AB$1*12+MthOff,Inputs!$B102,-Inputs!$B100),0)</f>
        <v>0</v>
      </c>
      <c r="AC72" s="7">
        <f ca="1">-MAX(FV(Inputs!$B101/12,AC$1*12+MthOff,Inputs!$B102,-Inputs!$B100),0)</f>
        <v>0</v>
      </c>
      <c r="AD72" s="7">
        <f ca="1">-MAX(FV(Inputs!$B101/12,AD$1*12+MthOff,Inputs!$B102,-Inputs!$B100),0)</f>
        <v>0</v>
      </c>
      <c r="AE72" s="7">
        <f ca="1">-MAX(FV(Inputs!$B101/12,AE$1*12+MthOff,Inputs!$B102,-Inputs!$B100),0)</f>
        <v>0</v>
      </c>
      <c r="AF72" s="7">
        <f ca="1">-MAX(FV(Inputs!$B101/12,AF$1*12+MthOff,Inputs!$B102,-Inputs!$B100),0)</f>
        <v>0</v>
      </c>
      <c r="AG72" s="7">
        <f ca="1">-MAX(FV(Inputs!$B101/12,AG$1*12+MthOff,Inputs!$B102,-Inputs!$B100),0)</f>
        <v>0</v>
      </c>
      <c r="AH72" s="7">
        <f ca="1">-MAX(FV(Inputs!$B101/12,AH$1*12+MthOff,Inputs!$B102,-Inputs!$B100),0)</f>
        <v>0</v>
      </c>
      <c r="AI72" s="7">
        <f ca="1">-MAX(FV(Inputs!$B101/12,AI$1*12+MthOff,Inputs!$B102,-Inputs!$B100),0)</f>
        <v>0</v>
      </c>
      <c r="AJ72" s="7">
        <f ca="1">-MAX(FV(Inputs!$B101/12,AJ$1*12+MthOff,Inputs!$B102,-Inputs!$B100),0)</f>
        <v>0</v>
      </c>
      <c r="AK72" s="7">
        <f ca="1">-MAX(FV(Inputs!$B101/12,AK$1*12+MthOff,Inputs!$B102,-Inputs!$B100),0)</f>
        <v>0</v>
      </c>
      <c r="AL72" s="7">
        <f ca="1">-MAX(FV(Inputs!$B101/12,AL$1*12+MthOff,Inputs!$B102,-Inputs!$B100),0)</f>
        <v>0</v>
      </c>
      <c r="AM72" s="7">
        <f ca="1">-MAX(FV(Inputs!$B101/12,AM$1*12+MthOff,Inputs!$B102,-Inputs!$B100),0)</f>
        <v>0</v>
      </c>
    </row>
    <row r="73" spans="1:39" x14ac:dyDescent="0.2">
      <c r="A73" s="3" t="str">
        <f>TEXT(Inputs!$B$65,"")</f>
        <v>Gzira</v>
      </c>
      <c r="C73" s="7">
        <f ca="1">-MAX(FV(Inputs!$B106/12,C$1*12+MthOff,Inputs!$B107,-Inputs!$B105),0)</f>
        <v>-6627.6670411890118</v>
      </c>
      <c r="D73" s="7">
        <f ca="1">-MAX(FV(Inputs!$B106/12,D$1*12+MthOff,Inputs!$B107,-Inputs!$B105),0)</f>
        <v>-4339.3195483066884</v>
      </c>
      <c r="E73" s="7">
        <f ca="1">-MAX(FV(Inputs!$B106/12,E$1*12+MthOff,Inputs!$B107,-Inputs!$B105),0)</f>
        <v>-2004.7832357051393</v>
      </c>
      <c r="F73" s="7">
        <f ca="1">-MAX(FV(Inputs!$B106/12,F$1*12+MthOff,Inputs!$B107,-Inputs!$B105),0)</f>
        <v>0</v>
      </c>
      <c r="G73" s="7">
        <f ca="1">-MAX(FV(Inputs!$B106/12,G$1*12+MthOff,Inputs!$B107,-Inputs!$B105),0)</f>
        <v>0</v>
      </c>
      <c r="H73" s="7">
        <f ca="1">-MAX(FV(Inputs!$B106/12,H$1*12+MthOff,Inputs!$B107,-Inputs!$B105),0)</f>
        <v>0</v>
      </c>
      <c r="I73" s="7">
        <f ca="1">-MAX(FV(Inputs!$B106/12,I$1*12+MthOff,Inputs!$B107,-Inputs!$B105),0)</f>
        <v>0</v>
      </c>
      <c r="J73" s="7">
        <f ca="1">-MAX(FV(Inputs!$B106/12,J$1*12+MthOff,Inputs!$B107,-Inputs!$B105),0)</f>
        <v>0</v>
      </c>
      <c r="K73" s="7">
        <f ca="1">-MAX(FV(Inputs!$B106/12,K$1*12+MthOff,Inputs!$B107,-Inputs!$B105),0)</f>
        <v>0</v>
      </c>
      <c r="L73" s="7">
        <f ca="1">-MAX(FV(Inputs!$B106/12,L$1*12+MthOff,Inputs!$B107,-Inputs!$B105),0)</f>
        <v>0</v>
      </c>
      <c r="M73" s="7">
        <f ca="1">-MAX(FV(Inputs!$B106/12,M$1*12+MthOff,Inputs!$B107,-Inputs!$B105),0)</f>
        <v>0</v>
      </c>
      <c r="N73" s="7">
        <f ca="1">-MAX(FV(Inputs!$B106/12,N$1*12+MthOff,Inputs!$B107,-Inputs!$B105),0)</f>
        <v>0</v>
      </c>
      <c r="O73" s="7">
        <f ca="1">-MAX(FV(Inputs!$B106/12,O$1*12+MthOff,Inputs!$B107,-Inputs!$B105),0)</f>
        <v>0</v>
      </c>
      <c r="P73" s="7">
        <f ca="1">-MAX(FV(Inputs!$B106/12,P$1*12+MthOff,Inputs!$B107,-Inputs!$B105),0)</f>
        <v>0</v>
      </c>
      <c r="Q73" s="7">
        <f ca="1">-MAX(FV(Inputs!$B106/12,Q$1*12+MthOff,Inputs!$B107,-Inputs!$B105),0)</f>
        <v>0</v>
      </c>
      <c r="R73" s="7">
        <f ca="1">-MAX(FV(Inputs!$B106/12,R$1*12+MthOff,Inputs!$B107,-Inputs!$B105),0)</f>
        <v>0</v>
      </c>
      <c r="S73" s="7">
        <f ca="1">-MAX(FV(Inputs!$B106/12,S$1*12+MthOff,Inputs!$B107,-Inputs!$B105),0)</f>
        <v>0</v>
      </c>
      <c r="T73" s="7">
        <f ca="1">-MAX(FV(Inputs!$B106/12,T$1*12+MthOff,Inputs!$B107,-Inputs!$B105),0)</f>
        <v>0</v>
      </c>
      <c r="U73" s="7">
        <f ca="1">-MAX(FV(Inputs!$B106/12,U$1*12+MthOff,Inputs!$B107,-Inputs!$B105),0)</f>
        <v>0</v>
      </c>
      <c r="V73" s="7">
        <f ca="1">-MAX(FV(Inputs!$B106/12,V$1*12+MthOff,Inputs!$B107,-Inputs!$B105),0)</f>
        <v>0</v>
      </c>
      <c r="W73" s="7">
        <f ca="1">-MAX(FV(Inputs!$B106/12,W$1*12+MthOff,Inputs!$B107,-Inputs!$B105),0)</f>
        <v>0</v>
      </c>
      <c r="X73" s="7">
        <f ca="1">-MAX(FV(Inputs!$B106/12,X$1*12+MthOff,Inputs!$B107,-Inputs!$B105),0)</f>
        <v>0</v>
      </c>
      <c r="Y73" s="7">
        <f ca="1">-MAX(FV(Inputs!$B106/12,Y$1*12+MthOff,Inputs!$B107,-Inputs!$B105),0)</f>
        <v>0</v>
      </c>
      <c r="Z73" s="7">
        <f ca="1">-MAX(FV(Inputs!$B106/12,Z$1*12+MthOff,Inputs!$B107,-Inputs!$B105),0)</f>
        <v>0</v>
      </c>
      <c r="AA73" s="7">
        <f ca="1">-MAX(FV(Inputs!$B106/12,AA$1*12+MthOff,Inputs!$B107,-Inputs!$B105),0)</f>
        <v>0</v>
      </c>
      <c r="AB73" s="7">
        <f ca="1">-MAX(FV(Inputs!$B106/12,AB$1*12+MthOff,Inputs!$B107,-Inputs!$B105),0)</f>
        <v>0</v>
      </c>
      <c r="AC73" s="7">
        <f ca="1">-MAX(FV(Inputs!$B106/12,AC$1*12+MthOff,Inputs!$B107,-Inputs!$B105),0)</f>
        <v>0</v>
      </c>
      <c r="AD73" s="7">
        <f ca="1">-MAX(FV(Inputs!$B106/12,AD$1*12+MthOff,Inputs!$B107,-Inputs!$B105),0)</f>
        <v>0</v>
      </c>
      <c r="AE73" s="7">
        <f ca="1">-MAX(FV(Inputs!$B106/12,AE$1*12+MthOff,Inputs!$B107,-Inputs!$B105),0)</f>
        <v>0</v>
      </c>
      <c r="AF73" s="7">
        <f ca="1">-MAX(FV(Inputs!$B106/12,AF$1*12+MthOff,Inputs!$B107,-Inputs!$B105),0)</f>
        <v>0</v>
      </c>
      <c r="AG73" s="7">
        <f ca="1">-MAX(FV(Inputs!$B106/12,AG$1*12+MthOff,Inputs!$B107,-Inputs!$B105),0)</f>
        <v>0</v>
      </c>
      <c r="AH73" s="7">
        <f ca="1">-MAX(FV(Inputs!$B106/12,AH$1*12+MthOff,Inputs!$B107,-Inputs!$B105),0)</f>
        <v>0</v>
      </c>
      <c r="AI73" s="7">
        <f ca="1">-MAX(FV(Inputs!$B106/12,AI$1*12+MthOff,Inputs!$B107,-Inputs!$B105),0)</f>
        <v>0</v>
      </c>
      <c r="AJ73" s="7">
        <f ca="1">-MAX(FV(Inputs!$B106/12,AJ$1*12+MthOff,Inputs!$B107,-Inputs!$B105),0)</f>
        <v>0</v>
      </c>
      <c r="AK73" s="7">
        <f ca="1">-MAX(FV(Inputs!$B106/12,AK$1*12+MthOff,Inputs!$B107,-Inputs!$B105),0)</f>
        <v>0</v>
      </c>
      <c r="AL73" s="7">
        <f ca="1">-MAX(FV(Inputs!$B106/12,AL$1*12+MthOff,Inputs!$B107,-Inputs!$B105),0)</f>
        <v>0</v>
      </c>
      <c r="AM73" s="7">
        <f ca="1">-MAX(FV(Inputs!$B106/12,AM$1*12+MthOff,Inputs!$B107,-Inputs!$B105),0)</f>
        <v>0</v>
      </c>
    </row>
    <row r="74" spans="1:39" x14ac:dyDescent="0.2">
      <c r="A74" s="3" t="str">
        <f>TEXT(Inputs!$B$70,"")</f>
        <v>Qormi</v>
      </c>
      <c r="C74" s="7">
        <f ca="1">-MAX(FV(Inputs!$B111/12,C$1*12+MthOff,Inputs!$B112,-Inputs!$B110),0)</f>
        <v>-13089.450262401593</v>
      </c>
      <c r="D74" s="7">
        <f ca="1">-MAX(FV(Inputs!$B111/12,D$1*12+MthOff,Inputs!$B112,-Inputs!$B110),0)</f>
        <v>-10689.417507150618</v>
      </c>
      <c r="E74" s="7">
        <f ca="1">-MAX(FV(Inputs!$B111/12,E$1*12+MthOff,Inputs!$B112,-Inputs!$B110),0)</f>
        <v>-8166.5945211626622</v>
      </c>
      <c r="F74" s="7">
        <f ca="1">-MAX(FV(Inputs!$B111/12,F$1*12+MthOff,Inputs!$B112,-Inputs!$B110),0)</f>
        <v>-5514.6991231919146</v>
      </c>
      <c r="G74" s="7">
        <f ca="1">-MAX(FV(Inputs!$B111/12,G$1*12+MthOff,Inputs!$B112,-Inputs!$B110),0)</f>
        <v>-2727.1277236771257</v>
      </c>
      <c r="H74" s="7">
        <f ca="1">-MAX(FV(Inputs!$B111/12,H$1*12+MthOff,Inputs!$B112,-Inputs!$B110),0)</f>
        <v>0</v>
      </c>
      <c r="I74" s="7">
        <f ca="1">-MAX(FV(Inputs!$B111/12,I$1*12+MthOff,Inputs!$B112,-Inputs!$B110),0)</f>
        <v>0</v>
      </c>
      <c r="J74" s="7">
        <f ca="1">-MAX(FV(Inputs!$B111/12,J$1*12+MthOff,Inputs!$B112,-Inputs!$B110),0)</f>
        <v>0</v>
      </c>
      <c r="K74" s="7">
        <f ca="1">-MAX(FV(Inputs!$B111/12,K$1*12+MthOff,Inputs!$B112,-Inputs!$B110),0)</f>
        <v>0</v>
      </c>
      <c r="L74" s="7">
        <f ca="1">-MAX(FV(Inputs!$B111/12,L$1*12+MthOff,Inputs!$B112,-Inputs!$B110),0)</f>
        <v>0</v>
      </c>
      <c r="M74" s="7">
        <f ca="1">-MAX(FV(Inputs!$B111/12,M$1*12+MthOff,Inputs!$B112,-Inputs!$B110),0)</f>
        <v>0</v>
      </c>
      <c r="N74" s="7">
        <f ca="1">-MAX(FV(Inputs!$B111/12,N$1*12+MthOff,Inputs!$B112,-Inputs!$B110),0)</f>
        <v>0</v>
      </c>
      <c r="O74" s="7">
        <f ca="1">-MAX(FV(Inputs!$B111/12,O$1*12+MthOff,Inputs!$B112,-Inputs!$B110),0)</f>
        <v>0</v>
      </c>
      <c r="P74" s="7">
        <f ca="1">-MAX(FV(Inputs!$B111/12,P$1*12+MthOff,Inputs!$B112,-Inputs!$B110),0)</f>
        <v>0</v>
      </c>
      <c r="Q74" s="7">
        <f ca="1">-MAX(FV(Inputs!$B111/12,Q$1*12+MthOff,Inputs!$B112,-Inputs!$B110),0)</f>
        <v>0</v>
      </c>
      <c r="R74" s="7">
        <f ca="1">-MAX(FV(Inputs!$B111/12,R$1*12+MthOff,Inputs!$B112,-Inputs!$B110),0)</f>
        <v>0</v>
      </c>
      <c r="S74" s="7">
        <f ca="1">-MAX(FV(Inputs!$B111/12,S$1*12+MthOff,Inputs!$B112,-Inputs!$B110),0)</f>
        <v>0</v>
      </c>
      <c r="T74" s="7">
        <f ca="1">-MAX(FV(Inputs!$B111/12,T$1*12+MthOff,Inputs!$B112,-Inputs!$B110),0)</f>
        <v>0</v>
      </c>
      <c r="U74" s="7">
        <f ca="1">-MAX(FV(Inputs!$B111/12,U$1*12+MthOff,Inputs!$B112,-Inputs!$B110),0)</f>
        <v>0</v>
      </c>
      <c r="V74" s="7">
        <f ca="1">-MAX(FV(Inputs!$B111/12,V$1*12+MthOff,Inputs!$B112,-Inputs!$B110),0)</f>
        <v>0</v>
      </c>
      <c r="W74" s="7">
        <f ca="1">-MAX(FV(Inputs!$B111/12,W$1*12+MthOff,Inputs!$B112,-Inputs!$B110),0)</f>
        <v>0</v>
      </c>
      <c r="X74" s="7">
        <f ca="1">-MAX(FV(Inputs!$B111/12,X$1*12+MthOff,Inputs!$B112,-Inputs!$B110),0)</f>
        <v>0</v>
      </c>
      <c r="Y74" s="7">
        <f ca="1">-MAX(FV(Inputs!$B111/12,Y$1*12+MthOff,Inputs!$B112,-Inputs!$B110),0)</f>
        <v>0</v>
      </c>
      <c r="Z74" s="7">
        <f ca="1">-MAX(FV(Inputs!$B111/12,Z$1*12+MthOff,Inputs!$B112,-Inputs!$B110),0)</f>
        <v>0</v>
      </c>
      <c r="AA74" s="7">
        <f ca="1">-MAX(FV(Inputs!$B111/12,AA$1*12+MthOff,Inputs!$B112,-Inputs!$B110),0)</f>
        <v>0</v>
      </c>
      <c r="AB74" s="7">
        <f ca="1">-MAX(FV(Inputs!$B111/12,AB$1*12+MthOff,Inputs!$B112,-Inputs!$B110),0)</f>
        <v>0</v>
      </c>
      <c r="AC74" s="7">
        <f ca="1">-MAX(FV(Inputs!$B111/12,AC$1*12+MthOff,Inputs!$B112,-Inputs!$B110),0)</f>
        <v>0</v>
      </c>
      <c r="AD74" s="7">
        <f ca="1">-MAX(FV(Inputs!$B111/12,AD$1*12+MthOff,Inputs!$B112,-Inputs!$B110),0)</f>
        <v>0</v>
      </c>
      <c r="AE74" s="7">
        <f ca="1">-MAX(FV(Inputs!$B111/12,AE$1*12+MthOff,Inputs!$B112,-Inputs!$B110),0)</f>
        <v>0</v>
      </c>
      <c r="AF74" s="7">
        <f ca="1">-MAX(FV(Inputs!$B111/12,AF$1*12+MthOff,Inputs!$B112,-Inputs!$B110),0)</f>
        <v>0</v>
      </c>
      <c r="AG74" s="7">
        <f ca="1">-MAX(FV(Inputs!$B111/12,AG$1*12+MthOff,Inputs!$B112,-Inputs!$B110),0)</f>
        <v>0</v>
      </c>
      <c r="AH74" s="7">
        <f ca="1">-MAX(FV(Inputs!$B111/12,AH$1*12+MthOff,Inputs!$B112,-Inputs!$B110),0)</f>
        <v>0</v>
      </c>
      <c r="AI74" s="7">
        <f ca="1">-MAX(FV(Inputs!$B111/12,AI$1*12+MthOff,Inputs!$B112,-Inputs!$B110),0)</f>
        <v>0</v>
      </c>
      <c r="AJ74" s="7">
        <f ca="1">-MAX(FV(Inputs!$B111/12,AJ$1*12+MthOff,Inputs!$B112,-Inputs!$B110),0)</f>
        <v>0</v>
      </c>
      <c r="AK74" s="7">
        <f ca="1">-MAX(FV(Inputs!$B111/12,AK$1*12+MthOff,Inputs!$B112,-Inputs!$B110),0)</f>
        <v>0</v>
      </c>
      <c r="AL74" s="7">
        <f ca="1">-MAX(FV(Inputs!$B111/12,AL$1*12+MthOff,Inputs!$B112,-Inputs!$B110),0)</f>
        <v>0</v>
      </c>
      <c r="AM74" s="7">
        <f ca="1">-MAX(FV(Inputs!$B111/12,AM$1*12+MthOff,Inputs!$B112,-Inputs!$B110),0)</f>
        <v>0</v>
      </c>
    </row>
    <row r="75" spans="1:39" x14ac:dyDescent="0.2">
      <c r="A75" s="3" t="str">
        <f>TEXT(Inputs!$B$75,"")</f>
        <v>Gudja</v>
      </c>
      <c r="C75" s="7">
        <f ca="1">-MAX(FV(Inputs!$B116/12,C$1*12+MthOff,Inputs!$B117,-Inputs!$B115),0)</f>
        <v>-3952.5608629982789</v>
      </c>
      <c r="D75" s="7">
        <f ca="1">-MAX(FV(Inputs!$B116/12,D$1*12+MthOff,Inputs!$B117,-Inputs!$B115),0)</f>
        <v>-3063.4916845977205</v>
      </c>
      <c r="E75" s="7">
        <f ca="1">-MAX(FV(Inputs!$B116/12,E$1*12+MthOff,Inputs!$B117,-Inputs!$B115),0)</f>
        <v>-2156.4772176748579</v>
      </c>
      <c r="F75" s="7">
        <f ca="1">-MAX(FV(Inputs!$B116/12,F$1*12+MthOff,Inputs!$B117,-Inputs!$B115),0)</f>
        <v>-1231.15524814336</v>
      </c>
      <c r="G75" s="7">
        <f ca="1">-MAX(FV(Inputs!$B116/12,G$1*12+MthOff,Inputs!$B117,-Inputs!$B115),0)</f>
        <v>-287.15625085893407</v>
      </c>
      <c r="H75" s="7">
        <f ca="1">-MAX(FV(Inputs!$B116/12,H$1*12+MthOff,Inputs!$B117,-Inputs!$B115),0)</f>
        <v>0</v>
      </c>
      <c r="I75" s="7">
        <f ca="1">-MAX(FV(Inputs!$B116/12,I$1*12+MthOff,Inputs!$B117,-Inputs!$B115),0)</f>
        <v>0</v>
      </c>
      <c r="J75" s="7">
        <f ca="1">-MAX(FV(Inputs!$B116/12,J$1*12+MthOff,Inputs!$B117,-Inputs!$B115),0)</f>
        <v>0</v>
      </c>
      <c r="K75" s="7">
        <f ca="1">-MAX(FV(Inputs!$B116/12,K$1*12+MthOff,Inputs!$B117,-Inputs!$B115),0)</f>
        <v>0</v>
      </c>
      <c r="L75" s="7">
        <f ca="1">-MAX(FV(Inputs!$B116/12,L$1*12+MthOff,Inputs!$B117,-Inputs!$B115),0)</f>
        <v>0</v>
      </c>
      <c r="M75" s="7">
        <f ca="1">-MAX(FV(Inputs!$B116/12,M$1*12+MthOff,Inputs!$B117,-Inputs!$B115),0)</f>
        <v>0</v>
      </c>
      <c r="N75" s="7">
        <f ca="1">-MAX(FV(Inputs!$B116/12,N$1*12+MthOff,Inputs!$B117,-Inputs!$B115),0)</f>
        <v>0</v>
      </c>
      <c r="O75" s="7">
        <f ca="1">-MAX(FV(Inputs!$B116/12,O$1*12+MthOff,Inputs!$B117,-Inputs!$B115),0)</f>
        <v>0</v>
      </c>
      <c r="P75" s="7">
        <f ca="1">-MAX(FV(Inputs!$B116/12,P$1*12+MthOff,Inputs!$B117,-Inputs!$B115),0)</f>
        <v>0</v>
      </c>
      <c r="Q75" s="7">
        <f ca="1">-MAX(FV(Inputs!$B116/12,Q$1*12+MthOff,Inputs!$B117,-Inputs!$B115),0)</f>
        <v>0</v>
      </c>
      <c r="R75" s="7">
        <f ca="1">-MAX(FV(Inputs!$B116/12,R$1*12+MthOff,Inputs!$B117,-Inputs!$B115),0)</f>
        <v>0</v>
      </c>
      <c r="S75" s="7">
        <f ca="1">-MAX(FV(Inputs!$B116/12,S$1*12+MthOff,Inputs!$B117,-Inputs!$B115),0)</f>
        <v>0</v>
      </c>
      <c r="T75" s="7">
        <f ca="1">-MAX(FV(Inputs!$B116/12,T$1*12+MthOff,Inputs!$B117,-Inputs!$B115),0)</f>
        <v>0</v>
      </c>
      <c r="U75" s="7">
        <f ca="1">-MAX(FV(Inputs!$B116/12,U$1*12+MthOff,Inputs!$B117,-Inputs!$B115),0)</f>
        <v>0</v>
      </c>
      <c r="V75" s="7">
        <f ca="1">-MAX(FV(Inputs!$B116/12,V$1*12+MthOff,Inputs!$B117,-Inputs!$B115),0)</f>
        <v>0</v>
      </c>
      <c r="W75" s="7">
        <f ca="1">-MAX(FV(Inputs!$B116/12,W$1*12+MthOff,Inputs!$B117,-Inputs!$B115),0)</f>
        <v>0</v>
      </c>
      <c r="X75" s="7">
        <f ca="1">-MAX(FV(Inputs!$B116/12,X$1*12+MthOff,Inputs!$B117,-Inputs!$B115),0)</f>
        <v>0</v>
      </c>
      <c r="Y75" s="7">
        <f ca="1">-MAX(FV(Inputs!$B116/12,Y$1*12+MthOff,Inputs!$B117,-Inputs!$B115),0)</f>
        <v>0</v>
      </c>
      <c r="Z75" s="7">
        <f ca="1">-MAX(FV(Inputs!$B116/12,Z$1*12+MthOff,Inputs!$B117,-Inputs!$B115),0)</f>
        <v>0</v>
      </c>
      <c r="AA75" s="7">
        <f ca="1">-MAX(FV(Inputs!$B116/12,AA$1*12+MthOff,Inputs!$B117,-Inputs!$B115),0)</f>
        <v>0</v>
      </c>
      <c r="AB75" s="7">
        <f ca="1">-MAX(FV(Inputs!$B116/12,AB$1*12+MthOff,Inputs!$B117,-Inputs!$B115),0)</f>
        <v>0</v>
      </c>
      <c r="AC75" s="7">
        <f ca="1">-MAX(FV(Inputs!$B116/12,AC$1*12+MthOff,Inputs!$B117,-Inputs!$B115),0)</f>
        <v>0</v>
      </c>
      <c r="AD75" s="7">
        <f ca="1">-MAX(FV(Inputs!$B116/12,AD$1*12+MthOff,Inputs!$B117,-Inputs!$B115),0)</f>
        <v>0</v>
      </c>
      <c r="AE75" s="7">
        <f ca="1">-MAX(FV(Inputs!$B116/12,AE$1*12+MthOff,Inputs!$B117,-Inputs!$B115),0)</f>
        <v>0</v>
      </c>
      <c r="AF75" s="7">
        <f ca="1">-MAX(FV(Inputs!$B116/12,AF$1*12+MthOff,Inputs!$B117,-Inputs!$B115),0)</f>
        <v>0</v>
      </c>
      <c r="AG75" s="7">
        <f ca="1">-MAX(FV(Inputs!$B116/12,AG$1*12+MthOff,Inputs!$B117,-Inputs!$B115),0)</f>
        <v>0</v>
      </c>
      <c r="AH75" s="7">
        <f ca="1">-MAX(FV(Inputs!$B116/12,AH$1*12+MthOff,Inputs!$B117,-Inputs!$B115),0)</f>
        <v>0</v>
      </c>
      <c r="AI75" s="7">
        <f ca="1">-MAX(FV(Inputs!$B116/12,AI$1*12+MthOff,Inputs!$B117,-Inputs!$B115),0)</f>
        <v>0</v>
      </c>
      <c r="AJ75" s="7">
        <f ca="1">-MAX(FV(Inputs!$B116/12,AJ$1*12+MthOff,Inputs!$B117,-Inputs!$B115),0)</f>
        <v>0</v>
      </c>
      <c r="AK75" s="7">
        <f ca="1">-MAX(FV(Inputs!$B116/12,AK$1*12+MthOff,Inputs!$B117,-Inputs!$B115),0)</f>
        <v>0</v>
      </c>
      <c r="AL75" s="7">
        <f ca="1">-MAX(FV(Inputs!$B116/12,AL$1*12+MthOff,Inputs!$B117,-Inputs!$B115),0)</f>
        <v>0</v>
      </c>
      <c r="AM75" s="7">
        <f ca="1">-MAX(FV(Inputs!$B116/12,AM$1*12+MthOff,Inputs!$B117,-Inputs!$B115),0)</f>
        <v>0</v>
      </c>
    </row>
    <row r="76" spans="1:39" x14ac:dyDescent="0.2">
      <c r="A76" s="3" t="str">
        <f>TEXT(Inputs!$B$80,"")</f>
        <v>Marsa</v>
      </c>
      <c r="C76" s="7">
        <f ca="1">-MAX(FV(Inputs!$B121/12,C$1*12+MthOff,Inputs!$B122,-Inputs!$B120),0)</f>
        <v>-8551.2061659277369</v>
      </c>
      <c r="D76" s="7">
        <f ca="1">-MAX(FV(Inputs!$B121/12,D$1*12+MthOff,Inputs!$B122,-Inputs!$B120),0)</f>
        <v>-7351.3333523807905</v>
      </c>
      <c r="E76" s="7">
        <f ca="1">-MAX(FV(Inputs!$B121/12,E$1*12+MthOff,Inputs!$B122,-Inputs!$B120),0)</f>
        <v>-6114.965259035298</v>
      </c>
      <c r="F76" s="7">
        <f ca="1">-MAX(FV(Inputs!$B121/12,F$1*12+MthOff,Inputs!$B122,-Inputs!$B120),0)</f>
        <v>-4840.9918470333869</v>
      </c>
      <c r="G76" s="7">
        <f ca="1">-MAX(FV(Inputs!$B121/12,G$1*12+MthOff,Inputs!$B122,-Inputs!$B120),0)</f>
        <v>-3528.2693146230595</v>
      </c>
      <c r="H76" s="7">
        <f ca="1">-MAX(FV(Inputs!$B121/12,H$1*12+MthOff,Inputs!$B122,-Inputs!$B120),0)</f>
        <v>-2175.6190702275599</v>
      </c>
      <c r="I76" s="7">
        <f ca="1">-MAX(FV(Inputs!$B121/12,I$1*12+MthOff,Inputs!$B122,-Inputs!$B120),0)</f>
        <v>-781.82667427947126</v>
      </c>
      <c r="J76" s="7">
        <f ca="1">-MAX(FV(Inputs!$B121/12,J$1*12+MthOff,Inputs!$B122,-Inputs!$B120),0)</f>
        <v>0</v>
      </c>
      <c r="K76" s="7">
        <f ca="1">-MAX(FV(Inputs!$B121/12,K$1*12+MthOff,Inputs!$B122,-Inputs!$B120),0)</f>
        <v>0</v>
      </c>
      <c r="L76" s="7">
        <f ca="1">-MAX(FV(Inputs!$B121/12,L$1*12+MthOff,Inputs!$B122,-Inputs!$B120),0)</f>
        <v>0</v>
      </c>
      <c r="M76" s="7">
        <f ca="1">-MAX(FV(Inputs!$B121/12,M$1*12+MthOff,Inputs!$B122,-Inputs!$B120),0)</f>
        <v>0</v>
      </c>
      <c r="N76" s="7">
        <f ca="1">-MAX(FV(Inputs!$B121/12,N$1*12+MthOff,Inputs!$B122,-Inputs!$B120),0)</f>
        <v>0</v>
      </c>
      <c r="O76" s="7">
        <f ca="1">-MAX(FV(Inputs!$B121/12,O$1*12+MthOff,Inputs!$B122,-Inputs!$B120),0)</f>
        <v>0</v>
      </c>
      <c r="P76" s="7">
        <f ca="1">-MAX(FV(Inputs!$B121/12,P$1*12+MthOff,Inputs!$B122,-Inputs!$B120),0)</f>
        <v>0</v>
      </c>
      <c r="Q76" s="7">
        <f ca="1">-MAX(FV(Inputs!$B121/12,Q$1*12+MthOff,Inputs!$B122,-Inputs!$B120),0)</f>
        <v>0</v>
      </c>
      <c r="R76" s="7">
        <f ca="1">-MAX(FV(Inputs!$B121/12,R$1*12+MthOff,Inputs!$B122,-Inputs!$B120),0)</f>
        <v>0</v>
      </c>
      <c r="S76" s="7">
        <f ca="1">-MAX(FV(Inputs!$B121/12,S$1*12+MthOff,Inputs!$B122,-Inputs!$B120),0)</f>
        <v>0</v>
      </c>
      <c r="T76" s="7">
        <f ca="1">-MAX(FV(Inputs!$B121/12,T$1*12+MthOff,Inputs!$B122,-Inputs!$B120),0)</f>
        <v>0</v>
      </c>
      <c r="U76" s="7">
        <f ca="1">-MAX(FV(Inputs!$B121/12,U$1*12+MthOff,Inputs!$B122,-Inputs!$B120),0)</f>
        <v>0</v>
      </c>
      <c r="V76" s="7">
        <f ca="1">-MAX(FV(Inputs!$B121/12,V$1*12+MthOff,Inputs!$B122,-Inputs!$B120),0)</f>
        <v>0</v>
      </c>
      <c r="W76" s="7">
        <f ca="1">-MAX(FV(Inputs!$B121/12,W$1*12+MthOff,Inputs!$B122,-Inputs!$B120),0)</f>
        <v>0</v>
      </c>
      <c r="X76" s="7">
        <f ca="1">-MAX(FV(Inputs!$B121/12,X$1*12+MthOff,Inputs!$B122,-Inputs!$B120),0)</f>
        <v>0</v>
      </c>
      <c r="Y76" s="7">
        <f ca="1">-MAX(FV(Inputs!$B121/12,Y$1*12+MthOff,Inputs!$B122,-Inputs!$B120),0)</f>
        <v>0</v>
      </c>
      <c r="Z76" s="7">
        <f ca="1">-MAX(FV(Inputs!$B121/12,Z$1*12+MthOff,Inputs!$B122,-Inputs!$B120),0)</f>
        <v>0</v>
      </c>
      <c r="AA76" s="7">
        <f ca="1">-MAX(FV(Inputs!$B121/12,AA$1*12+MthOff,Inputs!$B122,-Inputs!$B120),0)</f>
        <v>0</v>
      </c>
      <c r="AB76" s="7">
        <f ca="1">-MAX(FV(Inputs!$B121/12,AB$1*12+MthOff,Inputs!$B122,-Inputs!$B120),0)</f>
        <v>0</v>
      </c>
      <c r="AC76" s="7">
        <f ca="1">-MAX(FV(Inputs!$B121/12,AC$1*12+MthOff,Inputs!$B122,-Inputs!$B120),0)</f>
        <v>0</v>
      </c>
      <c r="AD76" s="7">
        <f ca="1">-MAX(FV(Inputs!$B121/12,AD$1*12+MthOff,Inputs!$B122,-Inputs!$B120),0)</f>
        <v>0</v>
      </c>
      <c r="AE76" s="7">
        <f ca="1">-MAX(FV(Inputs!$B121/12,AE$1*12+MthOff,Inputs!$B122,-Inputs!$B120),0)</f>
        <v>0</v>
      </c>
      <c r="AF76" s="7">
        <f ca="1">-MAX(FV(Inputs!$B121/12,AF$1*12+MthOff,Inputs!$B122,-Inputs!$B120),0)</f>
        <v>0</v>
      </c>
      <c r="AG76" s="7">
        <f ca="1">-MAX(FV(Inputs!$B121/12,AG$1*12+MthOff,Inputs!$B122,-Inputs!$B120),0)</f>
        <v>0</v>
      </c>
      <c r="AH76" s="7">
        <f ca="1">-MAX(FV(Inputs!$B121/12,AH$1*12+MthOff,Inputs!$B122,-Inputs!$B120),0)</f>
        <v>0</v>
      </c>
      <c r="AI76" s="7">
        <f ca="1">-MAX(FV(Inputs!$B121/12,AI$1*12+MthOff,Inputs!$B122,-Inputs!$B120),0)</f>
        <v>0</v>
      </c>
      <c r="AJ76" s="7">
        <f ca="1">-MAX(FV(Inputs!$B121/12,AJ$1*12+MthOff,Inputs!$B122,-Inputs!$B120),0)</f>
        <v>0</v>
      </c>
      <c r="AK76" s="7">
        <f ca="1">-MAX(FV(Inputs!$B121/12,AK$1*12+MthOff,Inputs!$B122,-Inputs!$B120),0)</f>
        <v>0</v>
      </c>
      <c r="AL76" s="7">
        <f ca="1">-MAX(FV(Inputs!$B121/12,AL$1*12+MthOff,Inputs!$B122,-Inputs!$B120),0)</f>
        <v>0</v>
      </c>
      <c r="AM76" s="7">
        <f ca="1">-MAX(FV(Inputs!$B121/12,AM$1*12+MthOff,Inputs!$B122,-Inputs!$B120),0)</f>
        <v>0</v>
      </c>
    </row>
    <row r="77" spans="1:39" x14ac:dyDescent="0.2">
      <c r="A77" s="4" t="s">
        <v>34</v>
      </c>
      <c r="C77" s="7">
        <f ca="1">-MAX(FV(Inputs!$B126/12,C$1*12+MthOff,Inputs!$B127,-Inputs!$B125),0)</f>
        <v>-3693.1592077552655</v>
      </c>
      <c r="D77" s="7">
        <f ca="1">-MAX(FV(Inputs!$B126/12,D$1*12+MthOff,Inputs!$B127,-Inputs!$B125),0)</f>
        <v>-3304.1670679118561</v>
      </c>
      <c r="E77" s="7">
        <f ca="1">-MAX(FV(Inputs!$B126/12,E$1*12+MthOff,Inputs!$B127,-Inputs!$B125),0)</f>
        <v>-2891.1827440504157</v>
      </c>
      <c r="F77" s="7">
        <f ca="1">-MAX(FV(Inputs!$B126/12,F$1*12+MthOff,Inputs!$B127,-Inputs!$B125),0)</f>
        <v>-2452.7264507588625</v>
      </c>
      <c r="G77" s="7">
        <f ca="1">-MAX(FV(Inputs!$B126/12,G$1*12+MthOff,Inputs!$B127,-Inputs!$B125),0)</f>
        <v>-1987.2271326988684</v>
      </c>
      <c r="H77" s="7">
        <f ca="1">-MAX(FV(Inputs!$B126/12,H$1*12+MthOff,Inputs!$B127,-Inputs!$B125),0)</f>
        <v>-1493.0168352765186</v>
      </c>
      <c r="I77" s="7">
        <f ca="1">-MAX(FV(Inputs!$B126/12,I$1*12+MthOff,Inputs!$B127,-Inputs!$B125),0)</f>
        <v>-968.32472810825493</v>
      </c>
      <c r="J77" s="7">
        <f ca="1">-MAX(FV(Inputs!$B126/12,J$1*12+MthOff,Inputs!$B127,-Inputs!$B125),0)</f>
        <v>-411.2707598672805</v>
      </c>
      <c r="K77" s="7">
        <f ca="1">-MAX(FV(Inputs!$B126/12,K$1*12+MthOff,Inputs!$B127,-Inputs!$B125),0)</f>
        <v>0</v>
      </c>
      <c r="L77" s="7">
        <f ca="1">-MAX(FV(Inputs!$B126/12,L$1*12+MthOff,Inputs!$B127,-Inputs!$B125),0)</f>
        <v>0</v>
      </c>
      <c r="M77" s="7">
        <f ca="1">-MAX(FV(Inputs!$B126/12,M$1*12+MthOff,Inputs!$B127,-Inputs!$B125),0)</f>
        <v>0</v>
      </c>
      <c r="N77" s="7">
        <f ca="1">-MAX(FV(Inputs!$B126/12,N$1*12+MthOff,Inputs!$B127,-Inputs!$B125),0)</f>
        <v>0</v>
      </c>
      <c r="O77" s="7">
        <f ca="1">-MAX(FV(Inputs!$B126/12,O$1*12+MthOff,Inputs!$B127,-Inputs!$B125),0)</f>
        <v>0</v>
      </c>
      <c r="P77" s="7">
        <f ca="1">-MAX(FV(Inputs!$B126/12,P$1*12+MthOff,Inputs!$B127,-Inputs!$B125),0)</f>
        <v>0</v>
      </c>
      <c r="Q77" s="7">
        <f ca="1">-MAX(FV(Inputs!$B126/12,Q$1*12+MthOff,Inputs!$B127,-Inputs!$B125),0)</f>
        <v>0</v>
      </c>
      <c r="R77" s="7">
        <f ca="1">-MAX(FV(Inputs!$B126/12,R$1*12+MthOff,Inputs!$B127,-Inputs!$B125),0)</f>
        <v>0</v>
      </c>
      <c r="S77" s="7">
        <f ca="1">-MAX(FV(Inputs!$B126/12,S$1*12+MthOff,Inputs!$B127,-Inputs!$B125),0)</f>
        <v>0</v>
      </c>
      <c r="T77" s="7">
        <f ca="1">-MAX(FV(Inputs!$B126/12,T$1*12+MthOff,Inputs!$B127,-Inputs!$B125),0)</f>
        <v>0</v>
      </c>
      <c r="U77" s="7">
        <f ca="1">-MAX(FV(Inputs!$B126/12,U$1*12+MthOff,Inputs!$B127,-Inputs!$B125),0)</f>
        <v>0</v>
      </c>
      <c r="V77" s="7">
        <f ca="1">-MAX(FV(Inputs!$B126/12,V$1*12+MthOff,Inputs!$B127,-Inputs!$B125),0)</f>
        <v>0</v>
      </c>
      <c r="W77" s="7">
        <f ca="1">-MAX(FV(Inputs!$B126/12,W$1*12+MthOff,Inputs!$B127,-Inputs!$B125),0)</f>
        <v>0</v>
      </c>
      <c r="X77" s="7">
        <f ca="1">-MAX(FV(Inputs!$B126/12,X$1*12+MthOff,Inputs!$B127,-Inputs!$B125),0)</f>
        <v>0</v>
      </c>
      <c r="Y77" s="7">
        <f ca="1">-MAX(FV(Inputs!$B126/12,Y$1*12+MthOff,Inputs!$B127,-Inputs!$B125),0)</f>
        <v>0</v>
      </c>
      <c r="Z77" s="7">
        <f ca="1">-MAX(FV(Inputs!$B126/12,Z$1*12+MthOff,Inputs!$B127,-Inputs!$B125),0)</f>
        <v>0</v>
      </c>
      <c r="AA77" s="7">
        <f ca="1">-MAX(FV(Inputs!$B126/12,AA$1*12+MthOff,Inputs!$B127,-Inputs!$B125),0)</f>
        <v>0</v>
      </c>
      <c r="AB77" s="7">
        <f ca="1">-MAX(FV(Inputs!$B126/12,AB$1*12+MthOff,Inputs!$B127,-Inputs!$B125),0)</f>
        <v>0</v>
      </c>
      <c r="AC77" s="7">
        <f ca="1">-MAX(FV(Inputs!$B126/12,AC$1*12+MthOff,Inputs!$B127,-Inputs!$B125),0)</f>
        <v>0</v>
      </c>
      <c r="AD77" s="7">
        <f ca="1">-MAX(FV(Inputs!$B126/12,AD$1*12+MthOff,Inputs!$B127,-Inputs!$B125),0)</f>
        <v>0</v>
      </c>
      <c r="AE77" s="7">
        <f ca="1">-MAX(FV(Inputs!$B126/12,AE$1*12+MthOff,Inputs!$B127,-Inputs!$B125),0)</f>
        <v>0</v>
      </c>
      <c r="AF77" s="7">
        <f ca="1">-MAX(FV(Inputs!$B126/12,AF$1*12+MthOff,Inputs!$B127,-Inputs!$B125),0)</f>
        <v>0</v>
      </c>
      <c r="AG77" s="7">
        <f ca="1">-MAX(FV(Inputs!$B126/12,AG$1*12+MthOff,Inputs!$B127,-Inputs!$B125),0)</f>
        <v>0</v>
      </c>
      <c r="AH77" s="7">
        <f ca="1">-MAX(FV(Inputs!$B126/12,AH$1*12+MthOff,Inputs!$B127,-Inputs!$B125),0)</f>
        <v>0</v>
      </c>
      <c r="AI77" s="7">
        <f ca="1">-MAX(FV(Inputs!$B126/12,AI$1*12+MthOff,Inputs!$B127,-Inputs!$B125),0)</f>
        <v>0</v>
      </c>
      <c r="AJ77" s="7">
        <f ca="1">-MAX(FV(Inputs!$B126/12,AJ$1*12+MthOff,Inputs!$B127,-Inputs!$B125),0)</f>
        <v>0</v>
      </c>
      <c r="AK77" s="7">
        <f ca="1">-MAX(FV(Inputs!$B126/12,AK$1*12+MthOff,Inputs!$B127,-Inputs!$B125),0)</f>
        <v>0</v>
      </c>
      <c r="AL77" s="7">
        <f ca="1">-MAX(FV(Inputs!$B126/12,AL$1*12+MthOff,Inputs!$B127,-Inputs!$B125),0)</f>
        <v>0</v>
      </c>
      <c r="AM77" s="7">
        <f ca="1">-MAX(FV(Inputs!$B126/12,AM$1*12+MthOff,Inputs!$B127,-Inputs!$B125),0)</f>
        <v>0</v>
      </c>
    </row>
    <row r="78" spans="1:39" x14ac:dyDescent="0.2">
      <c r="A78" s="4"/>
      <c r="C78" s="9">
        <f t="shared" ref="C78:AM78" ca="1" si="47">SUM(C60:C77)</f>
        <v>1486487.9915657642</v>
      </c>
      <c r="D78" s="9">
        <f t="shared" ca="1" si="47"/>
        <v>1578514.7610075048</v>
      </c>
      <c r="E78" s="9">
        <f t="shared" ca="1" si="47"/>
        <v>1679362.533968953</v>
      </c>
      <c r="F78" s="9">
        <f t="shared" ca="1" si="47"/>
        <v>1762841.4863182209</v>
      </c>
      <c r="G78" s="9">
        <f t="shared" ca="1" si="47"/>
        <v>1787177.9048880567</v>
      </c>
      <c r="H78" s="9">
        <f t="shared" ca="1" si="47"/>
        <v>1813341.1824579649</v>
      </c>
      <c r="I78" s="9">
        <f t="shared" ca="1" si="47"/>
        <v>1849408.5278930268</v>
      </c>
      <c r="J78" s="9">
        <f t="shared" ca="1" si="47"/>
        <v>1880587.8897106256</v>
      </c>
      <c r="K78" s="9">
        <f t="shared" ca="1" si="47"/>
        <v>1895188.8231516841</v>
      </c>
      <c r="L78" s="9">
        <f t="shared" ca="1" si="47"/>
        <v>1992257.208741772</v>
      </c>
      <c r="M78" s="9">
        <f t="shared" ca="1" si="47"/>
        <v>1992737.8840828426</v>
      </c>
      <c r="N78" s="9">
        <f t="shared" ca="1" si="47"/>
        <v>2043898.4781933238</v>
      </c>
      <c r="O78" s="9">
        <f t="shared" ca="1" si="47"/>
        <v>2097185.0216164151</v>
      </c>
      <c r="P78" s="9">
        <f t="shared" ca="1" si="47"/>
        <v>2152691.2638067557</v>
      </c>
      <c r="Q78" s="9">
        <f t="shared" ca="1" si="47"/>
        <v>2210515.7313920478</v>
      </c>
      <c r="R78" s="9">
        <f t="shared" ca="1" si="47"/>
        <v>2270762.0178386872</v>
      </c>
      <c r="S78" s="9">
        <f t="shared" ca="1" si="47"/>
        <v>2333539.0932447799</v>
      </c>
      <c r="T78" s="9">
        <f t="shared" ca="1" si="47"/>
        <v>2417373.2167328391</v>
      </c>
      <c r="U78" s="9">
        <f t="shared" ca="1" si="47"/>
        <v>2512232.1313833832</v>
      </c>
      <c r="V78" s="9">
        <f t="shared" ca="1" si="47"/>
        <v>2610651.1916080727</v>
      </c>
      <c r="W78" s="9">
        <f t="shared" ca="1" si="47"/>
        <v>2712781.0988249495</v>
      </c>
      <c r="X78" s="9">
        <f t="shared" ca="1" si="47"/>
        <v>2818780.2559286617</v>
      </c>
      <c r="Y78" s="9">
        <f t="shared" ca="1" si="47"/>
        <v>2908156.3877152773</v>
      </c>
      <c r="Z78" s="9">
        <f t="shared" ca="1" si="47"/>
        <v>3001227.1507725785</v>
      </c>
      <c r="AA78" s="9">
        <f t="shared" ca="1" si="47"/>
        <v>3098164.1415854916</v>
      </c>
      <c r="AB78" s="9">
        <f t="shared" ca="1" si="47"/>
        <v>3199148.4573812676</v>
      </c>
      <c r="AC78" s="9">
        <f t="shared" ca="1" si="47"/>
        <v>3304371.3166856798</v>
      </c>
      <c r="AD78" s="9">
        <f t="shared" ca="1" si="47"/>
        <v>3414034.7250212706</v>
      </c>
      <c r="AE78" s="9">
        <f t="shared" ca="1" si="47"/>
        <v>3538334.6643097862</v>
      </c>
      <c r="AF78" s="9">
        <f t="shared" ca="1" si="47"/>
        <v>3667763.9961285698</v>
      </c>
      <c r="AG78" s="9">
        <f t="shared" ca="1" si="47"/>
        <v>3802567.825332324</v>
      </c>
      <c r="AH78" s="9">
        <f t="shared" ca="1" si="47"/>
        <v>3943005.3875559666</v>
      </c>
      <c r="AI78" s="9">
        <f t="shared" ca="1" si="47"/>
        <v>4089351.0023435005</v>
      </c>
      <c r="AJ78" s="9">
        <f t="shared" ca="1" si="47"/>
        <v>4241895.0968820732</v>
      </c>
      <c r="AK78" s="9">
        <f t="shared" ca="1" si="47"/>
        <v>4400945.3058121251</v>
      </c>
      <c r="AL78" s="9">
        <f t="shared" ca="1" si="47"/>
        <v>4566827.6530167237</v>
      </c>
      <c r="AM78" s="9">
        <f t="shared" ca="1" si="47"/>
        <v>4739887.821759712</v>
      </c>
    </row>
    <row r="79" spans="1:39" x14ac:dyDescent="0.2">
      <c r="A79" s="4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  <c r="AB79" s="7"/>
      <c r="AC79" s="7"/>
      <c r="AD79" s="7"/>
      <c r="AE79" s="7"/>
      <c r="AF79" s="7"/>
      <c r="AG79" s="7"/>
      <c r="AH79" s="7"/>
      <c r="AI79" s="7"/>
      <c r="AJ79" s="7"/>
      <c r="AK79" s="7"/>
      <c r="AL79" s="7"/>
      <c r="AM79" s="7"/>
    </row>
    <row r="80" spans="1:39" x14ac:dyDescent="0.2">
      <c r="A80" s="30" t="s">
        <v>77</v>
      </c>
      <c r="C80" s="7">
        <f t="shared" ref="C80:AM80" ca="1" si="48">C61-buffer</f>
        <v>33136.875000000015</v>
      </c>
      <c r="D80" s="7">
        <f t="shared" ca="1" si="48"/>
        <v>57140.903125000026</v>
      </c>
      <c r="E80" s="7">
        <f t="shared" ca="1" si="48"/>
        <v>87759.433828125038</v>
      </c>
      <c r="F80" s="7">
        <f t="shared" ca="1" si="48"/>
        <v>99100.176411377644</v>
      </c>
      <c r="G80" s="7">
        <f t="shared" ca="1" si="48"/>
        <v>50982.686515080073</v>
      </c>
      <c r="H80" s="7">
        <f t="shared" ca="1" si="48"/>
        <v>4731.4866545593541</v>
      </c>
      <c r="I80" s="7">
        <f t="shared" ca="1" si="48"/>
        <v>-22712.286788277619</v>
      </c>
      <c r="J80" s="7">
        <f t="shared" ca="1" si="48"/>
        <v>-56502.477191050719</v>
      </c>
      <c r="K80" s="7">
        <f t="shared" ca="1" si="48"/>
        <v>-108057.7729905282</v>
      </c>
      <c r="L80" s="7">
        <f t="shared" ca="1" si="48"/>
        <v>-77533.575888335326</v>
      </c>
      <c r="M80" s="7">
        <f t="shared" ca="1" si="48"/>
        <v>-141143.73857023782</v>
      </c>
      <c r="N80" s="7">
        <f t="shared" ca="1" si="48"/>
        <v>-156252.47678214483</v>
      </c>
      <c r="O80" s="7">
        <f t="shared" ca="1" si="48"/>
        <v>-171499.57634253675</v>
      </c>
      <c r="P80" s="7">
        <f t="shared" ca="1" si="48"/>
        <v>-186881.3155719213</v>
      </c>
      <c r="Q80" s="7">
        <f t="shared" ca="1" si="48"/>
        <v>-202393.66432742277</v>
      </c>
      <c r="R80" s="7">
        <f t="shared" ca="1" si="48"/>
        <v>-218032.26982855561</v>
      </c>
      <c r="S80" s="7">
        <f t="shared" ca="1" si="48"/>
        <v>-233792.44193476287</v>
      </c>
      <c r="T80" s="7">
        <f t="shared" ca="1" si="48"/>
        <v>-231257.55689495517</v>
      </c>
      <c r="U80" s="7">
        <f t="shared" ca="1" si="48"/>
        <v>-220575.20123753947</v>
      </c>
      <c r="V80" s="7">
        <f t="shared" ca="1" si="48"/>
        <v>-209331.40763851561</v>
      </c>
      <c r="W80" s="7">
        <f t="shared" ca="1" si="48"/>
        <v>-197503.30877783825</v>
      </c>
      <c r="X80" s="7">
        <f t="shared" ca="1" si="48"/>
        <v>-185067.20071131567</v>
      </c>
      <c r="Y80" s="7">
        <f t="shared" ca="1" si="48"/>
        <v>-192657.3707777331</v>
      </c>
      <c r="Z80" s="7">
        <f t="shared" ca="1" si="48"/>
        <v>-200105.96888136212</v>
      </c>
      <c r="AA80" s="7">
        <f t="shared" ca="1" si="48"/>
        <v>-207399.51593669952</v>
      </c>
      <c r="AB80" s="7">
        <f t="shared" ca="1" si="48"/>
        <v>-214523.89768751158</v>
      </c>
      <c r="AC80" s="7">
        <f t="shared" ca="1" si="48"/>
        <v>-221464.33988175789</v>
      </c>
      <c r="AD80" s="7">
        <f t="shared" ca="1" si="48"/>
        <v>-228205.38255751424</v>
      </c>
      <c r="AE80" s="7">
        <f t="shared" ca="1" si="48"/>
        <v>-224748.37831583194</v>
      </c>
      <c r="AF80" s="7">
        <f t="shared" ca="1" si="48"/>
        <v>-220809.32814084471</v>
      </c>
      <c r="AG80" s="7">
        <f t="shared" ca="1" si="48"/>
        <v>-216364.31225940198</v>
      </c>
      <c r="AH80" s="7">
        <f t="shared" ca="1" si="48"/>
        <v>-211388.45684528002</v>
      </c>
      <c r="AI80" s="7">
        <f t="shared" ca="1" si="48"/>
        <v>-205855.89948609244</v>
      </c>
      <c r="AJ80" s="7">
        <f t="shared" ca="1" si="48"/>
        <v>-199739.7534664213</v>
      </c>
      <c r="AK80" s="7">
        <f t="shared" ca="1" si="48"/>
        <v>-193012.0708279594</v>
      </c>
      <c r="AL80" s="7">
        <f t="shared" ca="1" si="48"/>
        <v>-185643.80416618794</v>
      </c>
      <c r="AM80" s="7">
        <f t="shared" ca="1" si="48"/>
        <v>-177604.76712180377</v>
      </c>
    </row>
    <row r="81" spans="1:39" x14ac:dyDescent="0.2">
      <c r="A81" s="2" t="s">
        <v>20</v>
      </c>
      <c r="C81" s="7">
        <f ca="1">IF(C80&lt;0,-C80,0)</f>
        <v>0</v>
      </c>
      <c r="D81" s="7">
        <f ca="1">IF(D80+SUM($C81:C81)&lt;0,-(D80+SUM($C81:C81)),0)</f>
        <v>0</v>
      </c>
      <c r="E81" s="7">
        <f ca="1">IF(E80+SUM($C81:D81)&lt;0,-(E80+SUM($C81:D81)),0)</f>
        <v>0</v>
      </c>
      <c r="F81" s="7">
        <f ca="1">IF(F80+SUM($C81:E81)&lt;0,-(F80+SUM($C81:E81)),0)</f>
        <v>0</v>
      </c>
      <c r="G81" s="7">
        <f ca="1">IF(G80+SUM($C81:F81)&lt;0,-(G80+SUM($C81:F81)),0)</f>
        <v>0</v>
      </c>
      <c r="H81" s="7">
        <f ca="1">IF(H80+SUM($C81:G81)&lt;0,-(H80+SUM($C81:G81)),0)</f>
        <v>0</v>
      </c>
      <c r="I81" s="7">
        <f ca="1">IF(I80+SUM($C81:H81)&lt;0,-(I80+SUM($C81:H81)),0)</f>
        <v>22712.286788277619</v>
      </c>
      <c r="J81" s="7">
        <f ca="1">IF(J80+SUM($C81:I81)&lt;0,-(J80+SUM($C81:I81)),0)</f>
        <v>33790.1904027731</v>
      </c>
      <c r="K81" s="7">
        <f ca="1">IF(K80+SUM($C81:J81)&lt;0,-(K80+SUM($C81:J81)),0)</f>
        <v>51555.295799477484</v>
      </c>
      <c r="L81" s="7">
        <f ca="1">IF(L80+SUM($C81:K81)&lt;0,-(L80+SUM($C81:K81)),0)</f>
        <v>0</v>
      </c>
      <c r="M81" s="7">
        <f ca="1">IF(M80+SUM($C81:L81)&lt;0,-(M80+SUM($C81:L81)),0)</f>
        <v>33085.96557970962</v>
      </c>
      <c r="N81" s="7">
        <f ca="1">IF(N80+SUM($C81:M81)&lt;0,-(N80+SUM($C81:M81)),0)</f>
        <v>15108.73821190701</v>
      </c>
      <c r="O81" s="7">
        <f ca="1">IF(O80+SUM($C81:N81)&lt;0,-(O80+SUM($C81:N81)),0)</f>
        <v>15247.099560391915</v>
      </c>
      <c r="P81" s="7">
        <f ca="1">IF(P80+SUM($C81:O81)&lt;0,-(P80+SUM($C81:O81)),0)</f>
        <v>15381.739229384548</v>
      </c>
      <c r="Q81" s="7">
        <f ca="1">IF(Q80+SUM($C81:P81)&lt;0,-(Q80+SUM($C81:P81)),0)</f>
        <v>15512.348755501473</v>
      </c>
      <c r="R81" s="7">
        <f ca="1">IF(R80+SUM($C81:Q81)&lt;0,-(R80+SUM($C81:Q81)),0)</f>
        <v>15638.605501132843</v>
      </c>
      <c r="S81" s="7">
        <f ca="1">IF(S80+SUM($C81:R81)&lt;0,-(S80+SUM($C81:R81)),0)</f>
        <v>15760.172106207261</v>
      </c>
      <c r="T81" s="7">
        <f ca="1">IF(T80+SUM($C81:S81)&lt;0,-(T80+SUM($C81:S81)),0)</f>
        <v>0</v>
      </c>
      <c r="U81" s="7">
        <f ca="1">IF(U80+SUM($C81:T81)&lt;0,-(U80+SUM($C81:T81)),0)</f>
        <v>0</v>
      </c>
      <c r="V81" s="7">
        <f ca="1">IF(V80+SUM($C81:U81)&lt;0,-(V80+SUM($C81:U81)),0)</f>
        <v>0</v>
      </c>
      <c r="W81" s="7">
        <f ca="1">IF(W80+SUM($C81:V81)&lt;0,-(W80+SUM($C81:V81)),0)</f>
        <v>0</v>
      </c>
      <c r="X81" s="7">
        <f ca="1">IF(X80+SUM($C81:W81)&lt;0,-(X80+SUM($C81:W81)),0)</f>
        <v>0</v>
      </c>
      <c r="Y81" s="7">
        <f ca="1">IF(Y80+SUM($C81:X81)&lt;0,-(Y80+SUM($C81:X81)),0)</f>
        <v>0</v>
      </c>
      <c r="Z81" s="7">
        <f ca="1">IF(Z80+SUM($C81:Y81)&lt;0,-(Z80+SUM($C81:Y81)),0)</f>
        <v>0</v>
      </c>
      <c r="AA81" s="7">
        <f ca="1">IF(AA80+SUM($C81:Z81)&lt;0,-(AA80+SUM($C81:Z81)),0)</f>
        <v>0</v>
      </c>
      <c r="AB81" s="7">
        <f ca="1">IF(AB80+SUM($C81:AA81)&lt;0,-(AB80+SUM($C81:AA81)),0)</f>
        <v>0</v>
      </c>
      <c r="AC81" s="7">
        <f ca="1">IF(AC80+SUM($C81:AB81)&lt;0,-(AC80+SUM($C81:AB81)),0)</f>
        <v>0</v>
      </c>
      <c r="AD81" s="7">
        <f ca="1">IF(AD80+SUM($C81:AC81)&lt;0,-(AD80+SUM($C81:AC81)),0)</f>
        <v>0</v>
      </c>
      <c r="AE81" s="7">
        <f ca="1">IF(AE80+SUM($C81:AD81)&lt;0,-(AE80+SUM($C81:AD81)),0)</f>
        <v>0</v>
      </c>
      <c r="AF81" s="7">
        <f ca="1">IF(AF80+SUM($C81:AE81)&lt;0,-(AF80+SUM($C81:AE81)),0)</f>
        <v>0</v>
      </c>
      <c r="AG81" s="7">
        <f ca="1">IF(AG80+SUM($C81:AF81)&lt;0,-(AG80+SUM($C81:AF81)),0)</f>
        <v>0</v>
      </c>
      <c r="AH81" s="7">
        <f ca="1">IF(AH80+SUM($C81:AG81)&lt;0,-(AH80+SUM($C81:AG81)),0)</f>
        <v>0</v>
      </c>
      <c r="AI81" s="7">
        <f ca="1">IF(AI80+SUM($C81:AH81)&lt;0,-(AI80+SUM($C81:AH81)),0)</f>
        <v>0</v>
      </c>
      <c r="AJ81" s="7">
        <f ca="1">IF(AJ80+SUM($C81:AI81)&lt;0,-(AJ80+SUM($C81:AI81)),0)</f>
        <v>0</v>
      </c>
      <c r="AK81" s="7">
        <f ca="1">IF(AK80+SUM($C81:AJ81)&lt;0,-(AK80+SUM($C81:AJ81)),0)</f>
        <v>0</v>
      </c>
      <c r="AL81" s="7">
        <f ca="1">IF(AL80+SUM($C81:AK81)&lt;0,-(AL80+SUM($C81:AK81)),0)</f>
        <v>0</v>
      </c>
      <c r="AM81" s="7">
        <f ca="1">IF(AM80+SUM($C81:AL81)&lt;0,-(AM80+SUM($C81:AL81)),0)</f>
        <v>0</v>
      </c>
    </row>
    <row r="82" spans="1:39" x14ac:dyDescent="0.2"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  <c r="AB82" s="7"/>
      <c r="AC82" s="7"/>
      <c r="AD82" s="7"/>
      <c r="AE82" s="7"/>
      <c r="AF82" s="7"/>
      <c r="AG82" s="7"/>
      <c r="AH82" s="7"/>
      <c r="AI82" s="7"/>
      <c r="AJ82" s="7"/>
      <c r="AK82" s="7"/>
      <c r="AL82" s="7"/>
      <c r="AM82" s="7"/>
    </row>
    <row r="83" spans="1:39" ht="19" x14ac:dyDescent="0.25">
      <c r="A83" s="25" t="s">
        <v>21</v>
      </c>
      <c r="B83" s="26"/>
      <c r="C83" s="27"/>
      <c r="D83" s="28"/>
      <c r="E83" s="27"/>
      <c r="F83" s="27"/>
      <c r="G83" s="27"/>
      <c r="H83" s="27"/>
      <c r="I83" s="27"/>
      <c r="J83" s="27"/>
      <c r="K83" s="27"/>
      <c r="L83" s="27"/>
      <c r="M83" s="27"/>
      <c r="N83" s="27"/>
      <c r="O83" s="27"/>
      <c r="P83" s="27"/>
      <c r="Q83" s="27"/>
      <c r="R83" s="27"/>
      <c r="S83" s="27"/>
      <c r="T83" s="27"/>
      <c r="U83" s="27"/>
      <c r="V83" s="27"/>
      <c r="W83" s="27"/>
      <c r="X83" s="27"/>
      <c r="Y83" s="27"/>
      <c r="Z83" s="27"/>
      <c r="AA83" s="27"/>
      <c r="AB83" s="27"/>
      <c r="AC83" s="27"/>
      <c r="AD83" s="27"/>
      <c r="AE83" s="27"/>
      <c r="AF83" s="27"/>
      <c r="AG83" s="27"/>
      <c r="AH83" s="27"/>
      <c r="AI83" s="27"/>
      <c r="AJ83" s="27"/>
      <c r="AK83" s="27"/>
      <c r="AL83" s="27"/>
      <c r="AM83" s="27"/>
    </row>
    <row r="84" spans="1:39" x14ac:dyDescent="0.2">
      <c r="A84" s="1"/>
      <c r="C84" s="7"/>
      <c r="D84" s="11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  <c r="AC84" s="7"/>
      <c r="AD84" s="7"/>
      <c r="AE84" s="7"/>
      <c r="AF84" s="7"/>
      <c r="AG84" s="7"/>
      <c r="AH84" s="7"/>
      <c r="AI84" s="7"/>
      <c r="AJ84" s="7"/>
      <c r="AK84" s="7"/>
      <c r="AL84" s="7"/>
      <c r="AM84" s="7"/>
    </row>
    <row r="85" spans="1:39" x14ac:dyDescent="0.2">
      <c r="A85" s="24" t="s">
        <v>27</v>
      </c>
      <c r="B85" s="26"/>
      <c r="C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  <c r="AC85" s="7"/>
      <c r="AD85" s="7"/>
      <c r="AE85" s="7"/>
      <c r="AF85" s="7"/>
      <c r="AG85" s="7"/>
      <c r="AH85" s="7"/>
      <c r="AI85" s="7"/>
      <c r="AJ85" s="7"/>
      <c r="AK85" s="7"/>
      <c r="AL85" s="7"/>
      <c r="AM85" s="7"/>
    </row>
    <row r="86" spans="1:39" x14ac:dyDescent="0.2">
      <c r="A86" s="3" t="s">
        <v>22</v>
      </c>
      <c r="C86" s="7">
        <f ca="1">C69</f>
        <v>31987.064369139065</v>
      </c>
      <c r="D86" s="7">
        <f t="shared" ref="D86:AM86" ca="1" si="49">C89</f>
        <v>31987.064369139065</v>
      </c>
      <c r="E86" s="7">
        <f t="shared" ca="1" si="49"/>
        <v>34546.029518670191</v>
      </c>
      <c r="F86" s="7">
        <f t="shared" ca="1" si="49"/>
        <v>37309.711880163806</v>
      </c>
      <c r="G86" s="7">
        <f t="shared" ca="1" si="49"/>
        <v>40294.488830576913</v>
      </c>
      <c r="H86" s="7">
        <f t="shared" ca="1" si="49"/>
        <v>43518.047937023068</v>
      </c>
      <c r="I86" s="7">
        <f t="shared" ca="1" si="49"/>
        <v>46999.491771984911</v>
      </c>
      <c r="J86" s="7">
        <f t="shared" ca="1" si="49"/>
        <v>24939.167186017567</v>
      </c>
      <c r="K86" s="7">
        <f t="shared" ca="1" si="49"/>
        <v>0</v>
      </c>
      <c r="L86" s="7">
        <f t="shared" ca="1" si="49"/>
        <v>0</v>
      </c>
      <c r="M86" s="7">
        <f t="shared" ca="1" si="49"/>
        <v>0</v>
      </c>
      <c r="N86" s="7">
        <f t="shared" ca="1" si="49"/>
        <v>0</v>
      </c>
      <c r="O86" s="7">
        <f t="shared" ca="1" si="49"/>
        <v>0</v>
      </c>
      <c r="P86" s="7">
        <f t="shared" ca="1" si="49"/>
        <v>0</v>
      </c>
      <c r="Q86" s="7">
        <f t="shared" ca="1" si="49"/>
        <v>0</v>
      </c>
      <c r="R86" s="7">
        <f t="shared" ca="1" si="49"/>
        <v>0</v>
      </c>
      <c r="S86" s="7">
        <f t="shared" ca="1" si="49"/>
        <v>0</v>
      </c>
      <c r="T86" s="7">
        <f t="shared" ca="1" si="49"/>
        <v>0</v>
      </c>
      <c r="U86" s="7">
        <f t="shared" ca="1" si="49"/>
        <v>0</v>
      </c>
      <c r="V86" s="7">
        <f t="shared" ca="1" si="49"/>
        <v>0</v>
      </c>
      <c r="W86" s="7">
        <f t="shared" ca="1" si="49"/>
        <v>0</v>
      </c>
      <c r="X86" s="7">
        <f t="shared" ca="1" si="49"/>
        <v>0</v>
      </c>
      <c r="Y86" s="7">
        <f t="shared" ca="1" si="49"/>
        <v>0</v>
      </c>
      <c r="Z86" s="7">
        <f t="shared" ca="1" si="49"/>
        <v>0</v>
      </c>
      <c r="AA86" s="7">
        <f t="shared" ca="1" si="49"/>
        <v>0</v>
      </c>
      <c r="AB86" s="7">
        <f t="shared" ca="1" si="49"/>
        <v>0</v>
      </c>
      <c r="AC86" s="7">
        <f t="shared" ca="1" si="49"/>
        <v>0</v>
      </c>
      <c r="AD86" s="7">
        <f t="shared" ca="1" si="49"/>
        <v>0</v>
      </c>
      <c r="AE86" s="7">
        <f t="shared" ca="1" si="49"/>
        <v>0</v>
      </c>
      <c r="AF86" s="7">
        <f t="shared" ca="1" si="49"/>
        <v>0</v>
      </c>
      <c r="AG86" s="7">
        <f t="shared" ca="1" si="49"/>
        <v>0</v>
      </c>
      <c r="AH86" s="7">
        <f t="shared" ca="1" si="49"/>
        <v>0</v>
      </c>
      <c r="AI86" s="7">
        <f t="shared" ca="1" si="49"/>
        <v>0</v>
      </c>
      <c r="AJ86" s="7">
        <f t="shared" ca="1" si="49"/>
        <v>0</v>
      </c>
      <c r="AK86" s="7">
        <f t="shared" ca="1" si="49"/>
        <v>0</v>
      </c>
      <c r="AL86" s="7">
        <f t="shared" ca="1" si="49"/>
        <v>0</v>
      </c>
      <c r="AM86" s="7">
        <f t="shared" ca="1" si="49"/>
        <v>0</v>
      </c>
    </row>
    <row r="87" spans="1:39" x14ac:dyDescent="0.2">
      <c r="A87" s="3" t="s">
        <v>23</v>
      </c>
      <c r="C87" s="7">
        <f ca="1">-MIN(C86, C81/(1-Inputs!$B$193))</f>
        <v>0</v>
      </c>
      <c r="D87" s="7">
        <f ca="1">-MIN(D86, D81/(1-Inputs!$B$193))</f>
        <v>0</v>
      </c>
      <c r="E87" s="7">
        <f ca="1">-MIN(E86, E81/(1-Inputs!$B$193))</f>
        <v>0</v>
      </c>
      <c r="F87" s="7">
        <f ca="1">-MIN(F86, F81/(1-Inputs!$B$193))</f>
        <v>0</v>
      </c>
      <c r="G87" s="7">
        <f ca="1">-MIN(G86, G81/(1-Inputs!$B$193))</f>
        <v>0</v>
      </c>
      <c r="H87" s="7">
        <f ca="1">-MIN(H86, H81/(1-Inputs!$B$193))</f>
        <v>0</v>
      </c>
      <c r="I87" s="7">
        <f ca="1">-MIN(I86, I81/(1-Inputs!$B$193))</f>
        <v>-23907.670303450126</v>
      </c>
      <c r="J87" s="7">
        <f ca="1">-MIN(J86, J81/(1-Inputs!$B$193))</f>
        <v>-24939.167186017567</v>
      </c>
      <c r="K87" s="7">
        <f ca="1">-MIN(K86, K81/(1-Inputs!$B$193))</f>
        <v>0</v>
      </c>
      <c r="L87" s="7">
        <f ca="1">-MIN(L86, L81/(1-Inputs!$B$193))</f>
        <v>0</v>
      </c>
      <c r="M87" s="7">
        <f ca="1">-MIN(M86, M81/(1-Inputs!$B$193))</f>
        <v>0</v>
      </c>
      <c r="N87" s="7">
        <f ca="1">-MIN(N86, N81/(1-Inputs!$B$193))</f>
        <v>0</v>
      </c>
      <c r="O87" s="7">
        <f ca="1">-MIN(O86, O81/(1-Inputs!$B$193))</f>
        <v>0</v>
      </c>
      <c r="P87" s="7">
        <f ca="1">-MIN(P86, P81/(1-Inputs!$B$193))</f>
        <v>0</v>
      </c>
      <c r="Q87" s="7">
        <f ca="1">-MIN(Q86, Q81/(1-Inputs!$B$193))</f>
        <v>0</v>
      </c>
      <c r="R87" s="7">
        <f ca="1">-MIN(R86, R81/(1-Inputs!$B$193))</f>
        <v>0</v>
      </c>
      <c r="S87" s="7">
        <f ca="1">-MIN(S86, S81/(1-Inputs!$B$193))</f>
        <v>0</v>
      </c>
      <c r="T87" s="7">
        <f ca="1">-MIN(T86, T81/(1-Inputs!$B$193))</f>
        <v>0</v>
      </c>
      <c r="U87" s="7">
        <f ca="1">-MIN(U86, U81/(1-Inputs!$B$193))</f>
        <v>0</v>
      </c>
      <c r="V87" s="7">
        <f ca="1">-MIN(V86, V81/(1-Inputs!$B$193))</f>
        <v>0</v>
      </c>
      <c r="W87" s="7">
        <f ca="1">-MIN(W86, W81/(1-Inputs!$B$193))</f>
        <v>0</v>
      </c>
      <c r="X87" s="7">
        <f ca="1">-MIN(X86, X81/(1-Inputs!$B$193))</f>
        <v>0</v>
      </c>
      <c r="Y87" s="7">
        <f ca="1">-MIN(Y86, Y81/(1-Inputs!$B$193))</f>
        <v>0</v>
      </c>
      <c r="Z87" s="7">
        <f ca="1">-MIN(Z86, Z81/(1-Inputs!$B$193))</f>
        <v>0</v>
      </c>
      <c r="AA87" s="7">
        <f ca="1">-MIN(AA86, AA81/(1-Inputs!$B$193))</f>
        <v>0</v>
      </c>
      <c r="AB87" s="7">
        <f ca="1">-MIN(AB86, AB81/(1-Inputs!$B$193))</f>
        <v>0</v>
      </c>
      <c r="AC87" s="7">
        <f ca="1">-MIN(AC86, AC81/(1-Inputs!$B$193))</f>
        <v>0</v>
      </c>
      <c r="AD87" s="7">
        <f ca="1">-MIN(AD86, AD81/(1-Inputs!$B$193))</f>
        <v>0</v>
      </c>
      <c r="AE87" s="7">
        <f ca="1">-MIN(AE86, AE81/(1-Inputs!$B$193))</f>
        <v>0</v>
      </c>
      <c r="AF87" s="7">
        <f ca="1">-MIN(AF86, AF81/(1-Inputs!$B$193))</f>
        <v>0</v>
      </c>
      <c r="AG87" s="7">
        <f ca="1">-MIN(AG86, AG81/(1-Inputs!$B$193))</f>
        <v>0</v>
      </c>
      <c r="AH87" s="7">
        <f ca="1">-MIN(AH86, AH81/(1-Inputs!$B$193))</f>
        <v>0</v>
      </c>
      <c r="AI87" s="7">
        <f ca="1">-MIN(AI86, AI81/(1-Inputs!$B$193))</f>
        <v>0</v>
      </c>
      <c r="AJ87" s="7">
        <f ca="1">-MIN(AJ86, AJ81/(1-Inputs!$B$193))</f>
        <v>0</v>
      </c>
      <c r="AK87" s="7">
        <f ca="1">-MIN(AK86, AK81/(1-Inputs!$B$193))</f>
        <v>0</v>
      </c>
      <c r="AL87" s="7">
        <f ca="1">-MIN(AL86, AL81/(1-Inputs!$B$193))</f>
        <v>0</v>
      </c>
      <c r="AM87" s="7">
        <f ca="1">-MIN(AM86, AM81/(1-Inputs!$B$193))</f>
        <v>0</v>
      </c>
    </row>
    <row r="88" spans="1:39" x14ac:dyDescent="0.2">
      <c r="A88" s="3" t="s">
        <v>24</v>
      </c>
      <c r="C88" s="7">
        <v>0</v>
      </c>
      <c r="D88" s="7">
        <f t="shared" ref="D88:G88" ca="1" si="50">SUM(D86:D87)*stinc</f>
        <v>2558.9651495311255</v>
      </c>
      <c r="E88" s="7">
        <f t="shared" ca="1" si="50"/>
        <v>2763.6823614936152</v>
      </c>
      <c r="F88" s="7">
        <f t="shared" ca="1" si="50"/>
        <v>2984.7769504131047</v>
      </c>
      <c r="G88" s="7">
        <f t="shared" ca="1" si="50"/>
        <v>3223.5591064461532</v>
      </c>
      <c r="H88" s="7">
        <f t="shared" ref="H88:I88" ca="1" si="51">SUM(H86:H87)*stinc</f>
        <v>3481.4438349618454</v>
      </c>
      <c r="I88" s="7">
        <f t="shared" ca="1" si="51"/>
        <v>1847.3457174827829</v>
      </c>
      <c r="J88" s="7">
        <f t="shared" ref="J88:AM88" ca="1" si="52">SUM(J86:J87)*stinc</f>
        <v>0</v>
      </c>
      <c r="K88" s="7">
        <f t="shared" ca="1" si="52"/>
        <v>0</v>
      </c>
      <c r="L88" s="7">
        <f t="shared" ca="1" si="52"/>
        <v>0</v>
      </c>
      <c r="M88" s="7">
        <f t="shared" ca="1" si="52"/>
        <v>0</v>
      </c>
      <c r="N88" s="7">
        <f t="shared" ca="1" si="52"/>
        <v>0</v>
      </c>
      <c r="O88" s="7">
        <f t="shared" ca="1" si="52"/>
        <v>0</v>
      </c>
      <c r="P88" s="7">
        <f t="shared" ca="1" si="52"/>
        <v>0</v>
      </c>
      <c r="Q88" s="7">
        <f t="shared" ca="1" si="52"/>
        <v>0</v>
      </c>
      <c r="R88" s="7">
        <f t="shared" ca="1" si="52"/>
        <v>0</v>
      </c>
      <c r="S88" s="7">
        <f t="shared" ca="1" si="52"/>
        <v>0</v>
      </c>
      <c r="T88" s="7">
        <f t="shared" ca="1" si="52"/>
        <v>0</v>
      </c>
      <c r="U88" s="7">
        <f t="shared" ca="1" si="52"/>
        <v>0</v>
      </c>
      <c r="V88" s="7">
        <f t="shared" ca="1" si="52"/>
        <v>0</v>
      </c>
      <c r="W88" s="7">
        <f t="shared" ca="1" si="52"/>
        <v>0</v>
      </c>
      <c r="X88" s="7">
        <f t="shared" ca="1" si="52"/>
        <v>0</v>
      </c>
      <c r="Y88" s="7">
        <f t="shared" ca="1" si="52"/>
        <v>0</v>
      </c>
      <c r="Z88" s="7">
        <f t="shared" ca="1" si="52"/>
        <v>0</v>
      </c>
      <c r="AA88" s="7">
        <f t="shared" ca="1" si="52"/>
        <v>0</v>
      </c>
      <c r="AB88" s="7">
        <f t="shared" ca="1" si="52"/>
        <v>0</v>
      </c>
      <c r="AC88" s="7">
        <f t="shared" ca="1" si="52"/>
        <v>0</v>
      </c>
      <c r="AD88" s="7">
        <f t="shared" ca="1" si="52"/>
        <v>0</v>
      </c>
      <c r="AE88" s="7">
        <f t="shared" ca="1" si="52"/>
        <v>0</v>
      </c>
      <c r="AF88" s="7">
        <f t="shared" ca="1" si="52"/>
        <v>0</v>
      </c>
      <c r="AG88" s="7">
        <f t="shared" ca="1" si="52"/>
        <v>0</v>
      </c>
      <c r="AH88" s="7">
        <f t="shared" ca="1" si="52"/>
        <v>0</v>
      </c>
      <c r="AI88" s="7">
        <f t="shared" ca="1" si="52"/>
        <v>0</v>
      </c>
      <c r="AJ88" s="7">
        <f t="shared" ca="1" si="52"/>
        <v>0</v>
      </c>
      <c r="AK88" s="7">
        <f t="shared" ca="1" si="52"/>
        <v>0</v>
      </c>
      <c r="AL88" s="7">
        <f t="shared" ca="1" si="52"/>
        <v>0</v>
      </c>
      <c r="AM88" s="7">
        <f t="shared" ca="1" si="52"/>
        <v>0</v>
      </c>
    </row>
    <row r="89" spans="1:39" x14ac:dyDescent="0.2">
      <c r="A89" s="3" t="s">
        <v>25</v>
      </c>
      <c r="C89" s="7">
        <f ca="1">SUM(C86:C88)</f>
        <v>31987.064369139065</v>
      </c>
      <c r="D89" s="7">
        <f ca="1">SUM(D86:D88)</f>
        <v>34546.029518670191</v>
      </c>
      <c r="E89" s="7">
        <f t="shared" ref="E89:AM89" ca="1" si="53">SUM(E86:E88)</f>
        <v>37309.711880163806</v>
      </c>
      <c r="F89" s="7">
        <f t="shared" ca="1" si="53"/>
        <v>40294.488830576913</v>
      </c>
      <c r="G89" s="7">
        <f t="shared" ca="1" si="53"/>
        <v>43518.047937023068</v>
      </c>
      <c r="H89" s="7">
        <f t="shared" ca="1" si="53"/>
        <v>46999.491771984911</v>
      </c>
      <c r="I89" s="7">
        <f t="shared" ca="1" si="53"/>
        <v>24939.167186017567</v>
      </c>
      <c r="J89" s="7">
        <f t="shared" ca="1" si="53"/>
        <v>0</v>
      </c>
      <c r="K89" s="7">
        <f t="shared" ca="1" si="53"/>
        <v>0</v>
      </c>
      <c r="L89" s="7">
        <f t="shared" ca="1" si="53"/>
        <v>0</v>
      </c>
      <c r="M89" s="7">
        <f t="shared" ca="1" si="53"/>
        <v>0</v>
      </c>
      <c r="N89" s="7">
        <f t="shared" ca="1" si="53"/>
        <v>0</v>
      </c>
      <c r="O89" s="7">
        <f t="shared" ca="1" si="53"/>
        <v>0</v>
      </c>
      <c r="P89" s="7">
        <f t="shared" ca="1" si="53"/>
        <v>0</v>
      </c>
      <c r="Q89" s="7">
        <f t="shared" ca="1" si="53"/>
        <v>0</v>
      </c>
      <c r="R89" s="7">
        <f t="shared" ca="1" si="53"/>
        <v>0</v>
      </c>
      <c r="S89" s="7">
        <f t="shared" ca="1" si="53"/>
        <v>0</v>
      </c>
      <c r="T89" s="7">
        <f t="shared" ca="1" si="53"/>
        <v>0</v>
      </c>
      <c r="U89" s="7">
        <f t="shared" ca="1" si="53"/>
        <v>0</v>
      </c>
      <c r="V89" s="7">
        <f t="shared" ca="1" si="53"/>
        <v>0</v>
      </c>
      <c r="W89" s="7">
        <f t="shared" ca="1" si="53"/>
        <v>0</v>
      </c>
      <c r="X89" s="7">
        <f t="shared" ca="1" si="53"/>
        <v>0</v>
      </c>
      <c r="Y89" s="7">
        <f t="shared" ca="1" si="53"/>
        <v>0</v>
      </c>
      <c r="Z89" s="7">
        <f t="shared" ca="1" si="53"/>
        <v>0</v>
      </c>
      <c r="AA89" s="7">
        <f t="shared" ca="1" si="53"/>
        <v>0</v>
      </c>
      <c r="AB89" s="7">
        <f t="shared" ca="1" si="53"/>
        <v>0</v>
      </c>
      <c r="AC89" s="7">
        <f t="shared" ca="1" si="53"/>
        <v>0</v>
      </c>
      <c r="AD89" s="7">
        <f t="shared" ca="1" si="53"/>
        <v>0</v>
      </c>
      <c r="AE89" s="7">
        <f t="shared" ca="1" si="53"/>
        <v>0</v>
      </c>
      <c r="AF89" s="7">
        <f t="shared" ca="1" si="53"/>
        <v>0</v>
      </c>
      <c r="AG89" s="7">
        <f t="shared" ca="1" si="53"/>
        <v>0</v>
      </c>
      <c r="AH89" s="7">
        <f t="shared" ca="1" si="53"/>
        <v>0</v>
      </c>
      <c r="AI89" s="7">
        <f t="shared" ca="1" si="53"/>
        <v>0</v>
      </c>
      <c r="AJ89" s="7">
        <f t="shared" ca="1" si="53"/>
        <v>0</v>
      </c>
      <c r="AK89" s="7">
        <f t="shared" ca="1" si="53"/>
        <v>0</v>
      </c>
      <c r="AL89" s="7">
        <f t="shared" ca="1" si="53"/>
        <v>0</v>
      </c>
      <c r="AM89" s="7">
        <f t="shared" ca="1" si="53"/>
        <v>0</v>
      </c>
    </row>
    <row r="90" spans="1:39" x14ac:dyDescent="0.2">
      <c r="A90" s="3" t="s">
        <v>26</v>
      </c>
      <c r="C90" s="7">
        <f ca="1">C87*Inputs!$B$193</f>
        <v>0</v>
      </c>
      <c r="D90" s="7">
        <f ca="1">D87*Inputs!$B$193</f>
        <v>0</v>
      </c>
      <c r="E90" s="7">
        <f ca="1">E87*Inputs!$B$193</f>
        <v>0</v>
      </c>
      <c r="F90" s="7">
        <f ca="1">F87*Inputs!$B$193</f>
        <v>0</v>
      </c>
      <c r="G90" s="7">
        <f ca="1">G87*Inputs!$B$193</f>
        <v>0</v>
      </c>
      <c r="H90" s="7">
        <f ca="1">H87*Inputs!$B$193</f>
        <v>0</v>
      </c>
      <c r="I90" s="7">
        <f ca="1">I87*Inputs!$B$193</f>
        <v>-1195.3835151725063</v>
      </c>
      <c r="J90" s="7">
        <f ca="1">J87*Inputs!$B$193</f>
        <v>-1246.9583593008783</v>
      </c>
      <c r="K90" s="7">
        <f ca="1">K87*Inputs!$B$193</f>
        <v>0</v>
      </c>
      <c r="L90" s="7">
        <f ca="1">L87*Inputs!$B$193</f>
        <v>0</v>
      </c>
      <c r="M90" s="7">
        <f ca="1">M87*Inputs!$B$193</f>
        <v>0</v>
      </c>
      <c r="N90" s="7">
        <f ca="1">N87*Inputs!$B$193</f>
        <v>0</v>
      </c>
      <c r="O90" s="7">
        <f ca="1">O87*Inputs!$B$193</f>
        <v>0</v>
      </c>
      <c r="P90" s="7">
        <f ca="1">P87*Inputs!$B$193</f>
        <v>0</v>
      </c>
      <c r="Q90" s="7">
        <f ca="1">Q87*Inputs!$B$193</f>
        <v>0</v>
      </c>
      <c r="R90" s="7">
        <f ca="1">R87*Inputs!$B$193</f>
        <v>0</v>
      </c>
      <c r="S90" s="7">
        <f ca="1">S87*Inputs!$B$193</f>
        <v>0</v>
      </c>
      <c r="T90" s="7">
        <f ca="1">T87*Inputs!$B$193</f>
        <v>0</v>
      </c>
      <c r="U90" s="7">
        <f ca="1">U87*Inputs!$B$193</f>
        <v>0</v>
      </c>
      <c r="V90" s="7">
        <f ca="1">V87*Inputs!$B$193</f>
        <v>0</v>
      </c>
      <c r="W90" s="7">
        <f ca="1">W87*Inputs!$B$193</f>
        <v>0</v>
      </c>
      <c r="X90" s="7">
        <f ca="1">X87*Inputs!$B$193</f>
        <v>0</v>
      </c>
      <c r="Y90" s="7">
        <f ca="1">Y87*Inputs!$B$193</f>
        <v>0</v>
      </c>
      <c r="Z90" s="7">
        <f ca="1">Z87*Inputs!$B$193</f>
        <v>0</v>
      </c>
      <c r="AA90" s="7">
        <f ca="1">AA87*Inputs!$B$193</f>
        <v>0</v>
      </c>
      <c r="AB90" s="7">
        <f ca="1">AB87*Inputs!$B$193</f>
        <v>0</v>
      </c>
      <c r="AC90" s="7">
        <f ca="1">AC87*Inputs!$B$193</f>
        <v>0</v>
      </c>
      <c r="AD90" s="7">
        <f ca="1">AD87*Inputs!$B$193</f>
        <v>0</v>
      </c>
      <c r="AE90" s="7">
        <f ca="1">AE87*Inputs!$B$193</f>
        <v>0</v>
      </c>
      <c r="AF90" s="7">
        <f ca="1">AF87*Inputs!$B$193</f>
        <v>0</v>
      </c>
      <c r="AG90" s="7">
        <f ca="1">AG87*Inputs!$B$193</f>
        <v>0</v>
      </c>
      <c r="AH90" s="7">
        <f ca="1">AH87*Inputs!$B$193</f>
        <v>0</v>
      </c>
      <c r="AI90" s="7">
        <f ca="1">AI87*Inputs!$B$193</f>
        <v>0</v>
      </c>
      <c r="AJ90" s="7">
        <f ca="1">AJ87*Inputs!$B$193</f>
        <v>0</v>
      </c>
      <c r="AK90" s="7">
        <f ca="1">AK87*Inputs!$B$193</f>
        <v>0</v>
      </c>
      <c r="AL90" s="7">
        <f ca="1">AL87*Inputs!$B$193</f>
        <v>0</v>
      </c>
      <c r="AM90" s="7">
        <f ca="1">AM87*Inputs!$B$193</f>
        <v>0</v>
      </c>
    </row>
    <row r="91" spans="1:39" x14ac:dyDescent="0.2">
      <c r="A91" s="3" t="s">
        <v>37</v>
      </c>
      <c r="C91" s="7">
        <f ca="1">-C87+C90</f>
        <v>0</v>
      </c>
      <c r="D91" s="7">
        <f t="shared" ref="D91:AM91" ca="1" si="54">-D87+D90</f>
        <v>0</v>
      </c>
      <c r="E91" s="7">
        <f t="shared" ca="1" si="54"/>
        <v>0</v>
      </c>
      <c r="F91" s="7">
        <f t="shared" ca="1" si="54"/>
        <v>0</v>
      </c>
      <c r="G91" s="7">
        <f t="shared" ca="1" si="54"/>
        <v>0</v>
      </c>
      <c r="H91" s="7">
        <f t="shared" ca="1" si="54"/>
        <v>0</v>
      </c>
      <c r="I91" s="7">
        <f t="shared" ca="1" si="54"/>
        <v>22712.286788277619</v>
      </c>
      <c r="J91" s="7">
        <f t="shared" ca="1" si="54"/>
        <v>23692.208826716687</v>
      </c>
      <c r="K91" s="7">
        <f t="shared" ca="1" si="54"/>
        <v>0</v>
      </c>
      <c r="L91" s="7">
        <f t="shared" ca="1" si="54"/>
        <v>0</v>
      </c>
      <c r="M91" s="7">
        <f t="shared" ca="1" si="54"/>
        <v>0</v>
      </c>
      <c r="N91" s="7">
        <f t="shared" ca="1" si="54"/>
        <v>0</v>
      </c>
      <c r="O91" s="7">
        <f t="shared" ca="1" si="54"/>
        <v>0</v>
      </c>
      <c r="P91" s="7">
        <f t="shared" ca="1" si="54"/>
        <v>0</v>
      </c>
      <c r="Q91" s="7">
        <f t="shared" ca="1" si="54"/>
        <v>0</v>
      </c>
      <c r="R91" s="7">
        <f t="shared" ca="1" si="54"/>
        <v>0</v>
      </c>
      <c r="S91" s="7">
        <f t="shared" ca="1" si="54"/>
        <v>0</v>
      </c>
      <c r="T91" s="7">
        <f t="shared" ca="1" si="54"/>
        <v>0</v>
      </c>
      <c r="U91" s="7">
        <f t="shared" ca="1" si="54"/>
        <v>0</v>
      </c>
      <c r="V91" s="7">
        <f t="shared" ca="1" si="54"/>
        <v>0</v>
      </c>
      <c r="W91" s="7">
        <f t="shared" ca="1" si="54"/>
        <v>0</v>
      </c>
      <c r="X91" s="7">
        <f t="shared" ca="1" si="54"/>
        <v>0</v>
      </c>
      <c r="Y91" s="7">
        <f t="shared" ca="1" si="54"/>
        <v>0</v>
      </c>
      <c r="Z91" s="7">
        <f t="shared" ca="1" si="54"/>
        <v>0</v>
      </c>
      <c r="AA91" s="7">
        <f t="shared" ca="1" si="54"/>
        <v>0</v>
      </c>
      <c r="AB91" s="7">
        <f t="shared" ca="1" si="54"/>
        <v>0</v>
      </c>
      <c r="AC91" s="7">
        <f t="shared" ca="1" si="54"/>
        <v>0</v>
      </c>
      <c r="AD91" s="7">
        <f t="shared" ca="1" si="54"/>
        <v>0</v>
      </c>
      <c r="AE91" s="7">
        <f t="shared" ca="1" si="54"/>
        <v>0</v>
      </c>
      <c r="AF91" s="7">
        <f t="shared" ca="1" si="54"/>
        <v>0</v>
      </c>
      <c r="AG91" s="7">
        <f t="shared" ca="1" si="54"/>
        <v>0</v>
      </c>
      <c r="AH91" s="7">
        <f t="shared" ca="1" si="54"/>
        <v>0</v>
      </c>
      <c r="AI91" s="7">
        <f t="shared" ca="1" si="54"/>
        <v>0</v>
      </c>
      <c r="AJ91" s="7">
        <f t="shared" ca="1" si="54"/>
        <v>0</v>
      </c>
      <c r="AK91" s="7">
        <f t="shared" ca="1" si="54"/>
        <v>0</v>
      </c>
      <c r="AL91" s="7">
        <f t="shared" ca="1" si="54"/>
        <v>0</v>
      </c>
      <c r="AM91" s="7">
        <f t="shared" ca="1" si="54"/>
        <v>0</v>
      </c>
    </row>
    <row r="92" spans="1:39" x14ac:dyDescent="0.2">
      <c r="A92" s="4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  <c r="AB92" s="7"/>
      <c r="AC92" s="7"/>
      <c r="AD92" s="7"/>
      <c r="AE92" s="7"/>
      <c r="AF92" s="7"/>
      <c r="AG92" s="7"/>
      <c r="AH92" s="7"/>
      <c r="AI92" s="7"/>
      <c r="AJ92" s="7"/>
      <c r="AK92" s="7"/>
      <c r="AL92" s="7"/>
      <c r="AM92" s="7"/>
    </row>
    <row r="93" spans="1:39" x14ac:dyDescent="0.2">
      <c r="A93" s="3" t="s">
        <v>77</v>
      </c>
      <c r="C93" s="7">
        <f ca="1">C80+SUM($C91:C91)</f>
        <v>33136.875000000015</v>
      </c>
      <c r="D93" s="7">
        <f ca="1">D80+SUM($C91:D91)</f>
        <v>57140.903125000026</v>
      </c>
      <c r="E93" s="7">
        <f ca="1">E80+SUM($C91:E91)</f>
        <v>87759.433828125038</v>
      </c>
      <c r="F93" s="7">
        <f ca="1">F80+SUM($C91:F91)</f>
        <v>99100.176411377644</v>
      </c>
      <c r="G93" s="7">
        <f ca="1">G80+SUM($C91:G91)</f>
        <v>50982.686515080073</v>
      </c>
      <c r="H93" s="7">
        <f ca="1">H80+SUM($C91:H91)</f>
        <v>4731.4866545593541</v>
      </c>
      <c r="I93" s="7">
        <f ca="1">I80+SUM($C91:I91)</f>
        <v>0</v>
      </c>
      <c r="J93" s="7">
        <f ca="1">J80+SUM($C91:J91)</f>
        <v>-10097.981576056416</v>
      </c>
      <c r="K93" s="7">
        <f ca="1">K80+SUM($C91:K91)</f>
        <v>-61653.2773755339</v>
      </c>
      <c r="L93" s="7">
        <f ca="1">L80+SUM($C91:L91)</f>
        <v>-31129.080273341024</v>
      </c>
      <c r="M93" s="7">
        <f ca="1">M80+SUM($C91:M91)</f>
        <v>-94739.242955243521</v>
      </c>
      <c r="N93" s="7">
        <f ca="1">N80+SUM($C91:N91)</f>
        <v>-109847.98116715053</v>
      </c>
      <c r="O93" s="7">
        <f ca="1">O80+SUM($C91:O91)</f>
        <v>-125095.08072754244</v>
      </c>
      <c r="P93" s="7">
        <f ca="1">P80+SUM($C91:P91)</f>
        <v>-140476.81995692698</v>
      </c>
      <c r="Q93" s="7">
        <f ca="1">Q80+SUM($C91:Q91)</f>
        <v>-155989.16871242848</v>
      </c>
      <c r="R93" s="7">
        <f ca="1">R80+SUM($C91:R91)</f>
        <v>-171627.77421356132</v>
      </c>
      <c r="S93" s="7">
        <f ca="1">S80+SUM($C91:S91)</f>
        <v>-187387.94631976855</v>
      </c>
      <c r="T93" s="7">
        <f ca="1">T80+SUM($C91:T91)</f>
        <v>-184853.06127996085</v>
      </c>
      <c r="U93" s="7">
        <f ca="1">U80+SUM($C91:U91)</f>
        <v>-174170.70562254515</v>
      </c>
      <c r="V93" s="7">
        <f ca="1">V80+SUM($C91:V91)</f>
        <v>-162926.91202352132</v>
      </c>
      <c r="W93" s="7">
        <f ca="1">W80+SUM($C91:W91)</f>
        <v>-151098.81316284393</v>
      </c>
      <c r="X93" s="7">
        <f ca="1">X80+SUM($C91:X91)</f>
        <v>-138662.70509632136</v>
      </c>
      <c r="Y93" s="7">
        <f ca="1">Y80+SUM($C91:Y91)</f>
        <v>-146252.87516273878</v>
      </c>
      <c r="Z93" s="7">
        <f ca="1">Z80+SUM($C91:Z91)</f>
        <v>-153701.4732663678</v>
      </c>
      <c r="AA93" s="7">
        <f ca="1">AA80+SUM($C91:AA91)</f>
        <v>-160995.0203217052</v>
      </c>
      <c r="AB93" s="7">
        <f ca="1">AB80+SUM($C91:AB91)</f>
        <v>-168119.40207251726</v>
      </c>
      <c r="AC93" s="7">
        <f ca="1">AC80+SUM($C91:AC91)</f>
        <v>-175059.8442667636</v>
      </c>
      <c r="AD93" s="7">
        <f ca="1">AD80+SUM($C91:AD91)</f>
        <v>-181800.88694251992</v>
      </c>
      <c r="AE93" s="7">
        <f ca="1">AE80+SUM($C91:AE91)</f>
        <v>-178343.88270083762</v>
      </c>
      <c r="AF93" s="7">
        <f ca="1">AF80+SUM($C91:AF91)</f>
        <v>-174404.83252585039</v>
      </c>
      <c r="AG93" s="7">
        <f ca="1">AG80+SUM($C91:AG91)</f>
        <v>-169959.81664440769</v>
      </c>
      <c r="AH93" s="7">
        <f ca="1">AH80+SUM($C91:AH91)</f>
        <v>-164983.9612302857</v>
      </c>
      <c r="AI93" s="7">
        <f ca="1">AI80+SUM($C91:AI91)</f>
        <v>-159451.40387109813</v>
      </c>
      <c r="AJ93" s="7">
        <f ca="1">AJ80+SUM($C91:AJ91)</f>
        <v>-153335.25785142701</v>
      </c>
      <c r="AK93" s="7">
        <f ca="1">AK80+SUM($C91:AK91)</f>
        <v>-146607.57521296508</v>
      </c>
      <c r="AL93" s="7">
        <f ca="1">AL80+SUM($C91:AL91)</f>
        <v>-139239.30855119362</v>
      </c>
      <c r="AM93" s="7">
        <f ca="1">AM80+SUM($C91:AM91)</f>
        <v>-131200.27150680945</v>
      </c>
    </row>
    <row r="94" spans="1:39" x14ac:dyDescent="0.2">
      <c r="A94" s="3" t="s">
        <v>20</v>
      </c>
      <c r="C94" s="7">
        <f ca="1">IF(C93&lt;0,-C93,0)</f>
        <v>0</v>
      </c>
      <c r="D94" s="7">
        <f ca="1">IF(D93+SUM($C94:C94)&lt;0,-(D93+SUM($C94:C94)),0)</f>
        <v>0</v>
      </c>
      <c r="E94" s="7">
        <f ca="1">IF(E93+SUM($C94:D94)&lt;0,-(E93+SUM($C94:D94)),0)</f>
        <v>0</v>
      </c>
      <c r="F94" s="7">
        <f ca="1">IF(F93+SUM($C94:E94)&lt;0,-(F93+SUM($C94:E94)),0)</f>
        <v>0</v>
      </c>
      <c r="G94" s="7">
        <f ca="1">IF(G93+SUM($C94:F94)&lt;0,-(G93+SUM($C94:F94)),0)</f>
        <v>0</v>
      </c>
      <c r="H94" s="7">
        <f ca="1">IF(H93+SUM($C94:G94)&lt;0,-(H93+SUM($C94:G94)),0)</f>
        <v>0</v>
      </c>
      <c r="I94" s="7">
        <f ca="1">IF(I93+SUM($C94:H94)&lt;0,-(I93+SUM($C94:H94)),0)</f>
        <v>0</v>
      </c>
      <c r="J94" s="7">
        <f ca="1">IF(J93+SUM($C94:I94)&lt;0,-(J93+SUM($C94:I94)),0)</f>
        <v>10097.981576056416</v>
      </c>
      <c r="K94" s="7">
        <f ca="1">IF(K93+SUM($C94:J94)&lt;0,-(K93+SUM($C94:J94)),0)</f>
        <v>51555.295799477484</v>
      </c>
      <c r="L94" s="7">
        <f ca="1">IF(L93+SUM($C94:K94)&lt;0,-(L93+SUM($C94:K94)),0)</f>
        <v>0</v>
      </c>
      <c r="M94" s="7">
        <f ca="1">IF(M93+SUM($C94:L94)&lt;0,-(M93+SUM($C94:L94)),0)</f>
        <v>33085.96557970962</v>
      </c>
      <c r="N94" s="7">
        <f ca="1">IF(N93+SUM($C94:M94)&lt;0,-(N93+SUM($C94:M94)),0)</f>
        <v>15108.73821190701</v>
      </c>
      <c r="O94" s="7">
        <f ca="1">IF(O93+SUM($C94:N94)&lt;0,-(O93+SUM($C94:N94)),0)</f>
        <v>15247.099560391915</v>
      </c>
      <c r="P94" s="7">
        <f ca="1">IF(P93+SUM($C94:O94)&lt;0,-(P93+SUM($C94:O94)),0)</f>
        <v>15381.739229384533</v>
      </c>
      <c r="Q94" s="7">
        <f ca="1">IF(Q93+SUM($C94:P94)&lt;0,-(Q93+SUM($C94:P94)),0)</f>
        <v>15512.348755501502</v>
      </c>
      <c r="R94" s="7">
        <f ca="1">IF(R93+SUM($C94:Q94)&lt;0,-(R93+SUM($C94:Q94)),0)</f>
        <v>15638.605501132843</v>
      </c>
      <c r="S94" s="7">
        <f ca="1">IF(S93+SUM($C94:R94)&lt;0,-(S93+SUM($C94:R94)),0)</f>
        <v>15760.172106207232</v>
      </c>
      <c r="T94" s="7">
        <f ca="1">IF(T93+SUM($C94:S94)&lt;0,-(T93+SUM($C94:S94)),0)</f>
        <v>0</v>
      </c>
      <c r="U94" s="7">
        <f ca="1">IF(U93+SUM($C94:T94)&lt;0,-(U93+SUM($C94:T94)),0)</f>
        <v>0</v>
      </c>
      <c r="V94" s="7">
        <f ca="1">IF(V93+SUM($C94:U94)&lt;0,-(V93+SUM($C94:U94)),0)</f>
        <v>0</v>
      </c>
      <c r="W94" s="7">
        <f ca="1">IF(W93+SUM($C94:V94)&lt;0,-(W93+SUM($C94:V94)),0)</f>
        <v>0</v>
      </c>
      <c r="X94" s="7">
        <f ca="1">IF(X93+SUM($C94:W94)&lt;0,-(X93+SUM($C94:W94)),0)</f>
        <v>0</v>
      </c>
      <c r="Y94" s="7">
        <f ca="1">IF(Y93+SUM($C94:X94)&lt;0,-(Y93+SUM($C94:X94)),0)</f>
        <v>0</v>
      </c>
      <c r="Z94" s="7">
        <f ca="1">IF(Z93+SUM($C94:Y94)&lt;0,-(Z93+SUM($C94:Y94)),0)</f>
        <v>0</v>
      </c>
      <c r="AA94" s="7">
        <f ca="1">IF(AA93+SUM($C94:Z94)&lt;0,-(AA93+SUM($C94:Z94)),0)</f>
        <v>0</v>
      </c>
      <c r="AB94" s="7">
        <f ca="1">IF(AB93+SUM($C94:AA94)&lt;0,-(AB93+SUM($C94:AA94)),0)</f>
        <v>0</v>
      </c>
      <c r="AC94" s="7">
        <f ca="1">IF(AC93+SUM($C94:AB94)&lt;0,-(AC93+SUM($C94:AB94)),0)</f>
        <v>0</v>
      </c>
      <c r="AD94" s="7">
        <f ca="1">IF(AD93+SUM($C94:AC94)&lt;0,-(AD93+SUM($C94:AC94)),0)</f>
        <v>0</v>
      </c>
      <c r="AE94" s="7">
        <f ca="1">IF(AE93+SUM($C94:AD94)&lt;0,-(AE93+SUM($C94:AD94)),0)</f>
        <v>0</v>
      </c>
      <c r="AF94" s="7">
        <f ca="1">IF(AF93+SUM($C94:AE94)&lt;0,-(AF93+SUM($C94:AE94)),0)</f>
        <v>0</v>
      </c>
      <c r="AG94" s="7">
        <f ca="1">IF(AG93+SUM($C94:AF94)&lt;0,-(AG93+SUM($C94:AF94)),0)</f>
        <v>0</v>
      </c>
      <c r="AH94" s="7">
        <f ca="1">IF(AH93+SUM($C94:AG94)&lt;0,-(AH93+SUM($C94:AG94)),0)</f>
        <v>0</v>
      </c>
      <c r="AI94" s="7">
        <f ca="1">IF(AI93+SUM($C94:AH94)&lt;0,-(AI93+SUM($C94:AH94)),0)</f>
        <v>0</v>
      </c>
      <c r="AJ94" s="7">
        <f ca="1">IF(AJ93+SUM($C94:AI94)&lt;0,-(AJ93+SUM($C94:AI94)),0)</f>
        <v>0</v>
      </c>
      <c r="AK94" s="7">
        <f ca="1">IF(AK93+SUM($C94:AJ94)&lt;0,-(AK93+SUM($C94:AJ94)),0)</f>
        <v>0</v>
      </c>
      <c r="AL94" s="7">
        <f ca="1">IF(AL93+SUM($C94:AK94)&lt;0,-(AL93+SUM($C94:AK94)),0)</f>
        <v>0</v>
      </c>
      <c r="AM94" s="7">
        <f ca="1">IF(AM93+SUM($C94:AL94)&lt;0,-(AM93+SUM($C94:AL94)),0)</f>
        <v>0</v>
      </c>
    </row>
    <row r="95" spans="1:39" x14ac:dyDescent="0.2">
      <c r="A95" s="3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  <c r="AB95" s="7"/>
      <c r="AC95" s="7"/>
      <c r="AD95" s="7"/>
      <c r="AE95" s="7"/>
      <c r="AF95" s="7"/>
      <c r="AG95" s="7"/>
      <c r="AH95" s="7"/>
      <c r="AI95" s="7"/>
      <c r="AJ95" s="7"/>
      <c r="AK95" s="7"/>
      <c r="AL95" s="7"/>
      <c r="AM95" s="7"/>
    </row>
    <row r="96" spans="1:39" x14ac:dyDescent="0.2">
      <c r="A96" s="24" t="str">
        <f>IF(Inputs!$B$197=6,IFERROR(_xlfn.XLOOKUP($B96,Inputs!$B$198:$B$202,Inputs!$A$198:$A$202,,0,1),""),IFERROR(_xlfn.XLOOKUP($B96,Inputs!$C$198:$C$202,Inputs!$A$198:$A$202,,0,1),""))</f>
        <v>Gudja</v>
      </c>
      <c r="B96" s="26">
        <v>1</v>
      </c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  <c r="AB96" s="7"/>
      <c r="AC96" s="7"/>
      <c r="AD96" s="7"/>
      <c r="AE96" s="7"/>
      <c r="AF96" s="7"/>
      <c r="AG96" s="7"/>
      <c r="AH96" s="7"/>
      <c r="AI96" s="7"/>
      <c r="AJ96" s="7"/>
      <c r="AK96" s="7"/>
      <c r="AL96" s="7"/>
      <c r="AM96" s="7"/>
    </row>
    <row r="97" spans="1:39" x14ac:dyDescent="0.2">
      <c r="A97" s="3" t="s">
        <v>22</v>
      </c>
      <c r="C97" s="7">
        <f ca="1">IFERROR(VLOOKUP($A96,$A$60:$H$78,C$1+2,FALSE),0)</f>
        <v>81995.057403059982</v>
      </c>
      <c r="D97" s="7">
        <f ca="1">C100</f>
        <v>81995.057403059982</v>
      </c>
      <c r="E97" s="7">
        <f t="shared" ref="E97:AM97" ca="1" si="55">D100</f>
        <v>84454.909125151782</v>
      </c>
      <c r="F97" s="7">
        <f t="shared" ca="1" si="55"/>
        <v>86988.556398906338</v>
      </c>
      <c r="G97" s="7">
        <f t="shared" ca="1" si="55"/>
        <v>89598.213090873527</v>
      </c>
      <c r="H97" s="7">
        <f t="shared" ca="1" si="55"/>
        <v>92286.159483599738</v>
      </c>
      <c r="I97" s="7">
        <f t="shared" ca="1" si="55"/>
        <v>95054.744268107737</v>
      </c>
      <c r="J97" s="7">
        <f t="shared" ca="1" si="55"/>
        <v>0</v>
      </c>
      <c r="K97" s="7">
        <f t="shared" ca="1" si="55"/>
        <v>0</v>
      </c>
      <c r="L97" s="7">
        <f t="shared" ca="1" si="55"/>
        <v>0</v>
      </c>
      <c r="M97" s="7">
        <f t="shared" ca="1" si="55"/>
        <v>0</v>
      </c>
      <c r="N97" s="7">
        <f t="shared" ca="1" si="55"/>
        <v>0</v>
      </c>
      <c r="O97" s="7">
        <f t="shared" ca="1" si="55"/>
        <v>0</v>
      </c>
      <c r="P97" s="7">
        <f t="shared" ca="1" si="55"/>
        <v>0</v>
      </c>
      <c r="Q97" s="7">
        <f t="shared" ca="1" si="55"/>
        <v>0</v>
      </c>
      <c r="R97" s="7">
        <f t="shared" ca="1" si="55"/>
        <v>0</v>
      </c>
      <c r="S97" s="7">
        <f t="shared" ca="1" si="55"/>
        <v>0</v>
      </c>
      <c r="T97" s="7">
        <f t="shared" ca="1" si="55"/>
        <v>0</v>
      </c>
      <c r="U97" s="7">
        <f t="shared" ca="1" si="55"/>
        <v>0</v>
      </c>
      <c r="V97" s="7">
        <f t="shared" ca="1" si="55"/>
        <v>0</v>
      </c>
      <c r="W97" s="7">
        <f t="shared" ca="1" si="55"/>
        <v>0</v>
      </c>
      <c r="X97" s="7">
        <f t="shared" ca="1" si="55"/>
        <v>0</v>
      </c>
      <c r="Y97" s="7">
        <f t="shared" ca="1" si="55"/>
        <v>0</v>
      </c>
      <c r="Z97" s="7">
        <f t="shared" ca="1" si="55"/>
        <v>0</v>
      </c>
      <c r="AA97" s="7">
        <f t="shared" ca="1" si="55"/>
        <v>0</v>
      </c>
      <c r="AB97" s="7">
        <f t="shared" ca="1" si="55"/>
        <v>0</v>
      </c>
      <c r="AC97" s="7">
        <f t="shared" ca="1" si="55"/>
        <v>0</v>
      </c>
      <c r="AD97" s="7">
        <f t="shared" ca="1" si="55"/>
        <v>0</v>
      </c>
      <c r="AE97" s="7">
        <f t="shared" ca="1" si="55"/>
        <v>0</v>
      </c>
      <c r="AF97" s="7">
        <f t="shared" ca="1" si="55"/>
        <v>0</v>
      </c>
      <c r="AG97" s="7">
        <f t="shared" ca="1" si="55"/>
        <v>0</v>
      </c>
      <c r="AH97" s="7">
        <f t="shared" ca="1" si="55"/>
        <v>0</v>
      </c>
      <c r="AI97" s="7">
        <f t="shared" ca="1" si="55"/>
        <v>0</v>
      </c>
      <c r="AJ97" s="7">
        <f t="shared" ca="1" si="55"/>
        <v>0</v>
      </c>
      <c r="AK97" s="7">
        <f t="shared" ca="1" si="55"/>
        <v>0</v>
      </c>
      <c r="AL97" s="7">
        <f t="shared" ca="1" si="55"/>
        <v>0</v>
      </c>
      <c r="AM97" s="7">
        <f t="shared" ca="1" si="55"/>
        <v>0</v>
      </c>
    </row>
    <row r="98" spans="1:39" x14ac:dyDescent="0.2">
      <c r="A98" s="3" t="s">
        <v>23</v>
      </c>
      <c r="C98" s="7">
        <f ca="1">-IF(SUM(C94:D94)&gt;0,C97,0)</f>
        <v>0</v>
      </c>
      <c r="D98" s="7">
        <f ca="1">-IF(E94&gt;0,D97,0)</f>
        <v>0</v>
      </c>
      <c r="E98" s="7">
        <f ca="1">-IF(F94&gt;0,E97,0)</f>
        <v>0</v>
      </c>
      <c r="F98" s="7">
        <f ca="1">-IF(G94&gt;0,F97,0)</f>
        <v>0</v>
      </c>
      <c r="G98" s="7">
        <f t="shared" ref="G98:AM98" ca="1" si="56">-IF(H94&gt;0,G97,0)</f>
        <v>0</v>
      </c>
      <c r="H98" s="7">
        <f t="shared" ca="1" si="56"/>
        <v>0</v>
      </c>
      <c r="I98" s="7">
        <f t="shared" ca="1" si="56"/>
        <v>-95054.744268107737</v>
      </c>
      <c r="J98" s="7">
        <f t="shared" ca="1" si="56"/>
        <v>0</v>
      </c>
      <c r="K98" s="7">
        <f t="shared" ca="1" si="56"/>
        <v>0</v>
      </c>
      <c r="L98" s="7">
        <f t="shared" ca="1" si="56"/>
        <v>0</v>
      </c>
      <c r="M98" s="7">
        <f t="shared" ca="1" si="56"/>
        <v>0</v>
      </c>
      <c r="N98" s="7">
        <f t="shared" ca="1" si="56"/>
        <v>0</v>
      </c>
      <c r="O98" s="7">
        <f t="shared" ca="1" si="56"/>
        <v>0</v>
      </c>
      <c r="P98" s="7">
        <f t="shared" ca="1" si="56"/>
        <v>0</v>
      </c>
      <c r="Q98" s="7">
        <f t="shared" ca="1" si="56"/>
        <v>0</v>
      </c>
      <c r="R98" s="7">
        <f t="shared" ca="1" si="56"/>
        <v>0</v>
      </c>
      <c r="S98" s="7">
        <f t="shared" ca="1" si="56"/>
        <v>0</v>
      </c>
      <c r="T98" s="7">
        <f t="shared" ca="1" si="56"/>
        <v>0</v>
      </c>
      <c r="U98" s="7">
        <f t="shared" ca="1" si="56"/>
        <v>0</v>
      </c>
      <c r="V98" s="7">
        <f t="shared" ca="1" si="56"/>
        <v>0</v>
      </c>
      <c r="W98" s="7">
        <f t="shared" ca="1" si="56"/>
        <v>0</v>
      </c>
      <c r="X98" s="7">
        <f t="shared" ca="1" si="56"/>
        <v>0</v>
      </c>
      <c r="Y98" s="7">
        <f t="shared" ca="1" si="56"/>
        <v>0</v>
      </c>
      <c r="Z98" s="7">
        <f t="shared" ca="1" si="56"/>
        <v>0</v>
      </c>
      <c r="AA98" s="7">
        <f t="shared" ca="1" si="56"/>
        <v>0</v>
      </c>
      <c r="AB98" s="7">
        <f t="shared" ca="1" si="56"/>
        <v>0</v>
      </c>
      <c r="AC98" s="7">
        <f t="shared" ca="1" si="56"/>
        <v>0</v>
      </c>
      <c r="AD98" s="7">
        <f t="shared" ca="1" si="56"/>
        <v>0</v>
      </c>
      <c r="AE98" s="7">
        <f t="shared" ca="1" si="56"/>
        <v>0</v>
      </c>
      <c r="AF98" s="7">
        <f t="shared" ca="1" si="56"/>
        <v>0</v>
      </c>
      <c r="AG98" s="7">
        <f t="shared" ca="1" si="56"/>
        <v>0</v>
      </c>
      <c r="AH98" s="7">
        <f t="shared" ca="1" si="56"/>
        <v>0</v>
      </c>
      <c r="AI98" s="7">
        <f t="shared" ca="1" si="56"/>
        <v>0</v>
      </c>
      <c r="AJ98" s="7">
        <f t="shared" ca="1" si="56"/>
        <v>0</v>
      </c>
      <c r="AK98" s="7">
        <f t="shared" ca="1" si="56"/>
        <v>0</v>
      </c>
      <c r="AL98" s="7">
        <f t="shared" ca="1" si="56"/>
        <v>0</v>
      </c>
      <c r="AM98" s="7">
        <f t="shared" si="56"/>
        <v>0</v>
      </c>
    </row>
    <row r="99" spans="1:39" x14ac:dyDescent="0.2">
      <c r="A99" s="3" t="s">
        <v>24</v>
      </c>
      <c r="C99" s="7">
        <v>0</v>
      </c>
      <c r="D99" s="7">
        <f t="shared" ref="D99:G99" ca="1" si="57">SUM(D97:D98)*princ</f>
        <v>2459.8517220917993</v>
      </c>
      <c r="E99" s="7">
        <f t="shared" ca="1" si="57"/>
        <v>2533.6472737545532</v>
      </c>
      <c r="F99" s="7">
        <f t="shared" ca="1" si="57"/>
        <v>2609.65669196719</v>
      </c>
      <c r="G99" s="7">
        <f t="shared" ca="1" si="57"/>
        <v>2687.9463927262059</v>
      </c>
      <c r="H99" s="7">
        <f t="shared" ref="H99:I99" ca="1" si="58">SUM(H97:H98)*princ</f>
        <v>2768.584784507992</v>
      </c>
      <c r="I99" s="7">
        <f t="shared" ca="1" si="58"/>
        <v>0</v>
      </c>
      <c r="J99" s="7">
        <f t="shared" ref="J99:AM99" ca="1" si="59">SUM(J97:J98)*princ</f>
        <v>0</v>
      </c>
      <c r="K99" s="7">
        <f t="shared" ca="1" si="59"/>
        <v>0</v>
      </c>
      <c r="L99" s="7">
        <f t="shared" ca="1" si="59"/>
        <v>0</v>
      </c>
      <c r="M99" s="7">
        <f t="shared" ca="1" si="59"/>
        <v>0</v>
      </c>
      <c r="N99" s="7">
        <f t="shared" ca="1" si="59"/>
        <v>0</v>
      </c>
      <c r="O99" s="7">
        <f t="shared" ca="1" si="59"/>
        <v>0</v>
      </c>
      <c r="P99" s="7">
        <f t="shared" ca="1" si="59"/>
        <v>0</v>
      </c>
      <c r="Q99" s="7">
        <f t="shared" ca="1" si="59"/>
        <v>0</v>
      </c>
      <c r="R99" s="7">
        <f t="shared" ca="1" si="59"/>
        <v>0</v>
      </c>
      <c r="S99" s="7">
        <f t="shared" ca="1" si="59"/>
        <v>0</v>
      </c>
      <c r="T99" s="7">
        <f t="shared" ca="1" si="59"/>
        <v>0</v>
      </c>
      <c r="U99" s="7">
        <f t="shared" ca="1" si="59"/>
        <v>0</v>
      </c>
      <c r="V99" s="7">
        <f t="shared" ca="1" si="59"/>
        <v>0</v>
      </c>
      <c r="W99" s="7">
        <f t="shared" ca="1" si="59"/>
        <v>0</v>
      </c>
      <c r="X99" s="7">
        <f t="shared" ca="1" si="59"/>
        <v>0</v>
      </c>
      <c r="Y99" s="7">
        <f t="shared" ca="1" si="59"/>
        <v>0</v>
      </c>
      <c r="Z99" s="7">
        <f t="shared" ca="1" si="59"/>
        <v>0</v>
      </c>
      <c r="AA99" s="7">
        <f t="shared" ca="1" si="59"/>
        <v>0</v>
      </c>
      <c r="AB99" s="7">
        <f t="shared" ca="1" si="59"/>
        <v>0</v>
      </c>
      <c r="AC99" s="7">
        <f t="shared" ca="1" si="59"/>
        <v>0</v>
      </c>
      <c r="AD99" s="7">
        <f t="shared" ca="1" si="59"/>
        <v>0</v>
      </c>
      <c r="AE99" s="7">
        <f t="shared" ca="1" si="59"/>
        <v>0</v>
      </c>
      <c r="AF99" s="7">
        <f t="shared" ca="1" si="59"/>
        <v>0</v>
      </c>
      <c r="AG99" s="7">
        <f t="shared" ca="1" si="59"/>
        <v>0</v>
      </c>
      <c r="AH99" s="7">
        <f t="shared" ca="1" si="59"/>
        <v>0</v>
      </c>
      <c r="AI99" s="7">
        <f t="shared" ca="1" si="59"/>
        <v>0</v>
      </c>
      <c r="AJ99" s="7">
        <f t="shared" ca="1" si="59"/>
        <v>0</v>
      </c>
      <c r="AK99" s="7">
        <f t="shared" ca="1" si="59"/>
        <v>0</v>
      </c>
      <c r="AL99" s="7">
        <f t="shared" ca="1" si="59"/>
        <v>0</v>
      </c>
      <c r="AM99" s="7">
        <f t="shared" ca="1" si="59"/>
        <v>0</v>
      </c>
    </row>
    <row r="100" spans="1:39" x14ac:dyDescent="0.2">
      <c r="A100" s="3" t="s">
        <v>25</v>
      </c>
      <c r="C100" s="7">
        <f ca="1">SUM(C97:C99)</f>
        <v>81995.057403059982</v>
      </c>
      <c r="D100" s="7">
        <f t="shared" ref="D100:AM100" ca="1" si="60">SUM(D97:D99)</f>
        <v>84454.909125151782</v>
      </c>
      <c r="E100" s="7">
        <f t="shared" ca="1" si="60"/>
        <v>86988.556398906338</v>
      </c>
      <c r="F100" s="7">
        <f t="shared" ca="1" si="60"/>
        <v>89598.213090873527</v>
      </c>
      <c r="G100" s="7">
        <f t="shared" ca="1" si="60"/>
        <v>92286.159483599738</v>
      </c>
      <c r="H100" s="7">
        <f t="shared" ca="1" si="60"/>
        <v>95054.744268107737</v>
      </c>
      <c r="I100" s="7">
        <f t="shared" ca="1" si="60"/>
        <v>0</v>
      </c>
      <c r="J100" s="7">
        <f t="shared" ca="1" si="60"/>
        <v>0</v>
      </c>
      <c r="K100" s="7">
        <f t="shared" ca="1" si="60"/>
        <v>0</v>
      </c>
      <c r="L100" s="7">
        <f t="shared" ca="1" si="60"/>
        <v>0</v>
      </c>
      <c r="M100" s="7">
        <f t="shared" ca="1" si="60"/>
        <v>0</v>
      </c>
      <c r="N100" s="7">
        <f t="shared" ca="1" si="60"/>
        <v>0</v>
      </c>
      <c r="O100" s="7">
        <f t="shared" ca="1" si="60"/>
        <v>0</v>
      </c>
      <c r="P100" s="7">
        <f t="shared" ca="1" si="60"/>
        <v>0</v>
      </c>
      <c r="Q100" s="7">
        <f t="shared" ca="1" si="60"/>
        <v>0</v>
      </c>
      <c r="R100" s="7">
        <f t="shared" ca="1" si="60"/>
        <v>0</v>
      </c>
      <c r="S100" s="7">
        <f t="shared" ca="1" si="60"/>
        <v>0</v>
      </c>
      <c r="T100" s="7">
        <f t="shared" ca="1" si="60"/>
        <v>0</v>
      </c>
      <c r="U100" s="7">
        <f t="shared" ca="1" si="60"/>
        <v>0</v>
      </c>
      <c r="V100" s="7">
        <f t="shared" ca="1" si="60"/>
        <v>0</v>
      </c>
      <c r="W100" s="7">
        <f t="shared" ca="1" si="60"/>
        <v>0</v>
      </c>
      <c r="X100" s="7">
        <f t="shared" ca="1" si="60"/>
        <v>0</v>
      </c>
      <c r="Y100" s="7">
        <f t="shared" ca="1" si="60"/>
        <v>0</v>
      </c>
      <c r="Z100" s="7">
        <f t="shared" ca="1" si="60"/>
        <v>0</v>
      </c>
      <c r="AA100" s="7">
        <f t="shared" ca="1" si="60"/>
        <v>0</v>
      </c>
      <c r="AB100" s="7">
        <f t="shared" ca="1" si="60"/>
        <v>0</v>
      </c>
      <c r="AC100" s="7">
        <f t="shared" ca="1" si="60"/>
        <v>0</v>
      </c>
      <c r="AD100" s="7">
        <f t="shared" ca="1" si="60"/>
        <v>0</v>
      </c>
      <c r="AE100" s="7">
        <f t="shared" ca="1" si="60"/>
        <v>0</v>
      </c>
      <c r="AF100" s="7">
        <f t="shared" ca="1" si="60"/>
        <v>0</v>
      </c>
      <c r="AG100" s="7">
        <f t="shared" ca="1" si="60"/>
        <v>0</v>
      </c>
      <c r="AH100" s="7">
        <f t="shared" ca="1" si="60"/>
        <v>0</v>
      </c>
      <c r="AI100" s="7">
        <f t="shared" ca="1" si="60"/>
        <v>0</v>
      </c>
      <c r="AJ100" s="7">
        <f t="shared" ca="1" si="60"/>
        <v>0</v>
      </c>
      <c r="AK100" s="7">
        <f t="shared" ca="1" si="60"/>
        <v>0</v>
      </c>
      <c r="AL100" s="7">
        <f t="shared" ca="1" si="60"/>
        <v>0</v>
      </c>
      <c r="AM100" s="7">
        <f t="shared" ca="1" si="60"/>
        <v>0</v>
      </c>
    </row>
    <row r="101" spans="1:39" x14ac:dyDescent="0.2">
      <c r="A101" s="3" t="s">
        <v>26</v>
      </c>
      <c r="C101" s="7">
        <f ca="1">C98*Inputs!$B$195</f>
        <v>0</v>
      </c>
      <c r="D101" s="7">
        <f ca="1">D98*Inputs!$B$195</f>
        <v>0</v>
      </c>
      <c r="E101" s="7">
        <f ca="1">E98*Inputs!$B$195</f>
        <v>0</v>
      </c>
      <c r="F101" s="7">
        <f ca="1">F98*Inputs!$B$195</f>
        <v>0</v>
      </c>
      <c r="G101" s="7">
        <f ca="1">G98*Inputs!$B$195</f>
        <v>0</v>
      </c>
      <c r="H101" s="7">
        <f ca="1">H98*Inputs!$B$195</f>
        <v>0</v>
      </c>
      <c r="I101" s="7">
        <f ca="1">I98*Inputs!$B$195</f>
        <v>-14258.211640216161</v>
      </c>
      <c r="J101" s="7">
        <f ca="1">J98*Inputs!$B$195</f>
        <v>0</v>
      </c>
      <c r="K101" s="7">
        <f ca="1">K98*Inputs!$B$195</f>
        <v>0</v>
      </c>
      <c r="L101" s="7">
        <f ca="1">L98*Inputs!$B$195</f>
        <v>0</v>
      </c>
      <c r="M101" s="7">
        <f ca="1">M98*Inputs!$B$195</f>
        <v>0</v>
      </c>
      <c r="N101" s="7">
        <f ca="1">N98*Inputs!$B$195</f>
        <v>0</v>
      </c>
      <c r="O101" s="7">
        <f ca="1">O98*Inputs!$B$195</f>
        <v>0</v>
      </c>
      <c r="P101" s="7">
        <f ca="1">P98*Inputs!$B$195</f>
        <v>0</v>
      </c>
      <c r="Q101" s="7">
        <f ca="1">Q98*Inputs!$B$195</f>
        <v>0</v>
      </c>
      <c r="R101" s="7">
        <f ca="1">R98*Inputs!$B$195</f>
        <v>0</v>
      </c>
      <c r="S101" s="7">
        <f ca="1">S98*Inputs!$B$195</f>
        <v>0</v>
      </c>
      <c r="T101" s="7">
        <f ca="1">T98*Inputs!$B$195</f>
        <v>0</v>
      </c>
      <c r="U101" s="7">
        <f ca="1">U98*Inputs!$B$195</f>
        <v>0</v>
      </c>
      <c r="V101" s="7">
        <f ca="1">V98*Inputs!$B$195</f>
        <v>0</v>
      </c>
      <c r="W101" s="7">
        <f ca="1">W98*Inputs!$B$195</f>
        <v>0</v>
      </c>
      <c r="X101" s="7">
        <f ca="1">X98*Inputs!$B$195</f>
        <v>0</v>
      </c>
      <c r="Y101" s="7">
        <f ca="1">Y98*Inputs!$B$195</f>
        <v>0</v>
      </c>
      <c r="Z101" s="7">
        <f ca="1">Z98*Inputs!$B$195</f>
        <v>0</v>
      </c>
      <c r="AA101" s="7">
        <f ca="1">AA98*Inputs!$B$195</f>
        <v>0</v>
      </c>
      <c r="AB101" s="7">
        <f ca="1">AB98*Inputs!$B$195</f>
        <v>0</v>
      </c>
      <c r="AC101" s="7">
        <f ca="1">AC98*Inputs!$B$195</f>
        <v>0</v>
      </c>
      <c r="AD101" s="7">
        <f ca="1">AD98*Inputs!$B$195</f>
        <v>0</v>
      </c>
      <c r="AE101" s="7">
        <f ca="1">AE98*Inputs!$B$195</f>
        <v>0</v>
      </c>
      <c r="AF101" s="7">
        <f ca="1">AF98*Inputs!$B$195</f>
        <v>0</v>
      </c>
      <c r="AG101" s="7">
        <f ca="1">AG98*Inputs!$B$195</f>
        <v>0</v>
      </c>
      <c r="AH101" s="7">
        <f ca="1">AH98*Inputs!$B$195</f>
        <v>0</v>
      </c>
      <c r="AI101" s="7">
        <f ca="1">AI98*Inputs!$B$195</f>
        <v>0</v>
      </c>
      <c r="AJ101" s="7">
        <f ca="1">AJ98*Inputs!$B$195</f>
        <v>0</v>
      </c>
      <c r="AK101" s="7">
        <f ca="1">AK98*Inputs!$B$195</f>
        <v>0</v>
      </c>
      <c r="AL101" s="7">
        <f ca="1">AL98*Inputs!$B$195</f>
        <v>0</v>
      </c>
      <c r="AM101" s="7">
        <f>AM98*Inputs!$B$195</f>
        <v>0</v>
      </c>
    </row>
    <row r="102" spans="1:39" x14ac:dyDescent="0.2">
      <c r="A102" s="3" t="s">
        <v>31</v>
      </c>
      <c r="C102" s="7">
        <f t="shared" ref="C102:AM102" ca="1" si="61">IFERROR(-IF(C97=0,VLOOKUP($A96,$8:$12,C$1+2,FALSE),0),0)</f>
        <v>0</v>
      </c>
      <c r="D102" s="7">
        <f t="shared" ca="1" si="61"/>
        <v>0</v>
      </c>
      <c r="E102" s="7">
        <f t="shared" ca="1" si="61"/>
        <v>0</v>
      </c>
      <c r="F102" s="7">
        <f t="shared" ca="1" si="61"/>
        <v>0</v>
      </c>
      <c r="G102" s="7">
        <f t="shared" ca="1" si="61"/>
        <v>0</v>
      </c>
      <c r="H102" s="7">
        <f t="shared" ca="1" si="61"/>
        <v>0</v>
      </c>
      <c r="I102" s="7">
        <f t="shared" ca="1" si="61"/>
        <v>0</v>
      </c>
      <c r="J102" s="7">
        <f t="shared" ca="1" si="61"/>
        <v>-5124.4744392702924</v>
      </c>
      <c r="K102" s="7">
        <f t="shared" ca="1" si="61"/>
        <v>-5278.2086724484016</v>
      </c>
      <c r="L102" s="7">
        <f t="shared" ca="1" si="61"/>
        <v>-5436.5549326218534</v>
      </c>
      <c r="M102" s="7">
        <f t="shared" ca="1" si="61"/>
        <v>-5599.6515806005091</v>
      </c>
      <c r="N102" s="7">
        <f t="shared" ca="1" si="61"/>
        <v>-5767.6411280185248</v>
      </c>
      <c r="O102" s="7">
        <f t="shared" ca="1" si="61"/>
        <v>-5940.6703618590809</v>
      </c>
      <c r="P102" s="7">
        <f t="shared" ca="1" si="61"/>
        <v>-6118.8904727148538</v>
      </c>
      <c r="Q102" s="7">
        <f t="shared" ca="1" si="61"/>
        <v>-6302.4571868962994</v>
      </c>
      <c r="R102" s="7">
        <f t="shared" ca="1" si="61"/>
        <v>-6491.5309025031884</v>
      </c>
      <c r="S102" s="7">
        <f t="shared" ca="1" si="61"/>
        <v>-6686.2768295782844</v>
      </c>
      <c r="T102" s="7">
        <f t="shared" ca="1" si="61"/>
        <v>-6886.8651344656328</v>
      </c>
      <c r="U102" s="7">
        <f t="shared" ca="1" si="61"/>
        <v>-7093.471088499602</v>
      </c>
      <c r="V102" s="7">
        <f t="shared" ca="1" si="61"/>
        <v>-7306.2752211545903</v>
      </c>
      <c r="W102" s="7">
        <f t="shared" ca="1" si="61"/>
        <v>-7525.4634777892279</v>
      </c>
      <c r="X102" s="7">
        <f t="shared" ca="1" si="61"/>
        <v>-7751.2273821229046</v>
      </c>
      <c r="Y102" s="7">
        <f t="shared" ca="1" si="61"/>
        <v>-7983.764203586592</v>
      </c>
      <c r="Z102" s="7">
        <f t="shared" ca="1" si="61"/>
        <v>-8223.2771296941901</v>
      </c>
      <c r="AA102" s="7">
        <f t="shared" ca="1" si="61"/>
        <v>-8469.9754435850155</v>
      </c>
      <c r="AB102" s="7">
        <f t="shared" ca="1" si="61"/>
        <v>-8724.0747068925666</v>
      </c>
      <c r="AC102" s="7">
        <f t="shared" ca="1" si="61"/>
        <v>-8985.7969480993434</v>
      </c>
      <c r="AD102" s="7">
        <f t="shared" ca="1" si="61"/>
        <v>-9255.370856542324</v>
      </c>
      <c r="AE102" s="7">
        <f t="shared" ca="1" si="61"/>
        <v>-9533.0319822385936</v>
      </c>
      <c r="AF102" s="7">
        <f t="shared" ca="1" si="61"/>
        <v>-9819.0229417057508</v>
      </c>
      <c r="AG102" s="7">
        <f t="shared" ca="1" si="61"/>
        <v>-10113.593629956924</v>
      </c>
      <c r="AH102" s="7">
        <f t="shared" ca="1" si="61"/>
        <v>-10417.001438855632</v>
      </c>
      <c r="AI102" s="7">
        <f t="shared" ca="1" si="61"/>
        <v>-10729.511482021302</v>
      </c>
      <c r="AJ102" s="7">
        <f t="shared" ca="1" si="61"/>
        <v>-11051.396826481941</v>
      </c>
      <c r="AK102" s="7">
        <f t="shared" ca="1" si="61"/>
        <v>-11382.938731276399</v>
      </c>
      <c r="AL102" s="7">
        <f t="shared" ca="1" si="61"/>
        <v>-11724.426893214692</v>
      </c>
      <c r="AM102" s="7">
        <f t="shared" ca="1" si="61"/>
        <v>-12076.159700011132</v>
      </c>
    </row>
    <row r="103" spans="1:39" x14ac:dyDescent="0.2">
      <c r="A103" s="3" t="s">
        <v>50</v>
      </c>
      <c r="C103" s="7">
        <f t="shared" ref="C103:AM103" ca="1" si="62">IFERROR(IF(C97=0,VLOOKUP($A96,$40:$44,C$1+2,FALSE),0),0)</f>
        <v>0</v>
      </c>
      <c r="D103" s="7">
        <f t="shared" ca="1" si="62"/>
        <v>0</v>
      </c>
      <c r="E103" s="7">
        <f t="shared" ca="1" si="62"/>
        <v>0</v>
      </c>
      <c r="F103" s="7">
        <f t="shared" ca="1" si="62"/>
        <v>0</v>
      </c>
      <c r="G103" s="7">
        <f t="shared" ca="1" si="62"/>
        <v>0</v>
      </c>
      <c r="H103" s="7">
        <f t="shared" ca="1" si="62"/>
        <v>0</v>
      </c>
      <c r="I103" s="7">
        <f t="shared" ca="1" si="62"/>
        <v>0</v>
      </c>
      <c r="J103" s="7">
        <f t="shared" ca="1" si="62"/>
        <v>1188.6857536682126</v>
      </c>
      <c r="K103" s="7">
        <f t="shared" ca="1" si="62"/>
        <v>1218.4028975099177</v>
      </c>
      <c r="L103" s="7">
        <f t="shared" ca="1" si="62"/>
        <v>1248.8629699476655</v>
      </c>
      <c r="M103" s="7">
        <f t="shared" ca="1" si="62"/>
        <v>1280.084544196357</v>
      </c>
      <c r="N103" s="7">
        <f t="shared" ca="1" si="62"/>
        <v>1312.086657801266</v>
      </c>
      <c r="O103" s="7">
        <f t="shared" ca="1" si="62"/>
        <v>1344.8888242462974</v>
      </c>
      <c r="P103" s="7">
        <f t="shared" ca="1" si="62"/>
        <v>1378.5110448524549</v>
      </c>
      <c r="Q103" s="7">
        <f t="shared" ca="1" si="62"/>
        <v>1412.9738209737661</v>
      </c>
      <c r="R103" s="7">
        <f t="shared" ca="1" si="62"/>
        <v>1448.2981664981105</v>
      </c>
      <c r="S103" s="7">
        <f t="shared" ca="1" si="62"/>
        <v>1484.5056206605632</v>
      </c>
      <c r="T103" s="7">
        <f t="shared" ca="1" si="62"/>
        <v>1521.6182611770771</v>
      </c>
      <c r="U103" s="7">
        <f t="shared" ca="1" si="62"/>
        <v>1559.6587177065039</v>
      </c>
      <c r="V103" s="7">
        <f t="shared" ca="1" si="62"/>
        <v>1598.6501856491666</v>
      </c>
      <c r="W103" s="7">
        <f t="shared" ca="1" si="62"/>
        <v>1638.6164402903955</v>
      </c>
      <c r="X103" s="7">
        <f t="shared" ca="1" si="62"/>
        <v>1679.5818512976552</v>
      </c>
      <c r="Y103" s="7">
        <f t="shared" ca="1" si="62"/>
        <v>1721.5713975800966</v>
      </c>
      <c r="Z103" s="7">
        <f t="shared" ca="1" si="62"/>
        <v>1764.6106825195991</v>
      </c>
      <c r="AA103" s="7">
        <f t="shared" ca="1" si="62"/>
        <v>1808.725949582589</v>
      </c>
      <c r="AB103" s="7">
        <f t="shared" ca="1" si="62"/>
        <v>1853.9440983221534</v>
      </c>
      <c r="AC103" s="7">
        <f t="shared" ca="1" si="62"/>
        <v>1900.292700780207</v>
      </c>
      <c r="AD103" s="7">
        <f t="shared" ca="1" si="62"/>
        <v>1947.8000182997121</v>
      </c>
      <c r="AE103" s="7">
        <f t="shared" ca="1" si="62"/>
        <v>1996.4950187572049</v>
      </c>
      <c r="AF103" s="7">
        <f t="shared" ca="1" si="62"/>
        <v>2046.4073942261352</v>
      </c>
      <c r="AG103" s="7">
        <f t="shared" ca="1" si="62"/>
        <v>2097.5675790817882</v>
      </c>
      <c r="AH103" s="7">
        <f t="shared" ca="1" si="62"/>
        <v>2150.0067685588333</v>
      </c>
      <c r="AI103" s="7">
        <f t="shared" ca="1" si="62"/>
        <v>2203.7569377728037</v>
      </c>
      <c r="AJ103" s="7">
        <f t="shared" ca="1" si="62"/>
        <v>2258.8508612171236</v>
      </c>
      <c r="AK103" s="7">
        <f t="shared" ca="1" si="62"/>
        <v>2315.3221327475517</v>
      </c>
      <c r="AL103" s="7">
        <f t="shared" ca="1" si="62"/>
        <v>2373.20518606624</v>
      </c>
      <c r="AM103" s="7">
        <f t="shared" ca="1" si="62"/>
        <v>2432.5353157178965</v>
      </c>
    </row>
    <row r="104" spans="1:39" x14ac:dyDescent="0.2">
      <c r="A104" s="3" t="s">
        <v>36</v>
      </c>
      <c r="B104" s="14" t="str">
        <f>A96</f>
        <v>Gudja</v>
      </c>
      <c r="C104" s="7">
        <f t="shared" ref="C104:AM104" ca="1" si="63">IF(AND(C97&gt;0,C100=0),VLOOKUP($A96,$72:$76,C$1+2,FALSE),0)</f>
        <v>0</v>
      </c>
      <c r="D104" s="7">
        <f t="shared" ca="1" si="63"/>
        <v>0</v>
      </c>
      <c r="E104" s="7">
        <f t="shared" ca="1" si="63"/>
        <v>0</v>
      </c>
      <c r="F104" s="7">
        <f t="shared" ca="1" si="63"/>
        <v>0</v>
      </c>
      <c r="G104" s="7">
        <f t="shared" ca="1" si="63"/>
        <v>0</v>
      </c>
      <c r="H104" s="7">
        <f t="shared" ca="1" si="63"/>
        <v>0</v>
      </c>
      <c r="I104" s="7">
        <f t="shared" ca="1" si="63"/>
        <v>0</v>
      </c>
      <c r="J104" s="7">
        <f t="shared" ca="1" si="63"/>
        <v>0</v>
      </c>
      <c r="K104" s="7">
        <f t="shared" ca="1" si="63"/>
        <v>0</v>
      </c>
      <c r="L104" s="7">
        <f t="shared" ca="1" si="63"/>
        <v>0</v>
      </c>
      <c r="M104" s="7">
        <f t="shared" ca="1" si="63"/>
        <v>0</v>
      </c>
      <c r="N104" s="7">
        <f t="shared" ca="1" si="63"/>
        <v>0</v>
      </c>
      <c r="O104" s="7">
        <f t="shared" ca="1" si="63"/>
        <v>0</v>
      </c>
      <c r="P104" s="7">
        <f t="shared" ca="1" si="63"/>
        <v>0</v>
      </c>
      <c r="Q104" s="7">
        <f t="shared" ca="1" si="63"/>
        <v>0</v>
      </c>
      <c r="R104" s="7">
        <f t="shared" ca="1" si="63"/>
        <v>0</v>
      </c>
      <c r="S104" s="7">
        <f t="shared" ca="1" si="63"/>
        <v>0</v>
      </c>
      <c r="T104" s="7">
        <f t="shared" ca="1" si="63"/>
        <v>0</v>
      </c>
      <c r="U104" s="7">
        <f t="shared" ca="1" si="63"/>
        <v>0</v>
      </c>
      <c r="V104" s="7">
        <f t="shared" ca="1" si="63"/>
        <v>0</v>
      </c>
      <c r="W104" s="7">
        <f t="shared" ca="1" si="63"/>
        <v>0</v>
      </c>
      <c r="X104" s="7">
        <f t="shared" ca="1" si="63"/>
        <v>0</v>
      </c>
      <c r="Y104" s="7">
        <f t="shared" ca="1" si="63"/>
        <v>0</v>
      </c>
      <c r="Z104" s="7">
        <f t="shared" ca="1" si="63"/>
        <v>0</v>
      </c>
      <c r="AA104" s="7">
        <f t="shared" ca="1" si="63"/>
        <v>0</v>
      </c>
      <c r="AB104" s="7">
        <f t="shared" ca="1" si="63"/>
        <v>0</v>
      </c>
      <c r="AC104" s="7">
        <f t="shared" ca="1" si="63"/>
        <v>0</v>
      </c>
      <c r="AD104" s="7">
        <f t="shared" ca="1" si="63"/>
        <v>0</v>
      </c>
      <c r="AE104" s="7">
        <f t="shared" ca="1" si="63"/>
        <v>0</v>
      </c>
      <c r="AF104" s="7">
        <f t="shared" ca="1" si="63"/>
        <v>0</v>
      </c>
      <c r="AG104" s="7">
        <f t="shared" ca="1" si="63"/>
        <v>0</v>
      </c>
      <c r="AH104" s="7">
        <f t="shared" ca="1" si="63"/>
        <v>0</v>
      </c>
      <c r="AI104" s="7">
        <f t="shared" ca="1" si="63"/>
        <v>0</v>
      </c>
      <c r="AJ104" s="7">
        <f t="shared" ca="1" si="63"/>
        <v>0</v>
      </c>
      <c r="AK104" s="7">
        <f t="shared" ca="1" si="63"/>
        <v>0</v>
      </c>
      <c r="AL104" s="7">
        <f t="shared" ca="1" si="63"/>
        <v>0</v>
      </c>
      <c r="AM104" s="7">
        <f t="shared" ca="1" si="63"/>
        <v>0</v>
      </c>
    </row>
    <row r="105" spans="1:39" x14ac:dyDescent="0.2">
      <c r="A105" s="3" t="s">
        <v>37</v>
      </c>
      <c r="C105" s="7">
        <f ca="1">-C98+SUM(C101:C104)</f>
        <v>0</v>
      </c>
      <c r="D105" s="7">
        <f t="shared" ref="D105" ca="1" si="64">-D98+SUM(D101:D104)</f>
        <v>0</v>
      </c>
      <c r="E105" s="7">
        <f t="shared" ref="E105:AM105" ca="1" si="65">-E98+SUM(E101:E104)</f>
        <v>0</v>
      </c>
      <c r="F105" s="7">
        <f t="shared" ca="1" si="65"/>
        <v>0</v>
      </c>
      <c r="G105" s="7">
        <f t="shared" ca="1" si="65"/>
        <v>0</v>
      </c>
      <c r="H105" s="7">
        <f t="shared" ca="1" si="65"/>
        <v>0</v>
      </c>
      <c r="I105" s="7">
        <f t="shared" ca="1" si="65"/>
        <v>80796.532627891575</v>
      </c>
      <c r="J105" s="7">
        <f t="shared" ca="1" si="65"/>
        <v>-3935.7886856020796</v>
      </c>
      <c r="K105" s="7">
        <f t="shared" ca="1" si="65"/>
        <v>-4059.8057749384839</v>
      </c>
      <c r="L105" s="7">
        <f t="shared" ca="1" si="65"/>
        <v>-4187.6919626741874</v>
      </c>
      <c r="M105" s="7">
        <f t="shared" ca="1" si="65"/>
        <v>-4319.5670364041525</v>
      </c>
      <c r="N105" s="7">
        <f t="shared" ca="1" si="65"/>
        <v>-4455.5544702172592</v>
      </c>
      <c r="O105" s="7">
        <f t="shared" ca="1" si="65"/>
        <v>-4595.7815376127837</v>
      </c>
      <c r="P105" s="7">
        <f t="shared" ca="1" si="65"/>
        <v>-4740.3794278623991</v>
      </c>
      <c r="Q105" s="7">
        <f t="shared" ca="1" si="65"/>
        <v>-4889.4833659225333</v>
      </c>
      <c r="R105" s="7">
        <f t="shared" ca="1" si="65"/>
        <v>-5043.2327360050776</v>
      </c>
      <c r="S105" s="7">
        <f t="shared" ca="1" si="65"/>
        <v>-5201.7712089177212</v>
      </c>
      <c r="T105" s="7">
        <f t="shared" ca="1" si="65"/>
        <v>-5365.2468732885554</v>
      </c>
      <c r="U105" s="7">
        <f t="shared" ca="1" si="65"/>
        <v>-5533.8123707930981</v>
      </c>
      <c r="V105" s="7">
        <f t="shared" ca="1" si="65"/>
        <v>-5707.6250355054235</v>
      </c>
      <c r="W105" s="7">
        <f t="shared" ca="1" si="65"/>
        <v>-5886.8470374988319</v>
      </c>
      <c r="X105" s="7">
        <f t="shared" ca="1" si="65"/>
        <v>-6071.6455308252498</v>
      </c>
      <c r="Y105" s="7">
        <f t="shared" ca="1" si="65"/>
        <v>-6262.1928060064956</v>
      </c>
      <c r="Z105" s="7">
        <f t="shared" ca="1" si="65"/>
        <v>-6458.6664471745908</v>
      </c>
      <c r="AA105" s="7">
        <f t="shared" ca="1" si="65"/>
        <v>-6661.2494940024262</v>
      </c>
      <c r="AB105" s="7">
        <f t="shared" ca="1" si="65"/>
        <v>-6870.1306085704127</v>
      </c>
      <c r="AC105" s="7">
        <f t="shared" ca="1" si="65"/>
        <v>-7085.5042473191361</v>
      </c>
      <c r="AD105" s="7">
        <f t="shared" ca="1" si="65"/>
        <v>-7307.5708382426119</v>
      </c>
      <c r="AE105" s="7">
        <f t="shared" ca="1" si="65"/>
        <v>-7536.5369634813887</v>
      </c>
      <c r="AF105" s="7">
        <f t="shared" ca="1" si="65"/>
        <v>-7772.615547479616</v>
      </c>
      <c r="AG105" s="7">
        <f t="shared" ca="1" si="65"/>
        <v>-8016.0260508751362</v>
      </c>
      <c r="AH105" s="7">
        <f t="shared" ca="1" si="65"/>
        <v>-8266.9946702967991</v>
      </c>
      <c r="AI105" s="7">
        <f t="shared" ca="1" si="65"/>
        <v>-8525.7545442484989</v>
      </c>
      <c r="AJ105" s="7">
        <f t="shared" ca="1" si="65"/>
        <v>-8792.5459652648169</v>
      </c>
      <c r="AK105" s="7">
        <f t="shared" ca="1" si="65"/>
        <v>-9067.616598528848</v>
      </c>
      <c r="AL105" s="7">
        <f t="shared" ca="1" si="65"/>
        <v>-9351.221707148452</v>
      </c>
      <c r="AM105" s="7">
        <f t="shared" ca="1" si="65"/>
        <v>-9643.6243842932363</v>
      </c>
    </row>
    <row r="106" spans="1:39" x14ac:dyDescent="0.2">
      <c r="A106" s="3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  <c r="AB106" s="7"/>
      <c r="AC106" s="7"/>
      <c r="AD106" s="7"/>
      <c r="AE106" s="7"/>
      <c r="AF106" s="7"/>
      <c r="AG106" s="7"/>
      <c r="AH106" s="7"/>
      <c r="AI106" s="7"/>
      <c r="AJ106" s="7"/>
      <c r="AK106" s="7"/>
      <c r="AL106" s="7"/>
      <c r="AM106" s="7"/>
    </row>
    <row r="107" spans="1:39" x14ac:dyDescent="0.2">
      <c r="A107" s="3" t="s">
        <v>77</v>
      </c>
      <c r="C107" s="7">
        <f ca="1">C93+SUM($C105:C105)</f>
        <v>33136.875000000015</v>
      </c>
      <c r="D107" s="7">
        <f ca="1">D93+SUM($C105:D105)</f>
        <v>57140.903125000026</v>
      </c>
      <c r="E107" s="7">
        <f ca="1">E93+SUM($C105:E105)</f>
        <v>87759.433828125038</v>
      </c>
      <c r="F107" s="7">
        <f ca="1">F93+SUM($C105:F105)</f>
        <v>99100.176411377644</v>
      </c>
      <c r="G107" s="7">
        <f ca="1">G93+SUM($C105:G105)</f>
        <v>50982.686515080073</v>
      </c>
      <c r="H107" s="7">
        <f ca="1">H93+SUM($C105:H105)</f>
        <v>4731.4866545593541</v>
      </c>
      <c r="I107" s="7">
        <f ca="1">I93+SUM($C105:I105)</f>
        <v>80796.532627891575</v>
      </c>
      <c r="J107" s="7">
        <f ca="1">J93+SUM($C105:J105)</f>
        <v>66762.762366233073</v>
      </c>
      <c r="K107" s="7">
        <f ca="1">K93+SUM($C105:K105)</f>
        <v>11147.660791817107</v>
      </c>
      <c r="L107" s="7">
        <f ca="1">L93+SUM($C105:L105)</f>
        <v>37484.165931335796</v>
      </c>
      <c r="M107" s="7">
        <f ca="1">M93+SUM($C105:M105)</f>
        <v>-30445.563786970852</v>
      </c>
      <c r="N107" s="7">
        <f ca="1">N93+SUM($C105:N105)</f>
        <v>-50009.856469095117</v>
      </c>
      <c r="O107" s="7">
        <f ca="1">O93+SUM($C105:O105)</f>
        <v>-69852.737567099815</v>
      </c>
      <c r="P107" s="7">
        <f ca="1">P93+SUM($C105:P105)</f>
        <v>-89974.856224346746</v>
      </c>
      <c r="Q107" s="7">
        <f ca="1">Q93+SUM($C105:Q105)</f>
        <v>-110376.68834577079</v>
      </c>
      <c r="R107" s="7">
        <f ca="1">R93+SUM($C105:R105)</f>
        <v>-131058.5265829087</v>
      </c>
      <c r="S107" s="7">
        <f ca="1">S93+SUM($C105:S105)</f>
        <v>-152020.46989803365</v>
      </c>
      <c r="T107" s="7">
        <f ca="1">T93+SUM($C105:T105)</f>
        <v>-154850.83173151451</v>
      </c>
      <c r="U107" s="7">
        <f ca="1">U93+SUM($C105:U105)</f>
        <v>-149702.28844489189</v>
      </c>
      <c r="V107" s="7">
        <f ca="1">V93+SUM($C105:V105)</f>
        <v>-144166.11988137348</v>
      </c>
      <c r="W107" s="7">
        <f ca="1">W93+SUM($C105:W105)</f>
        <v>-138224.86805819493</v>
      </c>
      <c r="X107" s="7">
        <f ca="1">X93+SUM($C105:X105)</f>
        <v>-131860.4055224976</v>
      </c>
      <c r="Y107" s="7">
        <f ca="1">Y93+SUM($C105:Y105)</f>
        <v>-145712.76839492153</v>
      </c>
      <c r="Z107" s="7">
        <f ca="1">Z93+SUM($C105:Z105)</f>
        <v>-159620.03294572514</v>
      </c>
      <c r="AA107" s="7">
        <f ca="1">AA93+SUM($C105:AA105)</f>
        <v>-173574.82949506497</v>
      </c>
      <c r="AB107" s="7">
        <f ca="1">AB93+SUM($C105:AB105)</f>
        <v>-187569.34185444744</v>
      </c>
      <c r="AC107" s="7">
        <f ca="1">AC93+SUM($C105:AC105)</f>
        <v>-201595.28829601291</v>
      </c>
      <c r="AD107" s="7">
        <f ca="1">AD93+SUM($C105:AD105)</f>
        <v>-215643.90181001186</v>
      </c>
      <c r="AE107" s="7">
        <f ca="1">AE93+SUM($C105:AE105)</f>
        <v>-219723.43453181093</v>
      </c>
      <c r="AF107" s="7">
        <f ca="1">AF93+SUM($C105:AF105)</f>
        <v>-223556.99990430332</v>
      </c>
      <c r="AG107" s="7">
        <f ca="1">AG93+SUM($C105:AG105)</f>
        <v>-227128.01007373576</v>
      </c>
      <c r="AH107" s="7">
        <f ca="1">AH93+SUM($C105:AH105)</f>
        <v>-230419.14932991058</v>
      </c>
      <c r="AI107" s="7">
        <f ca="1">AI93+SUM($C105:AI105)</f>
        <v>-233412.34651497149</v>
      </c>
      <c r="AJ107" s="7">
        <f ca="1">AJ93+SUM($C105:AJ105)</f>
        <v>-236088.74646056519</v>
      </c>
      <c r="AK107" s="7">
        <f ca="1">AK93+SUM($C105:AK105)</f>
        <v>-238428.68042063212</v>
      </c>
      <c r="AL107" s="7">
        <f ca="1">AL93+SUM($C105:AL105)</f>
        <v>-240411.63546600909</v>
      </c>
      <c r="AM107" s="7">
        <f ca="1">AM93+SUM($C105:AM105)</f>
        <v>-242016.22280591817</v>
      </c>
    </row>
    <row r="108" spans="1:39" x14ac:dyDescent="0.2">
      <c r="A108" s="3" t="s">
        <v>74</v>
      </c>
      <c r="C108" s="7">
        <f t="shared" ref="C108:AM108" ca="1" si="66">MAX(C107+buffer,0)-MAX(C$93+buffer,0)</f>
        <v>0</v>
      </c>
      <c r="D108" s="7">
        <f t="shared" ca="1" si="66"/>
        <v>0</v>
      </c>
      <c r="E108" s="7">
        <f t="shared" ca="1" si="66"/>
        <v>0</v>
      </c>
      <c r="F108" s="7">
        <f t="shared" ca="1" si="66"/>
        <v>0</v>
      </c>
      <c r="G108" s="7">
        <f t="shared" ca="1" si="66"/>
        <v>0</v>
      </c>
      <c r="H108" s="7">
        <f t="shared" ca="1" si="66"/>
        <v>0</v>
      </c>
      <c r="I108" s="7">
        <f t="shared" ca="1" si="66"/>
        <v>80796.532627891575</v>
      </c>
      <c r="J108" s="7">
        <f t="shared" ca="1" si="66"/>
        <v>76860.743942289497</v>
      </c>
      <c r="K108" s="7">
        <f t="shared" ca="1" si="66"/>
        <v>51147.660791817107</v>
      </c>
      <c r="L108" s="7">
        <f t="shared" ca="1" si="66"/>
        <v>68613.24620467682</v>
      </c>
      <c r="M108" s="7">
        <f t="shared" ca="1" si="66"/>
        <v>9554.4362130291483</v>
      </c>
      <c r="N108" s="7">
        <f t="shared" ca="1" si="66"/>
        <v>0</v>
      </c>
      <c r="O108" s="7">
        <f t="shared" ca="1" si="66"/>
        <v>0</v>
      </c>
      <c r="P108" s="7">
        <f t="shared" ca="1" si="66"/>
        <v>0</v>
      </c>
      <c r="Q108" s="7">
        <f t="shared" ca="1" si="66"/>
        <v>0</v>
      </c>
      <c r="R108" s="7">
        <f t="shared" ca="1" si="66"/>
        <v>0</v>
      </c>
      <c r="S108" s="7">
        <f t="shared" ca="1" si="66"/>
        <v>0</v>
      </c>
      <c r="T108" s="7">
        <f t="shared" ca="1" si="66"/>
        <v>0</v>
      </c>
      <c r="U108" s="7">
        <f t="shared" ca="1" si="66"/>
        <v>0</v>
      </c>
      <c r="V108" s="7">
        <f t="shared" ca="1" si="66"/>
        <v>0</v>
      </c>
      <c r="W108" s="7">
        <f t="shared" ca="1" si="66"/>
        <v>0</v>
      </c>
      <c r="X108" s="7">
        <f t="shared" ca="1" si="66"/>
        <v>0</v>
      </c>
      <c r="Y108" s="7">
        <f t="shared" ca="1" si="66"/>
        <v>0</v>
      </c>
      <c r="Z108" s="7">
        <f t="shared" ca="1" si="66"/>
        <v>0</v>
      </c>
      <c r="AA108" s="7">
        <f t="shared" ca="1" si="66"/>
        <v>0</v>
      </c>
      <c r="AB108" s="7">
        <f t="shared" ca="1" si="66"/>
        <v>0</v>
      </c>
      <c r="AC108" s="7">
        <f t="shared" ca="1" si="66"/>
        <v>0</v>
      </c>
      <c r="AD108" s="7">
        <f t="shared" ca="1" si="66"/>
        <v>0</v>
      </c>
      <c r="AE108" s="7">
        <f t="shared" ca="1" si="66"/>
        <v>0</v>
      </c>
      <c r="AF108" s="7">
        <f t="shared" ca="1" si="66"/>
        <v>0</v>
      </c>
      <c r="AG108" s="7">
        <f t="shared" ca="1" si="66"/>
        <v>0</v>
      </c>
      <c r="AH108" s="7">
        <f t="shared" ca="1" si="66"/>
        <v>0</v>
      </c>
      <c r="AI108" s="7">
        <f t="shared" ca="1" si="66"/>
        <v>0</v>
      </c>
      <c r="AJ108" s="7">
        <f t="shared" ca="1" si="66"/>
        <v>0</v>
      </c>
      <c r="AK108" s="7">
        <f t="shared" ca="1" si="66"/>
        <v>0</v>
      </c>
      <c r="AL108" s="7">
        <f t="shared" ca="1" si="66"/>
        <v>0</v>
      </c>
      <c r="AM108" s="7">
        <f t="shared" ca="1" si="66"/>
        <v>0</v>
      </c>
    </row>
    <row r="109" spans="1:39" x14ac:dyDescent="0.2">
      <c r="A109" s="3" t="s">
        <v>75</v>
      </c>
      <c r="C109" s="7">
        <f ca="1">C108*Inputs!$B$181</f>
        <v>0</v>
      </c>
      <c r="D109" s="7">
        <f ca="1">D108*Inputs!$B$181</f>
        <v>0</v>
      </c>
      <c r="E109" s="7">
        <f ca="1">E108*Inputs!$B$181</f>
        <v>0</v>
      </c>
      <c r="F109" s="7">
        <f ca="1">F108*Inputs!$B$181</f>
        <v>0</v>
      </c>
      <c r="G109" s="7">
        <f ca="1">G108*Inputs!$B$181</f>
        <v>0</v>
      </c>
      <c r="H109" s="7">
        <f ca="1">H108*Inputs!$B$181</f>
        <v>0</v>
      </c>
      <c r="I109" s="7">
        <f ca="1">I108*Inputs!$B$181</f>
        <v>2019.9133156972894</v>
      </c>
      <c r="J109" s="7">
        <f ca="1">J108*Inputs!$B$181</f>
        <v>1921.5185985572375</v>
      </c>
      <c r="K109" s="7">
        <f ca="1">K108*Inputs!$B$181</f>
        <v>1278.6915197954277</v>
      </c>
      <c r="L109" s="7">
        <f ca="1">L108*Inputs!$B$181</f>
        <v>1715.3311551169206</v>
      </c>
      <c r="M109" s="7">
        <f ca="1">M108*Inputs!$B$181</f>
        <v>238.86090532572871</v>
      </c>
      <c r="N109" s="7">
        <f ca="1">N108*Inputs!$B$181</f>
        <v>0</v>
      </c>
      <c r="O109" s="7">
        <f ca="1">O108*Inputs!$B$181</f>
        <v>0</v>
      </c>
      <c r="P109" s="7">
        <f ca="1">P108*Inputs!$B$181</f>
        <v>0</v>
      </c>
      <c r="Q109" s="7">
        <f ca="1">Q108*Inputs!$B$181</f>
        <v>0</v>
      </c>
      <c r="R109" s="7">
        <f ca="1">R108*Inputs!$B$181</f>
        <v>0</v>
      </c>
      <c r="S109" s="7">
        <f ca="1">S108*Inputs!$B$181</f>
        <v>0</v>
      </c>
      <c r="T109" s="7">
        <f ca="1">T108*Inputs!$B$181</f>
        <v>0</v>
      </c>
      <c r="U109" s="7">
        <f ca="1">U108*Inputs!$B$181</f>
        <v>0</v>
      </c>
      <c r="V109" s="7">
        <f ca="1">V108*Inputs!$B$181</f>
        <v>0</v>
      </c>
      <c r="W109" s="7">
        <f ca="1">W108*Inputs!$B$181</f>
        <v>0</v>
      </c>
      <c r="X109" s="7">
        <f ca="1">X108*Inputs!$B$181</f>
        <v>0</v>
      </c>
      <c r="Y109" s="7">
        <f ca="1">Y108*Inputs!$B$181</f>
        <v>0</v>
      </c>
      <c r="Z109" s="7">
        <f ca="1">Z108*Inputs!$B$181</f>
        <v>0</v>
      </c>
      <c r="AA109" s="7">
        <f ca="1">AA108*Inputs!$B$181</f>
        <v>0</v>
      </c>
      <c r="AB109" s="7">
        <f ca="1">AB108*Inputs!$B$181</f>
        <v>0</v>
      </c>
      <c r="AC109" s="7">
        <f ca="1">AC108*Inputs!$B$181</f>
        <v>0</v>
      </c>
      <c r="AD109" s="7">
        <f ca="1">AD108*Inputs!$B$181</f>
        <v>0</v>
      </c>
      <c r="AE109" s="7">
        <f ca="1">AE108*Inputs!$B$181</f>
        <v>0</v>
      </c>
      <c r="AF109" s="7">
        <f ca="1">AF108*Inputs!$B$181</f>
        <v>0</v>
      </c>
      <c r="AG109" s="7">
        <f ca="1">AG108*Inputs!$B$181</f>
        <v>0</v>
      </c>
      <c r="AH109" s="7">
        <f ca="1">AH108*Inputs!$B$181</f>
        <v>0</v>
      </c>
      <c r="AI109" s="7">
        <f ca="1">AI108*Inputs!$B$181</f>
        <v>0</v>
      </c>
      <c r="AJ109" s="7">
        <f ca="1">AJ108*Inputs!$B$181</f>
        <v>0</v>
      </c>
      <c r="AK109" s="7">
        <f ca="1">AK108*Inputs!$B$181</f>
        <v>0</v>
      </c>
      <c r="AL109" s="7">
        <f ca="1">AL108*Inputs!$B$181</f>
        <v>0</v>
      </c>
      <c r="AM109" s="7">
        <f ca="1">AM108*Inputs!$B$181</f>
        <v>0</v>
      </c>
    </row>
    <row r="110" spans="1:39" x14ac:dyDescent="0.2">
      <c r="A110" s="3" t="s">
        <v>158</v>
      </c>
      <c r="C110" s="7">
        <f ca="1">C107+SUM($C109:C109)</f>
        <v>33136.875000000015</v>
      </c>
      <c r="D110" s="7">
        <f ca="1">D107+SUM($C109:D109)</f>
        <v>57140.903125000026</v>
      </c>
      <c r="E110" s="7">
        <f ca="1">E107+SUM($C109:E109)</f>
        <v>87759.433828125038</v>
      </c>
      <c r="F110" s="7">
        <f ca="1">F107+SUM($C109:F109)</f>
        <v>99100.176411377644</v>
      </c>
      <c r="G110" s="7">
        <f ca="1">G107+SUM($C109:G109)</f>
        <v>50982.686515080073</v>
      </c>
      <c r="H110" s="7">
        <f ca="1">H107+SUM($C109:H109)</f>
        <v>4731.4866545593541</v>
      </c>
      <c r="I110" s="7">
        <f ca="1">I107+SUM($C109:I109)</f>
        <v>82816.445943588857</v>
      </c>
      <c r="J110" s="7">
        <f ca="1">J107+SUM($C109:J109)</f>
        <v>70704.194280487602</v>
      </c>
      <c r="K110" s="7">
        <f ca="1">K107+SUM($C109:K109)</f>
        <v>16367.784225867061</v>
      </c>
      <c r="L110" s="7">
        <f ca="1">L107+SUM($C109:L109)</f>
        <v>44419.620520502671</v>
      </c>
      <c r="M110" s="7">
        <f ca="1">M107+SUM($C109:M109)</f>
        <v>-23271.248292478249</v>
      </c>
      <c r="N110" s="7">
        <f ca="1">N107+SUM($C109:N109)</f>
        <v>-42835.540974602511</v>
      </c>
      <c r="O110" s="7">
        <f ca="1">O107+SUM($C109:O109)</f>
        <v>-62678.422072607209</v>
      </c>
      <c r="P110" s="7">
        <f ca="1">P107+SUM($C109:P109)</f>
        <v>-82800.540729854139</v>
      </c>
      <c r="Q110" s="7">
        <f ca="1">Q107+SUM($C109:Q109)</f>
        <v>-103202.37285127818</v>
      </c>
      <c r="R110" s="7">
        <f ca="1">R107+SUM($C109:R109)</f>
        <v>-123884.21108841609</v>
      </c>
      <c r="S110" s="7">
        <f ca="1">S107+SUM($C109:S109)</f>
        <v>-144846.15440354106</v>
      </c>
      <c r="T110" s="7">
        <f ca="1">T107+SUM($C109:T109)</f>
        <v>-147676.51623702192</v>
      </c>
      <c r="U110" s="7">
        <f ca="1">U107+SUM($C109:U109)</f>
        <v>-142527.9729503993</v>
      </c>
      <c r="V110" s="7">
        <f ca="1">V107+SUM($C109:V109)</f>
        <v>-136991.80438688089</v>
      </c>
      <c r="W110" s="7">
        <f ca="1">W107+SUM($C109:W109)</f>
        <v>-131050.55256370232</v>
      </c>
      <c r="X110" s="7">
        <f ca="1">X107+SUM($C109:X109)</f>
        <v>-124686.090028005</v>
      </c>
      <c r="Y110" s="7">
        <f ca="1">Y107+SUM($C109:Y109)</f>
        <v>-138538.45290042894</v>
      </c>
      <c r="Z110" s="7">
        <f ca="1">Z107+SUM($C109:Z109)</f>
        <v>-152445.71745123254</v>
      </c>
      <c r="AA110" s="7">
        <f ca="1">AA107+SUM($C109:AA109)</f>
        <v>-166400.51400057238</v>
      </c>
      <c r="AB110" s="7">
        <f ca="1">AB107+SUM($C109:AB109)</f>
        <v>-180395.02635995485</v>
      </c>
      <c r="AC110" s="7">
        <f ca="1">AC107+SUM($C109:AC109)</f>
        <v>-194420.97280152031</v>
      </c>
      <c r="AD110" s="7">
        <f ca="1">AD107+SUM($C109:AD109)</f>
        <v>-208469.58631551926</v>
      </c>
      <c r="AE110" s="7">
        <f ca="1">AE107+SUM($C109:AE109)</f>
        <v>-212549.11903731833</v>
      </c>
      <c r="AF110" s="7">
        <f ca="1">AF107+SUM($C109:AF109)</f>
        <v>-216382.68440981072</v>
      </c>
      <c r="AG110" s="7">
        <f ca="1">AG107+SUM($C109:AG109)</f>
        <v>-219953.69457924317</v>
      </c>
      <c r="AH110" s="7">
        <f ca="1">AH107+SUM($C109:AH109)</f>
        <v>-223244.83383541799</v>
      </c>
      <c r="AI110" s="7">
        <f ca="1">AI107+SUM($C109:AI109)</f>
        <v>-226238.0310204789</v>
      </c>
      <c r="AJ110" s="7">
        <f ca="1">AJ107+SUM($C109:AJ109)</f>
        <v>-228914.4309660726</v>
      </c>
      <c r="AK110" s="7">
        <f ca="1">AK107+SUM($C109:AK109)</f>
        <v>-231254.36492613953</v>
      </c>
      <c r="AL110" s="7">
        <f ca="1">AL107+SUM($C109:AL109)</f>
        <v>-233237.3199715165</v>
      </c>
      <c r="AM110" s="7">
        <f ca="1">AM107+SUM($C109:AM109)</f>
        <v>-234841.90731142557</v>
      </c>
    </row>
    <row r="111" spans="1:39" x14ac:dyDescent="0.2">
      <c r="A111" s="3" t="s">
        <v>20</v>
      </c>
      <c r="C111" s="7">
        <f ca="1">IF(C110&lt;0,-C110,0)</f>
        <v>0</v>
      </c>
      <c r="D111" s="7">
        <f ca="1">IF(D110+SUM($C111:C111)&lt;0,-(D110+SUM($C111:C111)),0)</f>
        <v>0</v>
      </c>
      <c r="E111" s="7">
        <f ca="1">IF(E110+SUM($C111:D111)&lt;0,-(E110+SUM($C111:D111)),0)</f>
        <v>0</v>
      </c>
      <c r="F111" s="7">
        <f ca="1">IF(F110+SUM($C111:E111)&lt;0,-(F110+SUM($C111:E111)),0)</f>
        <v>0</v>
      </c>
      <c r="G111" s="7">
        <f ca="1">IF(G110+SUM($C111:F111)&lt;0,-(G110+SUM($C111:F111)),0)</f>
        <v>0</v>
      </c>
      <c r="H111" s="7">
        <f ca="1">IF(H110+SUM($C111:G111)&lt;0,-(H110+SUM($C111:G111)),0)</f>
        <v>0</v>
      </c>
      <c r="I111" s="7">
        <f ca="1">IF(I110+SUM($C111:H111)&lt;0,-(I110+SUM($C111:H111)),0)</f>
        <v>0</v>
      </c>
      <c r="J111" s="7">
        <f ca="1">IF(J110+SUM($C111:I111)&lt;0,-(J110+SUM($C111:I111)),0)</f>
        <v>0</v>
      </c>
      <c r="K111" s="7">
        <f ca="1">IF(K110+SUM($C111:J111)&lt;0,-(K110+SUM($C111:J111)),0)</f>
        <v>0</v>
      </c>
      <c r="L111" s="7">
        <f ca="1">IF(L110+SUM($C111:K111)&lt;0,-(L110+SUM($C111:K111)),0)</f>
        <v>0</v>
      </c>
      <c r="M111" s="7">
        <f ca="1">IF(M110+SUM($C111:L111)&lt;0,-(M110+SUM($C111:L111)),0)</f>
        <v>23271.248292478249</v>
      </c>
      <c r="N111" s="7">
        <f ca="1">IF(N110+SUM($C111:M111)&lt;0,-(N110+SUM($C111:M111)),0)</f>
        <v>19564.292682124262</v>
      </c>
      <c r="O111" s="7">
        <f ca="1">IF(O110+SUM($C111:N111)&lt;0,-(O110+SUM($C111:N111)),0)</f>
        <v>19842.881098004698</v>
      </c>
      <c r="P111" s="7">
        <f ca="1">IF(P110+SUM($C111:O111)&lt;0,-(P110+SUM($C111:O111)),0)</f>
        <v>20122.118657246931</v>
      </c>
      <c r="Q111" s="7">
        <f ca="1">IF(Q110+SUM($C111:P111)&lt;0,-(Q110+SUM($C111:P111)),0)</f>
        <v>20401.832121424042</v>
      </c>
      <c r="R111" s="7">
        <f ca="1">IF(R110+SUM($C111:Q111)&lt;0,-(R110+SUM($C111:Q111)),0)</f>
        <v>20681.838237137912</v>
      </c>
      <c r="S111" s="7">
        <f ca="1">IF(S110+SUM($C111:R111)&lt;0,-(S110+SUM($C111:R111)),0)</f>
        <v>20961.943315124969</v>
      </c>
      <c r="T111" s="7">
        <f ca="1">IF(T110+SUM($C111:S111)&lt;0,-(T110+SUM($C111:S111)),0)</f>
        <v>2830.3618334808561</v>
      </c>
      <c r="U111" s="7">
        <f ca="1">IF(U110+SUM($C111:T111)&lt;0,-(U110+SUM($C111:T111)),0)</f>
        <v>0</v>
      </c>
      <c r="V111" s="7">
        <f ca="1">IF(V110+SUM($C111:U111)&lt;0,-(V110+SUM($C111:U111)),0)</f>
        <v>0</v>
      </c>
      <c r="W111" s="7">
        <f ca="1">IF(W110+SUM($C111:V111)&lt;0,-(W110+SUM($C111:V111)),0)</f>
        <v>0</v>
      </c>
      <c r="X111" s="7">
        <f ca="1">IF(X110+SUM($C111:W111)&lt;0,-(X110+SUM($C111:W111)),0)</f>
        <v>0</v>
      </c>
      <c r="Y111" s="7">
        <f ca="1">IF(Y110+SUM($C111:X111)&lt;0,-(Y110+SUM($C111:X111)),0)</f>
        <v>0</v>
      </c>
      <c r="Z111" s="7">
        <f ca="1">IF(Z110+SUM($C111:Y111)&lt;0,-(Z110+SUM($C111:Y111)),0)</f>
        <v>4769.201214210625</v>
      </c>
      <c r="AA111" s="7">
        <f ca="1">IF(AA110+SUM($C111:Z111)&lt;0,-(AA110+SUM($C111:Z111)),0)</f>
        <v>13954.796549339837</v>
      </c>
      <c r="AB111" s="7">
        <f ca="1">IF(AB110+SUM($C111:AA111)&lt;0,-(AB110+SUM($C111:AA111)),0)</f>
        <v>13994.512359382468</v>
      </c>
      <c r="AC111" s="7">
        <f ca="1">IF(AC110+SUM($C111:AB111)&lt;0,-(AC110+SUM($C111:AB111)),0)</f>
        <v>14025.946441565466</v>
      </c>
      <c r="AD111" s="7">
        <f ca="1">IF(AD110+SUM($C111:AC111)&lt;0,-(AD110+SUM($C111:AC111)),0)</f>
        <v>14048.613513998949</v>
      </c>
      <c r="AE111" s="7">
        <f ca="1">IF(AE110+SUM($C111:AD111)&lt;0,-(AE110+SUM($C111:AD111)),0)</f>
        <v>4079.5327217990707</v>
      </c>
      <c r="AF111" s="7">
        <f ca="1">IF(AF110+SUM($C111:AE111)&lt;0,-(AF110+SUM($C111:AE111)),0)</f>
        <v>3833.5653724923905</v>
      </c>
      <c r="AG111" s="7">
        <f ca="1">IF(AG110+SUM($C111:AF111)&lt;0,-(AG110+SUM($C111:AF111)),0)</f>
        <v>3571.0101694324403</v>
      </c>
      <c r="AH111" s="7">
        <f ca="1">IF(AH110+SUM($C111:AG111)&lt;0,-(AH110+SUM($C111:AG111)),0)</f>
        <v>3291.1392561748216</v>
      </c>
      <c r="AI111" s="7">
        <f ca="1">IF(AI110+SUM($C111:AH111)&lt;0,-(AI110+SUM($C111:AH111)),0)</f>
        <v>2993.1971850609116</v>
      </c>
      <c r="AJ111" s="7">
        <f ca="1">IF(AJ110+SUM($C111:AI111)&lt;0,-(AJ110+SUM($C111:AI111)),0)</f>
        <v>2676.399945593701</v>
      </c>
      <c r="AK111" s="7">
        <f ca="1">IF(AK110+SUM($C111:AJ111)&lt;0,-(AK110+SUM($C111:AJ111)),0)</f>
        <v>2339.9339600669337</v>
      </c>
      <c r="AL111" s="7">
        <f ca="1">IF(AL110+SUM($C111:AK111)&lt;0,-(AL110+SUM($C111:AK111)),0)</f>
        <v>1982.9550453769625</v>
      </c>
      <c r="AM111" s="7">
        <f ca="1">IF(AM110+SUM($C111:AL111)&lt;0,-(AM110+SUM($C111:AL111)),0)</f>
        <v>1604.5873399090779</v>
      </c>
    </row>
    <row r="112" spans="1:39" x14ac:dyDescent="0.2"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  <c r="AB112" s="7"/>
      <c r="AC112" s="7"/>
      <c r="AD112" s="7"/>
      <c r="AE112" s="7"/>
      <c r="AF112" s="7"/>
      <c r="AG112" s="7"/>
      <c r="AH112" s="7"/>
      <c r="AI112" s="7"/>
      <c r="AJ112" s="7"/>
      <c r="AK112" s="7"/>
      <c r="AL112" s="7"/>
      <c r="AM112" s="7"/>
    </row>
    <row r="113" spans="1:39" x14ac:dyDescent="0.2">
      <c r="A113" s="24" t="str">
        <f>IF(Inputs!$B$197=6,IFERROR(_xlfn.XLOOKUP($B113,Inputs!$B$198:$B$202,Inputs!$A$198:$A$202,,0,1),""),IFERROR(_xlfn.XLOOKUP($B113,Inputs!$C$198:$C$202,Inputs!$A$198:$A$202,,0,1),""))</f>
        <v>Marsa</v>
      </c>
      <c r="B113" s="26">
        <v>2</v>
      </c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  <c r="AB113" s="7"/>
      <c r="AC113" s="7"/>
      <c r="AD113" s="7"/>
      <c r="AE113" s="7"/>
      <c r="AF113" s="7"/>
      <c r="AG113" s="7"/>
      <c r="AH113" s="7"/>
      <c r="AI113" s="7"/>
      <c r="AJ113" s="7"/>
      <c r="AK113" s="7"/>
      <c r="AL113" s="7"/>
      <c r="AM113" s="7"/>
    </row>
    <row r="114" spans="1:39" x14ac:dyDescent="0.2">
      <c r="A114" s="3" t="s">
        <v>22</v>
      </c>
      <c r="C114" s="7">
        <f ca="1">IFERROR(VLOOKUP($A113,$A$60:$H$78,C$1+2,FALSE),0)</f>
        <v>122992.58610458997</v>
      </c>
      <c r="D114" s="7">
        <f ca="1">C117</f>
        <v>122992.58610458997</v>
      </c>
      <c r="E114" s="7">
        <f t="shared" ref="E114:AM114" ca="1" si="67">D117</f>
        <v>126682.36368772766</v>
      </c>
      <c r="F114" s="7">
        <f t="shared" ca="1" si="67"/>
        <v>130482.83459835949</v>
      </c>
      <c r="G114" s="7">
        <f t="shared" ca="1" si="67"/>
        <v>134397.31963631028</v>
      </c>
      <c r="H114" s="7">
        <f t="shared" ca="1" si="67"/>
        <v>138429.23922539959</v>
      </c>
      <c r="I114" s="7">
        <f t="shared" ca="1" si="67"/>
        <v>142582.11640216157</v>
      </c>
      <c r="J114" s="7">
        <f t="shared" ca="1" si="67"/>
        <v>146859.57989422642</v>
      </c>
      <c r="K114" s="7">
        <f t="shared" ca="1" si="67"/>
        <v>151265.3672910532</v>
      </c>
      <c r="L114" s="7">
        <f t="shared" ca="1" si="67"/>
        <v>155803.32830978479</v>
      </c>
      <c r="M114" s="7">
        <f t="shared" ca="1" si="67"/>
        <v>0</v>
      </c>
      <c r="N114" s="7">
        <f t="shared" ca="1" si="67"/>
        <v>0</v>
      </c>
      <c r="O114" s="7">
        <f t="shared" ca="1" si="67"/>
        <v>0</v>
      </c>
      <c r="P114" s="7">
        <f t="shared" ca="1" si="67"/>
        <v>0</v>
      </c>
      <c r="Q114" s="7">
        <f t="shared" ca="1" si="67"/>
        <v>0</v>
      </c>
      <c r="R114" s="7">
        <f t="shared" ca="1" si="67"/>
        <v>0</v>
      </c>
      <c r="S114" s="7">
        <f t="shared" ca="1" si="67"/>
        <v>0</v>
      </c>
      <c r="T114" s="7">
        <f t="shared" ca="1" si="67"/>
        <v>0</v>
      </c>
      <c r="U114" s="7">
        <f t="shared" ca="1" si="67"/>
        <v>0</v>
      </c>
      <c r="V114" s="7">
        <f t="shared" ca="1" si="67"/>
        <v>0</v>
      </c>
      <c r="W114" s="7">
        <f t="shared" ca="1" si="67"/>
        <v>0</v>
      </c>
      <c r="X114" s="7">
        <f t="shared" ca="1" si="67"/>
        <v>0</v>
      </c>
      <c r="Y114" s="7">
        <f t="shared" ca="1" si="67"/>
        <v>0</v>
      </c>
      <c r="Z114" s="7">
        <f t="shared" ca="1" si="67"/>
        <v>0</v>
      </c>
      <c r="AA114" s="7">
        <f t="shared" ca="1" si="67"/>
        <v>0</v>
      </c>
      <c r="AB114" s="7">
        <f t="shared" ca="1" si="67"/>
        <v>0</v>
      </c>
      <c r="AC114" s="7">
        <f t="shared" ca="1" si="67"/>
        <v>0</v>
      </c>
      <c r="AD114" s="7">
        <f t="shared" ca="1" si="67"/>
        <v>0</v>
      </c>
      <c r="AE114" s="7">
        <f t="shared" ca="1" si="67"/>
        <v>0</v>
      </c>
      <c r="AF114" s="7">
        <f t="shared" ca="1" si="67"/>
        <v>0</v>
      </c>
      <c r="AG114" s="7">
        <f t="shared" ca="1" si="67"/>
        <v>0</v>
      </c>
      <c r="AH114" s="7">
        <f t="shared" ca="1" si="67"/>
        <v>0</v>
      </c>
      <c r="AI114" s="7">
        <f t="shared" ca="1" si="67"/>
        <v>0</v>
      </c>
      <c r="AJ114" s="7">
        <f t="shared" ca="1" si="67"/>
        <v>0</v>
      </c>
      <c r="AK114" s="7">
        <f t="shared" ca="1" si="67"/>
        <v>0</v>
      </c>
      <c r="AL114" s="7">
        <f t="shared" ca="1" si="67"/>
        <v>0</v>
      </c>
      <c r="AM114" s="7">
        <f t="shared" ca="1" si="67"/>
        <v>0</v>
      </c>
    </row>
    <row r="115" spans="1:39" x14ac:dyDescent="0.2">
      <c r="A115" s="3" t="s">
        <v>23</v>
      </c>
      <c r="C115" s="7">
        <f ca="1">-IF(SUM(C111:D111)&gt;0,C114,0)</f>
        <v>0</v>
      </c>
      <c r="D115" s="7">
        <f ca="1">-IF(E111&gt;0,D114,0)</f>
        <v>0</v>
      </c>
      <c r="E115" s="7">
        <f ca="1">-IF(F111&gt;0,E114,0)</f>
        <v>0</v>
      </c>
      <c r="F115" s="7">
        <f ca="1">-IF(G111&gt;0,F114,0)</f>
        <v>0</v>
      </c>
      <c r="G115" s="7">
        <f t="shared" ref="G115:AM115" ca="1" si="68">-IF(H111&gt;0,G114,0)</f>
        <v>0</v>
      </c>
      <c r="H115" s="7">
        <f t="shared" ca="1" si="68"/>
        <v>0</v>
      </c>
      <c r="I115" s="7">
        <f t="shared" ca="1" si="68"/>
        <v>0</v>
      </c>
      <c r="J115" s="7">
        <f t="shared" ca="1" si="68"/>
        <v>0</v>
      </c>
      <c r="K115" s="7">
        <f t="shared" ca="1" si="68"/>
        <v>0</v>
      </c>
      <c r="L115" s="7">
        <f t="shared" ca="1" si="68"/>
        <v>-155803.32830978479</v>
      </c>
      <c r="M115" s="7">
        <f t="shared" ca="1" si="68"/>
        <v>0</v>
      </c>
      <c r="N115" s="7">
        <f t="shared" ca="1" si="68"/>
        <v>0</v>
      </c>
      <c r="O115" s="7">
        <f t="shared" ca="1" si="68"/>
        <v>0</v>
      </c>
      <c r="P115" s="7">
        <f t="shared" ca="1" si="68"/>
        <v>0</v>
      </c>
      <c r="Q115" s="7">
        <f t="shared" ca="1" si="68"/>
        <v>0</v>
      </c>
      <c r="R115" s="7">
        <f t="shared" ca="1" si="68"/>
        <v>0</v>
      </c>
      <c r="S115" s="7">
        <f t="shared" ca="1" si="68"/>
        <v>0</v>
      </c>
      <c r="T115" s="7">
        <f t="shared" ca="1" si="68"/>
        <v>0</v>
      </c>
      <c r="U115" s="7">
        <f t="shared" ca="1" si="68"/>
        <v>0</v>
      </c>
      <c r="V115" s="7">
        <f t="shared" ca="1" si="68"/>
        <v>0</v>
      </c>
      <c r="W115" s="7">
        <f t="shared" ca="1" si="68"/>
        <v>0</v>
      </c>
      <c r="X115" s="7">
        <f t="shared" ca="1" si="68"/>
        <v>0</v>
      </c>
      <c r="Y115" s="7">
        <f t="shared" ca="1" si="68"/>
        <v>0</v>
      </c>
      <c r="Z115" s="7">
        <f t="shared" ca="1" si="68"/>
        <v>0</v>
      </c>
      <c r="AA115" s="7">
        <f t="shared" ca="1" si="68"/>
        <v>0</v>
      </c>
      <c r="AB115" s="7">
        <f t="shared" ca="1" si="68"/>
        <v>0</v>
      </c>
      <c r="AC115" s="7">
        <f t="shared" ca="1" si="68"/>
        <v>0</v>
      </c>
      <c r="AD115" s="7">
        <f t="shared" ca="1" si="68"/>
        <v>0</v>
      </c>
      <c r="AE115" s="7">
        <f t="shared" ca="1" si="68"/>
        <v>0</v>
      </c>
      <c r="AF115" s="7">
        <f t="shared" ca="1" si="68"/>
        <v>0</v>
      </c>
      <c r="AG115" s="7">
        <f t="shared" ca="1" si="68"/>
        <v>0</v>
      </c>
      <c r="AH115" s="7">
        <f t="shared" ca="1" si="68"/>
        <v>0</v>
      </c>
      <c r="AI115" s="7">
        <f t="shared" ca="1" si="68"/>
        <v>0</v>
      </c>
      <c r="AJ115" s="7">
        <f t="shared" ca="1" si="68"/>
        <v>0</v>
      </c>
      <c r="AK115" s="7">
        <f t="shared" ca="1" si="68"/>
        <v>0</v>
      </c>
      <c r="AL115" s="7">
        <f t="shared" ca="1" si="68"/>
        <v>0</v>
      </c>
      <c r="AM115" s="7">
        <f t="shared" si="68"/>
        <v>0</v>
      </c>
    </row>
    <row r="116" spans="1:39" x14ac:dyDescent="0.2">
      <c r="A116" s="3" t="s">
        <v>24</v>
      </c>
      <c r="C116" s="7">
        <v>0</v>
      </c>
      <c r="D116" s="7">
        <f t="shared" ref="D116:G116" ca="1" si="69">SUM(D114:D115)*princ</f>
        <v>3689.7775831376989</v>
      </c>
      <c r="E116" s="7">
        <f t="shared" ca="1" si="69"/>
        <v>3800.4709106318296</v>
      </c>
      <c r="F116" s="7">
        <f t="shared" ca="1" si="69"/>
        <v>3914.4850379507848</v>
      </c>
      <c r="G116" s="7">
        <f t="shared" ca="1" si="69"/>
        <v>4031.9195890893079</v>
      </c>
      <c r="H116" s="7">
        <f t="shared" ref="H116:I116" ca="1" si="70">SUM(H114:H115)*princ</f>
        <v>4152.8771767619874</v>
      </c>
      <c r="I116" s="7">
        <f t="shared" ca="1" si="70"/>
        <v>4277.4634920648468</v>
      </c>
      <c r="J116" s="7">
        <f t="shared" ref="J116:AM116" ca="1" si="71">SUM(J114:J115)*princ</f>
        <v>4405.7873968267922</v>
      </c>
      <c r="K116" s="7">
        <f t="shared" ca="1" si="71"/>
        <v>4537.9610187315957</v>
      </c>
      <c r="L116" s="7">
        <f t="shared" ca="1" si="71"/>
        <v>0</v>
      </c>
      <c r="M116" s="7">
        <f t="shared" ca="1" si="71"/>
        <v>0</v>
      </c>
      <c r="N116" s="7">
        <f t="shared" ca="1" si="71"/>
        <v>0</v>
      </c>
      <c r="O116" s="7">
        <f t="shared" ca="1" si="71"/>
        <v>0</v>
      </c>
      <c r="P116" s="7">
        <f t="shared" ca="1" si="71"/>
        <v>0</v>
      </c>
      <c r="Q116" s="7">
        <f t="shared" ca="1" si="71"/>
        <v>0</v>
      </c>
      <c r="R116" s="7">
        <f t="shared" ca="1" si="71"/>
        <v>0</v>
      </c>
      <c r="S116" s="7">
        <f t="shared" ca="1" si="71"/>
        <v>0</v>
      </c>
      <c r="T116" s="7">
        <f t="shared" ca="1" si="71"/>
        <v>0</v>
      </c>
      <c r="U116" s="7">
        <f t="shared" ca="1" si="71"/>
        <v>0</v>
      </c>
      <c r="V116" s="7">
        <f t="shared" ca="1" si="71"/>
        <v>0</v>
      </c>
      <c r="W116" s="7">
        <f t="shared" ca="1" si="71"/>
        <v>0</v>
      </c>
      <c r="X116" s="7">
        <f t="shared" ca="1" si="71"/>
        <v>0</v>
      </c>
      <c r="Y116" s="7">
        <f t="shared" ca="1" si="71"/>
        <v>0</v>
      </c>
      <c r="Z116" s="7">
        <f t="shared" ca="1" si="71"/>
        <v>0</v>
      </c>
      <c r="AA116" s="7">
        <f t="shared" ca="1" si="71"/>
        <v>0</v>
      </c>
      <c r="AB116" s="7">
        <f t="shared" ca="1" si="71"/>
        <v>0</v>
      </c>
      <c r="AC116" s="7">
        <f t="shared" ca="1" si="71"/>
        <v>0</v>
      </c>
      <c r="AD116" s="7">
        <f t="shared" ca="1" si="71"/>
        <v>0</v>
      </c>
      <c r="AE116" s="7">
        <f t="shared" ca="1" si="71"/>
        <v>0</v>
      </c>
      <c r="AF116" s="7">
        <f t="shared" ca="1" si="71"/>
        <v>0</v>
      </c>
      <c r="AG116" s="7">
        <f t="shared" ca="1" si="71"/>
        <v>0</v>
      </c>
      <c r="AH116" s="7">
        <f t="shared" ca="1" si="71"/>
        <v>0</v>
      </c>
      <c r="AI116" s="7">
        <f t="shared" ca="1" si="71"/>
        <v>0</v>
      </c>
      <c r="AJ116" s="7">
        <f t="shared" ca="1" si="71"/>
        <v>0</v>
      </c>
      <c r="AK116" s="7">
        <f t="shared" ca="1" si="71"/>
        <v>0</v>
      </c>
      <c r="AL116" s="7">
        <f t="shared" ca="1" si="71"/>
        <v>0</v>
      </c>
      <c r="AM116" s="7">
        <f t="shared" ca="1" si="71"/>
        <v>0</v>
      </c>
    </row>
    <row r="117" spans="1:39" x14ac:dyDescent="0.2">
      <c r="A117" s="3" t="s">
        <v>25</v>
      </c>
      <c r="C117" s="7">
        <f ca="1">SUM(C114:C116)</f>
        <v>122992.58610458997</v>
      </c>
      <c r="D117" s="7">
        <f t="shared" ref="D117:AM117" ca="1" si="72">SUM(D114:D116)</f>
        <v>126682.36368772766</v>
      </c>
      <c r="E117" s="7">
        <f t="shared" ca="1" si="72"/>
        <v>130482.83459835949</v>
      </c>
      <c r="F117" s="7">
        <f t="shared" ca="1" si="72"/>
        <v>134397.31963631028</v>
      </c>
      <c r="G117" s="7">
        <f t="shared" ca="1" si="72"/>
        <v>138429.23922539959</v>
      </c>
      <c r="H117" s="7">
        <f t="shared" ca="1" si="72"/>
        <v>142582.11640216157</v>
      </c>
      <c r="I117" s="7">
        <f t="shared" ca="1" si="72"/>
        <v>146859.57989422642</v>
      </c>
      <c r="J117" s="7">
        <f t="shared" ca="1" si="72"/>
        <v>151265.3672910532</v>
      </c>
      <c r="K117" s="7">
        <f t="shared" ca="1" si="72"/>
        <v>155803.32830978479</v>
      </c>
      <c r="L117" s="7">
        <f t="shared" ca="1" si="72"/>
        <v>0</v>
      </c>
      <c r="M117" s="7">
        <f t="shared" ca="1" si="72"/>
        <v>0</v>
      </c>
      <c r="N117" s="7">
        <f t="shared" ca="1" si="72"/>
        <v>0</v>
      </c>
      <c r="O117" s="7">
        <f t="shared" ca="1" si="72"/>
        <v>0</v>
      </c>
      <c r="P117" s="7">
        <f t="shared" ca="1" si="72"/>
        <v>0</v>
      </c>
      <c r="Q117" s="7">
        <f t="shared" ca="1" si="72"/>
        <v>0</v>
      </c>
      <c r="R117" s="7">
        <f t="shared" ca="1" si="72"/>
        <v>0</v>
      </c>
      <c r="S117" s="7">
        <f t="shared" ca="1" si="72"/>
        <v>0</v>
      </c>
      <c r="T117" s="7">
        <f t="shared" ca="1" si="72"/>
        <v>0</v>
      </c>
      <c r="U117" s="7">
        <f t="shared" ca="1" si="72"/>
        <v>0</v>
      </c>
      <c r="V117" s="7">
        <f t="shared" ca="1" si="72"/>
        <v>0</v>
      </c>
      <c r="W117" s="7">
        <f t="shared" ca="1" si="72"/>
        <v>0</v>
      </c>
      <c r="X117" s="7">
        <f t="shared" ca="1" si="72"/>
        <v>0</v>
      </c>
      <c r="Y117" s="7">
        <f t="shared" ca="1" si="72"/>
        <v>0</v>
      </c>
      <c r="Z117" s="7">
        <f t="shared" ca="1" si="72"/>
        <v>0</v>
      </c>
      <c r="AA117" s="7">
        <f t="shared" ca="1" si="72"/>
        <v>0</v>
      </c>
      <c r="AB117" s="7">
        <f t="shared" ca="1" si="72"/>
        <v>0</v>
      </c>
      <c r="AC117" s="7">
        <f t="shared" ca="1" si="72"/>
        <v>0</v>
      </c>
      <c r="AD117" s="7">
        <f t="shared" ca="1" si="72"/>
        <v>0</v>
      </c>
      <c r="AE117" s="7">
        <f t="shared" ca="1" si="72"/>
        <v>0</v>
      </c>
      <c r="AF117" s="7">
        <f t="shared" ca="1" si="72"/>
        <v>0</v>
      </c>
      <c r="AG117" s="7">
        <f t="shared" ca="1" si="72"/>
        <v>0</v>
      </c>
      <c r="AH117" s="7">
        <f t="shared" ca="1" si="72"/>
        <v>0</v>
      </c>
      <c r="AI117" s="7">
        <f t="shared" ca="1" si="72"/>
        <v>0</v>
      </c>
      <c r="AJ117" s="7">
        <f t="shared" ca="1" si="72"/>
        <v>0</v>
      </c>
      <c r="AK117" s="7">
        <f t="shared" ca="1" si="72"/>
        <v>0</v>
      </c>
      <c r="AL117" s="7">
        <f t="shared" ca="1" si="72"/>
        <v>0</v>
      </c>
      <c r="AM117" s="7">
        <f t="shared" ca="1" si="72"/>
        <v>0</v>
      </c>
    </row>
    <row r="118" spans="1:39" x14ac:dyDescent="0.2">
      <c r="A118" s="3" t="s">
        <v>26</v>
      </c>
      <c r="C118" s="7">
        <f ca="1">C115*Inputs!$B$195</f>
        <v>0</v>
      </c>
      <c r="D118" s="7">
        <f ca="1">D115*Inputs!$B$195</f>
        <v>0</v>
      </c>
      <c r="E118" s="7">
        <f ca="1">E115*Inputs!$B$195</f>
        <v>0</v>
      </c>
      <c r="F118" s="7">
        <f ca="1">F115*Inputs!$B$195</f>
        <v>0</v>
      </c>
      <c r="G118" s="7">
        <f ca="1">G115*Inputs!$B$195</f>
        <v>0</v>
      </c>
      <c r="H118" s="7">
        <f ca="1">H115*Inputs!$B$195</f>
        <v>0</v>
      </c>
      <c r="I118" s="7">
        <f ca="1">I115*Inputs!$B$195</f>
        <v>0</v>
      </c>
      <c r="J118" s="7">
        <f ca="1">J115*Inputs!$B$195</f>
        <v>0</v>
      </c>
      <c r="K118" s="7">
        <f ca="1">K115*Inputs!$B$195</f>
        <v>0</v>
      </c>
      <c r="L118" s="7">
        <f ca="1">L115*Inputs!$B$195</f>
        <v>-23370.499246467716</v>
      </c>
      <c r="M118" s="7">
        <f ca="1">M115*Inputs!$B$195</f>
        <v>0</v>
      </c>
      <c r="N118" s="7">
        <f ca="1">N115*Inputs!$B$195</f>
        <v>0</v>
      </c>
      <c r="O118" s="7">
        <f ca="1">O115*Inputs!$B$195</f>
        <v>0</v>
      </c>
      <c r="P118" s="7">
        <f ca="1">P115*Inputs!$B$195</f>
        <v>0</v>
      </c>
      <c r="Q118" s="7">
        <f ca="1">Q115*Inputs!$B$195</f>
        <v>0</v>
      </c>
      <c r="R118" s="7">
        <f ca="1">R115*Inputs!$B$195</f>
        <v>0</v>
      </c>
      <c r="S118" s="7">
        <f ca="1">S115*Inputs!$B$195</f>
        <v>0</v>
      </c>
      <c r="T118" s="7">
        <f ca="1">T115*Inputs!$B$195</f>
        <v>0</v>
      </c>
      <c r="U118" s="7">
        <f ca="1">U115*Inputs!$B$195</f>
        <v>0</v>
      </c>
      <c r="V118" s="7">
        <f ca="1">V115*Inputs!$B$195</f>
        <v>0</v>
      </c>
      <c r="W118" s="7">
        <f ca="1">W115*Inputs!$B$195</f>
        <v>0</v>
      </c>
      <c r="X118" s="7">
        <f ca="1">X115*Inputs!$B$195</f>
        <v>0</v>
      </c>
      <c r="Y118" s="7">
        <f ca="1">Y115*Inputs!$B$195</f>
        <v>0</v>
      </c>
      <c r="Z118" s="7">
        <f ca="1">Z115*Inputs!$B$195</f>
        <v>0</v>
      </c>
      <c r="AA118" s="7">
        <f ca="1">AA115*Inputs!$B$195</f>
        <v>0</v>
      </c>
      <c r="AB118" s="7">
        <f ca="1">AB115*Inputs!$B$195</f>
        <v>0</v>
      </c>
      <c r="AC118" s="7">
        <f ca="1">AC115*Inputs!$B$195</f>
        <v>0</v>
      </c>
      <c r="AD118" s="7">
        <f ca="1">AD115*Inputs!$B$195</f>
        <v>0</v>
      </c>
      <c r="AE118" s="7">
        <f ca="1">AE115*Inputs!$B$195</f>
        <v>0</v>
      </c>
      <c r="AF118" s="7">
        <f ca="1">AF115*Inputs!$B$195</f>
        <v>0</v>
      </c>
      <c r="AG118" s="7">
        <f ca="1">AG115*Inputs!$B$195</f>
        <v>0</v>
      </c>
      <c r="AH118" s="7">
        <f ca="1">AH115*Inputs!$B$195</f>
        <v>0</v>
      </c>
      <c r="AI118" s="7">
        <f ca="1">AI115*Inputs!$B$195</f>
        <v>0</v>
      </c>
      <c r="AJ118" s="7">
        <f ca="1">AJ115*Inputs!$B$195</f>
        <v>0</v>
      </c>
      <c r="AK118" s="7">
        <f ca="1">AK115*Inputs!$B$195</f>
        <v>0</v>
      </c>
      <c r="AL118" s="7">
        <f ca="1">AL115*Inputs!$B$195</f>
        <v>0</v>
      </c>
      <c r="AM118" s="7">
        <f>AM115*Inputs!$B$195</f>
        <v>0</v>
      </c>
    </row>
    <row r="119" spans="1:39" x14ac:dyDescent="0.2">
      <c r="A119" s="3" t="s">
        <v>31</v>
      </c>
      <c r="C119" s="7">
        <f t="shared" ref="C119:AM119" ca="1" si="73">IFERROR(-IF(C114=0,VLOOKUP($A113,$8:$12,C$1+2,FALSE),0),0)</f>
        <v>0</v>
      </c>
      <c r="D119" s="7">
        <f t="shared" ca="1" si="73"/>
        <v>0</v>
      </c>
      <c r="E119" s="7">
        <f t="shared" ca="1" si="73"/>
        <v>0</v>
      </c>
      <c r="F119" s="7">
        <f t="shared" ca="1" si="73"/>
        <v>0</v>
      </c>
      <c r="G119" s="7">
        <f t="shared" ca="1" si="73"/>
        <v>0</v>
      </c>
      <c r="H119" s="7">
        <f t="shared" ca="1" si="73"/>
        <v>0</v>
      </c>
      <c r="I119" s="7">
        <f t="shared" ca="1" si="73"/>
        <v>0</v>
      </c>
      <c r="J119" s="7">
        <f t="shared" ca="1" si="73"/>
        <v>0</v>
      </c>
      <c r="K119" s="7">
        <f t="shared" ca="1" si="73"/>
        <v>0</v>
      </c>
      <c r="L119" s="7">
        <f t="shared" ca="1" si="73"/>
        <v>0</v>
      </c>
      <c r="M119" s="7">
        <f t="shared" ca="1" si="73"/>
        <v>-7279.5470547806617</v>
      </c>
      <c r="N119" s="7">
        <f t="shared" ca="1" si="73"/>
        <v>-7497.9334664240814</v>
      </c>
      <c r="O119" s="7">
        <f t="shared" ca="1" si="73"/>
        <v>-7722.8714704168042</v>
      </c>
      <c r="P119" s="7">
        <f t="shared" ca="1" si="73"/>
        <v>-7954.5576145293089</v>
      </c>
      <c r="Q119" s="7">
        <f t="shared" ca="1" si="73"/>
        <v>-8193.1943429651892</v>
      </c>
      <c r="R119" s="7">
        <f t="shared" ca="1" si="73"/>
        <v>-8438.9901732541457</v>
      </c>
      <c r="S119" s="7">
        <f t="shared" ca="1" si="73"/>
        <v>-8692.1598784517701</v>
      </c>
      <c r="T119" s="7">
        <f t="shared" ca="1" si="73"/>
        <v>-8952.9246748053229</v>
      </c>
      <c r="U119" s="7">
        <f t="shared" ca="1" si="73"/>
        <v>-9221.512415049483</v>
      </c>
      <c r="V119" s="7">
        <f t="shared" ca="1" si="73"/>
        <v>-9498.157787500968</v>
      </c>
      <c r="W119" s="7">
        <f t="shared" ca="1" si="73"/>
        <v>-9783.1025211259966</v>
      </c>
      <c r="X119" s="7">
        <f t="shared" ca="1" si="73"/>
        <v>-10076.595596759777</v>
      </c>
      <c r="Y119" s="7">
        <f t="shared" ca="1" si="73"/>
        <v>-10378.893464662569</v>
      </c>
      <c r="Z119" s="7">
        <f t="shared" ca="1" si="73"/>
        <v>-10690.260268602447</v>
      </c>
      <c r="AA119" s="7">
        <f t="shared" ca="1" si="73"/>
        <v>-11010.968076660522</v>
      </c>
      <c r="AB119" s="7">
        <f t="shared" ca="1" si="73"/>
        <v>-11341.297118960338</v>
      </c>
      <c r="AC119" s="7">
        <f t="shared" ca="1" si="73"/>
        <v>-11681.536032529148</v>
      </c>
      <c r="AD119" s="7">
        <f t="shared" ca="1" si="73"/>
        <v>-12031.982113505022</v>
      </c>
      <c r="AE119" s="7">
        <f t="shared" ca="1" si="73"/>
        <v>-12392.941576910174</v>
      </c>
      <c r="AF119" s="7">
        <f t="shared" ca="1" si="73"/>
        <v>-12764.72982421748</v>
      </c>
      <c r="AG119" s="7">
        <f t="shared" ca="1" si="73"/>
        <v>-13147.671718944004</v>
      </c>
      <c r="AH119" s="7">
        <f t="shared" ca="1" si="73"/>
        <v>-13542.101870512324</v>
      </c>
      <c r="AI119" s="7">
        <f t="shared" ca="1" si="73"/>
        <v>-13948.364926627693</v>
      </c>
      <c r="AJ119" s="7">
        <f t="shared" ca="1" si="73"/>
        <v>-14366.815874426524</v>
      </c>
      <c r="AK119" s="7">
        <f t="shared" ca="1" si="73"/>
        <v>-14797.82035065932</v>
      </c>
      <c r="AL119" s="7">
        <f t="shared" ca="1" si="73"/>
        <v>-15241.7549611791</v>
      </c>
      <c r="AM119" s="7">
        <f t="shared" ca="1" si="73"/>
        <v>-15699.007610014474</v>
      </c>
    </row>
    <row r="120" spans="1:39" x14ac:dyDescent="0.2">
      <c r="A120" s="3" t="s">
        <v>50</v>
      </c>
      <c r="C120" s="7">
        <f t="shared" ref="C120:AM120" ca="1" si="74">IFERROR(IF(C114=0,VLOOKUP($A113,$40:$44,C$1+2,FALSE),0),0)</f>
        <v>0</v>
      </c>
      <c r="D120" s="7">
        <f t="shared" ca="1" si="74"/>
        <v>0</v>
      </c>
      <c r="E120" s="7">
        <f t="shared" ca="1" si="74"/>
        <v>0</v>
      </c>
      <c r="F120" s="7">
        <f t="shared" ca="1" si="74"/>
        <v>0</v>
      </c>
      <c r="G120" s="7">
        <f t="shared" ca="1" si="74"/>
        <v>0</v>
      </c>
      <c r="H120" s="7">
        <f t="shared" ca="1" si="74"/>
        <v>0</v>
      </c>
      <c r="I120" s="7">
        <f t="shared" ca="1" si="74"/>
        <v>0</v>
      </c>
      <c r="J120" s="7">
        <f t="shared" ca="1" si="74"/>
        <v>0</v>
      </c>
      <c r="K120" s="7">
        <f t="shared" ca="1" si="74"/>
        <v>0</v>
      </c>
      <c r="L120" s="7">
        <f t="shared" ca="1" si="74"/>
        <v>0</v>
      </c>
      <c r="M120" s="7">
        <f t="shared" ca="1" si="74"/>
        <v>1024.0676353570857</v>
      </c>
      <c r="N120" s="7">
        <f t="shared" ca="1" si="74"/>
        <v>1049.6693262410129</v>
      </c>
      <c r="O120" s="7">
        <f t="shared" ca="1" si="74"/>
        <v>1075.9110593970381</v>
      </c>
      <c r="P120" s="7">
        <f t="shared" ca="1" si="74"/>
        <v>1102.8088358819639</v>
      </c>
      <c r="Q120" s="7">
        <f t="shared" ca="1" si="74"/>
        <v>1130.3790567790129</v>
      </c>
      <c r="R120" s="7">
        <f t="shared" ca="1" si="74"/>
        <v>1158.6385331984884</v>
      </c>
      <c r="S120" s="7">
        <f t="shared" ca="1" si="74"/>
        <v>1187.6044965284505</v>
      </c>
      <c r="T120" s="7">
        <f t="shared" ca="1" si="74"/>
        <v>1217.2946089416616</v>
      </c>
      <c r="U120" s="7">
        <f t="shared" ca="1" si="74"/>
        <v>1247.7269741652033</v>
      </c>
      <c r="V120" s="7">
        <f t="shared" ca="1" si="74"/>
        <v>1278.9201485193332</v>
      </c>
      <c r="W120" s="7">
        <f t="shared" ca="1" si="74"/>
        <v>1310.8931522323164</v>
      </c>
      <c r="X120" s="7">
        <f t="shared" ca="1" si="74"/>
        <v>1343.6654810381242</v>
      </c>
      <c r="Y120" s="7">
        <f t="shared" ca="1" si="74"/>
        <v>1377.2571180640773</v>
      </c>
      <c r="Z120" s="7">
        <f t="shared" ca="1" si="74"/>
        <v>1411.6885460156793</v>
      </c>
      <c r="AA120" s="7">
        <f t="shared" ca="1" si="74"/>
        <v>1446.9807596660712</v>
      </c>
      <c r="AB120" s="7">
        <f t="shared" ca="1" si="74"/>
        <v>1483.1552786577226</v>
      </c>
      <c r="AC120" s="7">
        <f t="shared" ca="1" si="74"/>
        <v>1520.2341606241657</v>
      </c>
      <c r="AD120" s="7">
        <f t="shared" ca="1" si="74"/>
        <v>1558.2400146397697</v>
      </c>
      <c r="AE120" s="7">
        <f t="shared" ca="1" si="74"/>
        <v>1597.1960150057639</v>
      </c>
      <c r="AF120" s="7">
        <f t="shared" ca="1" si="74"/>
        <v>1637.1259153809081</v>
      </c>
      <c r="AG120" s="7">
        <f t="shared" ca="1" si="74"/>
        <v>1678.0540632654304</v>
      </c>
      <c r="AH120" s="7">
        <f t="shared" ca="1" si="74"/>
        <v>1720.0054148470667</v>
      </c>
      <c r="AI120" s="7">
        <f t="shared" ca="1" si="74"/>
        <v>1763.0055502182429</v>
      </c>
      <c r="AJ120" s="7">
        <f t="shared" ca="1" si="74"/>
        <v>1807.0806889736989</v>
      </c>
      <c r="AK120" s="7">
        <f t="shared" ca="1" si="74"/>
        <v>1852.2577061980414</v>
      </c>
      <c r="AL120" s="7">
        <f t="shared" ca="1" si="74"/>
        <v>1898.5641488529923</v>
      </c>
      <c r="AM120" s="7">
        <f t="shared" ca="1" si="74"/>
        <v>1946.0282525743171</v>
      </c>
    </row>
    <row r="121" spans="1:39" x14ac:dyDescent="0.2">
      <c r="A121" s="3" t="s">
        <v>36</v>
      </c>
      <c r="B121" s="14" t="str">
        <f>A113</f>
        <v>Marsa</v>
      </c>
      <c r="C121" s="7">
        <f t="shared" ref="C121:AM121" ca="1" si="75">IF(AND(C114&gt;0,C117=0),VLOOKUP($A113,$72:$76,C$1+2,FALSE),0)</f>
        <v>0</v>
      </c>
      <c r="D121" s="7">
        <f t="shared" ca="1" si="75"/>
        <v>0</v>
      </c>
      <c r="E121" s="7">
        <f t="shared" ca="1" si="75"/>
        <v>0</v>
      </c>
      <c r="F121" s="7">
        <f t="shared" ca="1" si="75"/>
        <v>0</v>
      </c>
      <c r="G121" s="7">
        <f t="shared" ca="1" si="75"/>
        <v>0</v>
      </c>
      <c r="H121" s="7">
        <f t="shared" ca="1" si="75"/>
        <v>0</v>
      </c>
      <c r="I121" s="7">
        <f t="shared" ca="1" si="75"/>
        <v>0</v>
      </c>
      <c r="J121" s="7">
        <f t="shared" ca="1" si="75"/>
        <v>0</v>
      </c>
      <c r="K121" s="7">
        <f t="shared" ca="1" si="75"/>
        <v>0</v>
      </c>
      <c r="L121" s="7">
        <f t="shared" ca="1" si="75"/>
        <v>0</v>
      </c>
      <c r="M121" s="7">
        <f t="shared" ca="1" si="75"/>
        <v>0</v>
      </c>
      <c r="N121" s="7">
        <f t="shared" ca="1" si="75"/>
        <v>0</v>
      </c>
      <c r="O121" s="7">
        <f t="shared" ca="1" si="75"/>
        <v>0</v>
      </c>
      <c r="P121" s="7">
        <f t="shared" ca="1" si="75"/>
        <v>0</v>
      </c>
      <c r="Q121" s="7">
        <f t="shared" ca="1" si="75"/>
        <v>0</v>
      </c>
      <c r="R121" s="7">
        <f t="shared" ca="1" si="75"/>
        <v>0</v>
      </c>
      <c r="S121" s="7">
        <f t="shared" ca="1" si="75"/>
        <v>0</v>
      </c>
      <c r="T121" s="7">
        <f t="shared" ca="1" si="75"/>
        <v>0</v>
      </c>
      <c r="U121" s="7">
        <f t="shared" ca="1" si="75"/>
        <v>0</v>
      </c>
      <c r="V121" s="7">
        <f t="shared" ca="1" si="75"/>
        <v>0</v>
      </c>
      <c r="W121" s="7">
        <f t="shared" ca="1" si="75"/>
        <v>0</v>
      </c>
      <c r="X121" s="7">
        <f t="shared" ca="1" si="75"/>
        <v>0</v>
      </c>
      <c r="Y121" s="7">
        <f t="shared" ca="1" si="75"/>
        <v>0</v>
      </c>
      <c r="Z121" s="7">
        <f t="shared" ca="1" si="75"/>
        <v>0</v>
      </c>
      <c r="AA121" s="7">
        <f t="shared" ca="1" si="75"/>
        <v>0</v>
      </c>
      <c r="AB121" s="7">
        <f t="shared" ca="1" si="75"/>
        <v>0</v>
      </c>
      <c r="AC121" s="7">
        <f t="shared" ca="1" si="75"/>
        <v>0</v>
      </c>
      <c r="AD121" s="7">
        <f t="shared" ca="1" si="75"/>
        <v>0</v>
      </c>
      <c r="AE121" s="7">
        <f t="shared" ca="1" si="75"/>
        <v>0</v>
      </c>
      <c r="AF121" s="7">
        <f t="shared" ca="1" si="75"/>
        <v>0</v>
      </c>
      <c r="AG121" s="7">
        <f t="shared" ca="1" si="75"/>
        <v>0</v>
      </c>
      <c r="AH121" s="7">
        <f t="shared" ca="1" si="75"/>
        <v>0</v>
      </c>
      <c r="AI121" s="7">
        <f t="shared" ca="1" si="75"/>
        <v>0</v>
      </c>
      <c r="AJ121" s="7">
        <f t="shared" ca="1" si="75"/>
        <v>0</v>
      </c>
      <c r="AK121" s="7">
        <f t="shared" ca="1" si="75"/>
        <v>0</v>
      </c>
      <c r="AL121" s="7">
        <f t="shared" ca="1" si="75"/>
        <v>0</v>
      </c>
      <c r="AM121" s="7">
        <f t="shared" ca="1" si="75"/>
        <v>0</v>
      </c>
    </row>
    <row r="122" spans="1:39" x14ac:dyDescent="0.2">
      <c r="A122" s="3" t="s">
        <v>37</v>
      </c>
      <c r="C122" s="7">
        <f ca="1">-C115+SUM(C118:C121)</f>
        <v>0</v>
      </c>
      <c r="D122" s="7">
        <f t="shared" ref="D122" ca="1" si="76">-D115+SUM(D118:D121)</f>
        <v>0</v>
      </c>
      <c r="E122" s="7">
        <f t="shared" ref="E122:AM122" ca="1" si="77">-E115+SUM(E118:E121)</f>
        <v>0</v>
      </c>
      <c r="F122" s="7">
        <f t="shared" ca="1" si="77"/>
        <v>0</v>
      </c>
      <c r="G122" s="7">
        <f t="shared" ca="1" si="77"/>
        <v>0</v>
      </c>
      <c r="H122" s="7">
        <f t="shared" ca="1" si="77"/>
        <v>0</v>
      </c>
      <c r="I122" s="7">
        <f t="shared" ca="1" si="77"/>
        <v>0</v>
      </c>
      <c r="J122" s="7">
        <f t="shared" ca="1" si="77"/>
        <v>0</v>
      </c>
      <c r="K122" s="7">
        <f t="shared" ca="1" si="77"/>
        <v>0</v>
      </c>
      <c r="L122" s="7">
        <f t="shared" ca="1" si="77"/>
        <v>132432.82906331707</v>
      </c>
      <c r="M122" s="7">
        <f t="shared" ca="1" si="77"/>
        <v>-6255.4794194235765</v>
      </c>
      <c r="N122" s="7">
        <f t="shared" ca="1" si="77"/>
        <v>-6448.2641401830688</v>
      </c>
      <c r="O122" s="7">
        <f t="shared" ca="1" si="77"/>
        <v>-6646.9604110197661</v>
      </c>
      <c r="P122" s="7">
        <f t="shared" ca="1" si="77"/>
        <v>-6851.7487786473448</v>
      </c>
      <c r="Q122" s="7">
        <f t="shared" ca="1" si="77"/>
        <v>-7062.8152861861763</v>
      </c>
      <c r="R122" s="7">
        <f t="shared" ca="1" si="77"/>
        <v>-7280.3516400556573</v>
      </c>
      <c r="S122" s="7">
        <f t="shared" ca="1" si="77"/>
        <v>-7504.5553819233191</v>
      </c>
      <c r="T122" s="7">
        <f t="shared" ca="1" si="77"/>
        <v>-7735.630065863661</v>
      </c>
      <c r="U122" s="7">
        <f t="shared" ca="1" si="77"/>
        <v>-7973.7854408842795</v>
      </c>
      <c r="V122" s="7">
        <f t="shared" ca="1" si="77"/>
        <v>-8219.2376389816345</v>
      </c>
      <c r="W122" s="7">
        <f t="shared" ca="1" si="77"/>
        <v>-8472.2093688936802</v>
      </c>
      <c r="X122" s="7">
        <f t="shared" ca="1" si="77"/>
        <v>-8732.9301157216523</v>
      </c>
      <c r="Y122" s="7">
        <f t="shared" ca="1" si="77"/>
        <v>-9001.6363465984923</v>
      </c>
      <c r="Z122" s="7">
        <f t="shared" ca="1" si="77"/>
        <v>-9278.5717225867684</v>
      </c>
      <c r="AA122" s="7">
        <f t="shared" ca="1" si="77"/>
        <v>-9563.9873169944512</v>
      </c>
      <c r="AB122" s="7">
        <f t="shared" ca="1" si="77"/>
        <v>-9858.1418403026146</v>
      </c>
      <c r="AC122" s="7">
        <f t="shared" ca="1" si="77"/>
        <v>-10161.301871904981</v>
      </c>
      <c r="AD122" s="7">
        <f t="shared" ca="1" si="77"/>
        <v>-10473.742098865252</v>
      </c>
      <c r="AE122" s="7">
        <f t="shared" ca="1" si="77"/>
        <v>-10795.74556190441</v>
      </c>
      <c r="AF122" s="7">
        <f t="shared" ca="1" si="77"/>
        <v>-11127.603908836572</v>
      </c>
      <c r="AG122" s="7">
        <f t="shared" ca="1" si="77"/>
        <v>-11469.617655678574</v>
      </c>
      <c r="AH122" s="7">
        <f t="shared" ca="1" si="77"/>
        <v>-11822.096455665258</v>
      </c>
      <c r="AI122" s="7">
        <f t="shared" ca="1" si="77"/>
        <v>-12185.359376409451</v>
      </c>
      <c r="AJ122" s="7">
        <f t="shared" ca="1" si="77"/>
        <v>-12559.735185452824</v>
      </c>
      <c r="AK122" s="7">
        <f t="shared" ca="1" si="77"/>
        <v>-12945.562644461279</v>
      </c>
      <c r="AL122" s="7">
        <f t="shared" ca="1" si="77"/>
        <v>-13343.190812326107</v>
      </c>
      <c r="AM122" s="7">
        <f t="shared" ca="1" si="77"/>
        <v>-13752.979357440157</v>
      </c>
    </row>
    <row r="123" spans="1:39" x14ac:dyDescent="0.2">
      <c r="A123" s="3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7"/>
      <c r="AC123" s="7"/>
      <c r="AD123" s="7"/>
      <c r="AE123" s="7"/>
      <c r="AF123" s="7"/>
      <c r="AG123" s="7"/>
      <c r="AH123" s="7"/>
      <c r="AI123" s="7"/>
      <c r="AJ123" s="7"/>
      <c r="AK123" s="7"/>
      <c r="AL123" s="7"/>
      <c r="AM123" s="7"/>
    </row>
    <row r="124" spans="1:39" x14ac:dyDescent="0.2">
      <c r="A124" s="3" t="s">
        <v>77</v>
      </c>
      <c r="C124" s="7">
        <f ca="1">C110+SUM($C122:C122)</f>
        <v>33136.875000000015</v>
      </c>
      <c r="D124" s="7">
        <f ca="1">D110+SUM($C122:D122)</f>
        <v>57140.903125000026</v>
      </c>
      <c r="E124" s="7">
        <f ca="1">E110+SUM($C122:E122)</f>
        <v>87759.433828125038</v>
      </c>
      <c r="F124" s="7">
        <f ca="1">F110+SUM($C122:F122)</f>
        <v>99100.176411377644</v>
      </c>
      <c r="G124" s="7">
        <f ca="1">G110+SUM($C122:G122)</f>
        <v>50982.686515080073</v>
      </c>
      <c r="H124" s="7">
        <f ca="1">H110+SUM($C122:H122)</f>
        <v>4731.4866545593541</v>
      </c>
      <c r="I124" s="7">
        <f ca="1">I110+SUM($C122:I122)</f>
        <v>82816.445943588857</v>
      </c>
      <c r="J124" s="7">
        <f ca="1">J110+SUM($C122:J122)</f>
        <v>70704.194280487602</v>
      </c>
      <c r="K124" s="7">
        <f ca="1">K110+SUM($C122:K122)</f>
        <v>16367.784225867061</v>
      </c>
      <c r="L124" s="7">
        <f ca="1">L110+SUM($C122:L122)</f>
        <v>176852.44958381975</v>
      </c>
      <c r="M124" s="7">
        <f ca="1">M110+SUM($C122:M122)</f>
        <v>102906.10135141524</v>
      </c>
      <c r="N124" s="7">
        <f ca="1">N110+SUM($C122:N122)</f>
        <v>76893.544529107923</v>
      </c>
      <c r="O124" s="7">
        <f ca="1">O110+SUM($C122:O122)</f>
        <v>50403.703020083456</v>
      </c>
      <c r="P124" s="7">
        <f ca="1">P110+SUM($C122:P122)</f>
        <v>23429.835584189175</v>
      </c>
      <c r="Q124" s="7">
        <f ca="1">Q110+SUM($C122:Q122)</f>
        <v>-4034.8118234210415</v>
      </c>
      <c r="R124" s="7">
        <f ca="1">R110+SUM($C122:R122)</f>
        <v>-31997.001700614608</v>
      </c>
      <c r="S124" s="7">
        <f ca="1">S110+SUM($C122:S122)</f>
        <v>-60463.500397662894</v>
      </c>
      <c r="T124" s="7">
        <f ca="1">T110+SUM($C122:T122)</f>
        <v>-71029.492297007411</v>
      </c>
      <c r="U124" s="7">
        <f ca="1">U110+SUM($C122:U122)</f>
        <v>-73854.734451269076</v>
      </c>
      <c r="V124" s="7">
        <f ca="1">V110+SUM($C122:V122)</f>
        <v>-76537.803526732299</v>
      </c>
      <c r="W124" s="7">
        <f ca="1">W110+SUM($C122:W122)</f>
        <v>-79068.761072447407</v>
      </c>
      <c r="X124" s="7">
        <f ca="1">X110+SUM($C122:X122)</f>
        <v>-81437.228652471735</v>
      </c>
      <c r="Y124" s="7">
        <f ca="1">Y110+SUM($C122:Y122)</f>
        <v>-104291.22787149416</v>
      </c>
      <c r="Z124" s="7">
        <f ca="1">Z110+SUM($C122:Z122)</f>
        <v>-127477.06414488456</v>
      </c>
      <c r="AA124" s="7">
        <f ca="1">AA110+SUM($C122:AA122)</f>
        <v>-150995.84801121883</v>
      </c>
      <c r="AB124" s="7">
        <f ca="1">AB110+SUM($C122:AB122)</f>
        <v>-174848.50221090391</v>
      </c>
      <c r="AC124" s="7">
        <f ca="1">AC110+SUM($C122:AC122)</f>
        <v>-199035.75052437437</v>
      </c>
      <c r="AD124" s="7">
        <f ca="1">AD110+SUM($C122:AD122)</f>
        <v>-223558.10613723856</v>
      </c>
      <c r="AE124" s="7">
        <f ca="1">AE110+SUM($C122:AE122)</f>
        <v>-238433.38442094205</v>
      </c>
      <c r="AF124" s="7">
        <f ca="1">AF110+SUM($C122:AF122)</f>
        <v>-253394.55370227102</v>
      </c>
      <c r="AG124" s="7">
        <f ca="1">AG110+SUM($C122:AG122)</f>
        <v>-268435.181527382</v>
      </c>
      <c r="AH124" s="7">
        <f ca="1">AH110+SUM($C122:AH122)</f>
        <v>-283548.41723922209</v>
      </c>
      <c r="AI124" s="7">
        <f ca="1">AI110+SUM($C122:AI122)</f>
        <v>-298726.97380069247</v>
      </c>
      <c r="AJ124" s="7">
        <f ca="1">AJ110+SUM($C122:AJ122)</f>
        <v>-313963.108931739</v>
      </c>
      <c r="AK124" s="7">
        <f ca="1">AK110+SUM($C122:AK122)</f>
        <v>-329248.60553626722</v>
      </c>
      <c r="AL124" s="7">
        <f ca="1">AL110+SUM($C122:AL122)</f>
        <v>-344574.75139397028</v>
      </c>
      <c r="AM124" s="7">
        <f ca="1">AM110+SUM($C122:AM122)</f>
        <v>-359932.31809131952</v>
      </c>
    </row>
    <row r="125" spans="1:39" x14ac:dyDescent="0.2">
      <c r="A125" s="3" t="s">
        <v>74</v>
      </c>
      <c r="C125" s="7">
        <f t="shared" ref="C125:AM125" ca="1" si="78">MAX(C124+buffer,0)-MAX(C110+buffer,0)</f>
        <v>0</v>
      </c>
      <c r="D125" s="7">
        <f t="shared" ca="1" si="78"/>
        <v>0</v>
      </c>
      <c r="E125" s="7">
        <f t="shared" ca="1" si="78"/>
        <v>0</v>
      </c>
      <c r="F125" s="7">
        <f t="shared" ca="1" si="78"/>
        <v>0</v>
      </c>
      <c r="G125" s="7">
        <f t="shared" ca="1" si="78"/>
        <v>0</v>
      </c>
      <c r="H125" s="7">
        <f t="shared" ca="1" si="78"/>
        <v>0</v>
      </c>
      <c r="I125" s="7">
        <f t="shared" ca="1" si="78"/>
        <v>0</v>
      </c>
      <c r="J125" s="7">
        <f t="shared" ca="1" si="78"/>
        <v>0</v>
      </c>
      <c r="K125" s="7">
        <f t="shared" ca="1" si="78"/>
        <v>0</v>
      </c>
      <c r="L125" s="7">
        <f t="shared" ca="1" si="78"/>
        <v>132432.82906331707</v>
      </c>
      <c r="M125" s="7">
        <f t="shared" ca="1" si="78"/>
        <v>126177.3496438935</v>
      </c>
      <c r="N125" s="7">
        <f t="shared" ca="1" si="78"/>
        <v>116893.54452910792</v>
      </c>
      <c r="O125" s="7">
        <f t="shared" ca="1" si="78"/>
        <v>90403.703020083456</v>
      </c>
      <c r="P125" s="7">
        <f t="shared" ca="1" si="78"/>
        <v>63429.835584189175</v>
      </c>
      <c r="Q125" s="7">
        <f t="shared" ca="1" si="78"/>
        <v>35965.188176578959</v>
      </c>
      <c r="R125" s="7">
        <f t="shared" ca="1" si="78"/>
        <v>8002.9982993853919</v>
      </c>
      <c r="S125" s="7">
        <f t="shared" ca="1" si="78"/>
        <v>0</v>
      </c>
      <c r="T125" s="7">
        <f t="shared" ca="1" si="78"/>
        <v>0</v>
      </c>
      <c r="U125" s="7">
        <f t="shared" ca="1" si="78"/>
        <v>0</v>
      </c>
      <c r="V125" s="7">
        <f t="shared" ca="1" si="78"/>
        <v>0</v>
      </c>
      <c r="W125" s="7">
        <f t="shared" ca="1" si="78"/>
        <v>0</v>
      </c>
      <c r="X125" s="7">
        <f t="shared" ca="1" si="78"/>
        <v>0</v>
      </c>
      <c r="Y125" s="7">
        <f t="shared" ca="1" si="78"/>
        <v>0</v>
      </c>
      <c r="Z125" s="7">
        <f t="shared" ca="1" si="78"/>
        <v>0</v>
      </c>
      <c r="AA125" s="7">
        <f t="shared" ca="1" si="78"/>
        <v>0</v>
      </c>
      <c r="AB125" s="7">
        <f t="shared" ca="1" si="78"/>
        <v>0</v>
      </c>
      <c r="AC125" s="7">
        <f t="shared" ca="1" si="78"/>
        <v>0</v>
      </c>
      <c r="AD125" s="7">
        <f t="shared" ca="1" si="78"/>
        <v>0</v>
      </c>
      <c r="AE125" s="7">
        <f t="shared" ca="1" si="78"/>
        <v>0</v>
      </c>
      <c r="AF125" s="7">
        <f t="shared" ca="1" si="78"/>
        <v>0</v>
      </c>
      <c r="AG125" s="7">
        <f t="shared" ca="1" si="78"/>
        <v>0</v>
      </c>
      <c r="AH125" s="7">
        <f t="shared" ca="1" si="78"/>
        <v>0</v>
      </c>
      <c r="AI125" s="7">
        <f t="shared" ca="1" si="78"/>
        <v>0</v>
      </c>
      <c r="AJ125" s="7">
        <f t="shared" ca="1" si="78"/>
        <v>0</v>
      </c>
      <c r="AK125" s="7">
        <f t="shared" ca="1" si="78"/>
        <v>0</v>
      </c>
      <c r="AL125" s="7">
        <f t="shared" ca="1" si="78"/>
        <v>0</v>
      </c>
      <c r="AM125" s="7">
        <f t="shared" ca="1" si="78"/>
        <v>0</v>
      </c>
    </row>
    <row r="126" spans="1:39" x14ac:dyDescent="0.2">
      <c r="A126" s="3" t="s">
        <v>75</v>
      </c>
      <c r="C126" s="7">
        <f ca="1">C125*Inputs!$B$181</f>
        <v>0</v>
      </c>
      <c r="D126" s="7">
        <f ca="1">D125*Inputs!$B$181</f>
        <v>0</v>
      </c>
      <c r="E126" s="7">
        <f ca="1">E125*Inputs!$B$181</f>
        <v>0</v>
      </c>
      <c r="F126" s="7">
        <f ca="1">F125*Inputs!$B$181</f>
        <v>0</v>
      </c>
      <c r="G126" s="7">
        <f ca="1">G125*Inputs!$B$181</f>
        <v>0</v>
      </c>
      <c r="H126" s="7">
        <f ca="1">H125*Inputs!$B$181</f>
        <v>0</v>
      </c>
      <c r="I126" s="7">
        <f ca="1">I125*Inputs!$B$181</f>
        <v>0</v>
      </c>
      <c r="J126" s="7">
        <f ca="1">J125*Inputs!$B$181</f>
        <v>0</v>
      </c>
      <c r="K126" s="7">
        <f ca="1">K125*Inputs!$B$181</f>
        <v>0</v>
      </c>
      <c r="L126" s="7">
        <f ca="1">L125*Inputs!$B$181</f>
        <v>3310.8207265829269</v>
      </c>
      <c r="M126" s="7">
        <f ca="1">M125*Inputs!$B$181</f>
        <v>3154.4337410973376</v>
      </c>
      <c r="N126" s="7">
        <f ca="1">N125*Inputs!$B$181</f>
        <v>2922.3386132276983</v>
      </c>
      <c r="O126" s="7">
        <f ca="1">O125*Inputs!$B$181</f>
        <v>2260.0925755020867</v>
      </c>
      <c r="P126" s="7">
        <f ca="1">P125*Inputs!$B$181</f>
        <v>1585.7458896047294</v>
      </c>
      <c r="Q126" s="7">
        <f ca="1">Q125*Inputs!$B$181</f>
        <v>899.12970441447396</v>
      </c>
      <c r="R126" s="7">
        <f ca="1">R125*Inputs!$B$181</f>
        <v>200.07495748463481</v>
      </c>
      <c r="S126" s="7">
        <f ca="1">S125*Inputs!$B$181</f>
        <v>0</v>
      </c>
      <c r="T126" s="7">
        <f ca="1">T125*Inputs!$B$181</f>
        <v>0</v>
      </c>
      <c r="U126" s="7">
        <f ca="1">U125*Inputs!$B$181</f>
        <v>0</v>
      </c>
      <c r="V126" s="7">
        <f ca="1">V125*Inputs!$B$181</f>
        <v>0</v>
      </c>
      <c r="W126" s="7">
        <f ca="1">W125*Inputs!$B$181</f>
        <v>0</v>
      </c>
      <c r="X126" s="7">
        <f ca="1">X125*Inputs!$B$181</f>
        <v>0</v>
      </c>
      <c r="Y126" s="7">
        <f ca="1">Y125*Inputs!$B$181</f>
        <v>0</v>
      </c>
      <c r="Z126" s="7">
        <f ca="1">Z125*Inputs!$B$181</f>
        <v>0</v>
      </c>
      <c r="AA126" s="7">
        <f ca="1">AA125*Inputs!$B$181</f>
        <v>0</v>
      </c>
      <c r="AB126" s="7">
        <f ca="1">AB125*Inputs!$B$181</f>
        <v>0</v>
      </c>
      <c r="AC126" s="7">
        <f ca="1">AC125*Inputs!$B$181</f>
        <v>0</v>
      </c>
      <c r="AD126" s="7">
        <f ca="1">AD125*Inputs!$B$181</f>
        <v>0</v>
      </c>
      <c r="AE126" s="7">
        <f ca="1">AE125*Inputs!$B$181</f>
        <v>0</v>
      </c>
      <c r="AF126" s="7">
        <f ca="1">AF125*Inputs!$B$181</f>
        <v>0</v>
      </c>
      <c r="AG126" s="7">
        <f ca="1">AG125*Inputs!$B$181</f>
        <v>0</v>
      </c>
      <c r="AH126" s="7">
        <f ca="1">AH125*Inputs!$B$181</f>
        <v>0</v>
      </c>
      <c r="AI126" s="7">
        <f ca="1">AI125*Inputs!$B$181</f>
        <v>0</v>
      </c>
      <c r="AJ126" s="7">
        <f ca="1">AJ125*Inputs!$B$181</f>
        <v>0</v>
      </c>
      <c r="AK126" s="7">
        <f ca="1">AK125*Inputs!$B$181</f>
        <v>0</v>
      </c>
      <c r="AL126" s="7">
        <f ca="1">AL125*Inputs!$B$181</f>
        <v>0</v>
      </c>
      <c r="AM126" s="7">
        <f ca="1">AM125*Inputs!$B$181</f>
        <v>0</v>
      </c>
    </row>
    <row r="127" spans="1:39" x14ac:dyDescent="0.2">
      <c r="A127" s="3" t="s">
        <v>158</v>
      </c>
      <c r="C127" s="7">
        <f ca="1">C124+SUM($C126:C126)</f>
        <v>33136.875000000015</v>
      </c>
      <c r="D127" s="7">
        <f ca="1">D124+SUM($C126:D126)</f>
        <v>57140.903125000026</v>
      </c>
      <c r="E127" s="7">
        <f ca="1">E124+SUM($C126:E126)</f>
        <v>87759.433828125038</v>
      </c>
      <c r="F127" s="7">
        <f ca="1">F124+SUM($C126:F126)</f>
        <v>99100.176411377644</v>
      </c>
      <c r="G127" s="7">
        <f ca="1">G124+SUM($C126:G126)</f>
        <v>50982.686515080073</v>
      </c>
      <c r="H127" s="7">
        <f ca="1">H124+SUM($C126:H126)</f>
        <v>4731.4866545593541</v>
      </c>
      <c r="I127" s="7">
        <f ca="1">I124+SUM($C126:I126)</f>
        <v>82816.445943588857</v>
      </c>
      <c r="J127" s="7">
        <f ca="1">J124+SUM($C126:J126)</f>
        <v>70704.194280487602</v>
      </c>
      <c r="K127" s="7">
        <f ca="1">K124+SUM($C126:K126)</f>
        <v>16367.784225867061</v>
      </c>
      <c r="L127" s="7">
        <f ca="1">L124+SUM($C126:L126)</f>
        <v>180163.27031040267</v>
      </c>
      <c r="M127" s="7">
        <f ca="1">M124+SUM($C126:M126)</f>
        <v>109371.35581909551</v>
      </c>
      <c r="N127" s="7">
        <f ca="1">N124+SUM($C126:N126)</f>
        <v>86281.137610015881</v>
      </c>
      <c r="O127" s="7">
        <f ca="1">O124+SUM($C126:O126)</f>
        <v>62051.388676493501</v>
      </c>
      <c r="P127" s="7">
        <f ca="1">P124+SUM($C126:P126)</f>
        <v>36663.267130203953</v>
      </c>
      <c r="Q127" s="7">
        <f ca="1">Q124+SUM($C126:Q126)</f>
        <v>10097.749427008212</v>
      </c>
      <c r="R127" s="7">
        <f ca="1">R124+SUM($C126:R126)</f>
        <v>-17664.365492700723</v>
      </c>
      <c r="S127" s="7">
        <f ca="1">S124+SUM($C126:S126)</f>
        <v>-46130.864189749009</v>
      </c>
      <c r="T127" s="7">
        <f ca="1">T124+SUM($C126:T126)</f>
        <v>-56696.856089093526</v>
      </c>
      <c r="U127" s="7">
        <f ca="1">U124+SUM($C126:U126)</f>
        <v>-59522.098243355191</v>
      </c>
      <c r="V127" s="7">
        <f ca="1">V124+SUM($C126:V126)</f>
        <v>-62205.167318818414</v>
      </c>
      <c r="W127" s="7">
        <f ca="1">W124+SUM($C126:W126)</f>
        <v>-64736.124864533522</v>
      </c>
      <c r="X127" s="7">
        <f ca="1">X124+SUM($C126:X126)</f>
        <v>-67104.592444557842</v>
      </c>
      <c r="Y127" s="7">
        <f ca="1">Y124+SUM($C126:Y126)</f>
        <v>-89958.591663580271</v>
      </c>
      <c r="Z127" s="7">
        <f ca="1">Z124+SUM($C126:Z126)</f>
        <v>-113144.42793697066</v>
      </c>
      <c r="AA127" s="7">
        <f ca="1">AA124+SUM($C126:AA126)</f>
        <v>-136663.21180330493</v>
      </c>
      <c r="AB127" s="7">
        <f ca="1">AB124+SUM($C126:AB126)</f>
        <v>-160515.86600299002</v>
      </c>
      <c r="AC127" s="7">
        <f ca="1">AC124+SUM($C126:AC126)</f>
        <v>-184703.11431646047</v>
      </c>
      <c r="AD127" s="7">
        <f ca="1">AD124+SUM($C126:AD126)</f>
        <v>-209225.46992932467</v>
      </c>
      <c r="AE127" s="7">
        <f ca="1">AE124+SUM($C126:AE126)</f>
        <v>-224100.74821302816</v>
      </c>
      <c r="AF127" s="7">
        <f ca="1">AF124+SUM($C126:AF126)</f>
        <v>-239061.91749435713</v>
      </c>
      <c r="AG127" s="7">
        <f ca="1">AG124+SUM($C126:AG126)</f>
        <v>-254102.5453194681</v>
      </c>
      <c r="AH127" s="7">
        <f ca="1">AH124+SUM($C126:AH126)</f>
        <v>-269215.78103130823</v>
      </c>
      <c r="AI127" s="7">
        <f ca="1">AI124+SUM($C126:AI126)</f>
        <v>-284394.33759277861</v>
      </c>
      <c r="AJ127" s="7">
        <f ca="1">AJ124+SUM($C126:AJ126)</f>
        <v>-299630.47272382514</v>
      </c>
      <c r="AK127" s="7">
        <f ca="1">AK124+SUM($C126:AK126)</f>
        <v>-314915.96932835336</v>
      </c>
      <c r="AL127" s="7">
        <f ca="1">AL124+SUM($C126:AL126)</f>
        <v>-330242.11518605641</v>
      </c>
      <c r="AM127" s="7">
        <f ca="1">AM124+SUM($C126:AM126)</f>
        <v>-345599.68188340566</v>
      </c>
    </row>
    <row r="128" spans="1:39" x14ac:dyDescent="0.2">
      <c r="A128" s="3" t="s">
        <v>20</v>
      </c>
      <c r="C128" s="7">
        <f ca="1">IF(C127&lt;0,-C127,0)</f>
        <v>0</v>
      </c>
      <c r="D128" s="7">
        <f ca="1">IF(D127+SUM($C128:C128)&lt;0,-(D127+SUM($C128:C128)),0)</f>
        <v>0</v>
      </c>
      <c r="E128" s="7">
        <f ca="1">IF(E127+SUM($C128:D128)&lt;0,-(E127+SUM($C128:D128)),0)</f>
        <v>0</v>
      </c>
      <c r="F128" s="7">
        <f ca="1">IF(F127+SUM($C128:E128)&lt;0,-(F127+SUM($C128:E128)),0)</f>
        <v>0</v>
      </c>
      <c r="G128" s="7">
        <f ca="1">IF(G127+SUM($C128:F128)&lt;0,-(G127+SUM($C128:F128)),0)</f>
        <v>0</v>
      </c>
      <c r="H128" s="7">
        <f ca="1">IF(H127+SUM($C128:G128)&lt;0,-(H127+SUM($C128:G128)),0)</f>
        <v>0</v>
      </c>
      <c r="I128" s="7">
        <f ca="1">IF(I127+SUM($C128:H128)&lt;0,-(I127+SUM($C128:H128)),0)</f>
        <v>0</v>
      </c>
      <c r="J128" s="7">
        <f ca="1">IF(J127+SUM($C128:I128)&lt;0,-(J127+SUM($C128:I128)),0)</f>
        <v>0</v>
      </c>
      <c r="K128" s="7">
        <f ca="1">IF(K127+SUM($C128:J128)&lt;0,-(K127+SUM($C128:J128)),0)</f>
        <v>0</v>
      </c>
      <c r="L128" s="7">
        <f ca="1">IF(L127+SUM($C128:K128)&lt;0,-(L127+SUM($C128:K128)),0)</f>
        <v>0</v>
      </c>
      <c r="M128" s="7">
        <f ca="1">IF(M127+SUM($C128:L128)&lt;0,-(M127+SUM($C128:L128)),0)</f>
        <v>0</v>
      </c>
      <c r="N128" s="7">
        <f ca="1">IF(N127+SUM($C128:M128)&lt;0,-(N127+SUM($C128:M128)),0)</f>
        <v>0</v>
      </c>
      <c r="O128" s="7">
        <f ca="1">IF(O127+SUM($C128:N128)&lt;0,-(O127+SUM($C128:N128)),0)</f>
        <v>0</v>
      </c>
      <c r="P128" s="7">
        <f ca="1">IF(P127+SUM($C128:O128)&lt;0,-(P127+SUM($C128:O128)),0)</f>
        <v>0</v>
      </c>
      <c r="Q128" s="7">
        <f ca="1">IF(Q127+SUM($C128:P128)&lt;0,-(Q127+SUM($C128:P128)),0)</f>
        <v>0</v>
      </c>
      <c r="R128" s="7">
        <f ca="1">IF(R127+SUM($C128:Q128)&lt;0,-(R127+SUM($C128:Q128)),0)</f>
        <v>17664.365492700723</v>
      </c>
      <c r="S128" s="7">
        <f ca="1">IF(S127+SUM($C128:R128)&lt;0,-(S127+SUM($C128:R128)),0)</f>
        <v>28466.498697048286</v>
      </c>
      <c r="T128" s="7">
        <f ca="1">IF(T127+SUM($C128:S128)&lt;0,-(T127+SUM($C128:S128)),0)</f>
        <v>10565.991899344517</v>
      </c>
      <c r="U128" s="7">
        <f ca="1">IF(U127+SUM($C128:T128)&lt;0,-(U127+SUM($C128:T128)),0)</f>
        <v>2825.2421542616648</v>
      </c>
      <c r="V128" s="7">
        <f ca="1">IF(V127+SUM($C128:U128)&lt;0,-(V127+SUM($C128:U128)),0)</f>
        <v>2683.0690754632233</v>
      </c>
      <c r="W128" s="7">
        <f ca="1">IF(W127+SUM($C128:V128)&lt;0,-(W127+SUM($C128:V128)),0)</f>
        <v>2530.9575457151077</v>
      </c>
      <c r="X128" s="7">
        <f ca="1">IF(X127+SUM($C128:W128)&lt;0,-(X127+SUM($C128:W128)),0)</f>
        <v>2368.4675800243203</v>
      </c>
      <c r="Y128" s="7">
        <f ca="1">IF(Y127+SUM($C128:X128)&lt;0,-(Y127+SUM($C128:X128)),0)</f>
        <v>22853.999219022429</v>
      </c>
      <c r="Z128" s="7">
        <f ca="1">IF(Z127+SUM($C128:Y128)&lt;0,-(Z127+SUM($C128:Y128)),0)</f>
        <v>23185.836273390392</v>
      </c>
      <c r="AA128" s="7">
        <f ca="1">IF(AA127+SUM($C128:Z128)&lt;0,-(AA127+SUM($C128:Z128)),0)</f>
        <v>23518.78386633427</v>
      </c>
      <c r="AB128" s="7">
        <f ca="1">IF(AB127+SUM($C128:AA128)&lt;0,-(AB127+SUM($C128:AA128)),0)</f>
        <v>23852.654199685086</v>
      </c>
      <c r="AC128" s="7">
        <f ca="1">IF(AC127+SUM($C128:AB128)&lt;0,-(AC127+SUM($C128:AB128)),0)</f>
        <v>24187.248313470453</v>
      </c>
      <c r="AD128" s="7">
        <f ca="1">IF(AD127+SUM($C128:AC128)&lt;0,-(AD127+SUM($C128:AC128)),0)</f>
        <v>24522.355612864194</v>
      </c>
      <c r="AE128" s="7">
        <f ca="1">IF(AE127+SUM($C128:AD128)&lt;0,-(AE127+SUM($C128:AD128)),0)</f>
        <v>14875.27828370349</v>
      </c>
      <c r="AF128" s="7">
        <f ca="1">IF(AF127+SUM($C128:AE128)&lt;0,-(AF127+SUM($C128:AE128)),0)</f>
        <v>14961.16928132897</v>
      </c>
      <c r="AG128" s="7">
        <f ca="1">IF(AG127+SUM($C128:AF128)&lt;0,-(AG127+SUM($C128:AF128)),0)</f>
        <v>15040.627825110976</v>
      </c>
      <c r="AH128" s="7">
        <f ca="1">IF(AH127+SUM($C128:AG128)&lt;0,-(AH127+SUM($C128:AG128)),0)</f>
        <v>15113.235711840127</v>
      </c>
      <c r="AI128" s="7">
        <f ca="1">IF(AI127+SUM($C128:AH128)&lt;0,-(AI127+SUM($C128:AH128)),0)</f>
        <v>15178.556561470381</v>
      </c>
      <c r="AJ128" s="7">
        <f ca="1">IF(AJ127+SUM($C128:AI128)&lt;0,-(AJ127+SUM($C128:AI128)),0)</f>
        <v>15236.135131046525</v>
      </c>
      <c r="AK128" s="7">
        <f ca="1">IF(AK127+SUM($C128:AJ128)&lt;0,-(AK127+SUM($C128:AJ128)),0)</f>
        <v>15285.49660452822</v>
      </c>
      <c r="AL128" s="7">
        <f ca="1">IF(AL127+SUM($C128:AK128)&lt;0,-(AL127+SUM($C128:AK128)),0)</f>
        <v>15326.145857703057</v>
      </c>
      <c r="AM128" s="7">
        <f ca="1">IF(AM127+SUM($C128:AL128)&lt;0,-(AM127+SUM($C128:AL128)),0)</f>
        <v>15357.566697349248</v>
      </c>
    </row>
    <row r="129" spans="1:39" x14ac:dyDescent="0.2"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  <c r="AC129" s="7"/>
      <c r="AD129" s="7"/>
      <c r="AE129" s="7"/>
      <c r="AF129" s="7"/>
      <c r="AG129" s="7"/>
      <c r="AH129" s="7"/>
      <c r="AI129" s="7"/>
      <c r="AJ129" s="7"/>
      <c r="AK129" s="7"/>
      <c r="AL129" s="7"/>
      <c r="AM129" s="7"/>
    </row>
    <row r="130" spans="1:39" x14ac:dyDescent="0.2">
      <c r="A130" s="24" t="str">
        <f>IF(Inputs!$B$197=6,IFERROR(_xlfn.XLOOKUP($B130,Inputs!$B$198:$B$202,Inputs!$A$198:$A$202,,0,1),""),IFERROR(_xlfn.XLOOKUP($B130,Inputs!$C$198:$C$202,Inputs!$A$198:$A$202,,0,1),""))</f>
        <v>Gzira</v>
      </c>
      <c r="B130" s="26">
        <v>3</v>
      </c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  <c r="AC130" s="7"/>
      <c r="AD130" s="7"/>
      <c r="AE130" s="7"/>
      <c r="AF130" s="7"/>
      <c r="AG130" s="7"/>
      <c r="AH130" s="7"/>
      <c r="AI130" s="7"/>
      <c r="AJ130" s="7"/>
      <c r="AK130" s="7"/>
      <c r="AL130" s="7"/>
      <c r="AM130" s="7"/>
    </row>
    <row r="131" spans="1:39" x14ac:dyDescent="0.2">
      <c r="A131" s="3" t="s">
        <v>22</v>
      </c>
      <c r="C131" s="7">
        <f ca="1">IFERROR(VLOOKUP($A130,$A$60:$H$78,C$1+2,FALSE),0)</f>
        <v>153740.73263073748</v>
      </c>
      <c r="D131" s="7">
        <f ca="1">C134</f>
        <v>153740.73263073748</v>
      </c>
      <c r="E131" s="7">
        <f t="shared" ref="E131:AM131" ca="1" si="79">D134</f>
        <v>158352.95460965959</v>
      </c>
      <c r="F131" s="7">
        <f t="shared" ca="1" si="79"/>
        <v>163103.54324794936</v>
      </c>
      <c r="G131" s="7">
        <f t="shared" ca="1" si="79"/>
        <v>167996.64954538783</v>
      </c>
      <c r="H131" s="7">
        <f t="shared" ca="1" si="79"/>
        <v>173036.54903174946</v>
      </c>
      <c r="I131" s="7">
        <f t="shared" ca="1" si="79"/>
        <v>178227.64550270193</v>
      </c>
      <c r="J131" s="7">
        <f t="shared" ca="1" si="79"/>
        <v>183574.47486778299</v>
      </c>
      <c r="K131" s="7">
        <f t="shared" ca="1" si="79"/>
        <v>189081.70911381647</v>
      </c>
      <c r="L131" s="7">
        <f t="shared" ca="1" si="79"/>
        <v>194754.16038723095</v>
      </c>
      <c r="M131" s="7">
        <f t="shared" ca="1" si="79"/>
        <v>200596.78519884788</v>
      </c>
      <c r="N131" s="7">
        <f t="shared" ca="1" si="79"/>
        <v>206614.68875481331</v>
      </c>
      <c r="O131" s="7">
        <f t="shared" ca="1" si="79"/>
        <v>212813.12941745771</v>
      </c>
      <c r="P131" s="7">
        <f t="shared" ca="1" si="79"/>
        <v>219197.52329998143</v>
      </c>
      <c r="Q131" s="7">
        <f t="shared" ca="1" si="79"/>
        <v>225773.44899898086</v>
      </c>
      <c r="R131" s="7">
        <f t="shared" ca="1" si="79"/>
        <v>0</v>
      </c>
      <c r="S131" s="7">
        <f t="shared" ca="1" si="79"/>
        <v>0</v>
      </c>
      <c r="T131" s="7">
        <f t="shared" ca="1" si="79"/>
        <v>0</v>
      </c>
      <c r="U131" s="7">
        <f t="shared" ca="1" si="79"/>
        <v>0</v>
      </c>
      <c r="V131" s="7">
        <f t="shared" ca="1" si="79"/>
        <v>0</v>
      </c>
      <c r="W131" s="7">
        <f t="shared" ca="1" si="79"/>
        <v>0</v>
      </c>
      <c r="X131" s="7">
        <f t="shared" ca="1" si="79"/>
        <v>0</v>
      </c>
      <c r="Y131" s="7">
        <f t="shared" ca="1" si="79"/>
        <v>0</v>
      </c>
      <c r="Z131" s="7">
        <f t="shared" ca="1" si="79"/>
        <v>0</v>
      </c>
      <c r="AA131" s="7">
        <f t="shared" ca="1" si="79"/>
        <v>0</v>
      </c>
      <c r="AB131" s="7">
        <f t="shared" ca="1" si="79"/>
        <v>0</v>
      </c>
      <c r="AC131" s="7">
        <f t="shared" ca="1" si="79"/>
        <v>0</v>
      </c>
      <c r="AD131" s="7">
        <f t="shared" ca="1" si="79"/>
        <v>0</v>
      </c>
      <c r="AE131" s="7">
        <f t="shared" ca="1" si="79"/>
        <v>0</v>
      </c>
      <c r="AF131" s="7">
        <f t="shared" ca="1" si="79"/>
        <v>0</v>
      </c>
      <c r="AG131" s="7">
        <f t="shared" ca="1" si="79"/>
        <v>0</v>
      </c>
      <c r="AH131" s="7">
        <f t="shared" ca="1" si="79"/>
        <v>0</v>
      </c>
      <c r="AI131" s="7">
        <f t="shared" ca="1" si="79"/>
        <v>0</v>
      </c>
      <c r="AJ131" s="7">
        <f t="shared" ca="1" si="79"/>
        <v>0</v>
      </c>
      <c r="AK131" s="7">
        <f t="shared" ca="1" si="79"/>
        <v>0</v>
      </c>
      <c r="AL131" s="7">
        <f t="shared" ca="1" si="79"/>
        <v>0</v>
      </c>
      <c r="AM131" s="7">
        <f t="shared" ca="1" si="79"/>
        <v>0</v>
      </c>
    </row>
    <row r="132" spans="1:39" x14ac:dyDescent="0.2">
      <c r="A132" s="3" t="s">
        <v>23</v>
      </c>
      <c r="C132" s="7">
        <f ca="1">-IF(SUM(C128:D128)&gt;0,C131,0)</f>
        <v>0</v>
      </c>
      <c r="D132" s="7">
        <f ca="1">-IF(E128&gt;0,D131,0)</f>
        <v>0</v>
      </c>
      <c r="E132" s="7">
        <f ca="1">-IF(F128&gt;0,E131,0)</f>
        <v>0</v>
      </c>
      <c r="F132" s="7">
        <f ca="1">-IF(G128&gt;0,F131,0)</f>
        <v>0</v>
      </c>
      <c r="G132" s="7">
        <f t="shared" ref="G132:AM132" ca="1" si="80">-IF(H128&gt;0,G131,0)</f>
        <v>0</v>
      </c>
      <c r="H132" s="7">
        <f t="shared" ca="1" si="80"/>
        <v>0</v>
      </c>
      <c r="I132" s="7">
        <f t="shared" ca="1" si="80"/>
        <v>0</v>
      </c>
      <c r="J132" s="7">
        <f t="shared" ca="1" si="80"/>
        <v>0</v>
      </c>
      <c r="K132" s="7">
        <f t="shared" ca="1" si="80"/>
        <v>0</v>
      </c>
      <c r="L132" s="7">
        <f t="shared" ca="1" si="80"/>
        <v>0</v>
      </c>
      <c r="M132" s="7">
        <f t="shared" ca="1" si="80"/>
        <v>0</v>
      </c>
      <c r="N132" s="7">
        <f t="shared" ca="1" si="80"/>
        <v>0</v>
      </c>
      <c r="O132" s="7">
        <f t="shared" ca="1" si="80"/>
        <v>0</v>
      </c>
      <c r="P132" s="7">
        <f t="shared" ca="1" si="80"/>
        <v>0</v>
      </c>
      <c r="Q132" s="7">
        <f t="shared" ca="1" si="80"/>
        <v>-225773.44899898086</v>
      </c>
      <c r="R132" s="7">
        <f t="shared" ca="1" si="80"/>
        <v>0</v>
      </c>
      <c r="S132" s="7">
        <f t="shared" ca="1" si="80"/>
        <v>0</v>
      </c>
      <c r="T132" s="7">
        <f t="shared" ca="1" si="80"/>
        <v>0</v>
      </c>
      <c r="U132" s="7">
        <f t="shared" ca="1" si="80"/>
        <v>0</v>
      </c>
      <c r="V132" s="7">
        <f t="shared" ca="1" si="80"/>
        <v>0</v>
      </c>
      <c r="W132" s="7">
        <f t="shared" ca="1" si="80"/>
        <v>0</v>
      </c>
      <c r="X132" s="7">
        <f t="shared" ca="1" si="80"/>
        <v>0</v>
      </c>
      <c r="Y132" s="7">
        <f t="shared" ca="1" si="80"/>
        <v>0</v>
      </c>
      <c r="Z132" s="7">
        <f t="shared" ca="1" si="80"/>
        <v>0</v>
      </c>
      <c r="AA132" s="7">
        <f t="shared" ca="1" si="80"/>
        <v>0</v>
      </c>
      <c r="AB132" s="7">
        <f t="shared" ca="1" si="80"/>
        <v>0</v>
      </c>
      <c r="AC132" s="7">
        <f t="shared" ca="1" si="80"/>
        <v>0</v>
      </c>
      <c r="AD132" s="7">
        <f t="shared" ca="1" si="80"/>
        <v>0</v>
      </c>
      <c r="AE132" s="7">
        <f t="shared" ca="1" si="80"/>
        <v>0</v>
      </c>
      <c r="AF132" s="7">
        <f t="shared" ca="1" si="80"/>
        <v>0</v>
      </c>
      <c r="AG132" s="7">
        <f t="shared" ca="1" si="80"/>
        <v>0</v>
      </c>
      <c r="AH132" s="7">
        <f t="shared" ca="1" si="80"/>
        <v>0</v>
      </c>
      <c r="AI132" s="7">
        <f t="shared" ca="1" si="80"/>
        <v>0</v>
      </c>
      <c r="AJ132" s="7">
        <f t="shared" ca="1" si="80"/>
        <v>0</v>
      </c>
      <c r="AK132" s="7">
        <f t="shared" ca="1" si="80"/>
        <v>0</v>
      </c>
      <c r="AL132" s="7">
        <f t="shared" ca="1" si="80"/>
        <v>0</v>
      </c>
      <c r="AM132" s="7">
        <f t="shared" si="80"/>
        <v>0</v>
      </c>
    </row>
    <row r="133" spans="1:39" x14ac:dyDescent="0.2">
      <c r="A133" s="3" t="s">
        <v>24</v>
      </c>
      <c r="C133" s="7">
        <v>0</v>
      </c>
      <c r="D133" s="7">
        <f t="shared" ref="D133:G133" ca="1" si="81">SUM(D131:D132)*princ</f>
        <v>4612.2219789221244</v>
      </c>
      <c r="E133" s="7">
        <f t="shared" ca="1" si="81"/>
        <v>4750.588638289787</v>
      </c>
      <c r="F133" s="7">
        <f t="shared" ca="1" si="81"/>
        <v>4893.1062974384804</v>
      </c>
      <c r="G133" s="7">
        <f t="shared" ca="1" si="81"/>
        <v>5039.8994863616344</v>
      </c>
      <c r="H133" s="7">
        <f t="shared" ref="H133:I133" ca="1" si="82">SUM(H131:H132)*princ</f>
        <v>5191.0964709524833</v>
      </c>
      <c r="I133" s="7">
        <f t="shared" ca="1" si="82"/>
        <v>5346.8293650810574</v>
      </c>
      <c r="J133" s="7">
        <f t="shared" ref="J133:AM133" ca="1" si="83">SUM(J131:J132)*princ</f>
        <v>5507.2342460334894</v>
      </c>
      <c r="K133" s="7">
        <f t="shared" ca="1" si="83"/>
        <v>5672.4512734144937</v>
      </c>
      <c r="L133" s="7">
        <f t="shared" ca="1" si="83"/>
        <v>5842.6248116169281</v>
      </c>
      <c r="M133" s="7">
        <f t="shared" ca="1" si="83"/>
        <v>6017.9035559654358</v>
      </c>
      <c r="N133" s="7">
        <f t="shared" ca="1" si="83"/>
        <v>6198.4406626443988</v>
      </c>
      <c r="O133" s="7">
        <f t="shared" ca="1" si="83"/>
        <v>6384.393882523731</v>
      </c>
      <c r="P133" s="7">
        <f t="shared" ca="1" si="83"/>
        <v>6575.9256989994428</v>
      </c>
      <c r="Q133" s="7">
        <f t="shared" ca="1" si="83"/>
        <v>0</v>
      </c>
      <c r="R133" s="7">
        <f t="shared" ca="1" si="83"/>
        <v>0</v>
      </c>
      <c r="S133" s="7">
        <f t="shared" ca="1" si="83"/>
        <v>0</v>
      </c>
      <c r="T133" s="7">
        <f t="shared" ca="1" si="83"/>
        <v>0</v>
      </c>
      <c r="U133" s="7">
        <f t="shared" ca="1" si="83"/>
        <v>0</v>
      </c>
      <c r="V133" s="7">
        <f t="shared" ca="1" si="83"/>
        <v>0</v>
      </c>
      <c r="W133" s="7">
        <f t="shared" ca="1" si="83"/>
        <v>0</v>
      </c>
      <c r="X133" s="7">
        <f t="shared" ca="1" si="83"/>
        <v>0</v>
      </c>
      <c r="Y133" s="7">
        <f t="shared" ca="1" si="83"/>
        <v>0</v>
      </c>
      <c r="Z133" s="7">
        <f t="shared" ca="1" si="83"/>
        <v>0</v>
      </c>
      <c r="AA133" s="7">
        <f t="shared" ca="1" si="83"/>
        <v>0</v>
      </c>
      <c r="AB133" s="7">
        <f t="shared" ca="1" si="83"/>
        <v>0</v>
      </c>
      <c r="AC133" s="7">
        <f t="shared" ca="1" si="83"/>
        <v>0</v>
      </c>
      <c r="AD133" s="7">
        <f t="shared" ca="1" si="83"/>
        <v>0</v>
      </c>
      <c r="AE133" s="7">
        <f t="shared" ca="1" si="83"/>
        <v>0</v>
      </c>
      <c r="AF133" s="7">
        <f t="shared" ca="1" si="83"/>
        <v>0</v>
      </c>
      <c r="AG133" s="7">
        <f t="shared" ca="1" si="83"/>
        <v>0</v>
      </c>
      <c r="AH133" s="7">
        <f t="shared" ca="1" si="83"/>
        <v>0</v>
      </c>
      <c r="AI133" s="7">
        <f t="shared" ca="1" si="83"/>
        <v>0</v>
      </c>
      <c r="AJ133" s="7">
        <f t="shared" ca="1" si="83"/>
        <v>0</v>
      </c>
      <c r="AK133" s="7">
        <f t="shared" ca="1" si="83"/>
        <v>0</v>
      </c>
      <c r="AL133" s="7">
        <f t="shared" ca="1" si="83"/>
        <v>0</v>
      </c>
      <c r="AM133" s="7">
        <f t="shared" ca="1" si="83"/>
        <v>0</v>
      </c>
    </row>
    <row r="134" spans="1:39" x14ac:dyDescent="0.2">
      <c r="A134" s="3" t="s">
        <v>25</v>
      </c>
      <c r="C134" s="7">
        <f ca="1">SUM(C131:C133)</f>
        <v>153740.73263073748</v>
      </c>
      <c r="D134" s="7">
        <f t="shared" ref="D134:AM134" ca="1" si="84">SUM(D131:D133)</f>
        <v>158352.95460965959</v>
      </c>
      <c r="E134" s="7">
        <f t="shared" ca="1" si="84"/>
        <v>163103.54324794936</v>
      </c>
      <c r="F134" s="7">
        <f t="shared" ca="1" si="84"/>
        <v>167996.64954538783</v>
      </c>
      <c r="G134" s="7">
        <f t="shared" ca="1" si="84"/>
        <v>173036.54903174946</v>
      </c>
      <c r="H134" s="7">
        <f t="shared" ca="1" si="84"/>
        <v>178227.64550270193</v>
      </c>
      <c r="I134" s="7">
        <f t="shared" ca="1" si="84"/>
        <v>183574.47486778299</v>
      </c>
      <c r="J134" s="7">
        <f t="shared" ca="1" si="84"/>
        <v>189081.70911381647</v>
      </c>
      <c r="K134" s="7">
        <f t="shared" ca="1" si="84"/>
        <v>194754.16038723095</v>
      </c>
      <c r="L134" s="7">
        <f t="shared" ca="1" si="84"/>
        <v>200596.78519884788</v>
      </c>
      <c r="M134" s="7">
        <f t="shared" ca="1" si="84"/>
        <v>206614.68875481331</v>
      </c>
      <c r="N134" s="7">
        <f t="shared" ca="1" si="84"/>
        <v>212813.12941745771</v>
      </c>
      <c r="O134" s="7">
        <f t="shared" ca="1" si="84"/>
        <v>219197.52329998143</v>
      </c>
      <c r="P134" s="7">
        <f t="shared" ca="1" si="84"/>
        <v>225773.44899898086</v>
      </c>
      <c r="Q134" s="7">
        <f t="shared" ca="1" si="84"/>
        <v>0</v>
      </c>
      <c r="R134" s="7">
        <f t="shared" ca="1" si="84"/>
        <v>0</v>
      </c>
      <c r="S134" s="7">
        <f t="shared" ca="1" si="84"/>
        <v>0</v>
      </c>
      <c r="T134" s="7">
        <f t="shared" ca="1" si="84"/>
        <v>0</v>
      </c>
      <c r="U134" s="7">
        <f t="shared" ca="1" si="84"/>
        <v>0</v>
      </c>
      <c r="V134" s="7">
        <f t="shared" ca="1" si="84"/>
        <v>0</v>
      </c>
      <c r="W134" s="7">
        <f t="shared" ca="1" si="84"/>
        <v>0</v>
      </c>
      <c r="X134" s="7">
        <f t="shared" ca="1" si="84"/>
        <v>0</v>
      </c>
      <c r="Y134" s="7">
        <f t="shared" ca="1" si="84"/>
        <v>0</v>
      </c>
      <c r="Z134" s="7">
        <f t="shared" ca="1" si="84"/>
        <v>0</v>
      </c>
      <c r="AA134" s="7">
        <f t="shared" ca="1" si="84"/>
        <v>0</v>
      </c>
      <c r="AB134" s="7">
        <f t="shared" ca="1" si="84"/>
        <v>0</v>
      </c>
      <c r="AC134" s="7">
        <f t="shared" ca="1" si="84"/>
        <v>0</v>
      </c>
      <c r="AD134" s="7">
        <f t="shared" ca="1" si="84"/>
        <v>0</v>
      </c>
      <c r="AE134" s="7">
        <f t="shared" ca="1" si="84"/>
        <v>0</v>
      </c>
      <c r="AF134" s="7">
        <f t="shared" ca="1" si="84"/>
        <v>0</v>
      </c>
      <c r="AG134" s="7">
        <f t="shared" ca="1" si="84"/>
        <v>0</v>
      </c>
      <c r="AH134" s="7">
        <f t="shared" ca="1" si="84"/>
        <v>0</v>
      </c>
      <c r="AI134" s="7">
        <f t="shared" ca="1" si="84"/>
        <v>0</v>
      </c>
      <c r="AJ134" s="7">
        <f t="shared" ca="1" si="84"/>
        <v>0</v>
      </c>
      <c r="AK134" s="7">
        <f t="shared" ca="1" si="84"/>
        <v>0</v>
      </c>
      <c r="AL134" s="7">
        <f t="shared" ca="1" si="84"/>
        <v>0</v>
      </c>
      <c r="AM134" s="7">
        <f t="shared" ca="1" si="84"/>
        <v>0</v>
      </c>
    </row>
    <row r="135" spans="1:39" x14ac:dyDescent="0.2">
      <c r="A135" s="3" t="s">
        <v>26</v>
      </c>
      <c r="C135" s="7">
        <f ca="1">C132*Inputs!$B$195</f>
        <v>0</v>
      </c>
      <c r="D135" s="7">
        <f ca="1">D132*Inputs!$B$195</f>
        <v>0</v>
      </c>
      <c r="E135" s="7">
        <f ca="1">E132*Inputs!$B$195</f>
        <v>0</v>
      </c>
      <c r="F135" s="7">
        <f ca="1">F132*Inputs!$B$195</f>
        <v>0</v>
      </c>
      <c r="G135" s="7">
        <f ca="1">G132*Inputs!$B$195</f>
        <v>0</v>
      </c>
      <c r="H135" s="7">
        <f ca="1">H132*Inputs!$B$195</f>
        <v>0</v>
      </c>
      <c r="I135" s="7">
        <f ca="1">I132*Inputs!$B$195</f>
        <v>0</v>
      </c>
      <c r="J135" s="7">
        <f ca="1">J132*Inputs!$B$195</f>
        <v>0</v>
      </c>
      <c r="K135" s="7">
        <f ca="1">K132*Inputs!$B$195</f>
        <v>0</v>
      </c>
      <c r="L135" s="7">
        <f ca="1">L132*Inputs!$B$195</f>
        <v>0</v>
      </c>
      <c r="M135" s="7">
        <f ca="1">M132*Inputs!$B$195</f>
        <v>0</v>
      </c>
      <c r="N135" s="7">
        <f ca="1">N132*Inputs!$B$195</f>
        <v>0</v>
      </c>
      <c r="O135" s="7">
        <f ca="1">O132*Inputs!$B$195</f>
        <v>0</v>
      </c>
      <c r="P135" s="7">
        <f ca="1">P132*Inputs!$B$195</f>
        <v>0</v>
      </c>
      <c r="Q135" s="7">
        <f ca="1">Q132*Inputs!$B$195</f>
        <v>-33866.017349847127</v>
      </c>
      <c r="R135" s="7">
        <f ca="1">R132*Inputs!$B$195</f>
        <v>0</v>
      </c>
      <c r="S135" s="7">
        <f ca="1">S132*Inputs!$B$195</f>
        <v>0</v>
      </c>
      <c r="T135" s="7">
        <f ca="1">T132*Inputs!$B$195</f>
        <v>0</v>
      </c>
      <c r="U135" s="7">
        <f ca="1">U132*Inputs!$B$195</f>
        <v>0</v>
      </c>
      <c r="V135" s="7">
        <f ca="1">V132*Inputs!$B$195</f>
        <v>0</v>
      </c>
      <c r="W135" s="7">
        <f ca="1">W132*Inputs!$B$195</f>
        <v>0</v>
      </c>
      <c r="X135" s="7">
        <f ca="1">X132*Inputs!$B$195</f>
        <v>0</v>
      </c>
      <c r="Y135" s="7">
        <f ca="1">Y132*Inputs!$B$195</f>
        <v>0</v>
      </c>
      <c r="Z135" s="7">
        <f ca="1">Z132*Inputs!$B$195</f>
        <v>0</v>
      </c>
      <c r="AA135" s="7">
        <f ca="1">AA132*Inputs!$B$195</f>
        <v>0</v>
      </c>
      <c r="AB135" s="7">
        <f ca="1">AB132*Inputs!$B$195</f>
        <v>0</v>
      </c>
      <c r="AC135" s="7">
        <f ca="1">AC132*Inputs!$B$195</f>
        <v>0</v>
      </c>
      <c r="AD135" s="7">
        <f ca="1">AD132*Inputs!$B$195</f>
        <v>0</v>
      </c>
      <c r="AE135" s="7">
        <f ca="1">AE132*Inputs!$B$195</f>
        <v>0</v>
      </c>
      <c r="AF135" s="7">
        <f ca="1">AF132*Inputs!$B$195</f>
        <v>0</v>
      </c>
      <c r="AG135" s="7">
        <f ca="1">AG132*Inputs!$B$195</f>
        <v>0</v>
      </c>
      <c r="AH135" s="7">
        <f ca="1">AH132*Inputs!$B$195</f>
        <v>0</v>
      </c>
      <c r="AI135" s="7">
        <f ca="1">AI132*Inputs!$B$195</f>
        <v>0</v>
      </c>
      <c r="AJ135" s="7">
        <f ca="1">AJ132*Inputs!$B$195</f>
        <v>0</v>
      </c>
      <c r="AK135" s="7">
        <f ca="1">AK132*Inputs!$B$195</f>
        <v>0</v>
      </c>
      <c r="AL135" s="7">
        <f ca="1">AL132*Inputs!$B$195</f>
        <v>0</v>
      </c>
      <c r="AM135" s="7">
        <f>AM132*Inputs!$B$195</f>
        <v>0</v>
      </c>
    </row>
    <row r="136" spans="1:39" x14ac:dyDescent="0.2">
      <c r="A136" s="3" t="s">
        <v>31</v>
      </c>
      <c r="C136" s="7">
        <f t="shared" ref="C136:AM136" ca="1" si="85">IFERROR(-IF(C131=0,VLOOKUP($A130,$8:$12,C$1+2,FALSE),0),0)</f>
        <v>0</v>
      </c>
      <c r="D136" s="7">
        <f t="shared" ca="1" si="85"/>
        <v>0</v>
      </c>
      <c r="E136" s="7">
        <f t="shared" ca="1" si="85"/>
        <v>0</v>
      </c>
      <c r="F136" s="7">
        <f t="shared" ca="1" si="85"/>
        <v>0</v>
      </c>
      <c r="G136" s="7">
        <f t="shared" ca="1" si="85"/>
        <v>0</v>
      </c>
      <c r="H136" s="7">
        <f t="shared" ca="1" si="85"/>
        <v>0</v>
      </c>
      <c r="I136" s="7">
        <f t="shared" ca="1" si="85"/>
        <v>0</v>
      </c>
      <c r="J136" s="7">
        <f t="shared" ca="1" si="85"/>
        <v>0</v>
      </c>
      <c r="K136" s="7">
        <f t="shared" ca="1" si="85"/>
        <v>0</v>
      </c>
      <c r="L136" s="7">
        <f t="shared" ca="1" si="85"/>
        <v>0</v>
      </c>
      <c r="M136" s="7">
        <f t="shared" ca="1" si="85"/>
        <v>0</v>
      </c>
      <c r="N136" s="7">
        <f t="shared" ca="1" si="85"/>
        <v>0</v>
      </c>
      <c r="O136" s="7">
        <f t="shared" ca="1" si="85"/>
        <v>0</v>
      </c>
      <c r="P136" s="7">
        <f t="shared" ca="1" si="85"/>
        <v>0</v>
      </c>
      <c r="Q136" s="7">
        <f t="shared" ca="1" si="85"/>
        <v>0</v>
      </c>
      <c r="R136" s="7">
        <f t="shared" ca="1" si="85"/>
        <v>-12983.061805006377</v>
      </c>
      <c r="S136" s="7">
        <f t="shared" ca="1" si="85"/>
        <v>-13372.553659156569</v>
      </c>
      <c r="T136" s="7">
        <f t="shared" ca="1" si="85"/>
        <v>-13773.730268931266</v>
      </c>
      <c r="U136" s="7">
        <f t="shared" ca="1" si="85"/>
        <v>-14186.942176999204</v>
      </c>
      <c r="V136" s="7">
        <f t="shared" ca="1" si="85"/>
        <v>-14612.550442309181</v>
      </c>
      <c r="W136" s="7">
        <f t="shared" ca="1" si="85"/>
        <v>-15050.926955578456</v>
      </c>
      <c r="X136" s="7">
        <f t="shared" ca="1" si="85"/>
        <v>-15502.454764245809</v>
      </c>
      <c r="Y136" s="7">
        <f t="shared" ca="1" si="85"/>
        <v>-15967.528407173184</v>
      </c>
      <c r="Z136" s="7">
        <f t="shared" ca="1" si="85"/>
        <v>-16446.55425938838</v>
      </c>
      <c r="AA136" s="7">
        <f t="shared" ca="1" si="85"/>
        <v>-16939.950887170031</v>
      </c>
      <c r="AB136" s="7">
        <f t="shared" ca="1" si="85"/>
        <v>-17448.149413785133</v>
      </c>
      <c r="AC136" s="7">
        <f t="shared" ca="1" si="85"/>
        <v>-17971.593896198687</v>
      </c>
      <c r="AD136" s="7">
        <f t="shared" ca="1" si="85"/>
        <v>-18510.741713084648</v>
      </c>
      <c r="AE136" s="7">
        <f t="shared" ca="1" si="85"/>
        <v>-19066.063964477187</v>
      </c>
      <c r="AF136" s="7">
        <f t="shared" ca="1" si="85"/>
        <v>-19638.045883411502</v>
      </c>
      <c r="AG136" s="7">
        <f t="shared" ca="1" si="85"/>
        <v>-20227.187259913848</v>
      </c>
      <c r="AH136" s="7">
        <f t="shared" ca="1" si="85"/>
        <v>-20834.002877711264</v>
      </c>
      <c r="AI136" s="7">
        <f t="shared" ca="1" si="85"/>
        <v>-21459.022964042604</v>
      </c>
      <c r="AJ136" s="7">
        <f t="shared" ca="1" si="85"/>
        <v>-22102.793652963883</v>
      </c>
      <c r="AK136" s="7">
        <f t="shared" ca="1" si="85"/>
        <v>-22765.877462552799</v>
      </c>
      <c r="AL136" s="7">
        <f t="shared" ca="1" si="85"/>
        <v>-23448.853786429383</v>
      </c>
      <c r="AM136" s="7">
        <f t="shared" ca="1" si="85"/>
        <v>-24152.319400022265</v>
      </c>
    </row>
    <row r="137" spans="1:39" x14ac:dyDescent="0.2">
      <c r="A137" s="3" t="s">
        <v>50</v>
      </c>
      <c r="C137" s="7">
        <f t="shared" ref="C137:AM137" ca="1" si="86">IFERROR(IF(C131=0,VLOOKUP($A130,$40:$44,C$1+2,FALSE),0),0)</f>
        <v>0</v>
      </c>
      <c r="D137" s="7">
        <f t="shared" ca="1" si="86"/>
        <v>0</v>
      </c>
      <c r="E137" s="7">
        <f t="shared" ca="1" si="86"/>
        <v>0</v>
      </c>
      <c r="F137" s="7">
        <f t="shared" ca="1" si="86"/>
        <v>0</v>
      </c>
      <c r="G137" s="7">
        <f t="shared" ca="1" si="86"/>
        <v>0</v>
      </c>
      <c r="H137" s="7">
        <f t="shared" ca="1" si="86"/>
        <v>0</v>
      </c>
      <c r="I137" s="7">
        <f t="shared" ca="1" si="86"/>
        <v>0</v>
      </c>
      <c r="J137" s="7">
        <f t="shared" ca="1" si="86"/>
        <v>0</v>
      </c>
      <c r="K137" s="7">
        <f t="shared" ca="1" si="86"/>
        <v>0</v>
      </c>
      <c r="L137" s="7">
        <f t="shared" ca="1" si="86"/>
        <v>0</v>
      </c>
      <c r="M137" s="7">
        <f t="shared" ca="1" si="86"/>
        <v>0</v>
      </c>
      <c r="N137" s="7">
        <f t="shared" ca="1" si="86"/>
        <v>0</v>
      </c>
      <c r="O137" s="7">
        <f t="shared" ca="1" si="86"/>
        <v>0</v>
      </c>
      <c r="P137" s="7">
        <f t="shared" ca="1" si="86"/>
        <v>0</v>
      </c>
      <c r="Q137" s="7">
        <f t="shared" ca="1" si="86"/>
        <v>0</v>
      </c>
      <c r="R137" s="7">
        <f t="shared" ca="1" si="86"/>
        <v>2896.596332996221</v>
      </c>
      <c r="S137" s="7">
        <f t="shared" ca="1" si="86"/>
        <v>2969.0112413211264</v>
      </c>
      <c r="T137" s="7">
        <f t="shared" ca="1" si="86"/>
        <v>3043.2365223541542</v>
      </c>
      <c r="U137" s="7">
        <f t="shared" ca="1" si="86"/>
        <v>3119.3174354130078</v>
      </c>
      <c r="V137" s="7">
        <f t="shared" ca="1" si="86"/>
        <v>3197.3003712983332</v>
      </c>
      <c r="W137" s="7">
        <f t="shared" ca="1" si="86"/>
        <v>3277.2328805807911</v>
      </c>
      <c r="X137" s="7">
        <f t="shared" ca="1" si="86"/>
        <v>3359.1637025953105</v>
      </c>
      <c r="Y137" s="7">
        <f t="shared" ca="1" si="86"/>
        <v>3443.1427951601931</v>
      </c>
      <c r="Z137" s="7">
        <f t="shared" ca="1" si="86"/>
        <v>3529.2213650391982</v>
      </c>
      <c r="AA137" s="7">
        <f t="shared" ca="1" si="86"/>
        <v>3617.451899165178</v>
      </c>
      <c r="AB137" s="7">
        <f t="shared" ca="1" si="86"/>
        <v>3707.8881966443068</v>
      </c>
      <c r="AC137" s="7">
        <f t="shared" ca="1" si="86"/>
        <v>3800.5854015604141</v>
      </c>
      <c r="AD137" s="7">
        <f t="shared" ca="1" si="86"/>
        <v>3895.6000365994241</v>
      </c>
      <c r="AE137" s="7">
        <f t="shared" ca="1" si="86"/>
        <v>3992.9900375144098</v>
      </c>
      <c r="AF137" s="7">
        <f t="shared" ca="1" si="86"/>
        <v>4092.8147884522705</v>
      </c>
      <c r="AG137" s="7">
        <f t="shared" ca="1" si="86"/>
        <v>4195.1351581635763</v>
      </c>
      <c r="AH137" s="7">
        <f t="shared" ca="1" si="86"/>
        <v>4300.0135371176666</v>
      </c>
      <c r="AI137" s="7">
        <f t="shared" ca="1" si="86"/>
        <v>4407.5138755456073</v>
      </c>
      <c r="AJ137" s="7">
        <f t="shared" ca="1" si="86"/>
        <v>4517.7017224342471</v>
      </c>
      <c r="AK137" s="7">
        <f t="shared" ca="1" si="86"/>
        <v>4630.6442654951034</v>
      </c>
      <c r="AL137" s="7">
        <f t="shared" ca="1" si="86"/>
        <v>4746.41037213248</v>
      </c>
      <c r="AM137" s="7">
        <f t="shared" ca="1" si="86"/>
        <v>4865.0706314357931</v>
      </c>
    </row>
    <row r="138" spans="1:39" x14ac:dyDescent="0.2">
      <c r="A138" s="3" t="s">
        <v>36</v>
      </c>
      <c r="B138" s="14" t="str">
        <f>A130</f>
        <v>Gzira</v>
      </c>
      <c r="C138" s="7">
        <f t="shared" ref="C138:AM138" ca="1" si="87">IF(AND(C131&gt;0,C134=0),VLOOKUP($A130,$72:$76,C$1+2,FALSE),0)</f>
        <v>0</v>
      </c>
      <c r="D138" s="7">
        <f t="shared" ca="1" si="87"/>
        <v>0</v>
      </c>
      <c r="E138" s="7">
        <f t="shared" ca="1" si="87"/>
        <v>0</v>
      </c>
      <c r="F138" s="7">
        <f t="shared" ca="1" si="87"/>
        <v>0</v>
      </c>
      <c r="G138" s="7">
        <f t="shared" ca="1" si="87"/>
        <v>0</v>
      </c>
      <c r="H138" s="7">
        <f t="shared" ca="1" si="87"/>
        <v>0</v>
      </c>
      <c r="I138" s="7">
        <f t="shared" ca="1" si="87"/>
        <v>0</v>
      </c>
      <c r="J138" s="7">
        <f t="shared" ca="1" si="87"/>
        <v>0</v>
      </c>
      <c r="K138" s="7">
        <f t="shared" ca="1" si="87"/>
        <v>0</v>
      </c>
      <c r="L138" s="7">
        <f t="shared" ca="1" si="87"/>
        <v>0</v>
      </c>
      <c r="M138" s="7">
        <f t="shared" ca="1" si="87"/>
        <v>0</v>
      </c>
      <c r="N138" s="7">
        <f t="shared" ca="1" si="87"/>
        <v>0</v>
      </c>
      <c r="O138" s="7">
        <f t="shared" ca="1" si="87"/>
        <v>0</v>
      </c>
      <c r="P138" s="7">
        <f t="shared" ca="1" si="87"/>
        <v>0</v>
      </c>
      <c r="Q138" s="7">
        <f t="shared" ca="1" si="87"/>
        <v>0</v>
      </c>
      <c r="R138" s="7">
        <f t="shared" ca="1" si="87"/>
        <v>0</v>
      </c>
      <c r="S138" s="7">
        <f t="shared" ca="1" si="87"/>
        <v>0</v>
      </c>
      <c r="T138" s="7">
        <f t="shared" ca="1" si="87"/>
        <v>0</v>
      </c>
      <c r="U138" s="7">
        <f t="shared" ca="1" si="87"/>
        <v>0</v>
      </c>
      <c r="V138" s="7">
        <f t="shared" ca="1" si="87"/>
        <v>0</v>
      </c>
      <c r="W138" s="7">
        <f t="shared" ca="1" si="87"/>
        <v>0</v>
      </c>
      <c r="X138" s="7">
        <f t="shared" ca="1" si="87"/>
        <v>0</v>
      </c>
      <c r="Y138" s="7">
        <f t="shared" ca="1" si="87"/>
        <v>0</v>
      </c>
      <c r="Z138" s="7">
        <f t="shared" ca="1" si="87"/>
        <v>0</v>
      </c>
      <c r="AA138" s="7">
        <f t="shared" ca="1" si="87"/>
        <v>0</v>
      </c>
      <c r="AB138" s="7">
        <f t="shared" ca="1" si="87"/>
        <v>0</v>
      </c>
      <c r="AC138" s="7">
        <f t="shared" ca="1" si="87"/>
        <v>0</v>
      </c>
      <c r="AD138" s="7">
        <f t="shared" ca="1" si="87"/>
        <v>0</v>
      </c>
      <c r="AE138" s="7">
        <f t="shared" ca="1" si="87"/>
        <v>0</v>
      </c>
      <c r="AF138" s="7">
        <f t="shared" ca="1" si="87"/>
        <v>0</v>
      </c>
      <c r="AG138" s="7">
        <f t="shared" ca="1" si="87"/>
        <v>0</v>
      </c>
      <c r="AH138" s="7">
        <f t="shared" ca="1" si="87"/>
        <v>0</v>
      </c>
      <c r="AI138" s="7">
        <f t="shared" ca="1" si="87"/>
        <v>0</v>
      </c>
      <c r="AJ138" s="7">
        <f t="shared" ca="1" si="87"/>
        <v>0</v>
      </c>
      <c r="AK138" s="7">
        <f t="shared" ca="1" si="87"/>
        <v>0</v>
      </c>
      <c r="AL138" s="7">
        <f t="shared" ca="1" si="87"/>
        <v>0</v>
      </c>
      <c r="AM138" s="7">
        <f t="shared" ca="1" si="87"/>
        <v>0</v>
      </c>
    </row>
    <row r="139" spans="1:39" x14ac:dyDescent="0.2">
      <c r="A139" s="3" t="s">
        <v>37</v>
      </c>
      <c r="C139" s="7">
        <f ca="1">-C132+SUM(C135:C138)</f>
        <v>0</v>
      </c>
      <c r="D139" s="7">
        <f t="shared" ref="D139" ca="1" si="88">-D132+SUM(D135:D138)</f>
        <v>0</v>
      </c>
      <c r="E139" s="7">
        <f t="shared" ref="E139:AM139" ca="1" si="89">-E132+SUM(E135:E138)</f>
        <v>0</v>
      </c>
      <c r="F139" s="7">
        <f t="shared" ca="1" si="89"/>
        <v>0</v>
      </c>
      <c r="G139" s="7">
        <f t="shared" ca="1" si="89"/>
        <v>0</v>
      </c>
      <c r="H139" s="7">
        <f t="shared" ca="1" si="89"/>
        <v>0</v>
      </c>
      <c r="I139" s="7">
        <f t="shared" ca="1" si="89"/>
        <v>0</v>
      </c>
      <c r="J139" s="7">
        <f t="shared" ca="1" si="89"/>
        <v>0</v>
      </c>
      <c r="K139" s="7">
        <f t="shared" ca="1" si="89"/>
        <v>0</v>
      </c>
      <c r="L139" s="7">
        <f t="shared" ca="1" si="89"/>
        <v>0</v>
      </c>
      <c r="M139" s="7">
        <f t="shared" ca="1" si="89"/>
        <v>0</v>
      </c>
      <c r="N139" s="7">
        <f t="shared" ca="1" si="89"/>
        <v>0</v>
      </c>
      <c r="O139" s="7">
        <f t="shared" ca="1" si="89"/>
        <v>0</v>
      </c>
      <c r="P139" s="7">
        <f t="shared" ca="1" si="89"/>
        <v>0</v>
      </c>
      <c r="Q139" s="7">
        <f t="shared" ca="1" si="89"/>
        <v>191907.43164913374</v>
      </c>
      <c r="R139" s="7">
        <f t="shared" ca="1" si="89"/>
        <v>-10086.465472010155</v>
      </c>
      <c r="S139" s="7">
        <f t="shared" ca="1" si="89"/>
        <v>-10403.542417835442</v>
      </c>
      <c r="T139" s="7">
        <f t="shared" ca="1" si="89"/>
        <v>-10730.493746577111</v>
      </c>
      <c r="U139" s="7">
        <f t="shared" ca="1" si="89"/>
        <v>-11067.624741586196</v>
      </c>
      <c r="V139" s="7">
        <f t="shared" ca="1" si="89"/>
        <v>-11415.250071010847</v>
      </c>
      <c r="W139" s="7">
        <f t="shared" ca="1" si="89"/>
        <v>-11773.694074997664</v>
      </c>
      <c r="X139" s="7">
        <f t="shared" ca="1" si="89"/>
        <v>-12143.2910616505</v>
      </c>
      <c r="Y139" s="7">
        <f t="shared" ca="1" si="89"/>
        <v>-12524.385612012991</v>
      </c>
      <c r="Z139" s="7">
        <f t="shared" ca="1" si="89"/>
        <v>-12917.332894349182</v>
      </c>
      <c r="AA139" s="7">
        <f t="shared" ca="1" si="89"/>
        <v>-13322.498988004852</v>
      </c>
      <c r="AB139" s="7">
        <f t="shared" ca="1" si="89"/>
        <v>-13740.261217140825</v>
      </c>
      <c r="AC139" s="7">
        <f t="shared" ca="1" si="89"/>
        <v>-14171.008494638272</v>
      </c>
      <c r="AD139" s="7">
        <f t="shared" ca="1" si="89"/>
        <v>-14615.141676485224</v>
      </c>
      <c r="AE139" s="7">
        <f t="shared" ca="1" si="89"/>
        <v>-15073.073926962777</v>
      </c>
      <c r="AF139" s="7">
        <f t="shared" ca="1" si="89"/>
        <v>-15545.231094959232</v>
      </c>
      <c r="AG139" s="7">
        <f t="shared" ca="1" si="89"/>
        <v>-16032.052101750272</v>
      </c>
      <c r="AH139" s="7">
        <f t="shared" ca="1" si="89"/>
        <v>-16533.989340593598</v>
      </c>
      <c r="AI139" s="7">
        <f t="shared" ca="1" si="89"/>
        <v>-17051.509088496998</v>
      </c>
      <c r="AJ139" s="7">
        <f t="shared" ca="1" si="89"/>
        <v>-17585.091930529634</v>
      </c>
      <c r="AK139" s="7">
        <f t="shared" ca="1" si="89"/>
        <v>-18135.233197057696</v>
      </c>
      <c r="AL139" s="7">
        <f t="shared" ca="1" si="89"/>
        <v>-18702.443414296904</v>
      </c>
      <c r="AM139" s="7">
        <f t="shared" ca="1" si="89"/>
        <v>-19287.248768586473</v>
      </c>
    </row>
    <row r="140" spans="1:39" x14ac:dyDescent="0.2">
      <c r="A140" s="3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  <c r="AC140" s="7"/>
      <c r="AD140" s="7"/>
      <c r="AE140" s="7"/>
      <c r="AF140" s="7"/>
      <c r="AG140" s="7"/>
      <c r="AH140" s="7"/>
      <c r="AI140" s="7"/>
      <c r="AJ140" s="7"/>
      <c r="AK140" s="7"/>
      <c r="AL140" s="7"/>
      <c r="AM140" s="7"/>
    </row>
    <row r="141" spans="1:39" x14ac:dyDescent="0.2">
      <c r="A141" s="3" t="s">
        <v>77</v>
      </c>
      <c r="C141" s="7">
        <f ca="1">C127+SUM($C139:C139)</f>
        <v>33136.875000000015</v>
      </c>
      <c r="D141" s="7">
        <f ca="1">D127+SUM($C139:D139)</f>
        <v>57140.903125000026</v>
      </c>
      <c r="E141" s="7">
        <f ca="1">E127+SUM($C139:E139)</f>
        <v>87759.433828125038</v>
      </c>
      <c r="F141" s="7">
        <f ca="1">F127+SUM($C139:F139)</f>
        <v>99100.176411377644</v>
      </c>
      <c r="G141" s="7">
        <f ca="1">G127+SUM($C139:G139)</f>
        <v>50982.686515080073</v>
      </c>
      <c r="H141" s="7">
        <f ca="1">H127+SUM($C139:H139)</f>
        <v>4731.4866545593541</v>
      </c>
      <c r="I141" s="7">
        <f ca="1">I127+SUM($C139:I139)</f>
        <v>82816.445943588857</v>
      </c>
      <c r="J141" s="7">
        <f ca="1">J127+SUM($C139:J139)</f>
        <v>70704.194280487602</v>
      </c>
      <c r="K141" s="7">
        <f ca="1">K127+SUM($C139:K139)</f>
        <v>16367.784225867061</v>
      </c>
      <c r="L141" s="7">
        <f ca="1">L127+SUM($C139:L139)</f>
        <v>180163.27031040267</v>
      </c>
      <c r="M141" s="7">
        <f ca="1">M127+SUM($C139:M139)</f>
        <v>109371.35581909551</v>
      </c>
      <c r="N141" s="7">
        <f ca="1">N127+SUM($C139:N139)</f>
        <v>86281.137610015881</v>
      </c>
      <c r="O141" s="7">
        <f ca="1">O127+SUM($C139:O139)</f>
        <v>62051.388676493501</v>
      </c>
      <c r="P141" s="7">
        <f ca="1">P127+SUM($C139:P139)</f>
        <v>36663.267130203953</v>
      </c>
      <c r="Q141" s="7">
        <f ca="1">Q127+SUM($C139:Q139)</f>
        <v>202005.18107614195</v>
      </c>
      <c r="R141" s="7">
        <f ca="1">R127+SUM($C139:R139)</f>
        <v>164156.60068442285</v>
      </c>
      <c r="S141" s="7">
        <f ca="1">S127+SUM($C139:S139)</f>
        <v>125286.55956953912</v>
      </c>
      <c r="T141" s="7">
        <f ca="1">T127+SUM($C139:T139)</f>
        <v>103990.07392361748</v>
      </c>
      <c r="U141" s="7">
        <f ca="1">U127+SUM($C139:U139)</f>
        <v>90097.207027769618</v>
      </c>
      <c r="V141" s="7">
        <f ca="1">V127+SUM($C139:V139)</f>
        <v>75998.887881295552</v>
      </c>
      <c r="W141" s="7">
        <f ca="1">W127+SUM($C139:W139)</f>
        <v>61694.236260582788</v>
      </c>
      <c r="X141" s="7">
        <f ca="1">X127+SUM($C139:X139)</f>
        <v>47182.477618907971</v>
      </c>
      <c r="Y141" s="7">
        <f ca="1">Y127+SUM($C139:Y139)</f>
        <v>11804.092787872549</v>
      </c>
      <c r="Z141" s="7">
        <f ca="1">Z127+SUM($C139:Z139)</f>
        <v>-24299.076379867023</v>
      </c>
      <c r="AA141" s="7">
        <f ca="1">AA127+SUM($C139:AA139)</f>
        <v>-61140.359234206146</v>
      </c>
      <c r="AB141" s="7">
        <f ca="1">AB127+SUM($C139:AB139)</f>
        <v>-98733.274651032058</v>
      </c>
      <c r="AC141" s="7">
        <f ca="1">AC127+SUM($C139:AC139)</f>
        <v>-137091.53145914077</v>
      </c>
      <c r="AD141" s="7">
        <f ca="1">AD127+SUM($C139:AD139)</f>
        <v>-176229.02874849021</v>
      </c>
      <c r="AE141" s="7">
        <f ca="1">AE127+SUM($C139:AE139)</f>
        <v>-206177.38095915646</v>
      </c>
      <c r="AF141" s="7">
        <f ca="1">AF127+SUM($C139:AF139)</f>
        <v>-236683.78133544466</v>
      </c>
      <c r="AG141" s="7">
        <f ca="1">AG127+SUM($C139:AG139)</f>
        <v>-267756.46126230591</v>
      </c>
      <c r="AH141" s="7">
        <f ca="1">AH127+SUM($C139:AH139)</f>
        <v>-299403.68631473964</v>
      </c>
      <c r="AI141" s="7">
        <f ca="1">AI127+SUM($C139:AI139)</f>
        <v>-331633.75196470704</v>
      </c>
      <c r="AJ141" s="7">
        <f ca="1">AJ127+SUM($C139:AJ139)</f>
        <v>-364454.9790262832</v>
      </c>
      <c r="AK141" s="7">
        <f ca="1">AK127+SUM($C139:AK139)</f>
        <v>-397875.70882786909</v>
      </c>
      <c r="AL141" s="7">
        <f ca="1">AL127+SUM($C139:AL139)</f>
        <v>-431904.29809986905</v>
      </c>
      <c r="AM141" s="7">
        <f ca="1">AM127+SUM($C139:AM139)</f>
        <v>-466549.11356580479</v>
      </c>
    </row>
    <row r="142" spans="1:39" x14ac:dyDescent="0.2">
      <c r="A142" s="3" t="s">
        <v>74</v>
      </c>
      <c r="C142" s="7">
        <f t="shared" ref="C142:AM142" ca="1" si="90">MAX(C141+buffer,0)-MAX(C127+buffer,0)</f>
        <v>0</v>
      </c>
      <c r="D142" s="7">
        <f t="shared" ca="1" si="90"/>
        <v>0</v>
      </c>
      <c r="E142" s="7">
        <f t="shared" ca="1" si="90"/>
        <v>0</v>
      </c>
      <c r="F142" s="7">
        <f t="shared" ca="1" si="90"/>
        <v>0</v>
      </c>
      <c r="G142" s="7">
        <f t="shared" ca="1" si="90"/>
        <v>0</v>
      </c>
      <c r="H142" s="7">
        <f t="shared" ca="1" si="90"/>
        <v>0</v>
      </c>
      <c r="I142" s="7">
        <f t="shared" ca="1" si="90"/>
        <v>0</v>
      </c>
      <c r="J142" s="7">
        <f t="shared" ca="1" si="90"/>
        <v>0</v>
      </c>
      <c r="K142" s="7">
        <f t="shared" ca="1" si="90"/>
        <v>0</v>
      </c>
      <c r="L142" s="7">
        <f t="shared" ca="1" si="90"/>
        <v>0</v>
      </c>
      <c r="M142" s="7">
        <f t="shared" ca="1" si="90"/>
        <v>0</v>
      </c>
      <c r="N142" s="7">
        <f t="shared" ca="1" si="90"/>
        <v>0</v>
      </c>
      <c r="O142" s="7">
        <f t="shared" ca="1" si="90"/>
        <v>0</v>
      </c>
      <c r="P142" s="7">
        <f t="shared" ca="1" si="90"/>
        <v>0</v>
      </c>
      <c r="Q142" s="7">
        <f t="shared" ca="1" si="90"/>
        <v>191907.43164913374</v>
      </c>
      <c r="R142" s="7">
        <f t="shared" ca="1" si="90"/>
        <v>181820.96617712357</v>
      </c>
      <c r="S142" s="7">
        <f t="shared" ca="1" si="90"/>
        <v>165286.55956953912</v>
      </c>
      <c r="T142" s="7">
        <f t="shared" ca="1" si="90"/>
        <v>143990.07392361748</v>
      </c>
      <c r="U142" s="7">
        <f t="shared" ca="1" si="90"/>
        <v>130097.20702776962</v>
      </c>
      <c r="V142" s="7">
        <f t="shared" ca="1" si="90"/>
        <v>115998.88788129555</v>
      </c>
      <c r="W142" s="7">
        <f t="shared" ca="1" si="90"/>
        <v>101694.23626058278</v>
      </c>
      <c r="X142" s="7">
        <f t="shared" ca="1" si="90"/>
        <v>87182.477618907971</v>
      </c>
      <c r="Y142" s="7">
        <f t="shared" ca="1" si="90"/>
        <v>51804.092787872549</v>
      </c>
      <c r="Z142" s="7">
        <f t="shared" ca="1" si="90"/>
        <v>15700.923620132977</v>
      </c>
      <c r="AA142" s="7">
        <f t="shared" ca="1" si="90"/>
        <v>0</v>
      </c>
      <c r="AB142" s="7">
        <f t="shared" ca="1" si="90"/>
        <v>0</v>
      </c>
      <c r="AC142" s="7">
        <f t="shared" ca="1" si="90"/>
        <v>0</v>
      </c>
      <c r="AD142" s="7">
        <f t="shared" ca="1" si="90"/>
        <v>0</v>
      </c>
      <c r="AE142" s="7">
        <f t="shared" ca="1" si="90"/>
        <v>0</v>
      </c>
      <c r="AF142" s="7">
        <f t="shared" ca="1" si="90"/>
        <v>0</v>
      </c>
      <c r="AG142" s="7">
        <f t="shared" ca="1" si="90"/>
        <v>0</v>
      </c>
      <c r="AH142" s="7">
        <f t="shared" ca="1" si="90"/>
        <v>0</v>
      </c>
      <c r="AI142" s="7">
        <f t="shared" ca="1" si="90"/>
        <v>0</v>
      </c>
      <c r="AJ142" s="7">
        <f t="shared" ca="1" si="90"/>
        <v>0</v>
      </c>
      <c r="AK142" s="7">
        <f t="shared" ca="1" si="90"/>
        <v>0</v>
      </c>
      <c r="AL142" s="7">
        <f t="shared" ca="1" si="90"/>
        <v>0</v>
      </c>
      <c r="AM142" s="7">
        <f t="shared" ca="1" si="90"/>
        <v>0</v>
      </c>
    </row>
    <row r="143" spans="1:39" x14ac:dyDescent="0.2">
      <c r="A143" s="3" t="s">
        <v>75</v>
      </c>
      <c r="C143" s="7">
        <f ca="1">C142*Inputs!$B$181</f>
        <v>0</v>
      </c>
      <c r="D143" s="7">
        <f ca="1">D142*Inputs!$B$181</f>
        <v>0</v>
      </c>
      <c r="E143" s="7">
        <f ca="1">E142*Inputs!$B$181</f>
        <v>0</v>
      </c>
      <c r="F143" s="7">
        <f ca="1">F142*Inputs!$B$181</f>
        <v>0</v>
      </c>
      <c r="G143" s="7">
        <f ca="1">G142*Inputs!$B$181</f>
        <v>0</v>
      </c>
      <c r="H143" s="7">
        <f ca="1">H142*Inputs!$B$181</f>
        <v>0</v>
      </c>
      <c r="I143" s="7">
        <f ca="1">I142*Inputs!$B$181</f>
        <v>0</v>
      </c>
      <c r="J143" s="7">
        <f ca="1">J142*Inputs!$B$181</f>
        <v>0</v>
      </c>
      <c r="K143" s="7">
        <f ca="1">K142*Inputs!$B$181</f>
        <v>0</v>
      </c>
      <c r="L143" s="7">
        <f ca="1">L142*Inputs!$B$181</f>
        <v>0</v>
      </c>
      <c r="M143" s="7">
        <f ca="1">M142*Inputs!$B$181</f>
        <v>0</v>
      </c>
      <c r="N143" s="7">
        <f ca="1">N142*Inputs!$B$181</f>
        <v>0</v>
      </c>
      <c r="O143" s="7">
        <f ca="1">O142*Inputs!$B$181</f>
        <v>0</v>
      </c>
      <c r="P143" s="7">
        <f ca="1">P142*Inputs!$B$181</f>
        <v>0</v>
      </c>
      <c r="Q143" s="7">
        <f ca="1">Q142*Inputs!$B$181</f>
        <v>4797.685791228344</v>
      </c>
      <c r="R143" s="7">
        <f ca="1">R142*Inputs!$B$181</f>
        <v>4545.5241544280898</v>
      </c>
      <c r="S143" s="7">
        <f ca="1">S142*Inputs!$B$181</f>
        <v>4132.1639892384783</v>
      </c>
      <c r="T143" s="7">
        <f ca="1">T142*Inputs!$B$181</f>
        <v>3599.7518480904373</v>
      </c>
      <c r="U143" s="7">
        <f ca="1">U142*Inputs!$B$181</f>
        <v>3252.4301756942405</v>
      </c>
      <c r="V143" s="7">
        <f ca="1">V142*Inputs!$B$181</f>
        <v>2899.972197032389</v>
      </c>
      <c r="W143" s="7">
        <f ca="1">W142*Inputs!$B$181</f>
        <v>2542.3559065145696</v>
      </c>
      <c r="X143" s="7">
        <f ca="1">X142*Inputs!$B$181</f>
        <v>2179.5619404726995</v>
      </c>
      <c r="Y143" s="7">
        <f ca="1">Y142*Inputs!$B$181</f>
        <v>1295.1023196968138</v>
      </c>
      <c r="Z143" s="7">
        <f ca="1">Z142*Inputs!$B$181</f>
        <v>392.52309050332445</v>
      </c>
      <c r="AA143" s="7">
        <f ca="1">AA142*Inputs!$B$181</f>
        <v>0</v>
      </c>
      <c r="AB143" s="7">
        <f ca="1">AB142*Inputs!$B$181</f>
        <v>0</v>
      </c>
      <c r="AC143" s="7">
        <f ca="1">AC142*Inputs!$B$181</f>
        <v>0</v>
      </c>
      <c r="AD143" s="7">
        <f ca="1">AD142*Inputs!$B$181</f>
        <v>0</v>
      </c>
      <c r="AE143" s="7">
        <f ca="1">AE142*Inputs!$B$181</f>
        <v>0</v>
      </c>
      <c r="AF143" s="7">
        <f ca="1">AF142*Inputs!$B$181</f>
        <v>0</v>
      </c>
      <c r="AG143" s="7">
        <f ca="1">AG142*Inputs!$B$181</f>
        <v>0</v>
      </c>
      <c r="AH143" s="7">
        <f ca="1">AH142*Inputs!$B$181</f>
        <v>0</v>
      </c>
      <c r="AI143" s="7">
        <f ca="1">AI142*Inputs!$B$181</f>
        <v>0</v>
      </c>
      <c r="AJ143" s="7">
        <f ca="1">AJ142*Inputs!$B$181</f>
        <v>0</v>
      </c>
      <c r="AK143" s="7">
        <f ca="1">AK142*Inputs!$B$181</f>
        <v>0</v>
      </c>
      <c r="AL143" s="7">
        <f ca="1">AL142*Inputs!$B$181</f>
        <v>0</v>
      </c>
      <c r="AM143" s="7">
        <f ca="1">AM142*Inputs!$B$181</f>
        <v>0</v>
      </c>
    </row>
    <row r="144" spans="1:39" x14ac:dyDescent="0.2">
      <c r="A144" s="3" t="s">
        <v>158</v>
      </c>
      <c r="C144" s="7">
        <f ca="1">C141+SUM($C143:C143)</f>
        <v>33136.875000000015</v>
      </c>
      <c r="D144" s="7">
        <f ca="1">D141+SUM($C143:D143)</f>
        <v>57140.903125000026</v>
      </c>
      <c r="E144" s="7">
        <f ca="1">E141+SUM($C143:E143)</f>
        <v>87759.433828125038</v>
      </c>
      <c r="F144" s="7">
        <f ca="1">F141+SUM($C143:F143)</f>
        <v>99100.176411377644</v>
      </c>
      <c r="G144" s="7">
        <f ca="1">G141+SUM($C143:G143)</f>
        <v>50982.686515080073</v>
      </c>
      <c r="H144" s="7">
        <f ca="1">H141+SUM($C143:H143)</f>
        <v>4731.4866545593541</v>
      </c>
      <c r="I144" s="7">
        <f ca="1">I141+SUM($C143:I143)</f>
        <v>82816.445943588857</v>
      </c>
      <c r="J144" s="7">
        <f ca="1">J141+SUM($C143:J143)</f>
        <v>70704.194280487602</v>
      </c>
      <c r="K144" s="7">
        <f ca="1">K141+SUM($C143:K143)</f>
        <v>16367.784225867061</v>
      </c>
      <c r="L144" s="7">
        <f ca="1">L141+SUM($C143:L143)</f>
        <v>180163.27031040267</v>
      </c>
      <c r="M144" s="7">
        <f ca="1">M141+SUM($C143:M143)</f>
        <v>109371.35581909551</v>
      </c>
      <c r="N144" s="7">
        <f ca="1">N141+SUM($C143:N143)</f>
        <v>86281.137610015881</v>
      </c>
      <c r="O144" s="7">
        <f ca="1">O141+SUM($C143:O143)</f>
        <v>62051.388676493501</v>
      </c>
      <c r="P144" s="7">
        <f ca="1">P141+SUM($C143:P143)</f>
        <v>36663.267130203953</v>
      </c>
      <c r="Q144" s="7">
        <f ca="1">Q141+SUM($C143:Q143)</f>
        <v>206802.86686737029</v>
      </c>
      <c r="R144" s="7">
        <f ca="1">R141+SUM($C143:R143)</f>
        <v>173499.8106300793</v>
      </c>
      <c r="S144" s="7">
        <f ca="1">S141+SUM($C143:S143)</f>
        <v>138761.93350443404</v>
      </c>
      <c r="T144" s="7">
        <f ca="1">T141+SUM($C143:T143)</f>
        <v>121065.19970660284</v>
      </c>
      <c r="U144" s="7">
        <f ca="1">U141+SUM($C143:U143)</f>
        <v>110424.7629864492</v>
      </c>
      <c r="V144" s="7">
        <f ca="1">V141+SUM($C143:V143)</f>
        <v>99226.416037007526</v>
      </c>
      <c r="W144" s="7">
        <f ca="1">W141+SUM($C143:W143)</f>
        <v>87464.120322809336</v>
      </c>
      <c r="X144" s="7">
        <f ca="1">X141+SUM($C143:X143)</f>
        <v>75131.923621607217</v>
      </c>
      <c r="Y144" s="7">
        <f ca="1">Y141+SUM($C143:Y143)</f>
        <v>41048.641110268611</v>
      </c>
      <c r="Z144" s="7">
        <f ca="1">Z141+SUM($C143:Z143)</f>
        <v>5337.9950330323627</v>
      </c>
      <c r="AA144" s="7">
        <f ca="1">AA141+SUM($C143:AA143)</f>
        <v>-31503.28782130676</v>
      </c>
      <c r="AB144" s="7">
        <f ca="1">AB141+SUM($C143:AB143)</f>
        <v>-69096.203238132672</v>
      </c>
      <c r="AC144" s="7">
        <f ca="1">AC141+SUM($C143:AC143)</f>
        <v>-107454.46004624138</v>
      </c>
      <c r="AD144" s="7">
        <f ca="1">AD141+SUM($C143:AD143)</f>
        <v>-146591.95733559082</v>
      </c>
      <c r="AE144" s="7">
        <f ca="1">AE141+SUM($C143:AE143)</f>
        <v>-176540.30954625708</v>
      </c>
      <c r="AF144" s="7">
        <f ca="1">AF141+SUM($C143:AF143)</f>
        <v>-207046.70992254527</v>
      </c>
      <c r="AG144" s="7">
        <f ca="1">AG141+SUM($C143:AG143)</f>
        <v>-238119.38984940652</v>
      </c>
      <c r="AH144" s="7">
        <f ca="1">AH141+SUM($C143:AH143)</f>
        <v>-269766.61490184022</v>
      </c>
      <c r="AI144" s="7">
        <f ca="1">AI141+SUM($C143:AI143)</f>
        <v>-301996.68055180763</v>
      </c>
      <c r="AJ144" s="7">
        <f ca="1">AJ141+SUM($C143:AJ143)</f>
        <v>-334817.90761338384</v>
      </c>
      <c r="AK144" s="7">
        <f ca="1">AK141+SUM($C143:AK143)</f>
        <v>-368238.63741496974</v>
      </c>
      <c r="AL144" s="7">
        <f ca="1">AL141+SUM($C143:AL143)</f>
        <v>-402267.22668696963</v>
      </c>
      <c r="AM144" s="7">
        <f ca="1">AM141+SUM($C143:AM143)</f>
        <v>-436912.04215290537</v>
      </c>
    </row>
    <row r="145" spans="1:39" x14ac:dyDescent="0.2">
      <c r="A145" s="3" t="s">
        <v>20</v>
      </c>
      <c r="C145" s="7">
        <f ca="1">IF(C144&lt;0,-C144,0)</f>
        <v>0</v>
      </c>
      <c r="D145" s="7">
        <f ca="1">IF(D144+SUM($C145:C145)&lt;0,-(D144+SUM($C145:C145)),0)</f>
        <v>0</v>
      </c>
      <c r="E145" s="7">
        <f ca="1">IF(E144+SUM($C145:D145)&lt;0,-(E144+SUM($C145:D145)),0)</f>
        <v>0</v>
      </c>
      <c r="F145" s="7">
        <f ca="1">IF(F144+SUM($C145:E145)&lt;0,-(F144+SUM($C145:E145)),0)</f>
        <v>0</v>
      </c>
      <c r="G145" s="7">
        <f ca="1">IF(G144+SUM($C145:F145)&lt;0,-(G144+SUM($C145:F145)),0)</f>
        <v>0</v>
      </c>
      <c r="H145" s="7">
        <f ca="1">IF(H144+SUM($C145:G145)&lt;0,-(H144+SUM($C145:G145)),0)</f>
        <v>0</v>
      </c>
      <c r="I145" s="7">
        <f ca="1">IF(I144+SUM($C145:H145)&lt;0,-(I144+SUM($C145:H145)),0)</f>
        <v>0</v>
      </c>
      <c r="J145" s="7">
        <f ca="1">IF(J144+SUM($C145:I145)&lt;0,-(J144+SUM($C145:I145)),0)</f>
        <v>0</v>
      </c>
      <c r="K145" s="7">
        <f ca="1">IF(K144+SUM($C145:J145)&lt;0,-(K144+SUM($C145:J145)),0)</f>
        <v>0</v>
      </c>
      <c r="L145" s="7">
        <f ca="1">IF(L144+SUM($C145:K145)&lt;0,-(L144+SUM($C145:K145)),0)</f>
        <v>0</v>
      </c>
      <c r="M145" s="7">
        <f ca="1">IF(M144+SUM($C145:L145)&lt;0,-(M144+SUM($C145:L145)),0)</f>
        <v>0</v>
      </c>
      <c r="N145" s="7">
        <f ca="1">IF(N144+SUM($C145:M145)&lt;0,-(N144+SUM($C145:M145)),0)</f>
        <v>0</v>
      </c>
      <c r="O145" s="7">
        <f ca="1">IF(O144+SUM($C145:N145)&lt;0,-(O144+SUM($C145:N145)),0)</f>
        <v>0</v>
      </c>
      <c r="P145" s="7">
        <f ca="1">IF(P144+SUM($C145:O145)&lt;0,-(P144+SUM($C145:O145)),0)</f>
        <v>0</v>
      </c>
      <c r="Q145" s="7">
        <f ca="1">IF(Q144+SUM($C145:P145)&lt;0,-(Q144+SUM($C145:P145)),0)</f>
        <v>0</v>
      </c>
      <c r="R145" s="7">
        <f ca="1">IF(R144+SUM($C145:Q145)&lt;0,-(R144+SUM($C145:Q145)),0)</f>
        <v>0</v>
      </c>
      <c r="S145" s="7">
        <f ca="1">IF(S144+SUM($C145:R145)&lt;0,-(S144+SUM($C145:R145)),0)</f>
        <v>0</v>
      </c>
      <c r="T145" s="7">
        <f ca="1">IF(T144+SUM($C145:S145)&lt;0,-(T144+SUM($C145:S145)),0)</f>
        <v>0</v>
      </c>
      <c r="U145" s="7">
        <f ca="1">IF(U144+SUM($C145:T145)&lt;0,-(U144+SUM($C145:T145)),0)</f>
        <v>0</v>
      </c>
      <c r="V145" s="7">
        <f ca="1">IF(V144+SUM($C145:U145)&lt;0,-(V144+SUM($C145:U145)),0)</f>
        <v>0</v>
      </c>
      <c r="W145" s="7">
        <f ca="1">IF(W144+SUM($C145:V145)&lt;0,-(W144+SUM($C145:V145)),0)</f>
        <v>0</v>
      </c>
      <c r="X145" s="7">
        <f ca="1">IF(X144+SUM($C145:W145)&lt;0,-(X144+SUM($C145:W145)),0)</f>
        <v>0</v>
      </c>
      <c r="Y145" s="7">
        <f ca="1">IF(Y144+SUM($C145:X145)&lt;0,-(Y144+SUM($C145:X145)),0)</f>
        <v>0</v>
      </c>
      <c r="Z145" s="7">
        <f ca="1">IF(Z144+SUM($C145:Y145)&lt;0,-(Z144+SUM($C145:Y145)),0)</f>
        <v>0</v>
      </c>
      <c r="AA145" s="7">
        <f ca="1">IF(AA144+SUM($C145:Z145)&lt;0,-(AA144+SUM($C145:Z145)),0)</f>
        <v>31503.28782130676</v>
      </c>
      <c r="AB145" s="7">
        <f ca="1">IF(AB144+SUM($C145:AA145)&lt;0,-(AB144+SUM($C145:AA145)),0)</f>
        <v>37592.915416825912</v>
      </c>
      <c r="AC145" s="7">
        <f ca="1">IF(AC144+SUM($C145:AB145)&lt;0,-(AC144+SUM($C145:AB145)),0)</f>
        <v>38358.256808108708</v>
      </c>
      <c r="AD145" s="7">
        <f ca="1">IF(AD144+SUM($C145:AC145)&lt;0,-(AD144+SUM($C145:AC145)),0)</f>
        <v>39137.497289349441</v>
      </c>
      <c r="AE145" s="7">
        <f ca="1">IF(AE144+SUM($C145:AD145)&lt;0,-(AE144+SUM($C145:AD145)),0)</f>
        <v>29948.352210666257</v>
      </c>
      <c r="AF145" s="7">
        <f ca="1">IF(AF144+SUM($C145:AE145)&lt;0,-(AF144+SUM($C145:AE145)),0)</f>
        <v>30506.400376288191</v>
      </c>
      <c r="AG145" s="7">
        <f ca="1">IF(AG144+SUM($C145:AF145)&lt;0,-(AG144+SUM($C145:AF145)),0)</f>
        <v>31072.679926861252</v>
      </c>
      <c r="AH145" s="7">
        <f ca="1">IF(AH144+SUM($C145:AG145)&lt;0,-(AH144+SUM($C145:AG145)),0)</f>
        <v>31647.2250524337</v>
      </c>
      <c r="AI145" s="7">
        <f ca="1">IF(AI144+SUM($C145:AH145)&lt;0,-(AI144+SUM($C145:AH145)),0)</f>
        <v>32230.065649967408</v>
      </c>
      <c r="AJ145" s="7">
        <f ca="1">IF(AJ144+SUM($C145:AI145)&lt;0,-(AJ144+SUM($C145:AI145)),0)</f>
        <v>32821.22706157621</v>
      </c>
      <c r="AK145" s="7">
        <f ca="1">IF(AK144+SUM($C145:AJ145)&lt;0,-(AK144+SUM($C145:AJ145)),0)</f>
        <v>33420.729801585898</v>
      </c>
      <c r="AL145" s="7">
        <f ca="1">IF(AL144+SUM($C145:AK145)&lt;0,-(AL144+SUM($C145:AK145)),0)</f>
        <v>34028.589271999896</v>
      </c>
      <c r="AM145" s="7">
        <f ca="1">IF(AM144+SUM($C145:AL145)&lt;0,-(AM144+SUM($C145:AL145)),0)</f>
        <v>34644.815465935739</v>
      </c>
    </row>
    <row r="146" spans="1:39" x14ac:dyDescent="0.2"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  <c r="AB146" s="7"/>
      <c r="AC146" s="7"/>
      <c r="AD146" s="7"/>
      <c r="AE146" s="7"/>
      <c r="AF146" s="7"/>
      <c r="AG146" s="7"/>
      <c r="AH146" s="7"/>
      <c r="AI146" s="7"/>
      <c r="AJ146" s="7"/>
      <c r="AK146" s="7"/>
      <c r="AL146" s="7"/>
      <c r="AM146" s="7"/>
    </row>
    <row r="147" spans="1:39" x14ac:dyDescent="0.2">
      <c r="A147" s="24" t="str">
        <f>IF(Inputs!$B$197=6,IFERROR(_xlfn.XLOOKUP($B147,Inputs!$B$198:$B$202,Inputs!$A$198:$A$202,,0,1),""),IFERROR(_xlfn.XLOOKUP($B147,Inputs!$C$198:$C$202,Inputs!$A$198:$A$202,,0,1),""))</f>
        <v>Qormi</v>
      </c>
      <c r="B147" s="26">
        <v>4</v>
      </c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  <c r="AB147" s="7"/>
      <c r="AC147" s="7"/>
      <c r="AD147" s="7"/>
      <c r="AE147" s="7"/>
      <c r="AF147" s="7"/>
      <c r="AG147" s="7"/>
      <c r="AH147" s="7"/>
      <c r="AI147" s="7"/>
      <c r="AJ147" s="7"/>
      <c r="AK147" s="7"/>
      <c r="AL147" s="7"/>
      <c r="AM147" s="7"/>
    </row>
    <row r="148" spans="1:39" x14ac:dyDescent="0.2">
      <c r="A148" s="3" t="s">
        <v>22</v>
      </c>
      <c r="C148" s="7">
        <f ca="1">IFERROR(VLOOKUP($A147,$A$60:$H$78,C$1+2,FALSE),0)</f>
        <v>225486.40785841495</v>
      </c>
      <c r="D148" s="7">
        <f ca="1">C151</f>
        <v>225486.40785841495</v>
      </c>
      <c r="E148" s="7">
        <f t="shared" ref="E148:AM148" ca="1" si="91">D151</f>
        <v>232251.00009416739</v>
      </c>
      <c r="F148" s="7">
        <f t="shared" ca="1" si="91"/>
        <v>239218.53009699241</v>
      </c>
      <c r="G148" s="7">
        <f t="shared" ca="1" si="91"/>
        <v>246395.08599990219</v>
      </c>
      <c r="H148" s="7">
        <f t="shared" ca="1" si="91"/>
        <v>253786.93857989926</v>
      </c>
      <c r="I148" s="7">
        <f t="shared" ca="1" si="91"/>
        <v>261400.54673729624</v>
      </c>
      <c r="J148" s="7">
        <f t="shared" ca="1" si="91"/>
        <v>269242.56313941511</v>
      </c>
      <c r="K148" s="7">
        <f t="shared" ca="1" si="91"/>
        <v>277319.84003359755</v>
      </c>
      <c r="L148" s="7">
        <f t="shared" ca="1" si="91"/>
        <v>285639.43523460545</v>
      </c>
      <c r="M148" s="7">
        <f t="shared" ca="1" si="91"/>
        <v>294208.61829164362</v>
      </c>
      <c r="N148" s="7">
        <f t="shared" ca="1" si="91"/>
        <v>303034.87684039294</v>
      </c>
      <c r="O148" s="7">
        <f t="shared" ca="1" si="91"/>
        <v>312125.92314560473</v>
      </c>
      <c r="P148" s="7">
        <f t="shared" ca="1" si="91"/>
        <v>321489.70083997288</v>
      </c>
      <c r="Q148" s="7">
        <f t="shared" ca="1" si="91"/>
        <v>331134.39186517207</v>
      </c>
      <c r="R148" s="7">
        <f t="shared" ca="1" si="91"/>
        <v>341068.42362112727</v>
      </c>
      <c r="S148" s="7">
        <f t="shared" ca="1" si="91"/>
        <v>351300.47632976109</v>
      </c>
      <c r="T148" s="7">
        <f t="shared" ca="1" si="91"/>
        <v>361839.49061965395</v>
      </c>
      <c r="U148" s="7">
        <f t="shared" ca="1" si="91"/>
        <v>372694.6753382436</v>
      </c>
      <c r="V148" s="7">
        <f t="shared" ca="1" si="91"/>
        <v>383875.51559839089</v>
      </c>
      <c r="W148" s="7">
        <f t="shared" ca="1" si="91"/>
        <v>395391.78106634261</v>
      </c>
      <c r="X148" s="7">
        <f t="shared" ca="1" si="91"/>
        <v>407253.53449833288</v>
      </c>
      <c r="Y148" s="7">
        <f t="shared" ca="1" si="91"/>
        <v>419471.14053328289</v>
      </c>
      <c r="Z148" s="7">
        <f t="shared" ca="1" si="91"/>
        <v>432055.27474928135</v>
      </c>
      <c r="AA148" s="7">
        <f t="shared" ca="1" si="91"/>
        <v>0</v>
      </c>
      <c r="AB148" s="7">
        <f t="shared" ca="1" si="91"/>
        <v>0</v>
      </c>
      <c r="AC148" s="7">
        <f t="shared" ca="1" si="91"/>
        <v>0</v>
      </c>
      <c r="AD148" s="7">
        <f t="shared" ca="1" si="91"/>
        <v>0</v>
      </c>
      <c r="AE148" s="7">
        <f t="shared" ca="1" si="91"/>
        <v>0</v>
      </c>
      <c r="AF148" s="7">
        <f t="shared" ca="1" si="91"/>
        <v>0</v>
      </c>
      <c r="AG148" s="7">
        <f t="shared" ca="1" si="91"/>
        <v>0</v>
      </c>
      <c r="AH148" s="7">
        <f t="shared" ca="1" si="91"/>
        <v>0</v>
      </c>
      <c r="AI148" s="7">
        <f t="shared" ca="1" si="91"/>
        <v>0</v>
      </c>
      <c r="AJ148" s="7">
        <f t="shared" ca="1" si="91"/>
        <v>0</v>
      </c>
      <c r="AK148" s="7">
        <f t="shared" ca="1" si="91"/>
        <v>0</v>
      </c>
      <c r="AL148" s="7">
        <f t="shared" ca="1" si="91"/>
        <v>0</v>
      </c>
      <c r="AM148" s="7">
        <f t="shared" ca="1" si="91"/>
        <v>0</v>
      </c>
    </row>
    <row r="149" spans="1:39" x14ac:dyDescent="0.2">
      <c r="A149" s="3" t="s">
        <v>23</v>
      </c>
      <c r="C149" s="7">
        <f ca="1">-IF(SUM(C145:D145)&gt;0,C148,0)</f>
        <v>0</v>
      </c>
      <c r="D149" s="7">
        <f ca="1">-IF(E145&gt;0,D148,0)</f>
        <v>0</v>
      </c>
      <c r="E149" s="7">
        <f ca="1">-IF(F145&gt;0,E148,0)</f>
        <v>0</v>
      </c>
      <c r="F149" s="7">
        <f ca="1">-IF(G145&gt;0,F148,0)</f>
        <v>0</v>
      </c>
      <c r="G149" s="7">
        <f t="shared" ref="G149:AM149" ca="1" si="92">-IF(H145&gt;0,G148,0)</f>
        <v>0</v>
      </c>
      <c r="H149" s="7">
        <f t="shared" ca="1" si="92"/>
        <v>0</v>
      </c>
      <c r="I149" s="7">
        <f t="shared" ca="1" si="92"/>
        <v>0</v>
      </c>
      <c r="J149" s="7">
        <f t="shared" ca="1" si="92"/>
        <v>0</v>
      </c>
      <c r="K149" s="7">
        <f t="shared" ca="1" si="92"/>
        <v>0</v>
      </c>
      <c r="L149" s="7">
        <f t="shared" ca="1" si="92"/>
        <v>0</v>
      </c>
      <c r="M149" s="7">
        <f t="shared" ca="1" si="92"/>
        <v>0</v>
      </c>
      <c r="N149" s="7">
        <f t="shared" ca="1" si="92"/>
        <v>0</v>
      </c>
      <c r="O149" s="7">
        <f t="shared" ca="1" si="92"/>
        <v>0</v>
      </c>
      <c r="P149" s="7">
        <f t="shared" ca="1" si="92"/>
        <v>0</v>
      </c>
      <c r="Q149" s="7">
        <f t="shared" ca="1" si="92"/>
        <v>0</v>
      </c>
      <c r="R149" s="7">
        <f t="shared" ca="1" si="92"/>
        <v>0</v>
      </c>
      <c r="S149" s="7">
        <f t="shared" ca="1" si="92"/>
        <v>0</v>
      </c>
      <c r="T149" s="7">
        <f t="shared" ca="1" si="92"/>
        <v>0</v>
      </c>
      <c r="U149" s="7">
        <f t="shared" ca="1" si="92"/>
        <v>0</v>
      </c>
      <c r="V149" s="7">
        <f t="shared" ca="1" si="92"/>
        <v>0</v>
      </c>
      <c r="W149" s="7">
        <f t="shared" ca="1" si="92"/>
        <v>0</v>
      </c>
      <c r="X149" s="7">
        <f t="shared" ca="1" si="92"/>
        <v>0</v>
      </c>
      <c r="Y149" s="7">
        <f t="shared" ca="1" si="92"/>
        <v>0</v>
      </c>
      <c r="Z149" s="7">
        <f t="shared" ca="1" si="92"/>
        <v>-432055.27474928135</v>
      </c>
      <c r="AA149" s="7">
        <f t="shared" ca="1" si="92"/>
        <v>0</v>
      </c>
      <c r="AB149" s="7">
        <f t="shared" ca="1" si="92"/>
        <v>0</v>
      </c>
      <c r="AC149" s="7">
        <f t="shared" ca="1" si="92"/>
        <v>0</v>
      </c>
      <c r="AD149" s="7">
        <f t="shared" ca="1" si="92"/>
        <v>0</v>
      </c>
      <c r="AE149" s="7">
        <f t="shared" ca="1" si="92"/>
        <v>0</v>
      </c>
      <c r="AF149" s="7">
        <f t="shared" ca="1" si="92"/>
        <v>0</v>
      </c>
      <c r="AG149" s="7">
        <f t="shared" ca="1" si="92"/>
        <v>0</v>
      </c>
      <c r="AH149" s="7">
        <f t="shared" ca="1" si="92"/>
        <v>0</v>
      </c>
      <c r="AI149" s="7">
        <f t="shared" ca="1" si="92"/>
        <v>0</v>
      </c>
      <c r="AJ149" s="7">
        <f t="shared" ca="1" si="92"/>
        <v>0</v>
      </c>
      <c r="AK149" s="7">
        <f t="shared" ca="1" si="92"/>
        <v>0</v>
      </c>
      <c r="AL149" s="7">
        <f t="shared" ca="1" si="92"/>
        <v>0</v>
      </c>
      <c r="AM149" s="7">
        <f t="shared" si="92"/>
        <v>0</v>
      </c>
    </row>
    <row r="150" spans="1:39" x14ac:dyDescent="0.2">
      <c r="A150" s="3" t="s">
        <v>24</v>
      </c>
      <c r="C150" s="7">
        <v>0</v>
      </c>
      <c r="D150" s="7">
        <f t="shared" ref="D150:G150" ca="1" si="93">SUM(D148:D149)*princ</f>
        <v>6764.5922357524487</v>
      </c>
      <c r="E150" s="7">
        <f t="shared" ca="1" si="93"/>
        <v>6967.5300028250213</v>
      </c>
      <c r="F150" s="7">
        <f t="shared" ca="1" si="93"/>
        <v>7176.5559029097722</v>
      </c>
      <c r="G150" s="7">
        <f t="shared" ca="1" si="93"/>
        <v>7391.8525799970657</v>
      </c>
      <c r="H150" s="7">
        <f t="shared" ref="H150:I150" ca="1" si="94">SUM(H148:H149)*princ</f>
        <v>7613.6081573969777</v>
      </c>
      <c r="I150" s="7">
        <f t="shared" ca="1" si="94"/>
        <v>7842.0164021188866</v>
      </c>
      <c r="J150" s="7">
        <f t="shared" ref="J150:AM150" ca="1" si="95">SUM(J148:J149)*princ</f>
        <v>8077.2768941824534</v>
      </c>
      <c r="K150" s="7">
        <f t="shared" ca="1" si="95"/>
        <v>8319.5952010079254</v>
      </c>
      <c r="L150" s="7">
        <f t="shared" ca="1" si="95"/>
        <v>8569.1830570381626</v>
      </c>
      <c r="M150" s="7">
        <f t="shared" ca="1" si="95"/>
        <v>8826.2585487493088</v>
      </c>
      <c r="N150" s="7">
        <f t="shared" ca="1" si="95"/>
        <v>9091.0463052117884</v>
      </c>
      <c r="O150" s="7">
        <f t="shared" ca="1" si="95"/>
        <v>9363.777694368142</v>
      </c>
      <c r="P150" s="7">
        <f t="shared" ca="1" si="95"/>
        <v>9644.6910251991867</v>
      </c>
      <c r="Q150" s="7">
        <f t="shared" ca="1" si="95"/>
        <v>9934.0317559551622</v>
      </c>
      <c r="R150" s="7">
        <f t="shared" ca="1" si="95"/>
        <v>10232.052708633817</v>
      </c>
      <c r="S150" s="7">
        <f t="shared" ca="1" si="95"/>
        <v>10539.014289892832</v>
      </c>
      <c r="T150" s="7">
        <f t="shared" ca="1" si="95"/>
        <v>10855.184718589619</v>
      </c>
      <c r="U150" s="7">
        <f t="shared" ca="1" si="95"/>
        <v>11180.840260147308</v>
      </c>
      <c r="V150" s="7">
        <f t="shared" ca="1" si="95"/>
        <v>11516.265467951725</v>
      </c>
      <c r="W150" s="7">
        <f t="shared" ca="1" si="95"/>
        <v>11861.753431990277</v>
      </c>
      <c r="X150" s="7">
        <f t="shared" ca="1" si="95"/>
        <v>12217.606034949986</v>
      </c>
      <c r="Y150" s="7">
        <f t="shared" ca="1" si="95"/>
        <v>12584.134215998487</v>
      </c>
      <c r="Z150" s="7">
        <f t="shared" ca="1" si="95"/>
        <v>0</v>
      </c>
      <c r="AA150" s="7">
        <f t="shared" ca="1" si="95"/>
        <v>0</v>
      </c>
      <c r="AB150" s="7">
        <f t="shared" ca="1" si="95"/>
        <v>0</v>
      </c>
      <c r="AC150" s="7">
        <f t="shared" ca="1" si="95"/>
        <v>0</v>
      </c>
      <c r="AD150" s="7">
        <f t="shared" ca="1" si="95"/>
        <v>0</v>
      </c>
      <c r="AE150" s="7">
        <f t="shared" ca="1" si="95"/>
        <v>0</v>
      </c>
      <c r="AF150" s="7">
        <f t="shared" ca="1" si="95"/>
        <v>0</v>
      </c>
      <c r="AG150" s="7">
        <f t="shared" ca="1" si="95"/>
        <v>0</v>
      </c>
      <c r="AH150" s="7">
        <f t="shared" ca="1" si="95"/>
        <v>0</v>
      </c>
      <c r="AI150" s="7">
        <f t="shared" ca="1" si="95"/>
        <v>0</v>
      </c>
      <c r="AJ150" s="7">
        <f t="shared" ca="1" si="95"/>
        <v>0</v>
      </c>
      <c r="AK150" s="7">
        <f t="shared" ca="1" si="95"/>
        <v>0</v>
      </c>
      <c r="AL150" s="7">
        <f t="shared" ca="1" si="95"/>
        <v>0</v>
      </c>
      <c r="AM150" s="7">
        <f t="shared" ca="1" si="95"/>
        <v>0</v>
      </c>
    </row>
    <row r="151" spans="1:39" x14ac:dyDescent="0.2">
      <c r="A151" s="3" t="s">
        <v>25</v>
      </c>
      <c r="C151" s="7">
        <f ca="1">SUM(C148:C150)</f>
        <v>225486.40785841495</v>
      </c>
      <c r="D151" s="7">
        <f t="shared" ref="D151:AM151" ca="1" si="96">SUM(D148:D150)</f>
        <v>232251.00009416739</v>
      </c>
      <c r="E151" s="7">
        <f t="shared" ca="1" si="96"/>
        <v>239218.53009699241</v>
      </c>
      <c r="F151" s="7">
        <f t="shared" ca="1" si="96"/>
        <v>246395.08599990219</v>
      </c>
      <c r="G151" s="7">
        <f t="shared" ca="1" si="96"/>
        <v>253786.93857989926</v>
      </c>
      <c r="H151" s="7">
        <f t="shared" ca="1" si="96"/>
        <v>261400.54673729624</v>
      </c>
      <c r="I151" s="7">
        <f t="shared" ca="1" si="96"/>
        <v>269242.56313941511</v>
      </c>
      <c r="J151" s="7">
        <f t="shared" ca="1" si="96"/>
        <v>277319.84003359755</v>
      </c>
      <c r="K151" s="7">
        <f t="shared" ca="1" si="96"/>
        <v>285639.43523460545</v>
      </c>
      <c r="L151" s="7">
        <f t="shared" ca="1" si="96"/>
        <v>294208.61829164362</v>
      </c>
      <c r="M151" s="7">
        <f t="shared" ca="1" si="96"/>
        <v>303034.87684039294</v>
      </c>
      <c r="N151" s="7">
        <f t="shared" ca="1" si="96"/>
        <v>312125.92314560473</v>
      </c>
      <c r="O151" s="7">
        <f t="shared" ca="1" si="96"/>
        <v>321489.70083997288</v>
      </c>
      <c r="P151" s="7">
        <f t="shared" ca="1" si="96"/>
        <v>331134.39186517207</v>
      </c>
      <c r="Q151" s="7">
        <f t="shared" ca="1" si="96"/>
        <v>341068.42362112727</v>
      </c>
      <c r="R151" s="7">
        <f t="shared" ca="1" si="96"/>
        <v>351300.47632976109</v>
      </c>
      <c r="S151" s="7">
        <f t="shared" ca="1" si="96"/>
        <v>361839.49061965395</v>
      </c>
      <c r="T151" s="7">
        <f t="shared" ca="1" si="96"/>
        <v>372694.6753382436</v>
      </c>
      <c r="U151" s="7">
        <f t="shared" ca="1" si="96"/>
        <v>383875.51559839089</v>
      </c>
      <c r="V151" s="7">
        <f t="shared" ca="1" si="96"/>
        <v>395391.78106634261</v>
      </c>
      <c r="W151" s="7">
        <f t="shared" ca="1" si="96"/>
        <v>407253.53449833288</v>
      </c>
      <c r="X151" s="7">
        <f t="shared" ca="1" si="96"/>
        <v>419471.14053328289</v>
      </c>
      <c r="Y151" s="7">
        <f t="shared" ca="1" si="96"/>
        <v>432055.27474928135</v>
      </c>
      <c r="Z151" s="7">
        <f t="shared" ca="1" si="96"/>
        <v>0</v>
      </c>
      <c r="AA151" s="7">
        <f t="shared" ca="1" si="96"/>
        <v>0</v>
      </c>
      <c r="AB151" s="7">
        <f t="shared" ca="1" si="96"/>
        <v>0</v>
      </c>
      <c r="AC151" s="7">
        <f t="shared" ca="1" si="96"/>
        <v>0</v>
      </c>
      <c r="AD151" s="7">
        <f t="shared" ca="1" si="96"/>
        <v>0</v>
      </c>
      <c r="AE151" s="7">
        <f t="shared" ca="1" si="96"/>
        <v>0</v>
      </c>
      <c r="AF151" s="7">
        <f t="shared" ca="1" si="96"/>
        <v>0</v>
      </c>
      <c r="AG151" s="7">
        <f t="shared" ca="1" si="96"/>
        <v>0</v>
      </c>
      <c r="AH151" s="7">
        <f t="shared" ca="1" si="96"/>
        <v>0</v>
      </c>
      <c r="AI151" s="7">
        <f t="shared" ca="1" si="96"/>
        <v>0</v>
      </c>
      <c r="AJ151" s="7">
        <f t="shared" ca="1" si="96"/>
        <v>0</v>
      </c>
      <c r="AK151" s="7">
        <f t="shared" ca="1" si="96"/>
        <v>0</v>
      </c>
      <c r="AL151" s="7">
        <f t="shared" ca="1" si="96"/>
        <v>0</v>
      </c>
      <c r="AM151" s="7">
        <f t="shared" ca="1" si="96"/>
        <v>0</v>
      </c>
    </row>
    <row r="152" spans="1:39" x14ac:dyDescent="0.2">
      <c r="A152" s="3" t="s">
        <v>26</v>
      </c>
      <c r="C152" s="7">
        <f ca="1">C149*Inputs!$B$195</f>
        <v>0</v>
      </c>
      <c r="D152" s="7">
        <f ca="1">D149*Inputs!$B$195</f>
        <v>0</v>
      </c>
      <c r="E152" s="7">
        <f ca="1">E149*Inputs!$B$195</f>
        <v>0</v>
      </c>
      <c r="F152" s="7">
        <f ca="1">F149*Inputs!$B$195</f>
        <v>0</v>
      </c>
      <c r="G152" s="7">
        <f ca="1">G149*Inputs!$B$195</f>
        <v>0</v>
      </c>
      <c r="H152" s="7">
        <f ca="1">H149*Inputs!$B$195</f>
        <v>0</v>
      </c>
      <c r="I152" s="7">
        <f ca="1">I149*Inputs!$B$195</f>
        <v>0</v>
      </c>
      <c r="J152" s="7">
        <f ca="1">J149*Inputs!$B$195</f>
        <v>0</v>
      </c>
      <c r="K152" s="7">
        <f ca="1">K149*Inputs!$B$195</f>
        <v>0</v>
      </c>
      <c r="L152" s="7">
        <f ca="1">L149*Inputs!$B$195</f>
        <v>0</v>
      </c>
      <c r="M152" s="7">
        <f ca="1">M149*Inputs!$B$195</f>
        <v>0</v>
      </c>
      <c r="N152" s="7">
        <f ca="1">N149*Inputs!$B$195</f>
        <v>0</v>
      </c>
      <c r="O152" s="7">
        <f ca="1">O149*Inputs!$B$195</f>
        <v>0</v>
      </c>
      <c r="P152" s="7">
        <f ca="1">P149*Inputs!$B$195</f>
        <v>0</v>
      </c>
      <c r="Q152" s="7">
        <f ca="1">Q149*Inputs!$B$195</f>
        <v>0</v>
      </c>
      <c r="R152" s="7">
        <f ca="1">R149*Inputs!$B$195</f>
        <v>0</v>
      </c>
      <c r="S152" s="7">
        <f ca="1">S149*Inputs!$B$195</f>
        <v>0</v>
      </c>
      <c r="T152" s="7">
        <f ca="1">T149*Inputs!$B$195</f>
        <v>0</v>
      </c>
      <c r="U152" s="7">
        <f ca="1">U149*Inputs!$B$195</f>
        <v>0</v>
      </c>
      <c r="V152" s="7">
        <f ca="1">V149*Inputs!$B$195</f>
        <v>0</v>
      </c>
      <c r="W152" s="7">
        <f ca="1">W149*Inputs!$B$195</f>
        <v>0</v>
      </c>
      <c r="X152" s="7">
        <f ca="1">X149*Inputs!$B$195</f>
        <v>0</v>
      </c>
      <c r="Y152" s="7">
        <f ca="1">Y149*Inputs!$B$195</f>
        <v>0</v>
      </c>
      <c r="Z152" s="7">
        <f ca="1">Z149*Inputs!$B$195</f>
        <v>-64808.2912123922</v>
      </c>
      <c r="AA152" s="7">
        <f ca="1">AA149*Inputs!$B$195</f>
        <v>0</v>
      </c>
      <c r="AB152" s="7">
        <f ca="1">AB149*Inputs!$B$195</f>
        <v>0</v>
      </c>
      <c r="AC152" s="7">
        <f ca="1">AC149*Inputs!$B$195</f>
        <v>0</v>
      </c>
      <c r="AD152" s="7">
        <f ca="1">AD149*Inputs!$B$195</f>
        <v>0</v>
      </c>
      <c r="AE152" s="7">
        <f ca="1">AE149*Inputs!$B$195</f>
        <v>0</v>
      </c>
      <c r="AF152" s="7">
        <f ca="1">AF149*Inputs!$B$195</f>
        <v>0</v>
      </c>
      <c r="AG152" s="7">
        <f ca="1">AG149*Inputs!$B$195</f>
        <v>0</v>
      </c>
      <c r="AH152" s="7">
        <f ca="1">AH149*Inputs!$B$195</f>
        <v>0</v>
      </c>
      <c r="AI152" s="7">
        <f ca="1">AI149*Inputs!$B$195</f>
        <v>0</v>
      </c>
      <c r="AJ152" s="7">
        <f ca="1">AJ149*Inputs!$B$195</f>
        <v>0</v>
      </c>
      <c r="AK152" s="7">
        <f ca="1">AK149*Inputs!$B$195</f>
        <v>0</v>
      </c>
      <c r="AL152" s="7">
        <f ca="1">AL149*Inputs!$B$195</f>
        <v>0</v>
      </c>
      <c r="AM152" s="7">
        <f>AM149*Inputs!$B$195</f>
        <v>0</v>
      </c>
    </row>
    <row r="153" spans="1:39" x14ac:dyDescent="0.2">
      <c r="A153" s="3" t="s">
        <v>31</v>
      </c>
      <c r="C153" s="7">
        <f t="shared" ref="C153:AM153" ca="1" si="97">IFERROR(-IF(C148=0,VLOOKUP($A147,$8:$12,C$1+2,FALSE),0),0)</f>
        <v>0</v>
      </c>
      <c r="D153" s="7">
        <f t="shared" ca="1" si="97"/>
        <v>0</v>
      </c>
      <c r="E153" s="7">
        <f t="shared" ca="1" si="97"/>
        <v>0</v>
      </c>
      <c r="F153" s="7">
        <f t="shared" ca="1" si="97"/>
        <v>0</v>
      </c>
      <c r="G153" s="7">
        <f t="shared" ca="1" si="97"/>
        <v>0</v>
      </c>
      <c r="H153" s="7">
        <f t="shared" ca="1" si="97"/>
        <v>0</v>
      </c>
      <c r="I153" s="7">
        <f t="shared" ca="1" si="97"/>
        <v>0</v>
      </c>
      <c r="J153" s="7">
        <f t="shared" ca="1" si="97"/>
        <v>0</v>
      </c>
      <c r="K153" s="7">
        <f t="shared" ca="1" si="97"/>
        <v>0</v>
      </c>
      <c r="L153" s="7">
        <f t="shared" ca="1" si="97"/>
        <v>0</v>
      </c>
      <c r="M153" s="7">
        <f t="shared" ca="1" si="97"/>
        <v>0</v>
      </c>
      <c r="N153" s="7">
        <f t="shared" ca="1" si="97"/>
        <v>0</v>
      </c>
      <c r="O153" s="7">
        <f t="shared" ca="1" si="97"/>
        <v>0</v>
      </c>
      <c r="P153" s="7">
        <f t="shared" ca="1" si="97"/>
        <v>0</v>
      </c>
      <c r="Q153" s="7">
        <f t="shared" ca="1" si="97"/>
        <v>0</v>
      </c>
      <c r="R153" s="7">
        <f t="shared" ca="1" si="97"/>
        <v>0</v>
      </c>
      <c r="S153" s="7">
        <f t="shared" ca="1" si="97"/>
        <v>0</v>
      </c>
      <c r="T153" s="7">
        <f t="shared" ca="1" si="97"/>
        <v>0</v>
      </c>
      <c r="U153" s="7">
        <f t="shared" ca="1" si="97"/>
        <v>0</v>
      </c>
      <c r="V153" s="7">
        <f t="shared" ca="1" si="97"/>
        <v>0</v>
      </c>
      <c r="W153" s="7">
        <f t="shared" ca="1" si="97"/>
        <v>0</v>
      </c>
      <c r="X153" s="7">
        <f t="shared" ca="1" si="97"/>
        <v>0</v>
      </c>
      <c r="Y153" s="7">
        <f t="shared" ca="1" si="97"/>
        <v>0</v>
      </c>
      <c r="Z153" s="7">
        <f t="shared" ca="1" si="97"/>
        <v>0</v>
      </c>
      <c r="AA153" s="7">
        <f t="shared" ca="1" si="97"/>
        <v>-13551.960709736029</v>
      </c>
      <c r="AB153" s="7">
        <f t="shared" ca="1" si="97"/>
        <v>-13958.519531028111</v>
      </c>
      <c r="AC153" s="7">
        <f t="shared" ca="1" si="97"/>
        <v>-14377.275116958954</v>
      </c>
      <c r="AD153" s="7">
        <f t="shared" ca="1" si="97"/>
        <v>-14808.593370467723</v>
      </c>
      <c r="AE153" s="7">
        <f t="shared" ca="1" si="97"/>
        <v>-15252.851171581755</v>
      </c>
      <c r="AF153" s="7">
        <f t="shared" ca="1" si="97"/>
        <v>-15710.436706729208</v>
      </c>
      <c r="AG153" s="7">
        <f t="shared" ca="1" si="97"/>
        <v>-16181.749807931084</v>
      </c>
      <c r="AH153" s="7">
        <f t="shared" ca="1" si="97"/>
        <v>-16667.202302169018</v>
      </c>
      <c r="AI153" s="7">
        <f t="shared" ca="1" si="97"/>
        <v>-17167.218371234088</v>
      </c>
      <c r="AJ153" s="7">
        <f t="shared" ca="1" si="97"/>
        <v>-17682.23492237111</v>
      </c>
      <c r="AK153" s="7">
        <f t="shared" ca="1" si="97"/>
        <v>-18212.701970042242</v>
      </c>
      <c r="AL153" s="7">
        <f t="shared" ca="1" si="97"/>
        <v>-18759.083029143509</v>
      </c>
      <c r="AM153" s="7">
        <f t="shared" ca="1" si="97"/>
        <v>-19321.855520017816</v>
      </c>
    </row>
    <row r="154" spans="1:39" x14ac:dyDescent="0.2">
      <c r="A154" s="3" t="s">
        <v>50</v>
      </c>
      <c r="C154" s="7">
        <f t="shared" ref="C154:AM154" ca="1" si="98">IFERROR(IF(C148=0,VLOOKUP($A147,$40:$44,C$1+2,FALSE),0),0)</f>
        <v>0</v>
      </c>
      <c r="D154" s="7">
        <f t="shared" ca="1" si="98"/>
        <v>0</v>
      </c>
      <c r="E154" s="7">
        <f t="shared" ca="1" si="98"/>
        <v>0</v>
      </c>
      <c r="F154" s="7">
        <f t="shared" ca="1" si="98"/>
        <v>0</v>
      </c>
      <c r="G154" s="7">
        <f t="shared" ca="1" si="98"/>
        <v>0</v>
      </c>
      <c r="H154" s="7">
        <f t="shared" ca="1" si="98"/>
        <v>0</v>
      </c>
      <c r="I154" s="7">
        <f t="shared" ca="1" si="98"/>
        <v>0</v>
      </c>
      <c r="J154" s="7">
        <f t="shared" ca="1" si="98"/>
        <v>0</v>
      </c>
      <c r="K154" s="7">
        <f t="shared" ca="1" si="98"/>
        <v>0</v>
      </c>
      <c r="L154" s="7">
        <f t="shared" ca="1" si="98"/>
        <v>0</v>
      </c>
      <c r="M154" s="7">
        <f t="shared" ca="1" si="98"/>
        <v>0</v>
      </c>
      <c r="N154" s="7">
        <f t="shared" ca="1" si="98"/>
        <v>0</v>
      </c>
      <c r="O154" s="7">
        <f t="shared" ca="1" si="98"/>
        <v>0</v>
      </c>
      <c r="P154" s="7">
        <f t="shared" ca="1" si="98"/>
        <v>0</v>
      </c>
      <c r="Q154" s="7">
        <f t="shared" ca="1" si="98"/>
        <v>0</v>
      </c>
      <c r="R154" s="7">
        <f t="shared" ca="1" si="98"/>
        <v>0</v>
      </c>
      <c r="S154" s="7">
        <f t="shared" ca="1" si="98"/>
        <v>0</v>
      </c>
      <c r="T154" s="7">
        <f t="shared" ca="1" si="98"/>
        <v>0</v>
      </c>
      <c r="U154" s="7">
        <f t="shared" ca="1" si="98"/>
        <v>0</v>
      </c>
      <c r="V154" s="7">
        <f t="shared" ca="1" si="98"/>
        <v>0</v>
      </c>
      <c r="W154" s="7">
        <f t="shared" ca="1" si="98"/>
        <v>0</v>
      </c>
      <c r="X154" s="7">
        <f t="shared" ca="1" si="98"/>
        <v>0</v>
      </c>
      <c r="Y154" s="7">
        <f t="shared" ca="1" si="98"/>
        <v>0</v>
      </c>
      <c r="Z154" s="7">
        <f t="shared" ca="1" si="98"/>
        <v>0</v>
      </c>
      <c r="AA154" s="7">
        <f t="shared" ca="1" si="98"/>
        <v>2170.4711394991068</v>
      </c>
      <c r="AB154" s="7">
        <f t="shared" ca="1" si="98"/>
        <v>2224.7329179865842</v>
      </c>
      <c r="AC154" s="7">
        <f t="shared" ca="1" si="98"/>
        <v>2280.3512409362484</v>
      </c>
      <c r="AD154" s="7">
        <f t="shared" ca="1" si="98"/>
        <v>2337.3600219596547</v>
      </c>
      <c r="AE154" s="7">
        <f t="shared" ca="1" si="98"/>
        <v>2395.7940225086459</v>
      </c>
      <c r="AF154" s="7">
        <f t="shared" ca="1" si="98"/>
        <v>2455.6888730713622</v>
      </c>
      <c r="AG154" s="7">
        <f t="shared" ca="1" si="98"/>
        <v>2517.0810948981457</v>
      </c>
      <c r="AH154" s="7">
        <f t="shared" ca="1" si="98"/>
        <v>2580.0081222705999</v>
      </c>
      <c r="AI154" s="7">
        <f t="shared" ca="1" si="98"/>
        <v>2644.5083253273642</v>
      </c>
      <c r="AJ154" s="7">
        <f t="shared" ca="1" si="98"/>
        <v>2710.6210334605485</v>
      </c>
      <c r="AK154" s="7">
        <f t="shared" ca="1" si="98"/>
        <v>2778.3865592970619</v>
      </c>
      <c r="AL154" s="7">
        <f t="shared" ca="1" si="98"/>
        <v>2847.8462232794882</v>
      </c>
      <c r="AM154" s="7">
        <f t="shared" ca="1" si="98"/>
        <v>2919.0423788614758</v>
      </c>
    </row>
    <row r="155" spans="1:39" x14ac:dyDescent="0.2">
      <c r="A155" s="3" t="s">
        <v>36</v>
      </c>
      <c r="B155" s="14" t="str">
        <f>A147</f>
        <v>Qormi</v>
      </c>
      <c r="C155" s="7">
        <f t="shared" ref="C155:AM155" ca="1" si="99">IF(AND(C148&gt;0,C151=0),VLOOKUP($A147,$72:$76,C$1+2,FALSE),0)</f>
        <v>0</v>
      </c>
      <c r="D155" s="7">
        <f t="shared" ca="1" si="99"/>
        <v>0</v>
      </c>
      <c r="E155" s="7">
        <f t="shared" ca="1" si="99"/>
        <v>0</v>
      </c>
      <c r="F155" s="7">
        <f t="shared" ca="1" si="99"/>
        <v>0</v>
      </c>
      <c r="G155" s="7">
        <f t="shared" ca="1" si="99"/>
        <v>0</v>
      </c>
      <c r="H155" s="7">
        <f t="shared" ca="1" si="99"/>
        <v>0</v>
      </c>
      <c r="I155" s="7">
        <f t="shared" ca="1" si="99"/>
        <v>0</v>
      </c>
      <c r="J155" s="7">
        <f t="shared" ca="1" si="99"/>
        <v>0</v>
      </c>
      <c r="K155" s="7">
        <f t="shared" ca="1" si="99"/>
        <v>0</v>
      </c>
      <c r="L155" s="7">
        <f t="shared" ca="1" si="99"/>
        <v>0</v>
      </c>
      <c r="M155" s="7">
        <f t="shared" ca="1" si="99"/>
        <v>0</v>
      </c>
      <c r="N155" s="7">
        <f t="shared" ca="1" si="99"/>
        <v>0</v>
      </c>
      <c r="O155" s="7">
        <f t="shared" ca="1" si="99"/>
        <v>0</v>
      </c>
      <c r="P155" s="7">
        <f t="shared" ca="1" si="99"/>
        <v>0</v>
      </c>
      <c r="Q155" s="7">
        <f t="shared" ca="1" si="99"/>
        <v>0</v>
      </c>
      <c r="R155" s="7">
        <f t="shared" ca="1" si="99"/>
        <v>0</v>
      </c>
      <c r="S155" s="7">
        <f t="shared" ca="1" si="99"/>
        <v>0</v>
      </c>
      <c r="T155" s="7">
        <f t="shared" ca="1" si="99"/>
        <v>0</v>
      </c>
      <c r="U155" s="7">
        <f t="shared" ca="1" si="99"/>
        <v>0</v>
      </c>
      <c r="V155" s="7">
        <f t="shared" ca="1" si="99"/>
        <v>0</v>
      </c>
      <c r="W155" s="7">
        <f t="shared" ca="1" si="99"/>
        <v>0</v>
      </c>
      <c r="X155" s="7">
        <f t="shared" ca="1" si="99"/>
        <v>0</v>
      </c>
      <c r="Y155" s="7">
        <f t="shared" ca="1" si="99"/>
        <v>0</v>
      </c>
      <c r="Z155" s="7">
        <f t="shared" ca="1" si="99"/>
        <v>0</v>
      </c>
      <c r="AA155" s="7">
        <f t="shared" ca="1" si="99"/>
        <v>0</v>
      </c>
      <c r="AB155" s="7">
        <f t="shared" ca="1" si="99"/>
        <v>0</v>
      </c>
      <c r="AC155" s="7">
        <f t="shared" ca="1" si="99"/>
        <v>0</v>
      </c>
      <c r="AD155" s="7">
        <f t="shared" ca="1" si="99"/>
        <v>0</v>
      </c>
      <c r="AE155" s="7">
        <f t="shared" ca="1" si="99"/>
        <v>0</v>
      </c>
      <c r="AF155" s="7">
        <f t="shared" ca="1" si="99"/>
        <v>0</v>
      </c>
      <c r="AG155" s="7">
        <f t="shared" ca="1" si="99"/>
        <v>0</v>
      </c>
      <c r="AH155" s="7">
        <f t="shared" ca="1" si="99"/>
        <v>0</v>
      </c>
      <c r="AI155" s="7">
        <f t="shared" ca="1" si="99"/>
        <v>0</v>
      </c>
      <c r="AJ155" s="7">
        <f t="shared" ca="1" si="99"/>
        <v>0</v>
      </c>
      <c r="AK155" s="7">
        <f t="shared" ca="1" si="99"/>
        <v>0</v>
      </c>
      <c r="AL155" s="7">
        <f t="shared" ca="1" si="99"/>
        <v>0</v>
      </c>
      <c r="AM155" s="7">
        <f t="shared" ca="1" si="99"/>
        <v>0</v>
      </c>
    </row>
    <row r="156" spans="1:39" x14ac:dyDescent="0.2">
      <c r="A156" s="3" t="s">
        <v>37</v>
      </c>
      <c r="C156" s="7">
        <f ca="1">-C149+SUM(C152:C155)</f>
        <v>0</v>
      </c>
      <c r="D156" s="7">
        <f t="shared" ref="D156" ca="1" si="100">-D149+SUM(D152:D155)</f>
        <v>0</v>
      </c>
      <c r="E156" s="7">
        <f t="shared" ref="E156:AM156" ca="1" si="101">-E149+SUM(E152:E155)</f>
        <v>0</v>
      </c>
      <c r="F156" s="7">
        <f t="shared" ca="1" si="101"/>
        <v>0</v>
      </c>
      <c r="G156" s="7">
        <f t="shared" ca="1" si="101"/>
        <v>0</v>
      </c>
      <c r="H156" s="7">
        <f t="shared" ca="1" si="101"/>
        <v>0</v>
      </c>
      <c r="I156" s="7">
        <f t="shared" ca="1" si="101"/>
        <v>0</v>
      </c>
      <c r="J156" s="7">
        <f t="shared" ca="1" si="101"/>
        <v>0</v>
      </c>
      <c r="K156" s="7">
        <f t="shared" ca="1" si="101"/>
        <v>0</v>
      </c>
      <c r="L156" s="7">
        <f t="shared" ca="1" si="101"/>
        <v>0</v>
      </c>
      <c r="M156" s="7">
        <f t="shared" ca="1" si="101"/>
        <v>0</v>
      </c>
      <c r="N156" s="7">
        <f t="shared" ca="1" si="101"/>
        <v>0</v>
      </c>
      <c r="O156" s="7">
        <f t="shared" ca="1" si="101"/>
        <v>0</v>
      </c>
      <c r="P156" s="7">
        <f t="shared" ca="1" si="101"/>
        <v>0</v>
      </c>
      <c r="Q156" s="7">
        <f t="shared" ca="1" si="101"/>
        <v>0</v>
      </c>
      <c r="R156" s="7">
        <f t="shared" ca="1" si="101"/>
        <v>0</v>
      </c>
      <c r="S156" s="7">
        <f t="shared" ca="1" si="101"/>
        <v>0</v>
      </c>
      <c r="T156" s="7">
        <f t="shared" ca="1" si="101"/>
        <v>0</v>
      </c>
      <c r="U156" s="7">
        <f t="shared" ca="1" si="101"/>
        <v>0</v>
      </c>
      <c r="V156" s="7">
        <f t="shared" ca="1" si="101"/>
        <v>0</v>
      </c>
      <c r="W156" s="7">
        <f t="shared" ca="1" si="101"/>
        <v>0</v>
      </c>
      <c r="X156" s="7">
        <f t="shared" ca="1" si="101"/>
        <v>0</v>
      </c>
      <c r="Y156" s="7">
        <f t="shared" ca="1" si="101"/>
        <v>0</v>
      </c>
      <c r="Z156" s="7">
        <f t="shared" ca="1" si="101"/>
        <v>367246.98353688914</v>
      </c>
      <c r="AA156" s="7">
        <f t="shared" ca="1" si="101"/>
        <v>-11381.489570236923</v>
      </c>
      <c r="AB156" s="7">
        <f t="shared" ca="1" si="101"/>
        <v>-11733.786613041526</v>
      </c>
      <c r="AC156" s="7">
        <f t="shared" ca="1" si="101"/>
        <v>-12096.923876022705</v>
      </c>
      <c r="AD156" s="7">
        <f t="shared" ca="1" si="101"/>
        <v>-12471.233348508067</v>
      </c>
      <c r="AE156" s="7">
        <f t="shared" ca="1" si="101"/>
        <v>-12857.057149073109</v>
      </c>
      <c r="AF156" s="7">
        <f t="shared" ca="1" si="101"/>
        <v>-13254.747833657846</v>
      </c>
      <c r="AG156" s="7">
        <f t="shared" ca="1" si="101"/>
        <v>-13664.668713032939</v>
      </c>
      <c r="AH156" s="7">
        <f t="shared" ca="1" si="101"/>
        <v>-14087.194179898419</v>
      </c>
      <c r="AI156" s="7">
        <f t="shared" ca="1" si="101"/>
        <v>-14522.710045906724</v>
      </c>
      <c r="AJ156" s="7">
        <f t="shared" ca="1" si="101"/>
        <v>-14971.61388891056</v>
      </c>
      <c r="AK156" s="7">
        <f t="shared" ca="1" si="101"/>
        <v>-15434.315410745181</v>
      </c>
      <c r="AL156" s="7">
        <f t="shared" ca="1" si="101"/>
        <v>-15911.23680586402</v>
      </c>
      <c r="AM156" s="7">
        <f t="shared" ca="1" si="101"/>
        <v>-16402.813141156341</v>
      </c>
    </row>
    <row r="157" spans="1:39" x14ac:dyDescent="0.2">
      <c r="A157" s="3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  <c r="AB157" s="7"/>
      <c r="AC157" s="7"/>
      <c r="AD157" s="7"/>
      <c r="AE157" s="7"/>
      <c r="AF157" s="7"/>
      <c r="AG157" s="7"/>
      <c r="AH157" s="7"/>
      <c r="AI157" s="7"/>
      <c r="AJ157" s="7"/>
      <c r="AK157" s="7"/>
      <c r="AL157" s="7"/>
      <c r="AM157" s="7"/>
    </row>
    <row r="158" spans="1:39" x14ac:dyDescent="0.2">
      <c r="A158" s="3" t="s">
        <v>77</v>
      </c>
      <c r="C158" s="7">
        <f ca="1">C144+SUM($C156:C156)</f>
        <v>33136.875000000015</v>
      </c>
      <c r="D158" s="7">
        <f ca="1">D144+SUM($C156:D156)</f>
        <v>57140.903125000026</v>
      </c>
      <c r="E158" s="7">
        <f ca="1">E144+SUM($C156:E156)</f>
        <v>87759.433828125038</v>
      </c>
      <c r="F158" s="7">
        <f ca="1">F144+SUM($C156:F156)</f>
        <v>99100.176411377644</v>
      </c>
      <c r="G158" s="7">
        <f ca="1">G144+SUM($C156:G156)</f>
        <v>50982.686515080073</v>
      </c>
      <c r="H158" s="7">
        <f ca="1">H144+SUM($C156:H156)</f>
        <v>4731.4866545593541</v>
      </c>
      <c r="I158" s="7">
        <f ca="1">I144+SUM($C156:I156)</f>
        <v>82816.445943588857</v>
      </c>
      <c r="J158" s="7">
        <f ca="1">J144+SUM($C156:J156)</f>
        <v>70704.194280487602</v>
      </c>
      <c r="K158" s="7">
        <f ca="1">K144+SUM($C156:K156)</f>
        <v>16367.784225867061</v>
      </c>
      <c r="L158" s="7">
        <f ca="1">L144+SUM($C156:L156)</f>
        <v>180163.27031040267</v>
      </c>
      <c r="M158" s="7">
        <f ca="1">M144+SUM($C156:M156)</f>
        <v>109371.35581909551</v>
      </c>
      <c r="N158" s="7">
        <f ca="1">N144+SUM($C156:N156)</f>
        <v>86281.137610015881</v>
      </c>
      <c r="O158" s="7">
        <f ca="1">O144+SUM($C156:O156)</f>
        <v>62051.388676493501</v>
      </c>
      <c r="P158" s="7">
        <f ca="1">P144+SUM($C156:P156)</f>
        <v>36663.267130203953</v>
      </c>
      <c r="Q158" s="7">
        <f ca="1">Q144+SUM($C156:Q156)</f>
        <v>206802.86686737029</v>
      </c>
      <c r="R158" s="7">
        <f ca="1">R144+SUM($C156:R156)</f>
        <v>173499.8106300793</v>
      </c>
      <c r="S158" s="7">
        <f ca="1">S144+SUM($C156:S156)</f>
        <v>138761.93350443404</v>
      </c>
      <c r="T158" s="7">
        <f ca="1">T144+SUM($C156:T156)</f>
        <v>121065.19970660284</v>
      </c>
      <c r="U158" s="7">
        <f ca="1">U144+SUM($C156:U156)</f>
        <v>110424.7629864492</v>
      </c>
      <c r="V158" s="7">
        <f ca="1">V144+SUM($C156:V156)</f>
        <v>99226.416037007526</v>
      </c>
      <c r="W158" s="7">
        <f ca="1">W144+SUM($C156:W156)</f>
        <v>87464.120322809336</v>
      </c>
      <c r="X158" s="7">
        <f ca="1">X144+SUM($C156:X156)</f>
        <v>75131.923621607217</v>
      </c>
      <c r="Y158" s="7">
        <f ca="1">Y144+SUM($C156:Y156)</f>
        <v>41048.641110268611</v>
      </c>
      <c r="Z158" s="7">
        <f ca="1">Z144+SUM($C156:Z156)</f>
        <v>372584.97856992151</v>
      </c>
      <c r="AA158" s="7">
        <f ca="1">AA144+SUM($C156:AA156)</f>
        <v>324362.20614534547</v>
      </c>
      <c r="AB158" s="7">
        <f ca="1">AB144+SUM($C156:AB156)</f>
        <v>275035.50411547802</v>
      </c>
      <c r="AC158" s="7">
        <f ca="1">AC144+SUM($C156:AC156)</f>
        <v>224580.32343134659</v>
      </c>
      <c r="AD158" s="7">
        <f ca="1">AD144+SUM($C156:AD156)</f>
        <v>172971.59279348908</v>
      </c>
      <c r="AE158" s="7">
        <f ca="1">AE144+SUM($C156:AE156)</f>
        <v>130166.18343374971</v>
      </c>
      <c r="AF158" s="7">
        <f ca="1">AF144+SUM($C156:AF156)</f>
        <v>86405.035223803687</v>
      </c>
      <c r="AG158" s="7">
        <f ca="1">AG144+SUM($C156:AG156)</f>
        <v>41667.686583909468</v>
      </c>
      <c r="AH158" s="7">
        <f ca="1">AH144+SUM($C156:AH156)</f>
        <v>-4066.7326484226505</v>
      </c>
      <c r="AI158" s="7">
        <f ca="1">AI144+SUM($C156:AI156)</f>
        <v>-50819.508344296773</v>
      </c>
      <c r="AJ158" s="7">
        <f ca="1">AJ144+SUM($C156:AJ156)</f>
        <v>-98612.349294783548</v>
      </c>
      <c r="AK158" s="7">
        <f ca="1">AK144+SUM($C156:AK156)</f>
        <v>-147467.39450711463</v>
      </c>
      <c r="AL158" s="7">
        <f ca="1">AL144+SUM($C156:AL156)</f>
        <v>-197407.22058497855</v>
      </c>
      <c r="AM158" s="7">
        <f ca="1">AM144+SUM($C156:AM156)</f>
        <v>-248454.84919207063</v>
      </c>
    </row>
    <row r="159" spans="1:39" x14ac:dyDescent="0.2">
      <c r="A159" s="3" t="s">
        <v>74</v>
      </c>
      <c r="C159" s="7">
        <f t="shared" ref="C159:AM159" ca="1" si="102">MAX(C158+buffer,0)-MAX(C144+buffer,0)</f>
        <v>0</v>
      </c>
      <c r="D159" s="7">
        <f t="shared" ca="1" si="102"/>
        <v>0</v>
      </c>
      <c r="E159" s="7">
        <f t="shared" ca="1" si="102"/>
        <v>0</v>
      </c>
      <c r="F159" s="7">
        <f t="shared" ca="1" si="102"/>
        <v>0</v>
      </c>
      <c r="G159" s="7">
        <f t="shared" ca="1" si="102"/>
        <v>0</v>
      </c>
      <c r="H159" s="7">
        <f t="shared" ca="1" si="102"/>
        <v>0</v>
      </c>
      <c r="I159" s="7">
        <f t="shared" ca="1" si="102"/>
        <v>0</v>
      </c>
      <c r="J159" s="7">
        <f t="shared" ca="1" si="102"/>
        <v>0</v>
      </c>
      <c r="K159" s="7">
        <f t="shared" ca="1" si="102"/>
        <v>0</v>
      </c>
      <c r="L159" s="7">
        <f t="shared" ca="1" si="102"/>
        <v>0</v>
      </c>
      <c r="M159" s="7">
        <f t="shared" ca="1" si="102"/>
        <v>0</v>
      </c>
      <c r="N159" s="7">
        <f t="shared" ca="1" si="102"/>
        <v>0</v>
      </c>
      <c r="O159" s="7">
        <f t="shared" ca="1" si="102"/>
        <v>0</v>
      </c>
      <c r="P159" s="7">
        <f t="shared" ca="1" si="102"/>
        <v>0</v>
      </c>
      <c r="Q159" s="7">
        <f t="shared" ca="1" si="102"/>
        <v>0</v>
      </c>
      <c r="R159" s="7">
        <f t="shared" ca="1" si="102"/>
        <v>0</v>
      </c>
      <c r="S159" s="7">
        <f t="shared" ca="1" si="102"/>
        <v>0</v>
      </c>
      <c r="T159" s="7">
        <f t="shared" ca="1" si="102"/>
        <v>0</v>
      </c>
      <c r="U159" s="7">
        <f t="shared" ca="1" si="102"/>
        <v>0</v>
      </c>
      <c r="V159" s="7">
        <f t="shared" ca="1" si="102"/>
        <v>0</v>
      </c>
      <c r="W159" s="7">
        <f t="shared" ca="1" si="102"/>
        <v>0</v>
      </c>
      <c r="X159" s="7">
        <f t="shared" ca="1" si="102"/>
        <v>0</v>
      </c>
      <c r="Y159" s="7">
        <f t="shared" ca="1" si="102"/>
        <v>0</v>
      </c>
      <c r="Z159" s="7">
        <f t="shared" ca="1" si="102"/>
        <v>367246.98353688914</v>
      </c>
      <c r="AA159" s="7">
        <f t="shared" ca="1" si="102"/>
        <v>355865.4939666522</v>
      </c>
      <c r="AB159" s="7">
        <f t="shared" ca="1" si="102"/>
        <v>315035.50411547802</v>
      </c>
      <c r="AC159" s="7">
        <f t="shared" ca="1" si="102"/>
        <v>264580.32343134657</v>
      </c>
      <c r="AD159" s="7">
        <f t="shared" ca="1" si="102"/>
        <v>212971.59279348908</v>
      </c>
      <c r="AE159" s="7">
        <f t="shared" ca="1" si="102"/>
        <v>170166.18343374971</v>
      </c>
      <c r="AF159" s="7">
        <f t="shared" ca="1" si="102"/>
        <v>126405.03522380369</v>
      </c>
      <c r="AG159" s="7">
        <f t="shared" ca="1" si="102"/>
        <v>81667.686583909468</v>
      </c>
      <c r="AH159" s="7">
        <f t="shared" ca="1" si="102"/>
        <v>35933.267351577349</v>
      </c>
      <c r="AI159" s="7">
        <f t="shared" ca="1" si="102"/>
        <v>0</v>
      </c>
      <c r="AJ159" s="7">
        <f t="shared" ca="1" si="102"/>
        <v>0</v>
      </c>
      <c r="AK159" s="7">
        <f t="shared" ca="1" si="102"/>
        <v>0</v>
      </c>
      <c r="AL159" s="7">
        <f t="shared" ca="1" si="102"/>
        <v>0</v>
      </c>
      <c r="AM159" s="7">
        <f t="shared" ca="1" si="102"/>
        <v>0</v>
      </c>
    </row>
    <row r="160" spans="1:39" x14ac:dyDescent="0.2">
      <c r="A160" s="3" t="s">
        <v>75</v>
      </c>
      <c r="C160" s="7">
        <f ca="1">C159*Inputs!$B$181</f>
        <v>0</v>
      </c>
      <c r="D160" s="7">
        <f ca="1">D159*Inputs!$B$181</f>
        <v>0</v>
      </c>
      <c r="E160" s="7">
        <f ca="1">E159*Inputs!$B$181</f>
        <v>0</v>
      </c>
      <c r="F160" s="7">
        <f ca="1">F159*Inputs!$B$181</f>
        <v>0</v>
      </c>
      <c r="G160" s="7">
        <f ca="1">G159*Inputs!$B$181</f>
        <v>0</v>
      </c>
      <c r="H160" s="7">
        <f ca="1">H159*Inputs!$B$181</f>
        <v>0</v>
      </c>
      <c r="I160" s="7">
        <f ca="1">I159*Inputs!$B$181</f>
        <v>0</v>
      </c>
      <c r="J160" s="7">
        <f ca="1">J159*Inputs!$B$181</f>
        <v>0</v>
      </c>
      <c r="K160" s="7">
        <f ca="1">K159*Inputs!$B$181</f>
        <v>0</v>
      </c>
      <c r="L160" s="7">
        <f ca="1">L159*Inputs!$B$181</f>
        <v>0</v>
      </c>
      <c r="M160" s="7">
        <f ca="1">M159*Inputs!$B$181</f>
        <v>0</v>
      </c>
      <c r="N160" s="7">
        <f ca="1">N159*Inputs!$B$181</f>
        <v>0</v>
      </c>
      <c r="O160" s="7">
        <f ca="1">O159*Inputs!$B$181</f>
        <v>0</v>
      </c>
      <c r="P160" s="7">
        <f ca="1">P159*Inputs!$B$181</f>
        <v>0</v>
      </c>
      <c r="Q160" s="7">
        <f ca="1">Q159*Inputs!$B$181</f>
        <v>0</v>
      </c>
      <c r="R160" s="7">
        <f ca="1">R159*Inputs!$B$181</f>
        <v>0</v>
      </c>
      <c r="S160" s="7">
        <f ca="1">S159*Inputs!$B$181</f>
        <v>0</v>
      </c>
      <c r="T160" s="7">
        <f ca="1">T159*Inputs!$B$181</f>
        <v>0</v>
      </c>
      <c r="U160" s="7">
        <f ca="1">U159*Inputs!$B$181</f>
        <v>0</v>
      </c>
      <c r="V160" s="7">
        <f ca="1">V159*Inputs!$B$181</f>
        <v>0</v>
      </c>
      <c r="W160" s="7">
        <f ca="1">W159*Inputs!$B$181</f>
        <v>0</v>
      </c>
      <c r="X160" s="7">
        <f ca="1">X159*Inputs!$B$181</f>
        <v>0</v>
      </c>
      <c r="Y160" s="7">
        <f ca="1">Y159*Inputs!$B$181</f>
        <v>0</v>
      </c>
      <c r="Z160" s="7">
        <f ca="1">Z159*Inputs!$B$181</f>
        <v>9181.1745884222291</v>
      </c>
      <c r="AA160" s="7">
        <f ca="1">AA159*Inputs!$B$181</f>
        <v>8896.6373491663053</v>
      </c>
      <c r="AB160" s="7">
        <f ca="1">AB159*Inputs!$B$181</f>
        <v>7875.8876028869508</v>
      </c>
      <c r="AC160" s="7">
        <f ca="1">AC159*Inputs!$B$181</f>
        <v>6614.5080857836647</v>
      </c>
      <c r="AD160" s="7">
        <f ca="1">AD159*Inputs!$B$181</f>
        <v>5324.2898198372277</v>
      </c>
      <c r="AE160" s="7">
        <f ca="1">AE159*Inputs!$B$181</f>
        <v>4254.154585843743</v>
      </c>
      <c r="AF160" s="7">
        <f ca="1">AF159*Inputs!$B$181</f>
        <v>3160.1258805950924</v>
      </c>
      <c r="AG160" s="7">
        <f ca="1">AG159*Inputs!$B$181</f>
        <v>2041.6921645977368</v>
      </c>
      <c r="AH160" s="7">
        <f ca="1">AH159*Inputs!$B$181</f>
        <v>898.33168378943378</v>
      </c>
      <c r="AI160" s="7">
        <f ca="1">AI159*Inputs!$B$181</f>
        <v>0</v>
      </c>
      <c r="AJ160" s="7">
        <f ca="1">AJ159*Inputs!$B$181</f>
        <v>0</v>
      </c>
      <c r="AK160" s="7">
        <f ca="1">AK159*Inputs!$B$181</f>
        <v>0</v>
      </c>
      <c r="AL160" s="7">
        <f ca="1">AL159*Inputs!$B$181</f>
        <v>0</v>
      </c>
      <c r="AM160" s="7">
        <f ca="1">AM159*Inputs!$B$181</f>
        <v>0</v>
      </c>
    </row>
    <row r="161" spans="1:39" x14ac:dyDescent="0.2">
      <c r="A161" s="3" t="s">
        <v>158</v>
      </c>
      <c r="C161" s="7">
        <f ca="1">C158+SUM($C160:C160)</f>
        <v>33136.875000000015</v>
      </c>
      <c r="D161" s="7">
        <f ca="1">D158+SUM($C160:D160)</f>
        <v>57140.903125000026</v>
      </c>
      <c r="E161" s="7">
        <f ca="1">E158+SUM($C160:E160)</f>
        <v>87759.433828125038</v>
      </c>
      <c r="F161" s="7">
        <f ca="1">F158+SUM($C160:F160)</f>
        <v>99100.176411377644</v>
      </c>
      <c r="G161" s="7">
        <f ca="1">G158+SUM($C160:G160)</f>
        <v>50982.686515080073</v>
      </c>
      <c r="H161" s="7">
        <f ca="1">H158+SUM($C160:H160)</f>
        <v>4731.4866545593541</v>
      </c>
      <c r="I161" s="7">
        <f ca="1">I158+SUM($C160:I160)</f>
        <v>82816.445943588857</v>
      </c>
      <c r="J161" s="7">
        <f ca="1">J158+SUM($C160:J160)</f>
        <v>70704.194280487602</v>
      </c>
      <c r="K161" s="7">
        <f ca="1">K158+SUM($C160:K160)</f>
        <v>16367.784225867061</v>
      </c>
      <c r="L161" s="7">
        <f ca="1">L158+SUM($C160:L160)</f>
        <v>180163.27031040267</v>
      </c>
      <c r="M161" s="7">
        <f ca="1">M158+SUM($C160:M160)</f>
        <v>109371.35581909551</v>
      </c>
      <c r="N161" s="7">
        <f ca="1">N158+SUM($C160:N160)</f>
        <v>86281.137610015881</v>
      </c>
      <c r="O161" s="7">
        <f ca="1">O158+SUM($C160:O160)</f>
        <v>62051.388676493501</v>
      </c>
      <c r="P161" s="7">
        <f ca="1">P158+SUM($C160:P160)</f>
        <v>36663.267130203953</v>
      </c>
      <c r="Q161" s="7">
        <f ca="1">Q158+SUM($C160:Q160)</f>
        <v>206802.86686737029</v>
      </c>
      <c r="R161" s="7">
        <f ca="1">R158+SUM($C160:R160)</f>
        <v>173499.8106300793</v>
      </c>
      <c r="S161" s="7">
        <f ca="1">S158+SUM($C160:S160)</f>
        <v>138761.93350443404</v>
      </c>
      <c r="T161" s="7">
        <f ca="1">T158+SUM($C160:T160)</f>
        <v>121065.19970660284</v>
      </c>
      <c r="U161" s="7">
        <f ca="1">U158+SUM($C160:U160)</f>
        <v>110424.7629864492</v>
      </c>
      <c r="V161" s="7">
        <f ca="1">V158+SUM($C160:V160)</f>
        <v>99226.416037007526</v>
      </c>
      <c r="W161" s="7">
        <f ca="1">W158+SUM($C160:W160)</f>
        <v>87464.120322809336</v>
      </c>
      <c r="X161" s="7">
        <f ca="1">X158+SUM($C160:X160)</f>
        <v>75131.923621607217</v>
      </c>
      <c r="Y161" s="7">
        <f ca="1">Y158+SUM($C160:Y160)</f>
        <v>41048.641110268611</v>
      </c>
      <c r="Z161" s="7">
        <f ca="1">Z158+SUM($C160:Z160)</f>
        <v>381766.15315834375</v>
      </c>
      <c r="AA161" s="7">
        <f ca="1">AA158+SUM($C160:AA160)</f>
        <v>342440.01808293402</v>
      </c>
      <c r="AB161" s="7">
        <f ca="1">AB158+SUM($C160:AB160)</f>
        <v>300989.20365595352</v>
      </c>
      <c r="AC161" s="7">
        <f ca="1">AC158+SUM($C160:AC160)</f>
        <v>257148.53105760575</v>
      </c>
      <c r="AD161" s="7">
        <f ca="1">AD158+SUM($C160:AD160)</f>
        <v>210864.09023958546</v>
      </c>
      <c r="AE161" s="7">
        <f ca="1">AE158+SUM($C160:AE160)</f>
        <v>172312.83546568983</v>
      </c>
      <c r="AF161" s="7">
        <f ca="1">AF158+SUM($C160:AF160)</f>
        <v>131711.8131363389</v>
      </c>
      <c r="AG161" s="7">
        <f ca="1">AG158+SUM($C160:AG160)</f>
        <v>89016.15666104242</v>
      </c>
      <c r="AH161" s="7">
        <f ca="1">AH158+SUM($C160:AH160)</f>
        <v>44180.069112499732</v>
      </c>
      <c r="AI161" s="7">
        <f ca="1">AI158+SUM($C160:AI160)</f>
        <v>-2572.7065833743909</v>
      </c>
      <c r="AJ161" s="7">
        <f ca="1">AJ158+SUM($C160:AJ160)</f>
        <v>-50365.547533861165</v>
      </c>
      <c r="AK161" s="7">
        <f ca="1">AK158+SUM($C160:AK160)</f>
        <v>-99220.59274619224</v>
      </c>
      <c r="AL161" s="7">
        <f ca="1">AL158+SUM($C160:AL160)</f>
        <v>-149160.41882405616</v>
      </c>
      <c r="AM161" s="7">
        <f ca="1">AM158+SUM($C160:AM160)</f>
        <v>-200208.04743114824</v>
      </c>
    </row>
    <row r="162" spans="1:39" x14ac:dyDescent="0.2">
      <c r="A162" s="3" t="s">
        <v>20</v>
      </c>
      <c r="C162" s="7">
        <f ca="1">IF(C161&lt;0,-C161,0)</f>
        <v>0</v>
      </c>
      <c r="D162" s="7">
        <f ca="1">IF(D161+SUM($C162:C162)&lt;0,-(D161+SUM($C162:C162)),0)</f>
        <v>0</v>
      </c>
      <c r="E162" s="7">
        <f ca="1">IF(E161+SUM($C162:D162)&lt;0,-(E161+SUM($C162:D162)),0)</f>
        <v>0</v>
      </c>
      <c r="F162" s="7">
        <f ca="1">IF(F161+SUM($C162:E162)&lt;0,-(F161+SUM($C162:E162)),0)</f>
        <v>0</v>
      </c>
      <c r="G162" s="7">
        <f ca="1">IF(G161+SUM($C162:F162)&lt;0,-(G161+SUM($C162:F162)),0)</f>
        <v>0</v>
      </c>
      <c r="H162" s="7">
        <f ca="1">IF(H161+SUM($C162:G162)&lt;0,-(H161+SUM($C162:G162)),0)</f>
        <v>0</v>
      </c>
      <c r="I162" s="7">
        <f ca="1">IF(I161+SUM($C162:H162)&lt;0,-(I161+SUM($C162:H162)),0)</f>
        <v>0</v>
      </c>
      <c r="J162" s="7">
        <f ca="1">IF(J161+SUM($C162:I162)&lt;0,-(J161+SUM($C162:I162)),0)</f>
        <v>0</v>
      </c>
      <c r="K162" s="7">
        <f ca="1">IF(K161+SUM($C162:J162)&lt;0,-(K161+SUM($C162:J162)),0)</f>
        <v>0</v>
      </c>
      <c r="L162" s="7">
        <f ca="1">IF(L161+SUM($C162:K162)&lt;0,-(L161+SUM($C162:K162)),0)</f>
        <v>0</v>
      </c>
      <c r="M162" s="7">
        <f ca="1">IF(M161+SUM($C162:L162)&lt;0,-(M161+SUM($C162:L162)),0)</f>
        <v>0</v>
      </c>
      <c r="N162" s="7">
        <f ca="1">IF(N161+SUM($C162:M162)&lt;0,-(N161+SUM($C162:M162)),0)</f>
        <v>0</v>
      </c>
      <c r="O162" s="7">
        <f ca="1">IF(O161+SUM($C162:N162)&lt;0,-(O161+SUM($C162:N162)),0)</f>
        <v>0</v>
      </c>
      <c r="P162" s="7">
        <f ca="1">IF(P161+SUM($C162:O162)&lt;0,-(P161+SUM($C162:O162)),0)</f>
        <v>0</v>
      </c>
      <c r="Q162" s="7">
        <f ca="1">IF(Q161+SUM($C162:P162)&lt;0,-(Q161+SUM($C162:P162)),0)</f>
        <v>0</v>
      </c>
      <c r="R162" s="7">
        <f ca="1">IF(R161+SUM($C162:Q162)&lt;0,-(R161+SUM($C162:Q162)),0)</f>
        <v>0</v>
      </c>
      <c r="S162" s="7">
        <f ca="1">IF(S161+SUM($C162:R162)&lt;0,-(S161+SUM($C162:R162)),0)</f>
        <v>0</v>
      </c>
      <c r="T162" s="7">
        <f ca="1">IF(T161+SUM($C162:S162)&lt;0,-(T161+SUM($C162:S162)),0)</f>
        <v>0</v>
      </c>
      <c r="U162" s="7">
        <f ca="1">IF(U161+SUM($C162:T162)&lt;0,-(U161+SUM($C162:T162)),0)</f>
        <v>0</v>
      </c>
      <c r="V162" s="7">
        <f ca="1">IF(V161+SUM($C162:U162)&lt;0,-(V161+SUM($C162:U162)),0)</f>
        <v>0</v>
      </c>
      <c r="W162" s="7">
        <f ca="1">IF(W161+SUM($C162:V162)&lt;0,-(W161+SUM($C162:V162)),0)</f>
        <v>0</v>
      </c>
      <c r="X162" s="7">
        <f ca="1">IF(X161+SUM($C162:W162)&lt;0,-(X161+SUM($C162:W162)),0)</f>
        <v>0</v>
      </c>
      <c r="Y162" s="7">
        <f ca="1">IF(Y161+SUM($C162:X162)&lt;0,-(Y161+SUM($C162:X162)),0)</f>
        <v>0</v>
      </c>
      <c r="Z162" s="7">
        <f ca="1">IF(Z161+SUM($C162:Y162)&lt;0,-(Z161+SUM($C162:Y162)),0)</f>
        <v>0</v>
      </c>
      <c r="AA162" s="7">
        <f ca="1">IF(AA161+SUM($C162:Z162)&lt;0,-(AA161+SUM($C162:Z162)),0)</f>
        <v>0</v>
      </c>
      <c r="AB162" s="7">
        <f ca="1">IF(AB161+SUM($C162:AA162)&lt;0,-(AB161+SUM($C162:AA162)),0)</f>
        <v>0</v>
      </c>
      <c r="AC162" s="7">
        <f ca="1">IF(AC161+SUM($C162:AB162)&lt;0,-(AC161+SUM($C162:AB162)),0)</f>
        <v>0</v>
      </c>
      <c r="AD162" s="7">
        <f ca="1">IF(AD161+SUM($C162:AC162)&lt;0,-(AD161+SUM($C162:AC162)),0)</f>
        <v>0</v>
      </c>
      <c r="AE162" s="7">
        <f ca="1">IF(AE161+SUM($C162:AD162)&lt;0,-(AE161+SUM($C162:AD162)),0)</f>
        <v>0</v>
      </c>
      <c r="AF162" s="7">
        <f ca="1">IF(AF161+SUM($C162:AE162)&lt;0,-(AF161+SUM($C162:AE162)),0)</f>
        <v>0</v>
      </c>
      <c r="AG162" s="7">
        <f ca="1">IF(AG161+SUM($C162:AF162)&lt;0,-(AG161+SUM($C162:AF162)),0)</f>
        <v>0</v>
      </c>
      <c r="AH162" s="7">
        <f ca="1">IF(AH161+SUM($C162:AG162)&lt;0,-(AH161+SUM($C162:AG162)),0)</f>
        <v>0</v>
      </c>
      <c r="AI162" s="7">
        <f ca="1">IF(AI161+SUM($C162:AH162)&lt;0,-(AI161+SUM($C162:AH162)),0)</f>
        <v>2572.7065833743909</v>
      </c>
      <c r="AJ162" s="7">
        <f ca="1">IF(AJ161+SUM($C162:AI162)&lt;0,-(AJ161+SUM($C162:AI162)),0)</f>
        <v>47792.840950486774</v>
      </c>
      <c r="AK162" s="7">
        <f ca="1">IF(AK161+SUM($C162:AJ162)&lt;0,-(AK161+SUM($C162:AJ162)),0)</f>
        <v>48855.045212331075</v>
      </c>
      <c r="AL162" s="7">
        <f ca="1">IF(AL161+SUM($C162:AK162)&lt;0,-(AL161+SUM($C162:AK162)),0)</f>
        <v>49939.826077863923</v>
      </c>
      <c r="AM162" s="7">
        <f ca="1">IF(AM161+SUM($C162:AL162)&lt;0,-(AM161+SUM($C162:AL162)),0)</f>
        <v>51047.628607092076</v>
      </c>
    </row>
    <row r="163" spans="1:39" x14ac:dyDescent="0.2"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  <c r="AB163" s="7"/>
      <c r="AC163" s="7"/>
      <c r="AD163" s="7"/>
      <c r="AE163" s="7"/>
      <c r="AF163" s="7"/>
      <c r="AG163" s="7"/>
      <c r="AH163" s="7"/>
      <c r="AI163" s="7"/>
      <c r="AJ163" s="7"/>
      <c r="AK163" s="7"/>
      <c r="AL163" s="7"/>
      <c r="AM163" s="7"/>
    </row>
    <row r="164" spans="1:39" x14ac:dyDescent="0.2">
      <c r="A164" s="24" t="str">
        <f>IF(Inputs!$B$197=6,IFERROR(_xlfn.XLOOKUP($B164,Inputs!$B$198:$B$202,Inputs!$A$198:$A$202,,0,1),""),IFERROR(_xlfn.XLOOKUP($B164,Inputs!$C$198:$C$202,Inputs!$A$198:$A$202,,0,1),""))</f>
        <v>Sliema</v>
      </c>
      <c r="B164" s="26">
        <v>5</v>
      </c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  <c r="AB164" s="7"/>
      <c r="AC164" s="7"/>
      <c r="AD164" s="7"/>
      <c r="AE164" s="7"/>
      <c r="AF164" s="7"/>
      <c r="AG164" s="7"/>
      <c r="AH164" s="7"/>
      <c r="AI164" s="7"/>
      <c r="AJ164" s="7"/>
      <c r="AK164" s="7"/>
      <c r="AL164" s="7"/>
      <c r="AM164" s="7"/>
    </row>
    <row r="165" spans="1:39" x14ac:dyDescent="0.2">
      <c r="A165" s="3" t="s">
        <v>22</v>
      </c>
      <c r="C165" s="7">
        <f ca="1">IFERROR(VLOOKUP($A164,$A$60:$H$78,C$1+2,FALSE),0)</f>
        <v>307481.46526147495</v>
      </c>
      <c r="D165" s="7">
        <f ca="1">C168</f>
        <v>307481.46526147495</v>
      </c>
      <c r="E165" s="7">
        <f t="shared" ref="E165:AM165" ca="1" si="103">D168</f>
        <v>316705.90921931918</v>
      </c>
      <c r="F165" s="7">
        <f t="shared" ca="1" si="103"/>
        <v>326207.08649589872</v>
      </c>
      <c r="G165" s="7">
        <f t="shared" ca="1" si="103"/>
        <v>335993.29909077566</v>
      </c>
      <c r="H165" s="7">
        <f t="shared" ca="1" si="103"/>
        <v>346073.09806349891</v>
      </c>
      <c r="I165" s="7">
        <f t="shared" ca="1" si="103"/>
        <v>356455.29100540385</v>
      </c>
      <c r="J165" s="7">
        <f t="shared" ca="1" si="103"/>
        <v>367148.94973556598</v>
      </c>
      <c r="K165" s="7">
        <f t="shared" ca="1" si="103"/>
        <v>378163.41822763294</v>
      </c>
      <c r="L165" s="7">
        <f t="shared" ca="1" si="103"/>
        <v>389508.3207744619</v>
      </c>
      <c r="M165" s="7">
        <f t="shared" ca="1" si="103"/>
        <v>401193.57039769576</v>
      </c>
      <c r="N165" s="7">
        <f t="shared" ca="1" si="103"/>
        <v>413229.37750962662</v>
      </c>
      <c r="O165" s="7">
        <f t="shared" ca="1" si="103"/>
        <v>425626.25883491541</v>
      </c>
      <c r="P165" s="7">
        <f t="shared" ca="1" si="103"/>
        <v>438395.04659996287</v>
      </c>
      <c r="Q165" s="7">
        <f t="shared" ca="1" si="103"/>
        <v>451546.89799796173</v>
      </c>
      <c r="R165" s="7">
        <f t="shared" ca="1" si="103"/>
        <v>465093.30493790057</v>
      </c>
      <c r="S165" s="7">
        <f t="shared" ca="1" si="103"/>
        <v>479046.10408603761</v>
      </c>
      <c r="T165" s="7">
        <f t="shared" ca="1" si="103"/>
        <v>493417.48720861872</v>
      </c>
      <c r="U165" s="7">
        <f t="shared" ca="1" si="103"/>
        <v>508220.01182487729</v>
      </c>
      <c r="V165" s="7">
        <f t="shared" ca="1" si="103"/>
        <v>523466.61217962363</v>
      </c>
      <c r="W165" s="7">
        <f t="shared" ca="1" si="103"/>
        <v>539170.61054501229</v>
      </c>
      <c r="X165" s="7">
        <f t="shared" ca="1" si="103"/>
        <v>555345.72886136267</v>
      </c>
      <c r="Y165" s="7">
        <f t="shared" ca="1" si="103"/>
        <v>572006.10072720353</v>
      </c>
      <c r="Z165" s="7">
        <f t="shared" ca="1" si="103"/>
        <v>589166.28374901961</v>
      </c>
      <c r="AA165" s="7">
        <f t="shared" ca="1" si="103"/>
        <v>606841.27226149023</v>
      </c>
      <c r="AB165" s="7">
        <f t="shared" ca="1" si="103"/>
        <v>625046.51042933494</v>
      </c>
      <c r="AC165" s="7">
        <f t="shared" ca="1" si="103"/>
        <v>643797.90574221499</v>
      </c>
      <c r="AD165" s="7">
        <f t="shared" ca="1" si="103"/>
        <v>663111.84291448141</v>
      </c>
      <c r="AE165" s="7">
        <f t="shared" ca="1" si="103"/>
        <v>683005.19820191583</v>
      </c>
      <c r="AF165" s="7">
        <f t="shared" ca="1" si="103"/>
        <v>703495.35414797335</v>
      </c>
      <c r="AG165" s="7">
        <f t="shared" ca="1" si="103"/>
        <v>724600.21477241255</v>
      </c>
      <c r="AH165" s="7">
        <f t="shared" ca="1" si="103"/>
        <v>746338.2212155849</v>
      </c>
      <c r="AI165" s="7">
        <f t="shared" ca="1" si="103"/>
        <v>0</v>
      </c>
      <c r="AJ165" s="7">
        <f t="shared" ca="1" si="103"/>
        <v>0</v>
      </c>
      <c r="AK165" s="7">
        <f t="shared" ca="1" si="103"/>
        <v>0</v>
      </c>
      <c r="AL165" s="7">
        <f t="shared" ca="1" si="103"/>
        <v>0</v>
      </c>
      <c r="AM165" s="7">
        <f t="shared" ca="1" si="103"/>
        <v>0</v>
      </c>
    </row>
    <row r="166" spans="1:39" x14ac:dyDescent="0.2">
      <c r="A166" s="3" t="s">
        <v>23</v>
      </c>
      <c r="C166" s="7">
        <f ca="1">-IF(SUM(C162:D162)&gt;0,C165,0)</f>
        <v>0</v>
      </c>
      <c r="D166" s="7">
        <f ca="1">-IF(E162&gt;0,D165,0)</f>
        <v>0</v>
      </c>
      <c r="E166" s="7">
        <f ca="1">-IF(F162&gt;0,E165,0)</f>
        <v>0</v>
      </c>
      <c r="F166" s="7">
        <f ca="1">-IF(G162&gt;0,F165,0)</f>
        <v>0</v>
      </c>
      <c r="G166" s="7">
        <f t="shared" ref="G166:AM166" ca="1" si="104">-IF(H162&gt;0,G165,0)</f>
        <v>0</v>
      </c>
      <c r="H166" s="7">
        <f t="shared" ca="1" si="104"/>
        <v>0</v>
      </c>
      <c r="I166" s="7">
        <f t="shared" ca="1" si="104"/>
        <v>0</v>
      </c>
      <c r="J166" s="7">
        <f t="shared" ca="1" si="104"/>
        <v>0</v>
      </c>
      <c r="K166" s="7">
        <f t="shared" ca="1" si="104"/>
        <v>0</v>
      </c>
      <c r="L166" s="7">
        <f t="shared" ca="1" si="104"/>
        <v>0</v>
      </c>
      <c r="M166" s="7">
        <f t="shared" ca="1" si="104"/>
        <v>0</v>
      </c>
      <c r="N166" s="7">
        <f t="shared" ca="1" si="104"/>
        <v>0</v>
      </c>
      <c r="O166" s="7">
        <f t="shared" ca="1" si="104"/>
        <v>0</v>
      </c>
      <c r="P166" s="7">
        <f t="shared" ca="1" si="104"/>
        <v>0</v>
      </c>
      <c r="Q166" s="7">
        <f t="shared" ca="1" si="104"/>
        <v>0</v>
      </c>
      <c r="R166" s="7">
        <f t="shared" ca="1" si="104"/>
        <v>0</v>
      </c>
      <c r="S166" s="7">
        <f t="shared" ca="1" si="104"/>
        <v>0</v>
      </c>
      <c r="T166" s="7">
        <f t="shared" ca="1" si="104"/>
        <v>0</v>
      </c>
      <c r="U166" s="7">
        <f t="shared" ca="1" si="104"/>
        <v>0</v>
      </c>
      <c r="V166" s="7">
        <f t="shared" ca="1" si="104"/>
        <v>0</v>
      </c>
      <c r="W166" s="7">
        <f t="shared" ca="1" si="104"/>
        <v>0</v>
      </c>
      <c r="X166" s="7">
        <f t="shared" ca="1" si="104"/>
        <v>0</v>
      </c>
      <c r="Y166" s="7">
        <f t="shared" ca="1" si="104"/>
        <v>0</v>
      </c>
      <c r="Z166" s="7">
        <f t="shared" ca="1" si="104"/>
        <v>0</v>
      </c>
      <c r="AA166" s="7">
        <f t="shared" ca="1" si="104"/>
        <v>0</v>
      </c>
      <c r="AB166" s="7">
        <f t="shared" ca="1" si="104"/>
        <v>0</v>
      </c>
      <c r="AC166" s="7">
        <f t="shared" ca="1" si="104"/>
        <v>0</v>
      </c>
      <c r="AD166" s="7">
        <f t="shared" ca="1" si="104"/>
        <v>0</v>
      </c>
      <c r="AE166" s="7">
        <f t="shared" ca="1" si="104"/>
        <v>0</v>
      </c>
      <c r="AF166" s="7">
        <f t="shared" ca="1" si="104"/>
        <v>0</v>
      </c>
      <c r="AG166" s="7">
        <f t="shared" ca="1" si="104"/>
        <v>0</v>
      </c>
      <c r="AH166" s="7">
        <f t="shared" ca="1" si="104"/>
        <v>-746338.2212155849</v>
      </c>
      <c r="AI166" s="7">
        <f t="shared" ca="1" si="104"/>
        <v>0</v>
      </c>
      <c r="AJ166" s="7">
        <f t="shared" ca="1" si="104"/>
        <v>0</v>
      </c>
      <c r="AK166" s="7">
        <f t="shared" ca="1" si="104"/>
        <v>0</v>
      </c>
      <c r="AL166" s="7">
        <f t="shared" ca="1" si="104"/>
        <v>0</v>
      </c>
      <c r="AM166" s="7">
        <f t="shared" si="104"/>
        <v>0</v>
      </c>
    </row>
    <row r="167" spans="1:39" x14ac:dyDescent="0.2">
      <c r="A167" s="3" t="s">
        <v>24</v>
      </c>
      <c r="C167" s="7">
        <v>0</v>
      </c>
      <c r="D167" s="7">
        <f t="shared" ref="D167:G167" ca="1" si="105">SUM(D165:D166)*princ</f>
        <v>9224.4439578442489</v>
      </c>
      <c r="E167" s="7">
        <f t="shared" ca="1" si="105"/>
        <v>9501.177276579574</v>
      </c>
      <c r="F167" s="7">
        <f t="shared" ca="1" si="105"/>
        <v>9786.2125948769608</v>
      </c>
      <c r="G167" s="7">
        <f t="shared" ca="1" si="105"/>
        <v>10079.798972723269</v>
      </c>
      <c r="H167" s="7">
        <f t="shared" ref="H167:I167" ca="1" si="106">SUM(H165:H166)*princ</f>
        <v>10382.192941904967</v>
      </c>
      <c r="I167" s="7">
        <f t="shared" ca="1" si="106"/>
        <v>10693.658730162115</v>
      </c>
      <c r="J167" s="7">
        <f t="shared" ref="J167:AM167" ca="1" si="107">SUM(J165:J166)*princ</f>
        <v>11014.468492066979</v>
      </c>
      <c r="K167" s="7">
        <f t="shared" ca="1" si="107"/>
        <v>11344.902546828987</v>
      </c>
      <c r="L167" s="7">
        <f t="shared" ca="1" si="107"/>
        <v>11685.249623233856</v>
      </c>
      <c r="M167" s="7">
        <f t="shared" ca="1" si="107"/>
        <v>12035.807111930872</v>
      </c>
      <c r="N167" s="7">
        <f t="shared" ca="1" si="107"/>
        <v>12396.881325288798</v>
      </c>
      <c r="O167" s="7">
        <f t="shared" ca="1" si="107"/>
        <v>12768.787765047462</v>
      </c>
      <c r="P167" s="7">
        <f t="shared" ca="1" si="107"/>
        <v>13151.851397998886</v>
      </c>
      <c r="Q167" s="7">
        <f t="shared" ca="1" si="107"/>
        <v>13546.406939938852</v>
      </c>
      <c r="R167" s="7">
        <f t="shared" ca="1" si="107"/>
        <v>13952.799148137017</v>
      </c>
      <c r="S167" s="7">
        <f t="shared" ca="1" si="107"/>
        <v>14371.383122581128</v>
      </c>
      <c r="T167" s="7">
        <f t="shared" ca="1" si="107"/>
        <v>14802.524616258561</v>
      </c>
      <c r="U167" s="7">
        <f t="shared" ca="1" si="107"/>
        <v>15246.600354746319</v>
      </c>
      <c r="V167" s="7">
        <f t="shared" ca="1" si="107"/>
        <v>15703.998365388708</v>
      </c>
      <c r="W167" s="7">
        <f t="shared" ca="1" si="107"/>
        <v>16175.118316350368</v>
      </c>
      <c r="X167" s="7">
        <f t="shared" ca="1" si="107"/>
        <v>16660.37186584088</v>
      </c>
      <c r="Y167" s="7">
        <f t="shared" ca="1" si="107"/>
        <v>17160.183021816105</v>
      </c>
      <c r="Z167" s="7">
        <f t="shared" ca="1" si="107"/>
        <v>17674.988512470587</v>
      </c>
      <c r="AA167" s="7">
        <f t="shared" ca="1" si="107"/>
        <v>18205.238167844705</v>
      </c>
      <c r="AB167" s="7">
        <f t="shared" ca="1" si="107"/>
        <v>18751.395312880046</v>
      </c>
      <c r="AC167" s="7">
        <f t="shared" ca="1" si="107"/>
        <v>19313.937172266447</v>
      </c>
      <c r="AD167" s="7">
        <f t="shared" ca="1" si="107"/>
        <v>19893.355287434442</v>
      </c>
      <c r="AE167" s="7">
        <f t="shared" ca="1" si="107"/>
        <v>20490.155946057475</v>
      </c>
      <c r="AF167" s="7">
        <f t="shared" ca="1" si="107"/>
        <v>21104.860624439199</v>
      </c>
      <c r="AG167" s="7">
        <f t="shared" ca="1" si="107"/>
        <v>21738.006443172377</v>
      </c>
      <c r="AH167" s="7">
        <f t="shared" ca="1" si="107"/>
        <v>0</v>
      </c>
      <c r="AI167" s="7">
        <f t="shared" ca="1" si="107"/>
        <v>0</v>
      </c>
      <c r="AJ167" s="7">
        <f t="shared" ca="1" si="107"/>
        <v>0</v>
      </c>
      <c r="AK167" s="7">
        <f t="shared" ca="1" si="107"/>
        <v>0</v>
      </c>
      <c r="AL167" s="7">
        <f t="shared" ca="1" si="107"/>
        <v>0</v>
      </c>
      <c r="AM167" s="7">
        <f t="shared" ca="1" si="107"/>
        <v>0</v>
      </c>
    </row>
    <row r="168" spans="1:39" x14ac:dyDescent="0.2">
      <c r="A168" s="3" t="s">
        <v>25</v>
      </c>
      <c r="C168" s="7">
        <f ca="1">SUM(C165:C167)</f>
        <v>307481.46526147495</v>
      </c>
      <c r="D168" s="7">
        <f t="shared" ref="D168:AM168" ca="1" si="108">SUM(D165:D167)</f>
        <v>316705.90921931918</v>
      </c>
      <c r="E168" s="7">
        <f t="shared" ca="1" si="108"/>
        <v>326207.08649589872</v>
      </c>
      <c r="F168" s="7">
        <f t="shared" ca="1" si="108"/>
        <v>335993.29909077566</v>
      </c>
      <c r="G168" s="7">
        <f t="shared" ca="1" si="108"/>
        <v>346073.09806349891</v>
      </c>
      <c r="H168" s="7">
        <f t="shared" ca="1" si="108"/>
        <v>356455.29100540385</v>
      </c>
      <c r="I168" s="7">
        <f t="shared" ca="1" si="108"/>
        <v>367148.94973556598</v>
      </c>
      <c r="J168" s="7">
        <f t="shared" ca="1" si="108"/>
        <v>378163.41822763294</v>
      </c>
      <c r="K168" s="7">
        <f t="shared" ca="1" si="108"/>
        <v>389508.3207744619</v>
      </c>
      <c r="L168" s="7">
        <f t="shared" ca="1" si="108"/>
        <v>401193.57039769576</v>
      </c>
      <c r="M168" s="7">
        <f t="shared" ca="1" si="108"/>
        <v>413229.37750962662</v>
      </c>
      <c r="N168" s="7">
        <f t="shared" ca="1" si="108"/>
        <v>425626.25883491541</v>
      </c>
      <c r="O168" s="7">
        <f t="shared" ca="1" si="108"/>
        <v>438395.04659996287</v>
      </c>
      <c r="P168" s="7">
        <f t="shared" ca="1" si="108"/>
        <v>451546.89799796173</v>
      </c>
      <c r="Q168" s="7">
        <f t="shared" ca="1" si="108"/>
        <v>465093.30493790057</v>
      </c>
      <c r="R168" s="7">
        <f t="shared" ca="1" si="108"/>
        <v>479046.10408603761</v>
      </c>
      <c r="S168" s="7">
        <f t="shared" ca="1" si="108"/>
        <v>493417.48720861872</v>
      </c>
      <c r="T168" s="7">
        <f t="shared" ca="1" si="108"/>
        <v>508220.01182487729</v>
      </c>
      <c r="U168" s="7">
        <f t="shared" ca="1" si="108"/>
        <v>523466.61217962363</v>
      </c>
      <c r="V168" s="7">
        <f t="shared" ca="1" si="108"/>
        <v>539170.61054501229</v>
      </c>
      <c r="W168" s="7">
        <f t="shared" ca="1" si="108"/>
        <v>555345.72886136267</v>
      </c>
      <c r="X168" s="7">
        <f t="shared" ca="1" si="108"/>
        <v>572006.10072720353</v>
      </c>
      <c r="Y168" s="7">
        <f t="shared" ca="1" si="108"/>
        <v>589166.28374901961</v>
      </c>
      <c r="Z168" s="7">
        <f t="shared" ca="1" si="108"/>
        <v>606841.27226149023</v>
      </c>
      <c r="AA168" s="7">
        <f t="shared" ca="1" si="108"/>
        <v>625046.51042933494</v>
      </c>
      <c r="AB168" s="7">
        <f t="shared" ca="1" si="108"/>
        <v>643797.90574221499</v>
      </c>
      <c r="AC168" s="7">
        <f t="shared" ca="1" si="108"/>
        <v>663111.84291448141</v>
      </c>
      <c r="AD168" s="7">
        <f t="shared" ca="1" si="108"/>
        <v>683005.19820191583</v>
      </c>
      <c r="AE168" s="7">
        <f t="shared" ca="1" si="108"/>
        <v>703495.35414797335</v>
      </c>
      <c r="AF168" s="7">
        <f t="shared" ca="1" si="108"/>
        <v>724600.21477241255</v>
      </c>
      <c r="AG168" s="7">
        <f t="shared" ca="1" si="108"/>
        <v>746338.2212155849</v>
      </c>
      <c r="AH168" s="7">
        <f t="shared" ca="1" si="108"/>
        <v>0</v>
      </c>
      <c r="AI168" s="7">
        <f t="shared" ca="1" si="108"/>
        <v>0</v>
      </c>
      <c r="AJ168" s="7">
        <f t="shared" ca="1" si="108"/>
        <v>0</v>
      </c>
      <c r="AK168" s="7">
        <f t="shared" ca="1" si="108"/>
        <v>0</v>
      </c>
      <c r="AL168" s="7">
        <f t="shared" ca="1" si="108"/>
        <v>0</v>
      </c>
      <c r="AM168" s="7">
        <f t="shared" ca="1" si="108"/>
        <v>0</v>
      </c>
    </row>
    <row r="169" spans="1:39" x14ac:dyDescent="0.2">
      <c r="A169" s="3" t="s">
        <v>26</v>
      </c>
      <c r="C169" s="7">
        <f ca="1">C166*Inputs!$B$195</f>
        <v>0</v>
      </c>
      <c r="D169" s="7">
        <f ca="1">D166*Inputs!$B$195</f>
        <v>0</v>
      </c>
      <c r="E169" s="7">
        <f ca="1">E166*Inputs!$B$195</f>
        <v>0</v>
      </c>
      <c r="F169" s="7">
        <f ca="1">F166*Inputs!$B$195</f>
        <v>0</v>
      </c>
      <c r="G169" s="7">
        <f ca="1">G166*Inputs!$B$195</f>
        <v>0</v>
      </c>
      <c r="H169" s="7">
        <f ca="1">H166*Inputs!$B$195</f>
        <v>0</v>
      </c>
      <c r="I169" s="7">
        <f ca="1">I166*Inputs!$B$195</f>
        <v>0</v>
      </c>
      <c r="J169" s="7">
        <f ca="1">J166*Inputs!$B$195</f>
        <v>0</v>
      </c>
      <c r="K169" s="7">
        <f ca="1">K166*Inputs!$B$195</f>
        <v>0</v>
      </c>
      <c r="L169" s="7">
        <f ca="1">L166*Inputs!$B$195</f>
        <v>0</v>
      </c>
      <c r="M169" s="7">
        <f ca="1">M166*Inputs!$B$195</f>
        <v>0</v>
      </c>
      <c r="N169" s="7">
        <f ca="1">N166*Inputs!$B$195</f>
        <v>0</v>
      </c>
      <c r="O169" s="7">
        <f ca="1">O166*Inputs!$B$195</f>
        <v>0</v>
      </c>
      <c r="P169" s="7">
        <f ca="1">P166*Inputs!$B$195</f>
        <v>0</v>
      </c>
      <c r="Q169" s="7">
        <f ca="1">Q166*Inputs!$B$195</f>
        <v>0</v>
      </c>
      <c r="R169" s="7">
        <f ca="1">R166*Inputs!$B$195</f>
        <v>0</v>
      </c>
      <c r="S169" s="7">
        <f ca="1">S166*Inputs!$B$195</f>
        <v>0</v>
      </c>
      <c r="T169" s="7">
        <f ca="1">T166*Inputs!$B$195</f>
        <v>0</v>
      </c>
      <c r="U169" s="7">
        <f ca="1">U166*Inputs!$B$195</f>
        <v>0</v>
      </c>
      <c r="V169" s="7">
        <f ca="1">V166*Inputs!$B$195</f>
        <v>0</v>
      </c>
      <c r="W169" s="7">
        <f ca="1">W166*Inputs!$B$195</f>
        <v>0</v>
      </c>
      <c r="X169" s="7">
        <f ca="1">X166*Inputs!$B$195</f>
        <v>0</v>
      </c>
      <c r="Y169" s="7">
        <f ca="1">Y166*Inputs!$B$195</f>
        <v>0</v>
      </c>
      <c r="Z169" s="7">
        <f ca="1">Z166*Inputs!$B$195</f>
        <v>0</v>
      </c>
      <c r="AA169" s="7">
        <f ca="1">AA166*Inputs!$B$195</f>
        <v>0</v>
      </c>
      <c r="AB169" s="7">
        <f ca="1">AB166*Inputs!$B$195</f>
        <v>0</v>
      </c>
      <c r="AC169" s="7">
        <f ca="1">AC166*Inputs!$B$195</f>
        <v>0</v>
      </c>
      <c r="AD169" s="7">
        <f ca="1">AD166*Inputs!$B$195</f>
        <v>0</v>
      </c>
      <c r="AE169" s="7">
        <f ca="1">AE166*Inputs!$B$195</f>
        <v>0</v>
      </c>
      <c r="AF169" s="7">
        <f ca="1">AF166*Inputs!$B$195</f>
        <v>0</v>
      </c>
      <c r="AG169" s="7">
        <f ca="1">AG166*Inputs!$B$195</f>
        <v>0</v>
      </c>
      <c r="AH169" s="7">
        <f ca="1">AH166*Inputs!$B$195</f>
        <v>-111950.73318233773</v>
      </c>
      <c r="AI169" s="7">
        <f ca="1">AI166*Inputs!$B$195</f>
        <v>0</v>
      </c>
      <c r="AJ169" s="7">
        <f ca="1">AJ166*Inputs!$B$195</f>
        <v>0</v>
      </c>
      <c r="AK169" s="7">
        <f ca="1">AK166*Inputs!$B$195</f>
        <v>0</v>
      </c>
      <c r="AL169" s="7">
        <f ca="1">AL166*Inputs!$B$195</f>
        <v>0</v>
      </c>
      <c r="AM169" s="7">
        <f>AM166*Inputs!$B$195</f>
        <v>0</v>
      </c>
    </row>
    <row r="170" spans="1:39" x14ac:dyDescent="0.2">
      <c r="A170" s="3" t="s">
        <v>31</v>
      </c>
      <c r="C170" s="7">
        <f t="shared" ref="C170:AM170" ca="1" si="109">IFERROR(-IF(C165=0,VLOOKUP($A164,$8:$12,C$1+2,FALSE),0),0)</f>
        <v>0</v>
      </c>
      <c r="D170" s="7">
        <f t="shared" ca="1" si="109"/>
        <v>0</v>
      </c>
      <c r="E170" s="7">
        <f t="shared" ca="1" si="109"/>
        <v>0</v>
      </c>
      <c r="F170" s="7">
        <f t="shared" ca="1" si="109"/>
        <v>0</v>
      </c>
      <c r="G170" s="7">
        <f t="shared" ca="1" si="109"/>
        <v>0</v>
      </c>
      <c r="H170" s="7">
        <f t="shared" ca="1" si="109"/>
        <v>0</v>
      </c>
      <c r="I170" s="7">
        <f t="shared" ca="1" si="109"/>
        <v>0</v>
      </c>
      <c r="J170" s="7">
        <f t="shared" ca="1" si="109"/>
        <v>0</v>
      </c>
      <c r="K170" s="7">
        <f t="shared" ca="1" si="109"/>
        <v>0</v>
      </c>
      <c r="L170" s="7">
        <f t="shared" ca="1" si="109"/>
        <v>0</v>
      </c>
      <c r="M170" s="7">
        <f t="shared" ca="1" si="109"/>
        <v>0</v>
      </c>
      <c r="N170" s="7">
        <f t="shared" ca="1" si="109"/>
        <v>0</v>
      </c>
      <c r="O170" s="7">
        <f t="shared" ca="1" si="109"/>
        <v>0</v>
      </c>
      <c r="P170" s="7">
        <f t="shared" ca="1" si="109"/>
        <v>0</v>
      </c>
      <c r="Q170" s="7">
        <f t="shared" ca="1" si="109"/>
        <v>0</v>
      </c>
      <c r="R170" s="7">
        <f t="shared" ca="1" si="109"/>
        <v>0</v>
      </c>
      <c r="S170" s="7">
        <f t="shared" ca="1" si="109"/>
        <v>0</v>
      </c>
      <c r="T170" s="7">
        <f t="shared" ca="1" si="109"/>
        <v>0</v>
      </c>
      <c r="U170" s="7">
        <f t="shared" ca="1" si="109"/>
        <v>0</v>
      </c>
      <c r="V170" s="7">
        <f t="shared" ca="1" si="109"/>
        <v>0</v>
      </c>
      <c r="W170" s="7">
        <f t="shared" ca="1" si="109"/>
        <v>0</v>
      </c>
      <c r="X170" s="7">
        <f t="shared" ca="1" si="109"/>
        <v>0</v>
      </c>
      <c r="Y170" s="7">
        <f t="shared" ca="1" si="109"/>
        <v>0</v>
      </c>
      <c r="Z170" s="7">
        <f t="shared" ca="1" si="109"/>
        <v>0</v>
      </c>
      <c r="AA170" s="7">
        <f t="shared" ca="1" si="109"/>
        <v>0</v>
      </c>
      <c r="AB170" s="7">
        <f t="shared" ca="1" si="109"/>
        <v>0</v>
      </c>
      <c r="AC170" s="7">
        <f t="shared" ca="1" si="109"/>
        <v>0</v>
      </c>
      <c r="AD170" s="7">
        <f t="shared" ca="1" si="109"/>
        <v>0</v>
      </c>
      <c r="AE170" s="7">
        <f t="shared" ca="1" si="109"/>
        <v>0</v>
      </c>
      <c r="AF170" s="7">
        <f t="shared" ca="1" si="109"/>
        <v>0</v>
      </c>
      <c r="AG170" s="7">
        <f t="shared" ca="1" si="109"/>
        <v>0</v>
      </c>
      <c r="AH170" s="7">
        <f t="shared" ca="1" si="109"/>
        <v>0</v>
      </c>
      <c r="AI170" s="7">
        <f t="shared" ca="1" si="109"/>
        <v>-25750.827556851134</v>
      </c>
      <c r="AJ170" s="7">
        <f t="shared" ca="1" si="109"/>
        <v>-26523.35238355667</v>
      </c>
      <c r="AK170" s="7">
        <f t="shared" ca="1" si="109"/>
        <v>-27319.052955063373</v>
      </c>
      <c r="AL170" s="7">
        <f t="shared" ca="1" si="109"/>
        <v>-28138.624543715276</v>
      </c>
      <c r="AM170" s="7">
        <f t="shared" ca="1" si="109"/>
        <v>-28982.783280026735</v>
      </c>
    </row>
    <row r="171" spans="1:39" x14ac:dyDescent="0.2">
      <c r="A171" s="3" t="s">
        <v>50</v>
      </c>
      <c r="C171" s="7">
        <f t="shared" ref="C171:AM171" ca="1" si="110">IFERROR(IF(C165=0,VLOOKUP($A164,$40:$44,C$1+2,FALSE),0),0)</f>
        <v>0</v>
      </c>
      <c r="D171" s="7">
        <f t="shared" ca="1" si="110"/>
        <v>0</v>
      </c>
      <c r="E171" s="7">
        <f t="shared" ca="1" si="110"/>
        <v>0</v>
      </c>
      <c r="F171" s="7">
        <f t="shared" ca="1" si="110"/>
        <v>0</v>
      </c>
      <c r="G171" s="7">
        <f t="shared" ca="1" si="110"/>
        <v>0</v>
      </c>
      <c r="H171" s="7">
        <f t="shared" ca="1" si="110"/>
        <v>0</v>
      </c>
      <c r="I171" s="7">
        <f t="shared" ca="1" si="110"/>
        <v>0</v>
      </c>
      <c r="J171" s="7">
        <f t="shared" ca="1" si="110"/>
        <v>0</v>
      </c>
      <c r="K171" s="7">
        <f t="shared" ca="1" si="110"/>
        <v>0</v>
      </c>
      <c r="L171" s="7">
        <f t="shared" ca="1" si="110"/>
        <v>0</v>
      </c>
      <c r="M171" s="7">
        <f t="shared" ca="1" si="110"/>
        <v>0</v>
      </c>
      <c r="N171" s="7">
        <f t="shared" ca="1" si="110"/>
        <v>0</v>
      </c>
      <c r="O171" s="7">
        <f t="shared" ca="1" si="110"/>
        <v>0</v>
      </c>
      <c r="P171" s="7">
        <f t="shared" ca="1" si="110"/>
        <v>0</v>
      </c>
      <c r="Q171" s="7">
        <f t="shared" ca="1" si="110"/>
        <v>0</v>
      </c>
      <c r="R171" s="7">
        <f t="shared" ca="1" si="110"/>
        <v>0</v>
      </c>
      <c r="S171" s="7">
        <f t="shared" ca="1" si="110"/>
        <v>0</v>
      </c>
      <c r="T171" s="7">
        <f t="shared" ca="1" si="110"/>
        <v>0</v>
      </c>
      <c r="U171" s="7">
        <f t="shared" ca="1" si="110"/>
        <v>0</v>
      </c>
      <c r="V171" s="7">
        <f t="shared" ca="1" si="110"/>
        <v>0</v>
      </c>
      <c r="W171" s="7">
        <f t="shared" ca="1" si="110"/>
        <v>0</v>
      </c>
      <c r="X171" s="7">
        <f t="shared" ca="1" si="110"/>
        <v>0</v>
      </c>
      <c r="Y171" s="7">
        <f t="shared" ca="1" si="110"/>
        <v>0</v>
      </c>
      <c r="Z171" s="7">
        <f t="shared" ca="1" si="110"/>
        <v>0</v>
      </c>
      <c r="AA171" s="7">
        <f t="shared" ca="1" si="110"/>
        <v>0</v>
      </c>
      <c r="AB171" s="7">
        <f t="shared" ca="1" si="110"/>
        <v>0</v>
      </c>
      <c r="AC171" s="7">
        <f t="shared" ca="1" si="110"/>
        <v>0</v>
      </c>
      <c r="AD171" s="7">
        <f t="shared" ca="1" si="110"/>
        <v>0</v>
      </c>
      <c r="AE171" s="7">
        <f t="shared" ca="1" si="110"/>
        <v>0</v>
      </c>
      <c r="AF171" s="7">
        <f t="shared" ca="1" si="110"/>
        <v>0</v>
      </c>
      <c r="AG171" s="7">
        <f t="shared" ca="1" si="110"/>
        <v>0</v>
      </c>
      <c r="AH171" s="7">
        <f t="shared" ca="1" si="110"/>
        <v>0</v>
      </c>
      <c r="AI171" s="7">
        <f t="shared" ca="1" si="110"/>
        <v>11018.784688864018</v>
      </c>
      <c r="AJ171" s="7">
        <f t="shared" ca="1" si="110"/>
        <v>11294.254306085619</v>
      </c>
      <c r="AK171" s="7">
        <f t="shared" ca="1" si="110"/>
        <v>11576.610663737758</v>
      </c>
      <c r="AL171" s="7">
        <f t="shared" ca="1" si="110"/>
        <v>11866.025930331201</v>
      </c>
      <c r="AM171" s="7">
        <f t="shared" ca="1" si="110"/>
        <v>12162.676578589482</v>
      </c>
    </row>
    <row r="172" spans="1:39" x14ac:dyDescent="0.2">
      <c r="A172" s="3" t="s">
        <v>36</v>
      </c>
      <c r="B172" s="14" t="str">
        <f>A164</f>
        <v>Sliema</v>
      </c>
      <c r="C172" s="7">
        <f t="shared" ref="C172:AM172" ca="1" si="111">IF(AND(C165&gt;0,C168=0),VLOOKUP($A164,$72:$76,C$1+2,FALSE),0)</f>
        <v>0</v>
      </c>
      <c r="D172" s="7">
        <f t="shared" ca="1" si="111"/>
        <v>0</v>
      </c>
      <c r="E172" s="7">
        <f t="shared" ca="1" si="111"/>
        <v>0</v>
      </c>
      <c r="F172" s="7">
        <f t="shared" ca="1" si="111"/>
        <v>0</v>
      </c>
      <c r="G172" s="7">
        <f t="shared" ca="1" si="111"/>
        <v>0</v>
      </c>
      <c r="H172" s="7">
        <f t="shared" ca="1" si="111"/>
        <v>0</v>
      </c>
      <c r="I172" s="7">
        <f t="shared" ca="1" si="111"/>
        <v>0</v>
      </c>
      <c r="J172" s="7">
        <f t="shared" ca="1" si="111"/>
        <v>0</v>
      </c>
      <c r="K172" s="7">
        <f t="shared" ca="1" si="111"/>
        <v>0</v>
      </c>
      <c r="L172" s="7">
        <f t="shared" ca="1" si="111"/>
        <v>0</v>
      </c>
      <c r="M172" s="7">
        <f t="shared" ca="1" si="111"/>
        <v>0</v>
      </c>
      <c r="N172" s="7">
        <f t="shared" ca="1" si="111"/>
        <v>0</v>
      </c>
      <c r="O172" s="7">
        <f t="shared" ca="1" si="111"/>
        <v>0</v>
      </c>
      <c r="P172" s="7">
        <f t="shared" ca="1" si="111"/>
        <v>0</v>
      </c>
      <c r="Q172" s="7">
        <f t="shared" ca="1" si="111"/>
        <v>0</v>
      </c>
      <c r="R172" s="7">
        <f t="shared" ca="1" si="111"/>
        <v>0</v>
      </c>
      <c r="S172" s="7">
        <f t="shared" ca="1" si="111"/>
        <v>0</v>
      </c>
      <c r="T172" s="7">
        <f t="shared" ca="1" si="111"/>
        <v>0</v>
      </c>
      <c r="U172" s="7">
        <f t="shared" ca="1" si="111"/>
        <v>0</v>
      </c>
      <c r="V172" s="7">
        <f t="shared" ca="1" si="111"/>
        <v>0</v>
      </c>
      <c r="W172" s="7">
        <f t="shared" ca="1" si="111"/>
        <v>0</v>
      </c>
      <c r="X172" s="7">
        <f t="shared" ca="1" si="111"/>
        <v>0</v>
      </c>
      <c r="Y172" s="7">
        <f t="shared" ca="1" si="111"/>
        <v>0</v>
      </c>
      <c r="Z172" s="7">
        <f t="shared" ca="1" si="111"/>
        <v>0</v>
      </c>
      <c r="AA172" s="7">
        <f t="shared" ca="1" si="111"/>
        <v>0</v>
      </c>
      <c r="AB172" s="7">
        <f t="shared" ca="1" si="111"/>
        <v>0</v>
      </c>
      <c r="AC172" s="7">
        <f t="shared" ca="1" si="111"/>
        <v>0</v>
      </c>
      <c r="AD172" s="7">
        <f t="shared" ca="1" si="111"/>
        <v>0</v>
      </c>
      <c r="AE172" s="7">
        <f t="shared" ca="1" si="111"/>
        <v>0</v>
      </c>
      <c r="AF172" s="7">
        <f t="shared" ca="1" si="111"/>
        <v>0</v>
      </c>
      <c r="AG172" s="7">
        <f t="shared" ca="1" si="111"/>
        <v>0</v>
      </c>
      <c r="AH172" s="7">
        <f t="shared" ca="1" si="111"/>
        <v>0</v>
      </c>
      <c r="AI172" s="7">
        <f t="shared" ca="1" si="111"/>
        <v>0</v>
      </c>
      <c r="AJ172" s="7">
        <f t="shared" ca="1" si="111"/>
        <v>0</v>
      </c>
      <c r="AK172" s="7">
        <f t="shared" ca="1" si="111"/>
        <v>0</v>
      </c>
      <c r="AL172" s="7">
        <f t="shared" ca="1" si="111"/>
        <v>0</v>
      </c>
      <c r="AM172" s="7">
        <f t="shared" ca="1" si="111"/>
        <v>0</v>
      </c>
    </row>
    <row r="173" spans="1:39" x14ac:dyDescent="0.2">
      <c r="A173" s="3" t="s">
        <v>37</v>
      </c>
      <c r="C173" s="7">
        <f ca="1">-C166+SUM(C169:C172)</f>
        <v>0</v>
      </c>
      <c r="D173" s="7">
        <f t="shared" ref="D173" ca="1" si="112">-D166+SUM(D169:D172)</f>
        <v>0</v>
      </c>
      <c r="E173" s="7">
        <f t="shared" ref="E173:AM173" ca="1" si="113">-E166+SUM(E169:E172)</f>
        <v>0</v>
      </c>
      <c r="F173" s="7">
        <f t="shared" ca="1" si="113"/>
        <v>0</v>
      </c>
      <c r="G173" s="7">
        <f t="shared" ca="1" si="113"/>
        <v>0</v>
      </c>
      <c r="H173" s="7">
        <f t="shared" ca="1" si="113"/>
        <v>0</v>
      </c>
      <c r="I173" s="7">
        <f t="shared" ca="1" si="113"/>
        <v>0</v>
      </c>
      <c r="J173" s="7">
        <f t="shared" ca="1" si="113"/>
        <v>0</v>
      </c>
      <c r="K173" s="7">
        <f t="shared" ca="1" si="113"/>
        <v>0</v>
      </c>
      <c r="L173" s="7">
        <f t="shared" ca="1" si="113"/>
        <v>0</v>
      </c>
      <c r="M173" s="7">
        <f t="shared" ca="1" si="113"/>
        <v>0</v>
      </c>
      <c r="N173" s="7">
        <f t="shared" ca="1" si="113"/>
        <v>0</v>
      </c>
      <c r="O173" s="7">
        <f t="shared" ca="1" si="113"/>
        <v>0</v>
      </c>
      <c r="P173" s="7">
        <f t="shared" ca="1" si="113"/>
        <v>0</v>
      </c>
      <c r="Q173" s="7">
        <f t="shared" ca="1" si="113"/>
        <v>0</v>
      </c>
      <c r="R173" s="7">
        <f t="shared" ca="1" si="113"/>
        <v>0</v>
      </c>
      <c r="S173" s="7">
        <f t="shared" ca="1" si="113"/>
        <v>0</v>
      </c>
      <c r="T173" s="7">
        <f t="shared" ca="1" si="113"/>
        <v>0</v>
      </c>
      <c r="U173" s="7">
        <f t="shared" ca="1" si="113"/>
        <v>0</v>
      </c>
      <c r="V173" s="7">
        <f t="shared" ca="1" si="113"/>
        <v>0</v>
      </c>
      <c r="W173" s="7">
        <f t="shared" ca="1" si="113"/>
        <v>0</v>
      </c>
      <c r="X173" s="7">
        <f t="shared" ca="1" si="113"/>
        <v>0</v>
      </c>
      <c r="Y173" s="7">
        <f t="shared" ca="1" si="113"/>
        <v>0</v>
      </c>
      <c r="Z173" s="7">
        <f t="shared" ca="1" si="113"/>
        <v>0</v>
      </c>
      <c r="AA173" s="7">
        <f t="shared" ca="1" si="113"/>
        <v>0</v>
      </c>
      <c r="AB173" s="7">
        <f t="shared" ca="1" si="113"/>
        <v>0</v>
      </c>
      <c r="AC173" s="7">
        <f t="shared" ca="1" si="113"/>
        <v>0</v>
      </c>
      <c r="AD173" s="7">
        <f t="shared" ca="1" si="113"/>
        <v>0</v>
      </c>
      <c r="AE173" s="7">
        <f t="shared" ca="1" si="113"/>
        <v>0</v>
      </c>
      <c r="AF173" s="7">
        <f t="shared" ca="1" si="113"/>
        <v>0</v>
      </c>
      <c r="AG173" s="7">
        <f t="shared" ca="1" si="113"/>
        <v>0</v>
      </c>
      <c r="AH173" s="7">
        <f t="shared" ca="1" si="113"/>
        <v>634387.48803324718</v>
      </c>
      <c r="AI173" s="7">
        <f t="shared" ca="1" si="113"/>
        <v>-14732.042867987117</v>
      </c>
      <c r="AJ173" s="7">
        <f t="shared" ca="1" si="113"/>
        <v>-15229.098077471052</v>
      </c>
      <c r="AK173" s="7">
        <f t="shared" ca="1" si="113"/>
        <v>-15742.442291325615</v>
      </c>
      <c r="AL173" s="7">
        <f t="shared" ca="1" si="113"/>
        <v>-16272.598613384074</v>
      </c>
      <c r="AM173" s="7">
        <f t="shared" ca="1" si="113"/>
        <v>-16820.106701437253</v>
      </c>
    </row>
    <row r="174" spans="1:39" x14ac:dyDescent="0.2">
      <c r="A174" s="3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  <c r="AB174" s="7"/>
      <c r="AC174" s="7"/>
      <c r="AD174" s="7"/>
      <c r="AE174" s="7"/>
      <c r="AF174" s="7"/>
      <c r="AG174" s="7"/>
      <c r="AH174" s="7"/>
      <c r="AI174" s="7"/>
      <c r="AJ174" s="7"/>
      <c r="AK174" s="7"/>
      <c r="AL174" s="7"/>
      <c r="AM174" s="7"/>
    </row>
    <row r="175" spans="1:39" x14ac:dyDescent="0.2">
      <c r="A175" s="3" t="s">
        <v>77</v>
      </c>
      <c r="C175" s="7">
        <f ca="1">C161+SUM($C173:C173)</f>
        <v>33136.875000000015</v>
      </c>
      <c r="D175" s="7">
        <f ca="1">D161+SUM($C173:D173)</f>
        <v>57140.903125000026</v>
      </c>
      <c r="E175" s="7">
        <f ca="1">E161+SUM($C173:E173)</f>
        <v>87759.433828125038</v>
      </c>
      <c r="F175" s="7">
        <f ca="1">F161+SUM($C173:F173)</f>
        <v>99100.176411377644</v>
      </c>
      <c r="G175" s="7">
        <f ca="1">G161+SUM($C173:G173)</f>
        <v>50982.686515080073</v>
      </c>
      <c r="H175" s="7">
        <f ca="1">H161+SUM($C173:H173)</f>
        <v>4731.4866545593541</v>
      </c>
      <c r="I175" s="7">
        <f ca="1">I161+SUM($C173:I173)</f>
        <v>82816.445943588857</v>
      </c>
      <c r="J175" s="7">
        <f ca="1">J161+SUM($C173:J173)</f>
        <v>70704.194280487602</v>
      </c>
      <c r="K175" s="7">
        <f ca="1">K161+SUM($C173:K173)</f>
        <v>16367.784225867061</v>
      </c>
      <c r="L175" s="7">
        <f ca="1">L161+SUM($C173:L173)</f>
        <v>180163.27031040267</v>
      </c>
      <c r="M175" s="7">
        <f ca="1">M161+SUM($C173:M173)</f>
        <v>109371.35581909551</v>
      </c>
      <c r="N175" s="7">
        <f ca="1">N161+SUM($C173:N173)</f>
        <v>86281.137610015881</v>
      </c>
      <c r="O175" s="7">
        <f ca="1">O161+SUM($C173:O173)</f>
        <v>62051.388676493501</v>
      </c>
      <c r="P175" s="7">
        <f ca="1">P161+SUM($C173:P173)</f>
        <v>36663.267130203953</v>
      </c>
      <c r="Q175" s="7">
        <f ca="1">Q161+SUM($C173:Q173)</f>
        <v>206802.86686737029</v>
      </c>
      <c r="R175" s="7">
        <f ca="1">R161+SUM($C173:R173)</f>
        <v>173499.8106300793</v>
      </c>
      <c r="S175" s="7">
        <f ca="1">S161+SUM($C173:S173)</f>
        <v>138761.93350443404</v>
      </c>
      <c r="T175" s="7">
        <f ca="1">T161+SUM($C173:T173)</f>
        <v>121065.19970660284</v>
      </c>
      <c r="U175" s="7">
        <f ca="1">U161+SUM($C173:U173)</f>
        <v>110424.7629864492</v>
      </c>
      <c r="V175" s="7">
        <f ca="1">V161+SUM($C173:V173)</f>
        <v>99226.416037007526</v>
      </c>
      <c r="W175" s="7">
        <f ca="1">W161+SUM($C173:W173)</f>
        <v>87464.120322809336</v>
      </c>
      <c r="X175" s="7">
        <f ca="1">X161+SUM($C173:X173)</f>
        <v>75131.923621607217</v>
      </c>
      <c r="Y175" s="7">
        <f ca="1">Y161+SUM($C173:Y173)</f>
        <v>41048.641110268611</v>
      </c>
      <c r="Z175" s="7">
        <f ca="1">Z161+SUM($C173:Z173)</f>
        <v>381766.15315834375</v>
      </c>
      <c r="AA175" s="7">
        <f ca="1">AA161+SUM($C173:AA173)</f>
        <v>342440.01808293402</v>
      </c>
      <c r="AB175" s="7">
        <f ca="1">AB161+SUM($C173:AB173)</f>
        <v>300989.20365595352</v>
      </c>
      <c r="AC175" s="7">
        <f ca="1">AC161+SUM($C173:AC173)</f>
        <v>257148.53105760575</v>
      </c>
      <c r="AD175" s="7">
        <f ca="1">AD161+SUM($C173:AD173)</f>
        <v>210864.09023958546</v>
      </c>
      <c r="AE175" s="7">
        <f ca="1">AE161+SUM($C173:AE173)</f>
        <v>172312.83546568983</v>
      </c>
      <c r="AF175" s="7">
        <f ca="1">AF161+SUM($C173:AF173)</f>
        <v>131711.8131363389</v>
      </c>
      <c r="AG175" s="7">
        <f ca="1">AG161+SUM($C173:AG173)</f>
        <v>89016.15666104242</v>
      </c>
      <c r="AH175" s="7">
        <f ca="1">AH161+SUM($C173:AH173)</f>
        <v>678567.55714574689</v>
      </c>
      <c r="AI175" s="7">
        <f ca="1">AI161+SUM($C173:AI173)</f>
        <v>617082.7385818857</v>
      </c>
      <c r="AJ175" s="7">
        <f ca="1">AJ161+SUM($C173:AJ173)</f>
        <v>554060.79955392797</v>
      </c>
      <c r="AK175" s="7">
        <f ca="1">AK161+SUM($C173:AK173)</f>
        <v>489463.3120502712</v>
      </c>
      <c r="AL175" s="7">
        <f ca="1">AL161+SUM($C173:AL173)</f>
        <v>423250.88735902321</v>
      </c>
      <c r="AM175" s="7">
        <f ca="1">AM161+SUM($C173:AM173)</f>
        <v>355383.15205049387</v>
      </c>
    </row>
    <row r="176" spans="1:39" x14ac:dyDescent="0.2">
      <c r="A176" s="3" t="s">
        <v>74</v>
      </c>
      <c r="C176" s="7">
        <f t="shared" ref="C176:AM176" ca="1" si="114">MAX(C175+buffer,0)-MAX(C161+buffer,0)</f>
        <v>0</v>
      </c>
      <c r="D176" s="7">
        <f t="shared" ca="1" si="114"/>
        <v>0</v>
      </c>
      <c r="E176" s="7">
        <f t="shared" ca="1" si="114"/>
        <v>0</v>
      </c>
      <c r="F176" s="7">
        <f t="shared" ca="1" si="114"/>
        <v>0</v>
      </c>
      <c r="G176" s="7">
        <f t="shared" ca="1" si="114"/>
        <v>0</v>
      </c>
      <c r="H176" s="7">
        <f t="shared" ca="1" si="114"/>
        <v>0</v>
      </c>
      <c r="I176" s="7">
        <f t="shared" ca="1" si="114"/>
        <v>0</v>
      </c>
      <c r="J176" s="7">
        <f t="shared" ca="1" si="114"/>
        <v>0</v>
      </c>
      <c r="K176" s="7">
        <f t="shared" ca="1" si="114"/>
        <v>0</v>
      </c>
      <c r="L176" s="7">
        <f t="shared" ca="1" si="114"/>
        <v>0</v>
      </c>
      <c r="M176" s="7">
        <f t="shared" ca="1" si="114"/>
        <v>0</v>
      </c>
      <c r="N176" s="7">
        <f t="shared" ca="1" si="114"/>
        <v>0</v>
      </c>
      <c r="O176" s="7">
        <f t="shared" ca="1" si="114"/>
        <v>0</v>
      </c>
      <c r="P176" s="7">
        <f t="shared" ca="1" si="114"/>
        <v>0</v>
      </c>
      <c r="Q176" s="7">
        <f t="shared" ca="1" si="114"/>
        <v>0</v>
      </c>
      <c r="R176" s="7">
        <f t="shared" ca="1" si="114"/>
        <v>0</v>
      </c>
      <c r="S176" s="7">
        <f t="shared" ca="1" si="114"/>
        <v>0</v>
      </c>
      <c r="T176" s="7">
        <f t="shared" ca="1" si="114"/>
        <v>0</v>
      </c>
      <c r="U176" s="7">
        <f t="shared" ca="1" si="114"/>
        <v>0</v>
      </c>
      <c r="V176" s="7">
        <f t="shared" ca="1" si="114"/>
        <v>0</v>
      </c>
      <c r="W176" s="7">
        <f t="shared" ca="1" si="114"/>
        <v>0</v>
      </c>
      <c r="X176" s="7">
        <f t="shared" ca="1" si="114"/>
        <v>0</v>
      </c>
      <c r="Y176" s="7">
        <f t="shared" ca="1" si="114"/>
        <v>0</v>
      </c>
      <c r="Z176" s="7">
        <f t="shared" ca="1" si="114"/>
        <v>0</v>
      </c>
      <c r="AA176" s="7">
        <f t="shared" ca="1" si="114"/>
        <v>0</v>
      </c>
      <c r="AB176" s="7">
        <f t="shared" ca="1" si="114"/>
        <v>0</v>
      </c>
      <c r="AC176" s="7">
        <f t="shared" ca="1" si="114"/>
        <v>0</v>
      </c>
      <c r="AD176" s="7">
        <f t="shared" ca="1" si="114"/>
        <v>0</v>
      </c>
      <c r="AE176" s="7">
        <f t="shared" ca="1" si="114"/>
        <v>0</v>
      </c>
      <c r="AF176" s="7">
        <f t="shared" ca="1" si="114"/>
        <v>0</v>
      </c>
      <c r="AG176" s="7">
        <f t="shared" ca="1" si="114"/>
        <v>0</v>
      </c>
      <c r="AH176" s="7">
        <f t="shared" ca="1" si="114"/>
        <v>634387.48803324718</v>
      </c>
      <c r="AI176" s="7">
        <f t="shared" ca="1" si="114"/>
        <v>619655.44516526011</v>
      </c>
      <c r="AJ176" s="7">
        <f t="shared" ca="1" si="114"/>
        <v>594060.79955392797</v>
      </c>
      <c r="AK176" s="7">
        <f t="shared" ca="1" si="114"/>
        <v>529463.3120502712</v>
      </c>
      <c r="AL176" s="7">
        <f t="shared" ca="1" si="114"/>
        <v>463250.88735902321</v>
      </c>
      <c r="AM176" s="7">
        <f t="shared" ca="1" si="114"/>
        <v>395383.15205049387</v>
      </c>
    </row>
    <row r="177" spans="1:39" x14ac:dyDescent="0.2">
      <c r="A177" s="3" t="s">
        <v>75</v>
      </c>
      <c r="C177" s="7">
        <f ca="1">C176*Inputs!$B$181</f>
        <v>0</v>
      </c>
      <c r="D177" s="7">
        <f ca="1">D176*Inputs!$B$181</f>
        <v>0</v>
      </c>
      <c r="E177" s="7">
        <f ca="1">E176*Inputs!$B$181</f>
        <v>0</v>
      </c>
      <c r="F177" s="7">
        <f ca="1">F176*Inputs!$B$181</f>
        <v>0</v>
      </c>
      <c r="G177" s="7">
        <f ca="1">G176*Inputs!$B$181</f>
        <v>0</v>
      </c>
      <c r="H177" s="7">
        <f ca="1">H176*Inputs!$B$181</f>
        <v>0</v>
      </c>
      <c r="I177" s="7">
        <f ca="1">I176*Inputs!$B$181</f>
        <v>0</v>
      </c>
      <c r="J177" s="7">
        <f ca="1">J176*Inputs!$B$181</f>
        <v>0</v>
      </c>
      <c r="K177" s="7">
        <f ca="1">K176*Inputs!$B$181</f>
        <v>0</v>
      </c>
      <c r="L177" s="7">
        <f ca="1">L176*Inputs!$B$181</f>
        <v>0</v>
      </c>
      <c r="M177" s="7">
        <f ca="1">M176*Inputs!$B$181</f>
        <v>0</v>
      </c>
      <c r="N177" s="7">
        <f ca="1">N176*Inputs!$B$181</f>
        <v>0</v>
      </c>
      <c r="O177" s="7">
        <f ca="1">O176*Inputs!$B$181</f>
        <v>0</v>
      </c>
      <c r="P177" s="7">
        <f ca="1">P176*Inputs!$B$181</f>
        <v>0</v>
      </c>
      <c r="Q177" s="7">
        <f ca="1">Q176*Inputs!$B$181</f>
        <v>0</v>
      </c>
      <c r="R177" s="7">
        <f ca="1">R176*Inputs!$B$181</f>
        <v>0</v>
      </c>
      <c r="S177" s="7">
        <f ca="1">S176*Inputs!$B$181</f>
        <v>0</v>
      </c>
      <c r="T177" s="7">
        <f ca="1">T176*Inputs!$B$181</f>
        <v>0</v>
      </c>
      <c r="U177" s="7">
        <f ca="1">U176*Inputs!$B$181</f>
        <v>0</v>
      </c>
      <c r="V177" s="7">
        <f ca="1">V176*Inputs!$B$181</f>
        <v>0</v>
      </c>
      <c r="W177" s="7">
        <f ca="1">W176*Inputs!$B$181</f>
        <v>0</v>
      </c>
      <c r="X177" s="7">
        <f ca="1">X176*Inputs!$B$181</f>
        <v>0</v>
      </c>
      <c r="Y177" s="7">
        <f ca="1">Y176*Inputs!$B$181</f>
        <v>0</v>
      </c>
      <c r="Z177" s="7">
        <f ca="1">Z176*Inputs!$B$181</f>
        <v>0</v>
      </c>
      <c r="AA177" s="7">
        <f ca="1">AA176*Inputs!$B$181</f>
        <v>0</v>
      </c>
      <c r="AB177" s="7">
        <f ca="1">AB176*Inputs!$B$181</f>
        <v>0</v>
      </c>
      <c r="AC177" s="7">
        <f ca="1">AC176*Inputs!$B$181</f>
        <v>0</v>
      </c>
      <c r="AD177" s="7">
        <f ca="1">AD176*Inputs!$B$181</f>
        <v>0</v>
      </c>
      <c r="AE177" s="7">
        <f ca="1">AE176*Inputs!$B$181</f>
        <v>0</v>
      </c>
      <c r="AF177" s="7">
        <f ca="1">AF176*Inputs!$B$181</f>
        <v>0</v>
      </c>
      <c r="AG177" s="7">
        <f ca="1">AG176*Inputs!$B$181</f>
        <v>0</v>
      </c>
      <c r="AH177" s="7">
        <f ca="1">AH176*Inputs!$B$181</f>
        <v>15859.68720083118</v>
      </c>
      <c r="AI177" s="7">
        <f ca="1">AI176*Inputs!$B$181</f>
        <v>15491.386129131504</v>
      </c>
      <c r="AJ177" s="7">
        <f ca="1">AJ176*Inputs!$B$181</f>
        <v>14851.5199888482</v>
      </c>
      <c r="AK177" s="7">
        <f ca="1">AK176*Inputs!$B$181</f>
        <v>13236.58280125678</v>
      </c>
      <c r="AL177" s="7">
        <f ca="1">AL176*Inputs!$B$181</f>
        <v>11581.272183975581</v>
      </c>
      <c r="AM177" s="7">
        <f ca="1">AM176*Inputs!$B$181</f>
        <v>9884.578801262347</v>
      </c>
    </row>
    <row r="178" spans="1:39" x14ac:dyDescent="0.2">
      <c r="A178" s="3" t="s">
        <v>158</v>
      </c>
      <c r="C178" s="7">
        <f ca="1">C175+SUM($C177:C177)</f>
        <v>33136.875000000015</v>
      </c>
      <c r="D178" s="7">
        <f ca="1">D175+SUM($C177:D177)</f>
        <v>57140.903125000026</v>
      </c>
      <c r="E178" s="7">
        <f ca="1">E175+SUM($C177:E177)</f>
        <v>87759.433828125038</v>
      </c>
      <c r="F178" s="7">
        <f ca="1">F175+SUM($C177:F177)</f>
        <v>99100.176411377644</v>
      </c>
      <c r="G178" s="7">
        <f ca="1">G175+SUM($C177:G177)</f>
        <v>50982.686515080073</v>
      </c>
      <c r="H178" s="7">
        <f ca="1">H175+SUM($C177:H177)</f>
        <v>4731.4866545593541</v>
      </c>
      <c r="I178" s="7">
        <f ca="1">I175+SUM($C177:I177)</f>
        <v>82816.445943588857</v>
      </c>
      <c r="J178" s="7">
        <f ca="1">J175+SUM($C177:J177)</f>
        <v>70704.194280487602</v>
      </c>
      <c r="K178" s="7">
        <f ca="1">K175+SUM($C177:K177)</f>
        <v>16367.784225867061</v>
      </c>
      <c r="L178" s="7">
        <f ca="1">L175+SUM($C177:L177)</f>
        <v>180163.27031040267</v>
      </c>
      <c r="M178" s="7">
        <f ca="1">M175+SUM($C177:M177)</f>
        <v>109371.35581909551</v>
      </c>
      <c r="N178" s="7">
        <f ca="1">N175+SUM($C177:N177)</f>
        <v>86281.137610015881</v>
      </c>
      <c r="O178" s="7">
        <f ca="1">O175+SUM($C177:O177)</f>
        <v>62051.388676493501</v>
      </c>
      <c r="P178" s="7">
        <f ca="1">P175+SUM($C177:P177)</f>
        <v>36663.267130203953</v>
      </c>
      <c r="Q178" s="7">
        <f ca="1">Q175+SUM($C177:Q177)</f>
        <v>206802.86686737029</v>
      </c>
      <c r="R178" s="7">
        <f ca="1">R175+SUM($C177:R177)</f>
        <v>173499.8106300793</v>
      </c>
      <c r="S178" s="7">
        <f ca="1">S175+SUM($C177:S177)</f>
        <v>138761.93350443404</v>
      </c>
      <c r="T178" s="7">
        <f ca="1">T175+SUM($C177:T177)</f>
        <v>121065.19970660284</v>
      </c>
      <c r="U178" s="7">
        <f ca="1">U175+SUM($C177:U177)</f>
        <v>110424.7629864492</v>
      </c>
      <c r="V178" s="7">
        <f ca="1">V175+SUM($C177:V177)</f>
        <v>99226.416037007526</v>
      </c>
      <c r="W178" s="7">
        <f ca="1">W175+SUM($C177:W177)</f>
        <v>87464.120322809336</v>
      </c>
      <c r="X178" s="7">
        <f ca="1">X175+SUM($C177:X177)</f>
        <v>75131.923621607217</v>
      </c>
      <c r="Y178" s="7">
        <f ca="1">Y175+SUM($C177:Y177)</f>
        <v>41048.641110268611</v>
      </c>
      <c r="Z178" s="7">
        <f ca="1">Z175+SUM($C177:Z177)</f>
        <v>381766.15315834375</v>
      </c>
      <c r="AA178" s="7">
        <f ca="1">AA175+SUM($C177:AA177)</f>
        <v>342440.01808293402</v>
      </c>
      <c r="AB178" s="7">
        <f ca="1">AB175+SUM($C177:AB177)</f>
        <v>300989.20365595352</v>
      </c>
      <c r="AC178" s="7">
        <f ca="1">AC175+SUM($C177:AC177)</f>
        <v>257148.53105760575</v>
      </c>
      <c r="AD178" s="7">
        <f ca="1">AD175+SUM($C177:AD177)</f>
        <v>210864.09023958546</v>
      </c>
      <c r="AE178" s="7">
        <f ca="1">AE175+SUM($C177:AE177)</f>
        <v>172312.83546568983</v>
      </c>
      <c r="AF178" s="7">
        <f ca="1">AF175+SUM($C177:AF177)</f>
        <v>131711.8131363389</v>
      </c>
      <c r="AG178" s="7">
        <f ca="1">AG175+SUM($C177:AG177)</f>
        <v>89016.15666104242</v>
      </c>
      <c r="AH178" s="7">
        <f ca="1">AH175+SUM($C177:AH177)</f>
        <v>694427.24434657802</v>
      </c>
      <c r="AI178" s="7">
        <f ca="1">AI175+SUM($C177:AI177)</f>
        <v>648433.81191184837</v>
      </c>
      <c r="AJ178" s="7">
        <f ca="1">AJ175+SUM($C177:AJ177)</f>
        <v>600263.39287273888</v>
      </c>
      <c r="AK178" s="7">
        <f ca="1">AK175+SUM($C177:AK177)</f>
        <v>548902.48817033891</v>
      </c>
      <c r="AL178" s="7">
        <f ca="1">AL175+SUM($C177:AL177)</f>
        <v>494271.33566306648</v>
      </c>
      <c r="AM178" s="7">
        <f ca="1">AM175+SUM($C177:AM177)</f>
        <v>436288.17915579944</v>
      </c>
    </row>
    <row r="179" spans="1:39" x14ac:dyDescent="0.2">
      <c r="A179" s="3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  <c r="AB179" s="7"/>
      <c r="AC179" s="7"/>
      <c r="AD179" s="7"/>
      <c r="AE179" s="7"/>
      <c r="AF179" s="7"/>
      <c r="AG179" s="7"/>
      <c r="AH179" s="7"/>
      <c r="AI179" s="7"/>
      <c r="AJ179" s="7"/>
      <c r="AK179" s="7"/>
      <c r="AL179" s="7"/>
      <c r="AM179" s="7"/>
    </row>
    <row r="180" spans="1:39" x14ac:dyDescent="0.2">
      <c r="A180" s="3" t="s">
        <v>156</v>
      </c>
      <c r="C180" s="7">
        <f t="shared" ref="C180:AM180" ca="1" si="115">C178+buffer</f>
        <v>73136.875000000015</v>
      </c>
      <c r="D180" s="7">
        <f t="shared" ca="1" si="115"/>
        <v>97140.903125000026</v>
      </c>
      <c r="E180" s="7">
        <f t="shared" ca="1" si="115"/>
        <v>127759.43382812504</v>
      </c>
      <c r="F180" s="7">
        <f t="shared" ca="1" si="115"/>
        <v>139100.17641137764</v>
      </c>
      <c r="G180" s="7">
        <f t="shared" ca="1" si="115"/>
        <v>90982.686515080073</v>
      </c>
      <c r="H180" s="7">
        <f t="shared" ca="1" si="115"/>
        <v>44731.486654559354</v>
      </c>
      <c r="I180" s="7">
        <f t="shared" ca="1" si="115"/>
        <v>122816.44594358886</v>
      </c>
      <c r="J180" s="7">
        <f t="shared" ca="1" si="115"/>
        <v>110704.1942804876</v>
      </c>
      <c r="K180" s="7">
        <f t="shared" ca="1" si="115"/>
        <v>56367.784225867057</v>
      </c>
      <c r="L180" s="7">
        <f t="shared" ca="1" si="115"/>
        <v>220163.27031040267</v>
      </c>
      <c r="M180" s="7">
        <f t="shared" ca="1" si="115"/>
        <v>149371.35581909551</v>
      </c>
      <c r="N180" s="7">
        <f t="shared" ca="1" si="115"/>
        <v>126281.13761001588</v>
      </c>
      <c r="O180" s="7">
        <f t="shared" ca="1" si="115"/>
        <v>102051.3886764935</v>
      </c>
      <c r="P180" s="7">
        <f t="shared" ca="1" si="115"/>
        <v>76663.267130203953</v>
      </c>
      <c r="Q180" s="7">
        <f t="shared" ca="1" si="115"/>
        <v>246802.86686737029</v>
      </c>
      <c r="R180" s="7">
        <f t="shared" ca="1" si="115"/>
        <v>213499.8106300793</v>
      </c>
      <c r="S180" s="7">
        <f t="shared" ca="1" si="115"/>
        <v>178761.93350443404</v>
      </c>
      <c r="T180" s="7">
        <f t="shared" ca="1" si="115"/>
        <v>161065.19970660284</v>
      </c>
      <c r="U180" s="7">
        <f t="shared" ca="1" si="115"/>
        <v>150424.7629864492</v>
      </c>
      <c r="V180" s="7">
        <f t="shared" ca="1" si="115"/>
        <v>139226.41603700753</v>
      </c>
      <c r="W180" s="7">
        <f t="shared" ca="1" si="115"/>
        <v>127464.12032280934</v>
      </c>
      <c r="X180" s="7">
        <f t="shared" ca="1" si="115"/>
        <v>115131.92362160722</v>
      </c>
      <c r="Y180" s="7">
        <f t="shared" ca="1" si="115"/>
        <v>81048.641110268611</v>
      </c>
      <c r="Z180" s="7">
        <f t="shared" ca="1" si="115"/>
        <v>421766.15315834375</v>
      </c>
      <c r="AA180" s="7">
        <f t="shared" ca="1" si="115"/>
        <v>382440.01808293402</v>
      </c>
      <c r="AB180" s="7">
        <f t="shared" ca="1" si="115"/>
        <v>340989.20365595352</v>
      </c>
      <c r="AC180" s="7">
        <f t="shared" ca="1" si="115"/>
        <v>297148.53105760575</v>
      </c>
      <c r="AD180" s="7">
        <f t="shared" ca="1" si="115"/>
        <v>250864.09023958546</v>
      </c>
      <c r="AE180" s="7">
        <f t="shared" ca="1" si="115"/>
        <v>212312.83546568983</v>
      </c>
      <c r="AF180" s="7">
        <f t="shared" ca="1" si="115"/>
        <v>171711.8131363389</v>
      </c>
      <c r="AG180" s="7">
        <f t="shared" ca="1" si="115"/>
        <v>129016.15666104242</v>
      </c>
      <c r="AH180" s="7">
        <f t="shared" ca="1" si="115"/>
        <v>734427.24434657802</v>
      </c>
      <c r="AI180" s="7">
        <f t="shared" ca="1" si="115"/>
        <v>688433.81191184837</v>
      </c>
      <c r="AJ180" s="7">
        <f t="shared" ca="1" si="115"/>
        <v>640263.39287273888</v>
      </c>
      <c r="AK180" s="7">
        <f t="shared" ca="1" si="115"/>
        <v>588902.48817033891</v>
      </c>
      <c r="AL180" s="7">
        <f t="shared" ca="1" si="115"/>
        <v>534271.33566306648</v>
      </c>
      <c r="AM180" s="7">
        <f t="shared" ca="1" si="115"/>
        <v>476288.17915579944</v>
      </c>
    </row>
    <row r="181" spans="1:39" x14ac:dyDescent="0.2">
      <c r="A181" s="4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  <c r="AB181" s="7"/>
      <c r="AC181" s="7"/>
      <c r="AD181" s="7"/>
      <c r="AE181" s="7"/>
      <c r="AF181" s="7"/>
      <c r="AG181" s="7"/>
      <c r="AH181" s="7"/>
      <c r="AI181" s="7"/>
      <c r="AJ181" s="7"/>
      <c r="AK181" s="7"/>
      <c r="AL181" s="7"/>
      <c r="AM181" s="7"/>
    </row>
    <row r="182" spans="1:39" x14ac:dyDescent="0.2">
      <c r="A182" s="29" t="s">
        <v>62</v>
      </c>
      <c r="B182" s="26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  <c r="AB182" s="7"/>
      <c r="AC182" s="7"/>
      <c r="AD182" s="7"/>
      <c r="AE182" s="7"/>
      <c r="AF182" s="7"/>
      <c r="AG182" s="7"/>
      <c r="AH182" s="7"/>
      <c r="AI182" s="7"/>
      <c r="AJ182" s="7"/>
      <c r="AK182" s="7"/>
      <c r="AL182" s="7"/>
      <c r="AM182" s="7"/>
    </row>
    <row r="183" spans="1:39" x14ac:dyDescent="0.2">
      <c r="A183" s="3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  <c r="AB183" s="7"/>
      <c r="AC183" s="7"/>
      <c r="AD183" s="7"/>
      <c r="AE183" s="7"/>
      <c r="AF183" s="7"/>
      <c r="AG183" s="7"/>
      <c r="AH183" s="7"/>
      <c r="AI183" s="7"/>
      <c r="AJ183" s="7"/>
      <c r="AK183" s="7"/>
      <c r="AL183" s="7"/>
      <c r="AM183" s="7"/>
    </row>
    <row r="184" spans="1:39" x14ac:dyDescent="0.2">
      <c r="A184" s="18" t="s">
        <v>65</v>
      </c>
      <c r="B184" s="19"/>
      <c r="C184" s="20"/>
      <c r="D184" s="20"/>
      <c r="E184" s="20"/>
      <c r="F184" s="20"/>
      <c r="G184" s="20"/>
      <c r="H184" s="20"/>
      <c r="I184" s="20"/>
      <c r="J184" s="20"/>
      <c r="K184" s="20"/>
      <c r="L184" s="20"/>
      <c r="M184" s="20"/>
      <c r="N184" s="20"/>
      <c r="O184" s="20"/>
      <c r="P184" s="20"/>
      <c r="Q184" s="20"/>
      <c r="R184" s="20"/>
      <c r="S184" s="20"/>
      <c r="T184" s="20"/>
      <c r="U184" s="20"/>
      <c r="V184" s="20"/>
      <c r="W184" s="20"/>
      <c r="X184" s="20"/>
      <c r="Y184" s="20"/>
      <c r="Z184" s="20"/>
      <c r="AA184" s="20"/>
      <c r="AB184" s="20"/>
      <c r="AC184" s="20"/>
      <c r="AD184" s="20"/>
      <c r="AE184" s="20"/>
      <c r="AF184" s="20"/>
      <c r="AG184" s="20"/>
      <c r="AH184" s="20"/>
      <c r="AI184" s="20"/>
      <c r="AJ184" s="20"/>
      <c r="AK184" s="20"/>
      <c r="AL184" s="20"/>
      <c r="AM184" s="20"/>
    </row>
    <row r="185" spans="1:39" x14ac:dyDescent="0.2">
      <c r="A185" s="22" t="str">
        <f>B$104</f>
        <v>Gudja</v>
      </c>
      <c r="B185" s="19"/>
      <c r="C185" s="20">
        <f ca="1">SUM($C98:C98)</f>
        <v>0</v>
      </c>
      <c r="D185" s="20">
        <f ca="1">SUM($C98:D98)</f>
        <v>0</v>
      </c>
      <c r="E185" s="20">
        <f ca="1">SUM($C98:E98)</f>
        <v>0</v>
      </c>
      <c r="F185" s="20">
        <f ca="1">SUM($C98:F98)</f>
        <v>0</v>
      </c>
      <c r="G185" s="20">
        <f ca="1">SUM($C98:G98)</f>
        <v>0</v>
      </c>
      <c r="H185" s="20">
        <f ca="1">SUM($C98:H98)</f>
        <v>0</v>
      </c>
      <c r="I185" s="20">
        <f ca="1">SUM($C98:I98)</f>
        <v>-95054.744268107737</v>
      </c>
      <c r="J185" s="20">
        <f ca="1">SUM($C98:J98)</f>
        <v>-95054.744268107737</v>
      </c>
      <c r="K185" s="20">
        <f ca="1">SUM($C98:K98)</f>
        <v>-95054.744268107737</v>
      </c>
      <c r="L185" s="20">
        <f ca="1">SUM($C98:L98)</f>
        <v>-95054.744268107737</v>
      </c>
      <c r="M185" s="20">
        <f ca="1">SUM($C98:M98)</f>
        <v>-95054.744268107737</v>
      </c>
      <c r="N185" s="20">
        <f ca="1">SUM($C98:N98)</f>
        <v>-95054.744268107737</v>
      </c>
      <c r="O185" s="20">
        <f ca="1">SUM($C98:O98)</f>
        <v>-95054.744268107737</v>
      </c>
      <c r="P185" s="20">
        <f ca="1">SUM($C98:P98)</f>
        <v>-95054.744268107737</v>
      </c>
      <c r="Q185" s="20">
        <f ca="1">SUM($C98:Q98)</f>
        <v>-95054.744268107737</v>
      </c>
      <c r="R185" s="20">
        <f ca="1">SUM($C98:R98)</f>
        <v>-95054.744268107737</v>
      </c>
      <c r="S185" s="20">
        <f ca="1">SUM($C98:S98)</f>
        <v>-95054.744268107737</v>
      </c>
      <c r="T185" s="20">
        <f ca="1">SUM($C98:T98)</f>
        <v>-95054.744268107737</v>
      </c>
      <c r="U185" s="20">
        <f ca="1">SUM($C98:U98)</f>
        <v>-95054.744268107737</v>
      </c>
      <c r="V185" s="20">
        <f ca="1">SUM($C98:V98)</f>
        <v>-95054.744268107737</v>
      </c>
      <c r="W185" s="20">
        <f ca="1">SUM($C98:W98)</f>
        <v>-95054.744268107737</v>
      </c>
      <c r="X185" s="20">
        <f ca="1">SUM($C98:X98)</f>
        <v>-95054.744268107737</v>
      </c>
      <c r="Y185" s="20">
        <f ca="1">SUM($C98:Y98)</f>
        <v>-95054.744268107737</v>
      </c>
      <c r="Z185" s="20">
        <f ca="1">SUM($C98:Z98)</f>
        <v>-95054.744268107737</v>
      </c>
      <c r="AA185" s="20">
        <f ca="1">SUM($C98:AA98)</f>
        <v>-95054.744268107737</v>
      </c>
      <c r="AB185" s="20">
        <f ca="1">SUM($C98:AB98)</f>
        <v>-95054.744268107737</v>
      </c>
      <c r="AC185" s="20">
        <f ca="1">SUM($C98:AC98)</f>
        <v>-95054.744268107737</v>
      </c>
      <c r="AD185" s="20">
        <f ca="1">SUM($C98:AD98)</f>
        <v>-95054.744268107737</v>
      </c>
      <c r="AE185" s="20">
        <f ca="1">SUM($C98:AE98)</f>
        <v>-95054.744268107737</v>
      </c>
      <c r="AF185" s="20">
        <f ca="1">SUM($C98:AF98)</f>
        <v>-95054.744268107737</v>
      </c>
      <c r="AG185" s="20">
        <f ca="1">SUM($C98:AG98)</f>
        <v>-95054.744268107737</v>
      </c>
      <c r="AH185" s="20">
        <f ca="1">SUM($C98:AH98)</f>
        <v>-95054.744268107737</v>
      </c>
      <c r="AI185" s="20">
        <f ca="1">SUM($C98:AI98)</f>
        <v>-95054.744268107737</v>
      </c>
      <c r="AJ185" s="20">
        <f ca="1">SUM($C98:AJ98)</f>
        <v>-95054.744268107737</v>
      </c>
      <c r="AK185" s="20">
        <f ca="1">SUM($C98:AK98)</f>
        <v>-95054.744268107737</v>
      </c>
      <c r="AL185" s="20">
        <f ca="1">SUM($C98:AL98)</f>
        <v>-95054.744268107737</v>
      </c>
      <c r="AM185" s="20">
        <f ca="1">SUM($C98:AM98)</f>
        <v>-95054.744268107737</v>
      </c>
    </row>
    <row r="186" spans="1:39" x14ac:dyDescent="0.2">
      <c r="A186" s="22" t="str">
        <f>B$121</f>
        <v>Marsa</v>
      </c>
      <c r="B186" s="19"/>
      <c r="C186" s="20">
        <f ca="1">SUM($C115:C115)</f>
        <v>0</v>
      </c>
      <c r="D186" s="20">
        <f ca="1">SUM($C115:D115)</f>
        <v>0</v>
      </c>
      <c r="E186" s="20">
        <f ca="1">SUM($C115:E115)</f>
        <v>0</v>
      </c>
      <c r="F186" s="20">
        <f ca="1">SUM($C115:F115)</f>
        <v>0</v>
      </c>
      <c r="G186" s="20">
        <f ca="1">SUM($C115:G115)</f>
        <v>0</v>
      </c>
      <c r="H186" s="20">
        <f ca="1">SUM($C115:H115)</f>
        <v>0</v>
      </c>
      <c r="I186" s="20">
        <f ca="1">SUM($C115:I115)</f>
        <v>0</v>
      </c>
      <c r="J186" s="20">
        <f ca="1">SUM($C115:J115)</f>
        <v>0</v>
      </c>
      <c r="K186" s="20">
        <f ca="1">SUM($C115:K115)</f>
        <v>0</v>
      </c>
      <c r="L186" s="20">
        <f ca="1">SUM($C115:L115)</f>
        <v>-155803.32830978479</v>
      </c>
      <c r="M186" s="20">
        <f ca="1">SUM($C115:M115)</f>
        <v>-155803.32830978479</v>
      </c>
      <c r="N186" s="20">
        <f ca="1">SUM($C115:N115)</f>
        <v>-155803.32830978479</v>
      </c>
      <c r="O186" s="20">
        <f ca="1">SUM($C115:O115)</f>
        <v>-155803.32830978479</v>
      </c>
      <c r="P186" s="20">
        <f ca="1">SUM($C115:P115)</f>
        <v>-155803.32830978479</v>
      </c>
      <c r="Q186" s="20">
        <f ca="1">SUM($C115:Q115)</f>
        <v>-155803.32830978479</v>
      </c>
      <c r="R186" s="20">
        <f ca="1">SUM($C115:R115)</f>
        <v>-155803.32830978479</v>
      </c>
      <c r="S186" s="20">
        <f ca="1">SUM($C115:S115)</f>
        <v>-155803.32830978479</v>
      </c>
      <c r="T186" s="20">
        <f ca="1">SUM($C115:T115)</f>
        <v>-155803.32830978479</v>
      </c>
      <c r="U186" s="20">
        <f ca="1">SUM($C115:U115)</f>
        <v>-155803.32830978479</v>
      </c>
      <c r="V186" s="20">
        <f ca="1">SUM($C115:V115)</f>
        <v>-155803.32830978479</v>
      </c>
      <c r="W186" s="20">
        <f ca="1">SUM($C115:W115)</f>
        <v>-155803.32830978479</v>
      </c>
      <c r="X186" s="20">
        <f ca="1">SUM($C115:X115)</f>
        <v>-155803.32830978479</v>
      </c>
      <c r="Y186" s="20">
        <f ca="1">SUM($C115:Y115)</f>
        <v>-155803.32830978479</v>
      </c>
      <c r="Z186" s="20">
        <f ca="1">SUM($C115:Z115)</f>
        <v>-155803.32830978479</v>
      </c>
      <c r="AA186" s="20">
        <f ca="1">SUM($C115:AA115)</f>
        <v>-155803.32830978479</v>
      </c>
      <c r="AB186" s="20">
        <f ca="1">SUM($C115:AB115)</f>
        <v>-155803.32830978479</v>
      </c>
      <c r="AC186" s="20">
        <f ca="1">SUM($C115:AC115)</f>
        <v>-155803.32830978479</v>
      </c>
      <c r="AD186" s="20">
        <f ca="1">SUM($C115:AD115)</f>
        <v>-155803.32830978479</v>
      </c>
      <c r="AE186" s="20">
        <f ca="1">SUM($C115:AE115)</f>
        <v>-155803.32830978479</v>
      </c>
      <c r="AF186" s="20">
        <f ca="1">SUM($C115:AF115)</f>
        <v>-155803.32830978479</v>
      </c>
      <c r="AG186" s="20">
        <f ca="1">SUM($C115:AG115)</f>
        <v>-155803.32830978479</v>
      </c>
      <c r="AH186" s="20">
        <f ca="1">SUM($C115:AH115)</f>
        <v>-155803.32830978479</v>
      </c>
      <c r="AI186" s="20">
        <f ca="1">SUM($C115:AI115)</f>
        <v>-155803.32830978479</v>
      </c>
      <c r="AJ186" s="20">
        <f ca="1">SUM($C115:AJ115)</f>
        <v>-155803.32830978479</v>
      </c>
      <c r="AK186" s="20">
        <f ca="1">SUM($C115:AK115)</f>
        <v>-155803.32830978479</v>
      </c>
      <c r="AL186" s="20">
        <f ca="1">SUM($C115:AL115)</f>
        <v>-155803.32830978479</v>
      </c>
      <c r="AM186" s="20">
        <f ca="1">SUM($C115:AM115)</f>
        <v>-155803.32830978479</v>
      </c>
    </row>
    <row r="187" spans="1:39" x14ac:dyDescent="0.2">
      <c r="A187" s="22" t="str">
        <f>B$138</f>
        <v>Gzira</v>
      </c>
      <c r="B187" s="19"/>
      <c r="C187" s="20">
        <f ca="1">SUM($C132:C132)</f>
        <v>0</v>
      </c>
      <c r="D187" s="20">
        <f ca="1">SUM($C132:D132)</f>
        <v>0</v>
      </c>
      <c r="E187" s="20">
        <f ca="1">SUM($C132:E132)</f>
        <v>0</v>
      </c>
      <c r="F187" s="20">
        <f ca="1">SUM($C132:F132)</f>
        <v>0</v>
      </c>
      <c r="G187" s="20">
        <f ca="1">SUM($C132:G132)</f>
        <v>0</v>
      </c>
      <c r="H187" s="20">
        <f ca="1">SUM($C132:H132)</f>
        <v>0</v>
      </c>
      <c r="I187" s="20">
        <f ca="1">SUM($C132:I132)</f>
        <v>0</v>
      </c>
      <c r="J187" s="20">
        <f ca="1">SUM($C132:J132)</f>
        <v>0</v>
      </c>
      <c r="K187" s="20">
        <f ca="1">SUM($C132:K132)</f>
        <v>0</v>
      </c>
      <c r="L187" s="20">
        <f ca="1">SUM($C132:L132)</f>
        <v>0</v>
      </c>
      <c r="M187" s="20">
        <f ca="1">SUM($C132:M132)</f>
        <v>0</v>
      </c>
      <c r="N187" s="20">
        <f ca="1">SUM($C132:N132)</f>
        <v>0</v>
      </c>
      <c r="O187" s="20">
        <f ca="1">SUM($C132:O132)</f>
        <v>0</v>
      </c>
      <c r="P187" s="20">
        <f ca="1">SUM($C132:P132)</f>
        <v>0</v>
      </c>
      <c r="Q187" s="20">
        <f ca="1">SUM($C132:Q132)</f>
        <v>-225773.44899898086</v>
      </c>
      <c r="R187" s="20">
        <f ca="1">SUM($C132:R132)</f>
        <v>-225773.44899898086</v>
      </c>
      <c r="S187" s="20">
        <f ca="1">SUM($C132:S132)</f>
        <v>-225773.44899898086</v>
      </c>
      <c r="T187" s="20">
        <f ca="1">SUM($C132:T132)</f>
        <v>-225773.44899898086</v>
      </c>
      <c r="U187" s="20">
        <f ca="1">SUM($C132:U132)</f>
        <v>-225773.44899898086</v>
      </c>
      <c r="V187" s="20">
        <f ca="1">SUM($C132:V132)</f>
        <v>-225773.44899898086</v>
      </c>
      <c r="W187" s="20">
        <f ca="1">SUM($C132:W132)</f>
        <v>-225773.44899898086</v>
      </c>
      <c r="X187" s="20">
        <f ca="1">SUM($C132:X132)</f>
        <v>-225773.44899898086</v>
      </c>
      <c r="Y187" s="20">
        <f ca="1">SUM($C132:Y132)</f>
        <v>-225773.44899898086</v>
      </c>
      <c r="Z187" s="20">
        <f ca="1">SUM($C132:Z132)</f>
        <v>-225773.44899898086</v>
      </c>
      <c r="AA187" s="20">
        <f ca="1">SUM($C132:AA132)</f>
        <v>-225773.44899898086</v>
      </c>
      <c r="AB187" s="20">
        <f ca="1">SUM($C132:AB132)</f>
        <v>-225773.44899898086</v>
      </c>
      <c r="AC187" s="20">
        <f ca="1">SUM($C132:AC132)</f>
        <v>-225773.44899898086</v>
      </c>
      <c r="AD187" s="20">
        <f ca="1">SUM($C132:AD132)</f>
        <v>-225773.44899898086</v>
      </c>
      <c r="AE187" s="20">
        <f ca="1">SUM($C132:AE132)</f>
        <v>-225773.44899898086</v>
      </c>
      <c r="AF187" s="20">
        <f ca="1">SUM($C132:AF132)</f>
        <v>-225773.44899898086</v>
      </c>
      <c r="AG187" s="20">
        <f ca="1">SUM($C132:AG132)</f>
        <v>-225773.44899898086</v>
      </c>
      <c r="AH187" s="20">
        <f ca="1">SUM($C132:AH132)</f>
        <v>-225773.44899898086</v>
      </c>
      <c r="AI187" s="20">
        <f ca="1">SUM($C132:AI132)</f>
        <v>-225773.44899898086</v>
      </c>
      <c r="AJ187" s="20">
        <f ca="1">SUM($C132:AJ132)</f>
        <v>-225773.44899898086</v>
      </c>
      <c r="AK187" s="20">
        <f ca="1">SUM($C132:AK132)</f>
        <v>-225773.44899898086</v>
      </c>
      <c r="AL187" s="20">
        <f ca="1">SUM($C132:AL132)</f>
        <v>-225773.44899898086</v>
      </c>
      <c r="AM187" s="20">
        <f ca="1">SUM($C132:AM132)</f>
        <v>-225773.44899898086</v>
      </c>
    </row>
    <row r="188" spans="1:39" x14ac:dyDescent="0.2">
      <c r="A188" s="22" t="str">
        <f>B$155</f>
        <v>Qormi</v>
      </c>
      <c r="B188" s="19"/>
      <c r="C188" s="20">
        <f ca="1">SUM($C149:C149)</f>
        <v>0</v>
      </c>
      <c r="D188" s="20">
        <f ca="1">SUM($C149:D149)</f>
        <v>0</v>
      </c>
      <c r="E188" s="20">
        <f ca="1">SUM($C149:E149)</f>
        <v>0</v>
      </c>
      <c r="F188" s="20">
        <f ca="1">SUM($C149:F149)</f>
        <v>0</v>
      </c>
      <c r="G188" s="20">
        <f ca="1">SUM($C149:G149)</f>
        <v>0</v>
      </c>
      <c r="H188" s="20">
        <f ca="1">SUM($C149:H149)</f>
        <v>0</v>
      </c>
      <c r="I188" s="20">
        <f ca="1">SUM($C149:I149)</f>
        <v>0</v>
      </c>
      <c r="J188" s="20">
        <f ca="1">SUM($C149:J149)</f>
        <v>0</v>
      </c>
      <c r="K188" s="20">
        <f ca="1">SUM($C149:K149)</f>
        <v>0</v>
      </c>
      <c r="L188" s="20">
        <f ca="1">SUM($C149:L149)</f>
        <v>0</v>
      </c>
      <c r="M188" s="20">
        <f ca="1">SUM($C149:M149)</f>
        <v>0</v>
      </c>
      <c r="N188" s="20">
        <f ca="1">SUM($C149:N149)</f>
        <v>0</v>
      </c>
      <c r="O188" s="20">
        <f ca="1">SUM($C149:O149)</f>
        <v>0</v>
      </c>
      <c r="P188" s="20">
        <f ca="1">SUM($C149:P149)</f>
        <v>0</v>
      </c>
      <c r="Q188" s="20">
        <f ca="1">SUM($C149:Q149)</f>
        <v>0</v>
      </c>
      <c r="R188" s="20">
        <f ca="1">SUM($C149:R149)</f>
        <v>0</v>
      </c>
      <c r="S188" s="20">
        <f ca="1">SUM($C149:S149)</f>
        <v>0</v>
      </c>
      <c r="T188" s="20">
        <f ca="1">SUM($C149:T149)</f>
        <v>0</v>
      </c>
      <c r="U188" s="20">
        <f ca="1">SUM($C149:U149)</f>
        <v>0</v>
      </c>
      <c r="V188" s="20">
        <f ca="1">SUM($C149:V149)</f>
        <v>0</v>
      </c>
      <c r="W188" s="20">
        <f ca="1">SUM($C149:W149)</f>
        <v>0</v>
      </c>
      <c r="X188" s="20">
        <f ca="1">SUM($C149:X149)</f>
        <v>0</v>
      </c>
      <c r="Y188" s="20">
        <f ca="1">SUM($C149:Y149)</f>
        <v>0</v>
      </c>
      <c r="Z188" s="20">
        <f ca="1">SUM($C149:Z149)</f>
        <v>-432055.27474928135</v>
      </c>
      <c r="AA188" s="20">
        <f ca="1">SUM($C149:AA149)</f>
        <v>-432055.27474928135</v>
      </c>
      <c r="AB188" s="20">
        <f ca="1">SUM($C149:AB149)</f>
        <v>-432055.27474928135</v>
      </c>
      <c r="AC188" s="20">
        <f ca="1">SUM($C149:AC149)</f>
        <v>-432055.27474928135</v>
      </c>
      <c r="AD188" s="20">
        <f ca="1">SUM($C149:AD149)</f>
        <v>-432055.27474928135</v>
      </c>
      <c r="AE188" s="20">
        <f ca="1">SUM($C149:AE149)</f>
        <v>-432055.27474928135</v>
      </c>
      <c r="AF188" s="20">
        <f ca="1">SUM($C149:AF149)</f>
        <v>-432055.27474928135</v>
      </c>
      <c r="AG188" s="20">
        <f ca="1">SUM($C149:AG149)</f>
        <v>-432055.27474928135</v>
      </c>
      <c r="AH188" s="20">
        <f ca="1">SUM($C149:AH149)</f>
        <v>-432055.27474928135</v>
      </c>
      <c r="AI188" s="20">
        <f ca="1">SUM($C149:AI149)</f>
        <v>-432055.27474928135</v>
      </c>
      <c r="AJ188" s="20">
        <f ca="1">SUM($C149:AJ149)</f>
        <v>-432055.27474928135</v>
      </c>
      <c r="AK188" s="20">
        <f ca="1">SUM($C149:AK149)</f>
        <v>-432055.27474928135</v>
      </c>
      <c r="AL188" s="20">
        <f ca="1">SUM($C149:AL149)</f>
        <v>-432055.27474928135</v>
      </c>
      <c r="AM188" s="20">
        <f ca="1">SUM($C149:AM149)</f>
        <v>-432055.27474928135</v>
      </c>
    </row>
    <row r="189" spans="1:39" x14ac:dyDescent="0.2">
      <c r="A189" s="22" t="str">
        <f>B$172</f>
        <v>Sliema</v>
      </c>
      <c r="B189" s="19"/>
      <c r="C189" s="20">
        <f ca="1">SUM($C166:C166)</f>
        <v>0</v>
      </c>
      <c r="D189" s="20">
        <f ca="1">SUM($C166:D166)</f>
        <v>0</v>
      </c>
      <c r="E189" s="20">
        <f ca="1">SUM($C166:E166)</f>
        <v>0</v>
      </c>
      <c r="F189" s="20">
        <f ca="1">SUM($C166:F166)</f>
        <v>0</v>
      </c>
      <c r="G189" s="20">
        <f ca="1">SUM($C166:G166)</f>
        <v>0</v>
      </c>
      <c r="H189" s="20">
        <f ca="1">SUM($C166:H166)</f>
        <v>0</v>
      </c>
      <c r="I189" s="20">
        <f ca="1">SUM($C166:I166)</f>
        <v>0</v>
      </c>
      <c r="J189" s="20">
        <f ca="1">SUM($C166:J166)</f>
        <v>0</v>
      </c>
      <c r="K189" s="20">
        <f ca="1">SUM($C166:K166)</f>
        <v>0</v>
      </c>
      <c r="L189" s="20">
        <f ca="1">SUM($C166:L166)</f>
        <v>0</v>
      </c>
      <c r="M189" s="20">
        <f ca="1">SUM($C166:M166)</f>
        <v>0</v>
      </c>
      <c r="N189" s="20">
        <f ca="1">SUM($C166:N166)</f>
        <v>0</v>
      </c>
      <c r="O189" s="20">
        <f ca="1">SUM($C166:O166)</f>
        <v>0</v>
      </c>
      <c r="P189" s="20">
        <f ca="1">SUM($C166:P166)</f>
        <v>0</v>
      </c>
      <c r="Q189" s="20">
        <f ca="1">SUM($C166:Q166)</f>
        <v>0</v>
      </c>
      <c r="R189" s="20">
        <f ca="1">SUM($C166:R166)</f>
        <v>0</v>
      </c>
      <c r="S189" s="20">
        <f ca="1">SUM($C166:S166)</f>
        <v>0</v>
      </c>
      <c r="T189" s="20">
        <f ca="1">SUM($C166:T166)</f>
        <v>0</v>
      </c>
      <c r="U189" s="20">
        <f ca="1">SUM($C166:U166)</f>
        <v>0</v>
      </c>
      <c r="V189" s="20">
        <f ca="1">SUM($C166:V166)</f>
        <v>0</v>
      </c>
      <c r="W189" s="20">
        <f ca="1">SUM($C166:W166)</f>
        <v>0</v>
      </c>
      <c r="X189" s="20">
        <f ca="1">SUM($C166:X166)</f>
        <v>0</v>
      </c>
      <c r="Y189" s="20">
        <f ca="1">SUM($C166:Y166)</f>
        <v>0</v>
      </c>
      <c r="Z189" s="20">
        <f ca="1">SUM($C166:Z166)</f>
        <v>0</v>
      </c>
      <c r="AA189" s="20">
        <f ca="1">SUM($C166:AA166)</f>
        <v>0</v>
      </c>
      <c r="AB189" s="20">
        <f ca="1">SUM($C166:AB166)</f>
        <v>0</v>
      </c>
      <c r="AC189" s="20">
        <f ca="1">SUM($C166:AC166)</f>
        <v>0</v>
      </c>
      <c r="AD189" s="20">
        <f ca="1">SUM($C166:AD166)</f>
        <v>0</v>
      </c>
      <c r="AE189" s="20">
        <f ca="1">SUM($C166:AE166)</f>
        <v>0</v>
      </c>
      <c r="AF189" s="20">
        <f ca="1">SUM($C166:AF166)</f>
        <v>0</v>
      </c>
      <c r="AG189" s="20">
        <f ca="1">SUM($C166:AG166)</f>
        <v>0</v>
      </c>
      <c r="AH189" s="20">
        <f ca="1">SUM($C166:AH166)</f>
        <v>-746338.2212155849</v>
      </c>
      <c r="AI189" s="20">
        <f ca="1">SUM($C166:AI166)</f>
        <v>-746338.2212155849</v>
      </c>
      <c r="AJ189" s="20">
        <f ca="1">SUM($C166:AJ166)</f>
        <v>-746338.2212155849</v>
      </c>
      <c r="AK189" s="20">
        <f ca="1">SUM($C166:AK166)</f>
        <v>-746338.2212155849</v>
      </c>
      <c r="AL189" s="20">
        <f ca="1">SUM($C166:AL166)</f>
        <v>-746338.2212155849</v>
      </c>
      <c r="AM189" s="20">
        <f ca="1">SUM($C166:AM166)</f>
        <v>-746338.2212155849</v>
      </c>
    </row>
    <row r="190" spans="1:39" x14ac:dyDescent="0.2">
      <c r="A190" s="21"/>
      <c r="B190" s="19"/>
      <c r="C190" s="20"/>
      <c r="D190" s="20"/>
      <c r="E190" s="20"/>
      <c r="F190" s="20"/>
      <c r="G190" s="20"/>
      <c r="H190" s="20"/>
      <c r="I190" s="20"/>
      <c r="J190" s="20"/>
      <c r="K190" s="20"/>
      <c r="L190" s="20"/>
      <c r="M190" s="20"/>
      <c r="N190" s="20"/>
      <c r="O190" s="20"/>
      <c r="P190" s="20"/>
      <c r="Q190" s="20"/>
      <c r="R190" s="20"/>
      <c r="S190" s="20"/>
      <c r="T190" s="20"/>
      <c r="U190" s="20"/>
      <c r="V190" s="20"/>
      <c r="W190" s="20"/>
      <c r="X190" s="20"/>
      <c r="Y190" s="20"/>
      <c r="Z190" s="20"/>
      <c r="AA190" s="20"/>
      <c r="AB190" s="20"/>
      <c r="AC190" s="20"/>
      <c r="AD190" s="20"/>
      <c r="AE190" s="20"/>
      <c r="AF190" s="20"/>
      <c r="AG190" s="20"/>
      <c r="AH190" s="20"/>
      <c r="AI190" s="20"/>
      <c r="AJ190" s="20"/>
      <c r="AK190" s="20"/>
      <c r="AL190" s="20"/>
      <c r="AM190" s="20"/>
    </row>
    <row r="191" spans="1:39" x14ac:dyDescent="0.2">
      <c r="A191" s="18" t="s">
        <v>66</v>
      </c>
      <c r="B191" s="19"/>
      <c r="C191" s="20"/>
      <c r="D191" s="20"/>
      <c r="E191" s="20"/>
      <c r="F191" s="20"/>
      <c r="G191" s="20"/>
      <c r="H191" s="20"/>
      <c r="I191" s="20"/>
      <c r="J191" s="20"/>
      <c r="K191" s="20"/>
      <c r="L191" s="20"/>
      <c r="M191" s="20"/>
      <c r="N191" s="20"/>
      <c r="O191" s="20"/>
      <c r="P191" s="20"/>
      <c r="Q191" s="20"/>
      <c r="R191" s="20"/>
      <c r="S191" s="20"/>
      <c r="T191" s="20"/>
      <c r="U191" s="20"/>
      <c r="V191" s="20"/>
      <c r="W191" s="20"/>
      <c r="X191" s="20"/>
      <c r="Y191" s="20"/>
      <c r="Z191" s="20"/>
      <c r="AA191" s="20"/>
      <c r="AB191" s="20"/>
      <c r="AC191" s="20"/>
      <c r="AD191" s="20"/>
      <c r="AE191" s="20"/>
      <c r="AF191" s="20"/>
      <c r="AG191" s="20"/>
      <c r="AH191" s="20"/>
      <c r="AI191" s="20"/>
      <c r="AJ191" s="20"/>
      <c r="AK191" s="20"/>
      <c r="AL191" s="20"/>
      <c r="AM191" s="20"/>
    </row>
    <row r="192" spans="1:39" x14ac:dyDescent="0.2">
      <c r="A192" s="22" t="str">
        <f>$A64</f>
        <v>Sliema</v>
      </c>
      <c r="B192" s="19"/>
      <c r="C192" s="20">
        <f ca="1">IFERROR(IF(VLOOKUP($A192,$184:$189,C$1+2,FALSE)=0,C64,0),C64)</f>
        <v>307481.46526147495</v>
      </c>
      <c r="D192" s="20">
        <f t="shared" ref="D192:AM196" ca="1" si="116">IFERROR(IF(VLOOKUP($A192,$184:$189,D$1+2,FALSE)=0,D64,0),D64)</f>
        <v>316705.90921931923</v>
      </c>
      <c r="E192" s="20">
        <f t="shared" ca="1" si="116"/>
        <v>326207.08649589884</v>
      </c>
      <c r="F192" s="20">
        <f t="shared" ca="1" si="116"/>
        <v>335993.29909077584</v>
      </c>
      <c r="G192" s="20">
        <f t="shared" ca="1" si="116"/>
        <v>346073.09806349914</v>
      </c>
      <c r="H192" s="20">
        <f t="shared" ca="1" si="116"/>
        <v>356455.29100540414</v>
      </c>
      <c r="I192" s="20">
        <f t="shared" ca="1" si="116"/>
        <v>367148.94973556628</v>
      </c>
      <c r="J192" s="20">
        <f t="shared" ca="1" si="116"/>
        <v>378163.41822763329</v>
      </c>
      <c r="K192" s="20">
        <f t="shared" ca="1" si="116"/>
        <v>389508.32077446231</v>
      </c>
      <c r="L192" s="20">
        <f t="shared" ca="1" si="116"/>
        <v>401193.57039769617</v>
      </c>
      <c r="M192" s="20">
        <f t="shared" ca="1" si="116"/>
        <v>413229.37750962708</v>
      </c>
      <c r="N192" s="20">
        <f t="shared" ca="1" si="116"/>
        <v>425626.25883491593</v>
      </c>
      <c r="O192" s="20">
        <f t="shared" ca="1" si="116"/>
        <v>438395.04659996345</v>
      </c>
      <c r="P192" s="20">
        <f t="shared" ca="1" si="116"/>
        <v>451546.89799796237</v>
      </c>
      <c r="Q192" s="20">
        <f t="shared" ca="1" si="116"/>
        <v>465093.30493790127</v>
      </c>
      <c r="R192" s="20">
        <f t="shared" ca="1" si="116"/>
        <v>479046.10408603831</v>
      </c>
      <c r="S192" s="20">
        <f t="shared" ca="1" si="116"/>
        <v>493417.48720861948</v>
      </c>
      <c r="T192" s="20">
        <f t="shared" ca="1" si="116"/>
        <v>508220.01182487811</v>
      </c>
      <c r="U192" s="20">
        <f t="shared" ca="1" si="116"/>
        <v>523466.61217962444</v>
      </c>
      <c r="V192" s="20">
        <f t="shared" ca="1" si="116"/>
        <v>539170.61054501322</v>
      </c>
      <c r="W192" s="20">
        <f t="shared" ca="1" si="116"/>
        <v>555345.7288613636</v>
      </c>
      <c r="X192" s="20">
        <f t="shared" ca="1" si="116"/>
        <v>572006.10072720458</v>
      </c>
      <c r="Y192" s="20">
        <f t="shared" ca="1" si="116"/>
        <v>589166.28374902077</v>
      </c>
      <c r="Z192" s="20">
        <f t="shared" ca="1" si="116"/>
        <v>606841.27226149139</v>
      </c>
      <c r="AA192" s="20">
        <f t="shared" ca="1" si="116"/>
        <v>625046.51042933611</v>
      </c>
      <c r="AB192" s="20">
        <f t="shared" ca="1" si="116"/>
        <v>643797.90574221616</v>
      </c>
      <c r="AC192" s="20">
        <f t="shared" ca="1" si="116"/>
        <v>663111.8429144827</v>
      </c>
      <c r="AD192" s="20">
        <f t="shared" ca="1" si="116"/>
        <v>683005.19820191723</v>
      </c>
      <c r="AE192" s="20">
        <f t="shared" ca="1" si="116"/>
        <v>703495.35414797475</v>
      </c>
      <c r="AF192" s="20">
        <f t="shared" ca="1" si="116"/>
        <v>724600.21477241407</v>
      </c>
      <c r="AG192" s="20">
        <f t="shared" ca="1" si="116"/>
        <v>746338.22121558653</v>
      </c>
      <c r="AH192" s="20">
        <f t="shared" ca="1" si="116"/>
        <v>0</v>
      </c>
      <c r="AI192" s="20">
        <f t="shared" ca="1" si="116"/>
        <v>0</v>
      </c>
      <c r="AJ192" s="20">
        <f t="shared" ca="1" si="116"/>
        <v>0</v>
      </c>
      <c r="AK192" s="20">
        <f t="shared" ca="1" si="116"/>
        <v>0</v>
      </c>
      <c r="AL192" s="20">
        <f t="shared" ca="1" si="116"/>
        <v>0</v>
      </c>
      <c r="AM192" s="20">
        <f t="shared" ca="1" si="116"/>
        <v>0</v>
      </c>
    </row>
    <row r="193" spans="1:39" x14ac:dyDescent="0.2">
      <c r="A193" s="22" t="str">
        <f>$A65</f>
        <v>Gzira</v>
      </c>
      <c r="B193" s="19"/>
      <c r="C193" s="20">
        <f t="shared" ref="C193:D196" ca="1" si="117">IFERROR(IF(VLOOKUP($A193,$184:$189,C$1+2,FALSE)=0,C65,0),C65)</f>
        <v>153740.73263073748</v>
      </c>
      <c r="D193" s="20">
        <f t="shared" ca="1" si="117"/>
        <v>158352.95460965962</v>
      </c>
      <c r="E193" s="20">
        <f t="shared" ca="1" si="116"/>
        <v>163103.54324794942</v>
      </c>
      <c r="F193" s="20">
        <f t="shared" ca="1" si="116"/>
        <v>167996.64954538792</v>
      </c>
      <c r="G193" s="20">
        <f t="shared" ca="1" si="116"/>
        <v>173036.54903174957</v>
      </c>
      <c r="H193" s="20">
        <f t="shared" ca="1" si="116"/>
        <v>178227.64550270207</v>
      </c>
      <c r="I193" s="20">
        <f t="shared" ca="1" si="116"/>
        <v>183574.47486778314</v>
      </c>
      <c r="J193" s="20">
        <f t="shared" ca="1" si="116"/>
        <v>189081.70911381664</v>
      </c>
      <c r="K193" s="20">
        <f t="shared" ca="1" si="116"/>
        <v>194754.16038723115</v>
      </c>
      <c r="L193" s="20">
        <f t="shared" ca="1" si="116"/>
        <v>200596.78519884808</v>
      </c>
      <c r="M193" s="20">
        <f t="shared" ca="1" si="116"/>
        <v>206614.68875481354</v>
      </c>
      <c r="N193" s="20">
        <f t="shared" ca="1" si="116"/>
        <v>212813.12941745797</v>
      </c>
      <c r="O193" s="20">
        <f t="shared" ca="1" si="116"/>
        <v>219197.52329998172</v>
      </c>
      <c r="P193" s="20">
        <f t="shared" ca="1" si="116"/>
        <v>225773.44899898118</v>
      </c>
      <c r="Q193" s="20">
        <f t="shared" ca="1" si="116"/>
        <v>0</v>
      </c>
      <c r="R193" s="20">
        <f t="shared" ca="1" si="116"/>
        <v>0</v>
      </c>
      <c r="S193" s="20">
        <f t="shared" ca="1" si="116"/>
        <v>0</v>
      </c>
      <c r="T193" s="20">
        <f t="shared" ca="1" si="116"/>
        <v>0</v>
      </c>
      <c r="U193" s="20">
        <f t="shared" ca="1" si="116"/>
        <v>0</v>
      </c>
      <c r="V193" s="20">
        <f t="shared" ca="1" si="116"/>
        <v>0</v>
      </c>
      <c r="W193" s="20">
        <f t="shared" ca="1" si="116"/>
        <v>0</v>
      </c>
      <c r="X193" s="20">
        <f t="shared" ca="1" si="116"/>
        <v>0</v>
      </c>
      <c r="Y193" s="20">
        <f t="shared" ca="1" si="116"/>
        <v>0</v>
      </c>
      <c r="Z193" s="20">
        <f t="shared" ca="1" si="116"/>
        <v>0</v>
      </c>
      <c r="AA193" s="20">
        <f t="shared" ca="1" si="116"/>
        <v>0</v>
      </c>
      <c r="AB193" s="20">
        <f t="shared" ca="1" si="116"/>
        <v>0</v>
      </c>
      <c r="AC193" s="20">
        <f t="shared" ca="1" si="116"/>
        <v>0</v>
      </c>
      <c r="AD193" s="20">
        <f t="shared" ca="1" si="116"/>
        <v>0</v>
      </c>
      <c r="AE193" s="20">
        <f t="shared" ca="1" si="116"/>
        <v>0</v>
      </c>
      <c r="AF193" s="20">
        <f t="shared" ca="1" si="116"/>
        <v>0</v>
      </c>
      <c r="AG193" s="20">
        <f t="shared" ca="1" si="116"/>
        <v>0</v>
      </c>
      <c r="AH193" s="20">
        <f t="shared" ca="1" si="116"/>
        <v>0</v>
      </c>
      <c r="AI193" s="20">
        <f t="shared" ca="1" si="116"/>
        <v>0</v>
      </c>
      <c r="AJ193" s="20">
        <f t="shared" ca="1" si="116"/>
        <v>0</v>
      </c>
      <c r="AK193" s="20">
        <f t="shared" ca="1" si="116"/>
        <v>0</v>
      </c>
      <c r="AL193" s="20">
        <f t="shared" ca="1" si="116"/>
        <v>0</v>
      </c>
      <c r="AM193" s="20">
        <f t="shared" ca="1" si="116"/>
        <v>0</v>
      </c>
    </row>
    <row r="194" spans="1:39" x14ac:dyDescent="0.2">
      <c r="A194" s="22" t="str">
        <f t="shared" ref="A194:A196" si="118">$A66</f>
        <v>Qormi</v>
      </c>
      <c r="B194" s="19"/>
      <c r="C194" s="20">
        <f t="shared" ca="1" si="117"/>
        <v>225486.40785841495</v>
      </c>
      <c r="D194" s="20">
        <f t="shared" ca="1" si="117"/>
        <v>232251.00009416742</v>
      </c>
      <c r="E194" s="20">
        <f t="shared" ca="1" si="116"/>
        <v>239218.53009699244</v>
      </c>
      <c r="F194" s="20">
        <f t="shared" ca="1" si="116"/>
        <v>246395.08599990222</v>
      </c>
      <c r="G194" s="20">
        <f t="shared" ca="1" si="116"/>
        <v>253786.93857989929</v>
      </c>
      <c r="H194" s="20">
        <f t="shared" ca="1" si="116"/>
        <v>261400.54673729627</v>
      </c>
      <c r="I194" s="20">
        <f t="shared" ca="1" si="116"/>
        <v>269242.56313941517</v>
      </c>
      <c r="J194" s="20">
        <f t="shared" ca="1" si="116"/>
        <v>277319.84003359766</v>
      </c>
      <c r="K194" s="20">
        <f t="shared" ca="1" si="116"/>
        <v>285639.43523460563</v>
      </c>
      <c r="L194" s="20">
        <f t="shared" ca="1" si="116"/>
        <v>294208.6182916438</v>
      </c>
      <c r="M194" s="20">
        <f t="shared" ca="1" si="116"/>
        <v>303034.87684039312</v>
      </c>
      <c r="N194" s="20">
        <f t="shared" ca="1" si="116"/>
        <v>312125.9231456049</v>
      </c>
      <c r="O194" s="20">
        <f t="shared" ca="1" si="116"/>
        <v>321489.70083997305</v>
      </c>
      <c r="P194" s="20">
        <f t="shared" ca="1" si="116"/>
        <v>331134.39186517225</v>
      </c>
      <c r="Q194" s="20">
        <f t="shared" ca="1" si="116"/>
        <v>341068.42362112744</v>
      </c>
      <c r="R194" s="20">
        <f t="shared" ca="1" si="116"/>
        <v>351300.47632976127</v>
      </c>
      <c r="S194" s="20">
        <f t="shared" ca="1" si="116"/>
        <v>361839.49061965413</v>
      </c>
      <c r="T194" s="20">
        <f t="shared" ca="1" si="116"/>
        <v>372694.67533824377</v>
      </c>
      <c r="U194" s="20">
        <f t="shared" ca="1" si="116"/>
        <v>383875.51559839112</v>
      </c>
      <c r="V194" s="20">
        <f t="shared" ca="1" si="116"/>
        <v>395391.7810663429</v>
      </c>
      <c r="W194" s="20">
        <f t="shared" ca="1" si="116"/>
        <v>407253.53449833317</v>
      </c>
      <c r="X194" s="20">
        <f t="shared" ca="1" si="116"/>
        <v>419471.14053328318</v>
      </c>
      <c r="Y194" s="20">
        <f t="shared" ca="1" si="116"/>
        <v>432055.2747492817</v>
      </c>
      <c r="Z194" s="20">
        <f t="shared" ca="1" si="116"/>
        <v>0</v>
      </c>
      <c r="AA194" s="20">
        <f t="shared" ca="1" si="116"/>
        <v>0</v>
      </c>
      <c r="AB194" s="20">
        <f t="shared" ca="1" si="116"/>
        <v>0</v>
      </c>
      <c r="AC194" s="20">
        <f t="shared" ca="1" si="116"/>
        <v>0</v>
      </c>
      <c r="AD194" s="20">
        <f t="shared" ca="1" si="116"/>
        <v>0</v>
      </c>
      <c r="AE194" s="20">
        <f t="shared" ca="1" si="116"/>
        <v>0</v>
      </c>
      <c r="AF194" s="20">
        <f t="shared" ca="1" si="116"/>
        <v>0</v>
      </c>
      <c r="AG194" s="20">
        <f t="shared" ca="1" si="116"/>
        <v>0</v>
      </c>
      <c r="AH194" s="20">
        <f t="shared" ca="1" si="116"/>
        <v>0</v>
      </c>
      <c r="AI194" s="20">
        <f t="shared" ca="1" si="116"/>
        <v>0</v>
      </c>
      <c r="AJ194" s="20">
        <f t="shared" ca="1" si="116"/>
        <v>0</v>
      </c>
      <c r="AK194" s="20">
        <f t="shared" ca="1" si="116"/>
        <v>0</v>
      </c>
      <c r="AL194" s="20">
        <f t="shared" ca="1" si="116"/>
        <v>0</v>
      </c>
      <c r="AM194" s="20">
        <f t="shared" ca="1" si="116"/>
        <v>0</v>
      </c>
    </row>
    <row r="195" spans="1:39" x14ac:dyDescent="0.2">
      <c r="A195" s="22" t="str">
        <f t="shared" si="118"/>
        <v>Gudja</v>
      </c>
      <c r="B195" s="19"/>
      <c r="C195" s="20">
        <f t="shared" ca="1" si="117"/>
        <v>81995.057403059982</v>
      </c>
      <c r="D195" s="20">
        <f t="shared" ca="1" si="117"/>
        <v>84454.909125151782</v>
      </c>
      <c r="E195" s="20">
        <f t="shared" ca="1" si="116"/>
        <v>86988.556398906338</v>
      </c>
      <c r="F195" s="20">
        <f t="shared" ca="1" si="116"/>
        <v>89598.213090873527</v>
      </c>
      <c r="G195" s="20">
        <f t="shared" ca="1" si="116"/>
        <v>92286.159483599738</v>
      </c>
      <c r="H195" s="20">
        <f t="shared" ca="1" si="116"/>
        <v>95054.744268107737</v>
      </c>
      <c r="I195" s="20">
        <f t="shared" ca="1" si="116"/>
        <v>0</v>
      </c>
      <c r="J195" s="20">
        <f t="shared" ca="1" si="116"/>
        <v>0</v>
      </c>
      <c r="K195" s="20">
        <f t="shared" ca="1" si="116"/>
        <v>0</v>
      </c>
      <c r="L195" s="20">
        <f t="shared" ca="1" si="116"/>
        <v>0</v>
      </c>
      <c r="M195" s="20">
        <f t="shared" ca="1" si="116"/>
        <v>0</v>
      </c>
      <c r="N195" s="20">
        <f t="shared" ca="1" si="116"/>
        <v>0</v>
      </c>
      <c r="O195" s="20">
        <f t="shared" ca="1" si="116"/>
        <v>0</v>
      </c>
      <c r="P195" s="20">
        <f t="shared" ca="1" si="116"/>
        <v>0</v>
      </c>
      <c r="Q195" s="20">
        <f t="shared" ca="1" si="116"/>
        <v>0</v>
      </c>
      <c r="R195" s="20">
        <f t="shared" ca="1" si="116"/>
        <v>0</v>
      </c>
      <c r="S195" s="20">
        <f t="shared" ca="1" si="116"/>
        <v>0</v>
      </c>
      <c r="T195" s="20">
        <f t="shared" ca="1" si="116"/>
        <v>0</v>
      </c>
      <c r="U195" s="20">
        <f t="shared" ca="1" si="116"/>
        <v>0</v>
      </c>
      <c r="V195" s="20">
        <f t="shared" ca="1" si="116"/>
        <v>0</v>
      </c>
      <c r="W195" s="20">
        <f t="shared" ca="1" si="116"/>
        <v>0</v>
      </c>
      <c r="X195" s="20">
        <f t="shared" ca="1" si="116"/>
        <v>0</v>
      </c>
      <c r="Y195" s="20">
        <f t="shared" ca="1" si="116"/>
        <v>0</v>
      </c>
      <c r="Z195" s="20">
        <f t="shared" ca="1" si="116"/>
        <v>0</v>
      </c>
      <c r="AA195" s="20">
        <f t="shared" ca="1" si="116"/>
        <v>0</v>
      </c>
      <c r="AB195" s="20">
        <f t="shared" ca="1" si="116"/>
        <v>0</v>
      </c>
      <c r="AC195" s="20">
        <f t="shared" ca="1" si="116"/>
        <v>0</v>
      </c>
      <c r="AD195" s="20">
        <f t="shared" ca="1" si="116"/>
        <v>0</v>
      </c>
      <c r="AE195" s="20">
        <f t="shared" ca="1" si="116"/>
        <v>0</v>
      </c>
      <c r="AF195" s="20">
        <f t="shared" ca="1" si="116"/>
        <v>0</v>
      </c>
      <c r="AG195" s="20">
        <f t="shared" ca="1" si="116"/>
        <v>0</v>
      </c>
      <c r="AH195" s="20">
        <f t="shared" ca="1" si="116"/>
        <v>0</v>
      </c>
      <c r="AI195" s="20">
        <f t="shared" ca="1" si="116"/>
        <v>0</v>
      </c>
      <c r="AJ195" s="20">
        <f t="shared" ca="1" si="116"/>
        <v>0</v>
      </c>
      <c r="AK195" s="20">
        <f t="shared" ca="1" si="116"/>
        <v>0</v>
      </c>
      <c r="AL195" s="20">
        <f t="shared" ca="1" si="116"/>
        <v>0</v>
      </c>
      <c r="AM195" s="20">
        <f t="shared" ca="1" si="116"/>
        <v>0</v>
      </c>
    </row>
    <row r="196" spans="1:39" x14ac:dyDescent="0.2">
      <c r="A196" s="22" t="str">
        <f t="shared" si="118"/>
        <v>Marsa</v>
      </c>
      <c r="B196" s="19"/>
      <c r="C196" s="20">
        <f t="shared" ca="1" si="117"/>
        <v>122992.58610458997</v>
      </c>
      <c r="D196" s="20">
        <f t="shared" ca="1" si="117"/>
        <v>126682.36368772767</v>
      </c>
      <c r="E196" s="20">
        <f t="shared" ca="1" si="116"/>
        <v>130482.83459835951</v>
      </c>
      <c r="F196" s="20">
        <f t="shared" ca="1" si="116"/>
        <v>134397.31963631031</v>
      </c>
      <c r="G196" s="20">
        <f t="shared" ca="1" si="116"/>
        <v>138429.23922539962</v>
      </c>
      <c r="H196" s="20">
        <f t="shared" ca="1" si="116"/>
        <v>142582.11640216163</v>
      </c>
      <c r="I196" s="20">
        <f t="shared" ca="1" si="116"/>
        <v>146859.57989422648</v>
      </c>
      <c r="J196" s="20">
        <f t="shared" ca="1" si="116"/>
        <v>151265.36729105329</v>
      </c>
      <c r="K196" s="20">
        <f t="shared" ca="1" si="116"/>
        <v>155803.32830978491</v>
      </c>
      <c r="L196" s="20">
        <f t="shared" ca="1" si="116"/>
        <v>0</v>
      </c>
      <c r="M196" s="20">
        <f t="shared" ca="1" si="116"/>
        <v>0</v>
      </c>
      <c r="N196" s="20">
        <f t="shared" ca="1" si="116"/>
        <v>0</v>
      </c>
      <c r="O196" s="20">
        <f t="shared" ca="1" si="116"/>
        <v>0</v>
      </c>
      <c r="P196" s="20">
        <f t="shared" ca="1" si="116"/>
        <v>0</v>
      </c>
      <c r="Q196" s="20">
        <f t="shared" ca="1" si="116"/>
        <v>0</v>
      </c>
      <c r="R196" s="20">
        <f t="shared" ca="1" si="116"/>
        <v>0</v>
      </c>
      <c r="S196" s="20">
        <f t="shared" ca="1" si="116"/>
        <v>0</v>
      </c>
      <c r="T196" s="20">
        <f t="shared" ca="1" si="116"/>
        <v>0</v>
      </c>
      <c r="U196" s="20">
        <f t="shared" ca="1" si="116"/>
        <v>0</v>
      </c>
      <c r="V196" s="20">
        <f t="shared" ca="1" si="116"/>
        <v>0</v>
      </c>
      <c r="W196" s="20">
        <f t="shared" ca="1" si="116"/>
        <v>0</v>
      </c>
      <c r="X196" s="20">
        <f t="shared" ca="1" si="116"/>
        <v>0</v>
      </c>
      <c r="Y196" s="20">
        <f t="shared" ca="1" si="116"/>
        <v>0</v>
      </c>
      <c r="Z196" s="20">
        <f t="shared" ca="1" si="116"/>
        <v>0</v>
      </c>
      <c r="AA196" s="20">
        <f t="shared" ca="1" si="116"/>
        <v>0</v>
      </c>
      <c r="AB196" s="20">
        <f t="shared" ca="1" si="116"/>
        <v>0</v>
      </c>
      <c r="AC196" s="20">
        <f t="shared" ca="1" si="116"/>
        <v>0</v>
      </c>
      <c r="AD196" s="20">
        <f t="shared" ca="1" si="116"/>
        <v>0</v>
      </c>
      <c r="AE196" s="20">
        <f t="shared" ca="1" si="116"/>
        <v>0</v>
      </c>
      <c r="AF196" s="20">
        <f t="shared" ca="1" si="116"/>
        <v>0</v>
      </c>
      <c r="AG196" s="20">
        <f t="shared" ca="1" si="116"/>
        <v>0</v>
      </c>
      <c r="AH196" s="20">
        <f t="shared" ca="1" si="116"/>
        <v>0</v>
      </c>
      <c r="AI196" s="20">
        <f t="shared" ca="1" si="116"/>
        <v>0</v>
      </c>
      <c r="AJ196" s="20">
        <f t="shared" ca="1" si="116"/>
        <v>0</v>
      </c>
      <c r="AK196" s="20">
        <f t="shared" ca="1" si="116"/>
        <v>0</v>
      </c>
      <c r="AL196" s="20">
        <f t="shared" ca="1" si="116"/>
        <v>0</v>
      </c>
      <c r="AM196" s="20">
        <f t="shared" ca="1" si="116"/>
        <v>0</v>
      </c>
    </row>
    <row r="197" spans="1:39" x14ac:dyDescent="0.2"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  <c r="AA197" s="7"/>
      <c r="AB197" s="7"/>
      <c r="AC197" s="7"/>
      <c r="AD197" s="7"/>
      <c r="AE197" s="7"/>
      <c r="AF197" s="7"/>
      <c r="AG197" s="7"/>
      <c r="AH197" s="7"/>
      <c r="AI197" s="7"/>
      <c r="AJ197" s="7"/>
      <c r="AK197" s="7"/>
      <c r="AL197" s="7"/>
      <c r="AM197" s="7"/>
    </row>
    <row r="198" spans="1:39" x14ac:dyDescent="0.2">
      <c r="A198" s="18" t="s">
        <v>63</v>
      </c>
      <c r="B198" s="19"/>
      <c r="C198" s="20"/>
      <c r="D198" s="20"/>
      <c r="E198" s="20"/>
      <c r="F198" s="20"/>
      <c r="G198" s="20"/>
      <c r="H198" s="20"/>
      <c r="I198" s="20"/>
      <c r="J198" s="20"/>
      <c r="K198" s="20"/>
      <c r="L198" s="20"/>
      <c r="M198" s="20"/>
      <c r="N198" s="20"/>
      <c r="O198" s="20"/>
      <c r="P198" s="20"/>
      <c r="Q198" s="20"/>
      <c r="R198" s="20"/>
      <c r="S198" s="20"/>
      <c r="T198" s="20"/>
      <c r="U198" s="20"/>
      <c r="V198" s="20"/>
      <c r="W198" s="20"/>
      <c r="X198" s="20"/>
      <c r="Y198" s="20"/>
      <c r="Z198" s="20"/>
      <c r="AA198" s="20"/>
      <c r="AB198" s="20"/>
      <c r="AC198" s="20"/>
      <c r="AD198" s="20"/>
      <c r="AE198" s="20"/>
      <c r="AF198" s="20"/>
      <c r="AG198" s="20"/>
      <c r="AH198" s="20"/>
      <c r="AI198" s="20"/>
      <c r="AJ198" s="20"/>
      <c r="AK198" s="20"/>
      <c r="AL198" s="20"/>
      <c r="AM198" s="20"/>
    </row>
    <row r="199" spans="1:39" x14ac:dyDescent="0.2">
      <c r="A199" s="22" t="str">
        <f>B$104</f>
        <v>Gudja</v>
      </c>
      <c r="B199" s="19"/>
      <c r="C199" s="20">
        <f ca="1">SUM($C104:C104)</f>
        <v>0</v>
      </c>
      <c r="D199" s="20">
        <f ca="1">SUM($C104:D104)</f>
        <v>0</v>
      </c>
      <c r="E199" s="20">
        <f ca="1">SUM($C104:E104)</f>
        <v>0</v>
      </c>
      <c r="F199" s="20">
        <f ca="1">SUM($C104:F104)</f>
        <v>0</v>
      </c>
      <c r="G199" s="20">
        <f ca="1">SUM($C104:G104)</f>
        <v>0</v>
      </c>
      <c r="H199" s="20">
        <f ca="1">SUM($C104:H104)</f>
        <v>0</v>
      </c>
      <c r="I199" s="20">
        <f ca="1">SUM($C104:I104)</f>
        <v>0</v>
      </c>
      <c r="J199" s="20">
        <f ca="1">SUM($C104:J104)</f>
        <v>0</v>
      </c>
      <c r="K199" s="20">
        <f ca="1">SUM($C104:K104)</f>
        <v>0</v>
      </c>
      <c r="L199" s="20">
        <f ca="1">SUM($C104:L104)</f>
        <v>0</v>
      </c>
      <c r="M199" s="20">
        <f ca="1">SUM($C104:M104)</f>
        <v>0</v>
      </c>
      <c r="N199" s="20">
        <f ca="1">SUM($C104:N104)</f>
        <v>0</v>
      </c>
      <c r="O199" s="20">
        <f ca="1">SUM($C104:O104)</f>
        <v>0</v>
      </c>
      <c r="P199" s="20">
        <f ca="1">SUM($C104:P104)</f>
        <v>0</v>
      </c>
      <c r="Q199" s="20">
        <f ca="1">SUM($C104:Q104)</f>
        <v>0</v>
      </c>
      <c r="R199" s="20">
        <f ca="1">SUM($C104:R104)</f>
        <v>0</v>
      </c>
      <c r="S199" s="20">
        <f ca="1">SUM($C104:S104)</f>
        <v>0</v>
      </c>
      <c r="T199" s="20">
        <f ca="1">SUM($C104:T104)</f>
        <v>0</v>
      </c>
      <c r="U199" s="20">
        <f ca="1">SUM($C104:U104)</f>
        <v>0</v>
      </c>
      <c r="V199" s="20">
        <f ca="1">SUM($C104:V104)</f>
        <v>0</v>
      </c>
      <c r="W199" s="20">
        <f ca="1">SUM($C104:W104)</f>
        <v>0</v>
      </c>
      <c r="X199" s="20">
        <f ca="1">SUM($C104:X104)</f>
        <v>0</v>
      </c>
      <c r="Y199" s="20">
        <f ca="1">SUM($C104:Y104)</f>
        <v>0</v>
      </c>
      <c r="Z199" s="20">
        <f ca="1">SUM($C104:Z104)</f>
        <v>0</v>
      </c>
      <c r="AA199" s="20">
        <f ca="1">SUM($C104:AA104)</f>
        <v>0</v>
      </c>
      <c r="AB199" s="20">
        <f ca="1">SUM($C104:AB104)</f>
        <v>0</v>
      </c>
      <c r="AC199" s="20">
        <f ca="1">SUM($C104:AC104)</f>
        <v>0</v>
      </c>
      <c r="AD199" s="20">
        <f ca="1">SUM($C104:AD104)</f>
        <v>0</v>
      </c>
      <c r="AE199" s="20">
        <f ca="1">SUM($C104:AE104)</f>
        <v>0</v>
      </c>
      <c r="AF199" s="20">
        <f ca="1">SUM($C104:AF104)</f>
        <v>0</v>
      </c>
      <c r="AG199" s="20">
        <f ca="1">SUM($C104:AG104)</f>
        <v>0</v>
      </c>
      <c r="AH199" s="20">
        <f ca="1">SUM($C104:AH104)</f>
        <v>0</v>
      </c>
      <c r="AI199" s="20">
        <f ca="1">SUM($C104:AI104)</f>
        <v>0</v>
      </c>
      <c r="AJ199" s="20">
        <f ca="1">SUM($C104:AJ104)</f>
        <v>0</v>
      </c>
      <c r="AK199" s="20">
        <f ca="1">SUM($C104:AK104)</f>
        <v>0</v>
      </c>
      <c r="AL199" s="20">
        <f ca="1">SUM($C104:AL104)</f>
        <v>0</v>
      </c>
      <c r="AM199" s="20">
        <f ca="1">SUM($C104:AM104)</f>
        <v>0</v>
      </c>
    </row>
    <row r="200" spans="1:39" x14ac:dyDescent="0.2">
      <c r="A200" s="22" t="str">
        <f>B$121</f>
        <v>Marsa</v>
      </c>
      <c r="B200" s="19"/>
      <c r="C200" s="20">
        <f ca="1">SUM($C121:C121)</f>
        <v>0</v>
      </c>
      <c r="D200" s="20">
        <f ca="1">SUM($C121:D121)</f>
        <v>0</v>
      </c>
      <c r="E200" s="20">
        <f ca="1">SUM($C121:E121)</f>
        <v>0</v>
      </c>
      <c r="F200" s="20">
        <f ca="1">SUM($C121:F121)</f>
        <v>0</v>
      </c>
      <c r="G200" s="20">
        <f ca="1">SUM($C121:G121)</f>
        <v>0</v>
      </c>
      <c r="H200" s="20">
        <f ca="1">SUM($C121:H121)</f>
        <v>0</v>
      </c>
      <c r="I200" s="20">
        <f ca="1">SUM($C121:I121)</f>
        <v>0</v>
      </c>
      <c r="J200" s="20">
        <f ca="1">SUM($C121:J121)</f>
        <v>0</v>
      </c>
      <c r="K200" s="20">
        <f ca="1">SUM($C121:K121)</f>
        <v>0</v>
      </c>
      <c r="L200" s="20">
        <f ca="1">SUM($C121:L121)</f>
        <v>0</v>
      </c>
      <c r="M200" s="20">
        <f ca="1">SUM($C121:M121)</f>
        <v>0</v>
      </c>
      <c r="N200" s="20">
        <f ca="1">SUM($C121:N121)</f>
        <v>0</v>
      </c>
      <c r="O200" s="20">
        <f ca="1">SUM($C121:O121)</f>
        <v>0</v>
      </c>
      <c r="P200" s="20">
        <f ca="1">SUM($C121:P121)</f>
        <v>0</v>
      </c>
      <c r="Q200" s="20">
        <f ca="1">SUM($C121:Q121)</f>
        <v>0</v>
      </c>
      <c r="R200" s="20">
        <f ca="1">SUM($C121:R121)</f>
        <v>0</v>
      </c>
      <c r="S200" s="20">
        <f ca="1">SUM($C121:S121)</f>
        <v>0</v>
      </c>
      <c r="T200" s="20">
        <f ca="1">SUM($C121:T121)</f>
        <v>0</v>
      </c>
      <c r="U200" s="20">
        <f ca="1">SUM($C121:U121)</f>
        <v>0</v>
      </c>
      <c r="V200" s="20">
        <f ca="1">SUM($C121:V121)</f>
        <v>0</v>
      </c>
      <c r="W200" s="20">
        <f ca="1">SUM($C121:W121)</f>
        <v>0</v>
      </c>
      <c r="X200" s="20">
        <f ca="1">SUM($C121:X121)</f>
        <v>0</v>
      </c>
      <c r="Y200" s="20">
        <f ca="1">SUM($C121:Y121)</f>
        <v>0</v>
      </c>
      <c r="Z200" s="20">
        <f ca="1">SUM($C121:Z121)</f>
        <v>0</v>
      </c>
      <c r="AA200" s="20">
        <f ca="1">SUM($C121:AA121)</f>
        <v>0</v>
      </c>
      <c r="AB200" s="20">
        <f ca="1">SUM($C121:AB121)</f>
        <v>0</v>
      </c>
      <c r="AC200" s="20">
        <f ca="1">SUM($C121:AC121)</f>
        <v>0</v>
      </c>
      <c r="AD200" s="20">
        <f ca="1">SUM($C121:AD121)</f>
        <v>0</v>
      </c>
      <c r="AE200" s="20">
        <f ca="1">SUM($C121:AE121)</f>
        <v>0</v>
      </c>
      <c r="AF200" s="20">
        <f ca="1">SUM($C121:AF121)</f>
        <v>0</v>
      </c>
      <c r="AG200" s="20">
        <f ca="1">SUM($C121:AG121)</f>
        <v>0</v>
      </c>
      <c r="AH200" s="20">
        <f ca="1">SUM($C121:AH121)</f>
        <v>0</v>
      </c>
      <c r="AI200" s="20">
        <f ca="1">SUM($C121:AI121)</f>
        <v>0</v>
      </c>
      <c r="AJ200" s="20">
        <f ca="1">SUM($C121:AJ121)</f>
        <v>0</v>
      </c>
      <c r="AK200" s="20">
        <f ca="1">SUM($C121:AK121)</f>
        <v>0</v>
      </c>
      <c r="AL200" s="20">
        <f ca="1">SUM($C121:AL121)</f>
        <v>0</v>
      </c>
      <c r="AM200" s="20">
        <f ca="1">SUM($C121:AM121)</f>
        <v>0</v>
      </c>
    </row>
    <row r="201" spans="1:39" x14ac:dyDescent="0.2">
      <c r="A201" s="22" t="str">
        <f>B$138</f>
        <v>Gzira</v>
      </c>
      <c r="B201" s="19"/>
      <c r="C201" s="20">
        <f ca="1">SUM($C138:C138)</f>
        <v>0</v>
      </c>
      <c r="D201" s="20">
        <f ca="1">SUM($C138:D138)</f>
        <v>0</v>
      </c>
      <c r="E201" s="20">
        <f ca="1">SUM($C138:E138)</f>
        <v>0</v>
      </c>
      <c r="F201" s="20">
        <f ca="1">SUM($C138:F138)</f>
        <v>0</v>
      </c>
      <c r="G201" s="20">
        <f ca="1">SUM($C138:G138)</f>
        <v>0</v>
      </c>
      <c r="H201" s="20">
        <f ca="1">SUM($C138:H138)</f>
        <v>0</v>
      </c>
      <c r="I201" s="20">
        <f ca="1">SUM($C138:I138)</f>
        <v>0</v>
      </c>
      <c r="J201" s="20">
        <f ca="1">SUM($C138:J138)</f>
        <v>0</v>
      </c>
      <c r="K201" s="20">
        <f ca="1">SUM($C138:K138)</f>
        <v>0</v>
      </c>
      <c r="L201" s="20">
        <f ca="1">SUM($C138:L138)</f>
        <v>0</v>
      </c>
      <c r="M201" s="20">
        <f ca="1">SUM($C138:M138)</f>
        <v>0</v>
      </c>
      <c r="N201" s="20">
        <f ca="1">SUM($C138:N138)</f>
        <v>0</v>
      </c>
      <c r="O201" s="20">
        <f ca="1">SUM($C138:O138)</f>
        <v>0</v>
      </c>
      <c r="P201" s="20">
        <f ca="1">SUM($C138:P138)</f>
        <v>0</v>
      </c>
      <c r="Q201" s="20">
        <f ca="1">SUM($C138:Q138)</f>
        <v>0</v>
      </c>
      <c r="R201" s="20">
        <f ca="1">SUM($C138:R138)</f>
        <v>0</v>
      </c>
      <c r="S201" s="20">
        <f ca="1">SUM($C138:S138)</f>
        <v>0</v>
      </c>
      <c r="T201" s="20">
        <f ca="1">SUM($C138:T138)</f>
        <v>0</v>
      </c>
      <c r="U201" s="20">
        <f ca="1">SUM($C138:U138)</f>
        <v>0</v>
      </c>
      <c r="V201" s="20">
        <f ca="1">SUM($C138:V138)</f>
        <v>0</v>
      </c>
      <c r="W201" s="20">
        <f ca="1">SUM($C138:W138)</f>
        <v>0</v>
      </c>
      <c r="X201" s="20">
        <f ca="1">SUM($C138:X138)</f>
        <v>0</v>
      </c>
      <c r="Y201" s="20">
        <f ca="1">SUM($C138:Y138)</f>
        <v>0</v>
      </c>
      <c r="Z201" s="20">
        <f ca="1">SUM($C138:Z138)</f>
        <v>0</v>
      </c>
      <c r="AA201" s="20">
        <f ca="1">SUM($C138:AA138)</f>
        <v>0</v>
      </c>
      <c r="AB201" s="20">
        <f ca="1">SUM($C138:AB138)</f>
        <v>0</v>
      </c>
      <c r="AC201" s="20">
        <f ca="1">SUM($C138:AC138)</f>
        <v>0</v>
      </c>
      <c r="AD201" s="20">
        <f ca="1">SUM($C138:AD138)</f>
        <v>0</v>
      </c>
      <c r="AE201" s="20">
        <f ca="1">SUM($C138:AE138)</f>
        <v>0</v>
      </c>
      <c r="AF201" s="20">
        <f ca="1">SUM($C138:AF138)</f>
        <v>0</v>
      </c>
      <c r="AG201" s="20">
        <f ca="1">SUM($C138:AG138)</f>
        <v>0</v>
      </c>
      <c r="AH201" s="20">
        <f ca="1">SUM($C138:AH138)</f>
        <v>0</v>
      </c>
      <c r="AI201" s="20">
        <f ca="1">SUM($C138:AI138)</f>
        <v>0</v>
      </c>
      <c r="AJ201" s="20">
        <f ca="1">SUM($C138:AJ138)</f>
        <v>0</v>
      </c>
      <c r="AK201" s="20">
        <f ca="1">SUM($C138:AK138)</f>
        <v>0</v>
      </c>
      <c r="AL201" s="20">
        <f ca="1">SUM($C138:AL138)</f>
        <v>0</v>
      </c>
      <c r="AM201" s="20">
        <f ca="1">SUM($C138:AM138)</f>
        <v>0</v>
      </c>
    </row>
    <row r="202" spans="1:39" x14ac:dyDescent="0.2">
      <c r="A202" s="22" t="str">
        <f>B$155</f>
        <v>Qormi</v>
      </c>
      <c r="B202" s="19"/>
      <c r="C202" s="20">
        <f ca="1">SUM($C155:C155)</f>
        <v>0</v>
      </c>
      <c r="D202" s="20">
        <f ca="1">SUM($C155:D155)</f>
        <v>0</v>
      </c>
      <c r="E202" s="20">
        <f ca="1">SUM($C155:E155)</f>
        <v>0</v>
      </c>
      <c r="F202" s="20">
        <f ca="1">SUM($C155:F155)</f>
        <v>0</v>
      </c>
      <c r="G202" s="20">
        <f ca="1">SUM($C155:G155)</f>
        <v>0</v>
      </c>
      <c r="H202" s="20">
        <f ca="1">SUM($C155:H155)</f>
        <v>0</v>
      </c>
      <c r="I202" s="20">
        <f ca="1">SUM($C155:I155)</f>
        <v>0</v>
      </c>
      <c r="J202" s="20">
        <f ca="1">SUM($C155:J155)</f>
        <v>0</v>
      </c>
      <c r="K202" s="20">
        <f ca="1">SUM($C155:K155)</f>
        <v>0</v>
      </c>
      <c r="L202" s="20">
        <f ca="1">SUM($C155:L155)</f>
        <v>0</v>
      </c>
      <c r="M202" s="20">
        <f ca="1">SUM($C155:M155)</f>
        <v>0</v>
      </c>
      <c r="N202" s="20">
        <f ca="1">SUM($C155:N155)</f>
        <v>0</v>
      </c>
      <c r="O202" s="20">
        <f ca="1">SUM($C155:O155)</f>
        <v>0</v>
      </c>
      <c r="P202" s="20">
        <f ca="1">SUM($C155:P155)</f>
        <v>0</v>
      </c>
      <c r="Q202" s="20">
        <f ca="1">SUM($C155:Q155)</f>
        <v>0</v>
      </c>
      <c r="R202" s="20">
        <f ca="1">SUM($C155:R155)</f>
        <v>0</v>
      </c>
      <c r="S202" s="20">
        <f ca="1">SUM($C155:S155)</f>
        <v>0</v>
      </c>
      <c r="T202" s="20">
        <f ca="1">SUM($C155:T155)</f>
        <v>0</v>
      </c>
      <c r="U202" s="20">
        <f ca="1">SUM($C155:U155)</f>
        <v>0</v>
      </c>
      <c r="V202" s="20">
        <f ca="1">SUM($C155:V155)</f>
        <v>0</v>
      </c>
      <c r="W202" s="20">
        <f ca="1">SUM($C155:W155)</f>
        <v>0</v>
      </c>
      <c r="X202" s="20">
        <f ca="1">SUM($C155:X155)</f>
        <v>0</v>
      </c>
      <c r="Y202" s="20">
        <f ca="1">SUM($C155:Y155)</f>
        <v>0</v>
      </c>
      <c r="Z202" s="20">
        <f ca="1">SUM($C155:Z155)</f>
        <v>0</v>
      </c>
      <c r="AA202" s="20">
        <f ca="1">SUM($C155:AA155)</f>
        <v>0</v>
      </c>
      <c r="AB202" s="20">
        <f ca="1">SUM($C155:AB155)</f>
        <v>0</v>
      </c>
      <c r="AC202" s="20">
        <f ca="1">SUM($C155:AC155)</f>
        <v>0</v>
      </c>
      <c r="AD202" s="20">
        <f ca="1">SUM($C155:AD155)</f>
        <v>0</v>
      </c>
      <c r="AE202" s="20">
        <f ca="1">SUM($C155:AE155)</f>
        <v>0</v>
      </c>
      <c r="AF202" s="20">
        <f ca="1">SUM($C155:AF155)</f>
        <v>0</v>
      </c>
      <c r="AG202" s="20">
        <f ca="1">SUM($C155:AG155)</f>
        <v>0</v>
      </c>
      <c r="AH202" s="20">
        <f ca="1">SUM($C155:AH155)</f>
        <v>0</v>
      </c>
      <c r="AI202" s="20">
        <f ca="1">SUM($C155:AI155)</f>
        <v>0</v>
      </c>
      <c r="AJ202" s="20">
        <f ca="1">SUM($C155:AJ155)</f>
        <v>0</v>
      </c>
      <c r="AK202" s="20">
        <f ca="1">SUM($C155:AK155)</f>
        <v>0</v>
      </c>
      <c r="AL202" s="20">
        <f ca="1">SUM($C155:AL155)</f>
        <v>0</v>
      </c>
      <c r="AM202" s="20">
        <f ca="1">SUM($C155:AM155)</f>
        <v>0</v>
      </c>
    </row>
    <row r="203" spans="1:39" x14ac:dyDescent="0.2">
      <c r="A203" s="22" t="str">
        <f>B$172</f>
        <v>Sliema</v>
      </c>
      <c r="B203" s="19"/>
      <c r="C203" s="20">
        <f ca="1">SUM($C172:C172)</f>
        <v>0</v>
      </c>
      <c r="D203" s="20">
        <f ca="1">SUM($C172:D172)</f>
        <v>0</v>
      </c>
      <c r="E203" s="20">
        <f ca="1">SUM($C172:E172)</f>
        <v>0</v>
      </c>
      <c r="F203" s="20">
        <f ca="1">SUM($C172:F172)</f>
        <v>0</v>
      </c>
      <c r="G203" s="20">
        <f ca="1">SUM($C172:G172)</f>
        <v>0</v>
      </c>
      <c r="H203" s="20">
        <f ca="1">SUM($C172:H172)</f>
        <v>0</v>
      </c>
      <c r="I203" s="20">
        <f ca="1">SUM($C172:I172)</f>
        <v>0</v>
      </c>
      <c r="J203" s="20">
        <f ca="1">SUM($C172:J172)</f>
        <v>0</v>
      </c>
      <c r="K203" s="20">
        <f ca="1">SUM($C172:K172)</f>
        <v>0</v>
      </c>
      <c r="L203" s="20">
        <f ca="1">SUM($C172:L172)</f>
        <v>0</v>
      </c>
      <c r="M203" s="20">
        <f ca="1">SUM($C172:M172)</f>
        <v>0</v>
      </c>
      <c r="N203" s="20">
        <f ca="1">SUM($C172:N172)</f>
        <v>0</v>
      </c>
      <c r="O203" s="20">
        <f ca="1">SUM($C172:O172)</f>
        <v>0</v>
      </c>
      <c r="P203" s="20">
        <f ca="1">SUM($C172:P172)</f>
        <v>0</v>
      </c>
      <c r="Q203" s="20">
        <f ca="1">SUM($C172:Q172)</f>
        <v>0</v>
      </c>
      <c r="R203" s="20">
        <f ca="1">SUM($C172:R172)</f>
        <v>0</v>
      </c>
      <c r="S203" s="20">
        <f ca="1">SUM($C172:S172)</f>
        <v>0</v>
      </c>
      <c r="T203" s="20">
        <f ca="1">SUM($C172:T172)</f>
        <v>0</v>
      </c>
      <c r="U203" s="20">
        <f ca="1">SUM($C172:U172)</f>
        <v>0</v>
      </c>
      <c r="V203" s="20">
        <f ca="1">SUM($C172:V172)</f>
        <v>0</v>
      </c>
      <c r="W203" s="20">
        <f ca="1">SUM($C172:W172)</f>
        <v>0</v>
      </c>
      <c r="X203" s="20">
        <f ca="1">SUM($C172:X172)</f>
        <v>0</v>
      </c>
      <c r="Y203" s="20">
        <f ca="1">SUM($C172:Y172)</f>
        <v>0</v>
      </c>
      <c r="Z203" s="20">
        <f ca="1">SUM($C172:Z172)</f>
        <v>0</v>
      </c>
      <c r="AA203" s="20">
        <f ca="1">SUM($C172:AA172)</f>
        <v>0</v>
      </c>
      <c r="AB203" s="20">
        <f ca="1">SUM($C172:AB172)</f>
        <v>0</v>
      </c>
      <c r="AC203" s="20">
        <f ca="1">SUM($C172:AC172)</f>
        <v>0</v>
      </c>
      <c r="AD203" s="20">
        <f ca="1">SUM($C172:AD172)</f>
        <v>0</v>
      </c>
      <c r="AE203" s="20">
        <f ca="1">SUM($C172:AE172)</f>
        <v>0</v>
      </c>
      <c r="AF203" s="20">
        <f ca="1">SUM($C172:AF172)</f>
        <v>0</v>
      </c>
      <c r="AG203" s="20">
        <f ca="1">SUM($C172:AG172)</f>
        <v>0</v>
      </c>
      <c r="AH203" s="20">
        <f ca="1">SUM($C172:AH172)</f>
        <v>0</v>
      </c>
      <c r="AI203" s="20">
        <f ca="1">SUM($C172:AI172)</f>
        <v>0</v>
      </c>
      <c r="AJ203" s="20">
        <f ca="1">SUM($C172:AJ172)</f>
        <v>0</v>
      </c>
      <c r="AK203" s="20">
        <f ca="1">SUM($C172:AK172)</f>
        <v>0</v>
      </c>
      <c r="AL203" s="20">
        <f ca="1">SUM($C172:AL172)</f>
        <v>0</v>
      </c>
      <c r="AM203" s="20">
        <f ca="1">SUM($C172:AM172)</f>
        <v>0</v>
      </c>
    </row>
    <row r="204" spans="1:39" x14ac:dyDescent="0.2">
      <c r="A204" s="21"/>
      <c r="B204" s="19"/>
      <c r="C204" s="20"/>
      <c r="D204" s="20"/>
      <c r="E204" s="20"/>
      <c r="F204" s="20"/>
      <c r="G204" s="20"/>
      <c r="H204" s="20"/>
      <c r="I204" s="20"/>
      <c r="J204" s="20"/>
      <c r="K204" s="20"/>
      <c r="L204" s="20"/>
      <c r="M204" s="20"/>
      <c r="N204" s="20"/>
      <c r="O204" s="20"/>
      <c r="P204" s="20"/>
      <c r="Q204" s="20"/>
      <c r="R204" s="20"/>
      <c r="S204" s="20"/>
      <c r="T204" s="20"/>
      <c r="U204" s="20"/>
      <c r="V204" s="20"/>
      <c r="W204" s="20"/>
      <c r="X204" s="20"/>
      <c r="Y204" s="20"/>
      <c r="Z204" s="20"/>
      <c r="AA204" s="20"/>
      <c r="AB204" s="20"/>
      <c r="AC204" s="20"/>
      <c r="AD204" s="20"/>
      <c r="AE204" s="20"/>
      <c r="AF204" s="20"/>
      <c r="AG204" s="20"/>
      <c r="AH204" s="20"/>
      <c r="AI204" s="20"/>
      <c r="AJ204" s="20"/>
      <c r="AK204" s="20"/>
      <c r="AL204" s="20"/>
      <c r="AM204" s="20"/>
    </row>
    <row r="205" spans="1:39" x14ac:dyDescent="0.2">
      <c r="A205" s="3" t="s">
        <v>51</v>
      </c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  <c r="AB205" s="7"/>
      <c r="AC205" s="7"/>
      <c r="AD205" s="7"/>
      <c r="AE205" s="7"/>
      <c r="AF205" s="7"/>
      <c r="AG205" s="7"/>
      <c r="AH205" s="7"/>
      <c r="AI205" s="7"/>
      <c r="AJ205" s="7"/>
      <c r="AK205" s="7"/>
      <c r="AL205" s="7"/>
      <c r="AM205" s="7"/>
    </row>
    <row r="206" spans="1:39" x14ac:dyDescent="0.2">
      <c r="A206" s="16" t="str">
        <f>$A64</f>
        <v>Sliema</v>
      </c>
      <c r="C206" s="7">
        <f ca="1">IFERROR(IF(VLOOKUP($A206,$198:$203,C$1+2,FALSE)=0,C72,0),C72)</f>
        <v>-46207.530015832221</v>
      </c>
      <c r="D206" s="7">
        <f t="shared" ref="D206:AM206" ca="1" si="119">IFERROR(IF(VLOOKUP($A206,$198:$203,D$1+2,FALSE)=0,D72,0),D72)</f>
        <v>-41529.784875172016</v>
      </c>
      <c r="E206" s="7">
        <f t="shared" ca="1" si="119"/>
        <v>-36709.76163986107</v>
      </c>
      <c r="F206" s="7">
        <f t="shared" ca="1" si="119"/>
        <v>-31743.132785502858</v>
      </c>
      <c r="G206" s="7">
        <f t="shared" ca="1" si="119"/>
        <v>-26625.439161905048</v>
      </c>
      <c r="H206" s="7">
        <f t="shared" ca="1" si="119"/>
        <v>-21352.085989555409</v>
      </c>
      <c r="I206" s="7">
        <f t="shared" ca="1" si="119"/>
        <v>-15918.338734325836</v>
      </c>
      <c r="J206" s="7">
        <f t="shared" ca="1" si="119"/>
        <v>-10319.318856702368</v>
      </c>
      <c r="K206" s="7">
        <f t="shared" ca="1" si="119"/>
        <v>-4549.9994317232195</v>
      </c>
      <c r="L206" s="7">
        <f t="shared" ca="1" si="119"/>
        <v>0</v>
      </c>
      <c r="M206" s="7">
        <f t="shared" ca="1" si="119"/>
        <v>0</v>
      </c>
      <c r="N206" s="7">
        <f t="shared" ca="1" si="119"/>
        <v>0</v>
      </c>
      <c r="O206" s="7">
        <f t="shared" ca="1" si="119"/>
        <v>0</v>
      </c>
      <c r="P206" s="7">
        <f t="shared" ca="1" si="119"/>
        <v>0</v>
      </c>
      <c r="Q206" s="7">
        <f t="shared" ca="1" si="119"/>
        <v>0</v>
      </c>
      <c r="R206" s="7">
        <f t="shared" ca="1" si="119"/>
        <v>0</v>
      </c>
      <c r="S206" s="7">
        <f t="shared" ca="1" si="119"/>
        <v>0</v>
      </c>
      <c r="T206" s="7">
        <f t="shared" ca="1" si="119"/>
        <v>0</v>
      </c>
      <c r="U206" s="7">
        <f t="shared" ca="1" si="119"/>
        <v>0</v>
      </c>
      <c r="V206" s="7">
        <f t="shared" ca="1" si="119"/>
        <v>0</v>
      </c>
      <c r="W206" s="7">
        <f t="shared" ca="1" si="119"/>
        <v>0</v>
      </c>
      <c r="X206" s="7">
        <f t="shared" ca="1" si="119"/>
        <v>0</v>
      </c>
      <c r="Y206" s="7">
        <f t="shared" ca="1" si="119"/>
        <v>0</v>
      </c>
      <c r="Z206" s="7">
        <f t="shared" ca="1" si="119"/>
        <v>0</v>
      </c>
      <c r="AA206" s="7">
        <f t="shared" ca="1" si="119"/>
        <v>0</v>
      </c>
      <c r="AB206" s="7">
        <f t="shared" ca="1" si="119"/>
        <v>0</v>
      </c>
      <c r="AC206" s="7">
        <f t="shared" ca="1" si="119"/>
        <v>0</v>
      </c>
      <c r="AD206" s="7">
        <f t="shared" ca="1" si="119"/>
        <v>0</v>
      </c>
      <c r="AE206" s="7">
        <f t="shared" ca="1" si="119"/>
        <v>0</v>
      </c>
      <c r="AF206" s="7">
        <f t="shared" ca="1" si="119"/>
        <v>0</v>
      </c>
      <c r="AG206" s="7">
        <f t="shared" ca="1" si="119"/>
        <v>0</v>
      </c>
      <c r="AH206" s="7">
        <f t="shared" ca="1" si="119"/>
        <v>0</v>
      </c>
      <c r="AI206" s="7">
        <f t="shared" ca="1" si="119"/>
        <v>0</v>
      </c>
      <c r="AJ206" s="7">
        <f t="shared" ca="1" si="119"/>
        <v>0</v>
      </c>
      <c r="AK206" s="7">
        <f t="shared" ca="1" si="119"/>
        <v>0</v>
      </c>
      <c r="AL206" s="7">
        <f t="shared" ca="1" si="119"/>
        <v>0</v>
      </c>
      <c r="AM206" s="7">
        <f t="shared" ca="1" si="119"/>
        <v>0</v>
      </c>
    </row>
    <row r="207" spans="1:39" x14ac:dyDescent="0.2">
      <c r="A207" s="16" t="str">
        <f t="shared" ref="A207:A210" si="120">$A65</f>
        <v>Gzira</v>
      </c>
      <c r="C207" s="7">
        <f t="shared" ref="C207:AM210" ca="1" si="121">IFERROR(IF(VLOOKUP($A207,$198:$203,C$1+2,FALSE)=0,C73,0),C73)</f>
        <v>-6627.6670411890118</v>
      </c>
      <c r="D207" s="7">
        <f t="shared" ca="1" si="121"/>
        <v>-4339.3195483066884</v>
      </c>
      <c r="E207" s="7">
        <f t="shared" ca="1" si="121"/>
        <v>-2004.7832357051393</v>
      </c>
      <c r="F207" s="7">
        <f t="shared" ca="1" si="121"/>
        <v>0</v>
      </c>
      <c r="G207" s="7">
        <f t="shared" ca="1" si="121"/>
        <v>0</v>
      </c>
      <c r="H207" s="7">
        <f t="shared" ca="1" si="121"/>
        <v>0</v>
      </c>
      <c r="I207" s="7">
        <f t="shared" ca="1" si="121"/>
        <v>0</v>
      </c>
      <c r="J207" s="7">
        <f t="shared" ca="1" si="121"/>
        <v>0</v>
      </c>
      <c r="K207" s="7">
        <f t="shared" ca="1" si="121"/>
        <v>0</v>
      </c>
      <c r="L207" s="7">
        <f t="shared" ca="1" si="121"/>
        <v>0</v>
      </c>
      <c r="M207" s="7">
        <f t="shared" ca="1" si="121"/>
        <v>0</v>
      </c>
      <c r="N207" s="7">
        <f t="shared" ca="1" si="121"/>
        <v>0</v>
      </c>
      <c r="O207" s="7">
        <f t="shared" ca="1" si="121"/>
        <v>0</v>
      </c>
      <c r="P207" s="7">
        <f t="shared" ca="1" si="121"/>
        <v>0</v>
      </c>
      <c r="Q207" s="7">
        <f t="shared" ca="1" si="121"/>
        <v>0</v>
      </c>
      <c r="R207" s="7">
        <f t="shared" ca="1" si="121"/>
        <v>0</v>
      </c>
      <c r="S207" s="7">
        <f t="shared" ca="1" si="121"/>
        <v>0</v>
      </c>
      <c r="T207" s="7">
        <f t="shared" ca="1" si="121"/>
        <v>0</v>
      </c>
      <c r="U207" s="7">
        <f t="shared" ca="1" si="121"/>
        <v>0</v>
      </c>
      <c r="V207" s="7">
        <f t="shared" ca="1" si="121"/>
        <v>0</v>
      </c>
      <c r="W207" s="7">
        <f t="shared" ca="1" si="121"/>
        <v>0</v>
      </c>
      <c r="X207" s="7">
        <f t="shared" ca="1" si="121"/>
        <v>0</v>
      </c>
      <c r="Y207" s="7">
        <f t="shared" ca="1" si="121"/>
        <v>0</v>
      </c>
      <c r="Z207" s="7">
        <f t="shared" ca="1" si="121"/>
        <v>0</v>
      </c>
      <c r="AA207" s="7">
        <f t="shared" ca="1" si="121"/>
        <v>0</v>
      </c>
      <c r="AB207" s="7">
        <f t="shared" ca="1" si="121"/>
        <v>0</v>
      </c>
      <c r="AC207" s="7">
        <f t="shared" ca="1" si="121"/>
        <v>0</v>
      </c>
      <c r="AD207" s="7">
        <f t="shared" ca="1" si="121"/>
        <v>0</v>
      </c>
      <c r="AE207" s="7">
        <f t="shared" ca="1" si="121"/>
        <v>0</v>
      </c>
      <c r="AF207" s="7">
        <f t="shared" ca="1" si="121"/>
        <v>0</v>
      </c>
      <c r="AG207" s="7">
        <f t="shared" ca="1" si="121"/>
        <v>0</v>
      </c>
      <c r="AH207" s="7">
        <f t="shared" ca="1" si="121"/>
        <v>0</v>
      </c>
      <c r="AI207" s="7">
        <f t="shared" ca="1" si="121"/>
        <v>0</v>
      </c>
      <c r="AJ207" s="7">
        <f t="shared" ca="1" si="121"/>
        <v>0</v>
      </c>
      <c r="AK207" s="7">
        <f t="shared" ca="1" si="121"/>
        <v>0</v>
      </c>
      <c r="AL207" s="7">
        <f t="shared" ca="1" si="121"/>
        <v>0</v>
      </c>
      <c r="AM207" s="7">
        <f t="shared" ca="1" si="121"/>
        <v>0</v>
      </c>
    </row>
    <row r="208" spans="1:39" x14ac:dyDescent="0.2">
      <c r="A208" s="16" t="str">
        <f t="shared" si="120"/>
        <v>Qormi</v>
      </c>
      <c r="C208" s="7">
        <f t="shared" ca="1" si="121"/>
        <v>-13089.450262401593</v>
      </c>
      <c r="D208" s="7">
        <f t="shared" ca="1" si="121"/>
        <v>-10689.417507150618</v>
      </c>
      <c r="E208" s="7">
        <f t="shared" ca="1" si="121"/>
        <v>-8166.5945211626622</v>
      </c>
      <c r="F208" s="7">
        <f t="shared" ca="1" si="121"/>
        <v>-5514.6991231919146</v>
      </c>
      <c r="G208" s="7">
        <f t="shared" ca="1" si="121"/>
        <v>-2727.1277236771257</v>
      </c>
      <c r="H208" s="7">
        <f t="shared" ca="1" si="121"/>
        <v>0</v>
      </c>
      <c r="I208" s="7">
        <f t="shared" ca="1" si="121"/>
        <v>0</v>
      </c>
      <c r="J208" s="7">
        <f t="shared" ca="1" si="121"/>
        <v>0</v>
      </c>
      <c r="K208" s="7">
        <f t="shared" ca="1" si="121"/>
        <v>0</v>
      </c>
      <c r="L208" s="7">
        <f t="shared" ca="1" si="121"/>
        <v>0</v>
      </c>
      <c r="M208" s="7">
        <f t="shared" ca="1" si="121"/>
        <v>0</v>
      </c>
      <c r="N208" s="7">
        <f t="shared" ca="1" si="121"/>
        <v>0</v>
      </c>
      <c r="O208" s="7">
        <f t="shared" ca="1" si="121"/>
        <v>0</v>
      </c>
      <c r="P208" s="7">
        <f t="shared" ca="1" si="121"/>
        <v>0</v>
      </c>
      <c r="Q208" s="7">
        <f t="shared" ca="1" si="121"/>
        <v>0</v>
      </c>
      <c r="R208" s="7">
        <f t="shared" ca="1" si="121"/>
        <v>0</v>
      </c>
      <c r="S208" s="7">
        <f t="shared" ca="1" si="121"/>
        <v>0</v>
      </c>
      <c r="T208" s="7">
        <f t="shared" ca="1" si="121"/>
        <v>0</v>
      </c>
      <c r="U208" s="7">
        <f t="shared" ca="1" si="121"/>
        <v>0</v>
      </c>
      <c r="V208" s="7">
        <f t="shared" ca="1" si="121"/>
        <v>0</v>
      </c>
      <c r="W208" s="7">
        <f t="shared" ca="1" si="121"/>
        <v>0</v>
      </c>
      <c r="X208" s="7">
        <f t="shared" ca="1" si="121"/>
        <v>0</v>
      </c>
      <c r="Y208" s="7">
        <f t="shared" ca="1" si="121"/>
        <v>0</v>
      </c>
      <c r="Z208" s="7">
        <f t="shared" ca="1" si="121"/>
        <v>0</v>
      </c>
      <c r="AA208" s="7">
        <f t="shared" ca="1" si="121"/>
        <v>0</v>
      </c>
      <c r="AB208" s="7">
        <f t="shared" ca="1" si="121"/>
        <v>0</v>
      </c>
      <c r="AC208" s="7">
        <f t="shared" ca="1" si="121"/>
        <v>0</v>
      </c>
      <c r="AD208" s="7">
        <f t="shared" ca="1" si="121"/>
        <v>0</v>
      </c>
      <c r="AE208" s="7">
        <f t="shared" ca="1" si="121"/>
        <v>0</v>
      </c>
      <c r="AF208" s="7">
        <f t="shared" ca="1" si="121"/>
        <v>0</v>
      </c>
      <c r="AG208" s="7">
        <f t="shared" ca="1" si="121"/>
        <v>0</v>
      </c>
      <c r="AH208" s="7">
        <f t="shared" ca="1" si="121"/>
        <v>0</v>
      </c>
      <c r="AI208" s="7">
        <f t="shared" ca="1" si="121"/>
        <v>0</v>
      </c>
      <c r="AJ208" s="7">
        <f t="shared" ca="1" si="121"/>
        <v>0</v>
      </c>
      <c r="AK208" s="7">
        <f t="shared" ca="1" si="121"/>
        <v>0</v>
      </c>
      <c r="AL208" s="7">
        <f t="shared" ca="1" si="121"/>
        <v>0</v>
      </c>
      <c r="AM208" s="7">
        <f t="shared" ca="1" si="121"/>
        <v>0</v>
      </c>
    </row>
    <row r="209" spans="1:39" x14ac:dyDescent="0.2">
      <c r="A209" s="16" t="str">
        <f t="shared" si="120"/>
        <v>Gudja</v>
      </c>
      <c r="C209" s="7">
        <f t="shared" ca="1" si="121"/>
        <v>-3952.5608629982789</v>
      </c>
      <c r="D209" s="7">
        <f t="shared" ca="1" si="121"/>
        <v>-3063.4916845977205</v>
      </c>
      <c r="E209" s="7">
        <f t="shared" ca="1" si="121"/>
        <v>-2156.4772176748579</v>
      </c>
      <c r="F209" s="7">
        <f t="shared" ca="1" si="121"/>
        <v>-1231.15524814336</v>
      </c>
      <c r="G209" s="7">
        <f t="shared" ca="1" si="121"/>
        <v>-287.15625085893407</v>
      </c>
      <c r="H209" s="7">
        <f t="shared" ca="1" si="121"/>
        <v>0</v>
      </c>
      <c r="I209" s="7">
        <f t="shared" ca="1" si="121"/>
        <v>0</v>
      </c>
      <c r="J209" s="7">
        <f t="shared" ca="1" si="121"/>
        <v>0</v>
      </c>
      <c r="K209" s="7">
        <f t="shared" ca="1" si="121"/>
        <v>0</v>
      </c>
      <c r="L209" s="7">
        <f t="shared" ca="1" si="121"/>
        <v>0</v>
      </c>
      <c r="M209" s="7">
        <f t="shared" ca="1" si="121"/>
        <v>0</v>
      </c>
      <c r="N209" s="7">
        <f t="shared" ca="1" si="121"/>
        <v>0</v>
      </c>
      <c r="O209" s="7">
        <f t="shared" ca="1" si="121"/>
        <v>0</v>
      </c>
      <c r="P209" s="7">
        <f t="shared" ca="1" si="121"/>
        <v>0</v>
      </c>
      <c r="Q209" s="7">
        <f t="shared" ca="1" si="121"/>
        <v>0</v>
      </c>
      <c r="R209" s="7">
        <f t="shared" ca="1" si="121"/>
        <v>0</v>
      </c>
      <c r="S209" s="7">
        <f t="shared" ca="1" si="121"/>
        <v>0</v>
      </c>
      <c r="T209" s="7">
        <f t="shared" ca="1" si="121"/>
        <v>0</v>
      </c>
      <c r="U209" s="7">
        <f t="shared" ca="1" si="121"/>
        <v>0</v>
      </c>
      <c r="V209" s="7">
        <f t="shared" ca="1" si="121"/>
        <v>0</v>
      </c>
      <c r="W209" s="7">
        <f t="shared" ca="1" si="121"/>
        <v>0</v>
      </c>
      <c r="X209" s="7">
        <f t="shared" ca="1" si="121"/>
        <v>0</v>
      </c>
      <c r="Y209" s="7">
        <f t="shared" ca="1" si="121"/>
        <v>0</v>
      </c>
      <c r="Z209" s="7">
        <f t="shared" ca="1" si="121"/>
        <v>0</v>
      </c>
      <c r="AA209" s="7">
        <f t="shared" ca="1" si="121"/>
        <v>0</v>
      </c>
      <c r="AB209" s="7">
        <f t="shared" ca="1" si="121"/>
        <v>0</v>
      </c>
      <c r="AC209" s="7">
        <f t="shared" ca="1" si="121"/>
        <v>0</v>
      </c>
      <c r="AD209" s="7">
        <f t="shared" ca="1" si="121"/>
        <v>0</v>
      </c>
      <c r="AE209" s="7">
        <f t="shared" ca="1" si="121"/>
        <v>0</v>
      </c>
      <c r="AF209" s="7">
        <f t="shared" ca="1" si="121"/>
        <v>0</v>
      </c>
      <c r="AG209" s="7">
        <f t="shared" ca="1" si="121"/>
        <v>0</v>
      </c>
      <c r="AH209" s="7">
        <f t="shared" ca="1" si="121"/>
        <v>0</v>
      </c>
      <c r="AI209" s="7">
        <f t="shared" ca="1" si="121"/>
        <v>0</v>
      </c>
      <c r="AJ209" s="7">
        <f t="shared" ca="1" si="121"/>
        <v>0</v>
      </c>
      <c r="AK209" s="7">
        <f t="shared" ca="1" si="121"/>
        <v>0</v>
      </c>
      <c r="AL209" s="7">
        <f t="shared" ca="1" si="121"/>
        <v>0</v>
      </c>
      <c r="AM209" s="7">
        <f t="shared" ca="1" si="121"/>
        <v>0</v>
      </c>
    </row>
    <row r="210" spans="1:39" x14ac:dyDescent="0.2">
      <c r="A210" s="16" t="str">
        <f t="shared" si="120"/>
        <v>Marsa</v>
      </c>
      <c r="C210" s="7">
        <f t="shared" ca="1" si="121"/>
        <v>-8551.2061659277369</v>
      </c>
      <c r="D210" s="7">
        <f t="shared" ca="1" si="121"/>
        <v>-7351.3333523807905</v>
      </c>
      <c r="E210" s="7">
        <f t="shared" ca="1" si="121"/>
        <v>-6114.965259035298</v>
      </c>
      <c r="F210" s="7">
        <f t="shared" ca="1" si="121"/>
        <v>-4840.9918470333869</v>
      </c>
      <c r="G210" s="7">
        <f t="shared" ca="1" si="121"/>
        <v>-3528.2693146230595</v>
      </c>
      <c r="H210" s="7">
        <f t="shared" ca="1" si="121"/>
        <v>-2175.6190702275599</v>
      </c>
      <c r="I210" s="7">
        <f t="shared" ca="1" si="121"/>
        <v>-781.82667427947126</v>
      </c>
      <c r="J210" s="7">
        <f t="shared" ca="1" si="121"/>
        <v>0</v>
      </c>
      <c r="K210" s="7">
        <f t="shared" ca="1" si="121"/>
        <v>0</v>
      </c>
      <c r="L210" s="7">
        <f t="shared" ca="1" si="121"/>
        <v>0</v>
      </c>
      <c r="M210" s="7">
        <f t="shared" ca="1" si="121"/>
        <v>0</v>
      </c>
      <c r="N210" s="7">
        <f t="shared" ca="1" si="121"/>
        <v>0</v>
      </c>
      <c r="O210" s="7">
        <f t="shared" ca="1" si="121"/>
        <v>0</v>
      </c>
      <c r="P210" s="7">
        <f t="shared" ca="1" si="121"/>
        <v>0</v>
      </c>
      <c r="Q210" s="7">
        <f t="shared" ca="1" si="121"/>
        <v>0</v>
      </c>
      <c r="R210" s="7">
        <f t="shared" ca="1" si="121"/>
        <v>0</v>
      </c>
      <c r="S210" s="7">
        <f t="shared" ca="1" si="121"/>
        <v>0</v>
      </c>
      <c r="T210" s="7">
        <f t="shared" ca="1" si="121"/>
        <v>0</v>
      </c>
      <c r="U210" s="7">
        <f t="shared" ca="1" si="121"/>
        <v>0</v>
      </c>
      <c r="V210" s="7">
        <f t="shared" ca="1" si="121"/>
        <v>0</v>
      </c>
      <c r="W210" s="7">
        <f t="shared" ca="1" si="121"/>
        <v>0</v>
      </c>
      <c r="X210" s="7">
        <f t="shared" ca="1" si="121"/>
        <v>0</v>
      </c>
      <c r="Y210" s="7">
        <f t="shared" ca="1" si="121"/>
        <v>0</v>
      </c>
      <c r="Z210" s="7">
        <f t="shared" ca="1" si="121"/>
        <v>0</v>
      </c>
      <c r="AA210" s="7">
        <f t="shared" ca="1" si="121"/>
        <v>0</v>
      </c>
      <c r="AB210" s="7">
        <f t="shared" ca="1" si="121"/>
        <v>0</v>
      </c>
      <c r="AC210" s="7">
        <f t="shared" ca="1" si="121"/>
        <v>0</v>
      </c>
      <c r="AD210" s="7">
        <f t="shared" ca="1" si="121"/>
        <v>0</v>
      </c>
      <c r="AE210" s="7">
        <f t="shared" ca="1" si="121"/>
        <v>0</v>
      </c>
      <c r="AF210" s="7">
        <f t="shared" ca="1" si="121"/>
        <v>0</v>
      </c>
      <c r="AG210" s="7">
        <f t="shared" ca="1" si="121"/>
        <v>0</v>
      </c>
      <c r="AH210" s="7">
        <f t="shared" ca="1" si="121"/>
        <v>0</v>
      </c>
      <c r="AI210" s="7">
        <f t="shared" ca="1" si="121"/>
        <v>0</v>
      </c>
      <c r="AJ210" s="7">
        <f t="shared" ca="1" si="121"/>
        <v>0</v>
      </c>
      <c r="AK210" s="7">
        <f t="shared" ca="1" si="121"/>
        <v>0</v>
      </c>
      <c r="AL210" s="7">
        <f t="shared" ca="1" si="121"/>
        <v>0</v>
      </c>
      <c r="AM210" s="7">
        <f t="shared" ca="1" si="121"/>
        <v>0</v>
      </c>
    </row>
    <row r="211" spans="1:39" x14ac:dyDescent="0.2"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  <c r="AB211" s="7"/>
      <c r="AC211" s="7"/>
      <c r="AD211" s="7"/>
      <c r="AE211" s="7"/>
      <c r="AF211" s="7"/>
      <c r="AG211" s="7"/>
      <c r="AH211" s="7"/>
      <c r="AI211" s="7"/>
      <c r="AJ211" s="7"/>
      <c r="AK211" s="7"/>
      <c r="AL211" s="7"/>
      <c r="AM211" s="7"/>
    </row>
    <row r="212" spans="1:39" x14ac:dyDescent="0.2">
      <c r="A212" s="3" t="s">
        <v>64</v>
      </c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  <c r="AA212" s="7"/>
      <c r="AB212" s="7"/>
      <c r="AC212" s="7"/>
      <c r="AD212" s="7"/>
      <c r="AE212" s="7"/>
      <c r="AF212" s="7"/>
      <c r="AG212" s="7"/>
      <c r="AH212" s="7"/>
      <c r="AI212" s="7"/>
      <c r="AJ212" s="7"/>
      <c r="AK212" s="7"/>
      <c r="AL212" s="7"/>
      <c r="AM212" s="7"/>
    </row>
    <row r="213" spans="1:39" x14ac:dyDescent="0.2">
      <c r="A213" s="16" t="str">
        <f t="shared" ref="A213:A228" si="122">A61</f>
        <v>Cash</v>
      </c>
      <c r="C213" s="7">
        <f ca="1">C180</f>
        <v>73136.875000000015</v>
      </c>
      <c r="D213" s="7">
        <f t="shared" ref="D213:AM213" ca="1" si="123">D180</f>
        <v>97140.903125000026</v>
      </c>
      <c r="E213" s="7">
        <f t="shared" ca="1" si="123"/>
        <v>127759.43382812504</v>
      </c>
      <c r="F213" s="7">
        <f t="shared" ca="1" si="123"/>
        <v>139100.17641137764</v>
      </c>
      <c r="G213" s="7">
        <f t="shared" ca="1" si="123"/>
        <v>90982.686515080073</v>
      </c>
      <c r="H213" s="7">
        <f t="shared" ca="1" si="123"/>
        <v>44731.486654559354</v>
      </c>
      <c r="I213" s="7">
        <f t="shared" ca="1" si="123"/>
        <v>122816.44594358886</v>
      </c>
      <c r="J213" s="7">
        <f t="shared" ca="1" si="123"/>
        <v>110704.1942804876</v>
      </c>
      <c r="K213" s="7">
        <f t="shared" ca="1" si="123"/>
        <v>56367.784225867057</v>
      </c>
      <c r="L213" s="7">
        <f t="shared" ca="1" si="123"/>
        <v>220163.27031040267</v>
      </c>
      <c r="M213" s="7">
        <f t="shared" ca="1" si="123"/>
        <v>149371.35581909551</v>
      </c>
      <c r="N213" s="7">
        <f t="shared" ca="1" si="123"/>
        <v>126281.13761001588</v>
      </c>
      <c r="O213" s="7">
        <f t="shared" ca="1" si="123"/>
        <v>102051.3886764935</v>
      </c>
      <c r="P213" s="7">
        <f t="shared" ca="1" si="123"/>
        <v>76663.267130203953</v>
      </c>
      <c r="Q213" s="7">
        <f t="shared" ca="1" si="123"/>
        <v>246802.86686737029</v>
      </c>
      <c r="R213" s="7">
        <f t="shared" ca="1" si="123"/>
        <v>213499.8106300793</v>
      </c>
      <c r="S213" s="7">
        <f t="shared" ca="1" si="123"/>
        <v>178761.93350443404</v>
      </c>
      <c r="T213" s="7">
        <f t="shared" ca="1" si="123"/>
        <v>161065.19970660284</v>
      </c>
      <c r="U213" s="7">
        <f t="shared" ca="1" si="123"/>
        <v>150424.7629864492</v>
      </c>
      <c r="V213" s="7">
        <f t="shared" ca="1" si="123"/>
        <v>139226.41603700753</v>
      </c>
      <c r="W213" s="7">
        <f t="shared" ca="1" si="123"/>
        <v>127464.12032280934</v>
      </c>
      <c r="X213" s="7">
        <f t="shared" ca="1" si="123"/>
        <v>115131.92362160722</v>
      </c>
      <c r="Y213" s="7">
        <f t="shared" ca="1" si="123"/>
        <v>81048.641110268611</v>
      </c>
      <c r="Z213" s="7">
        <f t="shared" ca="1" si="123"/>
        <v>421766.15315834375</v>
      </c>
      <c r="AA213" s="7">
        <f t="shared" ca="1" si="123"/>
        <v>382440.01808293402</v>
      </c>
      <c r="AB213" s="7">
        <f t="shared" ca="1" si="123"/>
        <v>340989.20365595352</v>
      </c>
      <c r="AC213" s="7">
        <f t="shared" ca="1" si="123"/>
        <v>297148.53105760575</v>
      </c>
      <c r="AD213" s="7">
        <f t="shared" ca="1" si="123"/>
        <v>250864.09023958546</v>
      </c>
      <c r="AE213" s="7">
        <f t="shared" ca="1" si="123"/>
        <v>212312.83546568983</v>
      </c>
      <c r="AF213" s="7">
        <f t="shared" ca="1" si="123"/>
        <v>171711.8131363389</v>
      </c>
      <c r="AG213" s="7">
        <f t="shared" ca="1" si="123"/>
        <v>129016.15666104242</v>
      </c>
      <c r="AH213" s="7">
        <f t="shared" ca="1" si="123"/>
        <v>734427.24434657802</v>
      </c>
      <c r="AI213" s="7">
        <f t="shared" ca="1" si="123"/>
        <v>688433.81191184837</v>
      </c>
      <c r="AJ213" s="7">
        <f t="shared" ca="1" si="123"/>
        <v>640263.39287273888</v>
      </c>
      <c r="AK213" s="7">
        <f t="shared" ca="1" si="123"/>
        <v>588902.48817033891</v>
      </c>
      <c r="AL213" s="7">
        <f t="shared" ca="1" si="123"/>
        <v>534271.33566306648</v>
      </c>
      <c r="AM213" s="7">
        <f t="shared" ca="1" si="123"/>
        <v>476288.17915579944</v>
      </c>
    </row>
    <row r="214" spans="1:39" x14ac:dyDescent="0.2">
      <c r="A214" s="16" t="str">
        <f t="shared" si="122"/>
        <v>Home</v>
      </c>
      <c r="C214" s="7">
        <f t="shared" ref="C214:AM214" ca="1" si="124">C62</f>
        <v>614962.9305229499</v>
      </c>
      <c r="D214" s="7">
        <f t="shared" ca="1" si="124"/>
        <v>633411.81843863847</v>
      </c>
      <c r="E214" s="7">
        <f t="shared" ca="1" si="124"/>
        <v>652414.17299179768</v>
      </c>
      <c r="F214" s="7">
        <f t="shared" ca="1" si="124"/>
        <v>671986.59818155167</v>
      </c>
      <c r="G214" s="7">
        <f t="shared" ca="1" si="124"/>
        <v>692146.19612699829</v>
      </c>
      <c r="H214" s="7">
        <f t="shared" ca="1" si="124"/>
        <v>712910.58201080828</v>
      </c>
      <c r="I214" s="7">
        <f t="shared" ca="1" si="124"/>
        <v>734297.89947113255</v>
      </c>
      <c r="J214" s="7">
        <f t="shared" ca="1" si="124"/>
        <v>756326.83645526657</v>
      </c>
      <c r="K214" s="7">
        <f t="shared" ca="1" si="124"/>
        <v>779016.64154892461</v>
      </c>
      <c r="L214" s="7">
        <f t="shared" ca="1" si="124"/>
        <v>802387.14079539233</v>
      </c>
      <c r="M214" s="7">
        <f t="shared" ca="1" si="124"/>
        <v>826458.75501925417</v>
      </c>
      <c r="N214" s="7">
        <f t="shared" ca="1" si="124"/>
        <v>851252.51766983187</v>
      </c>
      <c r="O214" s="7">
        <f t="shared" ca="1" si="124"/>
        <v>876790.09319992689</v>
      </c>
      <c r="P214" s="7">
        <f t="shared" ca="1" si="124"/>
        <v>903093.79599592474</v>
      </c>
      <c r="Q214" s="7">
        <f t="shared" ca="1" si="124"/>
        <v>930186.60987580253</v>
      </c>
      <c r="R214" s="7">
        <f t="shared" ca="1" si="124"/>
        <v>958092.20817207661</v>
      </c>
      <c r="S214" s="7">
        <f t="shared" ca="1" si="124"/>
        <v>986834.97441723896</v>
      </c>
      <c r="T214" s="7">
        <f t="shared" ca="1" si="124"/>
        <v>1016440.0236497562</v>
      </c>
      <c r="U214" s="7">
        <f t="shared" ca="1" si="124"/>
        <v>1046933.2243592489</v>
      </c>
      <c r="V214" s="7">
        <f t="shared" ca="1" si="124"/>
        <v>1078341.2210900264</v>
      </c>
      <c r="W214" s="7">
        <f t="shared" ca="1" si="124"/>
        <v>1110691.4577227272</v>
      </c>
      <c r="X214" s="7">
        <f t="shared" ca="1" si="124"/>
        <v>1144012.2014544092</v>
      </c>
      <c r="Y214" s="7">
        <f t="shared" ca="1" si="124"/>
        <v>1178332.5674980415</v>
      </c>
      <c r="Z214" s="7">
        <f t="shared" ca="1" si="124"/>
        <v>1213682.5445229828</v>
      </c>
      <c r="AA214" s="7">
        <f t="shared" ca="1" si="124"/>
        <v>1250093.0208586722</v>
      </c>
      <c r="AB214" s="7">
        <f t="shared" ca="1" si="124"/>
        <v>1287595.8114844323</v>
      </c>
      <c r="AC214" s="7">
        <f t="shared" ca="1" si="124"/>
        <v>1326223.6858289654</v>
      </c>
      <c r="AD214" s="7">
        <f t="shared" ca="1" si="124"/>
        <v>1366010.3964038345</v>
      </c>
      <c r="AE214" s="7">
        <f t="shared" ca="1" si="124"/>
        <v>1406990.7082959495</v>
      </c>
      <c r="AF214" s="7">
        <f t="shared" ca="1" si="124"/>
        <v>1449200.4295448281</v>
      </c>
      <c r="AG214" s="7">
        <f t="shared" ca="1" si="124"/>
        <v>1492676.4424311731</v>
      </c>
      <c r="AH214" s="7">
        <f t="shared" ca="1" si="124"/>
        <v>1537456.7357041084</v>
      </c>
      <c r="AI214" s="7">
        <f t="shared" ca="1" si="124"/>
        <v>1583580.4377752317</v>
      </c>
      <c r="AJ214" s="7">
        <f t="shared" ca="1" si="124"/>
        <v>1631087.8509084887</v>
      </c>
      <c r="AK214" s="7">
        <f t="shared" ca="1" si="124"/>
        <v>1680020.4864357435</v>
      </c>
      <c r="AL214" s="7">
        <f t="shared" ca="1" si="124"/>
        <v>1730421.1010288158</v>
      </c>
      <c r="AM214" s="7">
        <f t="shared" ca="1" si="124"/>
        <v>1782333.7340596803</v>
      </c>
    </row>
    <row r="215" spans="1:39" x14ac:dyDescent="0.2">
      <c r="A215" s="16" t="str">
        <f t="shared" si="122"/>
        <v>Other property</v>
      </c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7"/>
      <c r="AB215" s="7"/>
      <c r="AC215" s="7"/>
      <c r="AD215" s="7"/>
      <c r="AE215" s="7"/>
      <c r="AF215" s="7"/>
      <c r="AG215" s="7"/>
      <c r="AH215" s="7"/>
      <c r="AI215" s="7"/>
      <c r="AJ215" s="7"/>
      <c r="AK215" s="7"/>
      <c r="AL215" s="7"/>
      <c r="AM215" s="7"/>
    </row>
    <row r="216" spans="1:39" x14ac:dyDescent="0.2">
      <c r="A216" s="17" t="str">
        <f t="shared" si="122"/>
        <v>Sliema</v>
      </c>
      <c r="C216" s="7">
        <f t="shared" ref="C216:AM220" ca="1" si="125">C192</f>
        <v>307481.46526147495</v>
      </c>
      <c r="D216" s="7">
        <f t="shared" ca="1" si="125"/>
        <v>316705.90921931923</v>
      </c>
      <c r="E216" s="7">
        <f t="shared" ca="1" si="125"/>
        <v>326207.08649589884</v>
      </c>
      <c r="F216" s="7">
        <f t="shared" ca="1" si="125"/>
        <v>335993.29909077584</v>
      </c>
      <c r="G216" s="7">
        <f t="shared" ca="1" si="125"/>
        <v>346073.09806349914</v>
      </c>
      <c r="H216" s="7">
        <f t="shared" ca="1" si="125"/>
        <v>356455.29100540414</v>
      </c>
      <c r="I216" s="7">
        <f t="shared" ca="1" si="125"/>
        <v>367148.94973556628</v>
      </c>
      <c r="J216" s="7">
        <f t="shared" ca="1" si="125"/>
        <v>378163.41822763329</v>
      </c>
      <c r="K216" s="7">
        <f t="shared" ca="1" si="125"/>
        <v>389508.32077446231</v>
      </c>
      <c r="L216" s="7">
        <f t="shared" ca="1" si="125"/>
        <v>401193.57039769617</v>
      </c>
      <c r="M216" s="7">
        <f t="shared" ca="1" si="125"/>
        <v>413229.37750962708</v>
      </c>
      <c r="N216" s="7">
        <f t="shared" ca="1" si="125"/>
        <v>425626.25883491593</v>
      </c>
      <c r="O216" s="7">
        <f t="shared" ca="1" si="125"/>
        <v>438395.04659996345</v>
      </c>
      <c r="P216" s="7">
        <f t="shared" ca="1" si="125"/>
        <v>451546.89799796237</v>
      </c>
      <c r="Q216" s="7">
        <f t="shared" ca="1" si="125"/>
        <v>465093.30493790127</v>
      </c>
      <c r="R216" s="7">
        <f t="shared" ca="1" si="125"/>
        <v>479046.10408603831</v>
      </c>
      <c r="S216" s="7">
        <f t="shared" ca="1" si="125"/>
        <v>493417.48720861948</v>
      </c>
      <c r="T216" s="7">
        <f t="shared" ca="1" si="125"/>
        <v>508220.01182487811</v>
      </c>
      <c r="U216" s="7">
        <f t="shared" ca="1" si="125"/>
        <v>523466.61217962444</v>
      </c>
      <c r="V216" s="7">
        <f t="shared" ca="1" si="125"/>
        <v>539170.61054501322</v>
      </c>
      <c r="W216" s="7">
        <f t="shared" ca="1" si="125"/>
        <v>555345.7288613636</v>
      </c>
      <c r="X216" s="7">
        <f t="shared" ca="1" si="125"/>
        <v>572006.10072720458</v>
      </c>
      <c r="Y216" s="7">
        <f t="shared" ca="1" si="125"/>
        <v>589166.28374902077</v>
      </c>
      <c r="Z216" s="7">
        <f t="shared" ca="1" si="125"/>
        <v>606841.27226149139</v>
      </c>
      <c r="AA216" s="7">
        <f t="shared" ca="1" si="125"/>
        <v>625046.51042933611</v>
      </c>
      <c r="AB216" s="7">
        <f t="shared" ca="1" si="125"/>
        <v>643797.90574221616</v>
      </c>
      <c r="AC216" s="7">
        <f t="shared" ca="1" si="125"/>
        <v>663111.8429144827</v>
      </c>
      <c r="AD216" s="7">
        <f t="shared" ca="1" si="125"/>
        <v>683005.19820191723</v>
      </c>
      <c r="AE216" s="7">
        <f t="shared" ca="1" si="125"/>
        <v>703495.35414797475</v>
      </c>
      <c r="AF216" s="7">
        <f t="shared" ca="1" si="125"/>
        <v>724600.21477241407</v>
      </c>
      <c r="AG216" s="7">
        <f t="shared" ca="1" si="125"/>
        <v>746338.22121558653</v>
      </c>
      <c r="AH216" s="7">
        <f t="shared" ca="1" si="125"/>
        <v>0</v>
      </c>
      <c r="AI216" s="7">
        <f t="shared" ca="1" si="125"/>
        <v>0</v>
      </c>
      <c r="AJ216" s="7">
        <f t="shared" ca="1" si="125"/>
        <v>0</v>
      </c>
      <c r="AK216" s="7">
        <f t="shared" ca="1" si="125"/>
        <v>0</v>
      </c>
      <c r="AL216" s="7">
        <f t="shared" ca="1" si="125"/>
        <v>0</v>
      </c>
      <c r="AM216" s="7">
        <f t="shared" ca="1" si="125"/>
        <v>0</v>
      </c>
    </row>
    <row r="217" spans="1:39" x14ac:dyDescent="0.2">
      <c r="A217" s="17" t="str">
        <f t="shared" si="122"/>
        <v>Gzira</v>
      </c>
      <c r="C217" s="7">
        <f t="shared" ca="1" si="125"/>
        <v>153740.73263073748</v>
      </c>
      <c r="D217" s="7">
        <f t="shared" ca="1" si="125"/>
        <v>158352.95460965962</v>
      </c>
      <c r="E217" s="7">
        <f t="shared" ca="1" si="125"/>
        <v>163103.54324794942</v>
      </c>
      <c r="F217" s="7">
        <f t="shared" ca="1" si="125"/>
        <v>167996.64954538792</v>
      </c>
      <c r="G217" s="7">
        <f t="shared" ca="1" si="125"/>
        <v>173036.54903174957</v>
      </c>
      <c r="H217" s="7">
        <f t="shared" ca="1" si="125"/>
        <v>178227.64550270207</v>
      </c>
      <c r="I217" s="7">
        <f t="shared" ca="1" si="125"/>
        <v>183574.47486778314</v>
      </c>
      <c r="J217" s="7">
        <f t="shared" ca="1" si="125"/>
        <v>189081.70911381664</v>
      </c>
      <c r="K217" s="7">
        <f t="shared" ca="1" si="125"/>
        <v>194754.16038723115</v>
      </c>
      <c r="L217" s="7">
        <f t="shared" ca="1" si="125"/>
        <v>200596.78519884808</v>
      </c>
      <c r="M217" s="7">
        <f t="shared" ca="1" si="125"/>
        <v>206614.68875481354</v>
      </c>
      <c r="N217" s="7">
        <f t="shared" ca="1" si="125"/>
        <v>212813.12941745797</v>
      </c>
      <c r="O217" s="7">
        <f t="shared" ca="1" si="125"/>
        <v>219197.52329998172</v>
      </c>
      <c r="P217" s="7">
        <f t="shared" ca="1" si="125"/>
        <v>225773.44899898118</v>
      </c>
      <c r="Q217" s="7">
        <f t="shared" ca="1" si="125"/>
        <v>0</v>
      </c>
      <c r="R217" s="7">
        <f t="shared" ca="1" si="125"/>
        <v>0</v>
      </c>
      <c r="S217" s="7">
        <f t="shared" ca="1" si="125"/>
        <v>0</v>
      </c>
      <c r="T217" s="7">
        <f t="shared" ca="1" si="125"/>
        <v>0</v>
      </c>
      <c r="U217" s="7">
        <f t="shared" ca="1" si="125"/>
        <v>0</v>
      </c>
      <c r="V217" s="7">
        <f t="shared" ca="1" si="125"/>
        <v>0</v>
      </c>
      <c r="W217" s="7">
        <f t="shared" ca="1" si="125"/>
        <v>0</v>
      </c>
      <c r="X217" s="7">
        <f t="shared" ca="1" si="125"/>
        <v>0</v>
      </c>
      <c r="Y217" s="7">
        <f t="shared" ca="1" si="125"/>
        <v>0</v>
      </c>
      <c r="Z217" s="7">
        <f t="shared" ca="1" si="125"/>
        <v>0</v>
      </c>
      <c r="AA217" s="7">
        <f t="shared" ca="1" si="125"/>
        <v>0</v>
      </c>
      <c r="AB217" s="7">
        <f t="shared" ca="1" si="125"/>
        <v>0</v>
      </c>
      <c r="AC217" s="7">
        <f t="shared" ca="1" si="125"/>
        <v>0</v>
      </c>
      <c r="AD217" s="7">
        <f t="shared" ca="1" si="125"/>
        <v>0</v>
      </c>
      <c r="AE217" s="7">
        <f t="shared" ca="1" si="125"/>
        <v>0</v>
      </c>
      <c r="AF217" s="7">
        <f t="shared" ca="1" si="125"/>
        <v>0</v>
      </c>
      <c r="AG217" s="7">
        <f t="shared" ca="1" si="125"/>
        <v>0</v>
      </c>
      <c r="AH217" s="7">
        <f t="shared" ca="1" si="125"/>
        <v>0</v>
      </c>
      <c r="AI217" s="7">
        <f t="shared" ca="1" si="125"/>
        <v>0</v>
      </c>
      <c r="AJ217" s="7">
        <f t="shared" ca="1" si="125"/>
        <v>0</v>
      </c>
      <c r="AK217" s="7">
        <f t="shared" ca="1" si="125"/>
        <v>0</v>
      </c>
      <c r="AL217" s="7">
        <f t="shared" ca="1" si="125"/>
        <v>0</v>
      </c>
      <c r="AM217" s="7">
        <f t="shared" ca="1" si="125"/>
        <v>0</v>
      </c>
    </row>
    <row r="218" spans="1:39" x14ac:dyDescent="0.2">
      <c r="A218" s="17" t="str">
        <f t="shared" si="122"/>
        <v>Qormi</v>
      </c>
      <c r="C218" s="7">
        <f t="shared" ca="1" si="125"/>
        <v>225486.40785841495</v>
      </c>
      <c r="D218" s="7">
        <f t="shared" ca="1" si="125"/>
        <v>232251.00009416742</v>
      </c>
      <c r="E218" s="7">
        <f t="shared" ca="1" si="125"/>
        <v>239218.53009699244</v>
      </c>
      <c r="F218" s="7">
        <f t="shared" ca="1" si="125"/>
        <v>246395.08599990222</v>
      </c>
      <c r="G218" s="7">
        <f t="shared" ca="1" si="125"/>
        <v>253786.93857989929</v>
      </c>
      <c r="H218" s="7">
        <f t="shared" ca="1" si="125"/>
        <v>261400.54673729627</v>
      </c>
      <c r="I218" s="7">
        <f t="shared" ca="1" si="125"/>
        <v>269242.56313941517</v>
      </c>
      <c r="J218" s="7">
        <f t="shared" ca="1" si="125"/>
        <v>277319.84003359766</v>
      </c>
      <c r="K218" s="7">
        <f t="shared" ca="1" si="125"/>
        <v>285639.43523460563</v>
      </c>
      <c r="L218" s="7">
        <f t="shared" ca="1" si="125"/>
        <v>294208.6182916438</v>
      </c>
      <c r="M218" s="7">
        <f t="shared" ca="1" si="125"/>
        <v>303034.87684039312</v>
      </c>
      <c r="N218" s="7">
        <f t="shared" ca="1" si="125"/>
        <v>312125.9231456049</v>
      </c>
      <c r="O218" s="7">
        <f t="shared" ca="1" si="125"/>
        <v>321489.70083997305</v>
      </c>
      <c r="P218" s="7">
        <f t="shared" ca="1" si="125"/>
        <v>331134.39186517225</v>
      </c>
      <c r="Q218" s="7">
        <f t="shared" ca="1" si="125"/>
        <v>341068.42362112744</v>
      </c>
      <c r="R218" s="7">
        <f t="shared" ca="1" si="125"/>
        <v>351300.47632976127</v>
      </c>
      <c r="S218" s="7">
        <f t="shared" ca="1" si="125"/>
        <v>361839.49061965413</v>
      </c>
      <c r="T218" s="7">
        <f t="shared" ca="1" si="125"/>
        <v>372694.67533824377</v>
      </c>
      <c r="U218" s="7">
        <f t="shared" ca="1" si="125"/>
        <v>383875.51559839112</v>
      </c>
      <c r="V218" s="7">
        <f t="shared" ca="1" si="125"/>
        <v>395391.7810663429</v>
      </c>
      <c r="W218" s="7">
        <f t="shared" ca="1" si="125"/>
        <v>407253.53449833317</v>
      </c>
      <c r="X218" s="7">
        <f t="shared" ca="1" si="125"/>
        <v>419471.14053328318</v>
      </c>
      <c r="Y218" s="7">
        <f t="shared" ca="1" si="125"/>
        <v>432055.2747492817</v>
      </c>
      <c r="Z218" s="7">
        <f t="shared" ca="1" si="125"/>
        <v>0</v>
      </c>
      <c r="AA218" s="7">
        <f t="shared" ca="1" si="125"/>
        <v>0</v>
      </c>
      <c r="AB218" s="7">
        <f t="shared" ca="1" si="125"/>
        <v>0</v>
      </c>
      <c r="AC218" s="7">
        <f t="shared" ca="1" si="125"/>
        <v>0</v>
      </c>
      <c r="AD218" s="7">
        <f t="shared" ca="1" si="125"/>
        <v>0</v>
      </c>
      <c r="AE218" s="7">
        <f t="shared" ca="1" si="125"/>
        <v>0</v>
      </c>
      <c r="AF218" s="7">
        <f t="shared" ca="1" si="125"/>
        <v>0</v>
      </c>
      <c r="AG218" s="7">
        <f t="shared" ca="1" si="125"/>
        <v>0</v>
      </c>
      <c r="AH218" s="7">
        <f t="shared" ca="1" si="125"/>
        <v>0</v>
      </c>
      <c r="AI218" s="7">
        <f t="shared" ca="1" si="125"/>
        <v>0</v>
      </c>
      <c r="AJ218" s="7">
        <f t="shared" ca="1" si="125"/>
        <v>0</v>
      </c>
      <c r="AK218" s="7">
        <f t="shared" ca="1" si="125"/>
        <v>0</v>
      </c>
      <c r="AL218" s="7">
        <f t="shared" ca="1" si="125"/>
        <v>0</v>
      </c>
      <c r="AM218" s="7">
        <f t="shared" ca="1" si="125"/>
        <v>0</v>
      </c>
    </row>
    <row r="219" spans="1:39" x14ac:dyDescent="0.2">
      <c r="A219" s="17" t="str">
        <f t="shared" si="122"/>
        <v>Gudja</v>
      </c>
      <c r="C219" s="7">
        <f t="shared" ca="1" si="125"/>
        <v>81995.057403059982</v>
      </c>
      <c r="D219" s="7">
        <f t="shared" ca="1" si="125"/>
        <v>84454.909125151782</v>
      </c>
      <c r="E219" s="7">
        <f t="shared" ca="1" si="125"/>
        <v>86988.556398906338</v>
      </c>
      <c r="F219" s="7">
        <f t="shared" ca="1" si="125"/>
        <v>89598.213090873527</v>
      </c>
      <c r="G219" s="7">
        <f t="shared" ca="1" si="125"/>
        <v>92286.159483599738</v>
      </c>
      <c r="H219" s="7">
        <f t="shared" ca="1" si="125"/>
        <v>95054.744268107737</v>
      </c>
      <c r="I219" s="7">
        <f t="shared" ca="1" si="125"/>
        <v>0</v>
      </c>
      <c r="J219" s="7">
        <f t="shared" ca="1" si="125"/>
        <v>0</v>
      </c>
      <c r="K219" s="7">
        <f t="shared" ca="1" si="125"/>
        <v>0</v>
      </c>
      <c r="L219" s="7">
        <f t="shared" ca="1" si="125"/>
        <v>0</v>
      </c>
      <c r="M219" s="7">
        <f t="shared" ca="1" si="125"/>
        <v>0</v>
      </c>
      <c r="N219" s="7">
        <f t="shared" ca="1" si="125"/>
        <v>0</v>
      </c>
      <c r="O219" s="7">
        <f t="shared" ca="1" si="125"/>
        <v>0</v>
      </c>
      <c r="P219" s="7">
        <f t="shared" ca="1" si="125"/>
        <v>0</v>
      </c>
      <c r="Q219" s="7">
        <f t="shared" ca="1" si="125"/>
        <v>0</v>
      </c>
      <c r="R219" s="7">
        <f t="shared" ca="1" si="125"/>
        <v>0</v>
      </c>
      <c r="S219" s="7">
        <f t="shared" ca="1" si="125"/>
        <v>0</v>
      </c>
      <c r="T219" s="7">
        <f t="shared" ca="1" si="125"/>
        <v>0</v>
      </c>
      <c r="U219" s="7">
        <f t="shared" ca="1" si="125"/>
        <v>0</v>
      </c>
      <c r="V219" s="7">
        <f t="shared" ca="1" si="125"/>
        <v>0</v>
      </c>
      <c r="W219" s="7">
        <f t="shared" ca="1" si="125"/>
        <v>0</v>
      </c>
      <c r="X219" s="7">
        <f t="shared" ca="1" si="125"/>
        <v>0</v>
      </c>
      <c r="Y219" s="7">
        <f t="shared" ca="1" si="125"/>
        <v>0</v>
      </c>
      <c r="Z219" s="7">
        <f t="shared" ca="1" si="125"/>
        <v>0</v>
      </c>
      <c r="AA219" s="7">
        <f t="shared" ca="1" si="125"/>
        <v>0</v>
      </c>
      <c r="AB219" s="7">
        <f t="shared" ca="1" si="125"/>
        <v>0</v>
      </c>
      <c r="AC219" s="7">
        <f t="shared" ca="1" si="125"/>
        <v>0</v>
      </c>
      <c r="AD219" s="7">
        <f t="shared" ca="1" si="125"/>
        <v>0</v>
      </c>
      <c r="AE219" s="7">
        <f t="shared" ca="1" si="125"/>
        <v>0</v>
      </c>
      <c r="AF219" s="7">
        <f t="shared" ca="1" si="125"/>
        <v>0</v>
      </c>
      <c r="AG219" s="7">
        <f t="shared" ca="1" si="125"/>
        <v>0</v>
      </c>
      <c r="AH219" s="7">
        <f t="shared" ca="1" si="125"/>
        <v>0</v>
      </c>
      <c r="AI219" s="7">
        <f t="shared" ca="1" si="125"/>
        <v>0</v>
      </c>
      <c r="AJ219" s="7">
        <f t="shared" ca="1" si="125"/>
        <v>0</v>
      </c>
      <c r="AK219" s="7">
        <f t="shared" ca="1" si="125"/>
        <v>0</v>
      </c>
      <c r="AL219" s="7">
        <f t="shared" ca="1" si="125"/>
        <v>0</v>
      </c>
      <c r="AM219" s="7">
        <f t="shared" ca="1" si="125"/>
        <v>0</v>
      </c>
    </row>
    <row r="220" spans="1:39" x14ac:dyDescent="0.2">
      <c r="A220" s="17" t="str">
        <f t="shared" si="122"/>
        <v>Marsa</v>
      </c>
      <c r="C220" s="7">
        <f t="shared" ca="1" si="125"/>
        <v>122992.58610458997</v>
      </c>
      <c r="D220" s="7">
        <f t="shared" ca="1" si="125"/>
        <v>126682.36368772767</v>
      </c>
      <c r="E220" s="7">
        <f t="shared" ca="1" si="125"/>
        <v>130482.83459835951</v>
      </c>
      <c r="F220" s="7">
        <f t="shared" ca="1" si="125"/>
        <v>134397.31963631031</v>
      </c>
      <c r="G220" s="7">
        <f t="shared" ca="1" si="125"/>
        <v>138429.23922539962</v>
      </c>
      <c r="H220" s="7">
        <f t="shared" ca="1" si="125"/>
        <v>142582.11640216163</v>
      </c>
      <c r="I220" s="7">
        <f t="shared" ca="1" si="125"/>
        <v>146859.57989422648</v>
      </c>
      <c r="J220" s="7">
        <f t="shared" ca="1" si="125"/>
        <v>151265.36729105329</v>
      </c>
      <c r="K220" s="7">
        <f t="shared" ca="1" si="125"/>
        <v>155803.32830978491</v>
      </c>
      <c r="L220" s="7">
        <f t="shared" ca="1" si="125"/>
        <v>0</v>
      </c>
      <c r="M220" s="7">
        <f t="shared" ca="1" si="125"/>
        <v>0</v>
      </c>
      <c r="N220" s="7">
        <f t="shared" ca="1" si="125"/>
        <v>0</v>
      </c>
      <c r="O220" s="7">
        <f t="shared" ca="1" si="125"/>
        <v>0</v>
      </c>
      <c r="P220" s="7">
        <f t="shared" ca="1" si="125"/>
        <v>0</v>
      </c>
      <c r="Q220" s="7">
        <f t="shared" ca="1" si="125"/>
        <v>0</v>
      </c>
      <c r="R220" s="7">
        <f t="shared" ca="1" si="125"/>
        <v>0</v>
      </c>
      <c r="S220" s="7">
        <f t="shared" ca="1" si="125"/>
        <v>0</v>
      </c>
      <c r="T220" s="7">
        <f t="shared" ca="1" si="125"/>
        <v>0</v>
      </c>
      <c r="U220" s="7">
        <f t="shared" ca="1" si="125"/>
        <v>0</v>
      </c>
      <c r="V220" s="7">
        <f t="shared" ca="1" si="125"/>
        <v>0</v>
      </c>
      <c r="W220" s="7">
        <f t="shared" ca="1" si="125"/>
        <v>0</v>
      </c>
      <c r="X220" s="7">
        <f t="shared" ca="1" si="125"/>
        <v>0</v>
      </c>
      <c r="Y220" s="7">
        <f t="shared" ca="1" si="125"/>
        <v>0</v>
      </c>
      <c r="Z220" s="7">
        <f t="shared" ca="1" si="125"/>
        <v>0</v>
      </c>
      <c r="AA220" s="7">
        <f t="shared" ca="1" si="125"/>
        <v>0</v>
      </c>
      <c r="AB220" s="7">
        <f t="shared" ca="1" si="125"/>
        <v>0</v>
      </c>
      <c r="AC220" s="7">
        <f t="shared" ca="1" si="125"/>
        <v>0</v>
      </c>
      <c r="AD220" s="7">
        <f t="shared" ca="1" si="125"/>
        <v>0</v>
      </c>
      <c r="AE220" s="7">
        <f t="shared" ca="1" si="125"/>
        <v>0</v>
      </c>
      <c r="AF220" s="7">
        <f t="shared" ca="1" si="125"/>
        <v>0</v>
      </c>
      <c r="AG220" s="7">
        <f t="shared" ca="1" si="125"/>
        <v>0</v>
      </c>
      <c r="AH220" s="7">
        <f t="shared" ca="1" si="125"/>
        <v>0</v>
      </c>
      <c r="AI220" s="7">
        <f t="shared" ca="1" si="125"/>
        <v>0</v>
      </c>
      <c r="AJ220" s="7">
        <f t="shared" ca="1" si="125"/>
        <v>0</v>
      </c>
      <c r="AK220" s="7">
        <f t="shared" ca="1" si="125"/>
        <v>0</v>
      </c>
      <c r="AL220" s="7">
        <f t="shared" ca="1" si="125"/>
        <v>0</v>
      </c>
      <c r="AM220" s="7">
        <f t="shared" ca="1" si="125"/>
        <v>0</v>
      </c>
    </row>
    <row r="221" spans="1:39" x14ac:dyDescent="0.2">
      <c r="A221" s="16" t="str">
        <f t="shared" si="122"/>
        <v>Stock market equity investments</v>
      </c>
      <c r="C221" s="7">
        <f t="shared" ref="C221:AM221" ca="1" si="126">C89</f>
        <v>31987.064369139065</v>
      </c>
      <c r="D221" s="7">
        <f t="shared" ca="1" si="126"/>
        <v>34546.029518670191</v>
      </c>
      <c r="E221" s="7">
        <f t="shared" ca="1" si="126"/>
        <v>37309.711880163806</v>
      </c>
      <c r="F221" s="7">
        <f t="shared" ca="1" si="126"/>
        <v>40294.488830576913</v>
      </c>
      <c r="G221" s="7">
        <f t="shared" ca="1" si="126"/>
        <v>43518.047937023068</v>
      </c>
      <c r="H221" s="7">
        <f t="shared" ca="1" si="126"/>
        <v>46999.491771984911</v>
      </c>
      <c r="I221" s="7">
        <f t="shared" ca="1" si="126"/>
        <v>24939.167186017567</v>
      </c>
      <c r="J221" s="7">
        <f t="shared" ca="1" si="126"/>
        <v>0</v>
      </c>
      <c r="K221" s="7">
        <f t="shared" ca="1" si="126"/>
        <v>0</v>
      </c>
      <c r="L221" s="7">
        <f t="shared" ca="1" si="126"/>
        <v>0</v>
      </c>
      <c r="M221" s="7">
        <f t="shared" ca="1" si="126"/>
        <v>0</v>
      </c>
      <c r="N221" s="7">
        <f t="shared" ca="1" si="126"/>
        <v>0</v>
      </c>
      <c r="O221" s="7">
        <f t="shared" ca="1" si="126"/>
        <v>0</v>
      </c>
      <c r="P221" s="7">
        <f t="shared" ca="1" si="126"/>
        <v>0</v>
      </c>
      <c r="Q221" s="7">
        <f t="shared" ca="1" si="126"/>
        <v>0</v>
      </c>
      <c r="R221" s="7">
        <f t="shared" ca="1" si="126"/>
        <v>0</v>
      </c>
      <c r="S221" s="7">
        <f t="shared" ca="1" si="126"/>
        <v>0</v>
      </c>
      <c r="T221" s="7">
        <f t="shared" ca="1" si="126"/>
        <v>0</v>
      </c>
      <c r="U221" s="7">
        <f t="shared" ca="1" si="126"/>
        <v>0</v>
      </c>
      <c r="V221" s="7">
        <f t="shared" ca="1" si="126"/>
        <v>0</v>
      </c>
      <c r="W221" s="7">
        <f t="shared" ca="1" si="126"/>
        <v>0</v>
      </c>
      <c r="X221" s="7">
        <f t="shared" ca="1" si="126"/>
        <v>0</v>
      </c>
      <c r="Y221" s="7">
        <f t="shared" ca="1" si="126"/>
        <v>0</v>
      </c>
      <c r="Z221" s="7">
        <f t="shared" ca="1" si="126"/>
        <v>0</v>
      </c>
      <c r="AA221" s="7">
        <f t="shared" ca="1" si="126"/>
        <v>0</v>
      </c>
      <c r="AB221" s="7">
        <f t="shared" ca="1" si="126"/>
        <v>0</v>
      </c>
      <c r="AC221" s="7">
        <f t="shared" ca="1" si="126"/>
        <v>0</v>
      </c>
      <c r="AD221" s="7">
        <f t="shared" ca="1" si="126"/>
        <v>0</v>
      </c>
      <c r="AE221" s="7">
        <f t="shared" ca="1" si="126"/>
        <v>0</v>
      </c>
      <c r="AF221" s="7">
        <f t="shared" ca="1" si="126"/>
        <v>0</v>
      </c>
      <c r="AG221" s="7">
        <f t="shared" ca="1" si="126"/>
        <v>0</v>
      </c>
      <c r="AH221" s="7">
        <f t="shared" ca="1" si="126"/>
        <v>0</v>
      </c>
      <c r="AI221" s="7">
        <f t="shared" ca="1" si="126"/>
        <v>0</v>
      </c>
      <c r="AJ221" s="7">
        <f t="shared" ca="1" si="126"/>
        <v>0</v>
      </c>
      <c r="AK221" s="7">
        <f t="shared" ca="1" si="126"/>
        <v>0</v>
      </c>
      <c r="AL221" s="7">
        <f t="shared" ca="1" si="126"/>
        <v>0</v>
      </c>
      <c r="AM221" s="7">
        <f t="shared" ca="1" si="126"/>
        <v>0</v>
      </c>
    </row>
    <row r="222" spans="1:39" x14ac:dyDescent="0.2">
      <c r="A222" s="16" t="str">
        <f t="shared" si="122"/>
        <v>Home loan</v>
      </c>
      <c r="C222" s="7">
        <f t="shared" ref="C222:AM222" ca="1" si="127">C70</f>
        <v>-43173.554028497994</v>
      </c>
      <c r="D222" s="7">
        <f t="shared" ca="1" si="127"/>
        <v>-34753.61277530963</v>
      </c>
      <c r="E222" s="7">
        <f t="shared" ca="1" si="127"/>
        <v>-26077.570951749931</v>
      </c>
      <c r="F222" s="7">
        <f t="shared" ca="1" si="127"/>
        <v>-17137.639013905144</v>
      </c>
      <c r="G222" s="7">
        <f t="shared" ca="1" si="127"/>
        <v>-7925.7904914290921</v>
      </c>
      <c r="H222" s="7">
        <f t="shared" ca="1" si="127"/>
        <v>0</v>
      </c>
      <c r="I222" s="7">
        <f t="shared" ca="1" si="127"/>
        <v>0</v>
      </c>
      <c r="J222" s="7">
        <f t="shared" ca="1" si="127"/>
        <v>0</v>
      </c>
      <c r="K222" s="7">
        <f t="shared" ca="1" si="127"/>
        <v>0</v>
      </c>
      <c r="L222" s="7">
        <f t="shared" ca="1" si="127"/>
        <v>0</v>
      </c>
      <c r="M222" s="7">
        <f t="shared" ca="1" si="127"/>
        <v>0</v>
      </c>
      <c r="N222" s="7">
        <f t="shared" ca="1" si="127"/>
        <v>0</v>
      </c>
      <c r="O222" s="7">
        <f t="shared" ca="1" si="127"/>
        <v>0</v>
      </c>
      <c r="P222" s="7">
        <f t="shared" ca="1" si="127"/>
        <v>0</v>
      </c>
      <c r="Q222" s="7">
        <f t="shared" ca="1" si="127"/>
        <v>0</v>
      </c>
      <c r="R222" s="7">
        <f t="shared" ca="1" si="127"/>
        <v>0</v>
      </c>
      <c r="S222" s="7">
        <f t="shared" ca="1" si="127"/>
        <v>0</v>
      </c>
      <c r="T222" s="7">
        <f t="shared" ca="1" si="127"/>
        <v>0</v>
      </c>
      <c r="U222" s="7">
        <f t="shared" ca="1" si="127"/>
        <v>0</v>
      </c>
      <c r="V222" s="7">
        <f t="shared" ca="1" si="127"/>
        <v>0</v>
      </c>
      <c r="W222" s="7">
        <f t="shared" ca="1" si="127"/>
        <v>0</v>
      </c>
      <c r="X222" s="7">
        <f t="shared" ca="1" si="127"/>
        <v>0</v>
      </c>
      <c r="Y222" s="7">
        <f t="shared" ca="1" si="127"/>
        <v>0</v>
      </c>
      <c r="Z222" s="7">
        <f t="shared" ca="1" si="127"/>
        <v>0</v>
      </c>
      <c r="AA222" s="7">
        <f t="shared" ca="1" si="127"/>
        <v>0</v>
      </c>
      <c r="AB222" s="7">
        <f t="shared" ca="1" si="127"/>
        <v>0</v>
      </c>
      <c r="AC222" s="7">
        <f t="shared" ca="1" si="127"/>
        <v>0</v>
      </c>
      <c r="AD222" s="7">
        <f t="shared" ca="1" si="127"/>
        <v>0</v>
      </c>
      <c r="AE222" s="7">
        <f t="shared" ca="1" si="127"/>
        <v>0</v>
      </c>
      <c r="AF222" s="7">
        <f t="shared" ca="1" si="127"/>
        <v>0</v>
      </c>
      <c r="AG222" s="7">
        <f t="shared" ca="1" si="127"/>
        <v>0</v>
      </c>
      <c r="AH222" s="7">
        <f t="shared" ca="1" si="127"/>
        <v>0</v>
      </c>
      <c r="AI222" s="7">
        <f t="shared" ca="1" si="127"/>
        <v>0</v>
      </c>
      <c r="AJ222" s="7">
        <f t="shared" ca="1" si="127"/>
        <v>0</v>
      </c>
      <c r="AK222" s="7">
        <f t="shared" ca="1" si="127"/>
        <v>0</v>
      </c>
      <c r="AL222" s="7">
        <f t="shared" ca="1" si="127"/>
        <v>0</v>
      </c>
      <c r="AM222" s="7">
        <f t="shared" ca="1" si="127"/>
        <v>0</v>
      </c>
    </row>
    <row r="223" spans="1:39" x14ac:dyDescent="0.2">
      <c r="A223" s="16" t="str">
        <f t="shared" si="122"/>
        <v>Other property loans</v>
      </c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  <c r="AA223" s="7"/>
      <c r="AB223" s="7"/>
      <c r="AC223" s="7"/>
      <c r="AD223" s="7"/>
      <c r="AE223" s="7"/>
      <c r="AF223" s="7"/>
      <c r="AG223" s="7"/>
      <c r="AH223" s="7"/>
      <c r="AI223" s="7"/>
      <c r="AJ223" s="7"/>
      <c r="AK223" s="7"/>
      <c r="AL223" s="7"/>
      <c r="AM223" s="7"/>
    </row>
    <row r="224" spans="1:39" x14ac:dyDescent="0.2">
      <c r="A224" s="17" t="str">
        <f t="shared" si="122"/>
        <v>Sliema</v>
      </c>
      <c r="C224" s="7">
        <f ca="1">C206</f>
        <v>-46207.530015832221</v>
      </c>
      <c r="D224" s="7">
        <f t="shared" ref="D224:AM226" ca="1" si="128">D206</f>
        <v>-41529.784875172016</v>
      </c>
      <c r="E224" s="7">
        <f t="shared" ca="1" si="128"/>
        <v>-36709.76163986107</v>
      </c>
      <c r="F224" s="7">
        <f t="shared" ca="1" si="128"/>
        <v>-31743.132785502858</v>
      </c>
      <c r="G224" s="7">
        <f t="shared" ca="1" si="128"/>
        <v>-26625.439161905048</v>
      </c>
      <c r="H224" s="7">
        <f t="shared" ca="1" si="128"/>
        <v>-21352.085989555409</v>
      </c>
      <c r="I224" s="7">
        <f t="shared" ca="1" si="128"/>
        <v>-15918.338734325836</v>
      </c>
      <c r="J224" s="7">
        <f t="shared" ca="1" si="128"/>
        <v>-10319.318856702368</v>
      </c>
      <c r="K224" s="7">
        <f t="shared" ca="1" si="128"/>
        <v>-4549.9994317232195</v>
      </c>
      <c r="L224" s="7">
        <f t="shared" ca="1" si="128"/>
        <v>0</v>
      </c>
      <c r="M224" s="7">
        <f t="shared" ca="1" si="128"/>
        <v>0</v>
      </c>
      <c r="N224" s="7">
        <f t="shared" ca="1" si="128"/>
        <v>0</v>
      </c>
      <c r="O224" s="7">
        <f t="shared" ca="1" si="128"/>
        <v>0</v>
      </c>
      <c r="P224" s="7">
        <f t="shared" ca="1" si="128"/>
        <v>0</v>
      </c>
      <c r="Q224" s="7">
        <f t="shared" ca="1" si="128"/>
        <v>0</v>
      </c>
      <c r="R224" s="7">
        <f t="shared" ca="1" si="128"/>
        <v>0</v>
      </c>
      <c r="S224" s="7">
        <f t="shared" ca="1" si="128"/>
        <v>0</v>
      </c>
      <c r="T224" s="7">
        <f t="shared" ca="1" si="128"/>
        <v>0</v>
      </c>
      <c r="U224" s="7">
        <f t="shared" ca="1" si="128"/>
        <v>0</v>
      </c>
      <c r="V224" s="7">
        <f t="shared" ca="1" si="128"/>
        <v>0</v>
      </c>
      <c r="W224" s="7">
        <f t="shared" ca="1" si="128"/>
        <v>0</v>
      </c>
      <c r="X224" s="7">
        <f t="shared" ca="1" si="128"/>
        <v>0</v>
      </c>
      <c r="Y224" s="7">
        <f t="shared" ca="1" si="128"/>
        <v>0</v>
      </c>
      <c r="Z224" s="7">
        <f t="shared" ca="1" si="128"/>
        <v>0</v>
      </c>
      <c r="AA224" s="7">
        <f t="shared" ca="1" si="128"/>
        <v>0</v>
      </c>
      <c r="AB224" s="7">
        <f t="shared" ca="1" si="128"/>
        <v>0</v>
      </c>
      <c r="AC224" s="7">
        <f t="shared" ca="1" si="128"/>
        <v>0</v>
      </c>
      <c r="AD224" s="7">
        <f t="shared" ca="1" si="128"/>
        <v>0</v>
      </c>
      <c r="AE224" s="7">
        <f t="shared" ca="1" si="128"/>
        <v>0</v>
      </c>
      <c r="AF224" s="7">
        <f t="shared" ca="1" si="128"/>
        <v>0</v>
      </c>
      <c r="AG224" s="7">
        <f t="shared" ca="1" si="128"/>
        <v>0</v>
      </c>
      <c r="AH224" s="7">
        <f t="shared" ca="1" si="128"/>
        <v>0</v>
      </c>
      <c r="AI224" s="7">
        <f t="shared" ca="1" si="128"/>
        <v>0</v>
      </c>
      <c r="AJ224" s="7">
        <f t="shared" ca="1" si="128"/>
        <v>0</v>
      </c>
      <c r="AK224" s="7">
        <f t="shared" ca="1" si="128"/>
        <v>0</v>
      </c>
      <c r="AL224" s="7">
        <f t="shared" ca="1" si="128"/>
        <v>0</v>
      </c>
      <c r="AM224" s="7">
        <f t="shared" ca="1" si="128"/>
        <v>0</v>
      </c>
    </row>
    <row r="225" spans="1:39" x14ac:dyDescent="0.2">
      <c r="A225" s="17" t="str">
        <f t="shared" si="122"/>
        <v>Gzira</v>
      </c>
      <c r="C225" s="7">
        <f ca="1">C207</f>
        <v>-6627.6670411890118</v>
      </c>
      <c r="D225" s="7">
        <f t="shared" ca="1" si="128"/>
        <v>-4339.3195483066884</v>
      </c>
      <c r="E225" s="7">
        <f t="shared" ca="1" si="128"/>
        <v>-2004.7832357051393</v>
      </c>
      <c r="F225" s="7">
        <f t="shared" ca="1" si="128"/>
        <v>0</v>
      </c>
      <c r="G225" s="7">
        <f t="shared" ca="1" si="128"/>
        <v>0</v>
      </c>
      <c r="H225" s="7">
        <f t="shared" ca="1" si="128"/>
        <v>0</v>
      </c>
      <c r="I225" s="7">
        <f t="shared" ca="1" si="128"/>
        <v>0</v>
      </c>
      <c r="J225" s="7">
        <f t="shared" ca="1" si="128"/>
        <v>0</v>
      </c>
      <c r="K225" s="7">
        <f t="shared" ca="1" si="128"/>
        <v>0</v>
      </c>
      <c r="L225" s="7">
        <f t="shared" ca="1" si="128"/>
        <v>0</v>
      </c>
      <c r="M225" s="7">
        <f t="shared" ca="1" si="128"/>
        <v>0</v>
      </c>
      <c r="N225" s="7">
        <f t="shared" ca="1" si="128"/>
        <v>0</v>
      </c>
      <c r="O225" s="7">
        <f t="shared" ca="1" si="128"/>
        <v>0</v>
      </c>
      <c r="P225" s="7">
        <f t="shared" ca="1" si="128"/>
        <v>0</v>
      </c>
      <c r="Q225" s="7">
        <f t="shared" ca="1" si="128"/>
        <v>0</v>
      </c>
      <c r="R225" s="7">
        <f t="shared" ca="1" si="128"/>
        <v>0</v>
      </c>
      <c r="S225" s="7">
        <f t="shared" ca="1" si="128"/>
        <v>0</v>
      </c>
      <c r="T225" s="7">
        <f t="shared" ca="1" si="128"/>
        <v>0</v>
      </c>
      <c r="U225" s="7">
        <f t="shared" ca="1" si="128"/>
        <v>0</v>
      </c>
      <c r="V225" s="7">
        <f t="shared" ca="1" si="128"/>
        <v>0</v>
      </c>
      <c r="W225" s="7">
        <f t="shared" ca="1" si="128"/>
        <v>0</v>
      </c>
      <c r="X225" s="7">
        <f t="shared" ca="1" si="128"/>
        <v>0</v>
      </c>
      <c r="Y225" s="7">
        <f t="shared" ca="1" si="128"/>
        <v>0</v>
      </c>
      <c r="Z225" s="7">
        <f t="shared" ca="1" si="128"/>
        <v>0</v>
      </c>
      <c r="AA225" s="7">
        <f t="shared" ca="1" si="128"/>
        <v>0</v>
      </c>
      <c r="AB225" s="7">
        <f t="shared" ca="1" si="128"/>
        <v>0</v>
      </c>
      <c r="AC225" s="7">
        <f t="shared" ca="1" si="128"/>
        <v>0</v>
      </c>
      <c r="AD225" s="7">
        <f t="shared" ca="1" si="128"/>
        <v>0</v>
      </c>
      <c r="AE225" s="7">
        <f t="shared" ca="1" si="128"/>
        <v>0</v>
      </c>
      <c r="AF225" s="7">
        <f t="shared" ca="1" si="128"/>
        <v>0</v>
      </c>
      <c r="AG225" s="7">
        <f t="shared" ca="1" si="128"/>
        <v>0</v>
      </c>
      <c r="AH225" s="7">
        <f t="shared" ca="1" si="128"/>
        <v>0</v>
      </c>
      <c r="AI225" s="7">
        <f t="shared" ca="1" si="128"/>
        <v>0</v>
      </c>
      <c r="AJ225" s="7">
        <f t="shared" ca="1" si="128"/>
        <v>0</v>
      </c>
      <c r="AK225" s="7">
        <f t="shared" ca="1" si="128"/>
        <v>0</v>
      </c>
      <c r="AL225" s="7">
        <f t="shared" ca="1" si="128"/>
        <v>0</v>
      </c>
      <c r="AM225" s="7">
        <f t="shared" ca="1" si="128"/>
        <v>0</v>
      </c>
    </row>
    <row r="226" spans="1:39" x14ac:dyDescent="0.2">
      <c r="A226" s="17" t="str">
        <f t="shared" si="122"/>
        <v>Qormi</v>
      </c>
      <c r="C226" s="7">
        <f ca="1">C208</f>
        <v>-13089.450262401593</v>
      </c>
      <c r="D226" s="7">
        <f t="shared" ca="1" si="128"/>
        <v>-10689.417507150618</v>
      </c>
      <c r="E226" s="7">
        <f t="shared" ca="1" si="128"/>
        <v>-8166.5945211626622</v>
      </c>
      <c r="F226" s="7">
        <f t="shared" ca="1" si="128"/>
        <v>-5514.6991231919146</v>
      </c>
      <c r="G226" s="7">
        <f t="shared" ca="1" si="128"/>
        <v>-2727.1277236771257</v>
      </c>
      <c r="H226" s="7">
        <f t="shared" ca="1" si="128"/>
        <v>0</v>
      </c>
      <c r="I226" s="7">
        <f t="shared" ca="1" si="128"/>
        <v>0</v>
      </c>
      <c r="J226" s="7">
        <f t="shared" ca="1" si="128"/>
        <v>0</v>
      </c>
      <c r="K226" s="7">
        <f t="shared" ca="1" si="128"/>
        <v>0</v>
      </c>
      <c r="L226" s="7">
        <f t="shared" ca="1" si="128"/>
        <v>0</v>
      </c>
      <c r="M226" s="7">
        <f t="shared" ca="1" si="128"/>
        <v>0</v>
      </c>
      <c r="N226" s="7">
        <f t="shared" ca="1" si="128"/>
        <v>0</v>
      </c>
      <c r="O226" s="7">
        <f t="shared" ca="1" si="128"/>
        <v>0</v>
      </c>
      <c r="P226" s="7">
        <f t="shared" ca="1" si="128"/>
        <v>0</v>
      </c>
      <c r="Q226" s="7">
        <f t="shared" ca="1" si="128"/>
        <v>0</v>
      </c>
      <c r="R226" s="7">
        <f t="shared" ca="1" si="128"/>
        <v>0</v>
      </c>
      <c r="S226" s="7">
        <f t="shared" ca="1" si="128"/>
        <v>0</v>
      </c>
      <c r="T226" s="7">
        <f t="shared" ca="1" si="128"/>
        <v>0</v>
      </c>
      <c r="U226" s="7">
        <f t="shared" ca="1" si="128"/>
        <v>0</v>
      </c>
      <c r="V226" s="7">
        <f t="shared" ca="1" si="128"/>
        <v>0</v>
      </c>
      <c r="W226" s="7">
        <f t="shared" ca="1" si="128"/>
        <v>0</v>
      </c>
      <c r="X226" s="7">
        <f t="shared" ca="1" si="128"/>
        <v>0</v>
      </c>
      <c r="Y226" s="7">
        <f t="shared" ca="1" si="128"/>
        <v>0</v>
      </c>
      <c r="Z226" s="7">
        <f t="shared" ca="1" si="128"/>
        <v>0</v>
      </c>
      <c r="AA226" s="7">
        <f t="shared" ca="1" si="128"/>
        <v>0</v>
      </c>
      <c r="AB226" s="7">
        <f t="shared" ca="1" si="128"/>
        <v>0</v>
      </c>
      <c r="AC226" s="7">
        <f t="shared" ca="1" si="128"/>
        <v>0</v>
      </c>
      <c r="AD226" s="7">
        <f t="shared" ca="1" si="128"/>
        <v>0</v>
      </c>
      <c r="AE226" s="7">
        <f t="shared" ca="1" si="128"/>
        <v>0</v>
      </c>
      <c r="AF226" s="7">
        <f t="shared" ca="1" si="128"/>
        <v>0</v>
      </c>
      <c r="AG226" s="7">
        <f t="shared" ca="1" si="128"/>
        <v>0</v>
      </c>
      <c r="AH226" s="7">
        <f t="shared" ca="1" si="128"/>
        <v>0</v>
      </c>
      <c r="AI226" s="7">
        <f t="shared" ca="1" si="128"/>
        <v>0</v>
      </c>
      <c r="AJ226" s="7">
        <f t="shared" ca="1" si="128"/>
        <v>0</v>
      </c>
      <c r="AK226" s="7">
        <f t="shared" ca="1" si="128"/>
        <v>0</v>
      </c>
      <c r="AL226" s="7">
        <f t="shared" ca="1" si="128"/>
        <v>0</v>
      </c>
      <c r="AM226" s="7">
        <f t="shared" ca="1" si="128"/>
        <v>0</v>
      </c>
    </row>
    <row r="227" spans="1:39" x14ac:dyDescent="0.2">
      <c r="A227" s="17" t="str">
        <f t="shared" si="122"/>
        <v>Gudja</v>
      </c>
      <c r="C227" s="7">
        <f t="shared" ref="C227:AM228" ca="1" si="129">C209</f>
        <v>-3952.5608629982789</v>
      </c>
      <c r="D227" s="7">
        <f t="shared" ca="1" si="129"/>
        <v>-3063.4916845977205</v>
      </c>
      <c r="E227" s="7">
        <f t="shared" ca="1" si="129"/>
        <v>-2156.4772176748579</v>
      </c>
      <c r="F227" s="7">
        <f t="shared" ca="1" si="129"/>
        <v>-1231.15524814336</v>
      </c>
      <c r="G227" s="7">
        <f t="shared" ca="1" si="129"/>
        <v>-287.15625085893407</v>
      </c>
      <c r="H227" s="7">
        <f t="shared" ca="1" si="129"/>
        <v>0</v>
      </c>
      <c r="I227" s="7">
        <f t="shared" ca="1" si="129"/>
        <v>0</v>
      </c>
      <c r="J227" s="7">
        <f t="shared" ca="1" si="129"/>
        <v>0</v>
      </c>
      <c r="K227" s="7">
        <f t="shared" ca="1" si="129"/>
        <v>0</v>
      </c>
      <c r="L227" s="7">
        <f t="shared" ca="1" si="129"/>
        <v>0</v>
      </c>
      <c r="M227" s="7">
        <f t="shared" ca="1" si="129"/>
        <v>0</v>
      </c>
      <c r="N227" s="7">
        <f t="shared" ca="1" si="129"/>
        <v>0</v>
      </c>
      <c r="O227" s="7">
        <f t="shared" ca="1" si="129"/>
        <v>0</v>
      </c>
      <c r="P227" s="7">
        <f t="shared" ca="1" si="129"/>
        <v>0</v>
      </c>
      <c r="Q227" s="7">
        <f t="shared" ca="1" si="129"/>
        <v>0</v>
      </c>
      <c r="R227" s="7">
        <f t="shared" ca="1" si="129"/>
        <v>0</v>
      </c>
      <c r="S227" s="7">
        <f t="shared" ca="1" si="129"/>
        <v>0</v>
      </c>
      <c r="T227" s="7">
        <f t="shared" ca="1" si="129"/>
        <v>0</v>
      </c>
      <c r="U227" s="7">
        <f t="shared" ca="1" si="129"/>
        <v>0</v>
      </c>
      <c r="V227" s="7">
        <f t="shared" ca="1" si="129"/>
        <v>0</v>
      </c>
      <c r="W227" s="7">
        <f t="shared" ca="1" si="129"/>
        <v>0</v>
      </c>
      <c r="X227" s="7">
        <f t="shared" ca="1" si="129"/>
        <v>0</v>
      </c>
      <c r="Y227" s="7">
        <f t="shared" ca="1" si="129"/>
        <v>0</v>
      </c>
      <c r="Z227" s="7">
        <f t="shared" ca="1" si="129"/>
        <v>0</v>
      </c>
      <c r="AA227" s="7">
        <f t="shared" ca="1" si="129"/>
        <v>0</v>
      </c>
      <c r="AB227" s="7">
        <f t="shared" ca="1" si="129"/>
        <v>0</v>
      </c>
      <c r="AC227" s="7">
        <f t="shared" ca="1" si="129"/>
        <v>0</v>
      </c>
      <c r="AD227" s="7">
        <f t="shared" ca="1" si="129"/>
        <v>0</v>
      </c>
      <c r="AE227" s="7">
        <f t="shared" ca="1" si="129"/>
        <v>0</v>
      </c>
      <c r="AF227" s="7">
        <f t="shared" ca="1" si="129"/>
        <v>0</v>
      </c>
      <c r="AG227" s="7">
        <f t="shared" ca="1" si="129"/>
        <v>0</v>
      </c>
      <c r="AH227" s="7">
        <f t="shared" ca="1" si="129"/>
        <v>0</v>
      </c>
      <c r="AI227" s="7">
        <f t="shared" ca="1" si="129"/>
        <v>0</v>
      </c>
      <c r="AJ227" s="7">
        <f t="shared" ca="1" si="129"/>
        <v>0</v>
      </c>
      <c r="AK227" s="7">
        <f t="shared" ca="1" si="129"/>
        <v>0</v>
      </c>
      <c r="AL227" s="7">
        <f t="shared" ca="1" si="129"/>
        <v>0</v>
      </c>
      <c r="AM227" s="7">
        <f t="shared" ca="1" si="129"/>
        <v>0</v>
      </c>
    </row>
    <row r="228" spans="1:39" x14ac:dyDescent="0.2">
      <c r="A228" s="17" t="str">
        <f t="shared" si="122"/>
        <v>Marsa</v>
      </c>
      <c r="C228" s="7">
        <f t="shared" ca="1" si="129"/>
        <v>-8551.2061659277369</v>
      </c>
      <c r="D228" s="7">
        <f t="shared" ca="1" si="129"/>
        <v>-7351.3333523807905</v>
      </c>
      <c r="E228" s="7">
        <f t="shared" ca="1" si="129"/>
        <v>-6114.965259035298</v>
      </c>
      <c r="F228" s="7">
        <f t="shared" ca="1" si="129"/>
        <v>-4840.9918470333869</v>
      </c>
      <c r="G228" s="7">
        <f t="shared" ca="1" si="129"/>
        <v>-3528.2693146230595</v>
      </c>
      <c r="H228" s="7">
        <f t="shared" ca="1" si="129"/>
        <v>-2175.6190702275599</v>
      </c>
      <c r="I228" s="7">
        <f t="shared" ca="1" si="129"/>
        <v>-781.82667427947126</v>
      </c>
      <c r="J228" s="7">
        <f t="shared" ca="1" si="129"/>
        <v>0</v>
      </c>
      <c r="K228" s="7">
        <f t="shared" ca="1" si="129"/>
        <v>0</v>
      </c>
      <c r="L228" s="7">
        <f t="shared" ca="1" si="129"/>
        <v>0</v>
      </c>
      <c r="M228" s="7">
        <f t="shared" ca="1" si="129"/>
        <v>0</v>
      </c>
      <c r="N228" s="7">
        <f t="shared" ca="1" si="129"/>
        <v>0</v>
      </c>
      <c r="O228" s="7">
        <f t="shared" ca="1" si="129"/>
        <v>0</v>
      </c>
      <c r="P228" s="7">
        <f t="shared" ca="1" si="129"/>
        <v>0</v>
      </c>
      <c r="Q228" s="7">
        <f t="shared" ca="1" si="129"/>
        <v>0</v>
      </c>
      <c r="R228" s="7">
        <f t="shared" ca="1" si="129"/>
        <v>0</v>
      </c>
      <c r="S228" s="7">
        <f t="shared" ca="1" si="129"/>
        <v>0</v>
      </c>
      <c r="T228" s="7">
        <f t="shared" ca="1" si="129"/>
        <v>0</v>
      </c>
      <c r="U228" s="7">
        <f t="shared" ca="1" si="129"/>
        <v>0</v>
      </c>
      <c r="V228" s="7">
        <f t="shared" ca="1" si="129"/>
        <v>0</v>
      </c>
      <c r="W228" s="7">
        <f t="shared" ca="1" si="129"/>
        <v>0</v>
      </c>
      <c r="X228" s="7">
        <f t="shared" ca="1" si="129"/>
        <v>0</v>
      </c>
      <c r="Y228" s="7">
        <f t="shared" ca="1" si="129"/>
        <v>0</v>
      </c>
      <c r="Z228" s="7">
        <f t="shared" ca="1" si="129"/>
        <v>0</v>
      </c>
      <c r="AA228" s="7">
        <f t="shared" ca="1" si="129"/>
        <v>0</v>
      </c>
      <c r="AB228" s="7">
        <f t="shared" ca="1" si="129"/>
        <v>0</v>
      </c>
      <c r="AC228" s="7">
        <f t="shared" ca="1" si="129"/>
        <v>0</v>
      </c>
      <c r="AD228" s="7">
        <f t="shared" ca="1" si="129"/>
        <v>0</v>
      </c>
      <c r="AE228" s="7">
        <f t="shared" ca="1" si="129"/>
        <v>0</v>
      </c>
      <c r="AF228" s="7">
        <f t="shared" ca="1" si="129"/>
        <v>0</v>
      </c>
      <c r="AG228" s="7">
        <f t="shared" ca="1" si="129"/>
        <v>0</v>
      </c>
      <c r="AH228" s="7">
        <f t="shared" ca="1" si="129"/>
        <v>0</v>
      </c>
      <c r="AI228" s="7">
        <f t="shared" ca="1" si="129"/>
        <v>0</v>
      </c>
      <c r="AJ228" s="7">
        <f t="shared" ca="1" si="129"/>
        <v>0</v>
      </c>
      <c r="AK228" s="7">
        <f t="shared" ca="1" si="129"/>
        <v>0</v>
      </c>
      <c r="AL228" s="7">
        <f t="shared" ca="1" si="129"/>
        <v>0</v>
      </c>
      <c r="AM228" s="7">
        <f t="shared" ca="1" si="129"/>
        <v>0</v>
      </c>
    </row>
    <row r="229" spans="1:39" x14ac:dyDescent="0.2">
      <c r="A229" s="16" t="str">
        <f>A77</f>
        <v>Other loan</v>
      </c>
      <c r="C229" s="7">
        <f t="shared" ref="C229:AM229" ca="1" si="130">C77</f>
        <v>-3693.1592077552655</v>
      </c>
      <c r="D229" s="7">
        <f t="shared" ca="1" si="130"/>
        <v>-3304.1670679118561</v>
      </c>
      <c r="E229" s="7">
        <f t="shared" ca="1" si="130"/>
        <v>-2891.1827440504157</v>
      </c>
      <c r="F229" s="7">
        <f t="shared" ca="1" si="130"/>
        <v>-2452.7264507588625</v>
      </c>
      <c r="G229" s="7">
        <f t="shared" ca="1" si="130"/>
        <v>-1987.2271326988684</v>
      </c>
      <c r="H229" s="7">
        <f t="shared" ca="1" si="130"/>
        <v>-1493.0168352765186</v>
      </c>
      <c r="I229" s="7">
        <f t="shared" ca="1" si="130"/>
        <v>-968.32472810825493</v>
      </c>
      <c r="J229" s="7">
        <f t="shared" ca="1" si="130"/>
        <v>-411.2707598672805</v>
      </c>
      <c r="K229" s="7">
        <f t="shared" ca="1" si="130"/>
        <v>0</v>
      </c>
      <c r="L229" s="7">
        <f t="shared" ca="1" si="130"/>
        <v>0</v>
      </c>
      <c r="M229" s="7">
        <f t="shared" ca="1" si="130"/>
        <v>0</v>
      </c>
      <c r="N229" s="7">
        <f t="shared" ca="1" si="130"/>
        <v>0</v>
      </c>
      <c r="O229" s="7">
        <f t="shared" ca="1" si="130"/>
        <v>0</v>
      </c>
      <c r="P229" s="7">
        <f t="shared" ca="1" si="130"/>
        <v>0</v>
      </c>
      <c r="Q229" s="7">
        <f t="shared" ca="1" si="130"/>
        <v>0</v>
      </c>
      <c r="R229" s="7">
        <f t="shared" ca="1" si="130"/>
        <v>0</v>
      </c>
      <c r="S229" s="7">
        <f t="shared" ca="1" si="130"/>
        <v>0</v>
      </c>
      <c r="T229" s="7">
        <f t="shared" ca="1" si="130"/>
        <v>0</v>
      </c>
      <c r="U229" s="7">
        <f t="shared" ca="1" si="130"/>
        <v>0</v>
      </c>
      <c r="V229" s="7">
        <f t="shared" ca="1" si="130"/>
        <v>0</v>
      </c>
      <c r="W229" s="7">
        <f t="shared" ca="1" si="130"/>
        <v>0</v>
      </c>
      <c r="X229" s="7">
        <f t="shared" ca="1" si="130"/>
        <v>0</v>
      </c>
      <c r="Y229" s="7">
        <f t="shared" ca="1" si="130"/>
        <v>0</v>
      </c>
      <c r="Z229" s="7">
        <f t="shared" ca="1" si="130"/>
        <v>0</v>
      </c>
      <c r="AA229" s="7">
        <f t="shared" ca="1" si="130"/>
        <v>0</v>
      </c>
      <c r="AB229" s="7">
        <f t="shared" ca="1" si="130"/>
        <v>0</v>
      </c>
      <c r="AC229" s="7">
        <f t="shared" ca="1" si="130"/>
        <v>0</v>
      </c>
      <c r="AD229" s="7">
        <f t="shared" ca="1" si="130"/>
        <v>0</v>
      </c>
      <c r="AE229" s="7">
        <f t="shared" ca="1" si="130"/>
        <v>0</v>
      </c>
      <c r="AF229" s="7">
        <f t="shared" ca="1" si="130"/>
        <v>0</v>
      </c>
      <c r="AG229" s="7">
        <f t="shared" ca="1" si="130"/>
        <v>0</v>
      </c>
      <c r="AH229" s="7">
        <f t="shared" ca="1" si="130"/>
        <v>0</v>
      </c>
      <c r="AI229" s="7">
        <f t="shared" ca="1" si="130"/>
        <v>0</v>
      </c>
      <c r="AJ229" s="7">
        <f t="shared" ca="1" si="130"/>
        <v>0</v>
      </c>
      <c r="AK229" s="7">
        <f t="shared" ca="1" si="130"/>
        <v>0</v>
      </c>
      <c r="AL229" s="7">
        <f t="shared" ca="1" si="130"/>
        <v>0</v>
      </c>
      <c r="AM229" s="7">
        <f t="shared" ca="1" si="130"/>
        <v>0</v>
      </c>
    </row>
    <row r="230" spans="1:39" x14ac:dyDescent="0.2">
      <c r="A230" s="4"/>
      <c r="C230" s="9">
        <f ca="1">SUM(C212:C229)</f>
        <v>1486487.9915657642</v>
      </c>
      <c r="D230" s="9">
        <f t="shared" ref="D230:AM230" ca="1" si="131">SUM(D212:D229)</f>
        <v>1578514.7610075048</v>
      </c>
      <c r="E230" s="9">
        <f t="shared" ca="1" si="131"/>
        <v>1679362.533968953</v>
      </c>
      <c r="F230" s="9">
        <f t="shared" ca="1" si="131"/>
        <v>1762841.4863182209</v>
      </c>
      <c r="G230" s="9">
        <f t="shared" ca="1" si="131"/>
        <v>1787177.9048880567</v>
      </c>
      <c r="H230" s="9">
        <f t="shared" ca="1" si="131"/>
        <v>1813341.1824579649</v>
      </c>
      <c r="I230" s="9">
        <f t="shared" ca="1" si="131"/>
        <v>1831210.5901010167</v>
      </c>
      <c r="J230" s="9">
        <f t="shared" ca="1" si="131"/>
        <v>1852130.7757852855</v>
      </c>
      <c r="K230" s="9">
        <f t="shared" ca="1" si="131"/>
        <v>1856539.671049152</v>
      </c>
      <c r="L230" s="9">
        <f t="shared" ca="1" si="131"/>
        <v>1918549.384993983</v>
      </c>
      <c r="M230" s="9">
        <f t="shared" ca="1" si="131"/>
        <v>1898709.0539431833</v>
      </c>
      <c r="N230" s="9">
        <f t="shared" ca="1" si="131"/>
        <v>1928098.9666778264</v>
      </c>
      <c r="O230" s="9">
        <f t="shared" ca="1" si="131"/>
        <v>1957923.7526163389</v>
      </c>
      <c r="P230" s="9">
        <f t="shared" ca="1" si="131"/>
        <v>1988211.8019882443</v>
      </c>
      <c r="Q230" s="9">
        <f t="shared" ca="1" si="131"/>
        <v>1983151.2053022014</v>
      </c>
      <c r="R230" s="9">
        <f t="shared" ca="1" si="131"/>
        <v>2001938.5992179557</v>
      </c>
      <c r="S230" s="9">
        <f t="shared" ca="1" si="131"/>
        <v>2020853.8857499466</v>
      </c>
      <c r="T230" s="9">
        <f t="shared" ca="1" si="131"/>
        <v>2058419.9105194812</v>
      </c>
      <c r="U230" s="9">
        <f t="shared" ca="1" si="131"/>
        <v>2104700.1151237134</v>
      </c>
      <c r="V230" s="9">
        <f t="shared" ca="1" si="131"/>
        <v>2152130.0287383897</v>
      </c>
      <c r="W230" s="9">
        <f t="shared" ca="1" si="131"/>
        <v>2200754.8414052334</v>
      </c>
      <c r="X230" s="9">
        <f t="shared" ca="1" si="131"/>
        <v>2250621.3663365045</v>
      </c>
      <c r="Y230" s="9">
        <f t="shared" ca="1" si="131"/>
        <v>2280602.7671066127</v>
      </c>
      <c r="Z230" s="9">
        <f t="shared" ca="1" si="131"/>
        <v>2242289.9699428179</v>
      </c>
      <c r="AA230" s="9">
        <f t="shared" ca="1" si="131"/>
        <v>2257579.5493709422</v>
      </c>
      <c r="AB230" s="9">
        <f t="shared" ca="1" si="131"/>
        <v>2272382.9208826022</v>
      </c>
      <c r="AC230" s="9">
        <f t="shared" ca="1" si="131"/>
        <v>2286484.0598010537</v>
      </c>
      <c r="AD230" s="9">
        <f t="shared" ca="1" si="131"/>
        <v>2299879.6848453372</v>
      </c>
      <c r="AE230" s="9">
        <f t="shared" ca="1" si="131"/>
        <v>2322798.8979096143</v>
      </c>
      <c r="AF230" s="9">
        <f t="shared" ca="1" si="131"/>
        <v>2345512.457453581</v>
      </c>
      <c r="AG230" s="9">
        <f t="shared" ca="1" si="131"/>
        <v>2368030.8203078019</v>
      </c>
      <c r="AH230" s="9">
        <f t="shared" ca="1" si="131"/>
        <v>2271883.9800506863</v>
      </c>
      <c r="AI230" s="9">
        <f t="shared" ca="1" si="131"/>
        <v>2272014.2496870803</v>
      </c>
      <c r="AJ230" s="9">
        <f t="shared" ca="1" si="131"/>
        <v>2271351.2437812276</v>
      </c>
      <c r="AK230" s="9">
        <f t="shared" ca="1" si="131"/>
        <v>2268922.9746060823</v>
      </c>
      <c r="AL230" s="9">
        <f t="shared" ca="1" si="131"/>
        <v>2264692.4366918821</v>
      </c>
      <c r="AM230" s="9">
        <f t="shared" ca="1" si="131"/>
        <v>2258621.9132154798</v>
      </c>
    </row>
    <row r="231" spans="1:39" x14ac:dyDescent="0.2"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  <c r="AA231" s="7"/>
      <c r="AB231" s="7"/>
      <c r="AC231" s="7"/>
      <c r="AD231" s="7"/>
      <c r="AE231" s="7"/>
      <c r="AF231" s="7"/>
      <c r="AG231" s="7"/>
      <c r="AH231" s="7"/>
      <c r="AI231" s="7"/>
      <c r="AJ231" s="7"/>
      <c r="AK231" s="7"/>
      <c r="AL231" s="7"/>
      <c r="AM231" s="7"/>
    </row>
    <row r="232" spans="1:39" ht="19" x14ac:dyDescent="0.25">
      <c r="A232" s="25" t="s">
        <v>78</v>
      </c>
      <c r="B232" s="26"/>
      <c r="C232" s="27"/>
      <c r="D232" s="27"/>
      <c r="E232" s="27"/>
      <c r="F232" s="27"/>
      <c r="G232" s="27"/>
      <c r="H232" s="27"/>
      <c r="I232" s="27"/>
      <c r="J232" s="27"/>
      <c r="K232" s="27"/>
      <c r="L232" s="27"/>
      <c r="M232" s="27"/>
      <c r="N232" s="27"/>
      <c r="O232" s="27"/>
      <c r="P232" s="27"/>
      <c r="Q232" s="27"/>
      <c r="R232" s="27"/>
      <c r="S232" s="27"/>
      <c r="T232" s="27"/>
      <c r="U232" s="27"/>
      <c r="V232" s="27"/>
      <c r="W232" s="27"/>
      <c r="X232" s="27"/>
      <c r="Y232" s="27"/>
      <c r="Z232" s="27"/>
      <c r="AA232" s="27"/>
      <c r="AB232" s="27"/>
      <c r="AC232" s="27"/>
      <c r="AD232" s="27"/>
      <c r="AE232" s="27"/>
      <c r="AF232" s="27"/>
      <c r="AG232" s="27"/>
      <c r="AH232" s="27"/>
      <c r="AI232" s="27"/>
      <c r="AJ232" s="27"/>
      <c r="AK232" s="27"/>
      <c r="AL232" s="27"/>
      <c r="AM232" s="27"/>
    </row>
    <row r="233" spans="1:39" x14ac:dyDescent="0.2"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  <c r="AA233" s="7"/>
      <c r="AB233" s="7"/>
      <c r="AC233" s="7"/>
      <c r="AD233" s="7"/>
      <c r="AE233" s="7"/>
      <c r="AF233" s="7"/>
      <c r="AG233" s="7"/>
      <c r="AH233" s="7"/>
      <c r="AI233" s="7"/>
      <c r="AJ233" s="7"/>
      <c r="AK233" s="7"/>
      <c r="AL233" s="7"/>
      <c r="AM233" s="7"/>
    </row>
    <row r="234" spans="1:39" x14ac:dyDescent="0.2">
      <c r="A234" s="15" t="s">
        <v>67</v>
      </c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  <c r="AA234" s="7"/>
      <c r="AB234" s="7"/>
      <c r="AC234" s="7"/>
      <c r="AD234" s="7"/>
      <c r="AE234" s="7"/>
      <c r="AF234" s="7"/>
      <c r="AG234" s="7"/>
      <c r="AH234" s="7"/>
      <c r="AI234" s="7"/>
      <c r="AJ234" s="7"/>
      <c r="AK234" s="7"/>
      <c r="AL234" s="7"/>
      <c r="AM234" s="7"/>
    </row>
    <row r="235" spans="1:39" x14ac:dyDescent="0.2">
      <c r="A235" s="3" t="s">
        <v>9</v>
      </c>
      <c r="C235" s="7">
        <f t="shared" ref="C235:AM235" ca="1" si="132">C61</f>
        <v>73136.875000000015</v>
      </c>
      <c r="D235" s="7">
        <f t="shared" ca="1" si="132"/>
        <v>97140.903125000026</v>
      </c>
      <c r="E235" s="7">
        <f t="shared" ca="1" si="132"/>
        <v>127759.43382812504</v>
      </c>
      <c r="F235" s="7">
        <f t="shared" ca="1" si="132"/>
        <v>139100.17641137764</v>
      </c>
      <c r="G235" s="7">
        <f t="shared" ca="1" si="132"/>
        <v>90982.686515080073</v>
      </c>
      <c r="H235" s="7">
        <f t="shared" ca="1" si="132"/>
        <v>44731.486654559354</v>
      </c>
      <c r="I235" s="7">
        <f t="shared" ca="1" si="132"/>
        <v>17287.713211722381</v>
      </c>
      <c r="J235" s="7">
        <f t="shared" ca="1" si="132"/>
        <v>-16502.477191050719</v>
      </c>
      <c r="K235" s="7">
        <f t="shared" ca="1" si="132"/>
        <v>-68057.772990528203</v>
      </c>
      <c r="L235" s="7">
        <f t="shared" ca="1" si="132"/>
        <v>-37533.575888335326</v>
      </c>
      <c r="M235" s="7">
        <f t="shared" ca="1" si="132"/>
        <v>-101143.73857023781</v>
      </c>
      <c r="N235" s="7">
        <f t="shared" ca="1" si="132"/>
        <v>-116252.47678214483</v>
      </c>
      <c r="O235" s="7">
        <f t="shared" ca="1" si="132"/>
        <v>-131499.57634253675</v>
      </c>
      <c r="P235" s="7">
        <f t="shared" ca="1" si="132"/>
        <v>-146881.3155719213</v>
      </c>
      <c r="Q235" s="7">
        <f t="shared" ca="1" si="132"/>
        <v>-162393.66432742277</v>
      </c>
      <c r="R235" s="7">
        <f t="shared" ca="1" si="132"/>
        <v>-178032.26982855561</v>
      </c>
      <c r="S235" s="7">
        <f t="shared" ca="1" si="132"/>
        <v>-193792.44193476287</v>
      </c>
      <c r="T235" s="7">
        <f t="shared" ca="1" si="132"/>
        <v>-191257.55689495517</v>
      </c>
      <c r="U235" s="7">
        <f t="shared" ca="1" si="132"/>
        <v>-180575.20123753947</v>
      </c>
      <c r="V235" s="7">
        <f t="shared" ca="1" si="132"/>
        <v>-169331.40763851561</v>
      </c>
      <c r="W235" s="7">
        <f t="shared" ca="1" si="132"/>
        <v>-157503.30877783825</v>
      </c>
      <c r="X235" s="7">
        <f t="shared" ca="1" si="132"/>
        <v>-145067.20071131567</v>
      </c>
      <c r="Y235" s="7">
        <f t="shared" ca="1" si="132"/>
        <v>-152657.3707777331</v>
      </c>
      <c r="Z235" s="7">
        <f t="shared" ca="1" si="132"/>
        <v>-160105.96888136212</v>
      </c>
      <c r="AA235" s="7">
        <f t="shared" ca="1" si="132"/>
        <v>-167399.51593669952</v>
      </c>
      <c r="AB235" s="7">
        <f t="shared" ca="1" si="132"/>
        <v>-174523.89768751158</v>
      </c>
      <c r="AC235" s="7">
        <f t="shared" ca="1" si="132"/>
        <v>-181464.33988175789</v>
      </c>
      <c r="AD235" s="7">
        <f t="shared" ca="1" si="132"/>
        <v>-188205.38255751424</v>
      </c>
      <c r="AE235" s="7">
        <f t="shared" ca="1" si="132"/>
        <v>-184748.37831583194</v>
      </c>
      <c r="AF235" s="7">
        <f t="shared" ca="1" si="132"/>
        <v>-180809.32814084471</v>
      </c>
      <c r="AG235" s="7">
        <f t="shared" ca="1" si="132"/>
        <v>-176364.31225940198</v>
      </c>
      <c r="AH235" s="7">
        <f t="shared" ca="1" si="132"/>
        <v>-171388.45684528002</v>
      </c>
      <c r="AI235" s="7">
        <f t="shared" ca="1" si="132"/>
        <v>-165855.89948609244</v>
      </c>
      <c r="AJ235" s="7">
        <f t="shared" ca="1" si="132"/>
        <v>-159739.7534664213</v>
      </c>
      <c r="AK235" s="7">
        <f t="shared" ca="1" si="132"/>
        <v>-153012.0708279594</v>
      </c>
      <c r="AL235" s="7">
        <f t="shared" ca="1" si="132"/>
        <v>-145643.80416618794</v>
      </c>
      <c r="AM235" s="7">
        <f t="shared" ca="1" si="132"/>
        <v>-137604.76712180377</v>
      </c>
    </row>
    <row r="236" spans="1:39" x14ac:dyDescent="0.2">
      <c r="A236" s="3" t="s">
        <v>28</v>
      </c>
      <c r="C236" s="7">
        <f t="shared" ref="C236:AM236" ca="1" si="133">C78</f>
        <v>1486487.9915657642</v>
      </c>
      <c r="D236" s="7">
        <f t="shared" ca="1" si="133"/>
        <v>1578514.7610075048</v>
      </c>
      <c r="E236" s="7">
        <f t="shared" ca="1" si="133"/>
        <v>1679362.533968953</v>
      </c>
      <c r="F236" s="7">
        <f t="shared" ca="1" si="133"/>
        <v>1762841.4863182209</v>
      </c>
      <c r="G236" s="7">
        <f t="shared" ca="1" si="133"/>
        <v>1787177.9048880567</v>
      </c>
      <c r="H236" s="7">
        <f t="shared" ca="1" si="133"/>
        <v>1813341.1824579649</v>
      </c>
      <c r="I236" s="7">
        <f t="shared" ca="1" si="133"/>
        <v>1849408.5278930268</v>
      </c>
      <c r="J236" s="7">
        <f t="shared" ca="1" si="133"/>
        <v>1880587.8897106256</v>
      </c>
      <c r="K236" s="7">
        <f t="shared" ca="1" si="133"/>
        <v>1895188.8231516841</v>
      </c>
      <c r="L236" s="7">
        <f t="shared" ca="1" si="133"/>
        <v>1992257.208741772</v>
      </c>
      <c r="M236" s="7">
        <f t="shared" ca="1" si="133"/>
        <v>1992737.8840828426</v>
      </c>
      <c r="N236" s="7">
        <f t="shared" ca="1" si="133"/>
        <v>2043898.4781933238</v>
      </c>
      <c r="O236" s="7">
        <f t="shared" ca="1" si="133"/>
        <v>2097185.0216164151</v>
      </c>
      <c r="P236" s="7">
        <f t="shared" ca="1" si="133"/>
        <v>2152691.2638067557</v>
      </c>
      <c r="Q236" s="7">
        <f t="shared" ca="1" si="133"/>
        <v>2210515.7313920478</v>
      </c>
      <c r="R236" s="7">
        <f t="shared" ca="1" si="133"/>
        <v>2270762.0178386872</v>
      </c>
      <c r="S236" s="7">
        <f t="shared" ca="1" si="133"/>
        <v>2333539.0932447799</v>
      </c>
      <c r="T236" s="7">
        <f t="shared" ca="1" si="133"/>
        <v>2417373.2167328391</v>
      </c>
      <c r="U236" s="7">
        <f t="shared" ca="1" si="133"/>
        <v>2512232.1313833832</v>
      </c>
      <c r="V236" s="7">
        <f t="shared" ca="1" si="133"/>
        <v>2610651.1916080727</v>
      </c>
      <c r="W236" s="7">
        <f t="shared" ca="1" si="133"/>
        <v>2712781.0988249495</v>
      </c>
      <c r="X236" s="7">
        <f t="shared" ca="1" si="133"/>
        <v>2818780.2559286617</v>
      </c>
      <c r="Y236" s="7">
        <f t="shared" ca="1" si="133"/>
        <v>2908156.3877152773</v>
      </c>
      <c r="Z236" s="7">
        <f t="shared" ca="1" si="133"/>
        <v>3001227.1507725785</v>
      </c>
      <c r="AA236" s="7">
        <f t="shared" ca="1" si="133"/>
        <v>3098164.1415854916</v>
      </c>
      <c r="AB236" s="7">
        <f t="shared" ca="1" si="133"/>
        <v>3199148.4573812676</v>
      </c>
      <c r="AC236" s="7">
        <f t="shared" ca="1" si="133"/>
        <v>3304371.3166856798</v>
      </c>
      <c r="AD236" s="7">
        <f t="shared" ca="1" si="133"/>
        <v>3414034.7250212706</v>
      </c>
      <c r="AE236" s="7">
        <f t="shared" ca="1" si="133"/>
        <v>3538334.6643097862</v>
      </c>
      <c r="AF236" s="7">
        <f t="shared" ca="1" si="133"/>
        <v>3667763.9961285698</v>
      </c>
      <c r="AG236" s="7">
        <f t="shared" ca="1" si="133"/>
        <v>3802567.825332324</v>
      </c>
      <c r="AH236" s="7">
        <f t="shared" ca="1" si="133"/>
        <v>3943005.3875559666</v>
      </c>
      <c r="AI236" s="7">
        <f t="shared" ca="1" si="133"/>
        <v>4089351.0023435005</v>
      </c>
      <c r="AJ236" s="7">
        <f t="shared" ca="1" si="133"/>
        <v>4241895.0968820732</v>
      </c>
      <c r="AK236" s="7">
        <f t="shared" ca="1" si="133"/>
        <v>4400945.3058121251</v>
      </c>
      <c r="AL236" s="7">
        <f t="shared" ca="1" si="133"/>
        <v>4566827.6530167237</v>
      </c>
      <c r="AM236" s="7">
        <f t="shared" ca="1" si="133"/>
        <v>4739887.821759712</v>
      </c>
    </row>
    <row r="237" spans="1:39" x14ac:dyDescent="0.2">
      <c r="A237" s="3"/>
      <c r="C237" s="10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  <c r="AA237" s="7"/>
      <c r="AB237" s="7"/>
      <c r="AC237" s="7"/>
      <c r="AD237" s="7"/>
      <c r="AE237" s="7"/>
      <c r="AF237" s="7"/>
      <c r="AG237" s="7"/>
      <c r="AH237" s="7"/>
      <c r="AI237" s="7"/>
      <c r="AJ237" s="7"/>
      <c r="AK237" s="7"/>
      <c r="AL237" s="7"/>
      <c r="AM237" s="7"/>
    </row>
    <row r="238" spans="1:39" x14ac:dyDescent="0.2">
      <c r="A238" s="15" t="s">
        <v>68</v>
      </c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  <c r="AA238" s="7"/>
      <c r="AB238" s="7"/>
      <c r="AC238" s="7"/>
      <c r="AD238" s="7"/>
      <c r="AE238" s="7"/>
      <c r="AF238" s="7"/>
      <c r="AG238" s="7"/>
      <c r="AH238" s="7"/>
      <c r="AI238" s="7"/>
      <c r="AJ238" s="7"/>
      <c r="AK238" s="7"/>
      <c r="AL238" s="7"/>
      <c r="AM238" s="7"/>
    </row>
    <row r="239" spans="1:39" x14ac:dyDescent="0.2">
      <c r="A239" s="3" t="s">
        <v>9</v>
      </c>
      <c r="C239" s="7">
        <f t="shared" ref="C239:AM239" ca="1" si="134">C213</f>
        <v>73136.875000000015</v>
      </c>
      <c r="D239" s="7">
        <f t="shared" ca="1" si="134"/>
        <v>97140.903125000026</v>
      </c>
      <c r="E239" s="7">
        <f t="shared" ca="1" si="134"/>
        <v>127759.43382812504</v>
      </c>
      <c r="F239" s="7">
        <f t="shared" ca="1" si="134"/>
        <v>139100.17641137764</v>
      </c>
      <c r="G239" s="7">
        <f t="shared" ca="1" si="134"/>
        <v>90982.686515080073</v>
      </c>
      <c r="H239" s="7">
        <f t="shared" ca="1" si="134"/>
        <v>44731.486654559354</v>
      </c>
      <c r="I239" s="7">
        <f t="shared" ca="1" si="134"/>
        <v>122816.44594358886</v>
      </c>
      <c r="J239" s="7">
        <f t="shared" ca="1" si="134"/>
        <v>110704.1942804876</v>
      </c>
      <c r="K239" s="7">
        <f t="shared" ca="1" si="134"/>
        <v>56367.784225867057</v>
      </c>
      <c r="L239" s="7">
        <f t="shared" ca="1" si="134"/>
        <v>220163.27031040267</v>
      </c>
      <c r="M239" s="7">
        <f t="shared" ca="1" si="134"/>
        <v>149371.35581909551</v>
      </c>
      <c r="N239" s="7">
        <f t="shared" ca="1" si="134"/>
        <v>126281.13761001588</v>
      </c>
      <c r="O239" s="7">
        <f t="shared" ca="1" si="134"/>
        <v>102051.3886764935</v>
      </c>
      <c r="P239" s="7">
        <f t="shared" ca="1" si="134"/>
        <v>76663.267130203953</v>
      </c>
      <c r="Q239" s="7">
        <f t="shared" ca="1" si="134"/>
        <v>246802.86686737029</v>
      </c>
      <c r="R239" s="7">
        <f t="shared" ca="1" si="134"/>
        <v>213499.8106300793</v>
      </c>
      <c r="S239" s="7">
        <f t="shared" ca="1" si="134"/>
        <v>178761.93350443404</v>
      </c>
      <c r="T239" s="7">
        <f t="shared" ca="1" si="134"/>
        <v>161065.19970660284</v>
      </c>
      <c r="U239" s="7">
        <f t="shared" ca="1" si="134"/>
        <v>150424.7629864492</v>
      </c>
      <c r="V239" s="7">
        <f t="shared" ca="1" si="134"/>
        <v>139226.41603700753</v>
      </c>
      <c r="W239" s="7">
        <f t="shared" ca="1" si="134"/>
        <v>127464.12032280934</v>
      </c>
      <c r="X239" s="7">
        <f t="shared" ca="1" si="134"/>
        <v>115131.92362160722</v>
      </c>
      <c r="Y239" s="7">
        <f t="shared" ca="1" si="134"/>
        <v>81048.641110268611</v>
      </c>
      <c r="Z239" s="7">
        <f t="shared" ca="1" si="134"/>
        <v>421766.15315834375</v>
      </c>
      <c r="AA239" s="7">
        <f t="shared" ca="1" si="134"/>
        <v>382440.01808293402</v>
      </c>
      <c r="AB239" s="7">
        <f t="shared" ca="1" si="134"/>
        <v>340989.20365595352</v>
      </c>
      <c r="AC239" s="7">
        <f t="shared" ca="1" si="134"/>
        <v>297148.53105760575</v>
      </c>
      <c r="AD239" s="7">
        <f t="shared" ca="1" si="134"/>
        <v>250864.09023958546</v>
      </c>
      <c r="AE239" s="7">
        <f t="shared" ca="1" si="134"/>
        <v>212312.83546568983</v>
      </c>
      <c r="AF239" s="7">
        <f t="shared" ca="1" si="134"/>
        <v>171711.8131363389</v>
      </c>
      <c r="AG239" s="7">
        <f t="shared" ca="1" si="134"/>
        <v>129016.15666104242</v>
      </c>
      <c r="AH239" s="7">
        <f t="shared" ca="1" si="134"/>
        <v>734427.24434657802</v>
      </c>
      <c r="AI239" s="7">
        <f t="shared" ca="1" si="134"/>
        <v>688433.81191184837</v>
      </c>
      <c r="AJ239" s="7">
        <f t="shared" ca="1" si="134"/>
        <v>640263.39287273888</v>
      </c>
      <c r="AK239" s="7">
        <f t="shared" ca="1" si="134"/>
        <v>588902.48817033891</v>
      </c>
      <c r="AL239" s="7">
        <f t="shared" ca="1" si="134"/>
        <v>534271.33566306648</v>
      </c>
      <c r="AM239" s="7">
        <f t="shared" ca="1" si="134"/>
        <v>476288.17915579944</v>
      </c>
    </row>
    <row r="240" spans="1:39" x14ac:dyDescent="0.2">
      <c r="A240" s="3" t="s">
        <v>28</v>
      </c>
      <c r="C240" s="7">
        <f t="shared" ref="C240:AM240" ca="1" si="135">C230</f>
        <v>1486487.9915657642</v>
      </c>
      <c r="D240" s="7">
        <f t="shared" ca="1" si="135"/>
        <v>1578514.7610075048</v>
      </c>
      <c r="E240" s="7">
        <f t="shared" ca="1" si="135"/>
        <v>1679362.533968953</v>
      </c>
      <c r="F240" s="7">
        <f t="shared" ca="1" si="135"/>
        <v>1762841.4863182209</v>
      </c>
      <c r="G240" s="7">
        <f t="shared" ca="1" si="135"/>
        <v>1787177.9048880567</v>
      </c>
      <c r="H240" s="7">
        <f t="shared" ca="1" si="135"/>
        <v>1813341.1824579649</v>
      </c>
      <c r="I240" s="7">
        <f t="shared" ca="1" si="135"/>
        <v>1831210.5901010167</v>
      </c>
      <c r="J240" s="7">
        <f t="shared" ca="1" si="135"/>
        <v>1852130.7757852855</v>
      </c>
      <c r="K240" s="7">
        <f t="shared" ca="1" si="135"/>
        <v>1856539.671049152</v>
      </c>
      <c r="L240" s="7">
        <f t="shared" ca="1" si="135"/>
        <v>1918549.384993983</v>
      </c>
      <c r="M240" s="7">
        <f t="shared" ca="1" si="135"/>
        <v>1898709.0539431833</v>
      </c>
      <c r="N240" s="7">
        <f t="shared" ca="1" si="135"/>
        <v>1928098.9666778264</v>
      </c>
      <c r="O240" s="7">
        <f t="shared" ca="1" si="135"/>
        <v>1957923.7526163389</v>
      </c>
      <c r="P240" s="7">
        <f t="shared" ca="1" si="135"/>
        <v>1988211.8019882443</v>
      </c>
      <c r="Q240" s="7">
        <f t="shared" ca="1" si="135"/>
        <v>1983151.2053022014</v>
      </c>
      <c r="R240" s="7">
        <f t="shared" ca="1" si="135"/>
        <v>2001938.5992179557</v>
      </c>
      <c r="S240" s="7">
        <f t="shared" ca="1" si="135"/>
        <v>2020853.8857499466</v>
      </c>
      <c r="T240" s="7">
        <f t="shared" ca="1" si="135"/>
        <v>2058419.9105194812</v>
      </c>
      <c r="U240" s="7">
        <f t="shared" ca="1" si="135"/>
        <v>2104700.1151237134</v>
      </c>
      <c r="V240" s="7">
        <f t="shared" ca="1" si="135"/>
        <v>2152130.0287383897</v>
      </c>
      <c r="W240" s="7">
        <f t="shared" ca="1" si="135"/>
        <v>2200754.8414052334</v>
      </c>
      <c r="X240" s="7">
        <f t="shared" ca="1" si="135"/>
        <v>2250621.3663365045</v>
      </c>
      <c r="Y240" s="7">
        <f t="shared" ca="1" si="135"/>
        <v>2280602.7671066127</v>
      </c>
      <c r="Z240" s="7">
        <f t="shared" ca="1" si="135"/>
        <v>2242289.9699428179</v>
      </c>
      <c r="AA240" s="7">
        <f t="shared" ca="1" si="135"/>
        <v>2257579.5493709422</v>
      </c>
      <c r="AB240" s="7">
        <f t="shared" ca="1" si="135"/>
        <v>2272382.9208826022</v>
      </c>
      <c r="AC240" s="7">
        <f t="shared" ca="1" si="135"/>
        <v>2286484.0598010537</v>
      </c>
      <c r="AD240" s="7">
        <f t="shared" ca="1" si="135"/>
        <v>2299879.6848453372</v>
      </c>
      <c r="AE240" s="7">
        <f t="shared" ca="1" si="135"/>
        <v>2322798.8979096143</v>
      </c>
      <c r="AF240" s="7">
        <f t="shared" ca="1" si="135"/>
        <v>2345512.457453581</v>
      </c>
      <c r="AG240" s="7">
        <f t="shared" ca="1" si="135"/>
        <v>2368030.8203078019</v>
      </c>
      <c r="AH240" s="7">
        <f t="shared" ca="1" si="135"/>
        <v>2271883.9800506863</v>
      </c>
      <c r="AI240" s="7">
        <f t="shared" ca="1" si="135"/>
        <v>2272014.2496870803</v>
      </c>
      <c r="AJ240" s="7">
        <f t="shared" ca="1" si="135"/>
        <v>2271351.2437812276</v>
      </c>
      <c r="AK240" s="7">
        <f t="shared" ca="1" si="135"/>
        <v>2268922.9746060823</v>
      </c>
      <c r="AL240" s="7">
        <f t="shared" ca="1" si="135"/>
        <v>2264692.4366918821</v>
      </c>
      <c r="AM240" s="7">
        <f t="shared" ca="1" si="135"/>
        <v>2258621.9132154798</v>
      </c>
    </row>
    <row r="241" spans="1:39" x14ac:dyDescent="0.2">
      <c r="A241" s="3"/>
      <c r="C241" s="7"/>
      <c r="D241" s="7"/>
      <c r="E241" s="23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  <c r="AA241" s="7"/>
      <c r="AB241" s="7"/>
      <c r="AC241" s="7"/>
      <c r="AD241" s="7"/>
      <c r="AE241" s="7"/>
      <c r="AF241" s="7"/>
      <c r="AG241" s="7"/>
      <c r="AH241" s="7"/>
      <c r="AI241" s="7"/>
      <c r="AJ241" s="7"/>
      <c r="AK241" s="7"/>
      <c r="AL241" s="7"/>
      <c r="AM241" s="7"/>
    </row>
    <row r="242" spans="1:39" x14ac:dyDescent="0.2">
      <c r="A242" s="15" t="s">
        <v>69</v>
      </c>
      <c r="B242" s="2" t="s">
        <v>1</v>
      </c>
      <c r="C242" s="7">
        <f t="shared" ref="C242:AM242" si="136">C3</f>
        <v>48</v>
      </c>
      <c r="D242" s="7">
        <f t="shared" si="136"/>
        <v>49</v>
      </c>
      <c r="E242" s="7">
        <f t="shared" si="136"/>
        <v>50</v>
      </c>
      <c r="F242" s="7">
        <f t="shared" si="136"/>
        <v>51</v>
      </c>
      <c r="G242" s="7">
        <f t="shared" si="136"/>
        <v>52</v>
      </c>
      <c r="H242" s="7">
        <f t="shared" si="136"/>
        <v>53</v>
      </c>
      <c r="I242" s="7">
        <f t="shared" si="136"/>
        <v>54</v>
      </c>
      <c r="J242" s="7">
        <f t="shared" si="136"/>
        <v>55</v>
      </c>
      <c r="K242" s="7">
        <f t="shared" si="136"/>
        <v>56</v>
      </c>
      <c r="L242" s="7">
        <f t="shared" si="136"/>
        <v>57</v>
      </c>
      <c r="M242" s="7">
        <f t="shared" si="136"/>
        <v>58</v>
      </c>
      <c r="N242" s="7">
        <f t="shared" si="136"/>
        <v>59</v>
      </c>
      <c r="O242" s="7">
        <f t="shared" si="136"/>
        <v>60</v>
      </c>
      <c r="P242" s="7">
        <f t="shared" si="136"/>
        <v>61</v>
      </c>
      <c r="Q242" s="7">
        <f t="shared" si="136"/>
        <v>62</v>
      </c>
      <c r="R242" s="7">
        <f t="shared" si="136"/>
        <v>63</v>
      </c>
      <c r="S242" s="7">
        <f t="shared" si="136"/>
        <v>64</v>
      </c>
      <c r="T242" s="7">
        <f t="shared" si="136"/>
        <v>65</v>
      </c>
      <c r="U242" s="7">
        <f t="shared" si="136"/>
        <v>66</v>
      </c>
      <c r="V242" s="7">
        <f t="shared" si="136"/>
        <v>67</v>
      </c>
      <c r="W242" s="7">
        <f t="shared" si="136"/>
        <v>68</v>
      </c>
      <c r="X242" s="7">
        <f t="shared" si="136"/>
        <v>69</v>
      </c>
      <c r="Y242" s="7">
        <f t="shared" si="136"/>
        <v>70</v>
      </c>
      <c r="Z242" s="7">
        <f t="shared" si="136"/>
        <v>71</v>
      </c>
      <c r="AA242" s="7">
        <f t="shared" si="136"/>
        <v>72</v>
      </c>
      <c r="AB242" s="7">
        <f t="shared" si="136"/>
        <v>73</v>
      </c>
      <c r="AC242" s="7">
        <f t="shared" si="136"/>
        <v>74</v>
      </c>
      <c r="AD242" s="7">
        <f t="shared" si="136"/>
        <v>75</v>
      </c>
      <c r="AE242" s="7">
        <f t="shared" si="136"/>
        <v>76</v>
      </c>
      <c r="AF242" s="7">
        <f t="shared" si="136"/>
        <v>77</v>
      </c>
      <c r="AG242" s="7">
        <f t="shared" si="136"/>
        <v>78</v>
      </c>
      <c r="AH242" s="7">
        <f t="shared" si="136"/>
        <v>79</v>
      </c>
      <c r="AI242" s="7">
        <f t="shared" si="136"/>
        <v>80</v>
      </c>
      <c r="AJ242" s="7">
        <f t="shared" si="136"/>
        <v>81</v>
      </c>
      <c r="AK242" s="7">
        <f t="shared" si="136"/>
        <v>82</v>
      </c>
      <c r="AL242" s="7">
        <f t="shared" si="136"/>
        <v>83</v>
      </c>
      <c r="AM242" s="7">
        <f t="shared" si="136"/>
        <v>84</v>
      </c>
    </row>
    <row r="243" spans="1:39" x14ac:dyDescent="0.2">
      <c r="A243" s="3" t="s">
        <v>67</v>
      </c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  <c r="AA243" s="7"/>
      <c r="AB243" s="7"/>
      <c r="AC243" s="7"/>
      <c r="AD243" s="7"/>
      <c r="AE243" s="7"/>
      <c r="AF243" s="7"/>
      <c r="AG243" s="7"/>
      <c r="AH243" s="7"/>
      <c r="AI243" s="7"/>
      <c r="AJ243" s="7"/>
      <c r="AK243" s="7"/>
      <c r="AL243" s="7"/>
      <c r="AM243" s="7"/>
    </row>
    <row r="244" spans="1:39" x14ac:dyDescent="0.2">
      <c r="A244" s="3" t="s">
        <v>9</v>
      </c>
      <c r="C244" s="7">
        <f t="shared" ref="C244:AM245" ca="1" si="137">C235</f>
        <v>73136.875000000015</v>
      </c>
      <c r="D244" s="7">
        <f t="shared" ca="1" si="137"/>
        <v>97140.903125000026</v>
      </c>
      <c r="E244" s="7">
        <f t="shared" ca="1" si="137"/>
        <v>127759.43382812504</v>
      </c>
      <c r="F244" s="7">
        <f t="shared" ca="1" si="137"/>
        <v>139100.17641137764</v>
      </c>
      <c r="G244" s="7">
        <f t="shared" ca="1" si="137"/>
        <v>90982.686515080073</v>
      </c>
      <c r="H244" s="7">
        <f t="shared" ca="1" si="137"/>
        <v>44731.486654559354</v>
      </c>
      <c r="I244" s="7">
        <f t="shared" ca="1" si="137"/>
        <v>17287.713211722381</v>
      </c>
      <c r="J244" s="7">
        <f t="shared" ca="1" si="137"/>
        <v>-16502.477191050719</v>
      </c>
      <c r="K244" s="7">
        <f t="shared" ca="1" si="137"/>
        <v>-68057.772990528203</v>
      </c>
      <c r="L244" s="7">
        <f t="shared" ca="1" si="137"/>
        <v>-37533.575888335326</v>
      </c>
      <c r="M244" s="7">
        <f t="shared" ca="1" si="137"/>
        <v>-101143.73857023781</v>
      </c>
      <c r="N244" s="7">
        <f t="shared" ca="1" si="137"/>
        <v>-116252.47678214483</v>
      </c>
      <c r="O244" s="7">
        <f t="shared" ca="1" si="137"/>
        <v>-131499.57634253675</v>
      </c>
      <c r="P244" s="7">
        <f t="shared" ca="1" si="137"/>
        <v>-146881.3155719213</v>
      </c>
      <c r="Q244" s="7">
        <f t="shared" ca="1" si="137"/>
        <v>-162393.66432742277</v>
      </c>
      <c r="R244" s="7">
        <f t="shared" ca="1" si="137"/>
        <v>-178032.26982855561</v>
      </c>
      <c r="S244" s="7">
        <f t="shared" ca="1" si="137"/>
        <v>-193792.44193476287</v>
      </c>
      <c r="T244" s="7">
        <f t="shared" ca="1" si="137"/>
        <v>-191257.55689495517</v>
      </c>
      <c r="U244" s="7">
        <f t="shared" ca="1" si="137"/>
        <v>-180575.20123753947</v>
      </c>
      <c r="V244" s="7">
        <f t="shared" ca="1" si="137"/>
        <v>-169331.40763851561</v>
      </c>
      <c r="W244" s="7">
        <f t="shared" ca="1" si="137"/>
        <v>-157503.30877783825</v>
      </c>
      <c r="X244" s="7">
        <f t="shared" ca="1" si="137"/>
        <v>-145067.20071131567</v>
      </c>
      <c r="Y244" s="7">
        <f t="shared" ca="1" si="137"/>
        <v>-152657.3707777331</v>
      </c>
      <c r="Z244" s="7">
        <f t="shared" ca="1" si="137"/>
        <v>-160105.96888136212</v>
      </c>
      <c r="AA244" s="7">
        <f t="shared" ca="1" si="137"/>
        <v>-167399.51593669952</v>
      </c>
      <c r="AB244" s="7">
        <f t="shared" ca="1" si="137"/>
        <v>-174523.89768751158</v>
      </c>
      <c r="AC244" s="7">
        <f t="shared" ca="1" si="137"/>
        <v>-181464.33988175789</v>
      </c>
      <c r="AD244" s="7">
        <f t="shared" ca="1" si="137"/>
        <v>-188205.38255751424</v>
      </c>
      <c r="AE244" s="7">
        <f t="shared" ca="1" si="137"/>
        <v>-184748.37831583194</v>
      </c>
      <c r="AF244" s="7">
        <f t="shared" ca="1" si="137"/>
        <v>-180809.32814084471</v>
      </c>
      <c r="AG244" s="7">
        <f t="shared" ca="1" si="137"/>
        <v>-176364.31225940198</v>
      </c>
      <c r="AH244" s="7">
        <f t="shared" ca="1" si="137"/>
        <v>-171388.45684528002</v>
      </c>
      <c r="AI244" s="7">
        <f t="shared" ca="1" si="137"/>
        <v>-165855.89948609244</v>
      </c>
      <c r="AJ244" s="7">
        <f t="shared" ca="1" si="137"/>
        <v>-159739.7534664213</v>
      </c>
      <c r="AK244" s="7">
        <f t="shared" ca="1" si="137"/>
        <v>-153012.0708279594</v>
      </c>
      <c r="AL244" s="7">
        <f t="shared" ca="1" si="137"/>
        <v>-145643.80416618794</v>
      </c>
      <c r="AM244" s="7">
        <f t="shared" ca="1" si="137"/>
        <v>-137604.76712180377</v>
      </c>
    </row>
    <row r="245" spans="1:39" x14ac:dyDescent="0.2">
      <c r="A245" s="3" t="s">
        <v>28</v>
      </c>
      <c r="C245" s="7">
        <f t="shared" ca="1" si="137"/>
        <v>1486487.9915657642</v>
      </c>
      <c r="D245" s="7">
        <f t="shared" ca="1" si="137"/>
        <v>1578514.7610075048</v>
      </c>
      <c r="E245" s="7">
        <f t="shared" ca="1" si="137"/>
        <v>1679362.533968953</v>
      </c>
      <c r="F245" s="7">
        <f t="shared" ca="1" si="137"/>
        <v>1762841.4863182209</v>
      </c>
      <c r="G245" s="7">
        <f t="shared" ca="1" si="137"/>
        <v>1787177.9048880567</v>
      </c>
      <c r="H245" s="7">
        <f t="shared" ca="1" si="137"/>
        <v>1813341.1824579649</v>
      </c>
      <c r="I245" s="7">
        <f t="shared" ca="1" si="137"/>
        <v>1849408.5278930268</v>
      </c>
      <c r="J245" s="7">
        <f t="shared" ca="1" si="137"/>
        <v>1880587.8897106256</v>
      </c>
      <c r="K245" s="7">
        <f t="shared" ca="1" si="137"/>
        <v>1895188.8231516841</v>
      </c>
      <c r="L245" s="7">
        <f t="shared" ca="1" si="137"/>
        <v>1992257.208741772</v>
      </c>
      <c r="M245" s="7">
        <f t="shared" ca="1" si="137"/>
        <v>1992737.8840828426</v>
      </c>
      <c r="N245" s="7">
        <f t="shared" ca="1" si="137"/>
        <v>2043898.4781933238</v>
      </c>
      <c r="O245" s="7">
        <f t="shared" ca="1" si="137"/>
        <v>2097185.0216164151</v>
      </c>
      <c r="P245" s="7">
        <f t="shared" ca="1" si="137"/>
        <v>2152691.2638067557</v>
      </c>
      <c r="Q245" s="7">
        <f t="shared" ca="1" si="137"/>
        <v>2210515.7313920478</v>
      </c>
      <c r="R245" s="7">
        <f t="shared" ca="1" si="137"/>
        <v>2270762.0178386872</v>
      </c>
      <c r="S245" s="7">
        <f t="shared" ca="1" si="137"/>
        <v>2333539.0932447799</v>
      </c>
      <c r="T245" s="7">
        <f t="shared" ca="1" si="137"/>
        <v>2417373.2167328391</v>
      </c>
      <c r="U245" s="7">
        <f t="shared" ca="1" si="137"/>
        <v>2512232.1313833832</v>
      </c>
      <c r="V245" s="7">
        <f t="shared" ca="1" si="137"/>
        <v>2610651.1916080727</v>
      </c>
      <c r="W245" s="7">
        <f t="shared" ca="1" si="137"/>
        <v>2712781.0988249495</v>
      </c>
      <c r="X245" s="7">
        <f t="shared" ca="1" si="137"/>
        <v>2818780.2559286617</v>
      </c>
      <c r="Y245" s="7">
        <f t="shared" ca="1" si="137"/>
        <v>2908156.3877152773</v>
      </c>
      <c r="Z245" s="7">
        <f t="shared" ca="1" si="137"/>
        <v>3001227.1507725785</v>
      </c>
      <c r="AA245" s="7">
        <f t="shared" ca="1" si="137"/>
        <v>3098164.1415854916</v>
      </c>
      <c r="AB245" s="7">
        <f t="shared" ca="1" si="137"/>
        <v>3199148.4573812676</v>
      </c>
      <c r="AC245" s="7">
        <f t="shared" ca="1" si="137"/>
        <v>3304371.3166856798</v>
      </c>
      <c r="AD245" s="7">
        <f t="shared" ca="1" si="137"/>
        <v>3414034.7250212706</v>
      </c>
      <c r="AE245" s="7">
        <f t="shared" ca="1" si="137"/>
        <v>3538334.6643097862</v>
      </c>
      <c r="AF245" s="7">
        <f t="shared" ca="1" si="137"/>
        <v>3667763.9961285698</v>
      </c>
      <c r="AG245" s="7">
        <f t="shared" ca="1" si="137"/>
        <v>3802567.825332324</v>
      </c>
      <c r="AH245" s="7">
        <f t="shared" ca="1" si="137"/>
        <v>3943005.3875559666</v>
      </c>
      <c r="AI245" s="7">
        <f t="shared" ca="1" si="137"/>
        <v>4089351.0023435005</v>
      </c>
      <c r="AJ245" s="7">
        <f t="shared" ca="1" si="137"/>
        <v>4241895.0968820732</v>
      </c>
      <c r="AK245" s="7">
        <f t="shared" ca="1" si="137"/>
        <v>4400945.3058121251</v>
      </c>
      <c r="AL245" s="7">
        <f t="shared" ca="1" si="137"/>
        <v>4566827.6530167237</v>
      </c>
      <c r="AM245" s="7">
        <f t="shared" ca="1" si="137"/>
        <v>4739887.821759712</v>
      </c>
    </row>
    <row r="246" spans="1:39" x14ac:dyDescent="0.2">
      <c r="A246" s="3" t="s">
        <v>68</v>
      </c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  <c r="AA246" s="7"/>
      <c r="AB246" s="7"/>
      <c r="AC246" s="7"/>
      <c r="AD246" s="7"/>
      <c r="AE246" s="7"/>
      <c r="AF246" s="7"/>
      <c r="AG246" s="7"/>
      <c r="AH246" s="7"/>
      <c r="AI246" s="7"/>
      <c r="AJ246" s="7"/>
      <c r="AK246" s="7"/>
      <c r="AL246" s="7"/>
      <c r="AM246" s="7"/>
    </row>
    <row r="247" spans="1:39" x14ac:dyDescent="0.2">
      <c r="A247" s="16" t="s">
        <v>9</v>
      </c>
      <c r="C247" s="7">
        <f ca="1">C239</f>
        <v>73136.875000000015</v>
      </c>
      <c r="D247" s="7">
        <f t="shared" ref="D247:AM248" ca="1" si="138">D239</f>
        <v>97140.903125000026</v>
      </c>
      <c r="E247" s="7">
        <f t="shared" ca="1" si="138"/>
        <v>127759.43382812504</v>
      </c>
      <c r="F247" s="7">
        <f t="shared" ca="1" si="138"/>
        <v>139100.17641137764</v>
      </c>
      <c r="G247" s="7">
        <f t="shared" ca="1" si="138"/>
        <v>90982.686515080073</v>
      </c>
      <c r="H247" s="7">
        <f t="shared" ca="1" si="138"/>
        <v>44731.486654559354</v>
      </c>
      <c r="I247" s="7">
        <f t="shared" ca="1" si="138"/>
        <v>122816.44594358886</v>
      </c>
      <c r="J247" s="7">
        <f t="shared" ca="1" si="138"/>
        <v>110704.1942804876</v>
      </c>
      <c r="K247" s="7">
        <f t="shared" ca="1" si="138"/>
        <v>56367.784225867057</v>
      </c>
      <c r="L247" s="7">
        <f t="shared" ca="1" si="138"/>
        <v>220163.27031040267</v>
      </c>
      <c r="M247" s="7">
        <f t="shared" ca="1" si="138"/>
        <v>149371.35581909551</v>
      </c>
      <c r="N247" s="7">
        <f t="shared" ca="1" si="138"/>
        <v>126281.13761001588</v>
      </c>
      <c r="O247" s="7">
        <f t="shared" ca="1" si="138"/>
        <v>102051.3886764935</v>
      </c>
      <c r="P247" s="7">
        <f t="shared" ca="1" si="138"/>
        <v>76663.267130203953</v>
      </c>
      <c r="Q247" s="7">
        <f t="shared" ca="1" si="138"/>
        <v>246802.86686737029</v>
      </c>
      <c r="R247" s="7">
        <f t="shared" ca="1" si="138"/>
        <v>213499.8106300793</v>
      </c>
      <c r="S247" s="7">
        <f t="shared" ca="1" si="138"/>
        <v>178761.93350443404</v>
      </c>
      <c r="T247" s="7">
        <f t="shared" ca="1" si="138"/>
        <v>161065.19970660284</v>
      </c>
      <c r="U247" s="7">
        <f t="shared" ca="1" si="138"/>
        <v>150424.7629864492</v>
      </c>
      <c r="V247" s="7">
        <f t="shared" ca="1" si="138"/>
        <v>139226.41603700753</v>
      </c>
      <c r="W247" s="7">
        <f t="shared" ca="1" si="138"/>
        <v>127464.12032280934</v>
      </c>
      <c r="X247" s="7">
        <f t="shared" ca="1" si="138"/>
        <v>115131.92362160722</v>
      </c>
      <c r="Y247" s="7">
        <f t="shared" ca="1" si="138"/>
        <v>81048.641110268611</v>
      </c>
      <c r="Z247" s="7">
        <f t="shared" ca="1" si="138"/>
        <v>421766.15315834375</v>
      </c>
      <c r="AA247" s="7">
        <f t="shared" ca="1" si="138"/>
        <v>382440.01808293402</v>
      </c>
      <c r="AB247" s="7">
        <f t="shared" ca="1" si="138"/>
        <v>340989.20365595352</v>
      </c>
      <c r="AC247" s="7">
        <f t="shared" ca="1" si="138"/>
        <v>297148.53105760575</v>
      </c>
      <c r="AD247" s="7">
        <f t="shared" ca="1" si="138"/>
        <v>250864.09023958546</v>
      </c>
      <c r="AE247" s="7">
        <f t="shared" ca="1" si="138"/>
        <v>212312.83546568983</v>
      </c>
      <c r="AF247" s="7">
        <f t="shared" ca="1" si="138"/>
        <v>171711.8131363389</v>
      </c>
      <c r="AG247" s="7">
        <f t="shared" ca="1" si="138"/>
        <v>129016.15666104242</v>
      </c>
      <c r="AH247" s="7">
        <f t="shared" ca="1" si="138"/>
        <v>734427.24434657802</v>
      </c>
      <c r="AI247" s="7">
        <f t="shared" ca="1" si="138"/>
        <v>688433.81191184837</v>
      </c>
      <c r="AJ247" s="7">
        <f t="shared" ca="1" si="138"/>
        <v>640263.39287273888</v>
      </c>
      <c r="AK247" s="7">
        <f t="shared" ca="1" si="138"/>
        <v>588902.48817033891</v>
      </c>
      <c r="AL247" s="7">
        <f t="shared" ca="1" si="138"/>
        <v>534271.33566306648</v>
      </c>
      <c r="AM247" s="7">
        <f t="shared" ca="1" si="138"/>
        <v>476288.17915579944</v>
      </c>
    </row>
    <row r="248" spans="1:39" x14ac:dyDescent="0.2">
      <c r="A248" s="16" t="s">
        <v>28</v>
      </c>
      <c r="C248" s="7">
        <f ca="1">C240</f>
        <v>1486487.9915657642</v>
      </c>
      <c r="D248" s="7">
        <f t="shared" ca="1" si="138"/>
        <v>1578514.7610075048</v>
      </c>
      <c r="E248" s="7">
        <f t="shared" ca="1" si="138"/>
        <v>1679362.533968953</v>
      </c>
      <c r="F248" s="7">
        <f t="shared" ca="1" si="138"/>
        <v>1762841.4863182209</v>
      </c>
      <c r="G248" s="7">
        <f t="shared" ca="1" si="138"/>
        <v>1787177.9048880567</v>
      </c>
      <c r="H248" s="7">
        <f t="shared" ca="1" si="138"/>
        <v>1813341.1824579649</v>
      </c>
      <c r="I248" s="7">
        <f t="shared" ca="1" si="138"/>
        <v>1831210.5901010167</v>
      </c>
      <c r="J248" s="7">
        <f t="shared" ca="1" si="138"/>
        <v>1852130.7757852855</v>
      </c>
      <c r="K248" s="7">
        <f t="shared" ca="1" si="138"/>
        <v>1856539.671049152</v>
      </c>
      <c r="L248" s="7">
        <f t="shared" ca="1" si="138"/>
        <v>1918549.384993983</v>
      </c>
      <c r="M248" s="7">
        <f t="shared" ca="1" si="138"/>
        <v>1898709.0539431833</v>
      </c>
      <c r="N248" s="7">
        <f t="shared" ca="1" si="138"/>
        <v>1928098.9666778264</v>
      </c>
      <c r="O248" s="7">
        <f t="shared" ca="1" si="138"/>
        <v>1957923.7526163389</v>
      </c>
      <c r="P248" s="7">
        <f t="shared" ca="1" si="138"/>
        <v>1988211.8019882443</v>
      </c>
      <c r="Q248" s="7">
        <f t="shared" ca="1" si="138"/>
        <v>1983151.2053022014</v>
      </c>
      <c r="R248" s="7">
        <f t="shared" ca="1" si="138"/>
        <v>2001938.5992179557</v>
      </c>
      <c r="S248" s="7">
        <f t="shared" ca="1" si="138"/>
        <v>2020853.8857499466</v>
      </c>
      <c r="T248" s="7">
        <f t="shared" ca="1" si="138"/>
        <v>2058419.9105194812</v>
      </c>
      <c r="U248" s="7">
        <f t="shared" ca="1" si="138"/>
        <v>2104700.1151237134</v>
      </c>
      <c r="V248" s="7">
        <f t="shared" ca="1" si="138"/>
        <v>2152130.0287383897</v>
      </c>
      <c r="W248" s="7">
        <f t="shared" ca="1" si="138"/>
        <v>2200754.8414052334</v>
      </c>
      <c r="X248" s="7">
        <f t="shared" ca="1" si="138"/>
        <v>2250621.3663365045</v>
      </c>
      <c r="Y248" s="7">
        <f t="shared" ca="1" si="138"/>
        <v>2280602.7671066127</v>
      </c>
      <c r="Z248" s="7">
        <f t="shared" ca="1" si="138"/>
        <v>2242289.9699428179</v>
      </c>
      <c r="AA248" s="7">
        <f t="shared" ca="1" si="138"/>
        <v>2257579.5493709422</v>
      </c>
      <c r="AB248" s="7">
        <f t="shared" ca="1" si="138"/>
        <v>2272382.9208826022</v>
      </c>
      <c r="AC248" s="7">
        <f t="shared" ca="1" si="138"/>
        <v>2286484.0598010537</v>
      </c>
      <c r="AD248" s="7">
        <f t="shared" ca="1" si="138"/>
        <v>2299879.6848453372</v>
      </c>
      <c r="AE248" s="7">
        <f t="shared" ca="1" si="138"/>
        <v>2322798.8979096143</v>
      </c>
      <c r="AF248" s="7">
        <f t="shared" ca="1" si="138"/>
        <v>2345512.457453581</v>
      </c>
      <c r="AG248" s="7">
        <f t="shared" ca="1" si="138"/>
        <v>2368030.8203078019</v>
      </c>
      <c r="AH248" s="7">
        <f t="shared" ca="1" si="138"/>
        <v>2271883.9800506863</v>
      </c>
      <c r="AI248" s="7">
        <f t="shared" ca="1" si="138"/>
        <v>2272014.2496870803</v>
      </c>
      <c r="AJ248" s="7">
        <f t="shared" ca="1" si="138"/>
        <v>2271351.2437812276</v>
      </c>
      <c r="AK248" s="7">
        <f t="shared" ca="1" si="138"/>
        <v>2268922.9746060823</v>
      </c>
      <c r="AL248" s="7">
        <f t="shared" ca="1" si="138"/>
        <v>2264692.4366918821</v>
      </c>
      <c r="AM248" s="7">
        <f t="shared" ca="1" si="138"/>
        <v>2258621.9132154798</v>
      </c>
    </row>
    <row r="249" spans="1:39" x14ac:dyDescent="0.2">
      <c r="A249" s="4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  <c r="AA249" s="7"/>
      <c r="AB249" s="7"/>
      <c r="AC249" s="7"/>
      <c r="AD249" s="7"/>
      <c r="AE249" s="7"/>
      <c r="AF249" s="7"/>
      <c r="AG249" s="7"/>
      <c r="AH249" s="7"/>
      <c r="AI249" s="7"/>
      <c r="AJ249" s="7"/>
      <c r="AK249" s="7"/>
      <c r="AL249" s="7"/>
      <c r="AM249" s="7"/>
    </row>
    <row r="250" spans="1:39" x14ac:dyDescent="0.2"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  <c r="AA250" s="7"/>
      <c r="AB250" s="7"/>
      <c r="AC250" s="7"/>
      <c r="AD250" s="7"/>
      <c r="AE250" s="7"/>
      <c r="AF250" s="7"/>
      <c r="AG250" s="7"/>
      <c r="AH250" s="7"/>
      <c r="AI250" s="7"/>
      <c r="AJ250" s="7"/>
      <c r="AK250" s="7"/>
      <c r="AL250" s="7"/>
      <c r="AM250" s="7"/>
    </row>
    <row r="251" spans="1:39" x14ac:dyDescent="0.2"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  <c r="AA251" s="7"/>
      <c r="AB251" s="7"/>
      <c r="AC251" s="7"/>
      <c r="AD251" s="7"/>
      <c r="AE251" s="7"/>
      <c r="AF251" s="7"/>
      <c r="AG251" s="7"/>
      <c r="AH251" s="7"/>
      <c r="AI251" s="7"/>
      <c r="AJ251" s="7"/>
      <c r="AK251" s="7"/>
      <c r="AL251" s="7"/>
      <c r="AM251" s="7"/>
    </row>
    <row r="252" spans="1:39" x14ac:dyDescent="0.2"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  <c r="AA252" s="7"/>
      <c r="AB252" s="7"/>
      <c r="AC252" s="7"/>
      <c r="AD252" s="7"/>
      <c r="AE252" s="7"/>
      <c r="AF252" s="7"/>
      <c r="AG252" s="7"/>
      <c r="AH252" s="7"/>
      <c r="AI252" s="7"/>
      <c r="AJ252" s="7"/>
      <c r="AK252" s="7"/>
      <c r="AL252" s="7"/>
      <c r="AM252" s="7"/>
    </row>
    <row r="253" spans="1:39" x14ac:dyDescent="0.2"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  <c r="AA253" s="7"/>
      <c r="AB253" s="7"/>
      <c r="AC253" s="7"/>
      <c r="AD253" s="7"/>
      <c r="AE253" s="7"/>
      <c r="AF253" s="7"/>
      <c r="AG253" s="7"/>
      <c r="AH253" s="7"/>
      <c r="AI253" s="7"/>
      <c r="AJ253" s="7"/>
      <c r="AK253" s="7"/>
      <c r="AL253" s="7"/>
      <c r="AM253" s="7"/>
    </row>
    <row r="254" spans="1:39" x14ac:dyDescent="0.2"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  <c r="AA254" s="7"/>
      <c r="AB254" s="7"/>
      <c r="AC254" s="7"/>
      <c r="AD254" s="7"/>
      <c r="AE254" s="7"/>
      <c r="AF254" s="7"/>
      <c r="AG254" s="7"/>
      <c r="AH254" s="7"/>
      <c r="AI254" s="7"/>
      <c r="AJ254" s="7"/>
      <c r="AK254" s="7"/>
      <c r="AL254" s="7"/>
      <c r="AM254" s="7"/>
    </row>
    <row r="255" spans="1:39" x14ac:dyDescent="0.2"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  <c r="AA255" s="7"/>
      <c r="AB255" s="7"/>
      <c r="AC255" s="7"/>
      <c r="AD255" s="7"/>
      <c r="AE255" s="7"/>
      <c r="AF255" s="7"/>
      <c r="AG255" s="7"/>
      <c r="AH255" s="7"/>
      <c r="AI255" s="7"/>
      <c r="AJ255" s="7"/>
      <c r="AK255" s="7"/>
      <c r="AL255" s="7"/>
      <c r="AM255" s="7"/>
    </row>
    <row r="256" spans="1:39" x14ac:dyDescent="0.2"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  <c r="AA256" s="7"/>
      <c r="AB256" s="7"/>
      <c r="AC256" s="7"/>
      <c r="AD256" s="7"/>
      <c r="AE256" s="7"/>
      <c r="AF256" s="7"/>
      <c r="AG256" s="7"/>
      <c r="AH256" s="7"/>
      <c r="AI256" s="7"/>
      <c r="AJ256" s="7"/>
      <c r="AK256" s="7"/>
      <c r="AL256" s="7"/>
      <c r="AM256" s="7"/>
    </row>
    <row r="257" spans="3:39" x14ac:dyDescent="0.2"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  <c r="AA257" s="7"/>
      <c r="AB257" s="7"/>
      <c r="AC257" s="7"/>
      <c r="AD257" s="7"/>
      <c r="AE257" s="7"/>
      <c r="AF257" s="7"/>
      <c r="AG257" s="7"/>
      <c r="AH257" s="7"/>
      <c r="AI257" s="7"/>
      <c r="AJ257" s="7"/>
      <c r="AK257" s="7"/>
      <c r="AL257" s="7"/>
      <c r="AM257" s="7"/>
    </row>
    <row r="258" spans="3:39" x14ac:dyDescent="0.2"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  <c r="AA258" s="7"/>
      <c r="AB258" s="7"/>
      <c r="AC258" s="7"/>
      <c r="AD258" s="7"/>
      <c r="AE258" s="7"/>
      <c r="AF258" s="7"/>
      <c r="AG258" s="7"/>
      <c r="AH258" s="7"/>
      <c r="AI258" s="7"/>
      <c r="AJ258" s="7"/>
      <c r="AK258" s="7"/>
      <c r="AL258" s="7"/>
      <c r="AM258" s="7"/>
    </row>
    <row r="259" spans="3:39" x14ac:dyDescent="0.2"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  <c r="AA259" s="7"/>
      <c r="AB259" s="7"/>
      <c r="AC259" s="7"/>
      <c r="AD259" s="7"/>
      <c r="AE259" s="7"/>
      <c r="AF259" s="7"/>
      <c r="AG259" s="7"/>
      <c r="AH259" s="7"/>
      <c r="AI259" s="7"/>
      <c r="AJ259" s="7"/>
      <c r="AK259" s="7"/>
      <c r="AL259" s="7"/>
      <c r="AM259" s="7"/>
    </row>
    <row r="260" spans="3:39" x14ac:dyDescent="0.2"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  <c r="AA260" s="7"/>
      <c r="AB260" s="7"/>
      <c r="AC260" s="7"/>
      <c r="AD260" s="7"/>
      <c r="AE260" s="7"/>
      <c r="AF260" s="7"/>
      <c r="AG260" s="7"/>
      <c r="AH260" s="7"/>
      <c r="AI260" s="7"/>
      <c r="AJ260" s="7"/>
      <c r="AK260" s="7"/>
      <c r="AL260" s="7"/>
      <c r="AM260" s="7"/>
    </row>
    <row r="261" spans="3:39" x14ac:dyDescent="0.2"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  <c r="AA261" s="7"/>
      <c r="AB261" s="7"/>
      <c r="AC261" s="7"/>
      <c r="AD261" s="7"/>
      <c r="AE261" s="7"/>
      <c r="AF261" s="7"/>
      <c r="AG261" s="7"/>
      <c r="AH261" s="7"/>
      <c r="AI261" s="7"/>
      <c r="AJ261" s="7"/>
      <c r="AK261" s="7"/>
      <c r="AL261" s="7"/>
      <c r="AM261" s="7"/>
    </row>
    <row r="262" spans="3:39" x14ac:dyDescent="0.2"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  <c r="AA262" s="7"/>
      <c r="AB262" s="7"/>
      <c r="AC262" s="7"/>
      <c r="AD262" s="7"/>
      <c r="AE262" s="7"/>
      <c r="AF262" s="7"/>
      <c r="AG262" s="7"/>
      <c r="AH262" s="7"/>
      <c r="AI262" s="7"/>
      <c r="AJ262" s="7"/>
      <c r="AK262" s="7"/>
      <c r="AL262" s="7"/>
      <c r="AM262" s="7"/>
    </row>
    <row r="263" spans="3:39" x14ac:dyDescent="0.2"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  <c r="AA263" s="7"/>
      <c r="AB263" s="7"/>
      <c r="AC263" s="7"/>
      <c r="AD263" s="7"/>
      <c r="AE263" s="7"/>
      <c r="AF263" s="7"/>
      <c r="AG263" s="7"/>
      <c r="AH263" s="7"/>
      <c r="AI263" s="7"/>
      <c r="AJ263" s="7"/>
      <c r="AK263" s="7"/>
      <c r="AL263" s="7"/>
      <c r="AM263" s="7"/>
    </row>
    <row r="264" spans="3:39" x14ac:dyDescent="0.2"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  <c r="AA264" s="7"/>
      <c r="AB264" s="7"/>
      <c r="AC264" s="7"/>
      <c r="AD264" s="7"/>
      <c r="AE264" s="7"/>
      <c r="AF264" s="7"/>
      <c r="AG264" s="7"/>
      <c r="AH264" s="7"/>
      <c r="AI264" s="7"/>
      <c r="AJ264" s="7"/>
      <c r="AK264" s="7"/>
      <c r="AL264" s="7"/>
      <c r="AM264" s="7"/>
    </row>
    <row r="265" spans="3:39" x14ac:dyDescent="0.2"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  <c r="AA265" s="7"/>
      <c r="AB265" s="7"/>
      <c r="AC265" s="7"/>
      <c r="AD265" s="7"/>
      <c r="AE265" s="7"/>
      <c r="AF265" s="7"/>
      <c r="AG265" s="7"/>
      <c r="AH265" s="7"/>
      <c r="AI265" s="7"/>
      <c r="AJ265" s="7"/>
      <c r="AK265" s="7"/>
      <c r="AL265" s="7"/>
      <c r="AM265" s="7"/>
    </row>
    <row r="266" spans="3:39" x14ac:dyDescent="0.2"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  <c r="AA266" s="7"/>
      <c r="AB266" s="7"/>
      <c r="AC266" s="7"/>
      <c r="AD266" s="7"/>
      <c r="AE266" s="7"/>
      <c r="AF266" s="7"/>
      <c r="AG266" s="7"/>
      <c r="AH266" s="7"/>
      <c r="AI266" s="7"/>
      <c r="AJ266" s="7"/>
      <c r="AK266" s="7"/>
      <c r="AL266" s="7"/>
      <c r="AM266" s="7"/>
    </row>
    <row r="267" spans="3:39" x14ac:dyDescent="0.2"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  <c r="AA267" s="7"/>
      <c r="AB267" s="7"/>
      <c r="AC267" s="7"/>
      <c r="AD267" s="7"/>
      <c r="AE267" s="7"/>
      <c r="AF267" s="7"/>
      <c r="AG267" s="7"/>
      <c r="AH267" s="7"/>
      <c r="AI267" s="7"/>
      <c r="AJ267" s="7"/>
      <c r="AK267" s="7"/>
      <c r="AL267" s="7"/>
      <c r="AM267" s="7"/>
    </row>
    <row r="268" spans="3:39" x14ac:dyDescent="0.2"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  <c r="AA268" s="7"/>
      <c r="AB268" s="7"/>
      <c r="AC268" s="7"/>
      <c r="AD268" s="7"/>
      <c r="AE268" s="7"/>
      <c r="AF268" s="7"/>
      <c r="AG268" s="7"/>
      <c r="AH268" s="7"/>
      <c r="AI268" s="7"/>
      <c r="AJ268" s="7"/>
      <c r="AK268" s="7"/>
      <c r="AL268" s="7"/>
      <c r="AM268" s="7"/>
    </row>
    <row r="269" spans="3:39" x14ac:dyDescent="0.2"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  <c r="AA269" s="7"/>
      <c r="AB269" s="7"/>
      <c r="AC269" s="7"/>
      <c r="AD269" s="7"/>
      <c r="AE269" s="7"/>
      <c r="AF269" s="7"/>
      <c r="AG269" s="7"/>
      <c r="AH269" s="7"/>
      <c r="AI269" s="7"/>
      <c r="AJ269" s="7"/>
      <c r="AK269" s="7"/>
      <c r="AL269" s="7"/>
      <c r="AM269" s="7"/>
    </row>
    <row r="270" spans="3:39" x14ac:dyDescent="0.2"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  <c r="AA270" s="7"/>
      <c r="AB270" s="7"/>
      <c r="AC270" s="7"/>
      <c r="AD270" s="7"/>
      <c r="AE270" s="7"/>
      <c r="AF270" s="7"/>
      <c r="AG270" s="7"/>
      <c r="AH270" s="7"/>
      <c r="AI270" s="7"/>
      <c r="AJ270" s="7"/>
      <c r="AK270" s="7"/>
      <c r="AL270" s="7"/>
      <c r="AM270" s="7"/>
    </row>
    <row r="271" spans="3:39" x14ac:dyDescent="0.2"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  <c r="AA271" s="7"/>
      <c r="AB271" s="7"/>
      <c r="AC271" s="7"/>
      <c r="AD271" s="7"/>
      <c r="AE271" s="7"/>
      <c r="AF271" s="7"/>
      <c r="AG271" s="7"/>
      <c r="AH271" s="7"/>
      <c r="AI271" s="7"/>
      <c r="AJ271" s="7"/>
      <c r="AK271" s="7"/>
      <c r="AL271" s="7"/>
      <c r="AM271" s="7"/>
    </row>
    <row r="272" spans="3:39" x14ac:dyDescent="0.2"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  <c r="AA272" s="7"/>
      <c r="AB272" s="7"/>
      <c r="AC272" s="7"/>
      <c r="AD272" s="7"/>
      <c r="AE272" s="7"/>
      <c r="AF272" s="7"/>
      <c r="AG272" s="7"/>
      <c r="AH272" s="7"/>
      <c r="AI272" s="7"/>
      <c r="AJ272" s="7"/>
      <c r="AK272" s="7"/>
      <c r="AL272" s="7"/>
      <c r="AM272" s="7"/>
    </row>
    <row r="273" spans="3:39" x14ac:dyDescent="0.2"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  <c r="AA273" s="7"/>
      <c r="AB273" s="7"/>
      <c r="AC273" s="7"/>
      <c r="AD273" s="7"/>
      <c r="AE273" s="7"/>
      <c r="AF273" s="7"/>
      <c r="AG273" s="7"/>
      <c r="AH273" s="7"/>
      <c r="AI273" s="7"/>
      <c r="AJ273" s="7"/>
      <c r="AK273" s="7"/>
      <c r="AL273" s="7"/>
      <c r="AM273" s="7"/>
    </row>
    <row r="274" spans="3:39" x14ac:dyDescent="0.2"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  <c r="AA274" s="7"/>
      <c r="AB274" s="7"/>
      <c r="AC274" s="7"/>
      <c r="AD274" s="7"/>
      <c r="AE274" s="7"/>
      <c r="AF274" s="7"/>
      <c r="AG274" s="7"/>
      <c r="AH274" s="7"/>
      <c r="AI274" s="7"/>
      <c r="AJ274" s="7"/>
      <c r="AK274" s="7"/>
      <c r="AL274" s="7"/>
      <c r="AM274" s="7"/>
    </row>
    <row r="275" spans="3:39" x14ac:dyDescent="0.2"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  <c r="AA275" s="7"/>
      <c r="AB275" s="7"/>
      <c r="AC275" s="7"/>
      <c r="AD275" s="7"/>
      <c r="AE275" s="7"/>
      <c r="AF275" s="7"/>
      <c r="AG275" s="7"/>
      <c r="AH275" s="7"/>
      <c r="AI275" s="7"/>
      <c r="AJ275" s="7"/>
      <c r="AK275" s="7"/>
      <c r="AL275" s="7"/>
      <c r="AM275" s="7"/>
    </row>
    <row r="276" spans="3:39" x14ac:dyDescent="0.2"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  <c r="AA276" s="7"/>
      <c r="AB276" s="7"/>
      <c r="AC276" s="7"/>
      <c r="AD276" s="7"/>
      <c r="AE276" s="7"/>
      <c r="AF276" s="7"/>
      <c r="AG276" s="7"/>
      <c r="AH276" s="7"/>
      <c r="AI276" s="7"/>
      <c r="AJ276" s="7"/>
      <c r="AK276" s="7"/>
      <c r="AL276" s="7"/>
      <c r="AM276" s="7"/>
    </row>
    <row r="277" spans="3:39" x14ac:dyDescent="0.2"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  <c r="AA277" s="7"/>
      <c r="AB277" s="7"/>
      <c r="AC277" s="7"/>
      <c r="AD277" s="7"/>
      <c r="AE277" s="7"/>
      <c r="AF277" s="7"/>
      <c r="AG277" s="7"/>
      <c r="AH277" s="7"/>
      <c r="AI277" s="7"/>
      <c r="AJ277" s="7"/>
      <c r="AK277" s="7"/>
      <c r="AL277" s="7"/>
      <c r="AM277" s="7"/>
    </row>
    <row r="278" spans="3:39" x14ac:dyDescent="0.2"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  <c r="AA278" s="7"/>
      <c r="AB278" s="7"/>
      <c r="AC278" s="7"/>
      <c r="AD278" s="7"/>
      <c r="AE278" s="7"/>
      <c r="AF278" s="7"/>
      <c r="AG278" s="7"/>
      <c r="AH278" s="7"/>
      <c r="AI278" s="7"/>
      <c r="AJ278" s="7"/>
      <c r="AK278" s="7"/>
      <c r="AL278" s="7"/>
      <c r="AM278" s="7"/>
    </row>
    <row r="279" spans="3:39" x14ac:dyDescent="0.2"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  <c r="AA279" s="7"/>
      <c r="AB279" s="7"/>
      <c r="AC279" s="7"/>
      <c r="AD279" s="7"/>
      <c r="AE279" s="7"/>
      <c r="AF279" s="7"/>
      <c r="AG279" s="7"/>
      <c r="AH279" s="7"/>
      <c r="AI279" s="7"/>
      <c r="AJ279" s="7"/>
      <c r="AK279" s="7"/>
      <c r="AL279" s="7"/>
      <c r="AM279" s="7"/>
    </row>
    <row r="280" spans="3:39" x14ac:dyDescent="0.2"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  <c r="AA280" s="7"/>
      <c r="AB280" s="7"/>
      <c r="AC280" s="7"/>
      <c r="AD280" s="7"/>
      <c r="AE280" s="7"/>
      <c r="AF280" s="7"/>
      <c r="AG280" s="7"/>
      <c r="AH280" s="7"/>
      <c r="AI280" s="7"/>
      <c r="AJ280" s="7"/>
      <c r="AK280" s="7"/>
      <c r="AL280" s="7"/>
      <c r="AM280" s="7"/>
    </row>
    <row r="281" spans="3:39" x14ac:dyDescent="0.2"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  <c r="AA281" s="7"/>
      <c r="AB281" s="7"/>
      <c r="AC281" s="7"/>
      <c r="AD281" s="7"/>
      <c r="AE281" s="7"/>
      <c r="AF281" s="7"/>
      <c r="AG281" s="7"/>
      <c r="AH281" s="7"/>
      <c r="AI281" s="7"/>
      <c r="AJ281" s="7"/>
      <c r="AK281" s="7"/>
      <c r="AL281" s="7"/>
      <c r="AM281" s="7"/>
    </row>
    <row r="282" spans="3:39" x14ac:dyDescent="0.2"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  <c r="AA282" s="7"/>
      <c r="AB282" s="7"/>
      <c r="AC282" s="7"/>
      <c r="AD282" s="7"/>
      <c r="AE282" s="7"/>
      <c r="AF282" s="7"/>
      <c r="AG282" s="7"/>
      <c r="AH282" s="7"/>
      <c r="AI282" s="7"/>
      <c r="AJ282" s="7"/>
      <c r="AK282" s="7"/>
      <c r="AL282" s="7"/>
      <c r="AM282" s="7"/>
    </row>
    <row r="283" spans="3:39" x14ac:dyDescent="0.2"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  <c r="AA283" s="7"/>
      <c r="AB283" s="7"/>
      <c r="AC283" s="7"/>
      <c r="AD283" s="7"/>
      <c r="AE283" s="7"/>
      <c r="AF283" s="7"/>
      <c r="AG283" s="7"/>
      <c r="AH283" s="7"/>
      <c r="AI283" s="7"/>
      <c r="AJ283" s="7"/>
      <c r="AK283" s="7"/>
      <c r="AL283" s="7"/>
      <c r="AM283" s="7"/>
    </row>
    <row r="284" spans="3:39" x14ac:dyDescent="0.2"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  <c r="AA284" s="7"/>
      <c r="AB284" s="7"/>
      <c r="AC284" s="7"/>
      <c r="AD284" s="7"/>
      <c r="AE284" s="7"/>
      <c r="AF284" s="7"/>
      <c r="AG284" s="7"/>
      <c r="AH284" s="7"/>
      <c r="AI284" s="7"/>
      <c r="AJ284" s="7"/>
      <c r="AK284" s="7"/>
      <c r="AL284" s="7"/>
      <c r="AM284" s="7"/>
    </row>
    <row r="285" spans="3:39" x14ac:dyDescent="0.2"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  <c r="AA285" s="7"/>
      <c r="AB285" s="7"/>
      <c r="AC285" s="7"/>
      <c r="AD285" s="7"/>
      <c r="AE285" s="7"/>
      <c r="AF285" s="7"/>
      <c r="AG285" s="7"/>
      <c r="AH285" s="7"/>
      <c r="AI285" s="7"/>
      <c r="AJ285" s="7"/>
      <c r="AK285" s="7"/>
      <c r="AL285" s="7"/>
      <c r="AM285" s="7"/>
    </row>
    <row r="286" spans="3:39" x14ac:dyDescent="0.2"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  <c r="AA286" s="7"/>
      <c r="AB286" s="7"/>
      <c r="AC286" s="7"/>
      <c r="AD286" s="7"/>
      <c r="AE286" s="7"/>
      <c r="AF286" s="7"/>
      <c r="AG286" s="7"/>
      <c r="AH286" s="7"/>
      <c r="AI286" s="7"/>
      <c r="AJ286" s="7"/>
      <c r="AK286" s="7"/>
      <c r="AL286" s="7"/>
      <c r="AM286" s="7"/>
    </row>
    <row r="287" spans="3:39" x14ac:dyDescent="0.2"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  <c r="AA287" s="7"/>
      <c r="AB287" s="7"/>
      <c r="AC287" s="7"/>
      <c r="AD287" s="7"/>
      <c r="AE287" s="7"/>
      <c r="AF287" s="7"/>
      <c r="AG287" s="7"/>
      <c r="AH287" s="7"/>
      <c r="AI287" s="7"/>
      <c r="AJ287" s="7"/>
      <c r="AK287" s="7"/>
      <c r="AL287" s="7"/>
      <c r="AM287" s="7"/>
    </row>
    <row r="288" spans="3:39" x14ac:dyDescent="0.2"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  <c r="AA288" s="7"/>
      <c r="AB288" s="7"/>
      <c r="AC288" s="7"/>
      <c r="AD288" s="7"/>
      <c r="AE288" s="7"/>
      <c r="AF288" s="7"/>
      <c r="AG288" s="7"/>
      <c r="AH288" s="7"/>
      <c r="AI288" s="7"/>
      <c r="AJ288" s="7"/>
      <c r="AK288" s="7"/>
      <c r="AL288" s="7"/>
      <c r="AM288" s="7"/>
    </row>
    <row r="289" spans="3:39" x14ac:dyDescent="0.2"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  <c r="AA289" s="7"/>
      <c r="AB289" s="7"/>
      <c r="AC289" s="7"/>
      <c r="AD289" s="7"/>
      <c r="AE289" s="7"/>
      <c r="AF289" s="7"/>
      <c r="AG289" s="7"/>
      <c r="AH289" s="7"/>
      <c r="AI289" s="7"/>
      <c r="AJ289" s="7"/>
      <c r="AK289" s="7"/>
      <c r="AL289" s="7"/>
      <c r="AM289" s="7"/>
    </row>
    <row r="290" spans="3:39" x14ac:dyDescent="0.2"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  <c r="AA290" s="7"/>
      <c r="AB290" s="7"/>
      <c r="AC290" s="7"/>
      <c r="AD290" s="7"/>
      <c r="AE290" s="7"/>
      <c r="AF290" s="7"/>
      <c r="AG290" s="7"/>
      <c r="AH290" s="7"/>
      <c r="AI290" s="7"/>
      <c r="AJ290" s="7"/>
      <c r="AK290" s="7"/>
      <c r="AL290" s="7"/>
      <c r="AM290" s="7"/>
    </row>
    <row r="291" spans="3:39" x14ac:dyDescent="0.2"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  <c r="AA291" s="7"/>
      <c r="AB291" s="7"/>
      <c r="AC291" s="7"/>
      <c r="AD291" s="7"/>
      <c r="AE291" s="7"/>
      <c r="AF291" s="7"/>
      <c r="AG291" s="7"/>
      <c r="AH291" s="7"/>
      <c r="AI291" s="7"/>
      <c r="AJ291" s="7"/>
      <c r="AK291" s="7"/>
      <c r="AL291" s="7"/>
      <c r="AM291" s="7"/>
    </row>
    <row r="292" spans="3:39" x14ac:dyDescent="0.2"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  <c r="AA292" s="7"/>
      <c r="AB292" s="7"/>
      <c r="AC292" s="7"/>
      <c r="AD292" s="7"/>
      <c r="AE292" s="7"/>
      <c r="AF292" s="7"/>
      <c r="AG292" s="7"/>
      <c r="AH292" s="7"/>
      <c r="AI292" s="7"/>
      <c r="AJ292" s="7"/>
      <c r="AK292" s="7"/>
      <c r="AL292" s="7"/>
      <c r="AM292" s="7"/>
    </row>
    <row r="293" spans="3:39" x14ac:dyDescent="0.2"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  <c r="AA293" s="7"/>
      <c r="AB293" s="7"/>
      <c r="AC293" s="7"/>
      <c r="AD293" s="7"/>
      <c r="AE293" s="7"/>
      <c r="AF293" s="7"/>
      <c r="AG293" s="7"/>
      <c r="AH293" s="7"/>
      <c r="AI293" s="7"/>
      <c r="AJ293" s="7"/>
      <c r="AK293" s="7"/>
      <c r="AL293" s="7"/>
      <c r="AM293" s="7"/>
    </row>
    <row r="294" spans="3:39" x14ac:dyDescent="0.2"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  <c r="AA294" s="7"/>
      <c r="AB294" s="7"/>
      <c r="AC294" s="7"/>
      <c r="AD294" s="7"/>
      <c r="AE294" s="7"/>
      <c r="AF294" s="7"/>
      <c r="AG294" s="7"/>
      <c r="AH294" s="7"/>
      <c r="AI294" s="7"/>
      <c r="AJ294" s="7"/>
      <c r="AK294" s="7"/>
      <c r="AL294" s="7"/>
      <c r="AM294" s="7"/>
    </row>
    <row r="295" spans="3:39" x14ac:dyDescent="0.2"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  <c r="AA295" s="7"/>
      <c r="AB295" s="7"/>
      <c r="AC295" s="7"/>
      <c r="AD295" s="7"/>
      <c r="AE295" s="7"/>
      <c r="AF295" s="7"/>
      <c r="AG295" s="7"/>
      <c r="AH295" s="7"/>
      <c r="AI295" s="7"/>
      <c r="AJ295" s="7"/>
      <c r="AK295" s="7"/>
      <c r="AL295" s="7"/>
      <c r="AM295" s="7"/>
    </row>
    <row r="296" spans="3:39" x14ac:dyDescent="0.2"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  <c r="AA296" s="7"/>
      <c r="AB296" s="7"/>
      <c r="AC296" s="7"/>
      <c r="AD296" s="7"/>
      <c r="AE296" s="7"/>
      <c r="AF296" s="7"/>
      <c r="AG296" s="7"/>
      <c r="AH296" s="7"/>
      <c r="AI296" s="7"/>
      <c r="AJ296" s="7"/>
      <c r="AK296" s="7"/>
      <c r="AL296" s="7"/>
      <c r="AM296" s="7"/>
    </row>
    <row r="297" spans="3:39" x14ac:dyDescent="0.2"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  <c r="AA297" s="7"/>
      <c r="AB297" s="7"/>
      <c r="AC297" s="7"/>
      <c r="AD297" s="7"/>
      <c r="AE297" s="7"/>
      <c r="AF297" s="7"/>
      <c r="AG297" s="7"/>
      <c r="AH297" s="7"/>
      <c r="AI297" s="7"/>
      <c r="AJ297" s="7"/>
      <c r="AK297" s="7"/>
      <c r="AL297" s="7"/>
      <c r="AM297" s="7"/>
    </row>
    <row r="298" spans="3:39" x14ac:dyDescent="0.2"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  <c r="AA298" s="7"/>
      <c r="AB298" s="7"/>
      <c r="AC298" s="7"/>
      <c r="AD298" s="7"/>
      <c r="AE298" s="7"/>
      <c r="AF298" s="7"/>
      <c r="AG298" s="7"/>
      <c r="AH298" s="7"/>
      <c r="AI298" s="7"/>
      <c r="AJ298" s="7"/>
      <c r="AK298" s="7"/>
      <c r="AL298" s="7"/>
      <c r="AM298" s="7"/>
    </row>
    <row r="299" spans="3:39" x14ac:dyDescent="0.2"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  <c r="AA299" s="7"/>
      <c r="AB299" s="7"/>
      <c r="AC299" s="7"/>
      <c r="AD299" s="7"/>
      <c r="AE299" s="7"/>
      <c r="AF299" s="7"/>
      <c r="AG299" s="7"/>
      <c r="AH299" s="7"/>
      <c r="AI299" s="7"/>
      <c r="AJ299" s="7"/>
      <c r="AK299" s="7"/>
      <c r="AL299" s="7"/>
      <c r="AM299" s="7"/>
    </row>
    <row r="300" spans="3:39" x14ac:dyDescent="0.2"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  <c r="AA300" s="7"/>
      <c r="AB300" s="7"/>
      <c r="AC300" s="7"/>
      <c r="AD300" s="7"/>
      <c r="AE300" s="7"/>
      <c r="AF300" s="7"/>
      <c r="AG300" s="7"/>
      <c r="AH300" s="7"/>
      <c r="AI300" s="7"/>
      <c r="AJ300" s="7"/>
      <c r="AK300" s="7"/>
      <c r="AL300" s="7"/>
      <c r="AM300" s="7"/>
    </row>
    <row r="301" spans="3:39" x14ac:dyDescent="0.2"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  <c r="AA301" s="7"/>
      <c r="AB301" s="7"/>
      <c r="AC301" s="7"/>
      <c r="AD301" s="7"/>
      <c r="AE301" s="7"/>
      <c r="AF301" s="7"/>
      <c r="AG301" s="7"/>
      <c r="AH301" s="7"/>
      <c r="AI301" s="7"/>
      <c r="AJ301" s="7"/>
      <c r="AK301" s="7"/>
      <c r="AL301" s="7"/>
      <c r="AM301" s="7"/>
    </row>
    <row r="302" spans="3:39" x14ac:dyDescent="0.2"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  <c r="AA302" s="7"/>
      <c r="AB302" s="7"/>
      <c r="AC302" s="7"/>
      <c r="AD302" s="7"/>
      <c r="AE302" s="7"/>
      <c r="AF302" s="7"/>
      <c r="AG302" s="7"/>
      <c r="AH302" s="7"/>
      <c r="AI302" s="7"/>
      <c r="AJ302" s="7"/>
      <c r="AK302" s="7"/>
      <c r="AL302" s="7"/>
      <c r="AM302" s="7"/>
    </row>
    <row r="303" spans="3:39" x14ac:dyDescent="0.2"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  <c r="AA303" s="7"/>
      <c r="AB303" s="7"/>
      <c r="AC303" s="7"/>
      <c r="AD303" s="7"/>
      <c r="AE303" s="7"/>
      <c r="AF303" s="7"/>
      <c r="AG303" s="7"/>
      <c r="AH303" s="7"/>
      <c r="AI303" s="7"/>
      <c r="AJ303" s="7"/>
      <c r="AK303" s="7"/>
      <c r="AL303" s="7"/>
      <c r="AM303" s="7"/>
    </row>
    <row r="304" spans="3:39" x14ac:dyDescent="0.2"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  <c r="AA304" s="7"/>
      <c r="AB304" s="7"/>
      <c r="AC304" s="7"/>
      <c r="AD304" s="7"/>
      <c r="AE304" s="7"/>
      <c r="AF304" s="7"/>
      <c r="AG304" s="7"/>
      <c r="AH304" s="7"/>
      <c r="AI304" s="7"/>
      <c r="AJ304" s="7"/>
      <c r="AK304" s="7"/>
      <c r="AL304" s="7"/>
      <c r="AM304" s="7"/>
    </row>
    <row r="305" spans="3:39" x14ac:dyDescent="0.2"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  <c r="AA305" s="7"/>
      <c r="AB305" s="7"/>
      <c r="AC305" s="7"/>
      <c r="AD305" s="7"/>
      <c r="AE305" s="7"/>
      <c r="AF305" s="7"/>
      <c r="AG305" s="7"/>
      <c r="AH305" s="7"/>
      <c r="AI305" s="7"/>
      <c r="AJ305" s="7"/>
      <c r="AK305" s="7"/>
      <c r="AL305" s="7"/>
      <c r="AM305" s="7"/>
    </row>
    <row r="306" spans="3:39" x14ac:dyDescent="0.2"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  <c r="AA306" s="7"/>
      <c r="AB306" s="7"/>
      <c r="AC306" s="7"/>
      <c r="AD306" s="7"/>
      <c r="AE306" s="7"/>
      <c r="AF306" s="7"/>
      <c r="AG306" s="7"/>
      <c r="AH306" s="7"/>
      <c r="AI306" s="7"/>
      <c r="AJ306" s="7"/>
      <c r="AK306" s="7"/>
      <c r="AL306" s="7"/>
      <c r="AM306" s="7"/>
    </row>
    <row r="307" spans="3:39" x14ac:dyDescent="0.2"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  <c r="AA307" s="7"/>
      <c r="AB307" s="7"/>
      <c r="AC307" s="7"/>
      <c r="AD307" s="7"/>
      <c r="AE307" s="7"/>
      <c r="AF307" s="7"/>
      <c r="AG307" s="7"/>
      <c r="AH307" s="7"/>
      <c r="AI307" s="7"/>
      <c r="AJ307" s="7"/>
      <c r="AK307" s="7"/>
      <c r="AL307" s="7"/>
      <c r="AM307" s="7"/>
    </row>
    <row r="308" spans="3:39" x14ac:dyDescent="0.2"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  <c r="AA308" s="7"/>
      <c r="AB308" s="7"/>
      <c r="AC308" s="7"/>
      <c r="AD308" s="7"/>
      <c r="AE308" s="7"/>
      <c r="AF308" s="7"/>
      <c r="AG308" s="7"/>
      <c r="AH308" s="7"/>
      <c r="AI308" s="7"/>
      <c r="AJ308" s="7"/>
      <c r="AK308" s="7"/>
      <c r="AL308" s="7"/>
      <c r="AM308" s="7"/>
    </row>
    <row r="309" spans="3:39" x14ac:dyDescent="0.2"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  <c r="AA309" s="7"/>
      <c r="AB309" s="7"/>
      <c r="AC309" s="7"/>
      <c r="AD309" s="7"/>
      <c r="AE309" s="7"/>
      <c r="AF309" s="7"/>
      <c r="AG309" s="7"/>
      <c r="AH309" s="7"/>
      <c r="AI309" s="7"/>
      <c r="AJ309" s="7"/>
      <c r="AK309" s="7"/>
      <c r="AL309" s="7"/>
      <c r="AM309" s="7"/>
    </row>
    <row r="310" spans="3:39" x14ac:dyDescent="0.2"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  <c r="AA310" s="7"/>
      <c r="AB310" s="7"/>
      <c r="AC310" s="7"/>
      <c r="AD310" s="7"/>
      <c r="AE310" s="7"/>
      <c r="AF310" s="7"/>
      <c r="AG310" s="7"/>
      <c r="AH310" s="7"/>
      <c r="AI310" s="7"/>
      <c r="AJ310" s="7"/>
      <c r="AK310" s="7"/>
      <c r="AL310" s="7"/>
      <c r="AM310" s="7"/>
    </row>
    <row r="311" spans="3:39" x14ac:dyDescent="0.2"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  <c r="AA311" s="7"/>
      <c r="AB311" s="7"/>
      <c r="AC311" s="7"/>
      <c r="AD311" s="7"/>
      <c r="AE311" s="7"/>
      <c r="AF311" s="7"/>
      <c r="AG311" s="7"/>
      <c r="AH311" s="7"/>
      <c r="AI311" s="7"/>
      <c r="AJ311" s="7"/>
      <c r="AK311" s="7"/>
      <c r="AL311" s="7"/>
      <c r="AM311" s="7"/>
    </row>
    <row r="312" spans="3:39" x14ac:dyDescent="0.2"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  <c r="AA312" s="7"/>
      <c r="AB312" s="7"/>
      <c r="AC312" s="7"/>
      <c r="AD312" s="7"/>
      <c r="AE312" s="7"/>
      <c r="AF312" s="7"/>
      <c r="AG312" s="7"/>
      <c r="AH312" s="7"/>
      <c r="AI312" s="7"/>
      <c r="AJ312" s="7"/>
      <c r="AK312" s="7"/>
      <c r="AL312" s="7"/>
      <c r="AM312" s="7"/>
    </row>
    <row r="313" spans="3:39" x14ac:dyDescent="0.2"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  <c r="AA313" s="7"/>
      <c r="AB313" s="7"/>
      <c r="AC313" s="7"/>
      <c r="AD313" s="7"/>
      <c r="AE313" s="7"/>
      <c r="AF313" s="7"/>
      <c r="AG313" s="7"/>
      <c r="AH313" s="7"/>
      <c r="AI313" s="7"/>
      <c r="AJ313" s="7"/>
      <c r="AK313" s="7"/>
      <c r="AL313" s="7"/>
      <c r="AM313" s="7"/>
    </row>
    <row r="314" spans="3:39" x14ac:dyDescent="0.2"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  <c r="AA314" s="7"/>
      <c r="AB314" s="7"/>
      <c r="AC314" s="7"/>
      <c r="AD314" s="7"/>
      <c r="AE314" s="7"/>
      <c r="AF314" s="7"/>
      <c r="AG314" s="7"/>
      <c r="AH314" s="7"/>
      <c r="AI314" s="7"/>
      <c r="AJ314" s="7"/>
      <c r="AK314" s="7"/>
      <c r="AL314" s="7"/>
      <c r="AM314" s="7"/>
    </row>
    <row r="315" spans="3:39" x14ac:dyDescent="0.2"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  <c r="AA315" s="7"/>
      <c r="AB315" s="7"/>
      <c r="AC315" s="7"/>
      <c r="AD315" s="7"/>
      <c r="AE315" s="7"/>
      <c r="AF315" s="7"/>
      <c r="AG315" s="7"/>
      <c r="AH315" s="7"/>
      <c r="AI315" s="7"/>
      <c r="AJ315" s="7"/>
      <c r="AK315" s="7"/>
      <c r="AL315" s="7"/>
      <c r="AM315" s="7"/>
    </row>
    <row r="316" spans="3:39" x14ac:dyDescent="0.2"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  <c r="AA316" s="7"/>
      <c r="AB316" s="7"/>
      <c r="AC316" s="7"/>
      <c r="AD316" s="7"/>
      <c r="AE316" s="7"/>
      <c r="AF316" s="7"/>
      <c r="AG316" s="7"/>
      <c r="AH316" s="7"/>
      <c r="AI316" s="7"/>
      <c r="AJ316" s="7"/>
      <c r="AK316" s="7"/>
      <c r="AL316" s="7"/>
      <c r="AM316" s="7"/>
    </row>
    <row r="317" spans="3:39" x14ac:dyDescent="0.2"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  <c r="AA317" s="7"/>
      <c r="AB317" s="7"/>
      <c r="AC317" s="7"/>
      <c r="AD317" s="7"/>
      <c r="AE317" s="7"/>
      <c r="AF317" s="7"/>
      <c r="AG317" s="7"/>
      <c r="AH317" s="7"/>
      <c r="AI317" s="7"/>
      <c r="AJ317" s="7"/>
      <c r="AK317" s="7"/>
      <c r="AL317" s="7"/>
      <c r="AM317" s="7"/>
    </row>
    <row r="318" spans="3:39" x14ac:dyDescent="0.2"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  <c r="AA318" s="7"/>
      <c r="AB318" s="7"/>
      <c r="AC318" s="7"/>
      <c r="AD318" s="7"/>
      <c r="AE318" s="7"/>
      <c r="AF318" s="7"/>
      <c r="AG318" s="7"/>
      <c r="AH318" s="7"/>
      <c r="AI318" s="7"/>
      <c r="AJ318" s="7"/>
      <c r="AK318" s="7"/>
      <c r="AL318" s="7"/>
      <c r="AM318" s="7"/>
    </row>
    <row r="319" spans="3:39" x14ac:dyDescent="0.2"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  <c r="AA319" s="7"/>
      <c r="AB319" s="7"/>
      <c r="AC319" s="7"/>
      <c r="AD319" s="7"/>
      <c r="AE319" s="7"/>
      <c r="AF319" s="7"/>
      <c r="AG319" s="7"/>
      <c r="AH319" s="7"/>
      <c r="AI319" s="7"/>
      <c r="AJ319" s="7"/>
      <c r="AK319" s="7"/>
      <c r="AL319" s="7"/>
      <c r="AM319" s="7"/>
    </row>
    <row r="320" spans="3:39" x14ac:dyDescent="0.2"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  <c r="AA320" s="7"/>
      <c r="AB320" s="7"/>
      <c r="AC320" s="7"/>
      <c r="AD320" s="7"/>
      <c r="AE320" s="7"/>
      <c r="AF320" s="7"/>
      <c r="AG320" s="7"/>
      <c r="AH320" s="7"/>
      <c r="AI320" s="7"/>
      <c r="AJ320" s="7"/>
      <c r="AK320" s="7"/>
      <c r="AL320" s="7"/>
      <c r="AM320" s="7"/>
    </row>
    <row r="321" spans="3:39" x14ac:dyDescent="0.2"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  <c r="AA321" s="7"/>
      <c r="AB321" s="7"/>
      <c r="AC321" s="7"/>
      <c r="AD321" s="7"/>
      <c r="AE321" s="7"/>
      <c r="AF321" s="7"/>
      <c r="AG321" s="7"/>
      <c r="AH321" s="7"/>
      <c r="AI321" s="7"/>
      <c r="AJ321" s="7"/>
      <c r="AK321" s="7"/>
      <c r="AL321" s="7"/>
      <c r="AM321" s="7"/>
    </row>
    <row r="322" spans="3:39" x14ac:dyDescent="0.2"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  <c r="AA322" s="7"/>
      <c r="AB322" s="7"/>
      <c r="AC322" s="7"/>
      <c r="AD322" s="7"/>
      <c r="AE322" s="7"/>
      <c r="AF322" s="7"/>
      <c r="AG322" s="7"/>
      <c r="AH322" s="7"/>
      <c r="AI322" s="7"/>
      <c r="AJ322" s="7"/>
      <c r="AK322" s="7"/>
      <c r="AL322" s="7"/>
      <c r="AM322" s="7"/>
    </row>
    <row r="323" spans="3:39" x14ac:dyDescent="0.2"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  <c r="AA323" s="7"/>
      <c r="AB323" s="7"/>
      <c r="AC323" s="7"/>
      <c r="AD323" s="7"/>
      <c r="AE323" s="7"/>
      <c r="AF323" s="7"/>
      <c r="AG323" s="7"/>
      <c r="AH323" s="7"/>
      <c r="AI323" s="7"/>
      <c r="AJ323" s="7"/>
      <c r="AK323" s="7"/>
      <c r="AL323" s="7"/>
      <c r="AM323" s="7"/>
    </row>
    <row r="324" spans="3:39" x14ac:dyDescent="0.2"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  <c r="AA324" s="7"/>
      <c r="AB324" s="7"/>
      <c r="AC324" s="7"/>
      <c r="AD324" s="7"/>
      <c r="AE324" s="7"/>
      <c r="AF324" s="7"/>
      <c r="AG324" s="7"/>
      <c r="AH324" s="7"/>
      <c r="AI324" s="7"/>
      <c r="AJ324" s="7"/>
      <c r="AK324" s="7"/>
      <c r="AL324" s="7"/>
      <c r="AM324" s="7"/>
    </row>
    <row r="325" spans="3:39" x14ac:dyDescent="0.2"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  <c r="AA325" s="7"/>
      <c r="AB325" s="7"/>
      <c r="AC325" s="7"/>
      <c r="AD325" s="7"/>
      <c r="AE325" s="7"/>
      <c r="AF325" s="7"/>
      <c r="AG325" s="7"/>
      <c r="AH325" s="7"/>
      <c r="AI325" s="7"/>
      <c r="AJ325" s="7"/>
      <c r="AK325" s="7"/>
      <c r="AL325" s="7"/>
      <c r="AM325" s="7"/>
    </row>
    <row r="326" spans="3:39" x14ac:dyDescent="0.2"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  <c r="AA326" s="7"/>
      <c r="AB326" s="7"/>
      <c r="AC326" s="7"/>
      <c r="AD326" s="7"/>
      <c r="AE326" s="7"/>
      <c r="AF326" s="7"/>
      <c r="AG326" s="7"/>
      <c r="AH326" s="7"/>
      <c r="AI326" s="7"/>
      <c r="AJ326" s="7"/>
      <c r="AK326" s="7"/>
      <c r="AL326" s="7"/>
      <c r="AM326" s="7"/>
    </row>
    <row r="327" spans="3:39" x14ac:dyDescent="0.2"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  <c r="AA327" s="7"/>
      <c r="AB327" s="7"/>
      <c r="AC327" s="7"/>
      <c r="AD327" s="7"/>
      <c r="AE327" s="7"/>
      <c r="AF327" s="7"/>
      <c r="AG327" s="7"/>
      <c r="AH327" s="7"/>
      <c r="AI327" s="7"/>
      <c r="AJ327" s="7"/>
      <c r="AK327" s="7"/>
      <c r="AL327" s="7"/>
      <c r="AM327" s="7"/>
    </row>
    <row r="328" spans="3:39" x14ac:dyDescent="0.2"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  <c r="AA328" s="7"/>
      <c r="AB328" s="7"/>
      <c r="AC328" s="7"/>
      <c r="AD328" s="7"/>
      <c r="AE328" s="7"/>
      <c r="AF328" s="7"/>
      <c r="AG328" s="7"/>
      <c r="AH328" s="7"/>
      <c r="AI328" s="7"/>
      <c r="AJ328" s="7"/>
      <c r="AK328" s="7"/>
      <c r="AL328" s="7"/>
      <c r="AM328" s="7"/>
    </row>
    <row r="329" spans="3:39" x14ac:dyDescent="0.2"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  <c r="AA329" s="7"/>
      <c r="AB329" s="7"/>
      <c r="AC329" s="7"/>
      <c r="AD329" s="7"/>
      <c r="AE329" s="7"/>
      <c r="AF329" s="7"/>
      <c r="AG329" s="7"/>
      <c r="AH329" s="7"/>
      <c r="AI329" s="7"/>
      <c r="AJ329" s="7"/>
      <c r="AK329" s="7"/>
      <c r="AL329" s="7"/>
      <c r="AM329" s="7"/>
    </row>
    <row r="330" spans="3:39" x14ac:dyDescent="0.2"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  <c r="AA330" s="7"/>
      <c r="AB330" s="7"/>
      <c r="AC330" s="7"/>
      <c r="AD330" s="7"/>
      <c r="AE330" s="7"/>
      <c r="AF330" s="7"/>
      <c r="AG330" s="7"/>
      <c r="AH330" s="7"/>
      <c r="AI330" s="7"/>
      <c r="AJ330" s="7"/>
      <c r="AK330" s="7"/>
      <c r="AL330" s="7"/>
      <c r="AM330" s="7"/>
    </row>
    <row r="331" spans="3:39" x14ac:dyDescent="0.2"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  <c r="AA331" s="7"/>
      <c r="AB331" s="7"/>
      <c r="AC331" s="7"/>
      <c r="AD331" s="7"/>
      <c r="AE331" s="7"/>
      <c r="AF331" s="7"/>
      <c r="AG331" s="7"/>
      <c r="AH331" s="7"/>
      <c r="AI331" s="7"/>
      <c r="AJ331" s="7"/>
      <c r="AK331" s="7"/>
      <c r="AL331" s="7"/>
      <c r="AM331" s="7"/>
    </row>
    <row r="332" spans="3:39" x14ac:dyDescent="0.2"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  <c r="AA332" s="7"/>
      <c r="AB332" s="7"/>
      <c r="AC332" s="7"/>
      <c r="AD332" s="7"/>
      <c r="AE332" s="7"/>
      <c r="AF332" s="7"/>
      <c r="AG332" s="7"/>
      <c r="AH332" s="7"/>
      <c r="AI332" s="7"/>
      <c r="AJ332" s="7"/>
      <c r="AK332" s="7"/>
      <c r="AL332" s="7"/>
      <c r="AM332" s="7"/>
    </row>
    <row r="333" spans="3:39" x14ac:dyDescent="0.2"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  <c r="AA333" s="7"/>
      <c r="AB333" s="7"/>
      <c r="AC333" s="7"/>
      <c r="AD333" s="7"/>
      <c r="AE333" s="7"/>
      <c r="AF333" s="7"/>
      <c r="AG333" s="7"/>
      <c r="AH333" s="7"/>
      <c r="AI333" s="7"/>
      <c r="AJ333" s="7"/>
      <c r="AK333" s="7"/>
      <c r="AL333" s="7"/>
      <c r="AM333" s="7"/>
    </row>
    <row r="334" spans="3:39" x14ac:dyDescent="0.2"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  <c r="AA334" s="7"/>
      <c r="AB334" s="7"/>
      <c r="AC334" s="7"/>
      <c r="AD334" s="7"/>
      <c r="AE334" s="7"/>
      <c r="AF334" s="7"/>
      <c r="AG334" s="7"/>
      <c r="AH334" s="7"/>
      <c r="AI334" s="7"/>
      <c r="AJ334" s="7"/>
      <c r="AK334" s="7"/>
      <c r="AL334" s="7"/>
      <c r="AM334" s="7"/>
    </row>
    <row r="335" spans="3:39" x14ac:dyDescent="0.2"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  <c r="AA335" s="7"/>
      <c r="AB335" s="7"/>
      <c r="AC335" s="7"/>
      <c r="AD335" s="7"/>
      <c r="AE335" s="7"/>
      <c r="AF335" s="7"/>
      <c r="AG335" s="7"/>
      <c r="AH335" s="7"/>
      <c r="AI335" s="7"/>
      <c r="AJ335" s="7"/>
      <c r="AK335" s="7"/>
      <c r="AL335" s="7"/>
      <c r="AM335" s="7"/>
    </row>
    <row r="336" spans="3:39" x14ac:dyDescent="0.2"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  <c r="AA336" s="7"/>
      <c r="AB336" s="7"/>
      <c r="AC336" s="7"/>
      <c r="AD336" s="7"/>
      <c r="AE336" s="7"/>
      <c r="AF336" s="7"/>
      <c r="AG336" s="7"/>
      <c r="AH336" s="7"/>
      <c r="AI336" s="7"/>
      <c r="AJ336" s="7"/>
      <c r="AK336" s="7"/>
      <c r="AL336" s="7"/>
      <c r="AM336" s="7"/>
    </row>
    <row r="337" spans="3:39" x14ac:dyDescent="0.2"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  <c r="AA337" s="7"/>
      <c r="AB337" s="7"/>
      <c r="AC337" s="7"/>
      <c r="AD337" s="7"/>
      <c r="AE337" s="7"/>
      <c r="AF337" s="7"/>
      <c r="AG337" s="7"/>
      <c r="AH337" s="7"/>
      <c r="AI337" s="7"/>
      <c r="AJ337" s="7"/>
      <c r="AK337" s="7"/>
      <c r="AL337" s="7"/>
      <c r="AM337" s="7"/>
    </row>
    <row r="338" spans="3:39" x14ac:dyDescent="0.2"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  <c r="AA338" s="7"/>
      <c r="AB338" s="7"/>
      <c r="AC338" s="7"/>
      <c r="AD338" s="7"/>
      <c r="AE338" s="7"/>
      <c r="AF338" s="7"/>
      <c r="AG338" s="7"/>
      <c r="AH338" s="7"/>
      <c r="AI338" s="7"/>
      <c r="AJ338" s="7"/>
      <c r="AK338" s="7"/>
      <c r="AL338" s="7"/>
      <c r="AM338" s="7"/>
    </row>
    <row r="339" spans="3:39" x14ac:dyDescent="0.2"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  <c r="AA339" s="7"/>
      <c r="AB339" s="7"/>
      <c r="AC339" s="7"/>
      <c r="AD339" s="7"/>
      <c r="AE339" s="7"/>
      <c r="AF339" s="7"/>
      <c r="AG339" s="7"/>
      <c r="AH339" s="7"/>
      <c r="AI339" s="7"/>
      <c r="AJ339" s="7"/>
      <c r="AK339" s="7"/>
      <c r="AL339" s="7"/>
      <c r="AM339" s="7"/>
    </row>
    <row r="340" spans="3:39" x14ac:dyDescent="0.2"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  <c r="AA340" s="7"/>
      <c r="AB340" s="7"/>
      <c r="AC340" s="7"/>
      <c r="AD340" s="7"/>
      <c r="AE340" s="7"/>
      <c r="AF340" s="7"/>
      <c r="AG340" s="7"/>
      <c r="AH340" s="7"/>
      <c r="AI340" s="7"/>
      <c r="AJ340" s="7"/>
      <c r="AK340" s="7"/>
      <c r="AL340" s="7"/>
      <c r="AM340" s="7"/>
    </row>
    <row r="341" spans="3:39" x14ac:dyDescent="0.2"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  <c r="AA341" s="7"/>
      <c r="AB341" s="7"/>
      <c r="AC341" s="7"/>
      <c r="AD341" s="7"/>
      <c r="AE341" s="7"/>
      <c r="AF341" s="7"/>
      <c r="AG341" s="7"/>
      <c r="AH341" s="7"/>
      <c r="AI341" s="7"/>
      <c r="AJ341" s="7"/>
      <c r="AK341" s="7"/>
      <c r="AL341" s="7"/>
      <c r="AM341" s="7"/>
    </row>
    <row r="342" spans="3:39" x14ac:dyDescent="0.2"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  <c r="AA342" s="7"/>
      <c r="AB342" s="7"/>
      <c r="AC342" s="7"/>
      <c r="AD342" s="7"/>
      <c r="AE342" s="7"/>
      <c r="AF342" s="7"/>
      <c r="AG342" s="7"/>
      <c r="AH342" s="7"/>
      <c r="AI342" s="7"/>
      <c r="AJ342" s="7"/>
      <c r="AK342" s="7"/>
      <c r="AL342" s="7"/>
      <c r="AM342" s="7"/>
    </row>
    <row r="343" spans="3:39" x14ac:dyDescent="0.2"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  <c r="AA343" s="7"/>
      <c r="AB343" s="7"/>
      <c r="AC343" s="7"/>
      <c r="AD343" s="7"/>
      <c r="AE343" s="7"/>
      <c r="AF343" s="7"/>
      <c r="AG343" s="7"/>
      <c r="AH343" s="7"/>
      <c r="AI343" s="7"/>
      <c r="AJ343" s="7"/>
      <c r="AK343" s="7"/>
      <c r="AL343" s="7"/>
      <c r="AM343" s="7"/>
    </row>
    <row r="344" spans="3:39" x14ac:dyDescent="0.2"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  <c r="AA344" s="7"/>
      <c r="AB344" s="7"/>
      <c r="AC344" s="7"/>
      <c r="AD344" s="7"/>
      <c r="AE344" s="7"/>
      <c r="AF344" s="7"/>
      <c r="AG344" s="7"/>
      <c r="AH344" s="7"/>
      <c r="AI344" s="7"/>
      <c r="AJ344" s="7"/>
      <c r="AK344" s="7"/>
      <c r="AL344" s="7"/>
      <c r="AM344" s="7"/>
    </row>
    <row r="345" spans="3:39" x14ac:dyDescent="0.2"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  <c r="AA345" s="7"/>
      <c r="AB345" s="7"/>
      <c r="AC345" s="7"/>
      <c r="AD345" s="7"/>
      <c r="AE345" s="7"/>
      <c r="AF345" s="7"/>
      <c r="AG345" s="7"/>
      <c r="AH345" s="7"/>
      <c r="AI345" s="7"/>
      <c r="AJ345" s="7"/>
      <c r="AK345" s="7"/>
      <c r="AL345" s="7"/>
      <c r="AM345" s="7"/>
    </row>
    <row r="346" spans="3:39" x14ac:dyDescent="0.2"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  <c r="AA346" s="7"/>
      <c r="AB346" s="7"/>
      <c r="AC346" s="7"/>
      <c r="AD346" s="7"/>
      <c r="AE346" s="7"/>
      <c r="AF346" s="7"/>
      <c r="AG346" s="7"/>
      <c r="AH346" s="7"/>
      <c r="AI346" s="7"/>
      <c r="AJ346" s="7"/>
      <c r="AK346" s="7"/>
      <c r="AL346" s="7"/>
      <c r="AM346" s="7"/>
    </row>
    <row r="347" spans="3:39" x14ac:dyDescent="0.2"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  <c r="AA347" s="7"/>
      <c r="AB347" s="7"/>
      <c r="AC347" s="7"/>
      <c r="AD347" s="7"/>
      <c r="AE347" s="7"/>
      <c r="AF347" s="7"/>
      <c r="AG347" s="7"/>
      <c r="AH347" s="7"/>
      <c r="AI347" s="7"/>
      <c r="AJ347" s="7"/>
      <c r="AK347" s="7"/>
      <c r="AL347" s="7"/>
      <c r="AM347" s="7"/>
    </row>
    <row r="348" spans="3:39" x14ac:dyDescent="0.2"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  <c r="AA348" s="7"/>
      <c r="AB348" s="7"/>
      <c r="AC348" s="7"/>
      <c r="AD348" s="7"/>
      <c r="AE348" s="7"/>
      <c r="AF348" s="7"/>
      <c r="AG348" s="7"/>
      <c r="AH348" s="7"/>
      <c r="AI348" s="7"/>
      <c r="AJ348" s="7"/>
      <c r="AK348" s="7"/>
      <c r="AL348" s="7"/>
      <c r="AM348" s="7"/>
    </row>
    <row r="349" spans="3:39" x14ac:dyDescent="0.2"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  <c r="AA349" s="7"/>
      <c r="AB349" s="7"/>
      <c r="AC349" s="7"/>
      <c r="AD349" s="7"/>
      <c r="AE349" s="7"/>
      <c r="AF349" s="7"/>
      <c r="AG349" s="7"/>
      <c r="AH349" s="7"/>
      <c r="AI349" s="7"/>
      <c r="AJ349" s="7"/>
      <c r="AK349" s="7"/>
      <c r="AL349" s="7"/>
      <c r="AM349" s="7"/>
    </row>
    <row r="350" spans="3:39" x14ac:dyDescent="0.2"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  <c r="AA350" s="7"/>
      <c r="AB350" s="7"/>
      <c r="AC350" s="7"/>
      <c r="AD350" s="7"/>
      <c r="AE350" s="7"/>
      <c r="AF350" s="7"/>
      <c r="AG350" s="7"/>
      <c r="AH350" s="7"/>
      <c r="AI350" s="7"/>
      <c r="AJ350" s="7"/>
      <c r="AK350" s="7"/>
      <c r="AL350" s="7"/>
      <c r="AM350" s="7"/>
    </row>
    <row r="351" spans="3:39" x14ac:dyDescent="0.2"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  <c r="AA351" s="7"/>
      <c r="AB351" s="7"/>
      <c r="AC351" s="7"/>
      <c r="AD351" s="7"/>
      <c r="AE351" s="7"/>
      <c r="AF351" s="7"/>
      <c r="AG351" s="7"/>
      <c r="AH351" s="7"/>
      <c r="AI351" s="7"/>
      <c r="AJ351" s="7"/>
      <c r="AK351" s="7"/>
      <c r="AL351" s="7"/>
      <c r="AM351" s="7"/>
    </row>
    <row r="352" spans="3:39" x14ac:dyDescent="0.2"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  <c r="AA352" s="7"/>
      <c r="AB352" s="7"/>
      <c r="AC352" s="7"/>
      <c r="AD352" s="7"/>
      <c r="AE352" s="7"/>
      <c r="AF352" s="7"/>
      <c r="AG352" s="7"/>
      <c r="AH352" s="7"/>
      <c r="AI352" s="7"/>
      <c r="AJ352" s="7"/>
      <c r="AK352" s="7"/>
      <c r="AL352" s="7"/>
      <c r="AM352" s="7"/>
    </row>
    <row r="353" spans="3:39" x14ac:dyDescent="0.2"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  <c r="AA353" s="7"/>
      <c r="AB353" s="7"/>
      <c r="AC353" s="7"/>
      <c r="AD353" s="7"/>
      <c r="AE353" s="7"/>
      <c r="AF353" s="7"/>
      <c r="AG353" s="7"/>
      <c r="AH353" s="7"/>
      <c r="AI353" s="7"/>
      <c r="AJ353" s="7"/>
      <c r="AK353" s="7"/>
      <c r="AL353" s="7"/>
      <c r="AM353" s="7"/>
    </row>
    <row r="354" spans="3:39" x14ac:dyDescent="0.2"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  <c r="AA354" s="7"/>
      <c r="AB354" s="7"/>
      <c r="AC354" s="7"/>
      <c r="AD354" s="7"/>
      <c r="AE354" s="7"/>
      <c r="AF354" s="7"/>
      <c r="AG354" s="7"/>
      <c r="AH354" s="7"/>
      <c r="AI354" s="7"/>
      <c r="AJ354" s="7"/>
      <c r="AK354" s="7"/>
      <c r="AL354" s="7"/>
      <c r="AM354" s="7"/>
    </row>
    <row r="355" spans="3:39" x14ac:dyDescent="0.2"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  <c r="AA355" s="7"/>
      <c r="AB355" s="7"/>
      <c r="AC355" s="7"/>
      <c r="AD355" s="7"/>
      <c r="AE355" s="7"/>
      <c r="AF355" s="7"/>
      <c r="AG355" s="7"/>
      <c r="AH355" s="7"/>
      <c r="AI355" s="7"/>
      <c r="AJ355" s="7"/>
      <c r="AK355" s="7"/>
      <c r="AL355" s="7"/>
      <c r="AM355" s="7"/>
    </row>
    <row r="356" spans="3:39" x14ac:dyDescent="0.2"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  <c r="AA356" s="7"/>
      <c r="AB356" s="7"/>
      <c r="AC356" s="7"/>
      <c r="AD356" s="7"/>
      <c r="AE356" s="7"/>
      <c r="AF356" s="7"/>
      <c r="AG356" s="7"/>
      <c r="AH356" s="7"/>
      <c r="AI356" s="7"/>
      <c r="AJ356" s="7"/>
      <c r="AK356" s="7"/>
      <c r="AL356" s="7"/>
      <c r="AM356" s="7"/>
    </row>
    <row r="357" spans="3:39" x14ac:dyDescent="0.2"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  <c r="AA357" s="7"/>
      <c r="AB357" s="7"/>
      <c r="AC357" s="7"/>
      <c r="AD357" s="7"/>
      <c r="AE357" s="7"/>
      <c r="AF357" s="7"/>
      <c r="AG357" s="7"/>
      <c r="AH357" s="7"/>
      <c r="AI357" s="7"/>
      <c r="AJ357" s="7"/>
      <c r="AK357" s="7"/>
      <c r="AL357" s="7"/>
      <c r="AM357" s="7"/>
    </row>
    <row r="358" spans="3:39" x14ac:dyDescent="0.2"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  <c r="AA358" s="7"/>
      <c r="AB358" s="7"/>
      <c r="AC358" s="7"/>
      <c r="AD358" s="7"/>
      <c r="AE358" s="7"/>
      <c r="AF358" s="7"/>
      <c r="AG358" s="7"/>
      <c r="AH358" s="7"/>
      <c r="AI358" s="7"/>
      <c r="AJ358" s="7"/>
      <c r="AK358" s="7"/>
      <c r="AL358" s="7"/>
      <c r="AM358" s="7"/>
    </row>
    <row r="359" spans="3:39" x14ac:dyDescent="0.2"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  <c r="AA359" s="7"/>
      <c r="AB359" s="7"/>
      <c r="AC359" s="7"/>
      <c r="AD359" s="7"/>
      <c r="AE359" s="7"/>
      <c r="AF359" s="7"/>
      <c r="AG359" s="7"/>
      <c r="AH359" s="7"/>
      <c r="AI359" s="7"/>
      <c r="AJ359" s="7"/>
      <c r="AK359" s="7"/>
      <c r="AL359" s="7"/>
      <c r="AM359" s="7"/>
    </row>
    <row r="360" spans="3:39" x14ac:dyDescent="0.2"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  <c r="AA360" s="7"/>
      <c r="AB360" s="7"/>
      <c r="AC360" s="7"/>
      <c r="AD360" s="7"/>
      <c r="AE360" s="7"/>
      <c r="AF360" s="7"/>
      <c r="AG360" s="7"/>
      <c r="AH360" s="7"/>
      <c r="AI360" s="7"/>
      <c r="AJ360" s="7"/>
      <c r="AK360" s="7"/>
      <c r="AL360" s="7"/>
      <c r="AM360" s="7"/>
    </row>
    <row r="361" spans="3:39" x14ac:dyDescent="0.2"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  <c r="AA361" s="7"/>
      <c r="AB361" s="7"/>
      <c r="AC361" s="7"/>
      <c r="AD361" s="7"/>
      <c r="AE361" s="7"/>
      <c r="AF361" s="7"/>
      <c r="AG361" s="7"/>
      <c r="AH361" s="7"/>
      <c r="AI361" s="7"/>
      <c r="AJ361" s="7"/>
      <c r="AK361" s="7"/>
      <c r="AL361" s="7"/>
      <c r="AM361" s="7"/>
    </row>
    <row r="362" spans="3:39" x14ac:dyDescent="0.2"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  <c r="AA362" s="7"/>
      <c r="AB362" s="7"/>
      <c r="AC362" s="7"/>
      <c r="AD362" s="7"/>
      <c r="AE362" s="7"/>
      <c r="AF362" s="7"/>
      <c r="AG362" s="7"/>
      <c r="AH362" s="7"/>
      <c r="AI362" s="7"/>
      <c r="AJ362" s="7"/>
      <c r="AK362" s="7"/>
      <c r="AL362" s="7"/>
      <c r="AM362" s="7"/>
    </row>
    <row r="363" spans="3:39" x14ac:dyDescent="0.2"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  <c r="AA363" s="7"/>
      <c r="AB363" s="7"/>
      <c r="AC363" s="7"/>
      <c r="AD363" s="7"/>
      <c r="AE363" s="7"/>
      <c r="AF363" s="7"/>
      <c r="AG363" s="7"/>
      <c r="AH363" s="7"/>
      <c r="AI363" s="7"/>
      <c r="AJ363" s="7"/>
      <c r="AK363" s="7"/>
      <c r="AL363" s="7"/>
      <c r="AM363" s="7"/>
    </row>
    <row r="364" spans="3:39" x14ac:dyDescent="0.2"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  <c r="AA364" s="7"/>
      <c r="AB364" s="7"/>
      <c r="AC364" s="7"/>
      <c r="AD364" s="7"/>
      <c r="AE364" s="7"/>
      <c r="AF364" s="7"/>
      <c r="AG364" s="7"/>
      <c r="AH364" s="7"/>
      <c r="AI364" s="7"/>
      <c r="AJ364" s="7"/>
      <c r="AK364" s="7"/>
      <c r="AL364" s="7"/>
      <c r="AM364" s="7"/>
    </row>
    <row r="365" spans="3:39" x14ac:dyDescent="0.2"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  <c r="AA365" s="7"/>
      <c r="AB365" s="7"/>
      <c r="AC365" s="7"/>
      <c r="AD365" s="7"/>
      <c r="AE365" s="7"/>
      <c r="AF365" s="7"/>
      <c r="AG365" s="7"/>
      <c r="AH365" s="7"/>
      <c r="AI365" s="7"/>
      <c r="AJ365" s="7"/>
      <c r="AK365" s="7"/>
      <c r="AL365" s="7"/>
      <c r="AM365" s="7"/>
    </row>
    <row r="366" spans="3:39" x14ac:dyDescent="0.2"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  <c r="AA366" s="7"/>
      <c r="AB366" s="7"/>
      <c r="AC366" s="7"/>
      <c r="AD366" s="7"/>
      <c r="AE366" s="7"/>
      <c r="AF366" s="7"/>
      <c r="AG366" s="7"/>
      <c r="AH366" s="7"/>
      <c r="AI366" s="7"/>
      <c r="AJ366" s="7"/>
      <c r="AK366" s="7"/>
      <c r="AL366" s="7"/>
      <c r="AM366" s="7"/>
    </row>
    <row r="367" spans="3:39" x14ac:dyDescent="0.2"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  <c r="AA367" s="7"/>
      <c r="AB367" s="7"/>
      <c r="AC367" s="7"/>
      <c r="AD367" s="7"/>
      <c r="AE367" s="7"/>
      <c r="AF367" s="7"/>
      <c r="AG367" s="7"/>
      <c r="AH367" s="7"/>
      <c r="AI367" s="7"/>
      <c r="AJ367" s="7"/>
      <c r="AK367" s="7"/>
      <c r="AL367" s="7"/>
      <c r="AM367" s="7"/>
    </row>
    <row r="368" spans="3:39" x14ac:dyDescent="0.2"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  <c r="AA368" s="7"/>
      <c r="AB368" s="7"/>
      <c r="AC368" s="7"/>
      <c r="AD368" s="7"/>
      <c r="AE368" s="7"/>
      <c r="AF368" s="7"/>
      <c r="AG368" s="7"/>
      <c r="AH368" s="7"/>
      <c r="AI368" s="7"/>
      <c r="AJ368" s="7"/>
      <c r="AK368" s="7"/>
      <c r="AL368" s="7"/>
      <c r="AM368" s="7"/>
    </row>
    <row r="369" spans="3:39" x14ac:dyDescent="0.2"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  <c r="AA369" s="7"/>
      <c r="AB369" s="7"/>
      <c r="AC369" s="7"/>
      <c r="AD369" s="7"/>
      <c r="AE369" s="7"/>
      <c r="AF369" s="7"/>
      <c r="AG369" s="7"/>
      <c r="AH369" s="7"/>
      <c r="AI369" s="7"/>
      <c r="AJ369" s="7"/>
      <c r="AK369" s="7"/>
      <c r="AL369" s="7"/>
      <c r="AM369" s="7"/>
    </row>
    <row r="370" spans="3:39" x14ac:dyDescent="0.2"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  <c r="AA370" s="7"/>
      <c r="AB370" s="7"/>
      <c r="AC370" s="7"/>
      <c r="AD370" s="7"/>
      <c r="AE370" s="7"/>
      <c r="AF370" s="7"/>
      <c r="AG370" s="7"/>
      <c r="AH370" s="7"/>
      <c r="AI370" s="7"/>
      <c r="AJ370" s="7"/>
      <c r="AK370" s="7"/>
      <c r="AL370" s="7"/>
      <c r="AM370" s="7"/>
    </row>
    <row r="371" spans="3:39" x14ac:dyDescent="0.2"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  <c r="AA371" s="7"/>
      <c r="AB371" s="7"/>
      <c r="AC371" s="7"/>
      <c r="AD371" s="7"/>
      <c r="AE371" s="7"/>
      <c r="AF371" s="7"/>
      <c r="AG371" s="7"/>
      <c r="AH371" s="7"/>
      <c r="AI371" s="7"/>
      <c r="AJ371" s="7"/>
      <c r="AK371" s="7"/>
      <c r="AL371" s="7"/>
      <c r="AM371" s="7"/>
    </row>
    <row r="372" spans="3:39" x14ac:dyDescent="0.2"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  <c r="AA372" s="7"/>
      <c r="AB372" s="7"/>
      <c r="AC372" s="7"/>
      <c r="AD372" s="7"/>
      <c r="AE372" s="7"/>
      <c r="AF372" s="7"/>
      <c r="AG372" s="7"/>
      <c r="AH372" s="7"/>
      <c r="AI372" s="7"/>
      <c r="AJ372" s="7"/>
      <c r="AK372" s="7"/>
      <c r="AL372" s="7"/>
      <c r="AM372" s="7"/>
    </row>
    <row r="373" spans="3:39" x14ac:dyDescent="0.2"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  <c r="AA373" s="7"/>
      <c r="AB373" s="7"/>
      <c r="AC373" s="7"/>
      <c r="AD373" s="7"/>
      <c r="AE373" s="7"/>
      <c r="AF373" s="7"/>
      <c r="AG373" s="7"/>
      <c r="AH373" s="7"/>
      <c r="AI373" s="7"/>
      <c r="AJ373" s="7"/>
      <c r="AK373" s="7"/>
      <c r="AL373" s="7"/>
      <c r="AM373" s="7"/>
    </row>
    <row r="374" spans="3:39" x14ac:dyDescent="0.2"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  <c r="AA374" s="7"/>
      <c r="AB374" s="7"/>
      <c r="AC374" s="7"/>
      <c r="AD374" s="7"/>
      <c r="AE374" s="7"/>
      <c r="AF374" s="7"/>
      <c r="AG374" s="7"/>
      <c r="AH374" s="7"/>
      <c r="AI374" s="7"/>
      <c r="AJ374" s="7"/>
      <c r="AK374" s="7"/>
      <c r="AL374" s="7"/>
      <c r="AM374" s="7"/>
    </row>
    <row r="375" spans="3:39" x14ac:dyDescent="0.2"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  <c r="AA375" s="7"/>
      <c r="AB375" s="7"/>
      <c r="AC375" s="7"/>
      <c r="AD375" s="7"/>
      <c r="AE375" s="7"/>
      <c r="AF375" s="7"/>
      <c r="AG375" s="7"/>
      <c r="AH375" s="7"/>
      <c r="AI375" s="7"/>
      <c r="AJ375" s="7"/>
      <c r="AK375" s="7"/>
      <c r="AL375" s="7"/>
      <c r="AM375" s="7"/>
    </row>
    <row r="376" spans="3:39" x14ac:dyDescent="0.2"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  <c r="AA376" s="7"/>
      <c r="AB376" s="7"/>
      <c r="AC376" s="7"/>
      <c r="AD376" s="7"/>
      <c r="AE376" s="7"/>
      <c r="AF376" s="7"/>
      <c r="AG376" s="7"/>
      <c r="AH376" s="7"/>
      <c r="AI376" s="7"/>
      <c r="AJ376" s="7"/>
      <c r="AK376" s="7"/>
      <c r="AL376" s="7"/>
      <c r="AM376" s="7"/>
    </row>
    <row r="377" spans="3:39" x14ac:dyDescent="0.2"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  <c r="AA377" s="7"/>
      <c r="AB377" s="7"/>
      <c r="AC377" s="7"/>
      <c r="AD377" s="7"/>
      <c r="AE377" s="7"/>
      <c r="AF377" s="7"/>
      <c r="AG377" s="7"/>
      <c r="AH377" s="7"/>
      <c r="AI377" s="7"/>
      <c r="AJ377" s="7"/>
      <c r="AK377" s="7"/>
      <c r="AL377" s="7"/>
      <c r="AM377" s="7"/>
    </row>
    <row r="378" spans="3:39" x14ac:dyDescent="0.2"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  <c r="AA378" s="7"/>
      <c r="AB378" s="7"/>
      <c r="AC378" s="7"/>
      <c r="AD378" s="7"/>
      <c r="AE378" s="7"/>
      <c r="AF378" s="7"/>
      <c r="AG378" s="7"/>
      <c r="AH378" s="7"/>
      <c r="AI378" s="7"/>
      <c r="AJ378" s="7"/>
      <c r="AK378" s="7"/>
      <c r="AL378" s="7"/>
      <c r="AM378" s="7"/>
    </row>
    <row r="379" spans="3:39" x14ac:dyDescent="0.2"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  <c r="AA379" s="7"/>
      <c r="AB379" s="7"/>
      <c r="AC379" s="7"/>
      <c r="AD379" s="7"/>
      <c r="AE379" s="7"/>
      <c r="AF379" s="7"/>
      <c r="AG379" s="7"/>
      <c r="AH379" s="7"/>
      <c r="AI379" s="7"/>
      <c r="AJ379" s="7"/>
      <c r="AK379" s="7"/>
      <c r="AL379" s="7"/>
      <c r="AM379" s="7"/>
    </row>
    <row r="380" spans="3:39" x14ac:dyDescent="0.2"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  <c r="AA380" s="7"/>
      <c r="AB380" s="7"/>
      <c r="AC380" s="7"/>
      <c r="AD380" s="7"/>
      <c r="AE380" s="7"/>
      <c r="AF380" s="7"/>
      <c r="AG380" s="7"/>
      <c r="AH380" s="7"/>
      <c r="AI380" s="7"/>
      <c r="AJ380" s="7"/>
      <c r="AK380" s="7"/>
      <c r="AL380" s="7"/>
      <c r="AM380" s="7"/>
    </row>
    <row r="381" spans="3:39" x14ac:dyDescent="0.2"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  <c r="AA381" s="7"/>
      <c r="AB381" s="7"/>
      <c r="AC381" s="7"/>
      <c r="AD381" s="7"/>
      <c r="AE381" s="7"/>
      <c r="AF381" s="7"/>
      <c r="AG381" s="7"/>
      <c r="AH381" s="7"/>
      <c r="AI381" s="7"/>
      <c r="AJ381" s="7"/>
      <c r="AK381" s="7"/>
      <c r="AL381" s="7"/>
      <c r="AM381" s="7"/>
    </row>
    <row r="382" spans="3:39" x14ac:dyDescent="0.2"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  <c r="AA382" s="7"/>
      <c r="AB382" s="7"/>
      <c r="AC382" s="7"/>
      <c r="AD382" s="7"/>
      <c r="AE382" s="7"/>
      <c r="AF382" s="7"/>
      <c r="AG382" s="7"/>
      <c r="AH382" s="7"/>
      <c r="AI382" s="7"/>
      <c r="AJ382" s="7"/>
      <c r="AK382" s="7"/>
      <c r="AL382" s="7"/>
      <c r="AM382" s="7"/>
    </row>
    <row r="383" spans="3:39" x14ac:dyDescent="0.2"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  <c r="AA383" s="7"/>
      <c r="AB383" s="7"/>
      <c r="AC383" s="7"/>
      <c r="AD383" s="7"/>
      <c r="AE383" s="7"/>
      <c r="AF383" s="7"/>
      <c r="AG383" s="7"/>
      <c r="AH383" s="7"/>
      <c r="AI383" s="7"/>
      <c r="AJ383" s="7"/>
      <c r="AK383" s="7"/>
      <c r="AL383" s="7"/>
      <c r="AM383" s="7"/>
    </row>
    <row r="384" spans="3:39" x14ac:dyDescent="0.2"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  <c r="AA384" s="7"/>
      <c r="AB384" s="7"/>
      <c r="AC384" s="7"/>
      <c r="AD384" s="7"/>
      <c r="AE384" s="7"/>
      <c r="AF384" s="7"/>
      <c r="AG384" s="7"/>
      <c r="AH384" s="7"/>
      <c r="AI384" s="7"/>
      <c r="AJ384" s="7"/>
      <c r="AK384" s="7"/>
      <c r="AL384" s="7"/>
      <c r="AM384" s="7"/>
    </row>
    <row r="385" spans="3:39" x14ac:dyDescent="0.2"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  <c r="AA385" s="7"/>
      <c r="AB385" s="7"/>
      <c r="AC385" s="7"/>
      <c r="AD385" s="7"/>
      <c r="AE385" s="7"/>
      <c r="AF385" s="7"/>
      <c r="AG385" s="7"/>
      <c r="AH385" s="7"/>
      <c r="AI385" s="7"/>
      <c r="AJ385" s="7"/>
      <c r="AK385" s="7"/>
      <c r="AL385" s="7"/>
      <c r="AM385" s="7"/>
    </row>
    <row r="386" spans="3:39" x14ac:dyDescent="0.2"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  <c r="AA386" s="7"/>
      <c r="AB386" s="7"/>
      <c r="AC386" s="7"/>
      <c r="AD386" s="7"/>
      <c r="AE386" s="7"/>
      <c r="AF386" s="7"/>
      <c r="AG386" s="7"/>
      <c r="AH386" s="7"/>
      <c r="AI386" s="7"/>
      <c r="AJ386" s="7"/>
      <c r="AK386" s="7"/>
      <c r="AL386" s="7"/>
      <c r="AM386" s="7"/>
    </row>
    <row r="387" spans="3:39" x14ac:dyDescent="0.2"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  <c r="AA387" s="7"/>
      <c r="AB387" s="7"/>
      <c r="AC387" s="7"/>
      <c r="AD387" s="7"/>
      <c r="AE387" s="7"/>
      <c r="AF387" s="7"/>
      <c r="AG387" s="7"/>
      <c r="AH387" s="7"/>
      <c r="AI387" s="7"/>
      <c r="AJ387" s="7"/>
      <c r="AK387" s="7"/>
      <c r="AL387" s="7"/>
      <c r="AM387" s="7"/>
    </row>
    <row r="388" spans="3:39" x14ac:dyDescent="0.2"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  <c r="AA388" s="7"/>
      <c r="AB388" s="7"/>
      <c r="AC388" s="7"/>
      <c r="AD388" s="7"/>
      <c r="AE388" s="7"/>
      <c r="AF388" s="7"/>
      <c r="AG388" s="7"/>
      <c r="AH388" s="7"/>
      <c r="AI388" s="7"/>
      <c r="AJ388" s="7"/>
      <c r="AK388" s="7"/>
      <c r="AL388" s="7"/>
      <c r="AM388" s="7"/>
    </row>
    <row r="389" spans="3:39" x14ac:dyDescent="0.2"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  <c r="AA389" s="7"/>
      <c r="AB389" s="7"/>
      <c r="AC389" s="7"/>
      <c r="AD389" s="7"/>
      <c r="AE389" s="7"/>
      <c r="AF389" s="7"/>
      <c r="AG389" s="7"/>
      <c r="AH389" s="7"/>
      <c r="AI389" s="7"/>
      <c r="AJ389" s="7"/>
      <c r="AK389" s="7"/>
      <c r="AL389" s="7"/>
      <c r="AM389" s="7"/>
    </row>
    <row r="390" spans="3:39" x14ac:dyDescent="0.2"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  <c r="AA390" s="7"/>
      <c r="AB390" s="7"/>
      <c r="AC390" s="7"/>
      <c r="AD390" s="7"/>
      <c r="AE390" s="7"/>
      <c r="AF390" s="7"/>
      <c r="AG390" s="7"/>
      <c r="AH390" s="7"/>
      <c r="AI390" s="7"/>
      <c r="AJ390" s="7"/>
      <c r="AK390" s="7"/>
      <c r="AL390" s="7"/>
      <c r="AM390" s="7"/>
    </row>
    <row r="391" spans="3:39" x14ac:dyDescent="0.2"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  <c r="AA391" s="7"/>
      <c r="AB391" s="7"/>
      <c r="AC391" s="7"/>
      <c r="AD391" s="7"/>
      <c r="AE391" s="7"/>
      <c r="AF391" s="7"/>
      <c r="AG391" s="7"/>
      <c r="AH391" s="7"/>
      <c r="AI391" s="7"/>
      <c r="AJ391" s="7"/>
      <c r="AK391" s="7"/>
      <c r="AL391" s="7"/>
      <c r="AM391" s="7"/>
    </row>
    <row r="392" spans="3:39" x14ac:dyDescent="0.2"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  <c r="AA392" s="7"/>
      <c r="AB392" s="7"/>
      <c r="AC392" s="7"/>
      <c r="AD392" s="7"/>
      <c r="AE392" s="7"/>
      <c r="AF392" s="7"/>
      <c r="AG392" s="7"/>
      <c r="AH392" s="7"/>
      <c r="AI392" s="7"/>
      <c r="AJ392" s="7"/>
      <c r="AK392" s="7"/>
      <c r="AL392" s="7"/>
      <c r="AM392" s="7"/>
    </row>
    <row r="393" spans="3:39" x14ac:dyDescent="0.2"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  <c r="AA393" s="7"/>
      <c r="AB393" s="7"/>
      <c r="AC393" s="7"/>
      <c r="AD393" s="7"/>
      <c r="AE393" s="7"/>
      <c r="AF393" s="7"/>
      <c r="AG393" s="7"/>
      <c r="AH393" s="7"/>
      <c r="AI393" s="7"/>
      <c r="AJ393" s="7"/>
      <c r="AK393" s="7"/>
      <c r="AL393" s="7"/>
      <c r="AM393" s="7"/>
    </row>
    <row r="394" spans="3:39" x14ac:dyDescent="0.2"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  <c r="AA394" s="7"/>
      <c r="AB394" s="7"/>
      <c r="AC394" s="7"/>
      <c r="AD394" s="7"/>
      <c r="AE394" s="7"/>
      <c r="AF394" s="7"/>
      <c r="AG394" s="7"/>
      <c r="AH394" s="7"/>
      <c r="AI394" s="7"/>
      <c r="AJ394" s="7"/>
      <c r="AK394" s="7"/>
      <c r="AL394" s="7"/>
      <c r="AM394" s="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11</vt:i4>
      </vt:variant>
    </vt:vector>
  </HeadingPairs>
  <TitlesOfParts>
    <vt:vector size="15" baseType="lpstr">
      <vt:lpstr>Inputs</vt:lpstr>
      <vt:lpstr>Output</vt:lpstr>
      <vt:lpstr>RetNorm_Engine</vt:lpstr>
      <vt:lpstr>RetEarly_Engine</vt:lpstr>
      <vt:lpstr>buffer</vt:lpstr>
      <vt:lpstr>EndAge</vt:lpstr>
      <vt:lpstr>inf</vt:lpstr>
      <vt:lpstr>MthOff</vt:lpstr>
      <vt:lpstr>MthRem</vt:lpstr>
      <vt:lpstr>princ</vt:lpstr>
      <vt:lpstr>ProRate</vt:lpstr>
      <vt:lpstr>RetAge</vt:lpstr>
      <vt:lpstr>rinc</vt:lpstr>
      <vt:lpstr>sincr</vt:lpstr>
      <vt:lpstr>stinc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Bonnici</dc:creator>
  <cp:lastModifiedBy>Kenneth Bonnici</cp:lastModifiedBy>
  <dcterms:created xsi:type="dcterms:W3CDTF">2026-01-26T20:28:02Z</dcterms:created>
  <dcterms:modified xsi:type="dcterms:W3CDTF">2026-03-27T20:24:38Z</dcterms:modified>
</cp:coreProperties>
</file>